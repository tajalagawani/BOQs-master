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S:\Projects\Nakheel\1136_Al Furjan_Package3_5\WORKSHOP\Pre Contract\40 Tender Documents\40.3  Bill of Quantities\Working folder\211004 BQ-Addendum Submission\"/>
    </mc:Choice>
  </mc:AlternateContent>
  <xr:revisionPtr revIDLastSave="0" documentId="13_ncr:1_{FBC433E1-955E-46C6-BC8A-0987EB4BC335}" xr6:coauthVersionLast="47" xr6:coauthVersionMax="47" xr10:uidLastSave="{00000000-0000-0000-0000-000000000000}"/>
  <bookViews>
    <workbookView xWindow="28680" yWindow="-120" windowWidth="29040" windowHeight="15840" tabRatio="866" activeTab="2" xr2:uid="{00000000-000D-0000-FFFF-FFFF00000000}"/>
  </bookViews>
  <sheets>
    <sheet name="Bill 3 fly" sheetId="1" r:id="rId1"/>
    <sheet name="Sitework" sheetId="17" r:id="rId2"/>
    <sheet name="Conc_C" sheetId="3" r:id="rId3"/>
    <sheet name="D.Masonry" sheetId="4" r:id="rId4"/>
    <sheet name="E.Metalwork" sheetId="5" r:id="rId5"/>
    <sheet name="F.Woodwork" sheetId="7" r:id="rId6"/>
    <sheet name="G.TMP" sheetId="8" r:id="rId7"/>
    <sheet name="H.D&amp;W" sheetId="9" r:id="rId8"/>
    <sheet name="J. Finishes" sheetId="10" r:id="rId9"/>
    <sheet name="K. Accessories" sheetId="11" r:id="rId10"/>
    <sheet name="Q. Mech" sheetId="22" r:id="rId11"/>
    <sheet name="R. Elec" sheetId="23" r:id="rId12"/>
    <sheet name="Bill 3-Summary" sheetId="15"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z" localSheetId="2">#REF!</definedName>
    <definedName name="\z" localSheetId="3">#REF!</definedName>
    <definedName name="\z" localSheetId="4">#REF!</definedName>
    <definedName name="\z" localSheetId="5">#REF!</definedName>
    <definedName name="\z" localSheetId="6">#REF!</definedName>
    <definedName name="\z" localSheetId="7">#REF!</definedName>
    <definedName name="\z" localSheetId="8">#REF!</definedName>
    <definedName name="\z" localSheetId="9">#REF!</definedName>
    <definedName name="\z" localSheetId="10">#REF!</definedName>
    <definedName name="\z" localSheetId="11">#REF!</definedName>
    <definedName name="\z" localSheetId="1">#REF!</definedName>
    <definedName name="\z">#REF!</definedName>
    <definedName name="__123Graph_A" localSheetId="2" hidden="1">'[1]입찰내역 발주처 양식'!#REF!</definedName>
    <definedName name="__123Graph_A" localSheetId="3" hidden="1">'[1]입찰내역 발주처 양식'!#REF!</definedName>
    <definedName name="__123Graph_A" localSheetId="4" hidden="1">'[1]입찰내역 발주처 양식'!#REF!</definedName>
    <definedName name="__123Graph_A" localSheetId="5" hidden="1">'[1]입찰내역 발주처 양식'!#REF!</definedName>
    <definedName name="__123Graph_A" localSheetId="6" hidden="1">'[1]입찰내역 발주처 양식'!#REF!</definedName>
    <definedName name="__123Graph_A" localSheetId="7" hidden="1">'[1]입찰내역 발주처 양식'!#REF!</definedName>
    <definedName name="__123Graph_A" localSheetId="8" hidden="1">'[1]입찰내역 발주처 양식'!#REF!</definedName>
    <definedName name="__123Graph_A" localSheetId="9" hidden="1">'[1]입찰내역 발주처 양식'!#REF!</definedName>
    <definedName name="__123Graph_A" localSheetId="10" hidden="1">'[1]입찰내역 발주처 양식'!#REF!</definedName>
    <definedName name="__123Graph_A" localSheetId="11" hidden="1">'[1]입찰내역 발주처 양식'!#REF!</definedName>
    <definedName name="__123Graph_A" localSheetId="1" hidden="1">'[1]입찰내역 발주처 양식'!#REF!</definedName>
    <definedName name="__123Graph_A" hidden="1">'[1]입찰내역 발주처 양식'!#REF!</definedName>
    <definedName name="__123Graph_ACHART1" localSheetId="2" hidden="1">'[1]입찰내역 발주처 양식'!#REF!</definedName>
    <definedName name="__123Graph_ACHART1" localSheetId="3" hidden="1">'[1]입찰내역 발주처 양식'!#REF!</definedName>
    <definedName name="__123Graph_ACHART1" localSheetId="4" hidden="1">'[1]입찰내역 발주처 양식'!#REF!</definedName>
    <definedName name="__123Graph_ACHART1" localSheetId="5" hidden="1">'[1]입찰내역 발주처 양식'!#REF!</definedName>
    <definedName name="__123Graph_ACHART1" localSheetId="6" hidden="1">'[1]입찰내역 발주처 양식'!#REF!</definedName>
    <definedName name="__123Graph_ACHART1" localSheetId="7" hidden="1">'[1]입찰내역 발주처 양식'!#REF!</definedName>
    <definedName name="__123Graph_ACHART1" localSheetId="8" hidden="1">'[1]입찰내역 발주처 양식'!#REF!</definedName>
    <definedName name="__123Graph_ACHART1" localSheetId="9" hidden="1">'[1]입찰내역 발주처 양식'!#REF!</definedName>
    <definedName name="__123Graph_ACHART1" localSheetId="10" hidden="1">'[1]입찰내역 발주처 양식'!#REF!</definedName>
    <definedName name="__123Graph_ACHART1" localSheetId="11" hidden="1">'[1]입찰내역 발주처 양식'!#REF!</definedName>
    <definedName name="__123Graph_ACHART1" localSheetId="1" hidden="1">'[1]입찰내역 발주처 양식'!#REF!</definedName>
    <definedName name="__123Graph_ACHART1" hidden="1">'[1]입찰내역 발주처 양식'!#REF!</definedName>
    <definedName name="__123Graph_ACURRENT" localSheetId="2" hidden="1">'[1]입찰내역 발주처 양식'!#REF!</definedName>
    <definedName name="__123Graph_ACURRENT" localSheetId="3" hidden="1">'[1]입찰내역 발주처 양식'!#REF!</definedName>
    <definedName name="__123Graph_ACURRENT" localSheetId="4" hidden="1">'[1]입찰내역 발주처 양식'!#REF!</definedName>
    <definedName name="__123Graph_ACURRENT" localSheetId="5" hidden="1">'[1]입찰내역 발주처 양식'!#REF!</definedName>
    <definedName name="__123Graph_ACURRENT" localSheetId="6" hidden="1">'[1]입찰내역 발주처 양식'!#REF!</definedName>
    <definedName name="__123Graph_ACURRENT" localSheetId="7" hidden="1">'[1]입찰내역 발주처 양식'!#REF!</definedName>
    <definedName name="__123Graph_ACURRENT" localSheetId="8" hidden="1">'[1]입찰내역 발주처 양식'!#REF!</definedName>
    <definedName name="__123Graph_ACURRENT" localSheetId="9" hidden="1">'[1]입찰내역 발주처 양식'!#REF!</definedName>
    <definedName name="__123Graph_ACURRENT" localSheetId="10" hidden="1">'[1]입찰내역 발주처 양식'!#REF!</definedName>
    <definedName name="__123Graph_ACURRENT" localSheetId="11" hidden="1">'[1]입찰내역 발주처 양식'!#REF!</definedName>
    <definedName name="__123Graph_ACURRENT" localSheetId="1" hidden="1">'[1]입찰내역 발주처 양식'!#REF!</definedName>
    <definedName name="__123Graph_ACURRENT" hidden="1">'[1]입찰내역 발주처 양식'!#REF!</definedName>
    <definedName name="__123Graph_X" localSheetId="2" hidden="1">'[1]입찰내역 발주처 양식'!#REF!</definedName>
    <definedName name="__123Graph_X" localSheetId="3" hidden="1">'[1]입찰내역 발주처 양식'!#REF!</definedName>
    <definedName name="__123Graph_X" localSheetId="4" hidden="1">'[1]입찰내역 발주처 양식'!#REF!</definedName>
    <definedName name="__123Graph_X" localSheetId="5" hidden="1">'[1]입찰내역 발주처 양식'!#REF!</definedName>
    <definedName name="__123Graph_X" localSheetId="6" hidden="1">'[1]입찰내역 발주처 양식'!#REF!</definedName>
    <definedName name="__123Graph_X" localSheetId="7" hidden="1">'[1]입찰내역 발주처 양식'!#REF!</definedName>
    <definedName name="__123Graph_X" localSheetId="8" hidden="1">'[1]입찰내역 발주처 양식'!#REF!</definedName>
    <definedName name="__123Graph_X" localSheetId="9" hidden="1">'[1]입찰내역 발주처 양식'!#REF!</definedName>
    <definedName name="__123Graph_X" localSheetId="10" hidden="1">'[1]입찰내역 발주처 양식'!#REF!</definedName>
    <definedName name="__123Graph_X" localSheetId="11" hidden="1">'[1]입찰내역 발주처 양식'!#REF!</definedName>
    <definedName name="__123Graph_X" localSheetId="1" hidden="1">'[1]입찰내역 발주처 양식'!#REF!</definedName>
    <definedName name="__123Graph_X" hidden="1">'[1]입찰내역 발주처 양식'!#REF!</definedName>
    <definedName name="__123Graph_XCHART1" localSheetId="2" hidden="1">'[1]입찰내역 발주처 양식'!#REF!</definedName>
    <definedName name="__123Graph_XCHART1" localSheetId="3" hidden="1">'[1]입찰내역 발주처 양식'!#REF!</definedName>
    <definedName name="__123Graph_XCHART1" localSheetId="4" hidden="1">'[1]입찰내역 발주처 양식'!#REF!</definedName>
    <definedName name="__123Graph_XCHART1" localSheetId="5" hidden="1">'[1]입찰내역 발주처 양식'!#REF!</definedName>
    <definedName name="__123Graph_XCHART1" localSheetId="6" hidden="1">'[1]입찰내역 발주처 양식'!#REF!</definedName>
    <definedName name="__123Graph_XCHART1" localSheetId="7" hidden="1">'[1]입찰내역 발주처 양식'!#REF!</definedName>
    <definedName name="__123Graph_XCHART1" localSheetId="8" hidden="1">'[1]입찰내역 발주처 양식'!#REF!</definedName>
    <definedName name="__123Graph_XCHART1" localSheetId="9" hidden="1">'[1]입찰내역 발주처 양식'!#REF!</definedName>
    <definedName name="__123Graph_XCHART1" localSheetId="10" hidden="1">'[1]입찰내역 발주처 양식'!#REF!</definedName>
    <definedName name="__123Graph_XCHART1" localSheetId="11" hidden="1">'[1]입찰내역 발주처 양식'!#REF!</definedName>
    <definedName name="__123Graph_XCHART1" localSheetId="1" hidden="1">'[1]입찰내역 발주처 양식'!#REF!</definedName>
    <definedName name="__123Graph_XCHART1" hidden="1">'[1]입찰내역 발주처 양식'!#REF!</definedName>
    <definedName name="__123Graph_XCURRENT" localSheetId="2" hidden="1">'[1]입찰내역 발주처 양식'!#REF!</definedName>
    <definedName name="__123Graph_XCURRENT" localSheetId="3" hidden="1">'[1]입찰내역 발주처 양식'!#REF!</definedName>
    <definedName name="__123Graph_XCURRENT" localSheetId="4" hidden="1">'[1]입찰내역 발주처 양식'!#REF!</definedName>
    <definedName name="__123Graph_XCURRENT" localSheetId="5" hidden="1">'[1]입찰내역 발주처 양식'!#REF!</definedName>
    <definedName name="__123Graph_XCURRENT" localSheetId="6" hidden="1">'[1]입찰내역 발주처 양식'!#REF!</definedName>
    <definedName name="__123Graph_XCURRENT" localSheetId="7" hidden="1">'[1]입찰내역 발주처 양식'!#REF!</definedName>
    <definedName name="__123Graph_XCURRENT" localSheetId="8" hidden="1">'[1]입찰내역 발주처 양식'!#REF!</definedName>
    <definedName name="__123Graph_XCURRENT" localSheetId="9" hidden="1">'[1]입찰내역 발주처 양식'!#REF!</definedName>
    <definedName name="__123Graph_XCURRENT" localSheetId="10" hidden="1">'[1]입찰내역 발주처 양식'!#REF!</definedName>
    <definedName name="__123Graph_XCURRENT" localSheetId="11" hidden="1">'[1]입찰내역 발주처 양식'!#REF!</definedName>
    <definedName name="__123Graph_XCURRENT" localSheetId="1" hidden="1">'[1]입찰내역 발주처 양식'!#REF!</definedName>
    <definedName name="__123Graph_XCURRENT" hidden="1">'[1]입찰내역 발주처 양식'!#REF!</definedName>
    <definedName name="__IntlFixup" hidden="1">TRUE</definedName>
    <definedName name="_01" localSheetId="2">#REF!</definedName>
    <definedName name="_01" localSheetId="3">#REF!</definedName>
    <definedName name="_01" localSheetId="4">#REF!</definedName>
    <definedName name="_01" localSheetId="5">#REF!</definedName>
    <definedName name="_01" localSheetId="6">#REF!</definedName>
    <definedName name="_01" localSheetId="7">#REF!</definedName>
    <definedName name="_01" localSheetId="8">#REF!</definedName>
    <definedName name="_01" localSheetId="9">#REF!</definedName>
    <definedName name="_01" localSheetId="10">#REF!</definedName>
    <definedName name="_01" localSheetId="11">#REF!</definedName>
    <definedName name="_01" localSheetId="1">#REF!</definedName>
    <definedName name="_01">#REF!</definedName>
    <definedName name="_02" localSheetId="2">#REF!</definedName>
    <definedName name="_02" localSheetId="3">#REF!</definedName>
    <definedName name="_02" localSheetId="4">#REF!</definedName>
    <definedName name="_02" localSheetId="5">#REF!</definedName>
    <definedName name="_02" localSheetId="6">#REF!</definedName>
    <definedName name="_02" localSheetId="7">#REF!</definedName>
    <definedName name="_02" localSheetId="8">#REF!</definedName>
    <definedName name="_02" localSheetId="9">#REF!</definedName>
    <definedName name="_02" localSheetId="10">#REF!</definedName>
    <definedName name="_02" localSheetId="11">#REF!</definedName>
    <definedName name="_02" localSheetId="1">#REF!</definedName>
    <definedName name="_02">#REF!</definedName>
    <definedName name="_03" localSheetId="2">#REF!</definedName>
    <definedName name="_03" localSheetId="3">#REF!</definedName>
    <definedName name="_03" localSheetId="4">#REF!</definedName>
    <definedName name="_03" localSheetId="5">#REF!</definedName>
    <definedName name="_03" localSheetId="6">#REF!</definedName>
    <definedName name="_03" localSheetId="7">#REF!</definedName>
    <definedName name="_03" localSheetId="8">#REF!</definedName>
    <definedName name="_03" localSheetId="9">#REF!</definedName>
    <definedName name="_03" localSheetId="10">#REF!</definedName>
    <definedName name="_03" localSheetId="11">#REF!</definedName>
    <definedName name="_03" localSheetId="1">#REF!</definedName>
    <definedName name="_03">#REF!</definedName>
    <definedName name="_04" localSheetId="2">#REF!</definedName>
    <definedName name="_04" localSheetId="3">#REF!</definedName>
    <definedName name="_04" localSheetId="4">#REF!</definedName>
    <definedName name="_04" localSheetId="5">#REF!</definedName>
    <definedName name="_04" localSheetId="6">#REF!</definedName>
    <definedName name="_04" localSheetId="7">#REF!</definedName>
    <definedName name="_04" localSheetId="8">#REF!</definedName>
    <definedName name="_04" localSheetId="9">#REF!</definedName>
    <definedName name="_04" localSheetId="10">#REF!</definedName>
    <definedName name="_04" localSheetId="11">#REF!</definedName>
    <definedName name="_04" localSheetId="1">#REF!</definedName>
    <definedName name="_04">#REF!</definedName>
    <definedName name="_05" localSheetId="2">#REF!</definedName>
    <definedName name="_05" localSheetId="3">#REF!</definedName>
    <definedName name="_05" localSheetId="4">#REF!</definedName>
    <definedName name="_05" localSheetId="5">#REF!</definedName>
    <definedName name="_05" localSheetId="6">#REF!</definedName>
    <definedName name="_05" localSheetId="7">#REF!</definedName>
    <definedName name="_05" localSheetId="8">#REF!</definedName>
    <definedName name="_05" localSheetId="9">#REF!</definedName>
    <definedName name="_05" localSheetId="10">#REF!</definedName>
    <definedName name="_05" localSheetId="11">#REF!</definedName>
    <definedName name="_05" localSheetId="1">#REF!</definedName>
    <definedName name="_05">#REF!</definedName>
    <definedName name="_06" localSheetId="2">#REF!</definedName>
    <definedName name="_06" localSheetId="3">#REF!</definedName>
    <definedName name="_06" localSheetId="4">#REF!</definedName>
    <definedName name="_06" localSheetId="5">#REF!</definedName>
    <definedName name="_06" localSheetId="6">#REF!</definedName>
    <definedName name="_06" localSheetId="7">#REF!</definedName>
    <definedName name="_06" localSheetId="8">#REF!</definedName>
    <definedName name="_06" localSheetId="9">#REF!</definedName>
    <definedName name="_06" localSheetId="10">#REF!</definedName>
    <definedName name="_06" localSheetId="11">#REF!</definedName>
    <definedName name="_06" localSheetId="1">#REF!</definedName>
    <definedName name="_06">#REF!</definedName>
    <definedName name="_07" localSheetId="2">#REF!</definedName>
    <definedName name="_07" localSheetId="3">#REF!</definedName>
    <definedName name="_07" localSheetId="4">#REF!</definedName>
    <definedName name="_07" localSheetId="5">#REF!</definedName>
    <definedName name="_07" localSheetId="6">#REF!</definedName>
    <definedName name="_07" localSheetId="7">#REF!</definedName>
    <definedName name="_07" localSheetId="8">#REF!</definedName>
    <definedName name="_07" localSheetId="9">#REF!</definedName>
    <definedName name="_07" localSheetId="10">#REF!</definedName>
    <definedName name="_07" localSheetId="11">#REF!</definedName>
    <definedName name="_07" localSheetId="1">#REF!</definedName>
    <definedName name="_07">#REF!</definedName>
    <definedName name="_08" localSheetId="2">#REF!</definedName>
    <definedName name="_08" localSheetId="3">#REF!</definedName>
    <definedName name="_08" localSheetId="4">#REF!</definedName>
    <definedName name="_08" localSheetId="5">#REF!</definedName>
    <definedName name="_08" localSheetId="6">#REF!</definedName>
    <definedName name="_08" localSheetId="7">#REF!</definedName>
    <definedName name="_08" localSheetId="8">#REF!</definedName>
    <definedName name="_08" localSheetId="9">#REF!</definedName>
    <definedName name="_08" localSheetId="10">#REF!</definedName>
    <definedName name="_08" localSheetId="11">#REF!</definedName>
    <definedName name="_08" localSheetId="1">#REF!</definedName>
    <definedName name="_08">#REF!</definedName>
    <definedName name="_09" localSheetId="2">#REF!</definedName>
    <definedName name="_09" localSheetId="3">#REF!</definedName>
    <definedName name="_09" localSheetId="4">#REF!</definedName>
    <definedName name="_09" localSheetId="5">#REF!</definedName>
    <definedName name="_09" localSheetId="6">#REF!</definedName>
    <definedName name="_09" localSheetId="7">#REF!</definedName>
    <definedName name="_09" localSheetId="8">#REF!</definedName>
    <definedName name="_09" localSheetId="9">#REF!</definedName>
    <definedName name="_09" localSheetId="10">#REF!</definedName>
    <definedName name="_09" localSheetId="11">#REF!</definedName>
    <definedName name="_09" localSheetId="1">#REF!</definedName>
    <definedName name="_09">#REF!</definedName>
    <definedName name="_1" localSheetId="2">#REF!</definedName>
    <definedName name="_1" localSheetId="3">#REF!</definedName>
    <definedName name="_1" localSheetId="4">#REF!</definedName>
    <definedName name="_1" localSheetId="5">#REF!</definedName>
    <definedName name="_1" localSheetId="6">#REF!</definedName>
    <definedName name="_1" localSheetId="7">#REF!</definedName>
    <definedName name="_1" localSheetId="8">#REF!</definedName>
    <definedName name="_1" localSheetId="9">#REF!</definedName>
    <definedName name="_1" localSheetId="10">#REF!</definedName>
    <definedName name="_1" localSheetId="11">#REF!</definedName>
    <definedName name="_1" localSheetId="1">#REF!</definedName>
    <definedName name="_1">#REF!</definedName>
    <definedName name="_1__123Graph_ACHART_12" localSheetId="2" hidden="1">[2]Demand!#REF!</definedName>
    <definedName name="_1__123Graph_ACHART_12" localSheetId="3" hidden="1">[2]Demand!#REF!</definedName>
    <definedName name="_1__123Graph_ACHART_12" localSheetId="4" hidden="1">[2]Demand!#REF!</definedName>
    <definedName name="_1__123Graph_ACHART_12" localSheetId="5" hidden="1">[2]Demand!#REF!</definedName>
    <definedName name="_1__123Graph_ACHART_12" localSheetId="6" hidden="1">[2]Demand!#REF!</definedName>
    <definedName name="_1__123Graph_ACHART_12" localSheetId="7" hidden="1">[2]Demand!#REF!</definedName>
    <definedName name="_1__123Graph_ACHART_12" localSheetId="8" hidden="1">[2]Demand!#REF!</definedName>
    <definedName name="_1__123Graph_ACHART_12" localSheetId="9" hidden="1">[2]Demand!#REF!</definedName>
    <definedName name="_1__123Graph_ACHART_12" localSheetId="10" hidden="1">[2]Demand!#REF!</definedName>
    <definedName name="_1__123Graph_ACHART_12" localSheetId="11" hidden="1">[2]Demand!#REF!</definedName>
    <definedName name="_1__123Graph_ACHART_12" localSheetId="1" hidden="1">[2]Demand!#REF!</definedName>
    <definedName name="_1__123Graph_ACHART_12" hidden="1">[2]Demand!#REF!</definedName>
    <definedName name="_10" localSheetId="2">#REF!</definedName>
    <definedName name="_10" localSheetId="3">#REF!</definedName>
    <definedName name="_10" localSheetId="4">#REF!</definedName>
    <definedName name="_10" localSheetId="5">#REF!</definedName>
    <definedName name="_10" localSheetId="6">#REF!</definedName>
    <definedName name="_10" localSheetId="7">#REF!</definedName>
    <definedName name="_10" localSheetId="8">#REF!</definedName>
    <definedName name="_10" localSheetId="9">#REF!</definedName>
    <definedName name="_10" localSheetId="10">#REF!</definedName>
    <definedName name="_10" localSheetId="11">#REF!</definedName>
    <definedName name="_10" localSheetId="1">#REF!</definedName>
    <definedName name="_10">#REF!</definedName>
    <definedName name="_10__123Graph_ACHART_18" localSheetId="2" hidden="1">[2]Demand!#REF!</definedName>
    <definedName name="_10__123Graph_ACHART_18" localSheetId="3" hidden="1">[2]Demand!#REF!</definedName>
    <definedName name="_10__123Graph_ACHART_18" localSheetId="4" hidden="1">[2]Demand!#REF!</definedName>
    <definedName name="_10__123Graph_ACHART_18" localSheetId="5" hidden="1">[2]Demand!#REF!</definedName>
    <definedName name="_10__123Graph_ACHART_18" localSheetId="6" hidden="1">[2]Demand!#REF!</definedName>
    <definedName name="_10__123Graph_ACHART_18" localSheetId="7" hidden="1">[2]Demand!#REF!</definedName>
    <definedName name="_10__123Graph_ACHART_18" localSheetId="8" hidden="1">[2]Demand!#REF!</definedName>
    <definedName name="_10__123Graph_ACHART_18" localSheetId="9" hidden="1">[2]Demand!#REF!</definedName>
    <definedName name="_10__123Graph_ACHART_18" localSheetId="10" hidden="1">[2]Demand!#REF!</definedName>
    <definedName name="_10__123Graph_ACHART_18" localSheetId="11" hidden="1">[2]Demand!#REF!</definedName>
    <definedName name="_10__123Graph_ACHART_18" localSheetId="1" hidden="1">[2]Demand!#REF!</definedName>
    <definedName name="_10__123Graph_ACHART_18" hidden="1">[2]Demand!#REF!</definedName>
    <definedName name="_10__123Graph_BCHART_16" localSheetId="2" hidden="1">[2]Occ!#REF!</definedName>
    <definedName name="_10__123Graph_BCHART_16" localSheetId="3" hidden="1">[2]Occ!#REF!</definedName>
    <definedName name="_10__123Graph_BCHART_16" localSheetId="4" hidden="1">[2]Occ!#REF!</definedName>
    <definedName name="_10__123Graph_BCHART_16" localSheetId="5" hidden="1">[2]Occ!#REF!</definedName>
    <definedName name="_10__123Graph_BCHART_16" localSheetId="6" hidden="1">[2]Occ!#REF!</definedName>
    <definedName name="_10__123Graph_BCHART_16" localSheetId="7" hidden="1">[2]Occ!#REF!</definedName>
    <definedName name="_10__123Graph_BCHART_16" localSheetId="8" hidden="1">[2]Occ!#REF!</definedName>
    <definedName name="_10__123Graph_BCHART_16" localSheetId="9" hidden="1">[2]Occ!#REF!</definedName>
    <definedName name="_10__123Graph_BCHART_16" localSheetId="10" hidden="1">[2]Occ!#REF!</definedName>
    <definedName name="_10__123Graph_BCHART_16" localSheetId="11" hidden="1">[2]Occ!#REF!</definedName>
    <definedName name="_10__123Graph_BCHART_16" localSheetId="1" hidden="1">[2]Occ!#REF!</definedName>
    <definedName name="_10__123Graph_BCHART_16" hidden="1">[2]Occ!#REF!</definedName>
    <definedName name="_11" localSheetId="2">#REF!</definedName>
    <definedName name="_11" localSheetId="3">#REF!</definedName>
    <definedName name="_11" localSheetId="4">#REF!</definedName>
    <definedName name="_11" localSheetId="5">#REF!</definedName>
    <definedName name="_11" localSheetId="6">#REF!</definedName>
    <definedName name="_11" localSheetId="7">#REF!</definedName>
    <definedName name="_11" localSheetId="8">#REF!</definedName>
    <definedName name="_11" localSheetId="9">#REF!</definedName>
    <definedName name="_11" localSheetId="10">#REF!</definedName>
    <definedName name="_11" localSheetId="11">#REF!</definedName>
    <definedName name="_11" localSheetId="1">#REF!</definedName>
    <definedName name="_11">#REF!</definedName>
    <definedName name="_11__123Graph_BCHART_17" localSheetId="2" hidden="1">[2]Occ!#REF!</definedName>
    <definedName name="_11__123Graph_BCHART_17" localSheetId="3" hidden="1">[2]Occ!#REF!</definedName>
    <definedName name="_11__123Graph_BCHART_17" localSheetId="4" hidden="1">[2]Occ!#REF!</definedName>
    <definedName name="_11__123Graph_BCHART_17" localSheetId="5" hidden="1">[2]Occ!#REF!</definedName>
    <definedName name="_11__123Graph_BCHART_17" localSheetId="6" hidden="1">[2]Occ!#REF!</definedName>
    <definedName name="_11__123Graph_BCHART_17" localSheetId="7" hidden="1">[2]Occ!#REF!</definedName>
    <definedName name="_11__123Graph_BCHART_17" localSheetId="8" hidden="1">[2]Occ!#REF!</definedName>
    <definedName name="_11__123Graph_BCHART_17" localSheetId="9" hidden="1">[2]Occ!#REF!</definedName>
    <definedName name="_11__123Graph_BCHART_17" localSheetId="10" hidden="1">[2]Occ!#REF!</definedName>
    <definedName name="_11__123Graph_BCHART_17" localSheetId="11" hidden="1">[2]Occ!#REF!</definedName>
    <definedName name="_11__123Graph_BCHART_17" localSheetId="1" hidden="1">[2]Occ!#REF!</definedName>
    <definedName name="_11__123Graph_BCHART_17" hidden="1">[2]Occ!#REF!</definedName>
    <definedName name="_12" localSheetId="2">#REF!</definedName>
    <definedName name="_12" localSheetId="3">#REF!</definedName>
    <definedName name="_12" localSheetId="4">#REF!</definedName>
    <definedName name="_12" localSheetId="5">#REF!</definedName>
    <definedName name="_12" localSheetId="6">#REF!</definedName>
    <definedName name="_12" localSheetId="7">#REF!</definedName>
    <definedName name="_12" localSheetId="8">#REF!</definedName>
    <definedName name="_12" localSheetId="9">#REF!</definedName>
    <definedName name="_12" localSheetId="10">#REF!</definedName>
    <definedName name="_12" localSheetId="11">#REF!</definedName>
    <definedName name="_12" localSheetId="1">#REF!</definedName>
    <definedName name="_12">#REF!</definedName>
    <definedName name="_12__123Graph_ACHART_19" localSheetId="2" hidden="1">[2]Demand!#REF!</definedName>
    <definedName name="_12__123Graph_ACHART_19" localSheetId="3" hidden="1">[2]Demand!#REF!</definedName>
    <definedName name="_12__123Graph_ACHART_19" localSheetId="4" hidden="1">[2]Demand!#REF!</definedName>
    <definedName name="_12__123Graph_ACHART_19" localSheetId="5" hidden="1">[2]Demand!#REF!</definedName>
    <definedName name="_12__123Graph_ACHART_19" localSheetId="6" hidden="1">[2]Demand!#REF!</definedName>
    <definedName name="_12__123Graph_ACHART_19" localSheetId="7" hidden="1">[2]Demand!#REF!</definedName>
    <definedName name="_12__123Graph_ACHART_19" localSheetId="8" hidden="1">[2]Demand!#REF!</definedName>
    <definedName name="_12__123Graph_ACHART_19" localSheetId="9" hidden="1">[2]Demand!#REF!</definedName>
    <definedName name="_12__123Graph_ACHART_19" localSheetId="10" hidden="1">[2]Demand!#REF!</definedName>
    <definedName name="_12__123Graph_ACHART_19" localSheetId="11" hidden="1">[2]Demand!#REF!</definedName>
    <definedName name="_12__123Graph_ACHART_19" localSheetId="1" hidden="1">[2]Demand!#REF!</definedName>
    <definedName name="_12__123Graph_ACHART_19" hidden="1">[2]Demand!#REF!</definedName>
    <definedName name="_12__123Graph_BCHART_22" localSheetId="2" hidden="1">[2]Occ!#REF!</definedName>
    <definedName name="_12__123Graph_BCHART_22" localSheetId="3" hidden="1">[2]Occ!#REF!</definedName>
    <definedName name="_12__123Graph_BCHART_22" localSheetId="4" hidden="1">[2]Occ!#REF!</definedName>
    <definedName name="_12__123Graph_BCHART_22" localSheetId="5" hidden="1">[2]Occ!#REF!</definedName>
    <definedName name="_12__123Graph_BCHART_22" localSheetId="6" hidden="1">[2]Occ!#REF!</definedName>
    <definedName name="_12__123Graph_BCHART_22" localSheetId="7" hidden="1">[2]Occ!#REF!</definedName>
    <definedName name="_12__123Graph_BCHART_22" localSheetId="8" hidden="1">[2]Occ!#REF!</definedName>
    <definedName name="_12__123Graph_BCHART_22" localSheetId="9" hidden="1">[2]Occ!#REF!</definedName>
    <definedName name="_12__123Graph_BCHART_22" localSheetId="10" hidden="1">[2]Occ!#REF!</definedName>
    <definedName name="_12__123Graph_BCHART_22" localSheetId="11" hidden="1">[2]Occ!#REF!</definedName>
    <definedName name="_12__123Graph_BCHART_22" localSheetId="1" hidden="1">[2]Occ!#REF!</definedName>
    <definedName name="_12__123Graph_BCHART_22" hidden="1">[2]Occ!#REF!</definedName>
    <definedName name="_13" localSheetId="2">#REF!</definedName>
    <definedName name="_13" localSheetId="3">#REF!</definedName>
    <definedName name="_13" localSheetId="4">#REF!</definedName>
    <definedName name="_13" localSheetId="5">#REF!</definedName>
    <definedName name="_13" localSheetId="6">#REF!</definedName>
    <definedName name="_13" localSheetId="7">#REF!</definedName>
    <definedName name="_13" localSheetId="8">#REF!</definedName>
    <definedName name="_13" localSheetId="9">#REF!</definedName>
    <definedName name="_13" localSheetId="10">#REF!</definedName>
    <definedName name="_13" localSheetId="11">#REF!</definedName>
    <definedName name="_13" localSheetId="1">#REF!</definedName>
    <definedName name="_13">#REF!</definedName>
    <definedName name="_13__123Graph_CCHART_15" localSheetId="2" hidden="1">[2]Occ!#REF!</definedName>
    <definedName name="_13__123Graph_CCHART_15" localSheetId="3" hidden="1">[2]Occ!#REF!</definedName>
    <definedName name="_13__123Graph_CCHART_15" localSheetId="4" hidden="1">[2]Occ!#REF!</definedName>
    <definedName name="_13__123Graph_CCHART_15" localSheetId="5" hidden="1">[2]Occ!#REF!</definedName>
    <definedName name="_13__123Graph_CCHART_15" localSheetId="6" hidden="1">[2]Occ!#REF!</definedName>
    <definedName name="_13__123Graph_CCHART_15" localSheetId="7" hidden="1">[2]Occ!#REF!</definedName>
    <definedName name="_13__123Graph_CCHART_15" localSheetId="8" hidden="1">[2]Occ!#REF!</definedName>
    <definedName name="_13__123Graph_CCHART_15" localSheetId="9" hidden="1">[2]Occ!#REF!</definedName>
    <definedName name="_13__123Graph_CCHART_15" localSheetId="10" hidden="1">[2]Occ!#REF!</definedName>
    <definedName name="_13__123Graph_CCHART_15" localSheetId="11" hidden="1">[2]Occ!#REF!</definedName>
    <definedName name="_13__123Graph_CCHART_15" localSheetId="1" hidden="1">[2]Occ!#REF!</definedName>
    <definedName name="_13__123Graph_CCHART_15" hidden="1">[2]Occ!#REF!</definedName>
    <definedName name="_14" localSheetId="2">#REF!</definedName>
    <definedName name="_14" localSheetId="3">#REF!</definedName>
    <definedName name="_14" localSheetId="4">#REF!</definedName>
    <definedName name="_14" localSheetId="5">#REF!</definedName>
    <definedName name="_14" localSheetId="6">#REF!</definedName>
    <definedName name="_14" localSheetId="7">#REF!</definedName>
    <definedName name="_14" localSheetId="8">#REF!</definedName>
    <definedName name="_14" localSheetId="9">#REF!</definedName>
    <definedName name="_14" localSheetId="10">#REF!</definedName>
    <definedName name="_14" localSheetId="11">#REF!</definedName>
    <definedName name="_14" localSheetId="1">#REF!</definedName>
    <definedName name="_14">#REF!</definedName>
    <definedName name="_14__123Graph_ACHART_21" localSheetId="2" hidden="1">[2]Occ!#REF!</definedName>
    <definedName name="_14__123Graph_ACHART_21" localSheetId="3" hidden="1">[2]Occ!#REF!</definedName>
    <definedName name="_14__123Graph_ACHART_21" localSheetId="4" hidden="1">[2]Occ!#REF!</definedName>
    <definedName name="_14__123Graph_ACHART_21" localSheetId="5" hidden="1">[2]Occ!#REF!</definedName>
    <definedName name="_14__123Graph_ACHART_21" localSheetId="6" hidden="1">[2]Occ!#REF!</definedName>
    <definedName name="_14__123Graph_ACHART_21" localSheetId="7" hidden="1">[2]Occ!#REF!</definedName>
    <definedName name="_14__123Graph_ACHART_21" localSheetId="8" hidden="1">[2]Occ!#REF!</definedName>
    <definedName name="_14__123Graph_ACHART_21" localSheetId="9" hidden="1">[2]Occ!#REF!</definedName>
    <definedName name="_14__123Graph_ACHART_21" localSheetId="10" hidden="1">[2]Occ!#REF!</definedName>
    <definedName name="_14__123Graph_ACHART_21" localSheetId="11" hidden="1">[2]Occ!#REF!</definedName>
    <definedName name="_14__123Graph_ACHART_21" localSheetId="1" hidden="1">[2]Occ!#REF!</definedName>
    <definedName name="_14__123Graph_ACHART_21" hidden="1">[2]Occ!#REF!</definedName>
    <definedName name="_14__123Graph_CCHART_16" localSheetId="2" hidden="1">[2]Occ!#REF!</definedName>
    <definedName name="_14__123Graph_CCHART_16" localSheetId="3" hidden="1">[2]Occ!#REF!</definedName>
    <definedName name="_14__123Graph_CCHART_16" localSheetId="4" hidden="1">[2]Occ!#REF!</definedName>
    <definedName name="_14__123Graph_CCHART_16" localSheetId="5" hidden="1">[2]Occ!#REF!</definedName>
    <definedName name="_14__123Graph_CCHART_16" localSheetId="6" hidden="1">[2]Occ!#REF!</definedName>
    <definedName name="_14__123Graph_CCHART_16" localSheetId="7" hidden="1">[2]Occ!#REF!</definedName>
    <definedName name="_14__123Graph_CCHART_16" localSheetId="8" hidden="1">[2]Occ!#REF!</definedName>
    <definedName name="_14__123Graph_CCHART_16" localSheetId="9" hidden="1">[2]Occ!#REF!</definedName>
    <definedName name="_14__123Graph_CCHART_16" localSheetId="10" hidden="1">[2]Occ!#REF!</definedName>
    <definedName name="_14__123Graph_CCHART_16" localSheetId="11" hidden="1">[2]Occ!#REF!</definedName>
    <definedName name="_14__123Graph_CCHART_16" localSheetId="1" hidden="1">[2]Occ!#REF!</definedName>
    <definedName name="_14__123Graph_CCHART_16" hidden="1">[2]Occ!#REF!</definedName>
    <definedName name="_15" localSheetId="2">#REF!</definedName>
    <definedName name="_15" localSheetId="3">#REF!</definedName>
    <definedName name="_15" localSheetId="4">#REF!</definedName>
    <definedName name="_15" localSheetId="5">#REF!</definedName>
    <definedName name="_15" localSheetId="6">#REF!</definedName>
    <definedName name="_15" localSheetId="7">#REF!</definedName>
    <definedName name="_15" localSheetId="8">#REF!</definedName>
    <definedName name="_15" localSheetId="9">#REF!</definedName>
    <definedName name="_15" localSheetId="10">#REF!</definedName>
    <definedName name="_15" localSheetId="11">#REF!</definedName>
    <definedName name="_15" localSheetId="1">#REF!</definedName>
    <definedName name="_15">#REF!</definedName>
    <definedName name="_15__123Graph_CCHART_17" localSheetId="2" hidden="1">[2]Occ!#REF!</definedName>
    <definedName name="_15__123Graph_CCHART_17" localSheetId="3" hidden="1">[2]Occ!#REF!</definedName>
    <definedName name="_15__123Graph_CCHART_17" localSheetId="4" hidden="1">[2]Occ!#REF!</definedName>
    <definedName name="_15__123Graph_CCHART_17" localSheetId="5" hidden="1">[2]Occ!#REF!</definedName>
    <definedName name="_15__123Graph_CCHART_17" localSheetId="6" hidden="1">[2]Occ!#REF!</definedName>
    <definedName name="_15__123Graph_CCHART_17" localSheetId="7" hidden="1">[2]Occ!#REF!</definedName>
    <definedName name="_15__123Graph_CCHART_17" localSheetId="8" hidden="1">[2]Occ!#REF!</definedName>
    <definedName name="_15__123Graph_CCHART_17" localSheetId="9" hidden="1">[2]Occ!#REF!</definedName>
    <definedName name="_15__123Graph_CCHART_17" localSheetId="10" hidden="1">[2]Occ!#REF!</definedName>
    <definedName name="_15__123Graph_CCHART_17" localSheetId="11" hidden="1">[2]Occ!#REF!</definedName>
    <definedName name="_15__123Graph_CCHART_17" localSheetId="1" hidden="1">[2]Occ!#REF!</definedName>
    <definedName name="_15__123Graph_CCHART_17" hidden="1">[2]Occ!#REF!</definedName>
    <definedName name="_16" localSheetId="2">#REF!</definedName>
    <definedName name="_16" localSheetId="3">#REF!</definedName>
    <definedName name="_16" localSheetId="4">#REF!</definedName>
    <definedName name="_16" localSheetId="5">#REF!</definedName>
    <definedName name="_16" localSheetId="6">#REF!</definedName>
    <definedName name="_16" localSheetId="7">#REF!</definedName>
    <definedName name="_16" localSheetId="8">#REF!</definedName>
    <definedName name="_16" localSheetId="9">#REF!</definedName>
    <definedName name="_16" localSheetId="10">#REF!</definedName>
    <definedName name="_16" localSheetId="11">#REF!</definedName>
    <definedName name="_16" localSheetId="1">#REF!</definedName>
    <definedName name="_16">#REF!</definedName>
    <definedName name="_16__123Graph_ASEG_PIE" localSheetId="2" hidden="1">[2]Demand!#REF!</definedName>
    <definedName name="_16__123Graph_ASEG_PIE" localSheetId="3" hidden="1">[2]Demand!#REF!</definedName>
    <definedName name="_16__123Graph_ASEG_PIE" localSheetId="4" hidden="1">[2]Demand!#REF!</definedName>
    <definedName name="_16__123Graph_ASEG_PIE" localSheetId="5" hidden="1">[2]Demand!#REF!</definedName>
    <definedName name="_16__123Graph_ASEG_PIE" localSheetId="6" hidden="1">[2]Demand!#REF!</definedName>
    <definedName name="_16__123Graph_ASEG_PIE" localSheetId="7" hidden="1">[2]Demand!#REF!</definedName>
    <definedName name="_16__123Graph_ASEG_PIE" localSheetId="8" hidden="1">[2]Demand!#REF!</definedName>
    <definedName name="_16__123Graph_ASEG_PIE" localSheetId="9" hidden="1">[2]Demand!#REF!</definedName>
    <definedName name="_16__123Graph_ASEG_PIE" localSheetId="10" hidden="1">[2]Demand!#REF!</definedName>
    <definedName name="_16__123Graph_ASEG_PIE" localSheetId="11" hidden="1">[2]Demand!#REF!</definedName>
    <definedName name="_16__123Graph_ASEG_PIE" localSheetId="1" hidden="1">[2]Demand!#REF!</definedName>
    <definedName name="_16__123Graph_ASEG_PIE" hidden="1">[2]Demand!#REF!</definedName>
    <definedName name="_16__123Graph_CCHART_22" localSheetId="2" hidden="1">[2]Occ!#REF!</definedName>
    <definedName name="_16__123Graph_CCHART_22" localSheetId="3" hidden="1">[2]Occ!#REF!</definedName>
    <definedName name="_16__123Graph_CCHART_22" localSheetId="4" hidden="1">[2]Occ!#REF!</definedName>
    <definedName name="_16__123Graph_CCHART_22" localSheetId="5" hidden="1">[2]Occ!#REF!</definedName>
    <definedName name="_16__123Graph_CCHART_22" localSheetId="6" hidden="1">[2]Occ!#REF!</definedName>
    <definedName name="_16__123Graph_CCHART_22" localSheetId="7" hidden="1">[2]Occ!#REF!</definedName>
    <definedName name="_16__123Graph_CCHART_22" localSheetId="8" hidden="1">[2]Occ!#REF!</definedName>
    <definedName name="_16__123Graph_CCHART_22" localSheetId="9" hidden="1">[2]Occ!#REF!</definedName>
    <definedName name="_16__123Graph_CCHART_22" localSheetId="10" hidden="1">[2]Occ!#REF!</definedName>
    <definedName name="_16__123Graph_CCHART_22" localSheetId="11" hidden="1">[2]Occ!#REF!</definedName>
    <definedName name="_16__123Graph_CCHART_22" localSheetId="1" hidden="1">[2]Occ!#REF!</definedName>
    <definedName name="_16__123Graph_CCHART_22" hidden="1">[2]Occ!#REF!</definedName>
    <definedName name="_17" localSheetId="2">#REF!</definedName>
    <definedName name="_17" localSheetId="3">#REF!</definedName>
    <definedName name="_17" localSheetId="4">#REF!</definedName>
    <definedName name="_17" localSheetId="5">#REF!</definedName>
    <definedName name="_17" localSheetId="6">#REF!</definedName>
    <definedName name="_17" localSheetId="7">#REF!</definedName>
    <definedName name="_17" localSheetId="8">#REF!</definedName>
    <definedName name="_17" localSheetId="9">#REF!</definedName>
    <definedName name="_17" localSheetId="10">#REF!</definedName>
    <definedName name="_17" localSheetId="11">#REF!</definedName>
    <definedName name="_17" localSheetId="1">#REF!</definedName>
    <definedName name="_17">#REF!</definedName>
    <definedName name="_17__123Graph_CSEG_PIE" localSheetId="2" hidden="1">[2]Demand!#REF!</definedName>
    <definedName name="_17__123Graph_CSEG_PIE" localSheetId="3" hidden="1">[2]Demand!#REF!</definedName>
    <definedName name="_17__123Graph_CSEG_PIE" localSheetId="4" hidden="1">[2]Demand!#REF!</definedName>
    <definedName name="_17__123Graph_CSEG_PIE" localSheetId="5" hidden="1">[2]Demand!#REF!</definedName>
    <definedName name="_17__123Graph_CSEG_PIE" localSheetId="6" hidden="1">[2]Demand!#REF!</definedName>
    <definedName name="_17__123Graph_CSEG_PIE" localSheetId="7" hidden="1">[2]Demand!#REF!</definedName>
    <definedName name="_17__123Graph_CSEG_PIE" localSheetId="8" hidden="1">[2]Demand!#REF!</definedName>
    <definedName name="_17__123Graph_CSEG_PIE" localSheetId="9" hidden="1">[2]Demand!#REF!</definedName>
    <definedName name="_17__123Graph_CSEG_PIE" localSheetId="10" hidden="1">[2]Demand!#REF!</definedName>
    <definedName name="_17__123Graph_CSEG_PIE" localSheetId="11" hidden="1">[2]Demand!#REF!</definedName>
    <definedName name="_17__123Graph_CSEG_PIE" localSheetId="1" hidden="1">[2]Demand!#REF!</definedName>
    <definedName name="_17__123Graph_CSEG_PIE" hidden="1">[2]Demand!#REF!</definedName>
    <definedName name="_18" localSheetId="2">#REF!</definedName>
    <definedName name="_18" localSheetId="3">#REF!</definedName>
    <definedName name="_18" localSheetId="4">#REF!</definedName>
    <definedName name="_18" localSheetId="5">#REF!</definedName>
    <definedName name="_18" localSheetId="6">#REF!</definedName>
    <definedName name="_18" localSheetId="7">#REF!</definedName>
    <definedName name="_18" localSheetId="8">#REF!</definedName>
    <definedName name="_18" localSheetId="9">#REF!</definedName>
    <definedName name="_18" localSheetId="10">#REF!</definedName>
    <definedName name="_18" localSheetId="11">#REF!</definedName>
    <definedName name="_18" localSheetId="1">#REF!</definedName>
    <definedName name="_18">#REF!</definedName>
    <definedName name="_18__123Graph_BCHART_15" localSheetId="2" hidden="1">[2]Occ!#REF!</definedName>
    <definedName name="_18__123Graph_BCHART_15" localSheetId="3" hidden="1">[2]Occ!#REF!</definedName>
    <definedName name="_18__123Graph_BCHART_15" localSheetId="4" hidden="1">[2]Occ!#REF!</definedName>
    <definedName name="_18__123Graph_BCHART_15" localSheetId="5" hidden="1">[2]Occ!#REF!</definedName>
    <definedName name="_18__123Graph_BCHART_15" localSheetId="6" hidden="1">[2]Occ!#REF!</definedName>
    <definedName name="_18__123Graph_BCHART_15" localSheetId="7" hidden="1">[2]Occ!#REF!</definedName>
    <definedName name="_18__123Graph_BCHART_15" localSheetId="8" hidden="1">[2]Occ!#REF!</definedName>
    <definedName name="_18__123Graph_BCHART_15" localSheetId="9" hidden="1">[2]Occ!#REF!</definedName>
    <definedName name="_18__123Graph_BCHART_15" localSheetId="10" hidden="1">[2]Occ!#REF!</definedName>
    <definedName name="_18__123Graph_BCHART_15" localSheetId="11" hidden="1">[2]Occ!#REF!</definedName>
    <definedName name="_18__123Graph_BCHART_15" localSheetId="1" hidden="1">[2]Occ!#REF!</definedName>
    <definedName name="_18__123Graph_BCHART_15" hidden="1">[2]Occ!#REF!</definedName>
    <definedName name="_18__123Graph_DCHART_15" localSheetId="2" hidden="1">[2]Occ!#REF!</definedName>
    <definedName name="_18__123Graph_DCHART_15" localSheetId="3" hidden="1">[2]Occ!#REF!</definedName>
    <definedName name="_18__123Graph_DCHART_15" localSheetId="4" hidden="1">[2]Occ!#REF!</definedName>
    <definedName name="_18__123Graph_DCHART_15" localSheetId="5" hidden="1">[2]Occ!#REF!</definedName>
    <definedName name="_18__123Graph_DCHART_15" localSheetId="6" hidden="1">[2]Occ!#REF!</definedName>
    <definedName name="_18__123Graph_DCHART_15" localSheetId="7" hidden="1">[2]Occ!#REF!</definedName>
    <definedName name="_18__123Graph_DCHART_15" localSheetId="8" hidden="1">[2]Occ!#REF!</definedName>
    <definedName name="_18__123Graph_DCHART_15" localSheetId="9" hidden="1">[2]Occ!#REF!</definedName>
    <definedName name="_18__123Graph_DCHART_15" localSheetId="10" hidden="1">[2]Occ!#REF!</definedName>
    <definedName name="_18__123Graph_DCHART_15" localSheetId="11" hidden="1">[2]Occ!#REF!</definedName>
    <definedName name="_18__123Graph_DCHART_15" localSheetId="1" hidden="1">[2]Occ!#REF!</definedName>
    <definedName name="_18__123Graph_DCHART_15" hidden="1">[2]Occ!#REF!</definedName>
    <definedName name="_19" localSheetId="2">#REF!</definedName>
    <definedName name="_19" localSheetId="3">#REF!</definedName>
    <definedName name="_19" localSheetId="4">#REF!</definedName>
    <definedName name="_19" localSheetId="5">#REF!</definedName>
    <definedName name="_19" localSheetId="6">#REF!</definedName>
    <definedName name="_19" localSheetId="7">#REF!</definedName>
    <definedName name="_19" localSheetId="8">#REF!</definedName>
    <definedName name="_19" localSheetId="9">#REF!</definedName>
    <definedName name="_19" localSheetId="10">#REF!</definedName>
    <definedName name="_19" localSheetId="11">#REF!</definedName>
    <definedName name="_19" localSheetId="1">#REF!</definedName>
    <definedName name="_19">#REF!</definedName>
    <definedName name="_19__123Graph_DCHART_16" localSheetId="2" hidden="1">[2]Occ!#REF!</definedName>
    <definedName name="_19__123Graph_DCHART_16" localSheetId="3" hidden="1">[2]Occ!#REF!</definedName>
    <definedName name="_19__123Graph_DCHART_16" localSheetId="4" hidden="1">[2]Occ!#REF!</definedName>
    <definedName name="_19__123Graph_DCHART_16" localSheetId="5" hidden="1">[2]Occ!#REF!</definedName>
    <definedName name="_19__123Graph_DCHART_16" localSheetId="6" hidden="1">[2]Occ!#REF!</definedName>
    <definedName name="_19__123Graph_DCHART_16" localSheetId="7" hidden="1">[2]Occ!#REF!</definedName>
    <definedName name="_19__123Graph_DCHART_16" localSheetId="8" hidden="1">[2]Occ!#REF!</definedName>
    <definedName name="_19__123Graph_DCHART_16" localSheetId="9" hidden="1">[2]Occ!#REF!</definedName>
    <definedName name="_19__123Graph_DCHART_16" localSheetId="10" hidden="1">[2]Occ!#REF!</definedName>
    <definedName name="_19__123Graph_DCHART_16" localSheetId="11" hidden="1">[2]Occ!#REF!</definedName>
    <definedName name="_19__123Graph_DCHART_16" localSheetId="1" hidden="1">[2]Occ!#REF!</definedName>
    <definedName name="_19__123Graph_DCHART_16" hidden="1">[2]Occ!#REF!</definedName>
    <definedName name="_2" localSheetId="2">#REF!</definedName>
    <definedName name="_2" localSheetId="3">#REF!</definedName>
    <definedName name="_2" localSheetId="4">#REF!</definedName>
    <definedName name="_2" localSheetId="5">#REF!</definedName>
    <definedName name="_2" localSheetId="6">#REF!</definedName>
    <definedName name="_2" localSheetId="7">#REF!</definedName>
    <definedName name="_2" localSheetId="8">#REF!</definedName>
    <definedName name="_2" localSheetId="9">#REF!</definedName>
    <definedName name="_2" localSheetId="10">#REF!</definedName>
    <definedName name="_2" localSheetId="11">#REF!</definedName>
    <definedName name="_2" localSheetId="1">#REF!</definedName>
    <definedName name="_2">#REF!</definedName>
    <definedName name="_2__123Graph_ACHART_12" localSheetId="2" hidden="1">[2]Demand!#REF!</definedName>
    <definedName name="_2__123Graph_ACHART_12" localSheetId="3" hidden="1">[2]Demand!#REF!</definedName>
    <definedName name="_2__123Graph_ACHART_12" localSheetId="4" hidden="1">[2]Demand!#REF!</definedName>
    <definedName name="_2__123Graph_ACHART_12" localSheetId="5" hidden="1">[2]Demand!#REF!</definedName>
    <definedName name="_2__123Graph_ACHART_12" localSheetId="6" hidden="1">[2]Demand!#REF!</definedName>
    <definedName name="_2__123Graph_ACHART_12" localSheetId="7" hidden="1">[2]Demand!#REF!</definedName>
    <definedName name="_2__123Graph_ACHART_12" localSheetId="8" hidden="1">[2]Demand!#REF!</definedName>
    <definedName name="_2__123Graph_ACHART_12" localSheetId="9" hidden="1">[2]Demand!#REF!</definedName>
    <definedName name="_2__123Graph_ACHART_12" localSheetId="10" hidden="1">[2]Demand!#REF!</definedName>
    <definedName name="_2__123Graph_ACHART_12" localSheetId="11" hidden="1">[2]Demand!#REF!</definedName>
    <definedName name="_2__123Graph_ACHART_12" localSheetId="1" hidden="1">[2]Demand!#REF!</definedName>
    <definedName name="_2__123Graph_ACHART_12" hidden="1">[2]Demand!#REF!</definedName>
    <definedName name="_2__123Graph_ACHART_15" localSheetId="2" hidden="1">[2]Occ!#REF!</definedName>
    <definedName name="_2__123Graph_ACHART_15" localSheetId="3" hidden="1">[2]Occ!#REF!</definedName>
    <definedName name="_2__123Graph_ACHART_15" localSheetId="4" hidden="1">[2]Occ!#REF!</definedName>
    <definedName name="_2__123Graph_ACHART_15" localSheetId="5" hidden="1">[2]Occ!#REF!</definedName>
    <definedName name="_2__123Graph_ACHART_15" localSheetId="6" hidden="1">[2]Occ!#REF!</definedName>
    <definedName name="_2__123Graph_ACHART_15" localSheetId="7" hidden="1">[2]Occ!#REF!</definedName>
    <definedName name="_2__123Graph_ACHART_15" localSheetId="8" hidden="1">[2]Occ!#REF!</definedName>
    <definedName name="_2__123Graph_ACHART_15" localSheetId="9" hidden="1">[2]Occ!#REF!</definedName>
    <definedName name="_2__123Graph_ACHART_15" localSheetId="10" hidden="1">[2]Occ!#REF!</definedName>
    <definedName name="_2__123Graph_ACHART_15" localSheetId="11" hidden="1">[2]Occ!#REF!</definedName>
    <definedName name="_2__123Graph_ACHART_15" localSheetId="1" hidden="1">[2]Occ!#REF!</definedName>
    <definedName name="_2__123Graph_ACHART_15" hidden="1">[2]Occ!#REF!</definedName>
    <definedName name="_20" localSheetId="2">#REF!</definedName>
    <definedName name="_20" localSheetId="3">#REF!</definedName>
    <definedName name="_20" localSheetId="4">#REF!</definedName>
    <definedName name="_20" localSheetId="5">#REF!</definedName>
    <definedName name="_20" localSheetId="6">#REF!</definedName>
    <definedName name="_20" localSheetId="7">#REF!</definedName>
    <definedName name="_20" localSheetId="8">#REF!</definedName>
    <definedName name="_20" localSheetId="9">#REF!</definedName>
    <definedName name="_20" localSheetId="10">#REF!</definedName>
    <definedName name="_20" localSheetId="11">#REF!</definedName>
    <definedName name="_20" localSheetId="1">#REF!</definedName>
    <definedName name="_20">#REF!</definedName>
    <definedName name="_20__123Graph_BCHART_16" localSheetId="2" hidden="1">[2]Occ!#REF!</definedName>
    <definedName name="_20__123Graph_BCHART_16" localSheetId="3" hidden="1">[2]Occ!#REF!</definedName>
    <definedName name="_20__123Graph_BCHART_16" localSheetId="4" hidden="1">[2]Occ!#REF!</definedName>
    <definedName name="_20__123Graph_BCHART_16" localSheetId="5" hidden="1">[2]Occ!#REF!</definedName>
    <definedName name="_20__123Graph_BCHART_16" localSheetId="6" hidden="1">[2]Occ!#REF!</definedName>
    <definedName name="_20__123Graph_BCHART_16" localSheetId="7" hidden="1">[2]Occ!#REF!</definedName>
    <definedName name="_20__123Graph_BCHART_16" localSheetId="8" hidden="1">[2]Occ!#REF!</definedName>
    <definedName name="_20__123Graph_BCHART_16" localSheetId="9" hidden="1">[2]Occ!#REF!</definedName>
    <definedName name="_20__123Graph_BCHART_16" localSheetId="10" hidden="1">[2]Occ!#REF!</definedName>
    <definedName name="_20__123Graph_BCHART_16" localSheetId="11" hidden="1">[2]Occ!#REF!</definedName>
    <definedName name="_20__123Graph_BCHART_16" localSheetId="1" hidden="1">[2]Occ!#REF!</definedName>
    <definedName name="_20__123Graph_BCHART_16" hidden="1">[2]Occ!#REF!</definedName>
    <definedName name="_20__123Graph_DCHART_17" localSheetId="2" hidden="1">[2]Occ!#REF!</definedName>
    <definedName name="_20__123Graph_DCHART_17" localSheetId="3" hidden="1">[2]Occ!#REF!</definedName>
    <definedName name="_20__123Graph_DCHART_17" localSheetId="4" hidden="1">[2]Occ!#REF!</definedName>
    <definedName name="_20__123Graph_DCHART_17" localSheetId="5" hidden="1">[2]Occ!#REF!</definedName>
    <definedName name="_20__123Graph_DCHART_17" localSheetId="6" hidden="1">[2]Occ!#REF!</definedName>
    <definedName name="_20__123Graph_DCHART_17" localSheetId="7" hidden="1">[2]Occ!#REF!</definedName>
    <definedName name="_20__123Graph_DCHART_17" localSheetId="8" hidden="1">[2]Occ!#REF!</definedName>
    <definedName name="_20__123Graph_DCHART_17" localSheetId="9" hidden="1">[2]Occ!#REF!</definedName>
    <definedName name="_20__123Graph_DCHART_17" localSheetId="10" hidden="1">[2]Occ!#REF!</definedName>
    <definedName name="_20__123Graph_DCHART_17" localSheetId="11" hidden="1">[2]Occ!#REF!</definedName>
    <definedName name="_20__123Graph_DCHART_17" localSheetId="1" hidden="1">[2]Occ!#REF!</definedName>
    <definedName name="_20__123Graph_DCHART_17" hidden="1">[2]Occ!#REF!</definedName>
    <definedName name="_21" localSheetId="2">#REF!</definedName>
    <definedName name="_21" localSheetId="3">#REF!</definedName>
    <definedName name="_21" localSheetId="4">#REF!</definedName>
    <definedName name="_21" localSheetId="5">#REF!</definedName>
    <definedName name="_21" localSheetId="6">#REF!</definedName>
    <definedName name="_21" localSheetId="7">#REF!</definedName>
    <definedName name="_21" localSheetId="8">#REF!</definedName>
    <definedName name="_21" localSheetId="9">#REF!</definedName>
    <definedName name="_21" localSheetId="10">#REF!</definedName>
    <definedName name="_21" localSheetId="11">#REF!</definedName>
    <definedName name="_21" localSheetId="1">#REF!</definedName>
    <definedName name="_21">#REF!</definedName>
    <definedName name="_21__123Graph_DCHART_22" localSheetId="2" hidden="1">[2]Occ!#REF!</definedName>
    <definedName name="_21__123Graph_DCHART_22" localSheetId="3" hidden="1">[2]Occ!#REF!</definedName>
    <definedName name="_21__123Graph_DCHART_22" localSheetId="4" hidden="1">[2]Occ!#REF!</definedName>
    <definedName name="_21__123Graph_DCHART_22" localSheetId="5" hidden="1">[2]Occ!#REF!</definedName>
    <definedName name="_21__123Graph_DCHART_22" localSheetId="6" hidden="1">[2]Occ!#REF!</definedName>
    <definedName name="_21__123Graph_DCHART_22" localSheetId="7" hidden="1">[2]Occ!#REF!</definedName>
    <definedName name="_21__123Graph_DCHART_22" localSheetId="8" hidden="1">[2]Occ!#REF!</definedName>
    <definedName name="_21__123Graph_DCHART_22" localSheetId="9" hidden="1">[2]Occ!#REF!</definedName>
    <definedName name="_21__123Graph_DCHART_22" localSheetId="10" hidden="1">[2]Occ!#REF!</definedName>
    <definedName name="_21__123Graph_DCHART_22" localSheetId="11" hidden="1">[2]Occ!#REF!</definedName>
    <definedName name="_21__123Graph_DCHART_22" localSheetId="1" hidden="1">[2]Occ!#REF!</definedName>
    <definedName name="_21__123Graph_DCHART_22" hidden="1">[2]Occ!#REF!</definedName>
    <definedName name="_22" localSheetId="2">#REF!</definedName>
    <definedName name="_22" localSheetId="3">#REF!</definedName>
    <definedName name="_22" localSheetId="4">#REF!</definedName>
    <definedName name="_22" localSheetId="5">#REF!</definedName>
    <definedName name="_22" localSheetId="6">#REF!</definedName>
    <definedName name="_22" localSheetId="7">#REF!</definedName>
    <definedName name="_22" localSheetId="8">#REF!</definedName>
    <definedName name="_22" localSheetId="9">#REF!</definedName>
    <definedName name="_22" localSheetId="10">#REF!</definedName>
    <definedName name="_22" localSheetId="11">#REF!</definedName>
    <definedName name="_22" localSheetId="1">#REF!</definedName>
    <definedName name="_22">#REF!</definedName>
    <definedName name="_22__123Graph_BCHART_17" localSheetId="2" hidden="1">[2]Occ!#REF!</definedName>
    <definedName name="_22__123Graph_BCHART_17" localSheetId="3" hidden="1">[2]Occ!#REF!</definedName>
    <definedName name="_22__123Graph_BCHART_17" localSheetId="4" hidden="1">[2]Occ!#REF!</definedName>
    <definedName name="_22__123Graph_BCHART_17" localSheetId="5" hidden="1">[2]Occ!#REF!</definedName>
    <definedName name="_22__123Graph_BCHART_17" localSheetId="6" hidden="1">[2]Occ!#REF!</definedName>
    <definedName name="_22__123Graph_BCHART_17" localSheetId="7" hidden="1">[2]Occ!#REF!</definedName>
    <definedName name="_22__123Graph_BCHART_17" localSheetId="8" hidden="1">[2]Occ!#REF!</definedName>
    <definedName name="_22__123Graph_BCHART_17" localSheetId="9" hidden="1">[2]Occ!#REF!</definedName>
    <definedName name="_22__123Graph_BCHART_17" localSheetId="10" hidden="1">[2]Occ!#REF!</definedName>
    <definedName name="_22__123Graph_BCHART_17" localSheetId="11" hidden="1">[2]Occ!#REF!</definedName>
    <definedName name="_22__123Graph_BCHART_17" localSheetId="1" hidden="1">[2]Occ!#REF!</definedName>
    <definedName name="_22__123Graph_BCHART_17" hidden="1">[2]Occ!#REF!</definedName>
    <definedName name="_22__123Graph_ECHART_15" localSheetId="2" hidden="1">[2]Occ!#REF!</definedName>
    <definedName name="_22__123Graph_ECHART_15" localSheetId="3" hidden="1">[2]Occ!#REF!</definedName>
    <definedName name="_22__123Graph_ECHART_15" localSheetId="4" hidden="1">[2]Occ!#REF!</definedName>
    <definedName name="_22__123Graph_ECHART_15" localSheetId="5" hidden="1">[2]Occ!#REF!</definedName>
    <definedName name="_22__123Graph_ECHART_15" localSheetId="6" hidden="1">[2]Occ!#REF!</definedName>
    <definedName name="_22__123Graph_ECHART_15" localSheetId="7" hidden="1">[2]Occ!#REF!</definedName>
    <definedName name="_22__123Graph_ECHART_15" localSheetId="8" hidden="1">[2]Occ!#REF!</definedName>
    <definedName name="_22__123Graph_ECHART_15" localSheetId="9" hidden="1">[2]Occ!#REF!</definedName>
    <definedName name="_22__123Graph_ECHART_15" localSheetId="10" hidden="1">[2]Occ!#REF!</definedName>
    <definedName name="_22__123Graph_ECHART_15" localSheetId="11" hidden="1">[2]Occ!#REF!</definedName>
    <definedName name="_22__123Graph_ECHART_15" localSheetId="1" hidden="1">[2]Occ!#REF!</definedName>
    <definedName name="_22__123Graph_ECHART_15" hidden="1">[2]Occ!#REF!</definedName>
    <definedName name="_23" localSheetId="2">#REF!</definedName>
    <definedName name="_23" localSheetId="3">#REF!</definedName>
    <definedName name="_23" localSheetId="4">#REF!</definedName>
    <definedName name="_23" localSheetId="5">#REF!</definedName>
    <definedName name="_23" localSheetId="6">#REF!</definedName>
    <definedName name="_23" localSheetId="7">#REF!</definedName>
    <definedName name="_23" localSheetId="8">#REF!</definedName>
    <definedName name="_23" localSheetId="9">#REF!</definedName>
    <definedName name="_23" localSheetId="10">#REF!</definedName>
    <definedName name="_23" localSheetId="11">#REF!</definedName>
    <definedName name="_23" localSheetId="1">#REF!</definedName>
    <definedName name="_23">#REF!</definedName>
    <definedName name="_23__123Graph_ECHART_16" localSheetId="2" hidden="1">[2]Occ!#REF!</definedName>
    <definedName name="_23__123Graph_ECHART_16" localSheetId="3" hidden="1">[2]Occ!#REF!</definedName>
    <definedName name="_23__123Graph_ECHART_16" localSheetId="4" hidden="1">[2]Occ!#REF!</definedName>
    <definedName name="_23__123Graph_ECHART_16" localSheetId="5" hidden="1">[2]Occ!#REF!</definedName>
    <definedName name="_23__123Graph_ECHART_16" localSheetId="6" hidden="1">[2]Occ!#REF!</definedName>
    <definedName name="_23__123Graph_ECHART_16" localSheetId="7" hidden="1">[2]Occ!#REF!</definedName>
    <definedName name="_23__123Graph_ECHART_16" localSheetId="8" hidden="1">[2]Occ!#REF!</definedName>
    <definedName name="_23__123Graph_ECHART_16" localSheetId="9" hidden="1">[2]Occ!#REF!</definedName>
    <definedName name="_23__123Graph_ECHART_16" localSheetId="10" hidden="1">[2]Occ!#REF!</definedName>
    <definedName name="_23__123Graph_ECHART_16" localSheetId="11" hidden="1">[2]Occ!#REF!</definedName>
    <definedName name="_23__123Graph_ECHART_16" localSheetId="1" hidden="1">[2]Occ!#REF!</definedName>
    <definedName name="_23__123Graph_ECHART_16" hidden="1">[2]Occ!#REF!</definedName>
    <definedName name="_24" localSheetId="2">#REF!</definedName>
    <definedName name="_24" localSheetId="3">#REF!</definedName>
    <definedName name="_24" localSheetId="4">#REF!</definedName>
    <definedName name="_24" localSheetId="5">#REF!</definedName>
    <definedName name="_24" localSheetId="6">#REF!</definedName>
    <definedName name="_24" localSheetId="7">#REF!</definedName>
    <definedName name="_24" localSheetId="8">#REF!</definedName>
    <definedName name="_24" localSheetId="9">#REF!</definedName>
    <definedName name="_24" localSheetId="10">#REF!</definedName>
    <definedName name="_24" localSheetId="11">#REF!</definedName>
    <definedName name="_24" localSheetId="1">#REF!</definedName>
    <definedName name="_24">#REF!</definedName>
    <definedName name="_24__123Graph_BCHART_22" localSheetId="2" hidden="1">[2]Occ!#REF!</definedName>
    <definedName name="_24__123Graph_BCHART_22" localSheetId="3" hidden="1">[2]Occ!#REF!</definedName>
    <definedName name="_24__123Graph_BCHART_22" localSheetId="4" hidden="1">[2]Occ!#REF!</definedName>
    <definedName name="_24__123Graph_BCHART_22" localSheetId="5" hidden="1">[2]Occ!#REF!</definedName>
    <definedName name="_24__123Graph_BCHART_22" localSheetId="6" hidden="1">[2]Occ!#REF!</definedName>
    <definedName name="_24__123Graph_BCHART_22" localSheetId="7" hidden="1">[2]Occ!#REF!</definedName>
    <definedName name="_24__123Graph_BCHART_22" localSheetId="8" hidden="1">[2]Occ!#REF!</definedName>
    <definedName name="_24__123Graph_BCHART_22" localSheetId="9" hidden="1">[2]Occ!#REF!</definedName>
    <definedName name="_24__123Graph_BCHART_22" localSheetId="10" hidden="1">[2]Occ!#REF!</definedName>
    <definedName name="_24__123Graph_BCHART_22" localSheetId="11" hidden="1">[2]Occ!#REF!</definedName>
    <definedName name="_24__123Graph_BCHART_22" localSheetId="1" hidden="1">[2]Occ!#REF!</definedName>
    <definedName name="_24__123Graph_BCHART_22" hidden="1">[2]Occ!#REF!</definedName>
    <definedName name="_24__123Graph_ECHART_17" localSheetId="2" hidden="1">[2]Occ!#REF!</definedName>
    <definedName name="_24__123Graph_ECHART_17" localSheetId="3" hidden="1">[2]Occ!#REF!</definedName>
    <definedName name="_24__123Graph_ECHART_17" localSheetId="4" hidden="1">[2]Occ!#REF!</definedName>
    <definedName name="_24__123Graph_ECHART_17" localSheetId="5" hidden="1">[2]Occ!#REF!</definedName>
    <definedName name="_24__123Graph_ECHART_17" localSheetId="6" hidden="1">[2]Occ!#REF!</definedName>
    <definedName name="_24__123Graph_ECHART_17" localSheetId="7" hidden="1">[2]Occ!#REF!</definedName>
    <definedName name="_24__123Graph_ECHART_17" localSheetId="8" hidden="1">[2]Occ!#REF!</definedName>
    <definedName name="_24__123Graph_ECHART_17" localSheetId="9" hidden="1">[2]Occ!#REF!</definedName>
    <definedName name="_24__123Graph_ECHART_17" localSheetId="10" hidden="1">[2]Occ!#REF!</definedName>
    <definedName name="_24__123Graph_ECHART_17" localSheetId="11" hidden="1">[2]Occ!#REF!</definedName>
    <definedName name="_24__123Graph_ECHART_17" localSheetId="1" hidden="1">[2]Occ!#REF!</definedName>
    <definedName name="_24__123Graph_ECHART_17" hidden="1">[2]Occ!#REF!</definedName>
    <definedName name="_25" localSheetId="2">#REF!</definedName>
    <definedName name="_25" localSheetId="3">#REF!</definedName>
    <definedName name="_25" localSheetId="4">#REF!</definedName>
    <definedName name="_25" localSheetId="5">#REF!</definedName>
    <definedName name="_25" localSheetId="6">#REF!</definedName>
    <definedName name="_25" localSheetId="7">#REF!</definedName>
    <definedName name="_25" localSheetId="8">#REF!</definedName>
    <definedName name="_25" localSheetId="9">#REF!</definedName>
    <definedName name="_25" localSheetId="10">#REF!</definedName>
    <definedName name="_25" localSheetId="11">#REF!</definedName>
    <definedName name="_25" localSheetId="1">#REF!</definedName>
    <definedName name="_25">#REF!</definedName>
    <definedName name="_25__123Graph_ECHART_22" localSheetId="2" hidden="1">[2]Occ!#REF!</definedName>
    <definedName name="_25__123Graph_ECHART_22" localSheetId="3" hidden="1">[2]Occ!#REF!</definedName>
    <definedName name="_25__123Graph_ECHART_22" localSheetId="4" hidden="1">[2]Occ!#REF!</definedName>
    <definedName name="_25__123Graph_ECHART_22" localSheetId="5" hidden="1">[2]Occ!#REF!</definedName>
    <definedName name="_25__123Graph_ECHART_22" localSheetId="6" hidden="1">[2]Occ!#REF!</definedName>
    <definedName name="_25__123Graph_ECHART_22" localSheetId="7" hidden="1">[2]Occ!#REF!</definedName>
    <definedName name="_25__123Graph_ECHART_22" localSheetId="8" hidden="1">[2]Occ!#REF!</definedName>
    <definedName name="_25__123Graph_ECHART_22" localSheetId="9" hidden="1">[2]Occ!#REF!</definedName>
    <definedName name="_25__123Graph_ECHART_22" localSheetId="10" hidden="1">[2]Occ!#REF!</definedName>
    <definedName name="_25__123Graph_ECHART_22" localSheetId="11" hidden="1">[2]Occ!#REF!</definedName>
    <definedName name="_25__123Graph_ECHART_22" localSheetId="1" hidden="1">[2]Occ!#REF!</definedName>
    <definedName name="_25__123Graph_ECHART_22" hidden="1">[2]Occ!#REF!</definedName>
    <definedName name="_26" localSheetId="2">#REF!</definedName>
    <definedName name="_26" localSheetId="3">#REF!</definedName>
    <definedName name="_26" localSheetId="4">#REF!</definedName>
    <definedName name="_26" localSheetId="5">#REF!</definedName>
    <definedName name="_26" localSheetId="6">#REF!</definedName>
    <definedName name="_26" localSheetId="7">#REF!</definedName>
    <definedName name="_26" localSheetId="8">#REF!</definedName>
    <definedName name="_26" localSheetId="9">#REF!</definedName>
    <definedName name="_26" localSheetId="10">#REF!</definedName>
    <definedName name="_26" localSheetId="11">#REF!</definedName>
    <definedName name="_26" localSheetId="1">#REF!</definedName>
    <definedName name="_26">#REF!</definedName>
    <definedName name="_26__123Graph_CCHART_15" localSheetId="2" hidden="1">[2]Occ!#REF!</definedName>
    <definedName name="_26__123Graph_CCHART_15" localSheetId="3" hidden="1">[2]Occ!#REF!</definedName>
    <definedName name="_26__123Graph_CCHART_15" localSheetId="4" hidden="1">[2]Occ!#REF!</definedName>
    <definedName name="_26__123Graph_CCHART_15" localSheetId="5" hidden="1">[2]Occ!#REF!</definedName>
    <definedName name="_26__123Graph_CCHART_15" localSheetId="6" hidden="1">[2]Occ!#REF!</definedName>
    <definedName name="_26__123Graph_CCHART_15" localSheetId="7" hidden="1">[2]Occ!#REF!</definedName>
    <definedName name="_26__123Graph_CCHART_15" localSheetId="8" hidden="1">[2]Occ!#REF!</definedName>
    <definedName name="_26__123Graph_CCHART_15" localSheetId="9" hidden="1">[2]Occ!#REF!</definedName>
    <definedName name="_26__123Graph_CCHART_15" localSheetId="10" hidden="1">[2]Occ!#REF!</definedName>
    <definedName name="_26__123Graph_CCHART_15" localSheetId="11" hidden="1">[2]Occ!#REF!</definedName>
    <definedName name="_26__123Graph_CCHART_15" localSheetId="1" hidden="1">[2]Occ!#REF!</definedName>
    <definedName name="_26__123Graph_CCHART_15" hidden="1">[2]Occ!#REF!</definedName>
    <definedName name="_26__123Graph_FCHART_15" localSheetId="2" hidden="1">[2]Occ!#REF!</definedName>
    <definedName name="_26__123Graph_FCHART_15" localSheetId="3" hidden="1">[2]Occ!#REF!</definedName>
    <definedName name="_26__123Graph_FCHART_15" localSheetId="4" hidden="1">[2]Occ!#REF!</definedName>
    <definedName name="_26__123Graph_FCHART_15" localSheetId="5" hidden="1">[2]Occ!#REF!</definedName>
    <definedName name="_26__123Graph_FCHART_15" localSheetId="6" hidden="1">[2]Occ!#REF!</definedName>
    <definedName name="_26__123Graph_FCHART_15" localSheetId="7" hidden="1">[2]Occ!#REF!</definedName>
    <definedName name="_26__123Graph_FCHART_15" localSheetId="8" hidden="1">[2]Occ!#REF!</definedName>
    <definedName name="_26__123Graph_FCHART_15" localSheetId="9" hidden="1">[2]Occ!#REF!</definedName>
    <definedName name="_26__123Graph_FCHART_15" localSheetId="10" hidden="1">[2]Occ!#REF!</definedName>
    <definedName name="_26__123Graph_FCHART_15" localSheetId="11" hidden="1">[2]Occ!#REF!</definedName>
    <definedName name="_26__123Graph_FCHART_15" localSheetId="1" hidden="1">[2]Occ!#REF!</definedName>
    <definedName name="_26__123Graph_FCHART_15" hidden="1">[2]Occ!#REF!</definedName>
    <definedName name="_27" localSheetId="2">#REF!</definedName>
    <definedName name="_27" localSheetId="3">#REF!</definedName>
    <definedName name="_27" localSheetId="4">#REF!</definedName>
    <definedName name="_27" localSheetId="5">#REF!</definedName>
    <definedName name="_27" localSheetId="6">#REF!</definedName>
    <definedName name="_27" localSheetId="7">#REF!</definedName>
    <definedName name="_27" localSheetId="8">#REF!</definedName>
    <definedName name="_27" localSheetId="9">#REF!</definedName>
    <definedName name="_27" localSheetId="10">#REF!</definedName>
    <definedName name="_27" localSheetId="11">#REF!</definedName>
    <definedName name="_27" localSheetId="1">#REF!</definedName>
    <definedName name="_27">#REF!</definedName>
    <definedName name="_27__123Graph_FCHART_16" localSheetId="2" hidden="1">[2]Occ!#REF!</definedName>
    <definedName name="_27__123Graph_FCHART_16" localSheetId="3" hidden="1">[2]Occ!#REF!</definedName>
    <definedName name="_27__123Graph_FCHART_16" localSheetId="4" hidden="1">[2]Occ!#REF!</definedName>
    <definedName name="_27__123Graph_FCHART_16" localSheetId="5" hidden="1">[2]Occ!#REF!</definedName>
    <definedName name="_27__123Graph_FCHART_16" localSheetId="6" hidden="1">[2]Occ!#REF!</definedName>
    <definedName name="_27__123Graph_FCHART_16" localSheetId="7" hidden="1">[2]Occ!#REF!</definedName>
    <definedName name="_27__123Graph_FCHART_16" localSheetId="8" hidden="1">[2]Occ!#REF!</definedName>
    <definedName name="_27__123Graph_FCHART_16" localSheetId="9" hidden="1">[2]Occ!#REF!</definedName>
    <definedName name="_27__123Graph_FCHART_16" localSheetId="10" hidden="1">[2]Occ!#REF!</definedName>
    <definedName name="_27__123Graph_FCHART_16" localSheetId="11" hidden="1">[2]Occ!#REF!</definedName>
    <definedName name="_27__123Graph_FCHART_16" localSheetId="1" hidden="1">[2]Occ!#REF!</definedName>
    <definedName name="_27__123Graph_FCHART_16" hidden="1">[2]Occ!#REF!</definedName>
    <definedName name="_28" localSheetId="2">#REF!</definedName>
    <definedName name="_28" localSheetId="3">#REF!</definedName>
    <definedName name="_28" localSheetId="4">#REF!</definedName>
    <definedName name="_28" localSheetId="5">#REF!</definedName>
    <definedName name="_28" localSheetId="6">#REF!</definedName>
    <definedName name="_28" localSheetId="7">#REF!</definedName>
    <definedName name="_28" localSheetId="8">#REF!</definedName>
    <definedName name="_28" localSheetId="9">#REF!</definedName>
    <definedName name="_28" localSheetId="10">#REF!</definedName>
    <definedName name="_28" localSheetId="11">#REF!</definedName>
    <definedName name="_28" localSheetId="1">#REF!</definedName>
    <definedName name="_28">#REF!</definedName>
    <definedName name="_28__123Graph_CCHART_16" localSheetId="2" hidden="1">[2]Occ!#REF!</definedName>
    <definedName name="_28__123Graph_CCHART_16" localSheetId="3" hidden="1">[2]Occ!#REF!</definedName>
    <definedName name="_28__123Graph_CCHART_16" localSheetId="4" hidden="1">[2]Occ!#REF!</definedName>
    <definedName name="_28__123Graph_CCHART_16" localSheetId="5" hidden="1">[2]Occ!#REF!</definedName>
    <definedName name="_28__123Graph_CCHART_16" localSheetId="6" hidden="1">[2]Occ!#REF!</definedName>
    <definedName name="_28__123Graph_CCHART_16" localSheetId="7" hidden="1">[2]Occ!#REF!</definedName>
    <definedName name="_28__123Graph_CCHART_16" localSheetId="8" hidden="1">[2]Occ!#REF!</definedName>
    <definedName name="_28__123Graph_CCHART_16" localSheetId="9" hidden="1">[2]Occ!#REF!</definedName>
    <definedName name="_28__123Graph_CCHART_16" localSheetId="10" hidden="1">[2]Occ!#REF!</definedName>
    <definedName name="_28__123Graph_CCHART_16" localSheetId="11" hidden="1">[2]Occ!#REF!</definedName>
    <definedName name="_28__123Graph_CCHART_16" localSheetId="1" hidden="1">[2]Occ!#REF!</definedName>
    <definedName name="_28__123Graph_CCHART_16" hidden="1">[2]Occ!#REF!</definedName>
    <definedName name="_28__123Graph_FCHART_17" localSheetId="2" hidden="1">[2]Occ!#REF!</definedName>
    <definedName name="_28__123Graph_FCHART_17" localSheetId="3" hidden="1">[2]Occ!#REF!</definedName>
    <definedName name="_28__123Graph_FCHART_17" localSheetId="4" hidden="1">[2]Occ!#REF!</definedName>
    <definedName name="_28__123Graph_FCHART_17" localSheetId="5" hidden="1">[2]Occ!#REF!</definedName>
    <definedName name="_28__123Graph_FCHART_17" localSheetId="6" hidden="1">[2]Occ!#REF!</definedName>
    <definedName name="_28__123Graph_FCHART_17" localSheetId="7" hidden="1">[2]Occ!#REF!</definedName>
    <definedName name="_28__123Graph_FCHART_17" localSheetId="8" hidden="1">[2]Occ!#REF!</definedName>
    <definedName name="_28__123Graph_FCHART_17" localSheetId="9" hidden="1">[2]Occ!#REF!</definedName>
    <definedName name="_28__123Graph_FCHART_17" localSheetId="10" hidden="1">[2]Occ!#REF!</definedName>
    <definedName name="_28__123Graph_FCHART_17" localSheetId="11" hidden="1">[2]Occ!#REF!</definedName>
    <definedName name="_28__123Graph_FCHART_17" localSheetId="1" hidden="1">[2]Occ!#REF!</definedName>
    <definedName name="_28__123Graph_FCHART_17" hidden="1">[2]Occ!#REF!</definedName>
    <definedName name="_29" localSheetId="2">#REF!</definedName>
    <definedName name="_29" localSheetId="3">#REF!</definedName>
    <definedName name="_29" localSheetId="4">#REF!</definedName>
    <definedName name="_29" localSheetId="5">#REF!</definedName>
    <definedName name="_29" localSheetId="6">#REF!</definedName>
    <definedName name="_29" localSheetId="7">#REF!</definedName>
    <definedName name="_29" localSheetId="8">#REF!</definedName>
    <definedName name="_29" localSheetId="9">#REF!</definedName>
    <definedName name="_29" localSheetId="10">#REF!</definedName>
    <definedName name="_29" localSheetId="11">#REF!</definedName>
    <definedName name="_29" localSheetId="1">#REF!</definedName>
    <definedName name="_29">#REF!</definedName>
    <definedName name="_29__123Graph_FCHART_22" localSheetId="2" hidden="1">[2]Occ!#REF!</definedName>
    <definedName name="_29__123Graph_FCHART_22" localSheetId="3" hidden="1">[2]Occ!#REF!</definedName>
    <definedName name="_29__123Graph_FCHART_22" localSheetId="4" hidden="1">[2]Occ!#REF!</definedName>
    <definedName name="_29__123Graph_FCHART_22" localSheetId="5" hidden="1">[2]Occ!#REF!</definedName>
    <definedName name="_29__123Graph_FCHART_22" localSheetId="6" hidden="1">[2]Occ!#REF!</definedName>
    <definedName name="_29__123Graph_FCHART_22" localSheetId="7" hidden="1">[2]Occ!#REF!</definedName>
    <definedName name="_29__123Graph_FCHART_22" localSheetId="8" hidden="1">[2]Occ!#REF!</definedName>
    <definedName name="_29__123Graph_FCHART_22" localSheetId="9" hidden="1">[2]Occ!#REF!</definedName>
    <definedName name="_29__123Graph_FCHART_22" localSheetId="10" hidden="1">[2]Occ!#REF!</definedName>
    <definedName name="_29__123Graph_FCHART_22" localSheetId="11" hidden="1">[2]Occ!#REF!</definedName>
    <definedName name="_29__123Graph_FCHART_22" localSheetId="1" hidden="1">[2]Occ!#REF!</definedName>
    <definedName name="_29__123Graph_FCHART_22" hidden="1">[2]Occ!#REF!</definedName>
    <definedName name="_3" localSheetId="2">#REF!</definedName>
    <definedName name="_3" localSheetId="3">#REF!</definedName>
    <definedName name="_3" localSheetId="4">#REF!</definedName>
    <definedName name="_3" localSheetId="5">#REF!</definedName>
    <definedName name="_3" localSheetId="6">#REF!</definedName>
    <definedName name="_3" localSheetId="7">#REF!</definedName>
    <definedName name="_3" localSheetId="8">#REF!</definedName>
    <definedName name="_3" localSheetId="9">#REF!</definedName>
    <definedName name="_3" localSheetId="10">#REF!</definedName>
    <definedName name="_3" localSheetId="11">#REF!</definedName>
    <definedName name="_3" localSheetId="1">#REF!</definedName>
    <definedName name="_3">#REF!</definedName>
    <definedName name="_3__123Graph_ACHART_16" localSheetId="2" hidden="1">[2]Occ!#REF!</definedName>
    <definedName name="_3__123Graph_ACHART_16" localSheetId="3" hidden="1">[2]Occ!#REF!</definedName>
    <definedName name="_3__123Graph_ACHART_16" localSheetId="4" hidden="1">[2]Occ!#REF!</definedName>
    <definedName name="_3__123Graph_ACHART_16" localSheetId="5" hidden="1">[2]Occ!#REF!</definedName>
    <definedName name="_3__123Graph_ACHART_16" localSheetId="6" hidden="1">[2]Occ!#REF!</definedName>
    <definedName name="_3__123Graph_ACHART_16" localSheetId="7" hidden="1">[2]Occ!#REF!</definedName>
    <definedName name="_3__123Graph_ACHART_16" localSheetId="8" hidden="1">[2]Occ!#REF!</definedName>
    <definedName name="_3__123Graph_ACHART_16" localSheetId="9" hidden="1">[2]Occ!#REF!</definedName>
    <definedName name="_3__123Graph_ACHART_16" localSheetId="10" hidden="1">[2]Occ!#REF!</definedName>
    <definedName name="_3__123Graph_ACHART_16" localSheetId="11" hidden="1">[2]Occ!#REF!</definedName>
    <definedName name="_3__123Graph_ACHART_16" localSheetId="1" hidden="1">[2]Occ!#REF!</definedName>
    <definedName name="_3__123Graph_ACHART_16" hidden="1">[2]Occ!#REF!</definedName>
    <definedName name="_30__123Graph_CCHART_17" localSheetId="2" hidden="1">[2]Occ!#REF!</definedName>
    <definedName name="_30__123Graph_CCHART_17" localSheetId="3" hidden="1">[2]Occ!#REF!</definedName>
    <definedName name="_30__123Graph_CCHART_17" localSheetId="4" hidden="1">[2]Occ!#REF!</definedName>
    <definedName name="_30__123Graph_CCHART_17" localSheetId="5" hidden="1">[2]Occ!#REF!</definedName>
    <definedName name="_30__123Graph_CCHART_17" localSheetId="6" hidden="1">[2]Occ!#REF!</definedName>
    <definedName name="_30__123Graph_CCHART_17" localSheetId="7" hidden="1">[2]Occ!#REF!</definedName>
    <definedName name="_30__123Graph_CCHART_17" localSheetId="8" hidden="1">[2]Occ!#REF!</definedName>
    <definedName name="_30__123Graph_CCHART_17" localSheetId="9" hidden="1">[2]Occ!#REF!</definedName>
    <definedName name="_30__123Graph_CCHART_17" localSheetId="10" hidden="1">[2]Occ!#REF!</definedName>
    <definedName name="_30__123Graph_CCHART_17" localSheetId="11" hidden="1">[2]Occ!#REF!</definedName>
    <definedName name="_30__123Graph_CCHART_17" localSheetId="1" hidden="1">[2]Occ!#REF!</definedName>
    <definedName name="_30__123Graph_CCHART_17" hidden="1">[2]Occ!#REF!</definedName>
    <definedName name="_30__123Graph_XCHART_15" localSheetId="2" hidden="1">[2]Occ!#REF!</definedName>
    <definedName name="_30__123Graph_XCHART_15" localSheetId="3" hidden="1">[2]Occ!#REF!</definedName>
    <definedName name="_30__123Graph_XCHART_15" localSheetId="4" hidden="1">[2]Occ!#REF!</definedName>
    <definedName name="_30__123Graph_XCHART_15" localSheetId="5" hidden="1">[2]Occ!#REF!</definedName>
    <definedName name="_30__123Graph_XCHART_15" localSheetId="6" hidden="1">[2]Occ!#REF!</definedName>
    <definedName name="_30__123Graph_XCHART_15" localSheetId="7" hidden="1">[2]Occ!#REF!</definedName>
    <definedName name="_30__123Graph_XCHART_15" localSheetId="8" hidden="1">[2]Occ!#REF!</definedName>
    <definedName name="_30__123Graph_XCHART_15" localSheetId="9" hidden="1">[2]Occ!#REF!</definedName>
    <definedName name="_30__123Graph_XCHART_15" localSheetId="10" hidden="1">[2]Occ!#REF!</definedName>
    <definedName name="_30__123Graph_XCHART_15" localSheetId="11" hidden="1">[2]Occ!#REF!</definedName>
    <definedName name="_30__123Graph_XCHART_15" localSheetId="1" hidden="1">[2]Occ!#REF!</definedName>
    <definedName name="_30__123Graph_XCHART_15" hidden="1">[2]Occ!#REF!</definedName>
    <definedName name="_31__123Graph_XCHART_16" localSheetId="2" hidden="1">[2]Occ!#REF!</definedName>
    <definedName name="_31__123Graph_XCHART_16" localSheetId="3" hidden="1">[2]Occ!#REF!</definedName>
    <definedName name="_31__123Graph_XCHART_16" localSheetId="4" hidden="1">[2]Occ!#REF!</definedName>
    <definedName name="_31__123Graph_XCHART_16" localSheetId="5" hidden="1">[2]Occ!#REF!</definedName>
    <definedName name="_31__123Graph_XCHART_16" localSheetId="6" hidden="1">[2]Occ!#REF!</definedName>
    <definedName name="_31__123Graph_XCHART_16" localSheetId="7" hidden="1">[2]Occ!#REF!</definedName>
    <definedName name="_31__123Graph_XCHART_16" localSheetId="8" hidden="1">[2]Occ!#REF!</definedName>
    <definedName name="_31__123Graph_XCHART_16" localSheetId="9" hidden="1">[2]Occ!#REF!</definedName>
    <definedName name="_31__123Graph_XCHART_16" localSheetId="10" hidden="1">[2]Occ!#REF!</definedName>
    <definedName name="_31__123Graph_XCHART_16" localSheetId="11" hidden="1">[2]Occ!#REF!</definedName>
    <definedName name="_31__123Graph_XCHART_16" localSheetId="1" hidden="1">[2]Occ!#REF!</definedName>
    <definedName name="_31__123Graph_XCHART_16" hidden="1">[2]Occ!#REF!</definedName>
    <definedName name="_32__123Graph_CCHART_22" localSheetId="2" hidden="1">[2]Occ!#REF!</definedName>
    <definedName name="_32__123Graph_CCHART_22" localSheetId="3" hidden="1">[2]Occ!#REF!</definedName>
    <definedName name="_32__123Graph_CCHART_22" localSheetId="4" hidden="1">[2]Occ!#REF!</definedName>
    <definedName name="_32__123Graph_CCHART_22" localSheetId="5" hidden="1">[2]Occ!#REF!</definedName>
    <definedName name="_32__123Graph_CCHART_22" localSheetId="6" hidden="1">[2]Occ!#REF!</definedName>
    <definedName name="_32__123Graph_CCHART_22" localSheetId="7" hidden="1">[2]Occ!#REF!</definedName>
    <definedName name="_32__123Graph_CCHART_22" localSheetId="8" hidden="1">[2]Occ!#REF!</definedName>
    <definedName name="_32__123Graph_CCHART_22" localSheetId="9" hidden="1">[2]Occ!#REF!</definedName>
    <definedName name="_32__123Graph_CCHART_22" localSheetId="10" hidden="1">[2]Occ!#REF!</definedName>
    <definedName name="_32__123Graph_CCHART_22" localSheetId="11" hidden="1">[2]Occ!#REF!</definedName>
    <definedName name="_32__123Graph_CCHART_22" localSheetId="1" hidden="1">[2]Occ!#REF!</definedName>
    <definedName name="_32__123Graph_CCHART_22" hidden="1">[2]Occ!#REF!</definedName>
    <definedName name="_32__123Graph_XCHART_17" localSheetId="2" hidden="1">[2]Occ!#REF!</definedName>
    <definedName name="_32__123Graph_XCHART_17" localSheetId="3" hidden="1">[2]Occ!#REF!</definedName>
    <definedName name="_32__123Graph_XCHART_17" localSheetId="4" hidden="1">[2]Occ!#REF!</definedName>
    <definedName name="_32__123Graph_XCHART_17" localSheetId="5" hidden="1">[2]Occ!#REF!</definedName>
    <definedName name="_32__123Graph_XCHART_17" localSheetId="6" hidden="1">[2]Occ!#REF!</definedName>
    <definedName name="_32__123Graph_XCHART_17" localSheetId="7" hidden="1">[2]Occ!#REF!</definedName>
    <definedName name="_32__123Graph_XCHART_17" localSheetId="8" hidden="1">[2]Occ!#REF!</definedName>
    <definedName name="_32__123Graph_XCHART_17" localSheetId="9" hidden="1">[2]Occ!#REF!</definedName>
    <definedName name="_32__123Graph_XCHART_17" localSheetId="10" hidden="1">[2]Occ!#REF!</definedName>
    <definedName name="_32__123Graph_XCHART_17" localSheetId="11" hidden="1">[2]Occ!#REF!</definedName>
    <definedName name="_32__123Graph_XCHART_17" localSheetId="1" hidden="1">[2]Occ!#REF!</definedName>
    <definedName name="_32__123Graph_XCHART_17" hidden="1">[2]Occ!#REF!</definedName>
    <definedName name="_33__123Graph_XCHART_18" localSheetId="2" hidden="1">[2]Demand!#REF!</definedName>
    <definedName name="_33__123Graph_XCHART_18" localSheetId="3" hidden="1">[2]Demand!#REF!</definedName>
    <definedName name="_33__123Graph_XCHART_18" localSheetId="4" hidden="1">[2]Demand!#REF!</definedName>
    <definedName name="_33__123Graph_XCHART_18" localSheetId="5" hidden="1">[2]Demand!#REF!</definedName>
    <definedName name="_33__123Graph_XCHART_18" localSheetId="6" hidden="1">[2]Demand!#REF!</definedName>
    <definedName name="_33__123Graph_XCHART_18" localSheetId="7" hidden="1">[2]Demand!#REF!</definedName>
    <definedName name="_33__123Graph_XCHART_18" localSheetId="8" hidden="1">[2]Demand!#REF!</definedName>
    <definedName name="_33__123Graph_XCHART_18" localSheetId="9" hidden="1">[2]Demand!#REF!</definedName>
    <definedName name="_33__123Graph_XCHART_18" localSheetId="10" hidden="1">[2]Demand!#REF!</definedName>
    <definedName name="_33__123Graph_XCHART_18" localSheetId="11" hidden="1">[2]Demand!#REF!</definedName>
    <definedName name="_33__123Graph_XCHART_18" localSheetId="1" hidden="1">[2]Demand!#REF!</definedName>
    <definedName name="_33__123Graph_XCHART_18" hidden="1">[2]Demand!#REF!</definedName>
    <definedName name="_34__123Graph_CSEG_PIE" localSheetId="2" hidden="1">[2]Demand!#REF!</definedName>
    <definedName name="_34__123Graph_CSEG_PIE" localSheetId="3" hidden="1">[2]Demand!#REF!</definedName>
    <definedName name="_34__123Graph_CSEG_PIE" localSheetId="4" hidden="1">[2]Demand!#REF!</definedName>
    <definedName name="_34__123Graph_CSEG_PIE" localSheetId="5" hidden="1">[2]Demand!#REF!</definedName>
    <definedName name="_34__123Graph_CSEG_PIE" localSheetId="6" hidden="1">[2]Demand!#REF!</definedName>
    <definedName name="_34__123Graph_CSEG_PIE" localSheetId="7" hidden="1">[2]Demand!#REF!</definedName>
    <definedName name="_34__123Graph_CSEG_PIE" localSheetId="8" hidden="1">[2]Demand!#REF!</definedName>
    <definedName name="_34__123Graph_CSEG_PIE" localSheetId="9" hidden="1">[2]Demand!#REF!</definedName>
    <definedName name="_34__123Graph_CSEG_PIE" localSheetId="10" hidden="1">[2]Demand!#REF!</definedName>
    <definedName name="_34__123Graph_CSEG_PIE" localSheetId="11" hidden="1">[2]Demand!#REF!</definedName>
    <definedName name="_34__123Graph_CSEG_PIE" localSheetId="1" hidden="1">[2]Demand!#REF!</definedName>
    <definedName name="_34__123Graph_CSEG_PIE" hidden="1">[2]Demand!#REF!</definedName>
    <definedName name="_34__123Graph_XCHART_19" localSheetId="2" hidden="1">[2]Demand!#REF!</definedName>
    <definedName name="_34__123Graph_XCHART_19" localSheetId="3" hidden="1">[2]Demand!#REF!</definedName>
    <definedName name="_34__123Graph_XCHART_19" localSheetId="4" hidden="1">[2]Demand!#REF!</definedName>
    <definedName name="_34__123Graph_XCHART_19" localSheetId="5" hidden="1">[2]Demand!#REF!</definedName>
    <definedName name="_34__123Graph_XCHART_19" localSheetId="6" hidden="1">[2]Demand!#REF!</definedName>
    <definedName name="_34__123Graph_XCHART_19" localSheetId="7" hidden="1">[2]Demand!#REF!</definedName>
    <definedName name="_34__123Graph_XCHART_19" localSheetId="8" hidden="1">[2]Demand!#REF!</definedName>
    <definedName name="_34__123Graph_XCHART_19" localSheetId="9" hidden="1">[2]Demand!#REF!</definedName>
    <definedName name="_34__123Graph_XCHART_19" localSheetId="10" hidden="1">[2]Demand!#REF!</definedName>
    <definedName name="_34__123Graph_XCHART_19" localSheetId="11" hidden="1">[2]Demand!#REF!</definedName>
    <definedName name="_34__123Graph_XCHART_19" localSheetId="1" hidden="1">[2]Demand!#REF!</definedName>
    <definedName name="_34__123Graph_XCHART_19" hidden="1">[2]Demand!#REF!</definedName>
    <definedName name="_35__123Graph_XCHART_22" localSheetId="2" hidden="1">[2]Occ!#REF!</definedName>
    <definedName name="_35__123Graph_XCHART_22" localSheetId="3" hidden="1">[2]Occ!#REF!</definedName>
    <definedName name="_35__123Graph_XCHART_22" localSheetId="4" hidden="1">[2]Occ!#REF!</definedName>
    <definedName name="_35__123Graph_XCHART_22" localSheetId="5" hidden="1">[2]Occ!#REF!</definedName>
    <definedName name="_35__123Graph_XCHART_22" localSheetId="6" hidden="1">[2]Occ!#REF!</definedName>
    <definedName name="_35__123Graph_XCHART_22" localSheetId="7" hidden="1">[2]Occ!#REF!</definedName>
    <definedName name="_35__123Graph_XCHART_22" localSheetId="8" hidden="1">[2]Occ!#REF!</definedName>
    <definedName name="_35__123Graph_XCHART_22" localSheetId="9" hidden="1">[2]Occ!#REF!</definedName>
    <definedName name="_35__123Graph_XCHART_22" localSheetId="10" hidden="1">[2]Occ!#REF!</definedName>
    <definedName name="_35__123Graph_XCHART_22" localSheetId="11" hidden="1">[2]Occ!#REF!</definedName>
    <definedName name="_35__123Graph_XCHART_22" localSheetId="1" hidden="1">[2]Occ!#REF!</definedName>
    <definedName name="_35__123Graph_XCHART_22" hidden="1">[2]Occ!#REF!</definedName>
    <definedName name="_36__123Graph_DCHART_15" localSheetId="2" hidden="1">[2]Occ!#REF!</definedName>
    <definedName name="_36__123Graph_DCHART_15" localSheetId="3" hidden="1">[2]Occ!#REF!</definedName>
    <definedName name="_36__123Graph_DCHART_15" localSheetId="4" hidden="1">[2]Occ!#REF!</definedName>
    <definedName name="_36__123Graph_DCHART_15" localSheetId="5" hidden="1">[2]Occ!#REF!</definedName>
    <definedName name="_36__123Graph_DCHART_15" localSheetId="6" hidden="1">[2]Occ!#REF!</definedName>
    <definedName name="_36__123Graph_DCHART_15" localSheetId="7" hidden="1">[2]Occ!#REF!</definedName>
    <definedName name="_36__123Graph_DCHART_15" localSheetId="8" hidden="1">[2]Occ!#REF!</definedName>
    <definedName name="_36__123Graph_DCHART_15" localSheetId="9" hidden="1">[2]Occ!#REF!</definedName>
    <definedName name="_36__123Graph_DCHART_15" localSheetId="10" hidden="1">[2]Occ!#REF!</definedName>
    <definedName name="_36__123Graph_DCHART_15" localSheetId="11" hidden="1">[2]Occ!#REF!</definedName>
    <definedName name="_36__123Graph_DCHART_15" localSheetId="1" hidden="1">[2]Occ!#REF!</definedName>
    <definedName name="_36__123Graph_DCHART_15" hidden="1">[2]Occ!#REF!</definedName>
    <definedName name="_36__123Graph_XSEG_PIE" localSheetId="2" hidden="1">[2]Demand!#REF!</definedName>
    <definedName name="_36__123Graph_XSEG_PIE" localSheetId="3" hidden="1">[2]Demand!#REF!</definedName>
    <definedName name="_36__123Graph_XSEG_PIE" localSheetId="4" hidden="1">[2]Demand!#REF!</definedName>
    <definedName name="_36__123Graph_XSEG_PIE" localSheetId="5" hidden="1">[2]Demand!#REF!</definedName>
    <definedName name="_36__123Graph_XSEG_PIE" localSheetId="6" hidden="1">[2]Demand!#REF!</definedName>
    <definedName name="_36__123Graph_XSEG_PIE" localSheetId="7" hidden="1">[2]Demand!#REF!</definedName>
    <definedName name="_36__123Graph_XSEG_PIE" localSheetId="8" hidden="1">[2]Demand!#REF!</definedName>
    <definedName name="_36__123Graph_XSEG_PIE" localSheetId="9" hidden="1">[2]Demand!#REF!</definedName>
    <definedName name="_36__123Graph_XSEG_PIE" localSheetId="10" hidden="1">[2]Demand!#REF!</definedName>
    <definedName name="_36__123Graph_XSEG_PIE" localSheetId="11" hidden="1">[2]Demand!#REF!</definedName>
    <definedName name="_36__123Graph_XSEG_PIE" localSheetId="1" hidden="1">[2]Demand!#REF!</definedName>
    <definedName name="_36__123Graph_XSEG_PIE" hidden="1">[2]Demand!#REF!</definedName>
    <definedName name="_38__123Graph_DCHART_16" localSheetId="2" hidden="1">[2]Occ!#REF!</definedName>
    <definedName name="_38__123Graph_DCHART_16" localSheetId="3" hidden="1">[2]Occ!#REF!</definedName>
    <definedName name="_38__123Graph_DCHART_16" localSheetId="4" hidden="1">[2]Occ!#REF!</definedName>
    <definedName name="_38__123Graph_DCHART_16" localSheetId="5" hidden="1">[2]Occ!#REF!</definedName>
    <definedName name="_38__123Graph_DCHART_16" localSheetId="6" hidden="1">[2]Occ!#REF!</definedName>
    <definedName name="_38__123Graph_DCHART_16" localSheetId="7" hidden="1">[2]Occ!#REF!</definedName>
    <definedName name="_38__123Graph_DCHART_16" localSheetId="8" hidden="1">[2]Occ!#REF!</definedName>
    <definedName name="_38__123Graph_DCHART_16" localSheetId="9" hidden="1">[2]Occ!#REF!</definedName>
    <definedName name="_38__123Graph_DCHART_16" localSheetId="10" hidden="1">[2]Occ!#REF!</definedName>
    <definedName name="_38__123Graph_DCHART_16" localSheetId="11" hidden="1">[2]Occ!#REF!</definedName>
    <definedName name="_38__123Graph_DCHART_16" localSheetId="1" hidden="1">[2]Occ!#REF!</definedName>
    <definedName name="_38__123Graph_DCHART_16" hidden="1">[2]Occ!#REF!</definedName>
    <definedName name="_4" localSheetId="2">#REF!</definedName>
    <definedName name="_4" localSheetId="3">#REF!</definedName>
    <definedName name="_4" localSheetId="4">#REF!</definedName>
    <definedName name="_4" localSheetId="5">#REF!</definedName>
    <definedName name="_4" localSheetId="6">#REF!</definedName>
    <definedName name="_4" localSheetId="7">#REF!</definedName>
    <definedName name="_4" localSheetId="8">#REF!</definedName>
    <definedName name="_4" localSheetId="9">#REF!</definedName>
    <definedName name="_4" localSheetId="10">#REF!</definedName>
    <definedName name="_4" localSheetId="11">#REF!</definedName>
    <definedName name="_4" localSheetId="1">#REF!</definedName>
    <definedName name="_4">#REF!</definedName>
    <definedName name="_4__123Graph_ACHART_15" localSheetId="2" hidden="1">[2]Occ!#REF!</definedName>
    <definedName name="_4__123Graph_ACHART_15" localSheetId="3" hidden="1">[2]Occ!#REF!</definedName>
    <definedName name="_4__123Graph_ACHART_15" localSheetId="4" hidden="1">[2]Occ!#REF!</definedName>
    <definedName name="_4__123Graph_ACHART_15" localSheetId="5" hidden="1">[2]Occ!#REF!</definedName>
    <definedName name="_4__123Graph_ACHART_15" localSheetId="6" hidden="1">[2]Occ!#REF!</definedName>
    <definedName name="_4__123Graph_ACHART_15" localSheetId="7" hidden="1">[2]Occ!#REF!</definedName>
    <definedName name="_4__123Graph_ACHART_15" localSheetId="8" hidden="1">[2]Occ!#REF!</definedName>
    <definedName name="_4__123Graph_ACHART_15" localSheetId="9" hidden="1">[2]Occ!#REF!</definedName>
    <definedName name="_4__123Graph_ACHART_15" localSheetId="10" hidden="1">[2]Occ!#REF!</definedName>
    <definedName name="_4__123Graph_ACHART_15" localSheetId="11" hidden="1">[2]Occ!#REF!</definedName>
    <definedName name="_4__123Graph_ACHART_15" localSheetId="1" hidden="1">[2]Occ!#REF!</definedName>
    <definedName name="_4__123Graph_ACHART_15" hidden="1">[2]Occ!#REF!</definedName>
    <definedName name="_4__123Graph_ACHART_17" localSheetId="2" hidden="1">[2]Occ!#REF!</definedName>
    <definedName name="_4__123Graph_ACHART_17" localSheetId="3" hidden="1">[2]Occ!#REF!</definedName>
    <definedName name="_4__123Graph_ACHART_17" localSheetId="4" hidden="1">[2]Occ!#REF!</definedName>
    <definedName name="_4__123Graph_ACHART_17" localSheetId="5" hidden="1">[2]Occ!#REF!</definedName>
    <definedName name="_4__123Graph_ACHART_17" localSheetId="6" hidden="1">[2]Occ!#REF!</definedName>
    <definedName name="_4__123Graph_ACHART_17" localSheetId="7" hidden="1">[2]Occ!#REF!</definedName>
    <definedName name="_4__123Graph_ACHART_17" localSheetId="8" hidden="1">[2]Occ!#REF!</definedName>
    <definedName name="_4__123Graph_ACHART_17" localSheetId="9" hidden="1">[2]Occ!#REF!</definedName>
    <definedName name="_4__123Graph_ACHART_17" localSheetId="10" hidden="1">[2]Occ!#REF!</definedName>
    <definedName name="_4__123Graph_ACHART_17" localSheetId="11" hidden="1">[2]Occ!#REF!</definedName>
    <definedName name="_4__123Graph_ACHART_17" localSheetId="1" hidden="1">[2]Occ!#REF!</definedName>
    <definedName name="_4__123Graph_ACHART_17" hidden="1">[2]Occ!#REF!</definedName>
    <definedName name="_40__123Graph_DCHART_17" localSheetId="2" hidden="1">[2]Occ!#REF!</definedName>
    <definedName name="_40__123Graph_DCHART_17" localSheetId="3" hidden="1">[2]Occ!#REF!</definedName>
    <definedName name="_40__123Graph_DCHART_17" localSheetId="4" hidden="1">[2]Occ!#REF!</definedName>
    <definedName name="_40__123Graph_DCHART_17" localSheetId="5" hidden="1">[2]Occ!#REF!</definedName>
    <definedName name="_40__123Graph_DCHART_17" localSheetId="6" hidden="1">[2]Occ!#REF!</definedName>
    <definedName name="_40__123Graph_DCHART_17" localSheetId="7" hidden="1">[2]Occ!#REF!</definedName>
    <definedName name="_40__123Graph_DCHART_17" localSheetId="8" hidden="1">[2]Occ!#REF!</definedName>
    <definedName name="_40__123Graph_DCHART_17" localSheetId="9" hidden="1">[2]Occ!#REF!</definedName>
    <definedName name="_40__123Graph_DCHART_17" localSheetId="10" hidden="1">[2]Occ!#REF!</definedName>
    <definedName name="_40__123Graph_DCHART_17" localSheetId="11" hidden="1">[2]Occ!#REF!</definedName>
    <definedName name="_40__123Graph_DCHART_17" localSheetId="1" hidden="1">[2]Occ!#REF!</definedName>
    <definedName name="_40__123Graph_DCHART_17" hidden="1">[2]Occ!#REF!</definedName>
    <definedName name="_42__123Graph_DCHART_22" localSheetId="2" hidden="1">[2]Occ!#REF!</definedName>
    <definedName name="_42__123Graph_DCHART_22" localSheetId="3" hidden="1">[2]Occ!#REF!</definedName>
    <definedName name="_42__123Graph_DCHART_22" localSheetId="4" hidden="1">[2]Occ!#REF!</definedName>
    <definedName name="_42__123Graph_DCHART_22" localSheetId="5" hidden="1">[2]Occ!#REF!</definedName>
    <definedName name="_42__123Graph_DCHART_22" localSheetId="6" hidden="1">[2]Occ!#REF!</definedName>
    <definedName name="_42__123Graph_DCHART_22" localSheetId="7" hidden="1">[2]Occ!#REF!</definedName>
    <definedName name="_42__123Graph_DCHART_22" localSheetId="8" hidden="1">[2]Occ!#REF!</definedName>
    <definedName name="_42__123Graph_DCHART_22" localSheetId="9" hidden="1">[2]Occ!#REF!</definedName>
    <definedName name="_42__123Graph_DCHART_22" localSheetId="10" hidden="1">[2]Occ!#REF!</definedName>
    <definedName name="_42__123Graph_DCHART_22" localSheetId="11" hidden="1">[2]Occ!#REF!</definedName>
    <definedName name="_42__123Graph_DCHART_22" localSheetId="1" hidden="1">[2]Occ!#REF!</definedName>
    <definedName name="_42__123Graph_DCHART_22" hidden="1">[2]Occ!#REF!</definedName>
    <definedName name="_44__123Graph_ECHART_15" localSheetId="2" hidden="1">[2]Occ!#REF!</definedName>
    <definedName name="_44__123Graph_ECHART_15" localSheetId="3" hidden="1">[2]Occ!#REF!</definedName>
    <definedName name="_44__123Graph_ECHART_15" localSheetId="4" hidden="1">[2]Occ!#REF!</definedName>
    <definedName name="_44__123Graph_ECHART_15" localSheetId="5" hidden="1">[2]Occ!#REF!</definedName>
    <definedName name="_44__123Graph_ECHART_15" localSheetId="6" hidden="1">[2]Occ!#REF!</definedName>
    <definedName name="_44__123Graph_ECHART_15" localSheetId="7" hidden="1">[2]Occ!#REF!</definedName>
    <definedName name="_44__123Graph_ECHART_15" localSheetId="8" hidden="1">[2]Occ!#REF!</definedName>
    <definedName name="_44__123Graph_ECHART_15" localSheetId="9" hidden="1">[2]Occ!#REF!</definedName>
    <definedName name="_44__123Graph_ECHART_15" localSheetId="10" hidden="1">[2]Occ!#REF!</definedName>
    <definedName name="_44__123Graph_ECHART_15" localSheetId="11" hidden="1">[2]Occ!#REF!</definedName>
    <definedName name="_44__123Graph_ECHART_15" localSheetId="1" hidden="1">[2]Occ!#REF!</definedName>
    <definedName name="_44__123Graph_ECHART_15" hidden="1">[2]Occ!#REF!</definedName>
    <definedName name="_46__123Graph_ECHART_16" localSheetId="2" hidden="1">[2]Occ!#REF!</definedName>
    <definedName name="_46__123Graph_ECHART_16" localSheetId="3" hidden="1">[2]Occ!#REF!</definedName>
    <definedName name="_46__123Graph_ECHART_16" localSheetId="4" hidden="1">[2]Occ!#REF!</definedName>
    <definedName name="_46__123Graph_ECHART_16" localSheetId="5" hidden="1">[2]Occ!#REF!</definedName>
    <definedName name="_46__123Graph_ECHART_16" localSheetId="6" hidden="1">[2]Occ!#REF!</definedName>
    <definedName name="_46__123Graph_ECHART_16" localSheetId="7" hidden="1">[2]Occ!#REF!</definedName>
    <definedName name="_46__123Graph_ECHART_16" localSheetId="8" hidden="1">[2]Occ!#REF!</definedName>
    <definedName name="_46__123Graph_ECHART_16" localSheetId="9" hidden="1">[2]Occ!#REF!</definedName>
    <definedName name="_46__123Graph_ECHART_16" localSheetId="10" hidden="1">[2]Occ!#REF!</definedName>
    <definedName name="_46__123Graph_ECHART_16" localSheetId="11" hidden="1">[2]Occ!#REF!</definedName>
    <definedName name="_46__123Graph_ECHART_16" localSheetId="1" hidden="1">[2]Occ!#REF!</definedName>
    <definedName name="_46__123Graph_ECHART_16" hidden="1">[2]Occ!#REF!</definedName>
    <definedName name="_48__123Graph_ECHART_17" localSheetId="2" hidden="1">[2]Occ!#REF!</definedName>
    <definedName name="_48__123Graph_ECHART_17" localSheetId="3" hidden="1">[2]Occ!#REF!</definedName>
    <definedName name="_48__123Graph_ECHART_17" localSheetId="4" hidden="1">[2]Occ!#REF!</definedName>
    <definedName name="_48__123Graph_ECHART_17" localSheetId="5" hidden="1">[2]Occ!#REF!</definedName>
    <definedName name="_48__123Graph_ECHART_17" localSheetId="6" hidden="1">[2]Occ!#REF!</definedName>
    <definedName name="_48__123Graph_ECHART_17" localSheetId="7" hidden="1">[2]Occ!#REF!</definedName>
    <definedName name="_48__123Graph_ECHART_17" localSheetId="8" hidden="1">[2]Occ!#REF!</definedName>
    <definedName name="_48__123Graph_ECHART_17" localSheetId="9" hidden="1">[2]Occ!#REF!</definedName>
    <definedName name="_48__123Graph_ECHART_17" localSheetId="10" hidden="1">[2]Occ!#REF!</definedName>
    <definedName name="_48__123Graph_ECHART_17" localSheetId="11" hidden="1">[2]Occ!#REF!</definedName>
    <definedName name="_48__123Graph_ECHART_17" localSheetId="1" hidden="1">[2]Occ!#REF!</definedName>
    <definedName name="_48__123Graph_ECHART_17" hidden="1">[2]Occ!#REF!</definedName>
    <definedName name="_5" localSheetId="2">#REF!</definedName>
    <definedName name="_5" localSheetId="3">#REF!</definedName>
    <definedName name="_5" localSheetId="4">#REF!</definedName>
    <definedName name="_5" localSheetId="5">#REF!</definedName>
    <definedName name="_5" localSheetId="6">#REF!</definedName>
    <definedName name="_5" localSheetId="7">#REF!</definedName>
    <definedName name="_5" localSheetId="8">#REF!</definedName>
    <definedName name="_5" localSheetId="9">#REF!</definedName>
    <definedName name="_5" localSheetId="10">#REF!</definedName>
    <definedName name="_5" localSheetId="11">#REF!</definedName>
    <definedName name="_5" localSheetId="1">#REF!</definedName>
    <definedName name="_5">#REF!</definedName>
    <definedName name="_5__123Graph_ACHART_18" localSheetId="2" hidden="1">[2]Demand!#REF!</definedName>
    <definedName name="_5__123Graph_ACHART_18" localSheetId="3" hidden="1">[2]Demand!#REF!</definedName>
    <definedName name="_5__123Graph_ACHART_18" localSheetId="4" hidden="1">[2]Demand!#REF!</definedName>
    <definedName name="_5__123Graph_ACHART_18" localSheetId="5" hidden="1">[2]Demand!#REF!</definedName>
    <definedName name="_5__123Graph_ACHART_18" localSheetId="6" hidden="1">[2]Demand!#REF!</definedName>
    <definedName name="_5__123Graph_ACHART_18" localSheetId="7" hidden="1">[2]Demand!#REF!</definedName>
    <definedName name="_5__123Graph_ACHART_18" localSheetId="8" hidden="1">[2]Demand!#REF!</definedName>
    <definedName name="_5__123Graph_ACHART_18" localSheetId="9" hidden="1">[2]Demand!#REF!</definedName>
    <definedName name="_5__123Graph_ACHART_18" localSheetId="10" hidden="1">[2]Demand!#REF!</definedName>
    <definedName name="_5__123Graph_ACHART_18" localSheetId="11" hidden="1">[2]Demand!#REF!</definedName>
    <definedName name="_5__123Graph_ACHART_18" localSheetId="1" hidden="1">[2]Demand!#REF!</definedName>
    <definedName name="_5__123Graph_ACHART_18" hidden="1">[2]Demand!#REF!</definedName>
    <definedName name="_50__123Graph_ECHART_22" localSheetId="2" hidden="1">[2]Occ!#REF!</definedName>
    <definedName name="_50__123Graph_ECHART_22" localSheetId="3" hidden="1">[2]Occ!#REF!</definedName>
    <definedName name="_50__123Graph_ECHART_22" localSheetId="4" hidden="1">[2]Occ!#REF!</definedName>
    <definedName name="_50__123Graph_ECHART_22" localSheetId="5" hidden="1">[2]Occ!#REF!</definedName>
    <definedName name="_50__123Graph_ECHART_22" localSheetId="6" hidden="1">[2]Occ!#REF!</definedName>
    <definedName name="_50__123Graph_ECHART_22" localSheetId="7" hidden="1">[2]Occ!#REF!</definedName>
    <definedName name="_50__123Graph_ECHART_22" localSheetId="8" hidden="1">[2]Occ!#REF!</definedName>
    <definedName name="_50__123Graph_ECHART_22" localSheetId="9" hidden="1">[2]Occ!#REF!</definedName>
    <definedName name="_50__123Graph_ECHART_22" localSheetId="10" hidden="1">[2]Occ!#REF!</definedName>
    <definedName name="_50__123Graph_ECHART_22" localSheetId="11" hidden="1">[2]Occ!#REF!</definedName>
    <definedName name="_50__123Graph_ECHART_22" localSheetId="1" hidden="1">[2]Occ!#REF!</definedName>
    <definedName name="_50__123Graph_ECHART_22" hidden="1">[2]Occ!#REF!</definedName>
    <definedName name="_52__123Graph_FCHART_15" localSheetId="2" hidden="1">[2]Occ!#REF!</definedName>
    <definedName name="_52__123Graph_FCHART_15" localSheetId="3" hidden="1">[2]Occ!#REF!</definedName>
    <definedName name="_52__123Graph_FCHART_15" localSheetId="4" hidden="1">[2]Occ!#REF!</definedName>
    <definedName name="_52__123Graph_FCHART_15" localSheetId="5" hidden="1">[2]Occ!#REF!</definedName>
    <definedName name="_52__123Graph_FCHART_15" localSheetId="6" hidden="1">[2]Occ!#REF!</definedName>
    <definedName name="_52__123Graph_FCHART_15" localSheetId="7" hidden="1">[2]Occ!#REF!</definedName>
    <definedName name="_52__123Graph_FCHART_15" localSheetId="8" hidden="1">[2]Occ!#REF!</definedName>
    <definedName name="_52__123Graph_FCHART_15" localSheetId="9" hidden="1">[2]Occ!#REF!</definedName>
    <definedName name="_52__123Graph_FCHART_15" localSheetId="10" hidden="1">[2]Occ!#REF!</definedName>
    <definedName name="_52__123Graph_FCHART_15" localSheetId="11" hidden="1">[2]Occ!#REF!</definedName>
    <definedName name="_52__123Graph_FCHART_15" localSheetId="1" hidden="1">[2]Occ!#REF!</definedName>
    <definedName name="_52__123Graph_FCHART_15" hidden="1">[2]Occ!#REF!</definedName>
    <definedName name="_54__123Graph_FCHART_16" localSheetId="2" hidden="1">[2]Occ!#REF!</definedName>
    <definedName name="_54__123Graph_FCHART_16" localSheetId="3" hidden="1">[2]Occ!#REF!</definedName>
    <definedName name="_54__123Graph_FCHART_16" localSheetId="4" hidden="1">[2]Occ!#REF!</definedName>
    <definedName name="_54__123Graph_FCHART_16" localSheetId="5" hidden="1">[2]Occ!#REF!</definedName>
    <definedName name="_54__123Graph_FCHART_16" localSheetId="6" hidden="1">[2]Occ!#REF!</definedName>
    <definedName name="_54__123Graph_FCHART_16" localSheetId="7" hidden="1">[2]Occ!#REF!</definedName>
    <definedName name="_54__123Graph_FCHART_16" localSheetId="8" hidden="1">[2]Occ!#REF!</definedName>
    <definedName name="_54__123Graph_FCHART_16" localSheetId="9" hidden="1">[2]Occ!#REF!</definedName>
    <definedName name="_54__123Graph_FCHART_16" localSheetId="10" hidden="1">[2]Occ!#REF!</definedName>
    <definedName name="_54__123Graph_FCHART_16" localSheetId="11" hidden="1">[2]Occ!#REF!</definedName>
    <definedName name="_54__123Graph_FCHART_16" localSheetId="1" hidden="1">[2]Occ!#REF!</definedName>
    <definedName name="_54__123Graph_FCHART_16" hidden="1">[2]Occ!#REF!</definedName>
    <definedName name="_56__123Graph_FCHART_17" localSheetId="2" hidden="1">[2]Occ!#REF!</definedName>
    <definedName name="_56__123Graph_FCHART_17" localSheetId="3" hidden="1">[2]Occ!#REF!</definedName>
    <definedName name="_56__123Graph_FCHART_17" localSheetId="4" hidden="1">[2]Occ!#REF!</definedName>
    <definedName name="_56__123Graph_FCHART_17" localSheetId="5" hidden="1">[2]Occ!#REF!</definedName>
    <definedName name="_56__123Graph_FCHART_17" localSheetId="6" hidden="1">[2]Occ!#REF!</definedName>
    <definedName name="_56__123Graph_FCHART_17" localSheetId="7" hidden="1">[2]Occ!#REF!</definedName>
    <definedName name="_56__123Graph_FCHART_17" localSheetId="8" hidden="1">[2]Occ!#REF!</definedName>
    <definedName name="_56__123Graph_FCHART_17" localSheetId="9" hidden="1">[2]Occ!#REF!</definedName>
    <definedName name="_56__123Graph_FCHART_17" localSheetId="10" hidden="1">[2]Occ!#REF!</definedName>
    <definedName name="_56__123Graph_FCHART_17" localSheetId="11" hidden="1">[2]Occ!#REF!</definedName>
    <definedName name="_56__123Graph_FCHART_17" localSheetId="1" hidden="1">[2]Occ!#REF!</definedName>
    <definedName name="_56__123Graph_FCHART_17" hidden="1">[2]Occ!#REF!</definedName>
    <definedName name="_58__123Graph_FCHART_22" localSheetId="2" hidden="1">[2]Occ!#REF!</definedName>
    <definedName name="_58__123Graph_FCHART_22" localSheetId="3" hidden="1">[2]Occ!#REF!</definedName>
    <definedName name="_58__123Graph_FCHART_22" localSheetId="4" hidden="1">[2]Occ!#REF!</definedName>
    <definedName name="_58__123Graph_FCHART_22" localSheetId="5" hidden="1">[2]Occ!#REF!</definedName>
    <definedName name="_58__123Graph_FCHART_22" localSheetId="6" hidden="1">[2]Occ!#REF!</definedName>
    <definedName name="_58__123Graph_FCHART_22" localSheetId="7" hidden="1">[2]Occ!#REF!</definedName>
    <definedName name="_58__123Graph_FCHART_22" localSheetId="8" hidden="1">[2]Occ!#REF!</definedName>
    <definedName name="_58__123Graph_FCHART_22" localSheetId="9" hidden="1">[2]Occ!#REF!</definedName>
    <definedName name="_58__123Graph_FCHART_22" localSheetId="10" hidden="1">[2]Occ!#REF!</definedName>
    <definedName name="_58__123Graph_FCHART_22" localSheetId="11" hidden="1">[2]Occ!#REF!</definedName>
    <definedName name="_58__123Graph_FCHART_22" localSheetId="1" hidden="1">[2]Occ!#REF!</definedName>
    <definedName name="_58__123Graph_FCHART_22" hidden="1">[2]Occ!#REF!</definedName>
    <definedName name="_6" localSheetId="2">#REF!</definedName>
    <definedName name="_6" localSheetId="3">#REF!</definedName>
    <definedName name="_6" localSheetId="4">#REF!</definedName>
    <definedName name="_6" localSheetId="5">#REF!</definedName>
    <definedName name="_6" localSheetId="6">#REF!</definedName>
    <definedName name="_6" localSheetId="7">#REF!</definedName>
    <definedName name="_6" localSheetId="8">#REF!</definedName>
    <definedName name="_6" localSheetId="9">#REF!</definedName>
    <definedName name="_6" localSheetId="10">#REF!</definedName>
    <definedName name="_6" localSheetId="11">#REF!</definedName>
    <definedName name="_6" localSheetId="1">#REF!</definedName>
    <definedName name="_6">#REF!</definedName>
    <definedName name="_6__123Graph_ACHART_16" localSheetId="2" hidden="1">[2]Occ!#REF!</definedName>
    <definedName name="_6__123Graph_ACHART_16" localSheetId="3" hidden="1">[2]Occ!#REF!</definedName>
    <definedName name="_6__123Graph_ACHART_16" localSheetId="4" hidden="1">[2]Occ!#REF!</definedName>
    <definedName name="_6__123Graph_ACHART_16" localSheetId="5" hidden="1">[2]Occ!#REF!</definedName>
    <definedName name="_6__123Graph_ACHART_16" localSheetId="6" hidden="1">[2]Occ!#REF!</definedName>
    <definedName name="_6__123Graph_ACHART_16" localSheetId="7" hidden="1">[2]Occ!#REF!</definedName>
    <definedName name="_6__123Graph_ACHART_16" localSheetId="8" hidden="1">[2]Occ!#REF!</definedName>
    <definedName name="_6__123Graph_ACHART_16" localSheetId="9" hidden="1">[2]Occ!#REF!</definedName>
    <definedName name="_6__123Graph_ACHART_16" localSheetId="10" hidden="1">[2]Occ!#REF!</definedName>
    <definedName name="_6__123Graph_ACHART_16" localSheetId="11" hidden="1">[2]Occ!#REF!</definedName>
    <definedName name="_6__123Graph_ACHART_16" localSheetId="1" hidden="1">[2]Occ!#REF!</definedName>
    <definedName name="_6__123Graph_ACHART_16" hidden="1">[2]Occ!#REF!</definedName>
    <definedName name="_6__123Graph_ACHART_19" localSheetId="2" hidden="1">[2]Demand!#REF!</definedName>
    <definedName name="_6__123Graph_ACHART_19" localSheetId="3" hidden="1">[2]Demand!#REF!</definedName>
    <definedName name="_6__123Graph_ACHART_19" localSheetId="4" hidden="1">[2]Demand!#REF!</definedName>
    <definedName name="_6__123Graph_ACHART_19" localSheetId="5" hidden="1">[2]Demand!#REF!</definedName>
    <definedName name="_6__123Graph_ACHART_19" localSheetId="6" hidden="1">[2]Demand!#REF!</definedName>
    <definedName name="_6__123Graph_ACHART_19" localSheetId="7" hidden="1">[2]Demand!#REF!</definedName>
    <definedName name="_6__123Graph_ACHART_19" localSheetId="8" hidden="1">[2]Demand!#REF!</definedName>
    <definedName name="_6__123Graph_ACHART_19" localSheetId="9" hidden="1">[2]Demand!#REF!</definedName>
    <definedName name="_6__123Graph_ACHART_19" localSheetId="10" hidden="1">[2]Demand!#REF!</definedName>
    <definedName name="_6__123Graph_ACHART_19" localSheetId="11" hidden="1">[2]Demand!#REF!</definedName>
    <definedName name="_6__123Graph_ACHART_19" localSheetId="1" hidden="1">[2]Demand!#REF!</definedName>
    <definedName name="_6__123Graph_ACHART_19" hidden="1">[2]Demand!#REF!</definedName>
    <definedName name="_60__123Graph_XCHART_15" localSheetId="2" hidden="1">[2]Occ!#REF!</definedName>
    <definedName name="_60__123Graph_XCHART_15" localSheetId="3" hidden="1">[2]Occ!#REF!</definedName>
    <definedName name="_60__123Graph_XCHART_15" localSheetId="4" hidden="1">[2]Occ!#REF!</definedName>
    <definedName name="_60__123Graph_XCHART_15" localSheetId="5" hidden="1">[2]Occ!#REF!</definedName>
    <definedName name="_60__123Graph_XCHART_15" localSheetId="6" hidden="1">[2]Occ!#REF!</definedName>
    <definedName name="_60__123Graph_XCHART_15" localSheetId="7" hidden="1">[2]Occ!#REF!</definedName>
    <definedName name="_60__123Graph_XCHART_15" localSheetId="8" hidden="1">[2]Occ!#REF!</definedName>
    <definedName name="_60__123Graph_XCHART_15" localSheetId="9" hidden="1">[2]Occ!#REF!</definedName>
    <definedName name="_60__123Graph_XCHART_15" localSheetId="10" hidden="1">[2]Occ!#REF!</definedName>
    <definedName name="_60__123Graph_XCHART_15" localSheetId="11" hidden="1">[2]Occ!#REF!</definedName>
    <definedName name="_60__123Graph_XCHART_15" localSheetId="1" hidden="1">[2]Occ!#REF!</definedName>
    <definedName name="_60__123Graph_XCHART_15" hidden="1">[2]Occ!#REF!</definedName>
    <definedName name="_62__123Graph_XCHART_16" localSheetId="2" hidden="1">[2]Occ!#REF!</definedName>
    <definedName name="_62__123Graph_XCHART_16" localSheetId="3" hidden="1">[2]Occ!#REF!</definedName>
    <definedName name="_62__123Graph_XCHART_16" localSheetId="4" hidden="1">[2]Occ!#REF!</definedName>
    <definedName name="_62__123Graph_XCHART_16" localSheetId="5" hidden="1">[2]Occ!#REF!</definedName>
    <definedName name="_62__123Graph_XCHART_16" localSheetId="6" hidden="1">[2]Occ!#REF!</definedName>
    <definedName name="_62__123Graph_XCHART_16" localSheetId="7" hidden="1">[2]Occ!#REF!</definedName>
    <definedName name="_62__123Graph_XCHART_16" localSheetId="8" hidden="1">[2]Occ!#REF!</definedName>
    <definedName name="_62__123Graph_XCHART_16" localSheetId="9" hidden="1">[2]Occ!#REF!</definedName>
    <definedName name="_62__123Graph_XCHART_16" localSheetId="10" hidden="1">[2]Occ!#REF!</definedName>
    <definedName name="_62__123Graph_XCHART_16" localSheetId="11" hidden="1">[2]Occ!#REF!</definedName>
    <definedName name="_62__123Graph_XCHART_16" localSheetId="1" hidden="1">[2]Occ!#REF!</definedName>
    <definedName name="_62__123Graph_XCHART_16" hidden="1">[2]Occ!#REF!</definedName>
    <definedName name="_64__123Graph_XCHART_17" localSheetId="2" hidden="1">[2]Occ!#REF!</definedName>
    <definedName name="_64__123Graph_XCHART_17" localSheetId="3" hidden="1">[2]Occ!#REF!</definedName>
    <definedName name="_64__123Graph_XCHART_17" localSheetId="4" hidden="1">[2]Occ!#REF!</definedName>
    <definedName name="_64__123Graph_XCHART_17" localSheetId="5" hidden="1">[2]Occ!#REF!</definedName>
    <definedName name="_64__123Graph_XCHART_17" localSheetId="6" hidden="1">[2]Occ!#REF!</definedName>
    <definedName name="_64__123Graph_XCHART_17" localSheetId="7" hidden="1">[2]Occ!#REF!</definedName>
    <definedName name="_64__123Graph_XCHART_17" localSheetId="8" hidden="1">[2]Occ!#REF!</definedName>
    <definedName name="_64__123Graph_XCHART_17" localSheetId="9" hidden="1">[2]Occ!#REF!</definedName>
    <definedName name="_64__123Graph_XCHART_17" localSheetId="10" hidden="1">[2]Occ!#REF!</definedName>
    <definedName name="_64__123Graph_XCHART_17" localSheetId="11" hidden="1">[2]Occ!#REF!</definedName>
    <definedName name="_64__123Graph_XCHART_17" localSheetId="1" hidden="1">[2]Occ!#REF!</definedName>
    <definedName name="_64__123Graph_XCHART_17" hidden="1">[2]Occ!#REF!</definedName>
    <definedName name="_66__123Graph_XCHART_18" localSheetId="2" hidden="1">[2]Demand!#REF!</definedName>
    <definedName name="_66__123Graph_XCHART_18" localSheetId="3" hidden="1">[2]Demand!#REF!</definedName>
    <definedName name="_66__123Graph_XCHART_18" localSheetId="4" hidden="1">[2]Demand!#REF!</definedName>
    <definedName name="_66__123Graph_XCHART_18" localSheetId="5" hidden="1">[2]Demand!#REF!</definedName>
    <definedName name="_66__123Graph_XCHART_18" localSheetId="6" hidden="1">[2]Demand!#REF!</definedName>
    <definedName name="_66__123Graph_XCHART_18" localSheetId="7" hidden="1">[2]Demand!#REF!</definedName>
    <definedName name="_66__123Graph_XCHART_18" localSheetId="8" hidden="1">[2]Demand!#REF!</definedName>
    <definedName name="_66__123Graph_XCHART_18" localSheetId="9" hidden="1">[2]Demand!#REF!</definedName>
    <definedName name="_66__123Graph_XCHART_18" localSheetId="10" hidden="1">[2]Demand!#REF!</definedName>
    <definedName name="_66__123Graph_XCHART_18" localSheetId="11" hidden="1">[2]Demand!#REF!</definedName>
    <definedName name="_66__123Graph_XCHART_18" localSheetId="1" hidden="1">[2]Demand!#REF!</definedName>
    <definedName name="_66__123Graph_XCHART_18" hidden="1">[2]Demand!#REF!</definedName>
    <definedName name="_68__123Graph_XCHART_19" localSheetId="2" hidden="1">[2]Demand!#REF!</definedName>
    <definedName name="_68__123Graph_XCHART_19" localSheetId="3" hidden="1">[2]Demand!#REF!</definedName>
    <definedName name="_68__123Graph_XCHART_19" localSheetId="4" hidden="1">[2]Demand!#REF!</definedName>
    <definedName name="_68__123Graph_XCHART_19" localSheetId="5" hidden="1">[2]Demand!#REF!</definedName>
    <definedName name="_68__123Graph_XCHART_19" localSheetId="6" hidden="1">[2]Demand!#REF!</definedName>
    <definedName name="_68__123Graph_XCHART_19" localSheetId="7" hidden="1">[2]Demand!#REF!</definedName>
    <definedName name="_68__123Graph_XCHART_19" localSheetId="8" hidden="1">[2]Demand!#REF!</definedName>
    <definedName name="_68__123Graph_XCHART_19" localSheetId="9" hidden="1">[2]Demand!#REF!</definedName>
    <definedName name="_68__123Graph_XCHART_19" localSheetId="10" hidden="1">[2]Demand!#REF!</definedName>
    <definedName name="_68__123Graph_XCHART_19" localSheetId="11" hidden="1">[2]Demand!#REF!</definedName>
    <definedName name="_68__123Graph_XCHART_19" localSheetId="1" hidden="1">[2]Demand!#REF!</definedName>
    <definedName name="_68__123Graph_XCHART_19" hidden="1">[2]Demand!#REF!</definedName>
    <definedName name="_7__123Graph_ACHART_21" localSheetId="2" hidden="1">[2]Occ!#REF!</definedName>
    <definedName name="_7__123Graph_ACHART_21" localSheetId="3" hidden="1">[2]Occ!#REF!</definedName>
    <definedName name="_7__123Graph_ACHART_21" localSheetId="4" hidden="1">[2]Occ!#REF!</definedName>
    <definedName name="_7__123Graph_ACHART_21" localSheetId="5" hidden="1">[2]Occ!#REF!</definedName>
    <definedName name="_7__123Graph_ACHART_21" localSheetId="6" hidden="1">[2]Occ!#REF!</definedName>
    <definedName name="_7__123Graph_ACHART_21" localSheetId="7" hidden="1">[2]Occ!#REF!</definedName>
    <definedName name="_7__123Graph_ACHART_21" localSheetId="8" hidden="1">[2]Occ!#REF!</definedName>
    <definedName name="_7__123Graph_ACHART_21" localSheetId="9" hidden="1">[2]Occ!#REF!</definedName>
    <definedName name="_7__123Graph_ACHART_21" localSheetId="10" hidden="1">[2]Occ!#REF!</definedName>
    <definedName name="_7__123Graph_ACHART_21" localSheetId="11" hidden="1">[2]Occ!#REF!</definedName>
    <definedName name="_7__123Graph_ACHART_21" localSheetId="1" hidden="1">[2]Occ!#REF!</definedName>
    <definedName name="_7__123Graph_ACHART_21" hidden="1">[2]Occ!#REF!</definedName>
    <definedName name="_70__123Graph_XCHART_22" localSheetId="2" hidden="1">[2]Occ!#REF!</definedName>
    <definedName name="_70__123Graph_XCHART_22" localSheetId="3" hidden="1">[2]Occ!#REF!</definedName>
    <definedName name="_70__123Graph_XCHART_22" localSheetId="4" hidden="1">[2]Occ!#REF!</definedName>
    <definedName name="_70__123Graph_XCHART_22" localSheetId="5" hidden="1">[2]Occ!#REF!</definedName>
    <definedName name="_70__123Graph_XCHART_22" localSheetId="6" hidden="1">[2]Occ!#REF!</definedName>
    <definedName name="_70__123Graph_XCHART_22" localSheetId="7" hidden="1">[2]Occ!#REF!</definedName>
    <definedName name="_70__123Graph_XCHART_22" localSheetId="8" hidden="1">[2]Occ!#REF!</definedName>
    <definedName name="_70__123Graph_XCHART_22" localSheetId="9" hidden="1">[2]Occ!#REF!</definedName>
    <definedName name="_70__123Graph_XCHART_22" localSheetId="10" hidden="1">[2]Occ!#REF!</definedName>
    <definedName name="_70__123Graph_XCHART_22" localSheetId="11" hidden="1">[2]Occ!#REF!</definedName>
    <definedName name="_70__123Graph_XCHART_22" localSheetId="1" hidden="1">[2]Occ!#REF!</definedName>
    <definedName name="_70__123Graph_XCHART_22" hidden="1">[2]Occ!#REF!</definedName>
    <definedName name="_72__123Graph_XSEG_PIE" localSheetId="2" hidden="1">[2]Demand!#REF!</definedName>
    <definedName name="_72__123Graph_XSEG_PIE" localSheetId="3" hidden="1">[2]Demand!#REF!</definedName>
    <definedName name="_72__123Graph_XSEG_PIE" localSheetId="4" hidden="1">[2]Demand!#REF!</definedName>
    <definedName name="_72__123Graph_XSEG_PIE" localSheetId="5" hidden="1">[2]Demand!#REF!</definedName>
    <definedName name="_72__123Graph_XSEG_PIE" localSheetId="6" hidden="1">[2]Demand!#REF!</definedName>
    <definedName name="_72__123Graph_XSEG_PIE" localSheetId="7" hidden="1">[2]Demand!#REF!</definedName>
    <definedName name="_72__123Graph_XSEG_PIE" localSheetId="8" hidden="1">[2]Demand!#REF!</definedName>
    <definedName name="_72__123Graph_XSEG_PIE" localSheetId="9" hidden="1">[2]Demand!#REF!</definedName>
    <definedName name="_72__123Graph_XSEG_PIE" localSheetId="10" hidden="1">[2]Demand!#REF!</definedName>
    <definedName name="_72__123Graph_XSEG_PIE" localSheetId="11" hidden="1">[2]Demand!#REF!</definedName>
    <definedName name="_72__123Graph_XSEG_PIE" localSheetId="1" hidden="1">[2]Demand!#REF!</definedName>
    <definedName name="_72__123Graph_XSEG_PIE" hidden="1">[2]Demand!#REF!</definedName>
    <definedName name="_8__123Graph_ACHART_17" localSheetId="2" hidden="1">[2]Occ!#REF!</definedName>
    <definedName name="_8__123Graph_ACHART_17" localSheetId="3" hidden="1">[2]Occ!#REF!</definedName>
    <definedName name="_8__123Graph_ACHART_17" localSheetId="4" hidden="1">[2]Occ!#REF!</definedName>
    <definedName name="_8__123Graph_ACHART_17" localSheetId="5" hidden="1">[2]Occ!#REF!</definedName>
    <definedName name="_8__123Graph_ACHART_17" localSheetId="6" hidden="1">[2]Occ!#REF!</definedName>
    <definedName name="_8__123Graph_ACHART_17" localSheetId="7" hidden="1">[2]Occ!#REF!</definedName>
    <definedName name="_8__123Graph_ACHART_17" localSheetId="8" hidden="1">[2]Occ!#REF!</definedName>
    <definedName name="_8__123Graph_ACHART_17" localSheetId="9" hidden="1">[2]Occ!#REF!</definedName>
    <definedName name="_8__123Graph_ACHART_17" localSheetId="10" hidden="1">[2]Occ!#REF!</definedName>
    <definedName name="_8__123Graph_ACHART_17" localSheetId="11" hidden="1">[2]Occ!#REF!</definedName>
    <definedName name="_8__123Graph_ACHART_17" localSheetId="1" hidden="1">[2]Occ!#REF!</definedName>
    <definedName name="_8__123Graph_ACHART_17" hidden="1">[2]Occ!#REF!</definedName>
    <definedName name="_8__123Graph_ASEG_PIE" localSheetId="2" hidden="1">[2]Demand!#REF!</definedName>
    <definedName name="_8__123Graph_ASEG_PIE" localSheetId="3" hidden="1">[2]Demand!#REF!</definedName>
    <definedName name="_8__123Graph_ASEG_PIE" localSheetId="4" hidden="1">[2]Demand!#REF!</definedName>
    <definedName name="_8__123Graph_ASEG_PIE" localSheetId="5" hidden="1">[2]Demand!#REF!</definedName>
    <definedName name="_8__123Graph_ASEG_PIE" localSheetId="6" hidden="1">[2]Demand!#REF!</definedName>
    <definedName name="_8__123Graph_ASEG_PIE" localSheetId="7" hidden="1">[2]Demand!#REF!</definedName>
    <definedName name="_8__123Graph_ASEG_PIE" localSheetId="8" hidden="1">[2]Demand!#REF!</definedName>
    <definedName name="_8__123Graph_ASEG_PIE" localSheetId="9" hidden="1">[2]Demand!#REF!</definedName>
    <definedName name="_8__123Graph_ASEG_PIE" localSheetId="10" hidden="1">[2]Demand!#REF!</definedName>
    <definedName name="_8__123Graph_ASEG_PIE" localSheetId="11" hidden="1">[2]Demand!#REF!</definedName>
    <definedName name="_8__123Graph_ASEG_PIE" localSheetId="1" hidden="1">[2]Demand!#REF!</definedName>
    <definedName name="_8__123Graph_ASEG_PIE" hidden="1">[2]Demand!#REF!</definedName>
    <definedName name="_9__123Graph_BCHART_15" localSheetId="2" hidden="1">[2]Occ!#REF!</definedName>
    <definedName name="_9__123Graph_BCHART_15" localSheetId="3" hidden="1">[2]Occ!#REF!</definedName>
    <definedName name="_9__123Graph_BCHART_15" localSheetId="4" hidden="1">[2]Occ!#REF!</definedName>
    <definedName name="_9__123Graph_BCHART_15" localSheetId="5" hidden="1">[2]Occ!#REF!</definedName>
    <definedName name="_9__123Graph_BCHART_15" localSheetId="6" hidden="1">[2]Occ!#REF!</definedName>
    <definedName name="_9__123Graph_BCHART_15" localSheetId="7" hidden="1">[2]Occ!#REF!</definedName>
    <definedName name="_9__123Graph_BCHART_15" localSheetId="8" hidden="1">[2]Occ!#REF!</definedName>
    <definedName name="_9__123Graph_BCHART_15" localSheetId="9" hidden="1">[2]Occ!#REF!</definedName>
    <definedName name="_9__123Graph_BCHART_15" localSheetId="10" hidden="1">[2]Occ!#REF!</definedName>
    <definedName name="_9__123Graph_BCHART_15" localSheetId="11" hidden="1">[2]Occ!#REF!</definedName>
    <definedName name="_9__123Graph_BCHART_15" localSheetId="1" hidden="1">[2]Occ!#REF!</definedName>
    <definedName name="_9__123Graph_BCHART_15" hidden="1">[2]Occ!#REF!</definedName>
    <definedName name="_blk4" localSheetId="2">#REF!</definedName>
    <definedName name="_blk4" localSheetId="3">#REF!</definedName>
    <definedName name="_blk4" localSheetId="4">#REF!</definedName>
    <definedName name="_blk4" localSheetId="5">#REF!</definedName>
    <definedName name="_blk4" localSheetId="6">#REF!</definedName>
    <definedName name="_blk4" localSheetId="7">#REF!</definedName>
    <definedName name="_blk4" localSheetId="8">#REF!</definedName>
    <definedName name="_blk4" localSheetId="9">#REF!</definedName>
    <definedName name="_blk4" localSheetId="10">#REF!</definedName>
    <definedName name="_blk4" localSheetId="11">#REF!</definedName>
    <definedName name="_blk4" localSheetId="1">#REF!</definedName>
    <definedName name="_blk4">#REF!</definedName>
    <definedName name="_ewk4" localSheetId="2">#REF!</definedName>
    <definedName name="_ewk4" localSheetId="3">#REF!</definedName>
    <definedName name="_ewk4" localSheetId="4">#REF!</definedName>
    <definedName name="_ewk4" localSheetId="5">#REF!</definedName>
    <definedName name="_ewk4" localSheetId="6">#REF!</definedName>
    <definedName name="_ewk4" localSheetId="7">#REF!</definedName>
    <definedName name="_ewk4" localSheetId="8">#REF!</definedName>
    <definedName name="_ewk4" localSheetId="9">#REF!</definedName>
    <definedName name="_ewk4" localSheetId="10">#REF!</definedName>
    <definedName name="_ewk4" localSheetId="11">#REF!</definedName>
    <definedName name="_ewk4" localSheetId="1">#REF!</definedName>
    <definedName name="_ewk4">#REF!</definedName>
    <definedName name="_Fill" localSheetId="2" hidden="1">'[1]입찰내역 발주처 양식'!#REF!</definedName>
    <definedName name="_Fill" localSheetId="3" hidden="1">'[1]입찰내역 발주처 양식'!#REF!</definedName>
    <definedName name="_Fill" localSheetId="4" hidden="1">'[1]입찰내역 발주처 양식'!#REF!</definedName>
    <definedName name="_Fill" localSheetId="5" hidden="1">'[1]입찰내역 발주처 양식'!#REF!</definedName>
    <definedName name="_Fill" localSheetId="6" hidden="1">'[1]입찰내역 발주처 양식'!#REF!</definedName>
    <definedName name="_Fill" localSheetId="7" hidden="1">'[1]입찰내역 발주처 양식'!#REF!</definedName>
    <definedName name="_Fill" localSheetId="8" hidden="1">'[1]입찰내역 발주처 양식'!#REF!</definedName>
    <definedName name="_Fill" localSheetId="9" hidden="1">'[1]입찰내역 발주처 양식'!#REF!</definedName>
    <definedName name="_Fill" localSheetId="10" hidden="1">'[1]입찰내역 발주처 양식'!#REF!</definedName>
    <definedName name="_Fill" localSheetId="11" hidden="1">'[1]입찰내역 발주처 양식'!#REF!</definedName>
    <definedName name="_Fill" localSheetId="1" hidden="1">'[1]입찰내역 발주처 양식'!#REF!</definedName>
    <definedName name="_Fill" hidden="1">'[1]입찰내역 발주처 양식'!#REF!</definedName>
    <definedName name="_xlnm._FilterDatabase" localSheetId="7" hidden="1">'H.D&amp;W'!$A$3:$V$3</definedName>
    <definedName name="_xlnm._FilterDatabase" localSheetId="8" hidden="1">'J. Finishes'!$A$3:$U$331</definedName>
    <definedName name="_xlnm._FilterDatabase" localSheetId="10" hidden="1">'Q. Mech'!$A$4:$Z$1074</definedName>
    <definedName name="_xlnm._FilterDatabase" localSheetId="11" hidden="1">'R. Elec'!$A$4:$Z$506</definedName>
    <definedName name="_ice4" localSheetId="2">#REF!</definedName>
    <definedName name="_ice4" localSheetId="3">#REF!</definedName>
    <definedName name="_ice4" localSheetId="4">#REF!</definedName>
    <definedName name="_ice4" localSheetId="5">#REF!</definedName>
    <definedName name="_ice4" localSheetId="6">#REF!</definedName>
    <definedName name="_ice4" localSheetId="7">#REF!</definedName>
    <definedName name="_ice4" localSheetId="8">#REF!</definedName>
    <definedName name="_ice4" localSheetId="9">#REF!</definedName>
    <definedName name="_ice4" localSheetId="10">#REF!</definedName>
    <definedName name="_ice4" localSheetId="11">#REF!</definedName>
    <definedName name="_ice4" localSheetId="1">#REF!</definedName>
    <definedName name="_ice4">#REF!</definedName>
    <definedName name="_Key1" localSheetId="2" hidden="1">'[3]SRC-B3U2'!#REF!</definedName>
    <definedName name="_Key1" localSheetId="3" hidden="1">'[3]SRC-B3U2'!#REF!</definedName>
    <definedName name="_Key1" localSheetId="4" hidden="1">'[3]SRC-B3U2'!#REF!</definedName>
    <definedName name="_Key1" localSheetId="5" hidden="1">'[3]SRC-B3U2'!#REF!</definedName>
    <definedName name="_Key1" localSheetId="6" hidden="1">'[3]SRC-B3U2'!#REF!</definedName>
    <definedName name="_Key1" localSheetId="7" hidden="1">'[3]SRC-B3U2'!#REF!</definedName>
    <definedName name="_Key1" localSheetId="8" hidden="1">'[3]SRC-B3U2'!#REF!</definedName>
    <definedName name="_Key1" localSheetId="9" hidden="1">'[3]SRC-B3U2'!#REF!</definedName>
    <definedName name="_Key1" localSheetId="10" hidden="1">'[3]SRC-B3U2'!#REF!</definedName>
    <definedName name="_Key1" localSheetId="11" hidden="1">'[3]SRC-B3U2'!#REF!</definedName>
    <definedName name="_Key1" localSheetId="1" hidden="1">'[3]SRC-B3U2'!#REF!</definedName>
    <definedName name="_Key1" hidden="1">'[3]SRC-B3U2'!#REF!</definedName>
    <definedName name="_Order1" hidden="1">255</definedName>
    <definedName name="_Order2" hidden="1">255</definedName>
    <definedName name="_pl4" localSheetId="2">#REF!</definedName>
    <definedName name="_pl4" localSheetId="3">#REF!</definedName>
    <definedName name="_pl4" localSheetId="4">#REF!</definedName>
    <definedName name="_pl4" localSheetId="5">#REF!</definedName>
    <definedName name="_pl4" localSheetId="6">#REF!</definedName>
    <definedName name="_pl4" localSheetId="7">#REF!</definedName>
    <definedName name="_pl4" localSheetId="8">#REF!</definedName>
    <definedName name="_pl4" localSheetId="9">#REF!</definedName>
    <definedName name="_pl4" localSheetId="10">#REF!</definedName>
    <definedName name="_pl4" localSheetId="11">#REF!</definedName>
    <definedName name="_pl4" localSheetId="1">#REF!</definedName>
    <definedName name="_pl4">#REF!</definedName>
    <definedName name="_pls4" localSheetId="2">#REF!</definedName>
    <definedName name="_pls4" localSheetId="3">#REF!</definedName>
    <definedName name="_pls4" localSheetId="4">#REF!</definedName>
    <definedName name="_pls4" localSheetId="5">#REF!</definedName>
    <definedName name="_pls4" localSheetId="6">#REF!</definedName>
    <definedName name="_pls4" localSheetId="7">#REF!</definedName>
    <definedName name="_pls4" localSheetId="8">#REF!</definedName>
    <definedName name="_pls4" localSheetId="9">#REF!</definedName>
    <definedName name="_pls4" localSheetId="10">#REF!</definedName>
    <definedName name="_pls4" localSheetId="11">#REF!</definedName>
    <definedName name="_pls4" localSheetId="1">#REF!</definedName>
    <definedName name="_pls4">#REF!</definedName>
    <definedName name="_ps4" localSheetId="2">#REF!</definedName>
    <definedName name="_ps4" localSheetId="3">#REF!</definedName>
    <definedName name="_ps4" localSheetId="4">#REF!</definedName>
    <definedName name="_ps4" localSheetId="5">#REF!</definedName>
    <definedName name="_ps4" localSheetId="6">#REF!</definedName>
    <definedName name="_ps4" localSheetId="7">#REF!</definedName>
    <definedName name="_ps4" localSheetId="8">#REF!</definedName>
    <definedName name="_ps4" localSheetId="9">#REF!</definedName>
    <definedName name="_ps4" localSheetId="10">#REF!</definedName>
    <definedName name="_ps4" localSheetId="11">#REF!</definedName>
    <definedName name="_ps4" localSheetId="1">#REF!</definedName>
    <definedName name="_ps4">#REF!</definedName>
    <definedName name="_Sort" localSheetId="2" hidden="1">#REF!</definedName>
    <definedName name="_Sort" localSheetId="3" hidden="1">#REF!</definedName>
    <definedName name="_Sort" localSheetId="4" hidden="1">#REF!</definedName>
    <definedName name="_Sort" localSheetId="5" hidden="1">#REF!</definedName>
    <definedName name="_Sort" localSheetId="6" hidden="1">#REF!</definedName>
    <definedName name="_Sort" localSheetId="7" hidden="1">#REF!</definedName>
    <definedName name="_Sort" localSheetId="8" hidden="1">#REF!</definedName>
    <definedName name="_Sort" localSheetId="9" hidden="1">#REF!</definedName>
    <definedName name="_Sort" localSheetId="10" hidden="1">#REF!</definedName>
    <definedName name="_Sort" localSheetId="11" hidden="1">#REF!</definedName>
    <definedName name="_Sort" localSheetId="1" hidden="1">#REF!</definedName>
    <definedName name="_Sort" hidden="1">#REF!</definedName>
    <definedName name="_Sum1" localSheetId="2">#REF!</definedName>
    <definedName name="_Sum1" localSheetId="3">#REF!</definedName>
    <definedName name="_Sum1" localSheetId="4">#REF!</definedName>
    <definedName name="_Sum1" localSheetId="5">#REF!</definedName>
    <definedName name="_Sum1" localSheetId="6">#REF!</definedName>
    <definedName name="_Sum1" localSheetId="7">#REF!</definedName>
    <definedName name="_Sum1" localSheetId="8">#REF!</definedName>
    <definedName name="_Sum1" localSheetId="9">#REF!</definedName>
    <definedName name="_Sum1" localSheetId="10">#REF!</definedName>
    <definedName name="_Sum1" localSheetId="11">#REF!</definedName>
    <definedName name="_Sum1" localSheetId="1">#REF!</definedName>
    <definedName name="_Sum1">#REF!</definedName>
    <definedName name="_sw4" localSheetId="2">#REF!</definedName>
    <definedName name="_sw4" localSheetId="3">#REF!</definedName>
    <definedName name="_sw4" localSheetId="4">#REF!</definedName>
    <definedName name="_sw4" localSheetId="5">#REF!</definedName>
    <definedName name="_sw4" localSheetId="6">#REF!</definedName>
    <definedName name="_sw4" localSheetId="7">#REF!</definedName>
    <definedName name="_sw4" localSheetId="8">#REF!</definedName>
    <definedName name="_sw4" localSheetId="9">#REF!</definedName>
    <definedName name="_sw4" localSheetId="10">#REF!</definedName>
    <definedName name="_sw4" localSheetId="11">#REF!</definedName>
    <definedName name="_sw4" localSheetId="1">#REF!</definedName>
    <definedName name="_sw4">#REF!</definedName>
    <definedName name="A" localSheetId="2">#REF!</definedName>
    <definedName name="A" localSheetId="3">#REF!</definedName>
    <definedName name="A" localSheetId="4">#REF!</definedName>
    <definedName name="A" localSheetId="5">#REF!</definedName>
    <definedName name="A" localSheetId="6">#REF!</definedName>
    <definedName name="A" localSheetId="7">#REF!</definedName>
    <definedName name="A" localSheetId="8">#REF!</definedName>
    <definedName name="A" localSheetId="9">#REF!</definedName>
    <definedName name="A" localSheetId="10">#REF!</definedName>
    <definedName name="A" localSheetId="11">#REF!</definedName>
    <definedName name="A" localSheetId="1">#REF!</definedName>
    <definedName name="A">#REF!</definedName>
    <definedName name="A___0" localSheetId="2">#REF!</definedName>
    <definedName name="A___0" localSheetId="3">#REF!</definedName>
    <definedName name="A___0" localSheetId="4">#REF!</definedName>
    <definedName name="A___0" localSheetId="5">#REF!</definedName>
    <definedName name="A___0" localSheetId="6">#REF!</definedName>
    <definedName name="A___0" localSheetId="7">#REF!</definedName>
    <definedName name="A___0" localSheetId="8">#REF!</definedName>
    <definedName name="A___0" localSheetId="9">#REF!</definedName>
    <definedName name="A___0" localSheetId="10">#REF!</definedName>
    <definedName name="A___0" localSheetId="11">#REF!</definedName>
    <definedName name="A___0" localSheetId="1">#REF!</definedName>
    <definedName name="A___0">#REF!</definedName>
    <definedName name="A___18" localSheetId="2">#REF!</definedName>
    <definedName name="A___18" localSheetId="3">#REF!</definedName>
    <definedName name="A___18" localSheetId="4">#REF!</definedName>
    <definedName name="A___18" localSheetId="5">#REF!</definedName>
    <definedName name="A___18" localSheetId="6">#REF!</definedName>
    <definedName name="A___18" localSheetId="7">#REF!</definedName>
    <definedName name="A___18" localSheetId="8">#REF!</definedName>
    <definedName name="A___18" localSheetId="9">#REF!</definedName>
    <definedName name="A___18" localSheetId="10">#REF!</definedName>
    <definedName name="A___18" localSheetId="11">#REF!</definedName>
    <definedName name="A___18" localSheetId="1">#REF!</definedName>
    <definedName name="A___18">#REF!</definedName>
    <definedName name="A_2000_Concrete" localSheetId="2">#REF!</definedName>
    <definedName name="A_2000_Concrete" localSheetId="3">#REF!</definedName>
    <definedName name="A_2000_Concrete" localSheetId="4">#REF!</definedName>
    <definedName name="A_2000_Concrete" localSheetId="5">#REF!</definedName>
    <definedName name="A_2000_Concrete" localSheetId="6">#REF!</definedName>
    <definedName name="A_2000_Concrete" localSheetId="7">#REF!</definedName>
    <definedName name="A_2000_Concrete" localSheetId="8">#REF!</definedName>
    <definedName name="A_2000_Concrete" localSheetId="9">#REF!</definedName>
    <definedName name="A_2000_Concrete" localSheetId="10">#REF!</definedName>
    <definedName name="A_2000_Concrete" localSheetId="11">#REF!</definedName>
    <definedName name="A_2000_Concrete" localSheetId="1">#REF!</definedName>
    <definedName name="A_2000_Concrete">#REF!</definedName>
    <definedName name="A_2500_Concrete" localSheetId="2">#REF!</definedName>
    <definedName name="A_2500_Concrete" localSheetId="3">#REF!</definedName>
    <definedName name="A_2500_Concrete" localSheetId="4">#REF!</definedName>
    <definedName name="A_2500_Concrete" localSheetId="5">#REF!</definedName>
    <definedName name="A_2500_Concrete" localSheetId="6">#REF!</definedName>
    <definedName name="A_2500_Concrete" localSheetId="7">#REF!</definedName>
    <definedName name="A_2500_Concrete" localSheetId="8">#REF!</definedName>
    <definedName name="A_2500_Concrete" localSheetId="9">#REF!</definedName>
    <definedName name="A_2500_Concrete" localSheetId="10">#REF!</definedName>
    <definedName name="A_2500_Concrete" localSheetId="11">#REF!</definedName>
    <definedName name="A_2500_Concrete" localSheetId="1">#REF!</definedName>
    <definedName name="A_2500_Concrete">#REF!</definedName>
    <definedName name="A_4" localSheetId="2">#REF!</definedName>
    <definedName name="A_4" localSheetId="3">#REF!</definedName>
    <definedName name="A_4" localSheetId="4">#REF!</definedName>
    <definedName name="A_4" localSheetId="5">#REF!</definedName>
    <definedName name="A_4" localSheetId="6">#REF!</definedName>
    <definedName name="A_4" localSheetId="7">#REF!</definedName>
    <definedName name="A_4" localSheetId="8">#REF!</definedName>
    <definedName name="A_4" localSheetId="9">#REF!</definedName>
    <definedName name="A_4" localSheetId="10">#REF!</definedName>
    <definedName name="A_4" localSheetId="11">#REF!</definedName>
    <definedName name="A_4" localSheetId="1">#REF!</definedName>
    <definedName name="A_4">#REF!</definedName>
    <definedName name="A_5" localSheetId="2">#REF!</definedName>
    <definedName name="A_5" localSheetId="3">#REF!</definedName>
    <definedName name="A_5" localSheetId="4">#REF!</definedName>
    <definedName name="A_5" localSheetId="5">#REF!</definedName>
    <definedName name="A_5" localSheetId="6">#REF!</definedName>
    <definedName name="A_5" localSheetId="7">#REF!</definedName>
    <definedName name="A_5" localSheetId="8">#REF!</definedName>
    <definedName name="A_5" localSheetId="9">#REF!</definedName>
    <definedName name="A_5" localSheetId="10">#REF!</definedName>
    <definedName name="A_5" localSheetId="11">#REF!</definedName>
    <definedName name="A_5" localSheetId="1">#REF!</definedName>
    <definedName name="A_5">#REF!</definedName>
    <definedName name="A_6" localSheetId="2">#REF!</definedName>
    <definedName name="A_6" localSheetId="3">#REF!</definedName>
    <definedName name="A_6" localSheetId="4">#REF!</definedName>
    <definedName name="A_6" localSheetId="5">#REF!</definedName>
    <definedName name="A_6" localSheetId="6">#REF!</definedName>
    <definedName name="A_6" localSheetId="7">#REF!</definedName>
    <definedName name="A_6" localSheetId="8">#REF!</definedName>
    <definedName name="A_6" localSheetId="9">#REF!</definedName>
    <definedName name="A_6" localSheetId="10">#REF!</definedName>
    <definedName name="A_6" localSheetId="11">#REF!</definedName>
    <definedName name="A_6" localSheetId="1">#REF!</definedName>
    <definedName name="A_6">#REF!</definedName>
    <definedName name="A_Angle_Screed" localSheetId="2">#REF!</definedName>
    <definedName name="A_Angle_Screed" localSheetId="3">#REF!</definedName>
    <definedName name="A_Angle_Screed" localSheetId="4">#REF!</definedName>
    <definedName name="A_Angle_Screed" localSheetId="5">#REF!</definedName>
    <definedName name="A_Angle_Screed" localSheetId="6">#REF!</definedName>
    <definedName name="A_Angle_Screed" localSheetId="7">#REF!</definedName>
    <definedName name="A_Angle_Screed" localSheetId="8">#REF!</definedName>
    <definedName name="A_Angle_Screed" localSheetId="9">#REF!</definedName>
    <definedName name="A_Angle_Screed" localSheetId="10">#REF!</definedName>
    <definedName name="A_Angle_Screed" localSheetId="11">#REF!</definedName>
    <definedName name="A_Angle_Screed" localSheetId="1">#REF!</definedName>
    <definedName name="A_Angle_Screed">#REF!</definedName>
    <definedName name="A_Concrete_Ang.Connection" localSheetId="2">#REF!</definedName>
    <definedName name="A_Concrete_Ang.Connection" localSheetId="3">#REF!</definedName>
    <definedName name="A_Concrete_Ang.Connection" localSheetId="4">#REF!</definedName>
    <definedName name="A_Concrete_Ang.Connection" localSheetId="5">#REF!</definedName>
    <definedName name="A_Concrete_Ang.Connection" localSheetId="6">#REF!</definedName>
    <definedName name="A_Concrete_Ang.Connection" localSheetId="7">#REF!</definedName>
    <definedName name="A_Concrete_Ang.Connection" localSheetId="8">#REF!</definedName>
    <definedName name="A_Concrete_Ang.Connection" localSheetId="9">#REF!</definedName>
    <definedName name="A_Concrete_Ang.Connection" localSheetId="10">#REF!</definedName>
    <definedName name="A_Concrete_Ang.Connection" localSheetId="11">#REF!</definedName>
    <definedName name="A_Concrete_Ang.Connection" localSheetId="1">#REF!</definedName>
    <definedName name="A_Concrete_Ang.Connection">#REF!</definedName>
    <definedName name="A_Drain_Length" localSheetId="2">#REF!</definedName>
    <definedName name="A_Drain_Length" localSheetId="3">#REF!</definedName>
    <definedName name="A_Drain_Length" localSheetId="4">#REF!</definedName>
    <definedName name="A_Drain_Length" localSheetId="5">#REF!</definedName>
    <definedName name="A_Drain_Length" localSheetId="6">#REF!</definedName>
    <definedName name="A_Drain_Length" localSheetId="7">#REF!</definedName>
    <definedName name="A_Drain_Length" localSheetId="8">#REF!</definedName>
    <definedName name="A_Drain_Length" localSheetId="9">#REF!</definedName>
    <definedName name="A_Drain_Length" localSheetId="10">#REF!</definedName>
    <definedName name="A_Drain_Length" localSheetId="11">#REF!</definedName>
    <definedName name="A_Drain_Length" localSheetId="1">#REF!</definedName>
    <definedName name="A_Drain_Length">#REF!</definedName>
    <definedName name="A_Hor.Screed" localSheetId="2">#REF!</definedName>
    <definedName name="A_Hor.Screed" localSheetId="3">#REF!</definedName>
    <definedName name="A_Hor.Screed" localSheetId="4">#REF!</definedName>
    <definedName name="A_Hor.Screed" localSheetId="5">#REF!</definedName>
    <definedName name="A_Hor.Screed" localSheetId="6">#REF!</definedName>
    <definedName name="A_Hor.Screed" localSheetId="7">#REF!</definedName>
    <definedName name="A_Hor.Screed" localSheetId="8">#REF!</definedName>
    <definedName name="A_Hor.Screed" localSheetId="9">#REF!</definedName>
    <definedName name="A_Hor.Screed" localSheetId="10">#REF!</definedName>
    <definedName name="A_Hor.Screed" localSheetId="11">#REF!</definedName>
    <definedName name="A_Hor.Screed" localSheetId="1">#REF!</definedName>
    <definedName name="A_Hor.Screed">#REF!</definedName>
    <definedName name="A_Raft_Edge_Length" localSheetId="2">#REF!</definedName>
    <definedName name="A_Raft_Edge_Length" localSheetId="3">#REF!</definedName>
    <definedName name="A_Raft_Edge_Length" localSheetId="4">#REF!</definedName>
    <definedName name="A_Raft_Edge_Length" localSheetId="5">#REF!</definedName>
    <definedName name="A_Raft_Edge_Length" localSheetId="6">#REF!</definedName>
    <definedName name="A_Raft_Edge_Length" localSheetId="7">#REF!</definedName>
    <definedName name="A_Raft_Edge_Length" localSheetId="8">#REF!</definedName>
    <definedName name="A_Raft_Edge_Length" localSheetId="9">#REF!</definedName>
    <definedName name="A_Raft_Edge_Length" localSheetId="10">#REF!</definedName>
    <definedName name="A_Raft_Edge_Length" localSheetId="11">#REF!</definedName>
    <definedName name="A_Raft_Edge_Length" localSheetId="1">#REF!</definedName>
    <definedName name="A_Raft_Edge_Length">#REF!</definedName>
    <definedName name="A_raft_ver.Concrete" localSheetId="2">#REF!</definedName>
    <definedName name="A_raft_ver.Concrete" localSheetId="3">#REF!</definedName>
    <definedName name="A_raft_ver.Concrete" localSheetId="4">#REF!</definedName>
    <definedName name="A_raft_ver.Concrete" localSheetId="5">#REF!</definedName>
    <definedName name="A_raft_ver.Concrete" localSheetId="6">#REF!</definedName>
    <definedName name="A_raft_ver.Concrete" localSheetId="7">#REF!</definedName>
    <definedName name="A_raft_ver.Concrete" localSheetId="8">#REF!</definedName>
    <definedName name="A_raft_ver.Concrete" localSheetId="9">#REF!</definedName>
    <definedName name="A_raft_ver.Concrete" localSheetId="10">#REF!</definedName>
    <definedName name="A_raft_ver.Concrete" localSheetId="11">#REF!</definedName>
    <definedName name="A_raft_ver.Concrete" localSheetId="1">#REF!</definedName>
    <definedName name="A_raft_ver.Concrete">#REF!</definedName>
    <definedName name="A_Side_FW" localSheetId="2">#REF!</definedName>
    <definedName name="A_Side_FW" localSheetId="3">#REF!</definedName>
    <definedName name="A_Side_FW" localSheetId="4">#REF!</definedName>
    <definedName name="A_Side_FW" localSheetId="5">#REF!</definedName>
    <definedName name="A_Side_FW" localSheetId="6">#REF!</definedName>
    <definedName name="A_Side_FW" localSheetId="7">#REF!</definedName>
    <definedName name="A_Side_FW" localSheetId="8">#REF!</definedName>
    <definedName name="A_Side_FW" localSheetId="9">#REF!</definedName>
    <definedName name="A_Side_FW" localSheetId="10">#REF!</definedName>
    <definedName name="A_Side_FW" localSheetId="11">#REF!</definedName>
    <definedName name="A_Side_FW" localSheetId="1">#REF!</definedName>
    <definedName name="A_Side_FW">#REF!</definedName>
    <definedName name="A_SStrip_L" localSheetId="2">#REF!</definedName>
    <definedName name="A_SStrip_L" localSheetId="3">#REF!</definedName>
    <definedName name="A_SStrip_L" localSheetId="4">#REF!</definedName>
    <definedName name="A_SStrip_L" localSheetId="5">#REF!</definedName>
    <definedName name="A_SStrip_L" localSheetId="6">#REF!</definedName>
    <definedName name="A_SStrip_L" localSheetId="7">#REF!</definedName>
    <definedName name="A_SStrip_L" localSheetId="8">#REF!</definedName>
    <definedName name="A_SStrip_L" localSheetId="9">#REF!</definedName>
    <definedName name="A_SStrip_L" localSheetId="10">#REF!</definedName>
    <definedName name="A_SStrip_L" localSheetId="11">#REF!</definedName>
    <definedName name="A_SStrip_L" localSheetId="1">#REF!</definedName>
    <definedName name="A_SStrip_L">#REF!</definedName>
    <definedName name="A_Sstrip_Side_Area" localSheetId="2">#REF!</definedName>
    <definedName name="A_Sstrip_Side_Area" localSheetId="3">#REF!</definedName>
    <definedName name="A_Sstrip_Side_Area" localSheetId="4">#REF!</definedName>
    <definedName name="A_Sstrip_Side_Area" localSheetId="5">#REF!</definedName>
    <definedName name="A_Sstrip_Side_Area" localSheetId="6">#REF!</definedName>
    <definedName name="A_Sstrip_Side_Area" localSheetId="7">#REF!</definedName>
    <definedName name="A_Sstrip_Side_Area" localSheetId="8">#REF!</definedName>
    <definedName name="A_Sstrip_Side_Area" localSheetId="9">#REF!</definedName>
    <definedName name="A_Sstrip_Side_Area" localSheetId="10">#REF!</definedName>
    <definedName name="A_Sstrip_Side_Area" localSheetId="11">#REF!</definedName>
    <definedName name="A_Sstrip_Side_Area" localSheetId="1">#REF!</definedName>
    <definedName name="A_Sstrip_Side_Area">#REF!</definedName>
    <definedName name="A_T12RF" localSheetId="2">#REF!</definedName>
    <definedName name="A_T12RF" localSheetId="3">#REF!</definedName>
    <definedName name="A_T12RF" localSheetId="4">#REF!</definedName>
    <definedName name="A_T12RF" localSheetId="5">#REF!</definedName>
    <definedName name="A_T12RF" localSheetId="6">#REF!</definedName>
    <definedName name="A_T12RF" localSheetId="7">#REF!</definedName>
    <definedName name="A_T12RF" localSheetId="8">#REF!</definedName>
    <definedName name="A_T12RF" localSheetId="9">#REF!</definedName>
    <definedName name="A_T12RF" localSheetId="10">#REF!</definedName>
    <definedName name="A_T12RF" localSheetId="11">#REF!</definedName>
    <definedName name="A_T12RF" localSheetId="1">#REF!</definedName>
    <definedName name="A_T12RF">#REF!</definedName>
    <definedName name="A_T16RF" localSheetId="2">#REF!</definedName>
    <definedName name="A_T16RF" localSheetId="3">#REF!</definedName>
    <definedName name="A_T16RF" localSheetId="4">#REF!</definedName>
    <definedName name="A_T16RF" localSheetId="5">#REF!</definedName>
    <definedName name="A_T16RF" localSheetId="6">#REF!</definedName>
    <definedName name="A_T16RF" localSheetId="7">#REF!</definedName>
    <definedName name="A_T16RF" localSheetId="8">#REF!</definedName>
    <definedName name="A_T16RF" localSheetId="9">#REF!</definedName>
    <definedName name="A_T16RF" localSheetId="10">#REF!</definedName>
    <definedName name="A_T16RF" localSheetId="11">#REF!</definedName>
    <definedName name="A_T16RF" localSheetId="1">#REF!</definedName>
    <definedName name="A_T16RF">#REF!</definedName>
    <definedName name="A_T25RF" localSheetId="2">#REF!</definedName>
    <definedName name="A_T25RF" localSheetId="3">#REF!</definedName>
    <definedName name="A_T25RF" localSheetId="4">#REF!</definedName>
    <definedName name="A_T25RF" localSheetId="5">#REF!</definedName>
    <definedName name="A_T25RF" localSheetId="6">#REF!</definedName>
    <definedName name="A_T25RF" localSheetId="7">#REF!</definedName>
    <definedName name="A_T25RF" localSheetId="8">#REF!</definedName>
    <definedName name="A_T25RF" localSheetId="9">#REF!</definedName>
    <definedName name="A_T25RF" localSheetId="10">#REF!</definedName>
    <definedName name="A_T25RF" localSheetId="11">#REF!</definedName>
    <definedName name="A_T25RF" localSheetId="1">#REF!</definedName>
    <definedName name="A_T25RF">#REF!</definedName>
    <definedName name="A_T32RF" localSheetId="2">#REF!</definedName>
    <definedName name="A_T32RF" localSheetId="3">#REF!</definedName>
    <definedName name="A_T32RF" localSheetId="4">#REF!</definedName>
    <definedName name="A_T32RF" localSheetId="5">#REF!</definedName>
    <definedName name="A_T32RF" localSheetId="6">#REF!</definedName>
    <definedName name="A_T32RF" localSheetId="7">#REF!</definedName>
    <definedName name="A_T32RF" localSheetId="8">#REF!</definedName>
    <definedName name="A_T32RF" localSheetId="9">#REF!</definedName>
    <definedName name="A_T32RF" localSheetId="10">#REF!</definedName>
    <definedName name="A_T32RF" localSheetId="11">#REF!</definedName>
    <definedName name="A_T32RF" localSheetId="1">#REF!</definedName>
    <definedName name="A_T32RF">#REF!</definedName>
    <definedName name="A_Waterproofing_Ver" localSheetId="2">#REF!</definedName>
    <definedName name="A_Waterproofing_Ver" localSheetId="3">#REF!</definedName>
    <definedName name="A_Waterproofing_Ver" localSheetId="4">#REF!</definedName>
    <definedName name="A_Waterproofing_Ver" localSheetId="5">#REF!</definedName>
    <definedName name="A_Waterproofing_Ver" localSheetId="6">#REF!</definedName>
    <definedName name="A_Waterproofing_Ver" localSheetId="7">#REF!</definedName>
    <definedName name="A_Waterproofing_Ver" localSheetId="8">#REF!</definedName>
    <definedName name="A_Waterproofing_Ver" localSheetId="9">#REF!</definedName>
    <definedName name="A_Waterproofing_Ver" localSheetId="10">#REF!</definedName>
    <definedName name="A_Waterproofing_Ver" localSheetId="11">#REF!</definedName>
    <definedName name="A_Waterproofing_Ver" localSheetId="1">#REF!</definedName>
    <definedName name="A_Waterproofing_Ver">#REF!</definedName>
    <definedName name="AA" localSheetId="2">#REF!</definedName>
    <definedName name="AA" localSheetId="3">#REF!</definedName>
    <definedName name="AA" localSheetId="4">#REF!</definedName>
    <definedName name="AA" localSheetId="5">#REF!</definedName>
    <definedName name="AA" localSheetId="6">#REF!</definedName>
    <definedName name="AA" localSheetId="7">#REF!</definedName>
    <definedName name="AA" localSheetId="8">#REF!</definedName>
    <definedName name="AA" localSheetId="9">#REF!</definedName>
    <definedName name="AA" localSheetId="10">#REF!</definedName>
    <definedName name="AA" localSheetId="11">#REF!</definedName>
    <definedName name="AA" localSheetId="1">#REF!</definedName>
    <definedName name="AA">#REF!</definedName>
    <definedName name="AAA" localSheetId="2">#REF!</definedName>
    <definedName name="AAA" localSheetId="3">#REF!</definedName>
    <definedName name="AAA" localSheetId="4">#REF!</definedName>
    <definedName name="AAA" localSheetId="5">#REF!</definedName>
    <definedName name="AAA" localSheetId="6">#REF!</definedName>
    <definedName name="AAA" localSheetId="7">#REF!</definedName>
    <definedName name="AAA" localSheetId="8">#REF!</definedName>
    <definedName name="AAA" localSheetId="9">#REF!</definedName>
    <definedName name="AAA" localSheetId="10">#REF!</definedName>
    <definedName name="AAA" localSheetId="11">#REF!</definedName>
    <definedName name="AAA" localSheetId="1">#REF!</definedName>
    <definedName name="AAA">#REF!</definedName>
    <definedName name="aaaaa" localSheetId="2">#REF!</definedName>
    <definedName name="aaaaa" localSheetId="3">#REF!</definedName>
    <definedName name="aaaaa" localSheetId="4">#REF!</definedName>
    <definedName name="aaaaa" localSheetId="5">#REF!</definedName>
    <definedName name="aaaaa" localSheetId="6">#REF!</definedName>
    <definedName name="aaaaa" localSheetId="7">#REF!</definedName>
    <definedName name="aaaaa" localSheetId="8">#REF!</definedName>
    <definedName name="aaaaa" localSheetId="9">#REF!</definedName>
    <definedName name="aaaaa" localSheetId="10">#REF!</definedName>
    <definedName name="aaaaa" localSheetId="11">#REF!</definedName>
    <definedName name="aaaaa" localSheetId="1">#REF!</definedName>
    <definedName name="aaaaa">#REF!</definedName>
    <definedName name="abc" localSheetId="2">#REF!</definedName>
    <definedName name="abc" localSheetId="3">#REF!</definedName>
    <definedName name="abc" localSheetId="4">#REF!</definedName>
    <definedName name="abc" localSheetId="5">#REF!</definedName>
    <definedName name="abc" localSheetId="6">#REF!</definedName>
    <definedName name="abc" localSheetId="7">#REF!</definedName>
    <definedName name="abc" localSheetId="8">#REF!</definedName>
    <definedName name="abc" localSheetId="9">#REF!</definedName>
    <definedName name="abc" localSheetId="10">#REF!</definedName>
    <definedName name="abc" localSheetId="11">#REF!</definedName>
    <definedName name="abc" localSheetId="1">#REF!</definedName>
    <definedName name="abc">#REF!</definedName>
    <definedName name="AccessDatabase" hidden="1">"C:\AA-MEDIUM PROJECTS\Khaleej Times - GO 14017\Submittals Status.mdb"</definedName>
    <definedName name="accumulateamt" localSheetId="2">#REF!</definedName>
    <definedName name="accumulateamt" localSheetId="3">#REF!</definedName>
    <definedName name="accumulateamt" localSheetId="4">#REF!</definedName>
    <definedName name="accumulateamt" localSheetId="5">#REF!</definedName>
    <definedName name="accumulateamt" localSheetId="6">#REF!</definedName>
    <definedName name="accumulateamt" localSheetId="7">#REF!</definedName>
    <definedName name="accumulateamt" localSheetId="8">#REF!</definedName>
    <definedName name="accumulateamt" localSheetId="9">#REF!</definedName>
    <definedName name="accumulateamt" localSheetId="10">#REF!</definedName>
    <definedName name="accumulateamt" localSheetId="11">#REF!</definedName>
    <definedName name="accumulateamt" localSheetId="1">#REF!</definedName>
    <definedName name="accumulateamt">#REF!</definedName>
    <definedName name="AddwkAmt" localSheetId="2">#REF!</definedName>
    <definedName name="AddwkAmt" localSheetId="3">#REF!</definedName>
    <definedName name="AddwkAmt" localSheetId="4">#REF!</definedName>
    <definedName name="AddwkAmt" localSheetId="5">#REF!</definedName>
    <definedName name="AddwkAmt" localSheetId="6">#REF!</definedName>
    <definedName name="AddwkAmt" localSheetId="7">#REF!</definedName>
    <definedName name="AddwkAmt" localSheetId="8">#REF!</definedName>
    <definedName name="AddwkAmt" localSheetId="9">#REF!</definedName>
    <definedName name="AddwkAmt" localSheetId="10">#REF!</definedName>
    <definedName name="AddwkAmt" localSheetId="11">#REF!</definedName>
    <definedName name="AddwkAmt" localSheetId="1">#REF!</definedName>
    <definedName name="AddwkAmt">#REF!</definedName>
    <definedName name="ag" localSheetId="2">#REF!</definedName>
    <definedName name="ag" localSheetId="3">#REF!</definedName>
    <definedName name="ag" localSheetId="4">#REF!</definedName>
    <definedName name="ag" localSheetId="5">#REF!</definedName>
    <definedName name="ag" localSheetId="6">#REF!</definedName>
    <definedName name="ag" localSheetId="7">#REF!</definedName>
    <definedName name="ag" localSheetId="8">#REF!</definedName>
    <definedName name="ag" localSheetId="9">#REF!</definedName>
    <definedName name="ag" localSheetId="10">#REF!</definedName>
    <definedName name="ag" localSheetId="11">#REF!</definedName>
    <definedName name="ag" localSheetId="1">#REF!</definedName>
    <definedName name="ag">#REF!</definedName>
    <definedName name="ahgd" localSheetId="2">#REF!</definedName>
    <definedName name="ahgd" localSheetId="3">#REF!</definedName>
    <definedName name="ahgd" localSheetId="4">#REF!</definedName>
    <definedName name="ahgd" localSheetId="5">#REF!</definedName>
    <definedName name="ahgd" localSheetId="6">#REF!</definedName>
    <definedName name="ahgd" localSheetId="7">#REF!</definedName>
    <definedName name="ahgd" localSheetId="8">#REF!</definedName>
    <definedName name="ahgd" localSheetId="9">#REF!</definedName>
    <definedName name="ahgd" localSheetId="10">#REF!</definedName>
    <definedName name="ahgd" localSheetId="11">#REF!</definedName>
    <definedName name="ahgd" localSheetId="1">#REF!</definedName>
    <definedName name="ahgd">#REF!</definedName>
    <definedName name="al" localSheetId="2">#REF!</definedName>
    <definedName name="al" localSheetId="3">#REF!</definedName>
    <definedName name="al" localSheetId="4">#REF!</definedName>
    <definedName name="al" localSheetId="5">#REF!</definedName>
    <definedName name="al" localSheetId="6">#REF!</definedName>
    <definedName name="al" localSheetId="7">#REF!</definedName>
    <definedName name="al" localSheetId="8">#REF!</definedName>
    <definedName name="al" localSheetId="9">#REF!</definedName>
    <definedName name="al" localSheetId="10">#REF!</definedName>
    <definedName name="al" localSheetId="11">#REF!</definedName>
    <definedName name="al" localSheetId="1">#REF!</definedName>
    <definedName name="al">#REF!</definedName>
    <definedName name="allocation">'[4]L4-L15'!$M$7:$M$26</definedName>
    <definedName name="AmtDue" localSheetId="2">#REF!</definedName>
    <definedName name="AmtDue" localSheetId="3">#REF!</definedName>
    <definedName name="AmtDue" localSheetId="4">#REF!</definedName>
    <definedName name="AmtDue" localSheetId="5">#REF!</definedName>
    <definedName name="AmtDue" localSheetId="6">#REF!</definedName>
    <definedName name="AmtDue" localSheetId="7">#REF!</definedName>
    <definedName name="AmtDue" localSheetId="8">#REF!</definedName>
    <definedName name="AmtDue" localSheetId="9">#REF!</definedName>
    <definedName name="AmtDue" localSheetId="10">#REF!</definedName>
    <definedName name="AmtDue" localSheetId="11">#REF!</definedName>
    <definedName name="AmtDue" localSheetId="1">#REF!</definedName>
    <definedName name="AmtDue">#REF!</definedName>
    <definedName name="Angle_Screed" localSheetId="2">#REF!</definedName>
    <definedName name="Angle_Screed" localSheetId="3">#REF!</definedName>
    <definedName name="Angle_Screed" localSheetId="4">#REF!</definedName>
    <definedName name="Angle_Screed" localSheetId="5">#REF!</definedName>
    <definedName name="Angle_Screed" localSheetId="6">#REF!</definedName>
    <definedName name="Angle_Screed" localSheetId="7">#REF!</definedName>
    <definedName name="Angle_Screed" localSheetId="8">#REF!</definedName>
    <definedName name="Angle_Screed" localSheetId="9">#REF!</definedName>
    <definedName name="Angle_Screed" localSheetId="10">#REF!</definedName>
    <definedName name="Angle_Screed" localSheetId="11">#REF!</definedName>
    <definedName name="Angle_Screed" localSheetId="1">#REF!</definedName>
    <definedName name="Angle_Screed">#REF!</definedName>
    <definedName name="apart">'[5]Internal Finishes (Unit types)'!$B$618:$B$625</definedName>
    <definedName name="AREA">[6]SOA!$H$6:$Q$6</definedName>
    <definedName name="areas" localSheetId="2">#REF!</definedName>
    <definedName name="areas" localSheetId="3">#REF!</definedName>
    <definedName name="areas" localSheetId="4">#REF!</definedName>
    <definedName name="areas" localSheetId="5">#REF!</definedName>
    <definedName name="areas" localSheetId="6">#REF!</definedName>
    <definedName name="areas" localSheetId="7">#REF!</definedName>
    <definedName name="areas" localSheetId="8">#REF!</definedName>
    <definedName name="areas" localSheetId="9">#REF!</definedName>
    <definedName name="areas" localSheetId="10">#REF!</definedName>
    <definedName name="areas" localSheetId="11">#REF!</definedName>
    <definedName name="areas" localSheetId="1">#REF!</definedName>
    <definedName name="areas">#REF!</definedName>
    <definedName name="aruna">'[7]3'!$C$41</definedName>
    <definedName name="as" localSheetId="2">'[8]T&amp;M'!#REF!</definedName>
    <definedName name="as" localSheetId="3">'[8]T&amp;M'!#REF!</definedName>
    <definedName name="as" localSheetId="4">'[8]T&amp;M'!#REF!</definedName>
    <definedName name="as" localSheetId="5">'[8]T&amp;M'!#REF!</definedName>
    <definedName name="as" localSheetId="6">'[8]T&amp;M'!#REF!</definedName>
    <definedName name="as" localSheetId="7">'[8]T&amp;M'!#REF!</definedName>
    <definedName name="as" localSheetId="8">'[8]T&amp;M'!#REF!</definedName>
    <definedName name="as" localSheetId="9">'[8]T&amp;M'!#REF!</definedName>
    <definedName name="as" localSheetId="10">'[8]T&amp;M'!#REF!</definedName>
    <definedName name="as" localSheetId="11">'[8]T&amp;M'!#REF!</definedName>
    <definedName name="as" localSheetId="1">'[8]T&amp;M'!#REF!</definedName>
    <definedName name="as">'[8]T&amp;M'!#REF!</definedName>
    <definedName name="ASSET">'[5]Internal Finishes (Unit types)'!$B$632:$B$638</definedName>
    <definedName name="at" localSheetId="2">#REF!</definedName>
    <definedName name="at" localSheetId="3">#REF!</definedName>
    <definedName name="at" localSheetId="4">#REF!</definedName>
    <definedName name="at" localSheetId="5">#REF!</definedName>
    <definedName name="at" localSheetId="6">#REF!</definedName>
    <definedName name="at" localSheetId="7">#REF!</definedName>
    <definedName name="at" localSheetId="8">#REF!</definedName>
    <definedName name="at" localSheetId="9">#REF!</definedName>
    <definedName name="at" localSheetId="10">#REF!</definedName>
    <definedName name="at" localSheetId="11">#REF!</definedName>
    <definedName name="at" localSheetId="1">#REF!</definedName>
    <definedName name="at">#REF!</definedName>
    <definedName name="b" localSheetId="12" hidden="1">{"'Break down'!$A$4"}</definedName>
    <definedName name="b" localSheetId="2" hidden="1">{"'Break down'!$A$4"}</definedName>
    <definedName name="b" localSheetId="3" hidden="1">{"'Break down'!$A$4"}</definedName>
    <definedName name="b" localSheetId="4" hidden="1">{"'Break down'!$A$4"}</definedName>
    <definedName name="b" localSheetId="5" hidden="1">{"'Break down'!$A$4"}</definedName>
    <definedName name="b" localSheetId="6" hidden="1">{"'Break down'!$A$4"}</definedName>
    <definedName name="b" localSheetId="7" hidden="1">{"'Break down'!$A$4"}</definedName>
    <definedName name="b" localSheetId="8" hidden="1">{"'Break down'!$A$4"}</definedName>
    <definedName name="b" localSheetId="9" hidden="1">{"'Break down'!$A$4"}</definedName>
    <definedName name="b" localSheetId="10" hidden="1">{"'Break down'!$A$4"}</definedName>
    <definedName name="b" localSheetId="11" hidden="1">{"'Break down'!$A$4"}</definedName>
    <definedName name="b" localSheetId="1" hidden="1">{"'Break down'!$A$4"}</definedName>
    <definedName name="b" hidden="1">{"'Break down'!$A$4"}</definedName>
    <definedName name="BASEAREAS">[9]SOA!$G$7:$J$7</definedName>
    <definedName name="BB" localSheetId="2">#REF!</definedName>
    <definedName name="BB" localSheetId="3">#REF!</definedName>
    <definedName name="BB" localSheetId="4">#REF!</definedName>
    <definedName name="BB" localSheetId="5">#REF!</definedName>
    <definedName name="BB" localSheetId="6">#REF!</definedName>
    <definedName name="BB" localSheetId="7">#REF!</definedName>
    <definedName name="BB" localSheetId="8">#REF!</definedName>
    <definedName name="BB" localSheetId="9">#REF!</definedName>
    <definedName name="BB" localSheetId="10">#REF!</definedName>
    <definedName name="BB" localSheetId="11">#REF!</definedName>
    <definedName name="BB" localSheetId="1">#REF!</definedName>
    <definedName name="BB">#REF!</definedName>
    <definedName name="bbb">'[10]#REF'!$G$73</definedName>
    <definedName name="bcis">'[11]L (4)'!$B$132:$B$171</definedName>
    <definedName name="Bill" localSheetId="2">#REF!</definedName>
    <definedName name="Bill" localSheetId="3">#REF!</definedName>
    <definedName name="Bill" localSheetId="4">#REF!</definedName>
    <definedName name="Bill" localSheetId="5">#REF!</definedName>
    <definedName name="Bill" localSheetId="6">#REF!</definedName>
    <definedName name="Bill" localSheetId="7">#REF!</definedName>
    <definedName name="Bill" localSheetId="8">#REF!</definedName>
    <definedName name="Bill" localSheetId="9">#REF!</definedName>
    <definedName name="Bill" localSheetId="10">#REF!</definedName>
    <definedName name="Bill" localSheetId="11">#REF!</definedName>
    <definedName name="Bill" localSheetId="1">#REF!</definedName>
    <definedName name="Bill">#REF!</definedName>
    <definedName name="BIN" localSheetId="2">#REF!</definedName>
    <definedName name="BIN" localSheetId="3">#REF!</definedName>
    <definedName name="BIN" localSheetId="4">#REF!</definedName>
    <definedName name="BIN" localSheetId="5">#REF!</definedName>
    <definedName name="BIN" localSheetId="6">#REF!</definedName>
    <definedName name="BIN" localSheetId="7">#REF!</definedName>
    <definedName name="BIN" localSheetId="8">#REF!</definedName>
    <definedName name="BIN" localSheetId="9">#REF!</definedName>
    <definedName name="BIN" localSheetId="10">#REF!</definedName>
    <definedName name="BIN" localSheetId="11">#REF!</definedName>
    <definedName name="BIN" localSheetId="1">#REF!</definedName>
    <definedName name="BIN">#REF!</definedName>
    <definedName name="blk" localSheetId="2">#REF!</definedName>
    <definedName name="blk" localSheetId="3">#REF!</definedName>
    <definedName name="blk" localSheetId="4">#REF!</definedName>
    <definedName name="blk" localSheetId="5">#REF!</definedName>
    <definedName name="blk" localSheetId="6">#REF!</definedName>
    <definedName name="blk" localSheetId="7">#REF!</definedName>
    <definedName name="blk" localSheetId="8">#REF!</definedName>
    <definedName name="blk" localSheetId="9">#REF!</definedName>
    <definedName name="blk" localSheetId="10">#REF!</definedName>
    <definedName name="blk" localSheetId="11">#REF!</definedName>
    <definedName name="blk" localSheetId="1">#REF!</definedName>
    <definedName name="blk">#REF!</definedName>
    <definedName name="Bottom_T32_RF_Factor" localSheetId="2">#REF!</definedName>
    <definedName name="Bottom_T32_RF_Factor" localSheetId="3">#REF!</definedName>
    <definedName name="Bottom_T32_RF_Factor" localSheetId="4">#REF!</definedName>
    <definedName name="Bottom_T32_RF_Factor" localSheetId="5">#REF!</definedName>
    <definedName name="Bottom_T32_RF_Factor" localSheetId="6">#REF!</definedName>
    <definedName name="Bottom_T32_RF_Factor" localSheetId="7">#REF!</definedName>
    <definedName name="Bottom_T32_RF_Factor" localSheetId="8">#REF!</definedName>
    <definedName name="Bottom_T32_RF_Factor" localSheetId="9">#REF!</definedName>
    <definedName name="Bottom_T32_RF_Factor" localSheetId="10">#REF!</definedName>
    <definedName name="Bottom_T32_RF_Factor" localSheetId="11">#REF!</definedName>
    <definedName name="Bottom_T32_RF_Factor" localSheetId="1">#REF!</definedName>
    <definedName name="Bottom_T32_RF_Factor">#REF!</definedName>
    <definedName name="BUS" localSheetId="2">#REF!</definedName>
    <definedName name="BUS" localSheetId="3">#REF!</definedName>
    <definedName name="BUS" localSheetId="4">#REF!</definedName>
    <definedName name="BUS" localSheetId="5">#REF!</definedName>
    <definedName name="BUS" localSheetId="6">#REF!</definedName>
    <definedName name="BUS" localSheetId="7">#REF!</definedName>
    <definedName name="BUS" localSheetId="8">#REF!</definedName>
    <definedName name="BUS" localSheetId="9">#REF!</definedName>
    <definedName name="BUS" localSheetId="10">#REF!</definedName>
    <definedName name="BUS" localSheetId="11">#REF!</definedName>
    <definedName name="BUS" localSheetId="1">#REF!</definedName>
    <definedName name="BUS">#REF!</definedName>
    <definedName name="bw" localSheetId="2">#REF!</definedName>
    <definedName name="bw" localSheetId="3">#REF!</definedName>
    <definedName name="bw" localSheetId="4">#REF!</definedName>
    <definedName name="bw" localSheetId="5">#REF!</definedName>
    <definedName name="bw" localSheetId="6">#REF!</definedName>
    <definedName name="bw" localSheetId="7">#REF!</definedName>
    <definedName name="bw" localSheetId="8">#REF!</definedName>
    <definedName name="bw" localSheetId="9">#REF!</definedName>
    <definedName name="bw" localSheetId="10">#REF!</definedName>
    <definedName name="bw" localSheetId="11">#REF!</definedName>
    <definedName name="bw" localSheetId="1">#REF!</definedName>
    <definedName name="bw">#REF!</definedName>
    <definedName name="bw4_" localSheetId="2">#REF!</definedName>
    <definedName name="bw4_" localSheetId="3">#REF!</definedName>
    <definedName name="bw4_" localSheetId="4">#REF!</definedName>
    <definedName name="bw4_" localSheetId="5">#REF!</definedName>
    <definedName name="bw4_" localSheetId="6">#REF!</definedName>
    <definedName name="bw4_" localSheetId="7">#REF!</definedName>
    <definedName name="bw4_" localSheetId="8">#REF!</definedName>
    <definedName name="bw4_" localSheetId="9">#REF!</definedName>
    <definedName name="bw4_" localSheetId="10">#REF!</definedName>
    <definedName name="bw4_" localSheetId="11">#REF!</definedName>
    <definedName name="bw4_" localSheetId="1">#REF!</definedName>
    <definedName name="bw4_">#REF!</definedName>
    <definedName name="bw4a" localSheetId="2">#REF!</definedName>
    <definedName name="bw4a" localSheetId="3">#REF!</definedName>
    <definedName name="bw4a" localSheetId="4">#REF!</definedName>
    <definedName name="bw4a" localSheetId="5">#REF!</definedName>
    <definedName name="bw4a" localSheetId="6">#REF!</definedName>
    <definedName name="bw4a" localSheetId="7">#REF!</definedName>
    <definedName name="bw4a" localSheetId="8">#REF!</definedName>
    <definedName name="bw4a" localSheetId="9">#REF!</definedName>
    <definedName name="bw4a" localSheetId="10">#REF!</definedName>
    <definedName name="bw4a" localSheetId="11">#REF!</definedName>
    <definedName name="bw4a" localSheetId="1">#REF!</definedName>
    <definedName name="bw4a">#REF!</definedName>
    <definedName name="CC" localSheetId="2">#REF!</definedName>
    <definedName name="CC" localSheetId="3">#REF!</definedName>
    <definedName name="CC" localSheetId="4">#REF!</definedName>
    <definedName name="CC" localSheetId="5">#REF!</definedName>
    <definedName name="CC" localSheetId="6">#REF!</definedName>
    <definedName name="CC" localSheetId="7">#REF!</definedName>
    <definedName name="CC" localSheetId="8">#REF!</definedName>
    <definedName name="CC" localSheetId="9">#REF!</definedName>
    <definedName name="CC" localSheetId="10">#REF!</definedName>
    <definedName name="CC" localSheetId="11">#REF!</definedName>
    <definedName name="CC" localSheetId="1">#REF!</definedName>
    <definedName name="CC">#REF!</definedName>
    <definedName name="Cell_Length_X" localSheetId="2">#REF!</definedName>
    <definedName name="Cell_Length_X" localSheetId="3">#REF!</definedName>
    <definedName name="Cell_Length_X" localSheetId="4">#REF!</definedName>
    <definedName name="Cell_Length_X" localSheetId="5">#REF!</definedName>
    <definedName name="Cell_Length_X" localSheetId="6">#REF!</definedName>
    <definedName name="Cell_Length_X" localSheetId="7">#REF!</definedName>
    <definedName name="Cell_Length_X" localSheetId="8">#REF!</definedName>
    <definedName name="Cell_Length_X" localSheetId="9">#REF!</definedName>
    <definedName name="Cell_Length_X" localSheetId="10">#REF!</definedName>
    <definedName name="Cell_Length_X" localSheetId="11">#REF!</definedName>
    <definedName name="Cell_Length_X" localSheetId="1">#REF!</definedName>
    <definedName name="Cell_Length_X">#REF!</definedName>
    <definedName name="Cell_length_Y" localSheetId="2">#REF!</definedName>
    <definedName name="Cell_length_Y" localSheetId="3">#REF!</definedName>
    <definedName name="Cell_length_Y" localSheetId="4">#REF!</definedName>
    <definedName name="Cell_length_Y" localSheetId="5">#REF!</definedName>
    <definedName name="Cell_length_Y" localSheetId="6">#REF!</definedName>
    <definedName name="Cell_length_Y" localSheetId="7">#REF!</definedName>
    <definedName name="Cell_length_Y" localSheetId="8">#REF!</definedName>
    <definedName name="Cell_length_Y" localSheetId="9">#REF!</definedName>
    <definedName name="Cell_length_Y" localSheetId="10">#REF!</definedName>
    <definedName name="Cell_length_Y" localSheetId="11">#REF!</definedName>
    <definedName name="Cell_length_Y" localSheetId="1">#REF!</definedName>
    <definedName name="Cell_length_Y">#REF!</definedName>
    <definedName name="cf" localSheetId="2">#REF!</definedName>
    <definedName name="cf" localSheetId="3">#REF!</definedName>
    <definedName name="cf" localSheetId="4">#REF!</definedName>
    <definedName name="cf" localSheetId="5">#REF!</definedName>
    <definedName name="cf" localSheetId="6">#REF!</definedName>
    <definedName name="cf" localSheetId="7">#REF!</definedName>
    <definedName name="cf" localSheetId="8">#REF!</definedName>
    <definedName name="cf" localSheetId="9">#REF!</definedName>
    <definedName name="cf" localSheetId="10">#REF!</definedName>
    <definedName name="cf" localSheetId="11">#REF!</definedName>
    <definedName name="cf" localSheetId="1">#REF!</definedName>
    <definedName name="cf">#REF!</definedName>
    <definedName name="Concrete_Ang.Connection" localSheetId="2">#REF!</definedName>
    <definedName name="Concrete_Ang.Connection" localSheetId="3">#REF!</definedName>
    <definedName name="Concrete_Ang.Connection" localSheetId="4">#REF!</definedName>
    <definedName name="Concrete_Ang.Connection" localSheetId="5">#REF!</definedName>
    <definedName name="Concrete_Ang.Connection" localSheetId="6">#REF!</definedName>
    <definedName name="Concrete_Ang.Connection" localSheetId="7">#REF!</definedName>
    <definedName name="Concrete_Ang.Connection" localSheetId="8">#REF!</definedName>
    <definedName name="Concrete_Ang.Connection" localSheetId="9">#REF!</definedName>
    <definedName name="Concrete_Ang.Connection" localSheetId="10">#REF!</definedName>
    <definedName name="Concrete_Ang.Connection" localSheetId="11">#REF!</definedName>
    <definedName name="Concrete_Ang.Connection" localSheetId="1">#REF!</definedName>
    <definedName name="Concrete_Ang.Connection">#REF!</definedName>
    <definedName name="Concrete_V_Connection" localSheetId="2">#REF!</definedName>
    <definedName name="Concrete_V_Connection" localSheetId="3">#REF!</definedName>
    <definedName name="Concrete_V_Connection" localSheetId="4">#REF!</definedName>
    <definedName name="Concrete_V_Connection" localSheetId="5">#REF!</definedName>
    <definedName name="Concrete_V_Connection" localSheetId="6">#REF!</definedName>
    <definedName name="Concrete_V_Connection" localSheetId="7">#REF!</definedName>
    <definedName name="Concrete_V_Connection" localSheetId="8">#REF!</definedName>
    <definedName name="Concrete_V_Connection" localSheetId="9">#REF!</definedName>
    <definedName name="Concrete_V_Connection" localSheetId="10">#REF!</definedName>
    <definedName name="Concrete_V_Connection" localSheetId="11">#REF!</definedName>
    <definedName name="Concrete_V_Connection" localSheetId="1">#REF!</definedName>
    <definedName name="Concrete_V_Connection">#REF!</definedName>
    <definedName name="cost" localSheetId="2">#REF!</definedName>
    <definedName name="cost" localSheetId="3">#REF!</definedName>
    <definedName name="cost" localSheetId="4">#REF!</definedName>
    <definedName name="cost" localSheetId="5">#REF!</definedName>
    <definedName name="cost" localSheetId="6">#REF!</definedName>
    <definedName name="cost" localSheetId="7">#REF!</definedName>
    <definedName name="cost" localSheetId="8">#REF!</definedName>
    <definedName name="cost" localSheetId="9">#REF!</definedName>
    <definedName name="cost" localSheetId="10">#REF!</definedName>
    <definedName name="cost" localSheetId="11">#REF!</definedName>
    <definedName name="cost" localSheetId="1">#REF!</definedName>
    <definedName name="cost">#REF!</definedName>
    <definedName name="coststage">[12]Projects!$J$130:$J$133</definedName>
    <definedName name="cp" localSheetId="2">#REF!</definedName>
    <definedName name="cp" localSheetId="3">#REF!</definedName>
    <definedName name="cp" localSheetId="4">#REF!</definedName>
    <definedName name="cp" localSheetId="5">#REF!</definedName>
    <definedName name="cp" localSheetId="6">#REF!</definedName>
    <definedName name="cp" localSheetId="7">#REF!</definedName>
    <definedName name="cp" localSheetId="8">#REF!</definedName>
    <definedName name="cp" localSheetId="9">#REF!</definedName>
    <definedName name="cp" localSheetId="10">#REF!</definedName>
    <definedName name="cp" localSheetId="11">#REF!</definedName>
    <definedName name="cp" localSheetId="1">#REF!</definedName>
    <definedName name="cp">#REF!</definedName>
    <definedName name="_xlnm.Criteria" localSheetId="2">#REF!</definedName>
    <definedName name="_xlnm.Criteria" localSheetId="3">#REF!</definedName>
    <definedName name="_xlnm.Criteria" localSheetId="4">#REF!</definedName>
    <definedName name="_xlnm.Criteria" localSheetId="5">#REF!</definedName>
    <definedName name="_xlnm.Criteria" localSheetId="6">#REF!</definedName>
    <definedName name="_xlnm.Criteria" localSheetId="7">#REF!</definedName>
    <definedName name="_xlnm.Criteria" localSheetId="8">#REF!</definedName>
    <definedName name="_xlnm.Criteria" localSheetId="9">#REF!</definedName>
    <definedName name="_xlnm.Criteria" localSheetId="10">#REF!</definedName>
    <definedName name="_xlnm.Criteria" localSheetId="11">#REF!</definedName>
    <definedName name="_xlnm.Criteria" localSheetId="1">#REF!</definedName>
    <definedName name="_xlnm.Criteria">#REF!</definedName>
    <definedName name="CRITERIA1" localSheetId="2">#REF!</definedName>
    <definedName name="CRITERIA1" localSheetId="3">#REF!</definedName>
    <definedName name="CRITERIA1" localSheetId="4">#REF!</definedName>
    <definedName name="CRITERIA1" localSheetId="5">#REF!</definedName>
    <definedName name="CRITERIA1" localSheetId="6">#REF!</definedName>
    <definedName name="CRITERIA1" localSheetId="7">#REF!</definedName>
    <definedName name="CRITERIA1" localSheetId="8">#REF!</definedName>
    <definedName name="CRITERIA1" localSheetId="9">#REF!</definedName>
    <definedName name="CRITERIA1" localSheetId="10">#REF!</definedName>
    <definedName name="CRITERIA1" localSheetId="11">#REF!</definedName>
    <definedName name="CRITERIA1" localSheetId="1">#REF!</definedName>
    <definedName name="CRITERIA1">#REF!</definedName>
    <definedName name="CURRENCY" localSheetId="2">#REF!</definedName>
    <definedName name="CURRENCY" localSheetId="3">#REF!</definedName>
    <definedName name="CURRENCY" localSheetId="4">#REF!</definedName>
    <definedName name="CURRENCY" localSheetId="5">#REF!</definedName>
    <definedName name="CURRENCY" localSheetId="6">#REF!</definedName>
    <definedName name="CURRENCY" localSheetId="7">#REF!</definedName>
    <definedName name="CURRENCY" localSheetId="8">#REF!</definedName>
    <definedName name="CURRENCY" localSheetId="9">#REF!</definedName>
    <definedName name="CURRENCY" localSheetId="10">#REF!</definedName>
    <definedName name="CURRENCY" localSheetId="11">#REF!</definedName>
    <definedName name="CURRENCY" localSheetId="1">#REF!</definedName>
    <definedName name="CURRENCY">#REF!</definedName>
    <definedName name="CWAmt" localSheetId="2">#REF!</definedName>
    <definedName name="CWAmt" localSheetId="3">#REF!</definedName>
    <definedName name="CWAmt" localSheetId="4">#REF!</definedName>
    <definedName name="CWAmt" localSheetId="5">#REF!</definedName>
    <definedName name="CWAmt" localSheetId="6">#REF!</definedName>
    <definedName name="CWAmt" localSheetId="7">#REF!</definedName>
    <definedName name="CWAmt" localSheetId="8">#REF!</definedName>
    <definedName name="CWAmt" localSheetId="9">#REF!</definedName>
    <definedName name="CWAmt" localSheetId="10">#REF!</definedName>
    <definedName name="CWAmt" localSheetId="11">#REF!</definedName>
    <definedName name="CWAmt" localSheetId="1">#REF!</definedName>
    <definedName name="CWAmt">#REF!</definedName>
    <definedName name="D" localSheetId="2">#REF!</definedName>
    <definedName name="D" localSheetId="3">#REF!</definedName>
    <definedName name="D" localSheetId="4">#REF!</definedName>
    <definedName name="D" localSheetId="5">#REF!</definedName>
    <definedName name="D" localSheetId="6">#REF!</definedName>
    <definedName name="D" localSheetId="7">#REF!</definedName>
    <definedName name="D" localSheetId="8">#REF!</definedName>
    <definedName name="D" localSheetId="9">#REF!</definedName>
    <definedName name="D" localSheetId="10">#REF!</definedName>
    <definedName name="D" localSheetId="11">#REF!</definedName>
    <definedName name="D" localSheetId="1">#REF!</definedName>
    <definedName name="D">#REF!</definedName>
    <definedName name="dad" localSheetId="2" hidden="1">[13]FitOutConfCentre!#REF!</definedName>
    <definedName name="dad" localSheetId="3" hidden="1">[13]FitOutConfCentre!#REF!</definedName>
    <definedName name="dad" localSheetId="4" hidden="1">[13]FitOutConfCentre!#REF!</definedName>
    <definedName name="dad" localSheetId="5" hidden="1">[13]FitOutConfCentre!#REF!</definedName>
    <definedName name="dad" localSheetId="6" hidden="1">[13]FitOutConfCentre!#REF!</definedName>
    <definedName name="dad" localSheetId="7" hidden="1">[13]FitOutConfCentre!#REF!</definedName>
    <definedName name="dad" localSheetId="8" hidden="1">[13]FitOutConfCentre!#REF!</definedName>
    <definedName name="dad" localSheetId="9" hidden="1">[13]FitOutConfCentre!#REF!</definedName>
    <definedName name="dad" localSheetId="10" hidden="1">[13]FitOutConfCentre!#REF!</definedName>
    <definedName name="dad" localSheetId="11" hidden="1">[13]FitOutConfCentre!#REF!</definedName>
    <definedName name="dad" localSheetId="1" hidden="1">[13]FitOutConfCentre!#REF!</definedName>
    <definedName name="dad" hidden="1">[13]FitOutConfCentre!#REF!</definedName>
    <definedName name="_xlnm.Database" localSheetId="2">#REF!</definedName>
    <definedName name="_xlnm.Database" localSheetId="3">#REF!</definedName>
    <definedName name="_xlnm.Database" localSheetId="4">#REF!</definedName>
    <definedName name="_xlnm.Database" localSheetId="5">#REF!</definedName>
    <definedName name="_xlnm.Database" localSheetId="6">#REF!</definedName>
    <definedName name="_xlnm.Database" localSheetId="7">#REF!</definedName>
    <definedName name="_xlnm.Database" localSheetId="8">#REF!</definedName>
    <definedName name="_xlnm.Database" localSheetId="9">#REF!</definedName>
    <definedName name="_xlnm.Database" localSheetId="10">#REF!</definedName>
    <definedName name="_xlnm.Database" localSheetId="11">#REF!</definedName>
    <definedName name="_xlnm.Database" localSheetId="1">#REF!</definedName>
    <definedName name="_xlnm.Database">#REF!</definedName>
    <definedName name="dcf" localSheetId="2">#REF!</definedName>
    <definedName name="dcf" localSheetId="3">#REF!</definedName>
    <definedName name="dcf" localSheetId="4">#REF!</definedName>
    <definedName name="dcf" localSheetId="5">#REF!</definedName>
    <definedName name="dcf" localSheetId="6">#REF!</definedName>
    <definedName name="dcf" localSheetId="7">#REF!</definedName>
    <definedName name="dcf" localSheetId="8">#REF!</definedName>
    <definedName name="dcf" localSheetId="9">#REF!</definedName>
    <definedName name="dcf" localSheetId="10">#REF!</definedName>
    <definedName name="dcf" localSheetId="11">#REF!</definedName>
    <definedName name="dcf" localSheetId="1">#REF!</definedName>
    <definedName name="dcf">#REF!</definedName>
    <definedName name="DD" localSheetId="2">#REF!</definedName>
    <definedName name="DD" localSheetId="3">#REF!</definedName>
    <definedName name="DD" localSheetId="4">#REF!</definedName>
    <definedName name="DD" localSheetId="5">#REF!</definedName>
    <definedName name="DD" localSheetId="6">#REF!</definedName>
    <definedName name="DD" localSheetId="7">#REF!</definedName>
    <definedName name="DD" localSheetId="8">#REF!</definedName>
    <definedName name="DD" localSheetId="9">#REF!</definedName>
    <definedName name="DD" localSheetId="10">#REF!</definedName>
    <definedName name="DD" localSheetId="11">#REF!</definedName>
    <definedName name="DD" localSheetId="1">#REF!</definedName>
    <definedName name="DD">#REF!</definedName>
    <definedName name="Ddt_H_Screed" localSheetId="2">#REF!</definedName>
    <definedName name="Ddt_H_Screed" localSheetId="3">#REF!</definedName>
    <definedName name="Ddt_H_Screed" localSheetId="4">#REF!</definedName>
    <definedName name="Ddt_H_Screed" localSheetId="5">#REF!</definedName>
    <definedName name="Ddt_H_Screed" localSheetId="6">#REF!</definedName>
    <definedName name="Ddt_H_Screed" localSheetId="7">#REF!</definedName>
    <definedName name="Ddt_H_Screed" localSheetId="8">#REF!</definedName>
    <definedName name="Ddt_H_Screed" localSheetId="9">#REF!</definedName>
    <definedName name="Ddt_H_Screed" localSheetId="10">#REF!</definedName>
    <definedName name="Ddt_H_Screed" localSheetId="11">#REF!</definedName>
    <definedName name="Ddt_H_Screed" localSheetId="1">#REF!</definedName>
    <definedName name="Ddt_H_Screed">#REF!</definedName>
    <definedName name="Ddt_H_Screed_AC" localSheetId="2">#REF!</definedName>
    <definedName name="Ddt_H_Screed_AC" localSheetId="3">#REF!</definedName>
    <definedName name="Ddt_H_Screed_AC" localSheetId="4">#REF!</definedName>
    <definedName name="Ddt_H_Screed_AC" localSheetId="5">#REF!</definedName>
    <definedName name="Ddt_H_Screed_AC" localSheetId="6">#REF!</definedName>
    <definedName name="Ddt_H_Screed_AC" localSheetId="7">#REF!</definedName>
    <definedName name="Ddt_H_Screed_AC" localSheetId="8">#REF!</definedName>
    <definedName name="Ddt_H_Screed_AC" localSheetId="9">#REF!</definedName>
    <definedName name="Ddt_H_Screed_AC" localSheetId="10">#REF!</definedName>
    <definedName name="Ddt_H_Screed_AC" localSheetId="11">#REF!</definedName>
    <definedName name="Ddt_H_Screed_AC" localSheetId="1">#REF!</definedName>
    <definedName name="Ddt_H_Screed_AC">#REF!</definedName>
    <definedName name="dfsdfs" localSheetId="2">#REF!</definedName>
    <definedName name="dfsdfs" localSheetId="3">#REF!</definedName>
    <definedName name="dfsdfs" localSheetId="4">#REF!</definedName>
    <definedName name="dfsdfs" localSheetId="5">#REF!</definedName>
    <definedName name="dfsdfs" localSheetId="6">#REF!</definedName>
    <definedName name="dfsdfs" localSheetId="7">#REF!</definedName>
    <definedName name="dfsdfs" localSheetId="8">#REF!</definedName>
    <definedName name="dfsdfs" localSheetId="9">#REF!</definedName>
    <definedName name="dfsdfs" localSheetId="10">#REF!</definedName>
    <definedName name="dfsdfs" localSheetId="11">#REF!</definedName>
    <definedName name="dfsdfs" localSheetId="1">#REF!</definedName>
    <definedName name="dfsdfs">#REF!</definedName>
    <definedName name="DIRECT" localSheetId="2">#REF!</definedName>
    <definedName name="DIRECT" localSheetId="3">#REF!</definedName>
    <definedName name="DIRECT" localSheetId="4">#REF!</definedName>
    <definedName name="DIRECT" localSheetId="5">#REF!</definedName>
    <definedName name="DIRECT" localSheetId="6">#REF!</definedName>
    <definedName name="DIRECT" localSheetId="7">#REF!</definedName>
    <definedName name="DIRECT" localSheetId="8">#REF!</definedName>
    <definedName name="DIRECT" localSheetId="9">#REF!</definedName>
    <definedName name="DIRECT" localSheetId="10">#REF!</definedName>
    <definedName name="DIRECT" localSheetId="11">#REF!</definedName>
    <definedName name="DIRECT" localSheetId="1">#REF!</definedName>
    <definedName name="DIRECT">#REF!</definedName>
    <definedName name="dk" localSheetId="2">#REF!</definedName>
    <definedName name="dk" localSheetId="3">#REF!</definedName>
    <definedName name="dk" localSheetId="4">#REF!</definedName>
    <definedName name="dk" localSheetId="5">#REF!</definedName>
    <definedName name="dk" localSheetId="6">#REF!</definedName>
    <definedName name="dk" localSheetId="7">#REF!</definedName>
    <definedName name="dk" localSheetId="8">#REF!</definedName>
    <definedName name="dk" localSheetId="9">#REF!</definedName>
    <definedName name="dk" localSheetId="10">#REF!</definedName>
    <definedName name="dk" localSheetId="11">#REF!</definedName>
    <definedName name="dk" localSheetId="1">#REF!</definedName>
    <definedName name="dk">#REF!</definedName>
    <definedName name="dk4_" localSheetId="2">#REF!</definedName>
    <definedName name="dk4_" localSheetId="3">#REF!</definedName>
    <definedName name="dk4_" localSheetId="4">#REF!</definedName>
    <definedName name="dk4_" localSheetId="5">#REF!</definedName>
    <definedName name="dk4_" localSheetId="6">#REF!</definedName>
    <definedName name="dk4_" localSheetId="7">#REF!</definedName>
    <definedName name="dk4_" localSheetId="8">#REF!</definedName>
    <definedName name="dk4_" localSheetId="9">#REF!</definedName>
    <definedName name="dk4_" localSheetId="10">#REF!</definedName>
    <definedName name="dk4_" localSheetId="11">#REF!</definedName>
    <definedName name="dk4_" localSheetId="1">#REF!</definedName>
    <definedName name="dk4_">#REF!</definedName>
    <definedName name="Drain_Length" localSheetId="2">#REF!</definedName>
    <definedName name="Drain_Length" localSheetId="3">#REF!</definedName>
    <definedName name="Drain_Length" localSheetId="4">#REF!</definedName>
    <definedName name="Drain_Length" localSheetId="5">#REF!</definedName>
    <definedName name="Drain_Length" localSheetId="6">#REF!</definedName>
    <definedName name="Drain_Length" localSheetId="7">#REF!</definedName>
    <definedName name="Drain_Length" localSheetId="8">#REF!</definedName>
    <definedName name="Drain_Length" localSheetId="9">#REF!</definedName>
    <definedName name="Drain_Length" localSheetId="10">#REF!</definedName>
    <definedName name="Drain_Length" localSheetId="11">#REF!</definedName>
    <definedName name="Drain_Length" localSheetId="1">#REF!</definedName>
    <definedName name="Drain_Length">#REF!</definedName>
    <definedName name="dw" localSheetId="2">#REF!</definedName>
    <definedName name="dw" localSheetId="3">#REF!</definedName>
    <definedName name="dw" localSheetId="4">#REF!</definedName>
    <definedName name="dw" localSheetId="5">#REF!</definedName>
    <definedName name="dw" localSheetId="6">#REF!</definedName>
    <definedName name="dw" localSheetId="7">#REF!</definedName>
    <definedName name="dw" localSheetId="8">#REF!</definedName>
    <definedName name="dw" localSheetId="9">#REF!</definedName>
    <definedName name="dw" localSheetId="10">#REF!</definedName>
    <definedName name="dw" localSheetId="11">#REF!</definedName>
    <definedName name="dw" localSheetId="1">#REF!</definedName>
    <definedName name="dw">#REF!</definedName>
    <definedName name="DWAmt" localSheetId="2">#REF!</definedName>
    <definedName name="DWAmt" localSheetId="3">#REF!</definedName>
    <definedName name="DWAmt" localSheetId="4">#REF!</definedName>
    <definedName name="DWAmt" localSheetId="5">#REF!</definedName>
    <definedName name="DWAmt" localSheetId="6">#REF!</definedName>
    <definedName name="DWAmt" localSheetId="7">#REF!</definedName>
    <definedName name="DWAmt" localSheetId="8">#REF!</definedName>
    <definedName name="DWAmt" localSheetId="9">#REF!</definedName>
    <definedName name="DWAmt" localSheetId="10">#REF!</definedName>
    <definedName name="DWAmt" localSheetId="11">#REF!</definedName>
    <definedName name="DWAmt" localSheetId="1">#REF!</definedName>
    <definedName name="DWAmt">#REF!</definedName>
    <definedName name="E" localSheetId="2">#REF!</definedName>
    <definedName name="E" localSheetId="3">#REF!</definedName>
    <definedName name="E" localSheetId="4">#REF!</definedName>
    <definedName name="E" localSheetId="5">#REF!</definedName>
    <definedName name="E" localSheetId="6">#REF!</definedName>
    <definedName name="E" localSheetId="7">#REF!</definedName>
    <definedName name="E" localSheetId="8">#REF!</definedName>
    <definedName name="E" localSheetId="9">#REF!</definedName>
    <definedName name="E" localSheetId="10">#REF!</definedName>
    <definedName name="E" localSheetId="11">#REF!</definedName>
    <definedName name="E" localSheetId="1">#REF!</definedName>
    <definedName name="E">#REF!</definedName>
    <definedName name="EE" localSheetId="2">#REF!</definedName>
    <definedName name="EE" localSheetId="3">#REF!</definedName>
    <definedName name="EE" localSheetId="4">#REF!</definedName>
    <definedName name="EE" localSheetId="5">#REF!</definedName>
    <definedName name="EE" localSheetId="6">#REF!</definedName>
    <definedName name="EE" localSheetId="7">#REF!</definedName>
    <definedName name="EE" localSheetId="8">#REF!</definedName>
    <definedName name="EE" localSheetId="9">#REF!</definedName>
    <definedName name="EE" localSheetId="10">#REF!</definedName>
    <definedName name="EE" localSheetId="11">#REF!</definedName>
    <definedName name="EE" localSheetId="1">#REF!</definedName>
    <definedName name="EE">#REF!</definedName>
    <definedName name="ELEC" localSheetId="2" hidden="1">[13]FitOutConfCentre!#REF!</definedName>
    <definedName name="ELEC" localSheetId="3" hidden="1">[13]FitOutConfCentre!#REF!</definedName>
    <definedName name="ELEC" localSheetId="4" hidden="1">[13]FitOutConfCentre!#REF!</definedName>
    <definedName name="ELEC" localSheetId="5" hidden="1">[13]FitOutConfCentre!#REF!</definedName>
    <definedName name="ELEC" localSheetId="6" hidden="1">[13]FitOutConfCentre!#REF!</definedName>
    <definedName name="ELEC" localSheetId="7" hidden="1">[13]FitOutConfCentre!#REF!</definedName>
    <definedName name="ELEC" localSheetId="8" hidden="1">[13]FitOutConfCentre!#REF!</definedName>
    <definedName name="ELEC" localSheetId="9" hidden="1">[13]FitOutConfCentre!#REF!</definedName>
    <definedName name="ELEC" localSheetId="10" hidden="1">[13]FitOutConfCentre!#REF!</definedName>
    <definedName name="ELEC" localSheetId="11" hidden="1">[13]FitOutConfCentre!#REF!</definedName>
    <definedName name="ELEC" localSheetId="1" hidden="1">[13]FitOutConfCentre!#REF!</definedName>
    <definedName name="ELEC" hidden="1">[13]FitOutConfCentre!#REF!</definedName>
    <definedName name="element" localSheetId="2">#REF!</definedName>
    <definedName name="element" localSheetId="3">#REF!</definedName>
    <definedName name="element" localSheetId="4">#REF!</definedName>
    <definedName name="element" localSheetId="5">#REF!</definedName>
    <definedName name="element" localSheetId="6">#REF!</definedName>
    <definedName name="element" localSheetId="7">#REF!</definedName>
    <definedName name="element" localSheetId="8">#REF!</definedName>
    <definedName name="element" localSheetId="9">#REF!</definedName>
    <definedName name="element" localSheetId="10">#REF!</definedName>
    <definedName name="element" localSheetId="11">#REF!</definedName>
    <definedName name="element" localSheetId="1">#REF!</definedName>
    <definedName name="element">#REF!</definedName>
    <definedName name="eth" localSheetId="2" hidden="1">[13]FitOutConfCentre!#REF!</definedName>
    <definedName name="eth" localSheetId="3" hidden="1">[13]FitOutConfCentre!#REF!</definedName>
    <definedName name="eth" localSheetId="4" hidden="1">[13]FitOutConfCentre!#REF!</definedName>
    <definedName name="eth" localSheetId="5" hidden="1">[13]FitOutConfCentre!#REF!</definedName>
    <definedName name="eth" localSheetId="6" hidden="1">[13]FitOutConfCentre!#REF!</definedName>
    <definedName name="eth" localSheetId="7" hidden="1">[13]FitOutConfCentre!#REF!</definedName>
    <definedName name="eth" localSheetId="8" hidden="1">[13]FitOutConfCentre!#REF!</definedName>
    <definedName name="eth" localSheetId="9" hidden="1">[13]FitOutConfCentre!#REF!</definedName>
    <definedName name="eth" localSheetId="10" hidden="1">[13]FitOutConfCentre!#REF!</definedName>
    <definedName name="eth" localSheetId="11" hidden="1">[13]FitOutConfCentre!#REF!</definedName>
    <definedName name="eth" localSheetId="1" hidden="1">[13]FitOutConfCentre!#REF!</definedName>
    <definedName name="eth" hidden="1">[13]FitOutConfCentre!#REF!</definedName>
    <definedName name="ev" localSheetId="2">#REF!</definedName>
    <definedName name="ev" localSheetId="3">#REF!</definedName>
    <definedName name="ev" localSheetId="4">#REF!</definedName>
    <definedName name="ev" localSheetId="5">#REF!</definedName>
    <definedName name="ev" localSheetId="6">#REF!</definedName>
    <definedName name="ev" localSheetId="7">#REF!</definedName>
    <definedName name="ev" localSheetId="8">#REF!</definedName>
    <definedName name="ev" localSheetId="9">#REF!</definedName>
    <definedName name="ev" localSheetId="10">#REF!</definedName>
    <definedName name="ev" localSheetId="11">#REF!</definedName>
    <definedName name="ev" localSheetId="1">#REF!</definedName>
    <definedName name="ev">#REF!</definedName>
    <definedName name="ew" localSheetId="2">#REF!</definedName>
    <definedName name="ew" localSheetId="3">#REF!</definedName>
    <definedName name="ew" localSheetId="4">#REF!</definedName>
    <definedName name="ew" localSheetId="5">#REF!</definedName>
    <definedName name="ew" localSheetId="6">#REF!</definedName>
    <definedName name="ew" localSheetId="7">#REF!</definedName>
    <definedName name="ew" localSheetId="8">#REF!</definedName>
    <definedName name="ew" localSheetId="9">#REF!</definedName>
    <definedName name="ew" localSheetId="10">#REF!</definedName>
    <definedName name="ew" localSheetId="11">#REF!</definedName>
    <definedName name="ew" localSheetId="1">#REF!</definedName>
    <definedName name="ew">#REF!</definedName>
    <definedName name="ew4_" localSheetId="2">#REF!</definedName>
    <definedName name="ew4_" localSheetId="3">#REF!</definedName>
    <definedName name="ew4_" localSheetId="4">#REF!</definedName>
    <definedName name="ew4_" localSheetId="5">#REF!</definedName>
    <definedName name="ew4_" localSheetId="6">#REF!</definedName>
    <definedName name="ew4_" localSheetId="7">#REF!</definedName>
    <definedName name="ew4_" localSheetId="8">#REF!</definedName>
    <definedName name="ew4_" localSheetId="9">#REF!</definedName>
    <definedName name="ew4_" localSheetId="10">#REF!</definedName>
    <definedName name="ew4_" localSheetId="11">#REF!</definedName>
    <definedName name="ew4_" localSheetId="1">#REF!</definedName>
    <definedName name="ew4_">#REF!</definedName>
    <definedName name="ew4a" localSheetId="2">#REF!</definedName>
    <definedName name="ew4a" localSheetId="3">#REF!</definedName>
    <definedName name="ew4a" localSheetId="4">#REF!</definedName>
    <definedName name="ew4a" localSheetId="5">#REF!</definedName>
    <definedName name="ew4a" localSheetId="6">#REF!</definedName>
    <definedName name="ew4a" localSheetId="7">#REF!</definedName>
    <definedName name="ew4a" localSheetId="8">#REF!</definedName>
    <definedName name="ew4a" localSheetId="9">#REF!</definedName>
    <definedName name="ew4a" localSheetId="10">#REF!</definedName>
    <definedName name="ew4a" localSheetId="11">#REF!</definedName>
    <definedName name="ew4a" localSheetId="1">#REF!</definedName>
    <definedName name="ew4a">#REF!</definedName>
    <definedName name="ewk" localSheetId="2">#REF!</definedName>
    <definedName name="ewk" localSheetId="3">#REF!</definedName>
    <definedName name="ewk" localSheetId="4">#REF!</definedName>
    <definedName name="ewk" localSheetId="5">#REF!</definedName>
    <definedName name="ewk" localSheetId="6">#REF!</definedName>
    <definedName name="ewk" localSheetId="7">#REF!</definedName>
    <definedName name="ewk" localSheetId="8">#REF!</definedName>
    <definedName name="ewk" localSheetId="9">#REF!</definedName>
    <definedName name="ewk" localSheetId="10">#REF!</definedName>
    <definedName name="ewk" localSheetId="11">#REF!</definedName>
    <definedName name="ewk" localSheetId="1">#REF!</definedName>
    <definedName name="ewk">#REF!</definedName>
    <definedName name="Excel_BuiltIn__FilterDatabase_1" localSheetId="2">#REF!</definedName>
    <definedName name="Excel_BuiltIn__FilterDatabase_1" localSheetId="3">#REF!</definedName>
    <definedName name="Excel_BuiltIn__FilterDatabase_1" localSheetId="4">#REF!</definedName>
    <definedName name="Excel_BuiltIn__FilterDatabase_1" localSheetId="5">#REF!</definedName>
    <definedName name="Excel_BuiltIn__FilterDatabase_1" localSheetId="6">#REF!</definedName>
    <definedName name="Excel_BuiltIn__FilterDatabase_1" localSheetId="7">#REF!</definedName>
    <definedName name="Excel_BuiltIn__FilterDatabase_1" localSheetId="8">#REF!</definedName>
    <definedName name="Excel_BuiltIn__FilterDatabase_1" localSheetId="9">#REF!</definedName>
    <definedName name="Excel_BuiltIn__FilterDatabase_1" localSheetId="10">#REF!</definedName>
    <definedName name="Excel_BuiltIn__FilterDatabase_1" localSheetId="11">#REF!</definedName>
    <definedName name="Excel_BuiltIn__FilterDatabase_1" localSheetId="1">#REF!</definedName>
    <definedName name="Excel_BuiltIn__FilterDatabase_1">#REF!</definedName>
    <definedName name="Excel_BuiltIn_Database_0" localSheetId="2">#REF!</definedName>
    <definedName name="Excel_BuiltIn_Database_0" localSheetId="3">#REF!</definedName>
    <definedName name="Excel_BuiltIn_Database_0" localSheetId="4">#REF!</definedName>
    <definedName name="Excel_BuiltIn_Database_0" localSheetId="5">#REF!</definedName>
    <definedName name="Excel_BuiltIn_Database_0" localSheetId="6">#REF!</definedName>
    <definedName name="Excel_BuiltIn_Database_0" localSheetId="7">#REF!</definedName>
    <definedName name="Excel_BuiltIn_Database_0" localSheetId="8">#REF!</definedName>
    <definedName name="Excel_BuiltIn_Database_0" localSheetId="9">#REF!</definedName>
    <definedName name="Excel_BuiltIn_Database_0" localSheetId="10">#REF!</definedName>
    <definedName name="Excel_BuiltIn_Database_0" localSheetId="11">#REF!</definedName>
    <definedName name="Excel_BuiltIn_Database_0" localSheetId="1">#REF!</definedName>
    <definedName name="Excel_BuiltIn_Database_0">#REF!</definedName>
    <definedName name="External_Waterstops" localSheetId="2">[14]Abstract!#REF!</definedName>
    <definedName name="External_Waterstops" localSheetId="3">[14]Abstract!#REF!</definedName>
    <definedName name="External_Waterstops" localSheetId="4">[14]Abstract!#REF!</definedName>
    <definedName name="External_Waterstops" localSheetId="5">[14]Abstract!#REF!</definedName>
    <definedName name="External_Waterstops" localSheetId="6">[14]Abstract!#REF!</definedName>
    <definedName name="External_Waterstops" localSheetId="7">[14]Abstract!#REF!</definedName>
    <definedName name="External_Waterstops" localSheetId="8">[14]Abstract!#REF!</definedName>
    <definedName name="External_Waterstops" localSheetId="9">[14]Abstract!#REF!</definedName>
    <definedName name="External_Waterstops" localSheetId="10">[14]Abstract!#REF!</definedName>
    <definedName name="External_Waterstops" localSheetId="11">[14]Abstract!#REF!</definedName>
    <definedName name="External_Waterstops" localSheetId="1">[14]Abstract!#REF!</definedName>
    <definedName name="External_Waterstops">[14]Abstract!#REF!</definedName>
    <definedName name="_xlnm.Extract" localSheetId="2">#REF!</definedName>
    <definedName name="_xlnm.Extract" localSheetId="3">#REF!</definedName>
    <definedName name="_xlnm.Extract" localSheetId="4">#REF!</definedName>
    <definedName name="_xlnm.Extract" localSheetId="5">#REF!</definedName>
    <definedName name="_xlnm.Extract" localSheetId="6">#REF!</definedName>
    <definedName name="_xlnm.Extract" localSheetId="7">#REF!</definedName>
    <definedName name="_xlnm.Extract" localSheetId="8">#REF!</definedName>
    <definedName name="_xlnm.Extract" localSheetId="9">#REF!</definedName>
    <definedName name="_xlnm.Extract" localSheetId="10">#REF!</definedName>
    <definedName name="_xlnm.Extract" localSheetId="11">#REF!</definedName>
    <definedName name="_xlnm.Extract" localSheetId="1">#REF!</definedName>
    <definedName name="_xlnm.Extract">#REF!</definedName>
    <definedName name="F" localSheetId="2">#REF!</definedName>
    <definedName name="F" localSheetId="3">#REF!</definedName>
    <definedName name="F" localSheetId="4">#REF!</definedName>
    <definedName name="F" localSheetId="5">#REF!</definedName>
    <definedName name="F" localSheetId="6">#REF!</definedName>
    <definedName name="F" localSheetId="7">#REF!</definedName>
    <definedName name="F" localSheetId="8">#REF!</definedName>
    <definedName name="F" localSheetId="9">#REF!</definedName>
    <definedName name="F" localSheetId="10">#REF!</definedName>
    <definedName name="F" localSheetId="11">#REF!</definedName>
    <definedName name="F" localSheetId="1">#REF!</definedName>
    <definedName name="F">#REF!</definedName>
    <definedName name="fc" localSheetId="2">#REF!</definedName>
    <definedName name="fc" localSheetId="3">#REF!</definedName>
    <definedName name="fc" localSheetId="4">#REF!</definedName>
    <definedName name="fc" localSheetId="5">#REF!</definedName>
    <definedName name="fc" localSheetId="6">#REF!</definedName>
    <definedName name="fc" localSheetId="7">#REF!</definedName>
    <definedName name="fc" localSheetId="8">#REF!</definedName>
    <definedName name="fc" localSheetId="9">#REF!</definedName>
    <definedName name="fc" localSheetId="10">#REF!</definedName>
    <definedName name="fc" localSheetId="11">#REF!</definedName>
    <definedName name="fc" localSheetId="1">#REF!</definedName>
    <definedName name="fc">#REF!</definedName>
    <definedName name="fdf" localSheetId="2">#REF!</definedName>
    <definedName name="fdf" localSheetId="3">#REF!</definedName>
    <definedName name="fdf" localSheetId="4">#REF!</definedName>
    <definedName name="fdf" localSheetId="5">#REF!</definedName>
    <definedName name="fdf" localSheetId="6">#REF!</definedName>
    <definedName name="fdf" localSheetId="7">#REF!</definedName>
    <definedName name="fdf" localSheetId="8">#REF!</definedName>
    <definedName name="fdf" localSheetId="9">#REF!</definedName>
    <definedName name="fdf" localSheetId="10">#REF!</definedName>
    <definedName name="fdf" localSheetId="11">#REF!</definedName>
    <definedName name="fdf" localSheetId="1">#REF!</definedName>
    <definedName name="fdf">#REF!</definedName>
    <definedName name="FF" localSheetId="2">#REF!</definedName>
    <definedName name="FF" localSheetId="3">#REF!</definedName>
    <definedName name="FF" localSheetId="4">#REF!</definedName>
    <definedName name="FF" localSheetId="5">#REF!</definedName>
    <definedName name="FF" localSheetId="6">#REF!</definedName>
    <definedName name="FF" localSheetId="7">#REF!</definedName>
    <definedName name="FF" localSheetId="8">#REF!</definedName>
    <definedName name="FF" localSheetId="9">#REF!</definedName>
    <definedName name="FF" localSheetId="10">#REF!</definedName>
    <definedName name="FF" localSheetId="11">#REF!</definedName>
    <definedName name="FF" localSheetId="1">#REF!</definedName>
    <definedName name="FF">#REF!</definedName>
    <definedName name="fgh" localSheetId="2">#REF!</definedName>
    <definedName name="fgh" localSheetId="3">#REF!</definedName>
    <definedName name="fgh" localSheetId="4">#REF!</definedName>
    <definedName name="fgh" localSheetId="5">#REF!</definedName>
    <definedName name="fgh" localSheetId="6">#REF!</definedName>
    <definedName name="fgh" localSheetId="7">#REF!</definedName>
    <definedName name="fgh" localSheetId="8">#REF!</definedName>
    <definedName name="fgh" localSheetId="9">#REF!</definedName>
    <definedName name="fgh" localSheetId="10">#REF!</definedName>
    <definedName name="fgh" localSheetId="11">#REF!</definedName>
    <definedName name="fgh" localSheetId="1">#REF!</definedName>
    <definedName name="fgh">#REF!</definedName>
    <definedName name="fi" localSheetId="2">#REF!</definedName>
    <definedName name="fi" localSheetId="3">#REF!</definedName>
    <definedName name="fi" localSheetId="4">#REF!</definedName>
    <definedName name="fi" localSheetId="5">#REF!</definedName>
    <definedName name="fi" localSheetId="6">#REF!</definedName>
    <definedName name="fi" localSheetId="7">#REF!</definedName>
    <definedName name="fi" localSheetId="8">#REF!</definedName>
    <definedName name="fi" localSheetId="9">#REF!</definedName>
    <definedName name="fi" localSheetId="10">#REF!</definedName>
    <definedName name="fi" localSheetId="11">#REF!</definedName>
    <definedName name="fi" localSheetId="1">#REF!</definedName>
    <definedName name="fi">#REF!</definedName>
    <definedName name="fi4_" localSheetId="2">#REF!</definedName>
    <definedName name="fi4_" localSheetId="3">#REF!</definedName>
    <definedName name="fi4_" localSheetId="4">#REF!</definedName>
    <definedName name="fi4_" localSheetId="5">#REF!</definedName>
    <definedName name="fi4_" localSheetId="6">#REF!</definedName>
    <definedName name="fi4_" localSheetId="7">#REF!</definedName>
    <definedName name="fi4_" localSheetId="8">#REF!</definedName>
    <definedName name="fi4_" localSheetId="9">#REF!</definedName>
    <definedName name="fi4_" localSheetId="10">#REF!</definedName>
    <definedName name="fi4_" localSheetId="11">#REF!</definedName>
    <definedName name="fi4_" localSheetId="1">#REF!</definedName>
    <definedName name="fi4_">#REF!</definedName>
    <definedName name="fi4a" localSheetId="2">#REF!</definedName>
    <definedName name="fi4a" localSheetId="3">#REF!</definedName>
    <definedName name="fi4a" localSheetId="4">#REF!</definedName>
    <definedName name="fi4a" localSheetId="5">#REF!</definedName>
    <definedName name="fi4a" localSheetId="6">#REF!</definedName>
    <definedName name="fi4a" localSheetId="7">#REF!</definedName>
    <definedName name="fi4a" localSheetId="8">#REF!</definedName>
    <definedName name="fi4a" localSheetId="9">#REF!</definedName>
    <definedName name="fi4a" localSheetId="10">#REF!</definedName>
    <definedName name="fi4a" localSheetId="11">#REF!</definedName>
    <definedName name="fi4a" localSheetId="1">#REF!</definedName>
    <definedName name="fi4a">#REF!</definedName>
    <definedName name="fini" localSheetId="2">#REF!</definedName>
    <definedName name="fini" localSheetId="3">#REF!</definedName>
    <definedName name="fini" localSheetId="4">#REF!</definedName>
    <definedName name="fini" localSheetId="5">#REF!</definedName>
    <definedName name="fini" localSheetId="6">#REF!</definedName>
    <definedName name="fini" localSheetId="7">#REF!</definedName>
    <definedName name="fini" localSheetId="8">#REF!</definedName>
    <definedName name="fini" localSheetId="9">#REF!</definedName>
    <definedName name="fini" localSheetId="10">#REF!</definedName>
    <definedName name="fini" localSheetId="11">#REF!</definedName>
    <definedName name="fini" localSheetId="1">#REF!</definedName>
    <definedName name="fini">#REF!</definedName>
    <definedName name="fini4" localSheetId="2">#REF!</definedName>
    <definedName name="fini4" localSheetId="3">#REF!</definedName>
    <definedName name="fini4" localSheetId="4">#REF!</definedName>
    <definedName name="fini4" localSheetId="5">#REF!</definedName>
    <definedName name="fini4" localSheetId="6">#REF!</definedName>
    <definedName name="fini4" localSheetId="7">#REF!</definedName>
    <definedName name="fini4" localSheetId="8">#REF!</definedName>
    <definedName name="fini4" localSheetId="9">#REF!</definedName>
    <definedName name="fini4" localSheetId="10">#REF!</definedName>
    <definedName name="fini4" localSheetId="11">#REF!</definedName>
    <definedName name="fini4" localSheetId="1">#REF!</definedName>
    <definedName name="fini4">#REF!</definedName>
    <definedName name="FOHBOH">'[5]Internal Finishes (Unit types)'!$B$659:$B$666</definedName>
    <definedName name="FUNCTION">'[5]Internal Finishes (Unit types)'!$B$598:$B$612</definedName>
    <definedName name="G" localSheetId="2">#REF!</definedName>
    <definedName name="G" localSheetId="3">#REF!</definedName>
    <definedName name="G" localSheetId="4">#REF!</definedName>
    <definedName name="G" localSheetId="5">#REF!</definedName>
    <definedName name="G" localSheetId="6">#REF!</definedName>
    <definedName name="G" localSheetId="7">#REF!</definedName>
    <definedName name="G" localSheetId="8">#REF!</definedName>
    <definedName name="G" localSheetId="9">#REF!</definedName>
    <definedName name="G" localSheetId="10">#REF!</definedName>
    <definedName name="G" localSheetId="11">#REF!</definedName>
    <definedName name="G" localSheetId="1">#REF!</definedName>
    <definedName name="G">#REF!</definedName>
    <definedName name="gajkbgsf" localSheetId="2">#REF!</definedName>
    <definedName name="gajkbgsf" localSheetId="3">#REF!</definedName>
    <definedName name="gajkbgsf" localSheetId="4">#REF!</definedName>
    <definedName name="gajkbgsf" localSheetId="5">#REF!</definedName>
    <definedName name="gajkbgsf" localSheetId="6">#REF!</definedName>
    <definedName name="gajkbgsf" localSheetId="7">#REF!</definedName>
    <definedName name="gajkbgsf" localSheetId="8">#REF!</definedName>
    <definedName name="gajkbgsf" localSheetId="9">#REF!</definedName>
    <definedName name="gajkbgsf" localSheetId="10">#REF!</definedName>
    <definedName name="gajkbgsf" localSheetId="11">#REF!</definedName>
    <definedName name="gajkbgsf" localSheetId="1">#REF!</definedName>
    <definedName name="gajkbgsf">#REF!</definedName>
    <definedName name="gb" localSheetId="2">#REF!</definedName>
    <definedName name="gb" localSheetId="3">#REF!</definedName>
    <definedName name="gb" localSheetId="4">#REF!</definedName>
    <definedName name="gb" localSheetId="5">#REF!</definedName>
    <definedName name="gb" localSheetId="6">#REF!</definedName>
    <definedName name="gb" localSheetId="7">#REF!</definedName>
    <definedName name="gb" localSheetId="8">#REF!</definedName>
    <definedName name="gb" localSheetId="9">#REF!</definedName>
    <definedName name="gb" localSheetId="10">#REF!</definedName>
    <definedName name="gb" localSheetId="11">#REF!</definedName>
    <definedName name="gb" localSheetId="1">#REF!</definedName>
    <definedName name="gb">#REF!</definedName>
    <definedName name="ge">'[15]3'!$C$41</definedName>
    <definedName name="GENERAL" localSheetId="2">#REF!</definedName>
    <definedName name="GENERAL" localSheetId="3">#REF!</definedName>
    <definedName name="GENERAL" localSheetId="4">#REF!</definedName>
    <definedName name="GENERAL" localSheetId="5">#REF!</definedName>
    <definedName name="GENERAL" localSheetId="6">#REF!</definedName>
    <definedName name="GENERAL" localSheetId="7">#REF!</definedName>
    <definedName name="GENERAL" localSheetId="8">#REF!</definedName>
    <definedName name="GENERAL" localSheetId="9">#REF!</definedName>
    <definedName name="GENERAL" localSheetId="10">#REF!</definedName>
    <definedName name="GENERAL" localSheetId="11">#REF!</definedName>
    <definedName name="GENERAL" localSheetId="1">#REF!</definedName>
    <definedName name="GENERAL">#REF!</definedName>
    <definedName name="gg" localSheetId="2">#REF!</definedName>
    <definedName name="gg" localSheetId="3">#REF!</definedName>
    <definedName name="gg" localSheetId="4">#REF!</definedName>
    <definedName name="gg" localSheetId="5">#REF!</definedName>
    <definedName name="gg" localSheetId="6">#REF!</definedName>
    <definedName name="gg" localSheetId="7">#REF!</definedName>
    <definedName name="gg" localSheetId="8">#REF!</definedName>
    <definedName name="gg" localSheetId="9">#REF!</definedName>
    <definedName name="gg" localSheetId="10">#REF!</definedName>
    <definedName name="gg" localSheetId="11">#REF!</definedName>
    <definedName name="gg" localSheetId="1">#REF!</definedName>
    <definedName name="gg">#REF!</definedName>
    <definedName name="ggg" localSheetId="2">#REF!</definedName>
    <definedName name="ggg" localSheetId="3">#REF!</definedName>
    <definedName name="ggg" localSheetId="4">#REF!</definedName>
    <definedName name="ggg" localSheetId="5">#REF!</definedName>
    <definedName name="ggg" localSheetId="6">#REF!</definedName>
    <definedName name="ggg" localSheetId="7">#REF!</definedName>
    <definedName name="ggg" localSheetId="8">#REF!</definedName>
    <definedName name="ggg" localSheetId="9">#REF!</definedName>
    <definedName name="ggg" localSheetId="10">#REF!</definedName>
    <definedName name="ggg" localSheetId="11">#REF!</definedName>
    <definedName name="ggg" localSheetId="1">#REF!</definedName>
    <definedName name="ggg">#REF!</definedName>
    <definedName name="GH" localSheetId="2">#REF!</definedName>
    <definedName name="GH" localSheetId="3">#REF!</definedName>
    <definedName name="GH" localSheetId="4">#REF!</definedName>
    <definedName name="GH" localSheetId="5">#REF!</definedName>
    <definedName name="GH" localSheetId="6">#REF!</definedName>
    <definedName name="GH" localSheetId="7">#REF!</definedName>
    <definedName name="GH" localSheetId="8">#REF!</definedName>
    <definedName name="GH" localSheetId="9">#REF!</definedName>
    <definedName name="GH" localSheetId="10">#REF!</definedName>
    <definedName name="GH" localSheetId="11">#REF!</definedName>
    <definedName name="GH" localSheetId="1">#REF!</definedName>
    <definedName name="GH">#REF!</definedName>
    <definedName name="GONGGA" localSheetId="2">#REF!</definedName>
    <definedName name="GONGGA" localSheetId="3">#REF!</definedName>
    <definedName name="GONGGA" localSheetId="4">#REF!</definedName>
    <definedName name="GONGGA" localSheetId="5">#REF!</definedName>
    <definedName name="GONGGA" localSheetId="6">#REF!</definedName>
    <definedName name="GONGGA" localSheetId="7">#REF!</definedName>
    <definedName name="GONGGA" localSheetId="8">#REF!</definedName>
    <definedName name="GONGGA" localSheetId="9">#REF!</definedName>
    <definedName name="GONGGA" localSheetId="10">#REF!</definedName>
    <definedName name="GONGGA" localSheetId="11">#REF!</definedName>
    <definedName name="GONGGA" localSheetId="1">#REF!</definedName>
    <definedName name="GONGGA">#REF!</definedName>
    <definedName name="GONGJANG" localSheetId="2">#REF!</definedName>
    <definedName name="GONGJANG" localSheetId="3">#REF!</definedName>
    <definedName name="GONGJANG" localSheetId="4">#REF!</definedName>
    <definedName name="GONGJANG" localSheetId="5">#REF!</definedName>
    <definedName name="GONGJANG" localSheetId="6">#REF!</definedName>
    <definedName name="GONGJANG" localSheetId="7">#REF!</definedName>
    <definedName name="GONGJANG" localSheetId="8">#REF!</definedName>
    <definedName name="GONGJANG" localSheetId="9">#REF!</definedName>
    <definedName name="GONGJANG" localSheetId="10">#REF!</definedName>
    <definedName name="GONGJANG" localSheetId="11">#REF!</definedName>
    <definedName name="GONGJANG" localSheetId="1">#REF!</definedName>
    <definedName name="GONGJANG">#REF!</definedName>
    <definedName name="guest" localSheetId="2">#REF!</definedName>
    <definedName name="guest" localSheetId="3">#REF!</definedName>
    <definedName name="guest" localSheetId="4">#REF!</definedName>
    <definedName name="guest" localSheetId="5">#REF!</definedName>
    <definedName name="guest" localSheetId="6">#REF!</definedName>
    <definedName name="guest" localSheetId="7">#REF!</definedName>
    <definedName name="guest" localSheetId="8">#REF!</definedName>
    <definedName name="guest" localSheetId="9">#REF!</definedName>
    <definedName name="guest" localSheetId="10">#REF!</definedName>
    <definedName name="guest" localSheetId="11">#REF!</definedName>
    <definedName name="guest" localSheetId="1">#REF!</definedName>
    <definedName name="guest">#REF!</definedName>
    <definedName name="GYS" localSheetId="2">#REF!</definedName>
    <definedName name="GYS" localSheetId="3">#REF!</definedName>
    <definedName name="GYS" localSheetId="4">#REF!</definedName>
    <definedName name="GYS" localSheetId="5">#REF!</definedName>
    <definedName name="GYS" localSheetId="6">#REF!</definedName>
    <definedName name="GYS" localSheetId="7">#REF!</definedName>
    <definedName name="GYS" localSheetId="8">#REF!</definedName>
    <definedName name="GYS" localSheetId="9">#REF!</definedName>
    <definedName name="GYS" localSheetId="10">#REF!</definedName>
    <definedName name="GYS" localSheetId="11">#REF!</definedName>
    <definedName name="GYS" localSheetId="1">#REF!</definedName>
    <definedName name="GYS">#REF!</definedName>
    <definedName name="H" localSheetId="2">#REF!</definedName>
    <definedName name="H" localSheetId="3">#REF!</definedName>
    <definedName name="H" localSheetId="4">#REF!</definedName>
    <definedName name="H" localSheetId="5">#REF!</definedName>
    <definedName name="H" localSheetId="6">#REF!</definedName>
    <definedName name="H" localSheetId="7">#REF!</definedName>
    <definedName name="H" localSheetId="8">#REF!</definedName>
    <definedName name="H" localSheetId="9">#REF!</definedName>
    <definedName name="H" localSheetId="10">#REF!</definedName>
    <definedName name="H" localSheetId="11">#REF!</definedName>
    <definedName name="H" localSheetId="1">#REF!</definedName>
    <definedName name="H">#REF!</definedName>
    <definedName name="hae" localSheetId="2">#REF!</definedName>
    <definedName name="hae" localSheetId="3">#REF!</definedName>
    <definedName name="hae" localSheetId="4">#REF!</definedName>
    <definedName name="hae" localSheetId="5">#REF!</definedName>
    <definedName name="hae" localSheetId="6">#REF!</definedName>
    <definedName name="hae" localSheetId="7">#REF!</definedName>
    <definedName name="hae" localSheetId="8">#REF!</definedName>
    <definedName name="hae" localSheetId="9">#REF!</definedName>
    <definedName name="hae" localSheetId="10">#REF!</definedName>
    <definedName name="hae" localSheetId="11">#REF!</definedName>
    <definedName name="hae" localSheetId="1">#REF!</definedName>
    <definedName name="hae">#REF!</definedName>
    <definedName name="HH" localSheetId="2">#REF!</definedName>
    <definedName name="HH" localSheetId="3">#REF!</definedName>
    <definedName name="HH" localSheetId="4">#REF!</definedName>
    <definedName name="HH" localSheetId="5">#REF!</definedName>
    <definedName name="HH" localSheetId="6">#REF!</definedName>
    <definedName name="HH" localSheetId="7">#REF!</definedName>
    <definedName name="HH" localSheetId="8">#REF!</definedName>
    <definedName name="HH" localSheetId="9">#REF!</definedName>
    <definedName name="HH" localSheetId="10">#REF!</definedName>
    <definedName name="HH" localSheetId="11">#REF!</definedName>
    <definedName name="HH" localSheetId="1">#REF!</definedName>
    <definedName name="HH">#REF!</definedName>
    <definedName name="hjhjhjhkljh" localSheetId="2">#REF!</definedName>
    <definedName name="hjhjhjhkljh" localSheetId="3">#REF!</definedName>
    <definedName name="hjhjhjhkljh" localSheetId="4">#REF!</definedName>
    <definedName name="hjhjhjhkljh" localSheetId="5">#REF!</definedName>
    <definedName name="hjhjhjhkljh" localSheetId="6">#REF!</definedName>
    <definedName name="hjhjhjhkljh" localSheetId="7">#REF!</definedName>
    <definedName name="hjhjhjhkljh" localSheetId="8">#REF!</definedName>
    <definedName name="hjhjhjhkljh" localSheetId="9">#REF!</definedName>
    <definedName name="hjhjhjhkljh" localSheetId="10">#REF!</definedName>
    <definedName name="hjhjhjhkljh" localSheetId="11">#REF!</definedName>
    <definedName name="hjhjhjhkljh" localSheetId="1">#REF!</definedName>
    <definedName name="hjhjhjhkljh">#REF!</definedName>
    <definedName name="hjjjj" localSheetId="2">#REF!</definedName>
    <definedName name="hjjjj" localSheetId="3">#REF!</definedName>
    <definedName name="hjjjj" localSheetId="4">#REF!</definedName>
    <definedName name="hjjjj" localSheetId="5">#REF!</definedName>
    <definedName name="hjjjj" localSheetId="6">#REF!</definedName>
    <definedName name="hjjjj" localSheetId="7">#REF!</definedName>
    <definedName name="hjjjj" localSheetId="8">#REF!</definedName>
    <definedName name="hjjjj" localSheetId="9">#REF!</definedName>
    <definedName name="hjjjj" localSheetId="10">#REF!</definedName>
    <definedName name="hjjjj" localSheetId="11">#REF!</definedName>
    <definedName name="hjjjj" localSheetId="1">#REF!</definedName>
    <definedName name="hjjjj">#REF!</definedName>
    <definedName name="hkhkhkj" localSheetId="2">#REF!</definedName>
    <definedName name="hkhkhkj" localSheetId="3">#REF!</definedName>
    <definedName name="hkhkhkj" localSheetId="4">#REF!</definedName>
    <definedName name="hkhkhkj" localSheetId="5">#REF!</definedName>
    <definedName name="hkhkhkj" localSheetId="6">#REF!</definedName>
    <definedName name="hkhkhkj" localSheetId="7">#REF!</definedName>
    <definedName name="hkhkhkj" localSheetId="8">#REF!</definedName>
    <definedName name="hkhkhkj" localSheetId="9">#REF!</definedName>
    <definedName name="hkhkhkj" localSheetId="10">#REF!</definedName>
    <definedName name="hkhkhkj" localSheetId="11">#REF!</definedName>
    <definedName name="hkhkhkj" localSheetId="1">#REF!</definedName>
    <definedName name="hkhkhkj">#REF!</definedName>
    <definedName name="HKKILJI" localSheetId="2">#REF!</definedName>
    <definedName name="HKKILJI" localSheetId="3">#REF!</definedName>
    <definedName name="HKKILJI" localSheetId="4">#REF!</definedName>
    <definedName name="HKKILJI" localSheetId="5">#REF!</definedName>
    <definedName name="HKKILJI" localSheetId="6">#REF!</definedName>
    <definedName name="HKKILJI" localSheetId="7">#REF!</definedName>
    <definedName name="HKKILJI" localSheetId="8">#REF!</definedName>
    <definedName name="HKKILJI" localSheetId="9">#REF!</definedName>
    <definedName name="HKKILJI" localSheetId="10">#REF!</definedName>
    <definedName name="HKKILJI" localSheetId="11">#REF!</definedName>
    <definedName name="HKKILJI" localSheetId="1">#REF!</definedName>
    <definedName name="HKKILJI">#REF!</definedName>
    <definedName name="hom" localSheetId="2">#REF!</definedName>
    <definedName name="hom" localSheetId="3">#REF!</definedName>
    <definedName name="hom" localSheetId="4">#REF!</definedName>
    <definedName name="hom" localSheetId="5">#REF!</definedName>
    <definedName name="hom" localSheetId="6">#REF!</definedName>
    <definedName name="hom" localSheetId="7">#REF!</definedName>
    <definedName name="hom" localSheetId="8">#REF!</definedName>
    <definedName name="hom" localSheetId="9">#REF!</definedName>
    <definedName name="hom" localSheetId="10">#REF!</definedName>
    <definedName name="hom" localSheetId="11">#REF!</definedName>
    <definedName name="hom" localSheetId="1">#REF!</definedName>
    <definedName name="hom">#REF!</definedName>
    <definedName name="homer" localSheetId="2">#REF!</definedName>
    <definedName name="homer" localSheetId="3">#REF!</definedName>
    <definedName name="homer" localSheetId="4">#REF!</definedName>
    <definedName name="homer" localSheetId="5">#REF!</definedName>
    <definedName name="homer" localSheetId="6">#REF!</definedName>
    <definedName name="homer" localSheetId="7">#REF!</definedName>
    <definedName name="homer" localSheetId="8">#REF!</definedName>
    <definedName name="homer" localSheetId="9">#REF!</definedName>
    <definedName name="homer" localSheetId="10">#REF!</definedName>
    <definedName name="homer" localSheetId="11">#REF!</definedName>
    <definedName name="homer" localSheetId="1">#REF!</definedName>
    <definedName name="homer">#REF!</definedName>
    <definedName name="homerun" localSheetId="2">#REF!</definedName>
    <definedName name="homerun" localSheetId="3">#REF!</definedName>
    <definedName name="homerun" localSheetId="4">#REF!</definedName>
    <definedName name="homerun" localSheetId="5">#REF!</definedName>
    <definedName name="homerun" localSheetId="6">#REF!</definedName>
    <definedName name="homerun" localSheetId="7">#REF!</definedName>
    <definedName name="homerun" localSheetId="8">#REF!</definedName>
    <definedName name="homerun" localSheetId="9">#REF!</definedName>
    <definedName name="homerun" localSheetId="10">#REF!</definedName>
    <definedName name="homerun" localSheetId="11">#REF!</definedName>
    <definedName name="homerun" localSheetId="1">#REF!</definedName>
    <definedName name="homerun">#REF!</definedName>
    <definedName name="HTML_CodePage" hidden="1">9</definedName>
    <definedName name="HTML_Control" localSheetId="12" hidden="1">{"'Break down'!$A$4"}</definedName>
    <definedName name="HTML_Control" localSheetId="2" hidden="1">{"'Break down'!$A$4"}</definedName>
    <definedName name="HTML_Control" localSheetId="3" hidden="1">{"'Break down'!$A$4"}</definedName>
    <definedName name="HTML_Control" localSheetId="4" hidden="1">{"'Break down'!$A$4"}</definedName>
    <definedName name="HTML_Control" localSheetId="5" hidden="1">{"'Break down'!$A$4"}</definedName>
    <definedName name="HTML_Control" localSheetId="6" hidden="1">{"'Break down'!$A$4"}</definedName>
    <definedName name="HTML_Control" localSheetId="7" hidden="1">{"'Break down'!$A$4"}</definedName>
    <definedName name="HTML_Control" localSheetId="8" hidden="1">{"'Break down'!$A$4"}</definedName>
    <definedName name="HTML_Control" localSheetId="9" hidden="1">{"'Break down'!$A$4"}</definedName>
    <definedName name="HTML_Control" localSheetId="10" hidden="1">{"'Break down'!$A$4"}</definedName>
    <definedName name="HTML_Control" localSheetId="11" hidden="1">{"'Break down'!$A$4"}</definedName>
    <definedName name="HTML_Control" localSheetId="1" hidden="1">{"'Break down'!$A$4"}</definedName>
    <definedName name="HTML_Control" hidden="1">{"'Break down'!$A$4"}</definedName>
    <definedName name="HTML_Description" hidden="1">""</definedName>
    <definedName name="HTML_Email" hidden="1">""</definedName>
    <definedName name="HTML_Header" hidden="1">"Break down"</definedName>
    <definedName name="HTML_LastUpdate" hidden="1">"6/7/98"</definedName>
    <definedName name="HTML_LineAfter" hidden="1">FALSE</definedName>
    <definedName name="HTML_LineBefore" hidden="1">FALSE</definedName>
    <definedName name="HTML_Name" hidden="1">"PAUL MATHEW"</definedName>
    <definedName name="HTML_OBDlg2" hidden="1">TRUE</definedName>
    <definedName name="HTML_OBDlg4" hidden="1">TRUE</definedName>
    <definedName name="HTML_OS" hidden="1">0</definedName>
    <definedName name="HTML_PathFile" hidden="1">"C:\WINDOWS\MSAPPS\MyHTML.htm"</definedName>
    <definedName name="HTML_Title" hidden="1">"Break_down"</definedName>
    <definedName name="HYTH" localSheetId="2">#REF!</definedName>
    <definedName name="HYTH" localSheetId="3">#REF!</definedName>
    <definedName name="HYTH" localSheetId="4">#REF!</definedName>
    <definedName name="HYTH" localSheetId="5">#REF!</definedName>
    <definedName name="HYTH" localSheetId="6">#REF!</definedName>
    <definedName name="HYTH" localSheetId="7">#REF!</definedName>
    <definedName name="HYTH" localSheetId="8">#REF!</definedName>
    <definedName name="HYTH" localSheetId="9">#REF!</definedName>
    <definedName name="HYTH" localSheetId="10">#REF!</definedName>
    <definedName name="HYTH" localSheetId="11">#REF!</definedName>
    <definedName name="HYTH" localSheetId="1">#REF!</definedName>
    <definedName name="HYTH">#REF!</definedName>
    <definedName name="ice" localSheetId="2">#REF!</definedName>
    <definedName name="ice" localSheetId="3">#REF!</definedName>
    <definedName name="ice" localSheetId="4">#REF!</definedName>
    <definedName name="ice" localSheetId="5">#REF!</definedName>
    <definedName name="ice" localSheetId="6">#REF!</definedName>
    <definedName name="ice" localSheetId="7">#REF!</definedName>
    <definedName name="ice" localSheetId="8">#REF!</definedName>
    <definedName name="ice" localSheetId="9">#REF!</definedName>
    <definedName name="ice" localSheetId="10">#REF!</definedName>
    <definedName name="ice" localSheetId="11">#REF!</definedName>
    <definedName name="ice" localSheetId="1">#REF!</definedName>
    <definedName name="ice">#REF!</definedName>
    <definedName name="ILGA" localSheetId="2">#REF!</definedName>
    <definedName name="ILGA" localSheetId="3">#REF!</definedName>
    <definedName name="ILGA" localSheetId="4">#REF!</definedName>
    <definedName name="ILGA" localSheetId="5">#REF!</definedName>
    <definedName name="ILGA" localSheetId="6">#REF!</definedName>
    <definedName name="ILGA" localSheetId="7">#REF!</definedName>
    <definedName name="ILGA" localSheetId="8">#REF!</definedName>
    <definedName name="ILGA" localSheetId="9">#REF!</definedName>
    <definedName name="ILGA" localSheetId="10">#REF!</definedName>
    <definedName name="ILGA" localSheetId="11">#REF!</definedName>
    <definedName name="ILGA" localSheetId="1">#REF!</definedName>
    <definedName name="ILGA">#REF!</definedName>
    <definedName name="intext" localSheetId="2">#REF!</definedName>
    <definedName name="intext" localSheetId="3">#REF!</definedName>
    <definedName name="intext" localSheetId="4">#REF!</definedName>
    <definedName name="intext" localSheetId="5">#REF!</definedName>
    <definedName name="intext" localSheetId="6">#REF!</definedName>
    <definedName name="intext" localSheetId="7">#REF!</definedName>
    <definedName name="intext" localSheetId="8">#REF!</definedName>
    <definedName name="intext" localSheetId="9">#REF!</definedName>
    <definedName name="intext" localSheetId="10">#REF!</definedName>
    <definedName name="intext" localSheetId="11">#REF!</definedName>
    <definedName name="intext" localSheetId="1">#REF!</definedName>
    <definedName name="intext">#REF!</definedName>
    <definedName name="J" localSheetId="2">#REF!</definedName>
    <definedName name="J" localSheetId="3">#REF!</definedName>
    <definedName name="J" localSheetId="4">#REF!</definedName>
    <definedName name="J" localSheetId="5">#REF!</definedName>
    <definedName name="J" localSheetId="6">#REF!</definedName>
    <definedName name="J" localSheetId="7">#REF!</definedName>
    <definedName name="J" localSheetId="8">#REF!</definedName>
    <definedName name="J" localSheetId="9">#REF!</definedName>
    <definedName name="J" localSheetId="10">#REF!</definedName>
    <definedName name="J" localSheetId="11">#REF!</definedName>
    <definedName name="J" localSheetId="1">#REF!</definedName>
    <definedName name="J">#REF!</definedName>
    <definedName name="K" localSheetId="2">#REF!</definedName>
    <definedName name="K" localSheetId="3">#REF!</definedName>
    <definedName name="K" localSheetId="4">#REF!</definedName>
    <definedName name="K" localSheetId="5">#REF!</definedName>
    <definedName name="K" localSheetId="6">#REF!</definedName>
    <definedName name="K" localSheetId="7">#REF!</definedName>
    <definedName name="K" localSheetId="8">#REF!</definedName>
    <definedName name="K" localSheetId="9">#REF!</definedName>
    <definedName name="K" localSheetId="10">#REF!</definedName>
    <definedName name="K" localSheetId="11">#REF!</definedName>
    <definedName name="K" localSheetId="1">#REF!</definedName>
    <definedName name="K">#REF!</definedName>
    <definedName name="KAJLJ" localSheetId="2">#REF!</definedName>
    <definedName name="KAJLJ" localSheetId="3">#REF!</definedName>
    <definedName name="KAJLJ" localSheetId="4">#REF!</definedName>
    <definedName name="KAJLJ" localSheetId="5">#REF!</definedName>
    <definedName name="KAJLJ" localSheetId="6">#REF!</definedName>
    <definedName name="KAJLJ" localSheetId="7">#REF!</definedName>
    <definedName name="KAJLJ" localSheetId="8">#REF!</definedName>
    <definedName name="KAJLJ" localSheetId="9">#REF!</definedName>
    <definedName name="KAJLJ" localSheetId="10">#REF!</definedName>
    <definedName name="KAJLJ" localSheetId="11">#REF!</definedName>
    <definedName name="KAJLJ" localSheetId="1">#REF!</definedName>
    <definedName name="KAJLJ">#REF!</definedName>
    <definedName name="KAJLJ1" localSheetId="2">#REF!</definedName>
    <definedName name="KAJLJ1" localSheetId="3">#REF!</definedName>
    <definedName name="KAJLJ1" localSheetId="4">#REF!</definedName>
    <definedName name="KAJLJ1" localSheetId="5">#REF!</definedName>
    <definedName name="KAJLJ1" localSheetId="6">#REF!</definedName>
    <definedName name="KAJLJ1" localSheetId="7">#REF!</definedName>
    <definedName name="KAJLJ1" localSheetId="8">#REF!</definedName>
    <definedName name="KAJLJ1" localSheetId="9">#REF!</definedName>
    <definedName name="KAJLJ1" localSheetId="10">#REF!</definedName>
    <definedName name="KAJLJ1" localSheetId="11">#REF!</definedName>
    <definedName name="KAJLJ1" localSheetId="1">#REF!</definedName>
    <definedName name="KAJLJ1">#REF!</definedName>
    <definedName name="KD">[16]ancillary!$I$5</definedName>
    <definedName name="KL" localSheetId="2">#REF!</definedName>
    <definedName name="KL" localSheetId="3">#REF!</definedName>
    <definedName name="KL" localSheetId="4">#REF!</definedName>
    <definedName name="KL" localSheetId="5">#REF!</definedName>
    <definedName name="KL" localSheetId="6">#REF!</definedName>
    <definedName name="KL" localSheetId="7">#REF!</definedName>
    <definedName name="KL" localSheetId="8">#REF!</definedName>
    <definedName name="KL" localSheetId="9">#REF!</definedName>
    <definedName name="KL" localSheetId="10">#REF!</definedName>
    <definedName name="KL" localSheetId="11">#REF!</definedName>
    <definedName name="KL" localSheetId="1">#REF!</definedName>
    <definedName name="KL">#REF!</definedName>
    <definedName name="L" localSheetId="2">#REF!</definedName>
    <definedName name="L" localSheetId="3">#REF!</definedName>
    <definedName name="L" localSheetId="4">#REF!</definedName>
    <definedName name="L" localSheetId="5">#REF!</definedName>
    <definedName name="L" localSheetId="6">#REF!</definedName>
    <definedName name="L" localSheetId="7">#REF!</definedName>
    <definedName name="L" localSheetId="8">#REF!</definedName>
    <definedName name="L" localSheetId="9">#REF!</definedName>
    <definedName name="L" localSheetId="10">#REF!</definedName>
    <definedName name="L" localSheetId="11">#REF!</definedName>
    <definedName name="L" localSheetId="1">#REF!</definedName>
    <definedName name="L">#REF!</definedName>
    <definedName name="LABOR" localSheetId="2">#REF!</definedName>
    <definedName name="LABOR" localSheetId="3">#REF!</definedName>
    <definedName name="LABOR" localSheetId="4">#REF!</definedName>
    <definedName name="LABOR" localSheetId="5">#REF!</definedName>
    <definedName name="LABOR" localSheetId="6">#REF!</definedName>
    <definedName name="LABOR" localSheetId="7">#REF!</definedName>
    <definedName name="LABOR" localSheetId="8">#REF!</definedName>
    <definedName name="LABOR" localSheetId="9">#REF!</definedName>
    <definedName name="LABOR" localSheetId="10">#REF!</definedName>
    <definedName name="LABOR" localSheetId="11">#REF!</definedName>
    <definedName name="LABOR" localSheetId="1">#REF!</definedName>
    <definedName name="LABOR">#REF!</definedName>
    <definedName name="Length_of_the_cell__X_direction__m" localSheetId="2">#REF!</definedName>
    <definedName name="Length_of_the_cell__X_direction__m" localSheetId="3">#REF!</definedName>
    <definedName name="Length_of_the_cell__X_direction__m" localSheetId="4">#REF!</definedName>
    <definedName name="Length_of_the_cell__X_direction__m" localSheetId="5">#REF!</definedName>
    <definedName name="Length_of_the_cell__X_direction__m" localSheetId="6">#REF!</definedName>
    <definedName name="Length_of_the_cell__X_direction__m" localSheetId="7">#REF!</definedName>
    <definedName name="Length_of_the_cell__X_direction__m" localSheetId="8">#REF!</definedName>
    <definedName name="Length_of_the_cell__X_direction__m" localSheetId="9">#REF!</definedName>
    <definedName name="Length_of_the_cell__X_direction__m" localSheetId="10">#REF!</definedName>
    <definedName name="Length_of_the_cell__X_direction__m" localSheetId="11">#REF!</definedName>
    <definedName name="Length_of_the_cell__X_direction__m" localSheetId="1">#REF!</definedName>
    <definedName name="Length_of_the_cell__X_direction__m">#REF!</definedName>
    <definedName name="Length_Vertical_Raft" localSheetId="2">#REF!</definedName>
    <definedName name="Length_Vertical_Raft" localSheetId="3">#REF!</definedName>
    <definedName name="Length_Vertical_Raft" localSheetId="4">#REF!</definedName>
    <definedName name="Length_Vertical_Raft" localSheetId="5">#REF!</definedName>
    <definedName name="Length_Vertical_Raft" localSheetId="6">#REF!</definedName>
    <definedName name="Length_Vertical_Raft" localSheetId="7">#REF!</definedName>
    <definedName name="Length_Vertical_Raft" localSheetId="8">#REF!</definedName>
    <definedName name="Length_Vertical_Raft" localSheetId="9">#REF!</definedName>
    <definedName name="Length_Vertical_Raft" localSheetId="10">#REF!</definedName>
    <definedName name="Length_Vertical_Raft" localSheetId="11">#REF!</definedName>
    <definedName name="Length_Vertical_Raft" localSheetId="1">#REF!</definedName>
    <definedName name="Length_Vertical_Raft">#REF!</definedName>
    <definedName name="LIB" localSheetId="2">#REF!</definedName>
    <definedName name="LIB" localSheetId="3">#REF!</definedName>
    <definedName name="LIB" localSheetId="4">#REF!</definedName>
    <definedName name="LIB" localSheetId="5">#REF!</definedName>
    <definedName name="LIB" localSheetId="6">#REF!</definedName>
    <definedName name="LIB" localSheetId="7">#REF!</definedName>
    <definedName name="LIB" localSheetId="8">#REF!</definedName>
    <definedName name="LIB" localSheetId="9">#REF!</definedName>
    <definedName name="LIB" localSheetId="10">#REF!</definedName>
    <definedName name="LIB" localSheetId="11">#REF!</definedName>
    <definedName name="LIB" localSheetId="1">#REF!</definedName>
    <definedName name="LIB">#REF!</definedName>
    <definedName name="LL" localSheetId="2">#REF!</definedName>
    <definedName name="LL" localSheetId="3">#REF!</definedName>
    <definedName name="LL" localSheetId="4">#REF!</definedName>
    <definedName name="LL" localSheetId="5">#REF!</definedName>
    <definedName name="LL" localSheetId="6">#REF!</definedName>
    <definedName name="LL" localSheetId="7">#REF!</definedName>
    <definedName name="LL" localSheetId="8">#REF!</definedName>
    <definedName name="LL" localSheetId="9">#REF!</definedName>
    <definedName name="LL" localSheetId="10">#REF!</definedName>
    <definedName name="LL" localSheetId="11">#REF!</definedName>
    <definedName name="LL" localSheetId="1">#REF!</definedName>
    <definedName name="LL">#REF!</definedName>
    <definedName name="LLL" localSheetId="2">#REF!</definedName>
    <definedName name="LLL" localSheetId="3">#REF!</definedName>
    <definedName name="LLL" localSheetId="4">#REF!</definedName>
    <definedName name="LLL" localSheetId="5">#REF!</definedName>
    <definedName name="LLL" localSheetId="6">#REF!</definedName>
    <definedName name="LLL" localSheetId="7">#REF!</definedName>
    <definedName name="LLL" localSheetId="8">#REF!</definedName>
    <definedName name="LLL" localSheetId="9">#REF!</definedName>
    <definedName name="LLL" localSheetId="10">#REF!</definedName>
    <definedName name="LLL" localSheetId="11">#REF!</definedName>
    <definedName name="LLL" localSheetId="1">#REF!</definedName>
    <definedName name="LLL">#REF!</definedName>
    <definedName name="M" localSheetId="2">#REF!</definedName>
    <definedName name="M" localSheetId="3">#REF!</definedName>
    <definedName name="M" localSheetId="4">#REF!</definedName>
    <definedName name="M" localSheetId="5">#REF!</definedName>
    <definedName name="M" localSheetId="6">#REF!</definedName>
    <definedName name="M" localSheetId="7">#REF!</definedName>
    <definedName name="M" localSheetId="8">#REF!</definedName>
    <definedName name="M" localSheetId="9">#REF!</definedName>
    <definedName name="M" localSheetId="10">#REF!</definedName>
    <definedName name="M" localSheetId="11">#REF!</definedName>
    <definedName name="M" localSheetId="1">#REF!</definedName>
    <definedName name="M">#REF!</definedName>
    <definedName name="M_Angle_Screed" localSheetId="2">#REF!</definedName>
    <definedName name="M_Angle_Screed" localSheetId="3">#REF!</definedName>
    <definedName name="M_Angle_Screed" localSheetId="4">#REF!</definedName>
    <definedName name="M_Angle_Screed" localSheetId="5">#REF!</definedName>
    <definedName name="M_Angle_Screed" localSheetId="6">#REF!</definedName>
    <definedName name="M_Angle_Screed" localSheetId="7">#REF!</definedName>
    <definedName name="M_Angle_Screed" localSheetId="8">#REF!</definedName>
    <definedName name="M_Angle_Screed" localSheetId="9">#REF!</definedName>
    <definedName name="M_Angle_Screed" localSheetId="10">#REF!</definedName>
    <definedName name="M_Angle_Screed" localSheetId="11">#REF!</definedName>
    <definedName name="M_Angle_Screed" localSheetId="1">#REF!</definedName>
    <definedName name="M_Angle_Screed">#REF!</definedName>
    <definedName name="mep" localSheetId="2">#REF!</definedName>
    <definedName name="mep" localSheetId="3">#REF!</definedName>
    <definedName name="mep" localSheetId="4">#REF!</definedName>
    <definedName name="mep" localSheetId="5">#REF!</definedName>
    <definedName name="mep" localSheetId="6">#REF!</definedName>
    <definedName name="mep" localSheetId="7">#REF!</definedName>
    <definedName name="mep" localSheetId="8">#REF!</definedName>
    <definedName name="mep" localSheetId="9">#REF!</definedName>
    <definedName name="mep" localSheetId="10">#REF!</definedName>
    <definedName name="mep" localSheetId="11">#REF!</definedName>
    <definedName name="mep" localSheetId="1">#REF!</definedName>
    <definedName name="mep">#REF!</definedName>
    <definedName name="MONTHS">[17]DATA!$A$2:$D$13</definedName>
    <definedName name="mr" localSheetId="2">#REF!</definedName>
    <definedName name="mr" localSheetId="3">#REF!</definedName>
    <definedName name="mr" localSheetId="4">#REF!</definedName>
    <definedName name="mr" localSheetId="5">#REF!</definedName>
    <definedName name="mr" localSheetId="6">#REF!</definedName>
    <definedName name="mr" localSheetId="7">#REF!</definedName>
    <definedName name="mr" localSheetId="8">#REF!</definedName>
    <definedName name="mr" localSheetId="9">#REF!</definedName>
    <definedName name="mr" localSheetId="10">#REF!</definedName>
    <definedName name="mr" localSheetId="11">#REF!</definedName>
    <definedName name="mr" localSheetId="1">#REF!</definedName>
    <definedName name="mr">#REF!</definedName>
    <definedName name="mt" localSheetId="2">#REF!</definedName>
    <definedName name="mt" localSheetId="3">#REF!</definedName>
    <definedName name="mt" localSheetId="4">#REF!</definedName>
    <definedName name="mt" localSheetId="5">#REF!</definedName>
    <definedName name="mt" localSheetId="6">#REF!</definedName>
    <definedName name="mt" localSheetId="7">#REF!</definedName>
    <definedName name="mt" localSheetId="8">#REF!</definedName>
    <definedName name="mt" localSheetId="9">#REF!</definedName>
    <definedName name="mt" localSheetId="10">#REF!</definedName>
    <definedName name="mt" localSheetId="11">#REF!</definedName>
    <definedName name="mt" localSheetId="1">#REF!</definedName>
    <definedName name="mt">#REF!</definedName>
    <definedName name="MUP" localSheetId="2">#REF!</definedName>
    <definedName name="MUP" localSheetId="3">#REF!</definedName>
    <definedName name="MUP" localSheetId="4">#REF!</definedName>
    <definedName name="MUP" localSheetId="5">#REF!</definedName>
    <definedName name="MUP" localSheetId="6">#REF!</definedName>
    <definedName name="MUP" localSheetId="7">#REF!</definedName>
    <definedName name="MUP" localSheetId="8">#REF!</definedName>
    <definedName name="MUP" localSheetId="9">#REF!</definedName>
    <definedName name="MUP" localSheetId="10">#REF!</definedName>
    <definedName name="MUP" localSheetId="11">#REF!</definedName>
    <definedName name="MUP" localSheetId="1">#REF!</definedName>
    <definedName name="MUP">#REF!</definedName>
    <definedName name="N" localSheetId="2">#REF!</definedName>
    <definedName name="N" localSheetId="3">#REF!</definedName>
    <definedName name="N" localSheetId="4">#REF!</definedName>
    <definedName name="N" localSheetId="5">#REF!</definedName>
    <definedName name="N" localSheetId="6">#REF!</definedName>
    <definedName name="N" localSheetId="7">#REF!</definedName>
    <definedName name="N" localSheetId="8">#REF!</definedName>
    <definedName name="N" localSheetId="9">#REF!</definedName>
    <definedName name="N" localSheetId="10">#REF!</definedName>
    <definedName name="N" localSheetId="11">#REF!</definedName>
    <definedName name="N" localSheetId="1">#REF!</definedName>
    <definedName name="N">#REF!</definedName>
    <definedName name="NewPrintArea" localSheetId="2">#REF!</definedName>
    <definedName name="NewPrintArea" localSheetId="3">#REF!</definedName>
    <definedName name="NewPrintArea" localSheetId="4">#REF!</definedName>
    <definedName name="NewPrintArea" localSheetId="5">#REF!</definedName>
    <definedName name="NewPrintArea" localSheetId="6">#REF!</definedName>
    <definedName name="NewPrintArea" localSheetId="7">#REF!</definedName>
    <definedName name="NewPrintArea" localSheetId="8">#REF!</definedName>
    <definedName name="NewPrintArea" localSheetId="9">#REF!</definedName>
    <definedName name="NewPrintArea" localSheetId="10">#REF!</definedName>
    <definedName name="NewPrintArea" localSheetId="11">#REF!</definedName>
    <definedName name="NewPrintArea" localSheetId="1">#REF!</definedName>
    <definedName name="NewPrintArea">#REF!</definedName>
    <definedName name="NewPrintAreaMi" localSheetId="2">#REF!</definedName>
    <definedName name="NewPrintAreaMi" localSheetId="3">#REF!</definedName>
    <definedName name="NewPrintAreaMi" localSheetId="4">#REF!</definedName>
    <definedName name="NewPrintAreaMi" localSheetId="5">#REF!</definedName>
    <definedName name="NewPrintAreaMi" localSheetId="6">#REF!</definedName>
    <definedName name="NewPrintAreaMi" localSheetId="7">#REF!</definedName>
    <definedName name="NewPrintAreaMi" localSheetId="8">#REF!</definedName>
    <definedName name="NewPrintAreaMi" localSheetId="9">#REF!</definedName>
    <definedName name="NewPrintAreaMi" localSheetId="10">#REF!</definedName>
    <definedName name="NewPrintAreaMi" localSheetId="11">#REF!</definedName>
    <definedName name="NewPrintAreaMi" localSheetId="1">#REF!</definedName>
    <definedName name="NewPrintAreaMi">#REF!</definedName>
    <definedName name="NRM" localSheetId="12">[18]Dropdowns!$A$1:$AT$1</definedName>
    <definedName name="NRM">[18]Dropdowns!$A$1:$AT$1</definedName>
    <definedName name="nsc이익금" localSheetId="2">#REF!</definedName>
    <definedName name="nsc이익금" localSheetId="3">#REF!</definedName>
    <definedName name="nsc이익금" localSheetId="4">#REF!</definedName>
    <definedName name="nsc이익금" localSheetId="5">#REF!</definedName>
    <definedName name="nsc이익금" localSheetId="6">#REF!</definedName>
    <definedName name="nsc이익금" localSheetId="7">#REF!</definedName>
    <definedName name="nsc이익금" localSheetId="8">#REF!</definedName>
    <definedName name="nsc이익금" localSheetId="9">#REF!</definedName>
    <definedName name="nsc이익금" localSheetId="10">#REF!</definedName>
    <definedName name="nsc이익금" localSheetId="11">#REF!</definedName>
    <definedName name="nsc이익금" localSheetId="1">#REF!</definedName>
    <definedName name="nsc이익금">#REF!</definedName>
    <definedName name="P" localSheetId="2">#REF!</definedName>
    <definedName name="P" localSheetId="3">#REF!</definedName>
    <definedName name="P" localSheetId="4">#REF!</definedName>
    <definedName name="P" localSheetId="5">#REF!</definedName>
    <definedName name="P" localSheetId="6">#REF!</definedName>
    <definedName name="P" localSheetId="7">#REF!</definedName>
    <definedName name="P" localSheetId="8">#REF!</definedName>
    <definedName name="P" localSheetId="9">#REF!</definedName>
    <definedName name="P" localSheetId="10">#REF!</definedName>
    <definedName name="P" localSheetId="11">#REF!</definedName>
    <definedName name="P" localSheetId="1">#REF!</definedName>
    <definedName name="P">#REF!</definedName>
    <definedName name="p4s" localSheetId="2">#REF!</definedName>
    <definedName name="p4s" localSheetId="3">#REF!</definedName>
    <definedName name="p4s" localSheetId="4">#REF!</definedName>
    <definedName name="p4s" localSheetId="5">#REF!</definedName>
    <definedName name="p4s" localSheetId="6">#REF!</definedName>
    <definedName name="p4s" localSheetId="7">#REF!</definedName>
    <definedName name="p4s" localSheetId="8">#REF!</definedName>
    <definedName name="p4s" localSheetId="9">#REF!</definedName>
    <definedName name="p4s" localSheetId="10">#REF!</definedName>
    <definedName name="p4s" localSheetId="11">#REF!</definedName>
    <definedName name="p4s" localSheetId="1">#REF!</definedName>
    <definedName name="p4s">#REF!</definedName>
    <definedName name="page" localSheetId="2">#REF!</definedName>
    <definedName name="page" localSheetId="3">#REF!</definedName>
    <definedName name="page" localSheetId="4">#REF!</definedName>
    <definedName name="page" localSheetId="5">#REF!</definedName>
    <definedName name="page" localSheetId="6">#REF!</definedName>
    <definedName name="page" localSheetId="7">#REF!</definedName>
    <definedName name="page" localSheetId="8">#REF!</definedName>
    <definedName name="page" localSheetId="9">#REF!</definedName>
    <definedName name="page" localSheetId="10">#REF!</definedName>
    <definedName name="page" localSheetId="11">#REF!</definedName>
    <definedName name="page" localSheetId="1">#REF!</definedName>
    <definedName name="page">#REF!</definedName>
    <definedName name="page1" localSheetId="2">#REF!</definedName>
    <definedName name="page1" localSheetId="3">#REF!</definedName>
    <definedName name="page1" localSheetId="4">#REF!</definedName>
    <definedName name="page1" localSheetId="5">#REF!</definedName>
    <definedName name="page1" localSheetId="6">#REF!</definedName>
    <definedName name="page1" localSheetId="7">#REF!</definedName>
    <definedName name="page1" localSheetId="8">#REF!</definedName>
    <definedName name="page1" localSheetId="9">#REF!</definedName>
    <definedName name="page1" localSheetId="10">#REF!</definedName>
    <definedName name="page1" localSheetId="11">#REF!</definedName>
    <definedName name="page1" localSheetId="1">#REF!</definedName>
    <definedName name="page1">#REF!</definedName>
    <definedName name="page10" localSheetId="2">#REF!</definedName>
    <definedName name="page10" localSheetId="3">#REF!</definedName>
    <definedName name="page10" localSheetId="4">#REF!</definedName>
    <definedName name="page10" localSheetId="5">#REF!</definedName>
    <definedName name="page10" localSheetId="6">#REF!</definedName>
    <definedName name="page10" localSheetId="7">#REF!</definedName>
    <definedName name="page10" localSheetId="8">#REF!</definedName>
    <definedName name="page10" localSheetId="9">#REF!</definedName>
    <definedName name="page10" localSheetId="10">#REF!</definedName>
    <definedName name="page10" localSheetId="11">#REF!</definedName>
    <definedName name="page10" localSheetId="1">#REF!</definedName>
    <definedName name="page10">#REF!</definedName>
    <definedName name="page100" localSheetId="2">#REF!</definedName>
    <definedName name="page100" localSheetId="3">#REF!</definedName>
    <definedName name="page100" localSheetId="4">#REF!</definedName>
    <definedName name="page100" localSheetId="5">#REF!</definedName>
    <definedName name="page100" localSheetId="6">#REF!</definedName>
    <definedName name="page100" localSheetId="7">#REF!</definedName>
    <definedName name="page100" localSheetId="8">#REF!</definedName>
    <definedName name="page100" localSheetId="9">#REF!</definedName>
    <definedName name="page100" localSheetId="10">#REF!</definedName>
    <definedName name="page100" localSheetId="11">#REF!</definedName>
    <definedName name="page100" localSheetId="1">#REF!</definedName>
    <definedName name="page100">#REF!</definedName>
    <definedName name="page101" localSheetId="2">#REF!</definedName>
    <definedName name="page101" localSheetId="3">#REF!</definedName>
    <definedName name="page101" localSheetId="4">#REF!</definedName>
    <definedName name="page101" localSheetId="5">#REF!</definedName>
    <definedName name="page101" localSheetId="6">#REF!</definedName>
    <definedName name="page101" localSheetId="7">#REF!</definedName>
    <definedName name="page101" localSheetId="8">#REF!</definedName>
    <definedName name="page101" localSheetId="9">#REF!</definedName>
    <definedName name="page101" localSheetId="10">#REF!</definedName>
    <definedName name="page101" localSheetId="11">#REF!</definedName>
    <definedName name="page101" localSheetId="1">#REF!</definedName>
    <definedName name="page101">#REF!</definedName>
    <definedName name="page102" localSheetId="2">#REF!</definedName>
    <definedName name="page102" localSheetId="3">#REF!</definedName>
    <definedName name="page102" localSheetId="4">#REF!</definedName>
    <definedName name="page102" localSheetId="5">#REF!</definedName>
    <definedName name="page102" localSheetId="6">#REF!</definedName>
    <definedName name="page102" localSheetId="7">#REF!</definedName>
    <definedName name="page102" localSheetId="8">#REF!</definedName>
    <definedName name="page102" localSheetId="9">#REF!</definedName>
    <definedName name="page102" localSheetId="10">#REF!</definedName>
    <definedName name="page102" localSheetId="11">#REF!</definedName>
    <definedName name="page102" localSheetId="1">#REF!</definedName>
    <definedName name="page102">#REF!</definedName>
    <definedName name="page103" localSheetId="2">#REF!</definedName>
    <definedName name="page103" localSheetId="3">#REF!</definedName>
    <definedName name="page103" localSheetId="4">#REF!</definedName>
    <definedName name="page103" localSheetId="5">#REF!</definedName>
    <definedName name="page103" localSheetId="6">#REF!</definedName>
    <definedName name="page103" localSheetId="7">#REF!</definedName>
    <definedName name="page103" localSheetId="8">#REF!</definedName>
    <definedName name="page103" localSheetId="9">#REF!</definedName>
    <definedName name="page103" localSheetId="10">#REF!</definedName>
    <definedName name="page103" localSheetId="11">#REF!</definedName>
    <definedName name="page103" localSheetId="1">#REF!</definedName>
    <definedName name="page103">#REF!</definedName>
    <definedName name="page104" localSheetId="2">#REF!</definedName>
    <definedName name="page104" localSheetId="3">#REF!</definedName>
    <definedName name="page104" localSheetId="4">#REF!</definedName>
    <definedName name="page104" localSheetId="5">#REF!</definedName>
    <definedName name="page104" localSheetId="6">#REF!</definedName>
    <definedName name="page104" localSheetId="7">#REF!</definedName>
    <definedName name="page104" localSheetId="8">#REF!</definedName>
    <definedName name="page104" localSheetId="9">#REF!</definedName>
    <definedName name="page104" localSheetId="10">#REF!</definedName>
    <definedName name="page104" localSheetId="11">#REF!</definedName>
    <definedName name="page104" localSheetId="1">#REF!</definedName>
    <definedName name="page104">#REF!</definedName>
    <definedName name="page105" localSheetId="2">#REF!</definedName>
    <definedName name="page105" localSheetId="3">#REF!</definedName>
    <definedName name="page105" localSheetId="4">#REF!</definedName>
    <definedName name="page105" localSheetId="5">#REF!</definedName>
    <definedName name="page105" localSheetId="6">#REF!</definedName>
    <definedName name="page105" localSheetId="7">#REF!</definedName>
    <definedName name="page105" localSheetId="8">#REF!</definedName>
    <definedName name="page105" localSheetId="9">#REF!</definedName>
    <definedName name="page105" localSheetId="10">#REF!</definedName>
    <definedName name="page105" localSheetId="11">#REF!</definedName>
    <definedName name="page105" localSheetId="1">#REF!</definedName>
    <definedName name="page105">#REF!</definedName>
    <definedName name="page106" localSheetId="2">#REF!</definedName>
    <definedName name="page106" localSheetId="3">#REF!</definedName>
    <definedName name="page106" localSheetId="4">#REF!</definedName>
    <definedName name="page106" localSheetId="5">#REF!</definedName>
    <definedName name="page106" localSheetId="6">#REF!</definedName>
    <definedName name="page106" localSheetId="7">#REF!</definedName>
    <definedName name="page106" localSheetId="8">#REF!</definedName>
    <definedName name="page106" localSheetId="9">#REF!</definedName>
    <definedName name="page106" localSheetId="10">#REF!</definedName>
    <definedName name="page106" localSheetId="11">#REF!</definedName>
    <definedName name="page106" localSheetId="1">#REF!</definedName>
    <definedName name="page106">#REF!</definedName>
    <definedName name="page11" localSheetId="2">#REF!</definedName>
    <definedName name="page11" localSheetId="3">#REF!</definedName>
    <definedName name="page11" localSheetId="4">#REF!</definedName>
    <definedName name="page11" localSheetId="5">#REF!</definedName>
    <definedName name="page11" localSheetId="6">#REF!</definedName>
    <definedName name="page11" localSheetId="7">#REF!</definedName>
    <definedName name="page11" localSheetId="8">#REF!</definedName>
    <definedName name="page11" localSheetId="9">#REF!</definedName>
    <definedName name="page11" localSheetId="10">#REF!</definedName>
    <definedName name="page11" localSheetId="11">#REF!</definedName>
    <definedName name="page11" localSheetId="1">#REF!</definedName>
    <definedName name="page11">#REF!</definedName>
    <definedName name="page12" localSheetId="2">#REF!</definedName>
    <definedName name="page12" localSheetId="3">#REF!</definedName>
    <definedName name="page12" localSheetId="4">#REF!</definedName>
    <definedName name="page12" localSheetId="5">#REF!</definedName>
    <definedName name="page12" localSheetId="6">#REF!</definedName>
    <definedName name="page12" localSheetId="7">#REF!</definedName>
    <definedName name="page12" localSheetId="8">#REF!</definedName>
    <definedName name="page12" localSheetId="9">#REF!</definedName>
    <definedName name="page12" localSheetId="10">#REF!</definedName>
    <definedName name="page12" localSheetId="11">#REF!</definedName>
    <definedName name="page12" localSheetId="1">#REF!</definedName>
    <definedName name="page12">#REF!</definedName>
    <definedName name="page13" localSheetId="2">#REF!</definedName>
    <definedName name="page13" localSheetId="3">#REF!</definedName>
    <definedName name="page13" localSheetId="4">#REF!</definedName>
    <definedName name="page13" localSheetId="5">#REF!</definedName>
    <definedName name="page13" localSheetId="6">#REF!</definedName>
    <definedName name="page13" localSheetId="7">#REF!</definedName>
    <definedName name="page13" localSheetId="8">#REF!</definedName>
    <definedName name="page13" localSheetId="9">#REF!</definedName>
    <definedName name="page13" localSheetId="10">#REF!</definedName>
    <definedName name="page13" localSheetId="11">#REF!</definedName>
    <definedName name="page13" localSheetId="1">#REF!</definedName>
    <definedName name="page13">#REF!</definedName>
    <definedName name="page14" localSheetId="2">#REF!</definedName>
    <definedName name="page14" localSheetId="3">#REF!</definedName>
    <definedName name="page14" localSheetId="4">#REF!</definedName>
    <definedName name="page14" localSheetId="5">#REF!</definedName>
    <definedName name="page14" localSheetId="6">#REF!</definedName>
    <definedName name="page14" localSheetId="7">#REF!</definedName>
    <definedName name="page14" localSheetId="8">#REF!</definedName>
    <definedName name="page14" localSheetId="9">#REF!</definedName>
    <definedName name="page14" localSheetId="10">#REF!</definedName>
    <definedName name="page14" localSheetId="11">#REF!</definedName>
    <definedName name="page14" localSheetId="1">#REF!</definedName>
    <definedName name="page14">#REF!</definedName>
    <definedName name="page15" localSheetId="2">#REF!</definedName>
    <definedName name="page15" localSheetId="3">#REF!</definedName>
    <definedName name="page15" localSheetId="4">#REF!</definedName>
    <definedName name="page15" localSheetId="5">#REF!</definedName>
    <definedName name="page15" localSheetId="6">#REF!</definedName>
    <definedName name="page15" localSheetId="7">#REF!</definedName>
    <definedName name="page15" localSheetId="8">#REF!</definedName>
    <definedName name="page15" localSheetId="9">#REF!</definedName>
    <definedName name="page15" localSheetId="10">#REF!</definedName>
    <definedName name="page15" localSheetId="11">#REF!</definedName>
    <definedName name="page15" localSheetId="1">#REF!</definedName>
    <definedName name="page15">#REF!</definedName>
    <definedName name="page16" localSheetId="2">#REF!</definedName>
    <definedName name="page16" localSheetId="3">#REF!</definedName>
    <definedName name="page16" localSheetId="4">#REF!</definedName>
    <definedName name="page16" localSheetId="5">#REF!</definedName>
    <definedName name="page16" localSheetId="6">#REF!</definedName>
    <definedName name="page16" localSheetId="7">#REF!</definedName>
    <definedName name="page16" localSheetId="8">#REF!</definedName>
    <definedName name="page16" localSheetId="9">#REF!</definedName>
    <definedName name="page16" localSheetId="10">#REF!</definedName>
    <definedName name="page16" localSheetId="11">#REF!</definedName>
    <definedName name="page16" localSheetId="1">#REF!</definedName>
    <definedName name="page16">#REF!</definedName>
    <definedName name="page1601" localSheetId="2">#REF!</definedName>
    <definedName name="page1601" localSheetId="3">#REF!</definedName>
    <definedName name="page1601" localSheetId="4">#REF!</definedName>
    <definedName name="page1601" localSheetId="5">#REF!</definedName>
    <definedName name="page1601" localSheetId="6">#REF!</definedName>
    <definedName name="page1601" localSheetId="7">#REF!</definedName>
    <definedName name="page1601" localSheetId="8">#REF!</definedName>
    <definedName name="page1601" localSheetId="9">#REF!</definedName>
    <definedName name="page1601" localSheetId="10">#REF!</definedName>
    <definedName name="page1601" localSheetId="11">#REF!</definedName>
    <definedName name="page1601" localSheetId="1">#REF!</definedName>
    <definedName name="page1601">#REF!</definedName>
    <definedName name="page1602" localSheetId="2">#REF!</definedName>
    <definedName name="page1602" localSheetId="3">#REF!</definedName>
    <definedName name="page1602" localSheetId="4">#REF!</definedName>
    <definedName name="page1602" localSheetId="5">#REF!</definedName>
    <definedName name="page1602" localSheetId="6">#REF!</definedName>
    <definedName name="page1602" localSheetId="7">#REF!</definedName>
    <definedName name="page1602" localSheetId="8">#REF!</definedName>
    <definedName name="page1602" localSheetId="9">#REF!</definedName>
    <definedName name="page1602" localSheetId="10">#REF!</definedName>
    <definedName name="page1602" localSheetId="11">#REF!</definedName>
    <definedName name="page1602" localSheetId="1">#REF!</definedName>
    <definedName name="page1602">#REF!</definedName>
    <definedName name="page1603" localSheetId="2">#REF!</definedName>
    <definedName name="page1603" localSheetId="3">#REF!</definedName>
    <definedName name="page1603" localSheetId="4">#REF!</definedName>
    <definedName name="page1603" localSheetId="5">#REF!</definedName>
    <definedName name="page1603" localSheetId="6">#REF!</definedName>
    <definedName name="page1603" localSheetId="7">#REF!</definedName>
    <definedName name="page1603" localSheetId="8">#REF!</definedName>
    <definedName name="page1603" localSheetId="9">#REF!</definedName>
    <definedName name="page1603" localSheetId="10">#REF!</definedName>
    <definedName name="page1603" localSheetId="11">#REF!</definedName>
    <definedName name="page1603" localSheetId="1">#REF!</definedName>
    <definedName name="page1603">#REF!</definedName>
    <definedName name="page1604" localSheetId="2">#REF!</definedName>
    <definedName name="page1604" localSheetId="3">#REF!</definedName>
    <definedName name="page1604" localSheetId="4">#REF!</definedName>
    <definedName name="page1604" localSheetId="5">#REF!</definedName>
    <definedName name="page1604" localSheetId="6">#REF!</definedName>
    <definedName name="page1604" localSheetId="7">#REF!</definedName>
    <definedName name="page1604" localSheetId="8">#REF!</definedName>
    <definedName name="page1604" localSheetId="9">#REF!</definedName>
    <definedName name="page1604" localSheetId="10">#REF!</definedName>
    <definedName name="page1604" localSheetId="11">#REF!</definedName>
    <definedName name="page1604" localSheetId="1">#REF!</definedName>
    <definedName name="page1604">#REF!</definedName>
    <definedName name="page1605" localSheetId="2">#REF!</definedName>
    <definedName name="page1605" localSheetId="3">#REF!</definedName>
    <definedName name="page1605" localSheetId="4">#REF!</definedName>
    <definedName name="page1605" localSheetId="5">#REF!</definedName>
    <definedName name="page1605" localSheetId="6">#REF!</definedName>
    <definedName name="page1605" localSheetId="7">#REF!</definedName>
    <definedName name="page1605" localSheetId="8">#REF!</definedName>
    <definedName name="page1605" localSheetId="9">#REF!</definedName>
    <definedName name="page1605" localSheetId="10">#REF!</definedName>
    <definedName name="page1605" localSheetId="11">#REF!</definedName>
    <definedName name="page1605" localSheetId="1">#REF!</definedName>
    <definedName name="page1605">#REF!</definedName>
    <definedName name="page1606" localSheetId="2">#REF!</definedName>
    <definedName name="page1606" localSheetId="3">#REF!</definedName>
    <definedName name="page1606" localSheetId="4">#REF!</definedName>
    <definedName name="page1606" localSheetId="5">#REF!</definedName>
    <definedName name="page1606" localSheetId="6">#REF!</definedName>
    <definedName name="page1606" localSheetId="7">#REF!</definedName>
    <definedName name="page1606" localSheetId="8">#REF!</definedName>
    <definedName name="page1606" localSheetId="9">#REF!</definedName>
    <definedName name="page1606" localSheetId="10">#REF!</definedName>
    <definedName name="page1606" localSheetId="11">#REF!</definedName>
    <definedName name="page1606" localSheetId="1">#REF!</definedName>
    <definedName name="page1606">#REF!</definedName>
    <definedName name="page1607" localSheetId="2">#REF!</definedName>
    <definedName name="page1607" localSheetId="3">#REF!</definedName>
    <definedName name="page1607" localSheetId="4">#REF!</definedName>
    <definedName name="page1607" localSheetId="5">#REF!</definedName>
    <definedName name="page1607" localSheetId="6">#REF!</definedName>
    <definedName name="page1607" localSheetId="7">#REF!</definedName>
    <definedName name="page1607" localSheetId="8">#REF!</definedName>
    <definedName name="page1607" localSheetId="9">#REF!</definedName>
    <definedName name="page1607" localSheetId="10">#REF!</definedName>
    <definedName name="page1607" localSheetId="11">#REF!</definedName>
    <definedName name="page1607" localSheetId="1">#REF!</definedName>
    <definedName name="page1607">#REF!</definedName>
    <definedName name="page1608" localSheetId="2">#REF!</definedName>
    <definedName name="page1608" localSheetId="3">#REF!</definedName>
    <definedName name="page1608" localSheetId="4">#REF!</definedName>
    <definedName name="page1608" localSheetId="5">#REF!</definedName>
    <definedName name="page1608" localSheetId="6">#REF!</definedName>
    <definedName name="page1608" localSheetId="7">#REF!</definedName>
    <definedName name="page1608" localSheetId="8">#REF!</definedName>
    <definedName name="page1608" localSheetId="9">#REF!</definedName>
    <definedName name="page1608" localSheetId="10">#REF!</definedName>
    <definedName name="page1608" localSheetId="11">#REF!</definedName>
    <definedName name="page1608" localSheetId="1">#REF!</definedName>
    <definedName name="page1608">#REF!</definedName>
    <definedName name="page1609" localSheetId="2">#REF!</definedName>
    <definedName name="page1609" localSheetId="3">#REF!</definedName>
    <definedName name="page1609" localSheetId="4">#REF!</definedName>
    <definedName name="page1609" localSheetId="5">#REF!</definedName>
    <definedName name="page1609" localSheetId="6">#REF!</definedName>
    <definedName name="page1609" localSheetId="7">#REF!</definedName>
    <definedName name="page1609" localSheetId="8">#REF!</definedName>
    <definedName name="page1609" localSheetId="9">#REF!</definedName>
    <definedName name="page1609" localSheetId="10">#REF!</definedName>
    <definedName name="page1609" localSheetId="11">#REF!</definedName>
    <definedName name="page1609" localSheetId="1">#REF!</definedName>
    <definedName name="page1609">#REF!</definedName>
    <definedName name="page1610" localSheetId="2">#REF!</definedName>
    <definedName name="page1610" localSheetId="3">#REF!</definedName>
    <definedName name="page1610" localSheetId="4">#REF!</definedName>
    <definedName name="page1610" localSheetId="5">#REF!</definedName>
    <definedName name="page1610" localSheetId="6">#REF!</definedName>
    <definedName name="page1610" localSheetId="7">#REF!</definedName>
    <definedName name="page1610" localSheetId="8">#REF!</definedName>
    <definedName name="page1610" localSheetId="9">#REF!</definedName>
    <definedName name="page1610" localSheetId="10">#REF!</definedName>
    <definedName name="page1610" localSheetId="11">#REF!</definedName>
    <definedName name="page1610" localSheetId="1">#REF!</definedName>
    <definedName name="page1610">#REF!</definedName>
    <definedName name="page1611" localSheetId="2">#REF!</definedName>
    <definedName name="page1611" localSheetId="3">#REF!</definedName>
    <definedName name="page1611" localSheetId="4">#REF!</definedName>
    <definedName name="page1611" localSheetId="5">#REF!</definedName>
    <definedName name="page1611" localSheetId="6">#REF!</definedName>
    <definedName name="page1611" localSheetId="7">#REF!</definedName>
    <definedName name="page1611" localSheetId="8">#REF!</definedName>
    <definedName name="page1611" localSheetId="9">#REF!</definedName>
    <definedName name="page1611" localSheetId="10">#REF!</definedName>
    <definedName name="page1611" localSheetId="11">#REF!</definedName>
    <definedName name="page1611" localSheetId="1">#REF!</definedName>
    <definedName name="page1611">#REF!</definedName>
    <definedName name="page1612" localSheetId="2">#REF!</definedName>
    <definedName name="page1612" localSheetId="3">#REF!</definedName>
    <definedName name="page1612" localSheetId="4">#REF!</definedName>
    <definedName name="page1612" localSheetId="5">#REF!</definedName>
    <definedName name="page1612" localSheetId="6">#REF!</definedName>
    <definedName name="page1612" localSheetId="7">#REF!</definedName>
    <definedName name="page1612" localSheetId="8">#REF!</definedName>
    <definedName name="page1612" localSheetId="9">#REF!</definedName>
    <definedName name="page1612" localSheetId="10">#REF!</definedName>
    <definedName name="page1612" localSheetId="11">#REF!</definedName>
    <definedName name="page1612" localSheetId="1">#REF!</definedName>
    <definedName name="page1612">#REF!</definedName>
    <definedName name="page1613" localSheetId="2">#REF!</definedName>
    <definedName name="page1613" localSheetId="3">#REF!</definedName>
    <definedName name="page1613" localSheetId="4">#REF!</definedName>
    <definedName name="page1613" localSheetId="5">#REF!</definedName>
    <definedName name="page1613" localSheetId="6">#REF!</definedName>
    <definedName name="page1613" localSheetId="7">#REF!</definedName>
    <definedName name="page1613" localSheetId="8">#REF!</definedName>
    <definedName name="page1613" localSheetId="9">#REF!</definedName>
    <definedName name="page1613" localSheetId="10">#REF!</definedName>
    <definedName name="page1613" localSheetId="11">#REF!</definedName>
    <definedName name="page1613" localSheetId="1">#REF!</definedName>
    <definedName name="page1613">#REF!</definedName>
    <definedName name="page1614" localSheetId="2">#REF!</definedName>
    <definedName name="page1614" localSheetId="3">#REF!</definedName>
    <definedName name="page1614" localSheetId="4">#REF!</definedName>
    <definedName name="page1614" localSheetId="5">#REF!</definedName>
    <definedName name="page1614" localSheetId="6">#REF!</definedName>
    <definedName name="page1614" localSheetId="7">#REF!</definedName>
    <definedName name="page1614" localSheetId="8">#REF!</definedName>
    <definedName name="page1614" localSheetId="9">#REF!</definedName>
    <definedName name="page1614" localSheetId="10">#REF!</definedName>
    <definedName name="page1614" localSheetId="11">#REF!</definedName>
    <definedName name="page1614" localSheetId="1">#REF!</definedName>
    <definedName name="page1614">#REF!</definedName>
    <definedName name="page1615" localSheetId="2">#REF!</definedName>
    <definedName name="page1615" localSheetId="3">#REF!</definedName>
    <definedName name="page1615" localSheetId="4">#REF!</definedName>
    <definedName name="page1615" localSheetId="5">#REF!</definedName>
    <definedName name="page1615" localSheetId="6">#REF!</definedName>
    <definedName name="page1615" localSheetId="7">#REF!</definedName>
    <definedName name="page1615" localSheetId="8">#REF!</definedName>
    <definedName name="page1615" localSheetId="9">#REF!</definedName>
    <definedName name="page1615" localSheetId="10">#REF!</definedName>
    <definedName name="page1615" localSheetId="11">#REF!</definedName>
    <definedName name="page1615" localSheetId="1">#REF!</definedName>
    <definedName name="page1615">#REF!</definedName>
    <definedName name="page1616" localSheetId="2">#REF!</definedName>
    <definedName name="page1616" localSheetId="3">#REF!</definedName>
    <definedName name="page1616" localSheetId="4">#REF!</definedName>
    <definedName name="page1616" localSheetId="5">#REF!</definedName>
    <definedName name="page1616" localSheetId="6">#REF!</definedName>
    <definedName name="page1616" localSheetId="7">#REF!</definedName>
    <definedName name="page1616" localSheetId="8">#REF!</definedName>
    <definedName name="page1616" localSheetId="9">#REF!</definedName>
    <definedName name="page1616" localSheetId="10">#REF!</definedName>
    <definedName name="page1616" localSheetId="11">#REF!</definedName>
    <definedName name="page1616" localSheetId="1">#REF!</definedName>
    <definedName name="page1616">#REF!</definedName>
    <definedName name="page1617" localSheetId="2">#REF!</definedName>
    <definedName name="page1617" localSheetId="3">#REF!</definedName>
    <definedName name="page1617" localSheetId="4">#REF!</definedName>
    <definedName name="page1617" localSheetId="5">#REF!</definedName>
    <definedName name="page1617" localSheetId="6">#REF!</definedName>
    <definedName name="page1617" localSheetId="7">#REF!</definedName>
    <definedName name="page1617" localSheetId="8">#REF!</definedName>
    <definedName name="page1617" localSheetId="9">#REF!</definedName>
    <definedName name="page1617" localSheetId="10">#REF!</definedName>
    <definedName name="page1617" localSheetId="11">#REF!</definedName>
    <definedName name="page1617" localSheetId="1">#REF!</definedName>
    <definedName name="page1617">#REF!</definedName>
    <definedName name="page1618" localSheetId="2">#REF!</definedName>
    <definedName name="page1618" localSheetId="3">#REF!</definedName>
    <definedName name="page1618" localSheetId="4">#REF!</definedName>
    <definedName name="page1618" localSheetId="5">#REF!</definedName>
    <definedName name="page1618" localSheetId="6">#REF!</definedName>
    <definedName name="page1618" localSheetId="7">#REF!</definedName>
    <definedName name="page1618" localSheetId="8">#REF!</definedName>
    <definedName name="page1618" localSheetId="9">#REF!</definedName>
    <definedName name="page1618" localSheetId="10">#REF!</definedName>
    <definedName name="page1618" localSheetId="11">#REF!</definedName>
    <definedName name="page1618" localSheetId="1">#REF!</definedName>
    <definedName name="page1618">#REF!</definedName>
    <definedName name="page1619" localSheetId="2">#REF!</definedName>
    <definedName name="page1619" localSheetId="3">#REF!</definedName>
    <definedName name="page1619" localSheetId="4">#REF!</definedName>
    <definedName name="page1619" localSheetId="5">#REF!</definedName>
    <definedName name="page1619" localSheetId="6">#REF!</definedName>
    <definedName name="page1619" localSheetId="7">#REF!</definedName>
    <definedName name="page1619" localSheetId="8">#REF!</definedName>
    <definedName name="page1619" localSheetId="9">#REF!</definedName>
    <definedName name="page1619" localSheetId="10">#REF!</definedName>
    <definedName name="page1619" localSheetId="11">#REF!</definedName>
    <definedName name="page1619" localSheetId="1">#REF!</definedName>
    <definedName name="page1619">#REF!</definedName>
    <definedName name="page1620" localSheetId="2">#REF!</definedName>
    <definedName name="page1620" localSheetId="3">#REF!</definedName>
    <definedName name="page1620" localSheetId="4">#REF!</definedName>
    <definedName name="page1620" localSheetId="5">#REF!</definedName>
    <definedName name="page1620" localSheetId="6">#REF!</definedName>
    <definedName name="page1620" localSheetId="7">#REF!</definedName>
    <definedName name="page1620" localSheetId="8">#REF!</definedName>
    <definedName name="page1620" localSheetId="9">#REF!</definedName>
    <definedName name="page1620" localSheetId="10">#REF!</definedName>
    <definedName name="page1620" localSheetId="11">#REF!</definedName>
    <definedName name="page1620" localSheetId="1">#REF!</definedName>
    <definedName name="page1620">#REF!</definedName>
    <definedName name="page1621" localSheetId="2">#REF!</definedName>
    <definedName name="page1621" localSheetId="3">#REF!</definedName>
    <definedName name="page1621" localSheetId="4">#REF!</definedName>
    <definedName name="page1621" localSheetId="5">#REF!</definedName>
    <definedName name="page1621" localSheetId="6">#REF!</definedName>
    <definedName name="page1621" localSheetId="7">#REF!</definedName>
    <definedName name="page1621" localSheetId="8">#REF!</definedName>
    <definedName name="page1621" localSheetId="9">#REF!</definedName>
    <definedName name="page1621" localSheetId="10">#REF!</definedName>
    <definedName name="page1621" localSheetId="11">#REF!</definedName>
    <definedName name="page1621" localSheetId="1">#REF!</definedName>
    <definedName name="page1621">#REF!</definedName>
    <definedName name="page1622" localSheetId="2">#REF!</definedName>
    <definedName name="page1622" localSheetId="3">#REF!</definedName>
    <definedName name="page1622" localSheetId="4">#REF!</definedName>
    <definedName name="page1622" localSheetId="5">#REF!</definedName>
    <definedName name="page1622" localSheetId="6">#REF!</definedName>
    <definedName name="page1622" localSheetId="7">#REF!</definedName>
    <definedName name="page1622" localSheetId="8">#REF!</definedName>
    <definedName name="page1622" localSheetId="9">#REF!</definedName>
    <definedName name="page1622" localSheetId="10">#REF!</definedName>
    <definedName name="page1622" localSheetId="11">#REF!</definedName>
    <definedName name="page1622" localSheetId="1">#REF!</definedName>
    <definedName name="page1622">#REF!</definedName>
    <definedName name="page1623" localSheetId="2">#REF!</definedName>
    <definedName name="page1623" localSheetId="3">#REF!</definedName>
    <definedName name="page1623" localSheetId="4">#REF!</definedName>
    <definedName name="page1623" localSheetId="5">#REF!</definedName>
    <definedName name="page1623" localSheetId="6">#REF!</definedName>
    <definedName name="page1623" localSheetId="7">#REF!</definedName>
    <definedName name="page1623" localSheetId="8">#REF!</definedName>
    <definedName name="page1623" localSheetId="9">#REF!</definedName>
    <definedName name="page1623" localSheetId="10">#REF!</definedName>
    <definedName name="page1623" localSheetId="11">#REF!</definedName>
    <definedName name="page1623" localSheetId="1">#REF!</definedName>
    <definedName name="page1623">#REF!</definedName>
    <definedName name="page1624" localSheetId="2">#REF!</definedName>
    <definedName name="page1624" localSheetId="3">#REF!</definedName>
    <definedName name="page1624" localSheetId="4">#REF!</definedName>
    <definedName name="page1624" localSheetId="5">#REF!</definedName>
    <definedName name="page1624" localSheetId="6">#REF!</definedName>
    <definedName name="page1624" localSheetId="7">#REF!</definedName>
    <definedName name="page1624" localSheetId="8">#REF!</definedName>
    <definedName name="page1624" localSheetId="9">#REF!</definedName>
    <definedName name="page1624" localSheetId="10">#REF!</definedName>
    <definedName name="page1624" localSheetId="11">#REF!</definedName>
    <definedName name="page1624" localSheetId="1">#REF!</definedName>
    <definedName name="page1624">#REF!</definedName>
    <definedName name="page1625" localSheetId="2">#REF!</definedName>
    <definedName name="page1625" localSheetId="3">#REF!</definedName>
    <definedName name="page1625" localSheetId="4">#REF!</definedName>
    <definedName name="page1625" localSheetId="5">#REF!</definedName>
    <definedName name="page1625" localSheetId="6">#REF!</definedName>
    <definedName name="page1625" localSheetId="7">#REF!</definedName>
    <definedName name="page1625" localSheetId="8">#REF!</definedName>
    <definedName name="page1625" localSheetId="9">#REF!</definedName>
    <definedName name="page1625" localSheetId="10">#REF!</definedName>
    <definedName name="page1625" localSheetId="11">#REF!</definedName>
    <definedName name="page1625" localSheetId="1">#REF!</definedName>
    <definedName name="page1625">#REF!</definedName>
    <definedName name="page1626" localSheetId="2">#REF!</definedName>
    <definedName name="page1626" localSheetId="3">#REF!</definedName>
    <definedName name="page1626" localSheetId="4">#REF!</definedName>
    <definedName name="page1626" localSheetId="5">#REF!</definedName>
    <definedName name="page1626" localSheetId="6">#REF!</definedName>
    <definedName name="page1626" localSheetId="7">#REF!</definedName>
    <definedName name="page1626" localSheetId="8">#REF!</definedName>
    <definedName name="page1626" localSheetId="9">#REF!</definedName>
    <definedName name="page1626" localSheetId="10">#REF!</definedName>
    <definedName name="page1626" localSheetId="11">#REF!</definedName>
    <definedName name="page1626" localSheetId="1">#REF!</definedName>
    <definedName name="page1626">#REF!</definedName>
    <definedName name="page1627" localSheetId="2">#REF!</definedName>
    <definedName name="page1627" localSheetId="3">#REF!</definedName>
    <definedName name="page1627" localSheetId="4">#REF!</definedName>
    <definedName name="page1627" localSheetId="5">#REF!</definedName>
    <definedName name="page1627" localSheetId="6">#REF!</definedName>
    <definedName name="page1627" localSheetId="7">#REF!</definedName>
    <definedName name="page1627" localSheetId="8">#REF!</definedName>
    <definedName name="page1627" localSheetId="9">#REF!</definedName>
    <definedName name="page1627" localSheetId="10">#REF!</definedName>
    <definedName name="page1627" localSheetId="11">#REF!</definedName>
    <definedName name="page1627" localSheetId="1">#REF!</definedName>
    <definedName name="page1627">#REF!</definedName>
    <definedName name="page1628" localSheetId="2">#REF!</definedName>
    <definedName name="page1628" localSheetId="3">#REF!</definedName>
    <definedName name="page1628" localSheetId="4">#REF!</definedName>
    <definedName name="page1628" localSheetId="5">#REF!</definedName>
    <definedName name="page1628" localSheetId="6">#REF!</definedName>
    <definedName name="page1628" localSheetId="7">#REF!</definedName>
    <definedName name="page1628" localSheetId="8">#REF!</definedName>
    <definedName name="page1628" localSheetId="9">#REF!</definedName>
    <definedName name="page1628" localSheetId="10">#REF!</definedName>
    <definedName name="page1628" localSheetId="11">#REF!</definedName>
    <definedName name="page1628" localSheetId="1">#REF!</definedName>
    <definedName name="page1628">#REF!</definedName>
    <definedName name="page1629" localSheetId="2">#REF!</definedName>
    <definedName name="page1629" localSheetId="3">#REF!</definedName>
    <definedName name="page1629" localSheetId="4">#REF!</definedName>
    <definedName name="page1629" localSheetId="5">#REF!</definedName>
    <definedName name="page1629" localSheetId="6">#REF!</definedName>
    <definedName name="page1629" localSheetId="7">#REF!</definedName>
    <definedName name="page1629" localSheetId="8">#REF!</definedName>
    <definedName name="page1629" localSheetId="9">#REF!</definedName>
    <definedName name="page1629" localSheetId="10">#REF!</definedName>
    <definedName name="page1629" localSheetId="11">#REF!</definedName>
    <definedName name="page1629" localSheetId="1">#REF!</definedName>
    <definedName name="page1629">#REF!</definedName>
    <definedName name="page1630" localSheetId="2">#REF!</definedName>
    <definedName name="page1630" localSheetId="3">#REF!</definedName>
    <definedName name="page1630" localSheetId="4">#REF!</definedName>
    <definedName name="page1630" localSheetId="5">#REF!</definedName>
    <definedName name="page1630" localSheetId="6">#REF!</definedName>
    <definedName name="page1630" localSheetId="7">#REF!</definedName>
    <definedName name="page1630" localSheetId="8">#REF!</definedName>
    <definedName name="page1630" localSheetId="9">#REF!</definedName>
    <definedName name="page1630" localSheetId="10">#REF!</definedName>
    <definedName name="page1630" localSheetId="11">#REF!</definedName>
    <definedName name="page1630" localSheetId="1">#REF!</definedName>
    <definedName name="page1630">#REF!</definedName>
    <definedName name="page1631" localSheetId="2">#REF!</definedName>
    <definedName name="page1631" localSheetId="3">#REF!</definedName>
    <definedName name="page1631" localSheetId="4">#REF!</definedName>
    <definedName name="page1631" localSheetId="5">#REF!</definedName>
    <definedName name="page1631" localSheetId="6">#REF!</definedName>
    <definedName name="page1631" localSheetId="7">#REF!</definedName>
    <definedName name="page1631" localSheetId="8">#REF!</definedName>
    <definedName name="page1631" localSheetId="9">#REF!</definedName>
    <definedName name="page1631" localSheetId="10">#REF!</definedName>
    <definedName name="page1631" localSheetId="11">#REF!</definedName>
    <definedName name="page1631" localSheetId="1">#REF!</definedName>
    <definedName name="page1631">#REF!</definedName>
    <definedName name="page1632" localSheetId="2">#REF!</definedName>
    <definedName name="page1632" localSheetId="3">#REF!</definedName>
    <definedName name="page1632" localSheetId="4">#REF!</definedName>
    <definedName name="page1632" localSheetId="5">#REF!</definedName>
    <definedName name="page1632" localSheetId="6">#REF!</definedName>
    <definedName name="page1632" localSheetId="7">#REF!</definedName>
    <definedName name="page1632" localSheetId="8">#REF!</definedName>
    <definedName name="page1632" localSheetId="9">#REF!</definedName>
    <definedName name="page1632" localSheetId="10">#REF!</definedName>
    <definedName name="page1632" localSheetId="11">#REF!</definedName>
    <definedName name="page1632" localSheetId="1">#REF!</definedName>
    <definedName name="page1632">#REF!</definedName>
    <definedName name="page1633" localSheetId="2">#REF!</definedName>
    <definedName name="page1633" localSheetId="3">#REF!</definedName>
    <definedName name="page1633" localSheetId="4">#REF!</definedName>
    <definedName name="page1633" localSheetId="5">#REF!</definedName>
    <definedName name="page1633" localSheetId="6">#REF!</definedName>
    <definedName name="page1633" localSheetId="7">#REF!</definedName>
    <definedName name="page1633" localSheetId="8">#REF!</definedName>
    <definedName name="page1633" localSheetId="9">#REF!</definedName>
    <definedName name="page1633" localSheetId="10">#REF!</definedName>
    <definedName name="page1633" localSheetId="11">#REF!</definedName>
    <definedName name="page1633" localSheetId="1">#REF!</definedName>
    <definedName name="page1633">#REF!</definedName>
    <definedName name="page1634" localSheetId="2">#REF!</definedName>
    <definedName name="page1634" localSheetId="3">#REF!</definedName>
    <definedName name="page1634" localSheetId="4">#REF!</definedName>
    <definedName name="page1634" localSheetId="5">#REF!</definedName>
    <definedName name="page1634" localSheetId="6">#REF!</definedName>
    <definedName name="page1634" localSheetId="7">#REF!</definedName>
    <definedName name="page1634" localSheetId="8">#REF!</definedName>
    <definedName name="page1634" localSheetId="9">#REF!</definedName>
    <definedName name="page1634" localSheetId="10">#REF!</definedName>
    <definedName name="page1634" localSheetId="11">#REF!</definedName>
    <definedName name="page1634" localSheetId="1">#REF!</definedName>
    <definedName name="page1634">#REF!</definedName>
    <definedName name="page1635" localSheetId="2">#REF!</definedName>
    <definedName name="page1635" localSheetId="3">#REF!</definedName>
    <definedName name="page1635" localSheetId="4">#REF!</definedName>
    <definedName name="page1635" localSheetId="5">#REF!</definedName>
    <definedName name="page1635" localSheetId="6">#REF!</definedName>
    <definedName name="page1635" localSheetId="7">#REF!</definedName>
    <definedName name="page1635" localSheetId="8">#REF!</definedName>
    <definedName name="page1635" localSheetId="9">#REF!</definedName>
    <definedName name="page1635" localSheetId="10">#REF!</definedName>
    <definedName name="page1635" localSheetId="11">#REF!</definedName>
    <definedName name="page1635" localSheetId="1">#REF!</definedName>
    <definedName name="page1635">#REF!</definedName>
    <definedName name="page1636" localSheetId="2">#REF!</definedName>
    <definedName name="page1636" localSheetId="3">#REF!</definedName>
    <definedName name="page1636" localSheetId="4">#REF!</definedName>
    <definedName name="page1636" localSheetId="5">#REF!</definedName>
    <definedName name="page1636" localSheetId="6">#REF!</definedName>
    <definedName name="page1636" localSheetId="7">#REF!</definedName>
    <definedName name="page1636" localSheetId="8">#REF!</definedName>
    <definedName name="page1636" localSheetId="9">#REF!</definedName>
    <definedName name="page1636" localSheetId="10">#REF!</definedName>
    <definedName name="page1636" localSheetId="11">#REF!</definedName>
    <definedName name="page1636" localSheetId="1">#REF!</definedName>
    <definedName name="page1636">#REF!</definedName>
    <definedName name="page1637" localSheetId="2">#REF!</definedName>
    <definedName name="page1637" localSheetId="3">#REF!</definedName>
    <definedName name="page1637" localSheetId="4">#REF!</definedName>
    <definedName name="page1637" localSheetId="5">#REF!</definedName>
    <definedName name="page1637" localSheetId="6">#REF!</definedName>
    <definedName name="page1637" localSheetId="7">#REF!</definedName>
    <definedName name="page1637" localSheetId="8">#REF!</definedName>
    <definedName name="page1637" localSheetId="9">#REF!</definedName>
    <definedName name="page1637" localSheetId="10">#REF!</definedName>
    <definedName name="page1637" localSheetId="11">#REF!</definedName>
    <definedName name="page1637" localSheetId="1">#REF!</definedName>
    <definedName name="page1637">#REF!</definedName>
    <definedName name="page1638" localSheetId="2">#REF!</definedName>
    <definedName name="page1638" localSheetId="3">#REF!</definedName>
    <definedName name="page1638" localSheetId="4">#REF!</definedName>
    <definedName name="page1638" localSheetId="5">#REF!</definedName>
    <definedName name="page1638" localSheetId="6">#REF!</definedName>
    <definedName name="page1638" localSheetId="7">#REF!</definedName>
    <definedName name="page1638" localSheetId="8">#REF!</definedName>
    <definedName name="page1638" localSheetId="9">#REF!</definedName>
    <definedName name="page1638" localSheetId="10">#REF!</definedName>
    <definedName name="page1638" localSheetId="11">#REF!</definedName>
    <definedName name="page1638" localSheetId="1">#REF!</definedName>
    <definedName name="page1638">#REF!</definedName>
    <definedName name="page17" localSheetId="2">#REF!</definedName>
    <definedName name="page17" localSheetId="3">#REF!</definedName>
    <definedName name="page17" localSheetId="4">#REF!</definedName>
    <definedName name="page17" localSheetId="5">#REF!</definedName>
    <definedName name="page17" localSheetId="6">#REF!</definedName>
    <definedName name="page17" localSheetId="7">#REF!</definedName>
    <definedName name="page17" localSheetId="8">#REF!</definedName>
    <definedName name="page17" localSheetId="9">#REF!</definedName>
    <definedName name="page17" localSheetId="10">#REF!</definedName>
    <definedName name="page17" localSheetId="11">#REF!</definedName>
    <definedName name="page17" localSheetId="1">#REF!</definedName>
    <definedName name="page17">#REF!</definedName>
    <definedName name="page18" localSheetId="2">#REF!</definedName>
    <definedName name="page18" localSheetId="3">#REF!</definedName>
    <definedName name="page18" localSheetId="4">#REF!</definedName>
    <definedName name="page18" localSheetId="5">#REF!</definedName>
    <definedName name="page18" localSheetId="6">#REF!</definedName>
    <definedName name="page18" localSheetId="7">#REF!</definedName>
    <definedName name="page18" localSheetId="8">#REF!</definedName>
    <definedName name="page18" localSheetId="9">#REF!</definedName>
    <definedName name="page18" localSheetId="10">#REF!</definedName>
    <definedName name="page18" localSheetId="11">#REF!</definedName>
    <definedName name="page18" localSheetId="1">#REF!</definedName>
    <definedName name="page18">#REF!</definedName>
    <definedName name="page19" localSheetId="2">#REF!</definedName>
    <definedName name="page19" localSheetId="3">#REF!</definedName>
    <definedName name="page19" localSheetId="4">#REF!</definedName>
    <definedName name="page19" localSheetId="5">#REF!</definedName>
    <definedName name="page19" localSheetId="6">#REF!</definedName>
    <definedName name="page19" localSheetId="7">#REF!</definedName>
    <definedName name="page19" localSheetId="8">#REF!</definedName>
    <definedName name="page19" localSheetId="9">#REF!</definedName>
    <definedName name="page19" localSheetId="10">#REF!</definedName>
    <definedName name="page19" localSheetId="11">#REF!</definedName>
    <definedName name="page19" localSheetId="1">#REF!</definedName>
    <definedName name="page19">#REF!</definedName>
    <definedName name="page2" localSheetId="2">#REF!</definedName>
    <definedName name="page2" localSheetId="3">#REF!</definedName>
    <definedName name="page2" localSheetId="4">#REF!</definedName>
    <definedName name="page2" localSheetId="5">#REF!</definedName>
    <definedName name="page2" localSheetId="6">#REF!</definedName>
    <definedName name="page2" localSheetId="7">#REF!</definedName>
    <definedName name="page2" localSheetId="8">#REF!</definedName>
    <definedName name="page2" localSheetId="9">#REF!</definedName>
    <definedName name="page2" localSheetId="10">#REF!</definedName>
    <definedName name="page2" localSheetId="11">#REF!</definedName>
    <definedName name="page2" localSheetId="1">#REF!</definedName>
    <definedName name="page2">#REF!</definedName>
    <definedName name="page20" localSheetId="2">#REF!</definedName>
    <definedName name="page20" localSheetId="3">#REF!</definedName>
    <definedName name="page20" localSheetId="4">#REF!</definedName>
    <definedName name="page20" localSheetId="5">#REF!</definedName>
    <definedName name="page20" localSheetId="6">#REF!</definedName>
    <definedName name="page20" localSheetId="7">#REF!</definedName>
    <definedName name="page20" localSheetId="8">#REF!</definedName>
    <definedName name="page20" localSheetId="9">#REF!</definedName>
    <definedName name="page20" localSheetId="10">#REF!</definedName>
    <definedName name="page20" localSheetId="11">#REF!</definedName>
    <definedName name="page20" localSheetId="1">#REF!</definedName>
    <definedName name="page20">#REF!</definedName>
    <definedName name="page21" localSheetId="2">#REF!</definedName>
    <definedName name="page21" localSheetId="3">#REF!</definedName>
    <definedName name="page21" localSheetId="4">#REF!</definedName>
    <definedName name="page21" localSheetId="5">#REF!</definedName>
    <definedName name="page21" localSheetId="6">#REF!</definedName>
    <definedName name="page21" localSheetId="7">#REF!</definedName>
    <definedName name="page21" localSheetId="8">#REF!</definedName>
    <definedName name="page21" localSheetId="9">#REF!</definedName>
    <definedName name="page21" localSheetId="10">#REF!</definedName>
    <definedName name="page21" localSheetId="11">#REF!</definedName>
    <definedName name="page21" localSheetId="1">#REF!</definedName>
    <definedName name="page21">#REF!</definedName>
    <definedName name="page22" localSheetId="2">#REF!</definedName>
    <definedName name="page22" localSheetId="3">#REF!</definedName>
    <definedName name="page22" localSheetId="4">#REF!</definedName>
    <definedName name="page22" localSheetId="5">#REF!</definedName>
    <definedName name="page22" localSheetId="6">#REF!</definedName>
    <definedName name="page22" localSheetId="7">#REF!</definedName>
    <definedName name="page22" localSheetId="8">#REF!</definedName>
    <definedName name="page22" localSheetId="9">#REF!</definedName>
    <definedName name="page22" localSheetId="10">#REF!</definedName>
    <definedName name="page22" localSheetId="11">#REF!</definedName>
    <definedName name="page22" localSheetId="1">#REF!</definedName>
    <definedName name="page22">#REF!</definedName>
    <definedName name="page23" localSheetId="2">#REF!</definedName>
    <definedName name="page23" localSheetId="3">#REF!</definedName>
    <definedName name="page23" localSheetId="4">#REF!</definedName>
    <definedName name="page23" localSheetId="5">#REF!</definedName>
    <definedName name="page23" localSheetId="6">#REF!</definedName>
    <definedName name="page23" localSheetId="7">#REF!</definedName>
    <definedName name="page23" localSheetId="8">#REF!</definedName>
    <definedName name="page23" localSheetId="9">#REF!</definedName>
    <definedName name="page23" localSheetId="10">#REF!</definedName>
    <definedName name="page23" localSheetId="11">#REF!</definedName>
    <definedName name="page23" localSheetId="1">#REF!</definedName>
    <definedName name="page23">#REF!</definedName>
    <definedName name="page24" localSheetId="2">#REF!</definedName>
    <definedName name="page24" localSheetId="3">#REF!</definedName>
    <definedName name="page24" localSheetId="4">#REF!</definedName>
    <definedName name="page24" localSheetId="5">#REF!</definedName>
    <definedName name="page24" localSheetId="6">#REF!</definedName>
    <definedName name="page24" localSheetId="7">#REF!</definedName>
    <definedName name="page24" localSheetId="8">#REF!</definedName>
    <definedName name="page24" localSheetId="9">#REF!</definedName>
    <definedName name="page24" localSheetId="10">#REF!</definedName>
    <definedName name="page24" localSheetId="11">#REF!</definedName>
    <definedName name="page24" localSheetId="1">#REF!</definedName>
    <definedName name="page24">#REF!</definedName>
    <definedName name="page25" localSheetId="2">#REF!</definedName>
    <definedName name="page25" localSheetId="3">#REF!</definedName>
    <definedName name="page25" localSheetId="4">#REF!</definedName>
    <definedName name="page25" localSheetId="5">#REF!</definedName>
    <definedName name="page25" localSheetId="6">#REF!</definedName>
    <definedName name="page25" localSheetId="7">#REF!</definedName>
    <definedName name="page25" localSheetId="8">#REF!</definedName>
    <definedName name="page25" localSheetId="9">#REF!</definedName>
    <definedName name="page25" localSheetId="10">#REF!</definedName>
    <definedName name="page25" localSheetId="11">#REF!</definedName>
    <definedName name="page25" localSheetId="1">#REF!</definedName>
    <definedName name="page25">#REF!</definedName>
    <definedName name="page26" localSheetId="2">#REF!</definedName>
    <definedName name="page26" localSheetId="3">#REF!</definedName>
    <definedName name="page26" localSheetId="4">#REF!</definedName>
    <definedName name="page26" localSheetId="5">#REF!</definedName>
    <definedName name="page26" localSheetId="6">#REF!</definedName>
    <definedName name="page26" localSheetId="7">#REF!</definedName>
    <definedName name="page26" localSheetId="8">#REF!</definedName>
    <definedName name="page26" localSheetId="9">#REF!</definedName>
    <definedName name="page26" localSheetId="10">#REF!</definedName>
    <definedName name="page26" localSheetId="11">#REF!</definedName>
    <definedName name="page26" localSheetId="1">#REF!</definedName>
    <definedName name="page26">#REF!</definedName>
    <definedName name="page27" localSheetId="2">#REF!</definedName>
    <definedName name="page27" localSheetId="3">#REF!</definedName>
    <definedName name="page27" localSheetId="4">#REF!</definedName>
    <definedName name="page27" localSheetId="5">#REF!</definedName>
    <definedName name="page27" localSheetId="6">#REF!</definedName>
    <definedName name="page27" localSheetId="7">#REF!</definedName>
    <definedName name="page27" localSheetId="8">#REF!</definedName>
    <definedName name="page27" localSheetId="9">#REF!</definedName>
    <definedName name="page27" localSheetId="10">#REF!</definedName>
    <definedName name="page27" localSheetId="11">#REF!</definedName>
    <definedName name="page27" localSheetId="1">#REF!</definedName>
    <definedName name="page27">#REF!</definedName>
    <definedName name="page28" localSheetId="2">#REF!</definedName>
    <definedName name="page28" localSheetId="3">#REF!</definedName>
    <definedName name="page28" localSheetId="4">#REF!</definedName>
    <definedName name="page28" localSheetId="5">#REF!</definedName>
    <definedName name="page28" localSheetId="6">#REF!</definedName>
    <definedName name="page28" localSheetId="7">#REF!</definedName>
    <definedName name="page28" localSheetId="8">#REF!</definedName>
    <definedName name="page28" localSheetId="9">#REF!</definedName>
    <definedName name="page28" localSheetId="10">#REF!</definedName>
    <definedName name="page28" localSheetId="11">#REF!</definedName>
    <definedName name="page28" localSheetId="1">#REF!</definedName>
    <definedName name="page28">#REF!</definedName>
    <definedName name="page29" localSheetId="2">#REF!</definedName>
    <definedName name="page29" localSheetId="3">#REF!</definedName>
    <definedName name="page29" localSheetId="4">#REF!</definedName>
    <definedName name="page29" localSheetId="5">#REF!</definedName>
    <definedName name="page29" localSheetId="6">#REF!</definedName>
    <definedName name="page29" localSheetId="7">#REF!</definedName>
    <definedName name="page29" localSheetId="8">#REF!</definedName>
    <definedName name="page29" localSheetId="9">#REF!</definedName>
    <definedName name="page29" localSheetId="10">#REF!</definedName>
    <definedName name="page29" localSheetId="11">#REF!</definedName>
    <definedName name="page29" localSheetId="1">#REF!</definedName>
    <definedName name="page29">#REF!</definedName>
    <definedName name="page3" localSheetId="2">#REF!</definedName>
    <definedName name="page3" localSheetId="3">#REF!</definedName>
    <definedName name="page3" localSheetId="4">#REF!</definedName>
    <definedName name="page3" localSheetId="5">#REF!</definedName>
    <definedName name="page3" localSheetId="6">#REF!</definedName>
    <definedName name="page3" localSheetId="7">#REF!</definedName>
    <definedName name="page3" localSheetId="8">#REF!</definedName>
    <definedName name="page3" localSheetId="9">#REF!</definedName>
    <definedName name="page3" localSheetId="10">#REF!</definedName>
    <definedName name="page3" localSheetId="11">#REF!</definedName>
    <definedName name="page3" localSheetId="1">#REF!</definedName>
    <definedName name="page3">#REF!</definedName>
    <definedName name="page30" localSheetId="2">#REF!</definedName>
    <definedName name="page30" localSheetId="3">#REF!</definedName>
    <definedName name="page30" localSheetId="4">#REF!</definedName>
    <definedName name="page30" localSheetId="5">#REF!</definedName>
    <definedName name="page30" localSheetId="6">#REF!</definedName>
    <definedName name="page30" localSheetId="7">#REF!</definedName>
    <definedName name="page30" localSheetId="8">#REF!</definedName>
    <definedName name="page30" localSheetId="9">#REF!</definedName>
    <definedName name="page30" localSheetId="10">#REF!</definedName>
    <definedName name="page30" localSheetId="11">#REF!</definedName>
    <definedName name="page30" localSheetId="1">#REF!</definedName>
    <definedName name="page30">#REF!</definedName>
    <definedName name="page31" localSheetId="2">#REF!</definedName>
    <definedName name="page31" localSheetId="3">#REF!</definedName>
    <definedName name="page31" localSheetId="4">#REF!</definedName>
    <definedName name="page31" localSheetId="5">#REF!</definedName>
    <definedName name="page31" localSheetId="6">#REF!</definedName>
    <definedName name="page31" localSheetId="7">#REF!</definedName>
    <definedName name="page31" localSheetId="8">#REF!</definedName>
    <definedName name="page31" localSheetId="9">#REF!</definedName>
    <definedName name="page31" localSheetId="10">#REF!</definedName>
    <definedName name="page31" localSheetId="11">#REF!</definedName>
    <definedName name="page31" localSheetId="1">#REF!</definedName>
    <definedName name="page31">#REF!</definedName>
    <definedName name="page32" localSheetId="2">#REF!</definedName>
    <definedName name="page32" localSheetId="3">#REF!</definedName>
    <definedName name="page32" localSheetId="4">#REF!</definedName>
    <definedName name="page32" localSheetId="5">#REF!</definedName>
    <definedName name="page32" localSheetId="6">#REF!</definedName>
    <definedName name="page32" localSheetId="7">#REF!</definedName>
    <definedName name="page32" localSheetId="8">#REF!</definedName>
    <definedName name="page32" localSheetId="9">#REF!</definedName>
    <definedName name="page32" localSheetId="10">#REF!</definedName>
    <definedName name="page32" localSheetId="11">#REF!</definedName>
    <definedName name="page32" localSheetId="1">#REF!</definedName>
    <definedName name="page32">#REF!</definedName>
    <definedName name="page33" localSheetId="2">#REF!</definedName>
    <definedName name="page33" localSheetId="3">#REF!</definedName>
    <definedName name="page33" localSheetId="4">#REF!</definedName>
    <definedName name="page33" localSheetId="5">#REF!</definedName>
    <definedName name="page33" localSheetId="6">#REF!</definedName>
    <definedName name="page33" localSheetId="7">#REF!</definedName>
    <definedName name="page33" localSheetId="8">#REF!</definedName>
    <definedName name="page33" localSheetId="9">#REF!</definedName>
    <definedName name="page33" localSheetId="10">#REF!</definedName>
    <definedName name="page33" localSheetId="11">#REF!</definedName>
    <definedName name="page33" localSheetId="1">#REF!</definedName>
    <definedName name="page33">#REF!</definedName>
    <definedName name="page34" localSheetId="2">#REF!</definedName>
    <definedName name="page34" localSheetId="3">#REF!</definedName>
    <definedName name="page34" localSheetId="4">#REF!</definedName>
    <definedName name="page34" localSheetId="5">#REF!</definedName>
    <definedName name="page34" localSheetId="6">#REF!</definedName>
    <definedName name="page34" localSheetId="7">#REF!</definedName>
    <definedName name="page34" localSheetId="8">#REF!</definedName>
    <definedName name="page34" localSheetId="9">#REF!</definedName>
    <definedName name="page34" localSheetId="10">#REF!</definedName>
    <definedName name="page34" localSheetId="11">#REF!</definedName>
    <definedName name="page34" localSheetId="1">#REF!</definedName>
    <definedName name="page34">#REF!</definedName>
    <definedName name="page35" localSheetId="2">#REF!</definedName>
    <definedName name="page35" localSheetId="3">#REF!</definedName>
    <definedName name="page35" localSheetId="4">#REF!</definedName>
    <definedName name="page35" localSheetId="5">#REF!</definedName>
    <definedName name="page35" localSheetId="6">#REF!</definedName>
    <definedName name="page35" localSheetId="7">#REF!</definedName>
    <definedName name="page35" localSheetId="8">#REF!</definedName>
    <definedName name="page35" localSheetId="9">#REF!</definedName>
    <definedName name="page35" localSheetId="10">#REF!</definedName>
    <definedName name="page35" localSheetId="11">#REF!</definedName>
    <definedName name="page35" localSheetId="1">#REF!</definedName>
    <definedName name="page35">#REF!</definedName>
    <definedName name="page36" localSheetId="2">#REF!</definedName>
    <definedName name="page36" localSheetId="3">#REF!</definedName>
    <definedName name="page36" localSheetId="4">#REF!</definedName>
    <definedName name="page36" localSheetId="5">#REF!</definedName>
    <definedName name="page36" localSheetId="6">#REF!</definedName>
    <definedName name="page36" localSheetId="7">#REF!</definedName>
    <definedName name="page36" localSheetId="8">#REF!</definedName>
    <definedName name="page36" localSheetId="9">#REF!</definedName>
    <definedName name="page36" localSheetId="10">#REF!</definedName>
    <definedName name="page36" localSheetId="11">#REF!</definedName>
    <definedName name="page36" localSheetId="1">#REF!</definedName>
    <definedName name="page36">#REF!</definedName>
    <definedName name="page37" localSheetId="2">#REF!</definedName>
    <definedName name="page37" localSheetId="3">#REF!</definedName>
    <definedName name="page37" localSheetId="4">#REF!</definedName>
    <definedName name="page37" localSheetId="5">#REF!</definedName>
    <definedName name="page37" localSheetId="6">#REF!</definedName>
    <definedName name="page37" localSheetId="7">#REF!</definedName>
    <definedName name="page37" localSheetId="8">#REF!</definedName>
    <definedName name="page37" localSheetId="9">#REF!</definedName>
    <definedName name="page37" localSheetId="10">#REF!</definedName>
    <definedName name="page37" localSheetId="11">#REF!</definedName>
    <definedName name="page37" localSheetId="1">#REF!</definedName>
    <definedName name="page37">#REF!</definedName>
    <definedName name="page38" localSheetId="2">#REF!</definedName>
    <definedName name="page38" localSheetId="3">#REF!</definedName>
    <definedName name="page38" localSheetId="4">#REF!</definedName>
    <definedName name="page38" localSheetId="5">#REF!</definedName>
    <definedName name="page38" localSheetId="6">#REF!</definedName>
    <definedName name="page38" localSheetId="7">#REF!</definedName>
    <definedName name="page38" localSheetId="8">#REF!</definedName>
    <definedName name="page38" localSheetId="9">#REF!</definedName>
    <definedName name="page38" localSheetId="10">#REF!</definedName>
    <definedName name="page38" localSheetId="11">#REF!</definedName>
    <definedName name="page38" localSheetId="1">#REF!</definedName>
    <definedName name="page38">#REF!</definedName>
    <definedName name="page39" localSheetId="2">#REF!</definedName>
    <definedName name="page39" localSheetId="3">#REF!</definedName>
    <definedName name="page39" localSheetId="4">#REF!</definedName>
    <definedName name="page39" localSheetId="5">#REF!</definedName>
    <definedName name="page39" localSheetId="6">#REF!</definedName>
    <definedName name="page39" localSheetId="7">#REF!</definedName>
    <definedName name="page39" localSheetId="8">#REF!</definedName>
    <definedName name="page39" localSheetId="9">#REF!</definedName>
    <definedName name="page39" localSheetId="10">#REF!</definedName>
    <definedName name="page39" localSheetId="11">#REF!</definedName>
    <definedName name="page39" localSheetId="1">#REF!</definedName>
    <definedName name="page39">#REF!</definedName>
    <definedName name="page4" localSheetId="2">#REF!</definedName>
    <definedName name="page4" localSheetId="3">#REF!</definedName>
    <definedName name="page4" localSheetId="4">#REF!</definedName>
    <definedName name="page4" localSheetId="5">#REF!</definedName>
    <definedName name="page4" localSheetId="6">#REF!</definedName>
    <definedName name="page4" localSheetId="7">#REF!</definedName>
    <definedName name="page4" localSheetId="8">#REF!</definedName>
    <definedName name="page4" localSheetId="9">#REF!</definedName>
    <definedName name="page4" localSheetId="10">#REF!</definedName>
    <definedName name="page4" localSheetId="11">#REF!</definedName>
    <definedName name="page4" localSheetId="1">#REF!</definedName>
    <definedName name="page4">#REF!</definedName>
    <definedName name="page40" localSheetId="2">#REF!</definedName>
    <definedName name="page40" localSheetId="3">#REF!</definedName>
    <definedName name="page40" localSheetId="4">#REF!</definedName>
    <definedName name="page40" localSheetId="5">#REF!</definedName>
    <definedName name="page40" localSheetId="6">#REF!</definedName>
    <definedName name="page40" localSheetId="7">#REF!</definedName>
    <definedName name="page40" localSheetId="8">#REF!</definedName>
    <definedName name="page40" localSheetId="9">#REF!</definedName>
    <definedName name="page40" localSheetId="10">#REF!</definedName>
    <definedName name="page40" localSheetId="11">#REF!</definedName>
    <definedName name="page40" localSheetId="1">#REF!</definedName>
    <definedName name="page40">#REF!</definedName>
    <definedName name="page41" localSheetId="2">#REF!</definedName>
    <definedName name="page41" localSheetId="3">#REF!</definedName>
    <definedName name="page41" localSheetId="4">#REF!</definedName>
    <definedName name="page41" localSheetId="5">#REF!</definedName>
    <definedName name="page41" localSheetId="6">#REF!</definedName>
    <definedName name="page41" localSheetId="7">#REF!</definedName>
    <definedName name="page41" localSheetId="8">#REF!</definedName>
    <definedName name="page41" localSheetId="9">#REF!</definedName>
    <definedName name="page41" localSheetId="10">#REF!</definedName>
    <definedName name="page41" localSheetId="11">#REF!</definedName>
    <definedName name="page41" localSheetId="1">#REF!</definedName>
    <definedName name="page41">#REF!</definedName>
    <definedName name="page42" localSheetId="2">#REF!</definedName>
    <definedName name="page42" localSheetId="3">#REF!</definedName>
    <definedName name="page42" localSheetId="4">#REF!</definedName>
    <definedName name="page42" localSheetId="5">#REF!</definedName>
    <definedName name="page42" localSheetId="6">#REF!</definedName>
    <definedName name="page42" localSheetId="7">#REF!</definedName>
    <definedName name="page42" localSheetId="8">#REF!</definedName>
    <definedName name="page42" localSheetId="9">#REF!</definedName>
    <definedName name="page42" localSheetId="10">#REF!</definedName>
    <definedName name="page42" localSheetId="11">#REF!</definedName>
    <definedName name="page42" localSheetId="1">#REF!</definedName>
    <definedName name="page42">#REF!</definedName>
    <definedName name="page43" localSheetId="2">#REF!</definedName>
    <definedName name="page43" localSheetId="3">#REF!</definedName>
    <definedName name="page43" localSheetId="4">#REF!</definedName>
    <definedName name="page43" localSheetId="5">#REF!</definedName>
    <definedName name="page43" localSheetId="6">#REF!</definedName>
    <definedName name="page43" localSheetId="7">#REF!</definedName>
    <definedName name="page43" localSheetId="8">#REF!</definedName>
    <definedName name="page43" localSheetId="9">#REF!</definedName>
    <definedName name="page43" localSheetId="10">#REF!</definedName>
    <definedName name="page43" localSheetId="11">#REF!</definedName>
    <definedName name="page43" localSheetId="1">#REF!</definedName>
    <definedName name="page43">#REF!</definedName>
    <definedName name="page44" localSheetId="2">#REF!</definedName>
    <definedName name="page44" localSheetId="3">#REF!</definedName>
    <definedName name="page44" localSheetId="4">#REF!</definedName>
    <definedName name="page44" localSheetId="5">#REF!</definedName>
    <definedName name="page44" localSheetId="6">#REF!</definedName>
    <definedName name="page44" localSheetId="7">#REF!</definedName>
    <definedName name="page44" localSheetId="8">#REF!</definedName>
    <definedName name="page44" localSheetId="9">#REF!</definedName>
    <definedName name="page44" localSheetId="10">#REF!</definedName>
    <definedName name="page44" localSheetId="11">#REF!</definedName>
    <definedName name="page44" localSheetId="1">#REF!</definedName>
    <definedName name="page44">#REF!</definedName>
    <definedName name="page45" localSheetId="2">#REF!</definedName>
    <definedName name="page45" localSheetId="3">#REF!</definedName>
    <definedName name="page45" localSheetId="4">#REF!</definedName>
    <definedName name="page45" localSheetId="5">#REF!</definedName>
    <definedName name="page45" localSheetId="6">#REF!</definedName>
    <definedName name="page45" localSheetId="7">#REF!</definedName>
    <definedName name="page45" localSheetId="8">#REF!</definedName>
    <definedName name="page45" localSheetId="9">#REF!</definedName>
    <definedName name="page45" localSheetId="10">#REF!</definedName>
    <definedName name="page45" localSheetId="11">#REF!</definedName>
    <definedName name="page45" localSheetId="1">#REF!</definedName>
    <definedName name="page45">#REF!</definedName>
    <definedName name="page46" localSheetId="2">#REF!</definedName>
    <definedName name="page46" localSheetId="3">#REF!</definedName>
    <definedName name="page46" localSheetId="4">#REF!</definedName>
    <definedName name="page46" localSheetId="5">#REF!</definedName>
    <definedName name="page46" localSheetId="6">#REF!</definedName>
    <definedName name="page46" localSheetId="7">#REF!</definedName>
    <definedName name="page46" localSheetId="8">#REF!</definedName>
    <definedName name="page46" localSheetId="9">#REF!</definedName>
    <definedName name="page46" localSheetId="10">#REF!</definedName>
    <definedName name="page46" localSheetId="11">#REF!</definedName>
    <definedName name="page46" localSheetId="1">#REF!</definedName>
    <definedName name="page46">#REF!</definedName>
    <definedName name="page47" localSheetId="2">#REF!</definedName>
    <definedName name="page47" localSheetId="3">#REF!</definedName>
    <definedName name="page47" localSheetId="4">#REF!</definedName>
    <definedName name="page47" localSheetId="5">#REF!</definedName>
    <definedName name="page47" localSheetId="6">#REF!</definedName>
    <definedName name="page47" localSheetId="7">#REF!</definedName>
    <definedName name="page47" localSheetId="8">#REF!</definedName>
    <definedName name="page47" localSheetId="9">#REF!</definedName>
    <definedName name="page47" localSheetId="10">#REF!</definedName>
    <definedName name="page47" localSheetId="11">#REF!</definedName>
    <definedName name="page47" localSheetId="1">#REF!</definedName>
    <definedName name="page47">#REF!</definedName>
    <definedName name="page48" localSheetId="2">#REF!</definedName>
    <definedName name="page48" localSheetId="3">#REF!</definedName>
    <definedName name="page48" localSheetId="4">#REF!</definedName>
    <definedName name="page48" localSheetId="5">#REF!</definedName>
    <definedName name="page48" localSheetId="6">#REF!</definedName>
    <definedName name="page48" localSheetId="7">#REF!</definedName>
    <definedName name="page48" localSheetId="8">#REF!</definedName>
    <definedName name="page48" localSheetId="9">#REF!</definedName>
    <definedName name="page48" localSheetId="10">#REF!</definedName>
    <definedName name="page48" localSheetId="11">#REF!</definedName>
    <definedName name="page48" localSheetId="1">#REF!</definedName>
    <definedName name="page48">#REF!</definedName>
    <definedName name="page49" localSheetId="2">#REF!</definedName>
    <definedName name="page49" localSheetId="3">#REF!</definedName>
    <definedName name="page49" localSheetId="4">#REF!</definedName>
    <definedName name="page49" localSheetId="5">#REF!</definedName>
    <definedName name="page49" localSheetId="6">#REF!</definedName>
    <definedName name="page49" localSheetId="7">#REF!</definedName>
    <definedName name="page49" localSheetId="8">#REF!</definedName>
    <definedName name="page49" localSheetId="9">#REF!</definedName>
    <definedName name="page49" localSheetId="10">#REF!</definedName>
    <definedName name="page49" localSheetId="11">#REF!</definedName>
    <definedName name="page49" localSheetId="1">#REF!</definedName>
    <definedName name="page49">#REF!</definedName>
    <definedName name="page5" localSheetId="2">#REF!</definedName>
    <definedName name="page5" localSheetId="3">#REF!</definedName>
    <definedName name="page5" localSheetId="4">#REF!</definedName>
    <definedName name="page5" localSheetId="5">#REF!</definedName>
    <definedName name="page5" localSheetId="6">#REF!</definedName>
    <definedName name="page5" localSheetId="7">#REF!</definedName>
    <definedName name="page5" localSheetId="8">#REF!</definedName>
    <definedName name="page5" localSheetId="9">#REF!</definedName>
    <definedName name="page5" localSheetId="10">#REF!</definedName>
    <definedName name="page5" localSheetId="11">#REF!</definedName>
    <definedName name="page5" localSheetId="1">#REF!</definedName>
    <definedName name="page5">#REF!</definedName>
    <definedName name="page50" localSheetId="2">#REF!</definedName>
    <definedName name="page50" localSheetId="3">#REF!</definedName>
    <definedName name="page50" localSheetId="4">#REF!</definedName>
    <definedName name="page50" localSheetId="5">#REF!</definedName>
    <definedName name="page50" localSheetId="6">#REF!</definedName>
    <definedName name="page50" localSheetId="7">#REF!</definedName>
    <definedName name="page50" localSheetId="8">#REF!</definedName>
    <definedName name="page50" localSheetId="9">#REF!</definedName>
    <definedName name="page50" localSheetId="10">#REF!</definedName>
    <definedName name="page50" localSheetId="11">#REF!</definedName>
    <definedName name="page50" localSheetId="1">#REF!</definedName>
    <definedName name="page50">#REF!</definedName>
    <definedName name="page51" localSheetId="2">#REF!</definedName>
    <definedName name="page51" localSheetId="3">#REF!</definedName>
    <definedName name="page51" localSheetId="4">#REF!</definedName>
    <definedName name="page51" localSheetId="5">#REF!</definedName>
    <definedName name="page51" localSheetId="6">#REF!</definedName>
    <definedName name="page51" localSheetId="7">#REF!</definedName>
    <definedName name="page51" localSheetId="8">#REF!</definedName>
    <definedName name="page51" localSheetId="9">#REF!</definedName>
    <definedName name="page51" localSheetId="10">#REF!</definedName>
    <definedName name="page51" localSheetId="11">#REF!</definedName>
    <definedName name="page51" localSheetId="1">#REF!</definedName>
    <definedName name="page51">#REF!</definedName>
    <definedName name="page52" localSheetId="2">#REF!</definedName>
    <definedName name="page52" localSheetId="3">#REF!</definedName>
    <definedName name="page52" localSheetId="4">#REF!</definedName>
    <definedName name="page52" localSheetId="5">#REF!</definedName>
    <definedName name="page52" localSheetId="6">#REF!</definedName>
    <definedName name="page52" localSheetId="7">#REF!</definedName>
    <definedName name="page52" localSheetId="8">#REF!</definedName>
    <definedName name="page52" localSheetId="9">#REF!</definedName>
    <definedName name="page52" localSheetId="10">#REF!</definedName>
    <definedName name="page52" localSheetId="11">#REF!</definedName>
    <definedName name="page52" localSheetId="1">#REF!</definedName>
    <definedName name="page52">#REF!</definedName>
    <definedName name="page53" localSheetId="2">#REF!</definedName>
    <definedName name="page53" localSheetId="3">#REF!</definedName>
    <definedName name="page53" localSheetId="4">#REF!</definedName>
    <definedName name="page53" localSheetId="5">#REF!</definedName>
    <definedName name="page53" localSheetId="6">#REF!</definedName>
    <definedName name="page53" localSheetId="7">#REF!</definedName>
    <definedName name="page53" localSheetId="8">#REF!</definedName>
    <definedName name="page53" localSheetId="9">#REF!</definedName>
    <definedName name="page53" localSheetId="10">#REF!</definedName>
    <definedName name="page53" localSheetId="11">#REF!</definedName>
    <definedName name="page53" localSheetId="1">#REF!</definedName>
    <definedName name="page53">#REF!</definedName>
    <definedName name="page54" localSheetId="2">#REF!</definedName>
    <definedName name="page54" localSheetId="3">#REF!</definedName>
    <definedName name="page54" localSheetId="4">#REF!</definedName>
    <definedName name="page54" localSheetId="5">#REF!</definedName>
    <definedName name="page54" localSheetId="6">#REF!</definedName>
    <definedName name="page54" localSheetId="7">#REF!</definedName>
    <definedName name="page54" localSheetId="8">#REF!</definedName>
    <definedName name="page54" localSheetId="9">#REF!</definedName>
    <definedName name="page54" localSheetId="10">#REF!</definedName>
    <definedName name="page54" localSheetId="11">#REF!</definedName>
    <definedName name="page54" localSheetId="1">#REF!</definedName>
    <definedName name="page54">#REF!</definedName>
    <definedName name="page55" localSheetId="2">#REF!</definedName>
    <definedName name="page55" localSheetId="3">#REF!</definedName>
    <definedName name="page55" localSheetId="4">#REF!</definedName>
    <definedName name="page55" localSheetId="5">#REF!</definedName>
    <definedName name="page55" localSheetId="6">#REF!</definedName>
    <definedName name="page55" localSheetId="7">#REF!</definedName>
    <definedName name="page55" localSheetId="8">#REF!</definedName>
    <definedName name="page55" localSheetId="9">#REF!</definedName>
    <definedName name="page55" localSheetId="10">#REF!</definedName>
    <definedName name="page55" localSheetId="11">#REF!</definedName>
    <definedName name="page55" localSheetId="1">#REF!</definedName>
    <definedName name="page55">#REF!</definedName>
    <definedName name="page56" localSheetId="2">#REF!</definedName>
    <definedName name="page56" localSheetId="3">#REF!</definedName>
    <definedName name="page56" localSheetId="4">#REF!</definedName>
    <definedName name="page56" localSheetId="5">#REF!</definedName>
    <definedName name="page56" localSheetId="6">#REF!</definedName>
    <definedName name="page56" localSheetId="7">#REF!</definedName>
    <definedName name="page56" localSheetId="8">#REF!</definedName>
    <definedName name="page56" localSheetId="9">#REF!</definedName>
    <definedName name="page56" localSheetId="10">#REF!</definedName>
    <definedName name="page56" localSheetId="11">#REF!</definedName>
    <definedName name="page56" localSheetId="1">#REF!</definedName>
    <definedName name="page56">#REF!</definedName>
    <definedName name="page57" localSheetId="2">#REF!</definedName>
    <definedName name="page57" localSheetId="3">#REF!</definedName>
    <definedName name="page57" localSheetId="4">#REF!</definedName>
    <definedName name="page57" localSheetId="5">#REF!</definedName>
    <definedName name="page57" localSheetId="6">#REF!</definedName>
    <definedName name="page57" localSheetId="7">#REF!</definedName>
    <definedName name="page57" localSheetId="8">#REF!</definedName>
    <definedName name="page57" localSheetId="9">#REF!</definedName>
    <definedName name="page57" localSheetId="10">#REF!</definedName>
    <definedName name="page57" localSheetId="11">#REF!</definedName>
    <definedName name="page57" localSheetId="1">#REF!</definedName>
    <definedName name="page57">#REF!</definedName>
    <definedName name="page58" localSheetId="2">#REF!</definedName>
    <definedName name="page58" localSheetId="3">#REF!</definedName>
    <definedName name="page58" localSheetId="4">#REF!</definedName>
    <definedName name="page58" localSheetId="5">#REF!</definedName>
    <definedName name="page58" localSheetId="6">#REF!</definedName>
    <definedName name="page58" localSheetId="7">#REF!</definedName>
    <definedName name="page58" localSheetId="8">#REF!</definedName>
    <definedName name="page58" localSheetId="9">#REF!</definedName>
    <definedName name="page58" localSheetId="10">#REF!</definedName>
    <definedName name="page58" localSheetId="11">#REF!</definedName>
    <definedName name="page58" localSheetId="1">#REF!</definedName>
    <definedName name="page58">#REF!</definedName>
    <definedName name="page59" localSheetId="2">#REF!</definedName>
    <definedName name="page59" localSheetId="3">#REF!</definedName>
    <definedName name="page59" localSheetId="4">#REF!</definedName>
    <definedName name="page59" localSheetId="5">#REF!</definedName>
    <definedName name="page59" localSheetId="6">#REF!</definedName>
    <definedName name="page59" localSheetId="7">#REF!</definedName>
    <definedName name="page59" localSheetId="8">#REF!</definedName>
    <definedName name="page59" localSheetId="9">#REF!</definedName>
    <definedName name="page59" localSheetId="10">#REF!</definedName>
    <definedName name="page59" localSheetId="11">#REF!</definedName>
    <definedName name="page59" localSheetId="1">#REF!</definedName>
    <definedName name="page59">#REF!</definedName>
    <definedName name="page6" localSheetId="2">#REF!</definedName>
    <definedName name="page6" localSheetId="3">#REF!</definedName>
    <definedName name="page6" localSheetId="4">#REF!</definedName>
    <definedName name="page6" localSheetId="5">#REF!</definedName>
    <definedName name="page6" localSheetId="6">#REF!</definedName>
    <definedName name="page6" localSheetId="7">#REF!</definedName>
    <definedName name="page6" localSheetId="8">#REF!</definedName>
    <definedName name="page6" localSheetId="9">#REF!</definedName>
    <definedName name="page6" localSheetId="10">#REF!</definedName>
    <definedName name="page6" localSheetId="11">#REF!</definedName>
    <definedName name="page6" localSheetId="1">#REF!</definedName>
    <definedName name="page6">#REF!</definedName>
    <definedName name="page60" localSheetId="2">#REF!</definedName>
    <definedName name="page60" localSheetId="3">#REF!</definedName>
    <definedName name="page60" localSheetId="4">#REF!</definedName>
    <definedName name="page60" localSheetId="5">#REF!</definedName>
    <definedName name="page60" localSheetId="6">#REF!</definedName>
    <definedName name="page60" localSheetId="7">#REF!</definedName>
    <definedName name="page60" localSheetId="8">#REF!</definedName>
    <definedName name="page60" localSheetId="9">#REF!</definedName>
    <definedName name="page60" localSheetId="10">#REF!</definedName>
    <definedName name="page60" localSheetId="11">#REF!</definedName>
    <definedName name="page60" localSheetId="1">#REF!</definedName>
    <definedName name="page60">#REF!</definedName>
    <definedName name="page61" localSheetId="2">#REF!</definedName>
    <definedName name="page61" localSheetId="3">#REF!</definedName>
    <definedName name="page61" localSheetId="4">#REF!</definedName>
    <definedName name="page61" localSheetId="5">#REF!</definedName>
    <definedName name="page61" localSheetId="6">#REF!</definedName>
    <definedName name="page61" localSheetId="7">#REF!</definedName>
    <definedName name="page61" localSheetId="8">#REF!</definedName>
    <definedName name="page61" localSheetId="9">#REF!</definedName>
    <definedName name="page61" localSheetId="10">#REF!</definedName>
    <definedName name="page61" localSheetId="11">#REF!</definedName>
    <definedName name="page61" localSheetId="1">#REF!</definedName>
    <definedName name="page61">#REF!</definedName>
    <definedName name="page62" localSheetId="2">#REF!</definedName>
    <definedName name="page62" localSheetId="3">#REF!</definedName>
    <definedName name="page62" localSheetId="4">#REF!</definedName>
    <definedName name="page62" localSheetId="5">#REF!</definedName>
    <definedName name="page62" localSheetId="6">#REF!</definedName>
    <definedName name="page62" localSheetId="7">#REF!</definedName>
    <definedName name="page62" localSheetId="8">#REF!</definedName>
    <definedName name="page62" localSheetId="9">#REF!</definedName>
    <definedName name="page62" localSheetId="10">#REF!</definedName>
    <definedName name="page62" localSheetId="11">#REF!</definedName>
    <definedName name="page62" localSheetId="1">#REF!</definedName>
    <definedName name="page62">#REF!</definedName>
    <definedName name="page63" localSheetId="2">#REF!</definedName>
    <definedName name="page63" localSheetId="3">#REF!</definedName>
    <definedName name="page63" localSheetId="4">#REF!</definedName>
    <definedName name="page63" localSheetId="5">#REF!</definedName>
    <definedName name="page63" localSheetId="6">#REF!</definedName>
    <definedName name="page63" localSheetId="7">#REF!</definedName>
    <definedName name="page63" localSheetId="8">#REF!</definedName>
    <definedName name="page63" localSheetId="9">#REF!</definedName>
    <definedName name="page63" localSheetId="10">#REF!</definedName>
    <definedName name="page63" localSheetId="11">#REF!</definedName>
    <definedName name="page63" localSheetId="1">#REF!</definedName>
    <definedName name="page63">#REF!</definedName>
    <definedName name="page64" localSheetId="2">#REF!</definedName>
    <definedName name="page64" localSheetId="3">#REF!</definedName>
    <definedName name="page64" localSheetId="4">#REF!</definedName>
    <definedName name="page64" localSheetId="5">#REF!</definedName>
    <definedName name="page64" localSheetId="6">#REF!</definedName>
    <definedName name="page64" localSheetId="7">#REF!</definedName>
    <definedName name="page64" localSheetId="8">#REF!</definedName>
    <definedName name="page64" localSheetId="9">#REF!</definedName>
    <definedName name="page64" localSheetId="10">#REF!</definedName>
    <definedName name="page64" localSheetId="11">#REF!</definedName>
    <definedName name="page64" localSheetId="1">#REF!</definedName>
    <definedName name="page64">#REF!</definedName>
    <definedName name="page65" localSheetId="2">#REF!</definedName>
    <definedName name="page65" localSheetId="3">#REF!</definedName>
    <definedName name="page65" localSheetId="4">#REF!</definedName>
    <definedName name="page65" localSheetId="5">#REF!</definedName>
    <definedName name="page65" localSheetId="6">#REF!</definedName>
    <definedName name="page65" localSheetId="7">#REF!</definedName>
    <definedName name="page65" localSheetId="8">#REF!</definedName>
    <definedName name="page65" localSheetId="9">#REF!</definedName>
    <definedName name="page65" localSheetId="10">#REF!</definedName>
    <definedName name="page65" localSheetId="11">#REF!</definedName>
    <definedName name="page65" localSheetId="1">#REF!</definedName>
    <definedName name="page65">#REF!</definedName>
    <definedName name="page66" localSheetId="2">#REF!</definedName>
    <definedName name="page66" localSheetId="3">#REF!</definedName>
    <definedName name="page66" localSheetId="4">#REF!</definedName>
    <definedName name="page66" localSheetId="5">#REF!</definedName>
    <definedName name="page66" localSheetId="6">#REF!</definedName>
    <definedName name="page66" localSheetId="7">#REF!</definedName>
    <definedName name="page66" localSheetId="8">#REF!</definedName>
    <definedName name="page66" localSheetId="9">#REF!</definedName>
    <definedName name="page66" localSheetId="10">#REF!</definedName>
    <definedName name="page66" localSheetId="11">#REF!</definedName>
    <definedName name="page66" localSheetId="1">#REF!</definedName>
    <definedName name="page66">#REF!</definedName>
    <definedName name="page67" localSheetId="2">#REF!</definedName>
    <definedName name="page67" localSheetId="3">#REF!</definedName>
    <definedName name="page67" localSheetId="4">#REF!</definedName>
    <definedName name="page67" localSheetId="5">#REF!</definedName>
    <definedName name="page67" localSheetId="6">#REF!</definedName>
    <definedName name="page67" localSheetId="7">#REF!</definedName>
    <definedName name="page67" localSheetId="8">#REF!</definedName>
    <definedName name="page67" localSheetId="9">#REF!</definedName>
    <definedName name="page67" localSheetId="10">#REF!</definedName>
    <definedName name="page67" localSheetId="11">#REF!</definedName>
    <definedName name="page67" localSheetId="1">#REF!</definedName>
    <definedName name="page67">#REF!</definedName>
    <definedName name="page68" localSheetId="2">#REF!</definedName>
    <definedName name="page68" localSheetId="3">#REF!</definedName>
    <definedName name="page68" localSheetId="4">#REF!</definedName>
    <definedName name="page68" localSheetId="5">#REF!</definedName>
    <definedName name="page68" localSheetId="6">#REF!</definedName>
    <definedName name="page68" localSheetId="7">#REF!</definedName>
    <definedName name="page68" localSheetId="8">#REF!</definedName>
    <definedName name="page68" localSheetId="9">#REF!</definedName>
    <definedName name="page68" localSheetId="10">#REF!</definedName>
    <definedName name="page68" localSheetId="11">#REF!</definedName>
    <definedName name="page68" localSheetId="1">#REF!</definedName>
    <definedName name="page68">#REF!</definedName>
    <definedName name="page69" localSheetId="2">#REF!</definedName>
    <definedName name="page69" localSheetId="3">#REF!</definedName>
    <definedName name="page69" localSheetId="4">#REF!</definedName>
    <definedName name="page69" localSheetId="5">#REF!</definedName>
    <definedName name="page69" localSheetId="6">#REF!</definedName>
    <definedName name="page69" localSheetId="7">#REF!</definedName>
    <definedName name="page69" localSheetId="8">#REF!</definedName>
    <definedName name="page69" localSheetId="9">#REF!</definedName>
    <definedName name="page69" localSheetId="10">#REF!</definedName>
    <definedName name="page69" localSheetId="11">#REF!</definedName>
    <definedName name="page69" localSheetId="1">#REF!</definedName>
    <definedName name="page69">#REF!</definedName>
    <definedName name="page7" localSheetId="2">#REF!</definedName>
    <definedName name="page7" localSheetId="3">#REF!</definedName>
    <definedName name="page7" localSheetId="4">#REF!</definedName>
    <definedName name="page7" localSheetId="5">#REF!</definedName>
    <definedName name="page7" localSheetId="6">#REF!</definedName>
    <definedName name="page7" localSheetId="7">#REF!</definedName>
    <definedName name="page7" localSheetId="8">#REF!</definedName>
    <definedName name="page7" localSheetId="9">#REF!</definedName>
    <definedName name="page7" localSheetId="10">#REF!</definedName>
    <definedName name="page7" localSheetId="11">#REF!</definedName>
    <definedName name="page7" localSheetId="1">#REF!</definedName>
    <definedName name="page7">#REF!</definedName>
    <definedName name="page70" localSheetId="2">#REF!</definedName>
    <definedName name="page70" localSheetId="3">#REF!</definedName>
    <definedName name="page70" localSheetId="4">#REF!</definedName>
    <definedName name="page70" localSheetId="5">#REF!</definedName>
    <definedName name="page70" localSheetId="6">#REF!</definedName>
    <definedName name="page70" localSheetId="7">#REF!</definedName>
    <definedName name="page70" localSheetId="8">#REF!</definedName>
    <definedName name="page70" localSheetId="9">#REF!</definedName>
    <definedName name="page70" localSheetId="10">#REF!</definedName>
    <definedName name="page70" localSheetId="11">#REF!</definedName>
    <definedName name="page70" localSheetId="1">#REF!</definedName>
    <definedName name="page70">#REF!</definedName>
    <definedName name="page71" localSheetId="2">#REF!</definedName>
    <definedName name="page71" localSheetId="3">#REF!</definedName>
    <definedName name="page71" localSheetId="4">#REF!</definedName>
    <definedName name="page71" localSheetId="5">#REF!</definedName>
    <definedName name="page71" localSheetId="6">#REF!</definedName>
    <definedName name="page71" localSheetId="7">#REF!</definedName>
    <definedName name="page71" localSheetId="8">#REF!</definedName>
    <definedName name="page71" localSheetId="9">#REF!</definedName>
    <definedName name="page71" localSheetId="10">#REF!</definedName>
    <definedName name="page71" localSheetId="11">#REF!</definedName>
    <definedName name="page71" localSheetId="1">#REF!</definedName>
    <definedName name="page71">#REF!</definedName>
    <definedName name="page72" localSheetId="2">#REF!</definedName>
    <definedName name="page72" localSheetId="3">#REF!</definedName>
    <definedName name="page72" localSheetId="4">#REF!</definedName>
    <definedName name="page72" localSheetId="5">#REF!</definedName>
    <definedName name="page72" localSheetId="6">#REF!</definedName>
    <definedName name="page72" localSheetId="7">#REF!</definedName>
    <definedName name="page72" localSheetId="8">#REF!</definedName>
    <definedName name="page72" localSheetId="9">#REF!</definedName>
    <definedName name="page72" localSheetId="10">#REF!</definedName>
    <definedName name="page72" localSheetId="11">#REF!</definedName>
    <definedName name="page72" localSheetId="1">#REF!</definedName>
    <definedName name="page72">#REF!</definedName>
    <definedName name="page73" localSheetId="2">#REF!</definedName>
    <definedName name="page73" localSheetId="3">#REF!</definedName>
    <definedName name="page73" localSheetId="4">#REF!</definedName>
    <definedName name="page73" localSheetId="5">#REF!</definedName>
    <definedName name="page73" localSheetId="6">#REF!</definedName>
    <definedName name="page73" localSheetId="7">#REF!</definedName>
    <definedName name="page73" localSheetId="8">#REF!</definedName>
    <definedName name="page73" localSheetId="9">#REF!</definedName>
    <definedName name="page73" localSheetId="10">#REF!</definedName>
    <definedName name="page73" localSheetId="11">#REF!</definedName>
    <definedName name="page73" localSheetId="1">#REF!</definedName>
    <definedName name="page73">#REF!</definedName>
    <definedName name="page74" localSheetId="2">#REF!</definedName>
    <definedName name="page74" localSheetId="3">#REF!</definedName>
    <definedName name="page74" localSheetId="4">#REF!</definedName>
    <definedName name="page74" localSheetId="5">#REF!</definedName>
    <definedName name="page74" localSheetId="6">#REF!</definedName>
    <definedName name="page74" localSheetId="7">#REF!</definedName>
    <definedName name="page74" localSheetId="8">#REF!</definedName>
    <definedName name="page74" localSheetId="9">#REF!</definedName>
    <definedName name="page74" localSheetId="10">#REF!</definedName>
    <definedName name="page74" localSheetId="11">#REF!</definedName>
    <definedName name="page74" localSheetId="1">#REF!</definedName>
    <definedName name="page74">#REF!</definedName>
    <definedName name="page75" localSheetId="2">#REF!</definedName>
    <definedName name="page75" localSheetId="3">#REF!</definedName>
    <definedName name="page75" localSheetId="4">#REF!</definedName>
    <definedName name="page75" localSheetId="5">#REF!</definedName>
    <definedName name="page75" localSheetId="6">#REF!</definedName>
    <definedName name="page75" localSheetId="7">#REF!</definedName>
    <definedName name="page75" localSheetId="8">#REF!</definedName>
    <definedName name="page75" localSheetId="9">#REF!</definedName>
    <definedName name="page75" localSheetId="10">#REF!</definedName>
    <definedName name="page75" localSheetId="11">#REF!</definedName>
    <definedName name="page75" localSheetId="1">#REF!</definedName>
    <definedName name="page75">#REF!</definedName>
    <definedName name="page76" localSheetId="2">#REF!</definedName>
    <definedName name="page76" localSheetId="3">#REF!</definedName>
    <definedName name="page76" localSheetId="4">#REF!</definedName>
    <definedName name="page76" localSheetId="5">#REF!</definedName>
    <definedName name="page76" localSheetId="6">#REF!</definedName>
    <definedName name="page76" localSheetId="7">#REF!</definedName>
    <definedName name="page76" localSheetId="8">#REF!</definedName>
    <definedName name="page76" localSheetId="9">#REF!</definedName>
    <definedName name="page76" localSheetId="10">#REF!</definedName>
    <definedName name="page76" localSheetId="11">#REF!</definedName>
    <definedName name="page76" localSheetId="1">#REF!</definedName>
    <definedName name="page76">#REF!</definedName>
    <definedName name="page77" localSheetId="2">#REF!</definedName>
    <definedName name="page77" localSheetId="3">#REF!</definedName>
    <definedName name="page77" localSheetId="4">#REF!</definedName>
    <definedName name="page77" localSheetId="5">#REF!</definedName>
    <definedName name="page77" localSheetId="6">#REF!</definedName>
    <definedName name="page77" localSheetId="7">#REF!</definedName>
    <definedName name="page77" localSheetId="8">#REF!</definedName>
    <definedName name="page77" localSheetId="9">#REF!</definedName>
    <definedName name="page77" localSheetId="10">#REF!</definedName>
    <definedName name="page77" localSheetId="11">#REF!</definedName>
    <definedName name="page77" localSheetId="1">#REF!</definedName>
    <definedName name="page77">#REF!</definedName>
    <definedName name="page78" localSheetId="2">#REF!</definedName>
    <definedName name="page78" localSheetId="3">#REF!</definedName>
    <definedName name="page78" localSheetId="4">#REF!</definedName>
    <definedName name="page78" localSheetId="5">#REF!</definedName>
    <definedName name="page78" localSheetId="6">#REF!</definedName>
    <definedName name="page78" localSheetId="7">#REF!</definedName>
    <definedName name="page78" localSheetId="8">#REF!</definedName>
    <definedName name="page78" localSheetId="9">#REF!</definedName>
    <definedName name="page78" localSheetId="10">#REF!</definedName>
    <definedName name="page78" localSheetId="11">#REF!</definedName>
    <definedName name="page78" localSheetId="1">#REF!</definedName>
    <definedName name="page78">#REF!</definedName>
    <definedName name="page79" localSheetId="2">#REF!</definedName>
    <definedName name="page79" localSheetId="3">#REF!</definedName>
    <definedName name="page79" localSheetId="4">#REF!</definedName>
    <definedName name="page79" localSheetId="5">#REF!</definedName>
    <definedName name="page79" localSheetId="6">#REF!</definedName>
    <definedName name="page79" localSheetId="7">#REF!</definedName>
    <definedName name="page79" localSheetId="8">#REF!</definedName>
    <definedName name="page79" localSheetId="9">#REF!</definedName>
    <definedName name="page79" localSheetId="10">#REF!</definedName>
    <definedName name="page79" localSheetId="11">#REF!</definedName>
    <definedName name="page79" localSheetId="1">#REF!</definedName>
    <definedName name="page79">#REF!</definedName>
    <definedName name="page8" localSheetId="2">#REF!</definedName>
    <definedName name="page8" localSheetId="3">#REF!</definedName>
    <definedName name="page8" localSheetId="4">#REF!</definedName>
    <definedName name="page8" localSheetId="5">#REF!</definedName>
    <definedName name="page8" localSheetId="6">#REF!</definedName>
    <definedName name="page8" localSheetId="7">#REF!</definedName>
    <definedName name="page8" localSheetId="8">#REF!</definedName>
    <definedName name="page8" localSheetId="9">#REF!</definedName>
    <definedName name="page8" localSheetId="10">#REF!</definedName>
    <definedName name="page8" localSheetId="11">#REF!</definedName>
    <definedName name="page8" localSheetId="1">#REF!</definedName>
    <definedName name="page8">#REF!</definedName>
    <definedName name="page80" localSheetId="2">#REF!</definedName>
    <definedName name="page80" localSheetId="3">#REF!</definedName>
    <definedName name="page80" localSheetId="4">#REF!</definedName>
    <definedName name="page80" localSheetId="5">#REF!</definedName>
    <definedName name="page80" localSheetId="6">#REF!</definedName>
    <definedName name="page80" localSheetId="7">#REF!</definedName>
    <definedName name="page80" localSheetId="8">#REF!</definedName>
    <definedName name="page80" localSheetId="9">#REF!</definedName>
    <definedName name="page80" localSheetId="10">#REF!</definedName>
    <definedName name="page80" localSheetId="11">#REF!</definedName>
    <definedName name="page80" localSheetId="1">#REF!</definedName>
    <definedName name="page80">#REF!</definedName>
    <definedName name="page81" localSheetId="2">#REF!</definedName>
    <definedName name="page81" localSheetId="3">#REF!</definedName>
    <definedName name="page81" localSheetId="4">#REF!</definedName>
    <definedName name="page81" localSheetId="5">#REF!</definedName>
    <definedName name="page81" localSheetId="6">#REF!</definedName>
    <definedName name="page81" localSheetId="7">#REF!</definedName>
    <definedName name="page81" localSheetId="8">#REF!</definedName>
    <definedName name="page81" localSheetId="9">#REF!</definedName>
    <definedName name="page81" localSheetId="10">#REF!</definedName>
    <definedName name="page81" localSheetId="11">#REF!</definedName>
    <definedName name="page81" localSheetId="1">#REF!</definedName>
    <definedName name="page81">#REF!</definedName>
    <definedName name="page82" localSheetId="2">#REF!</definedName>
    <definedName name="page82" localSheetId="3">#REF!</definedName>
    <definedName name="page82" localSheetId="4">#REF!</definedName>
    <definedName name="page82" localSheetId="5">#REF!</definedName>
    <definedName name="page82" localSheetId="6">#REF!</definedName>
    <definedName name="page82" localSheetId="7">#REF!</definedName>
    <definedName name="page82" localSheetId="8">#REF!</definedName>
    <definedName name="page82" localSheetId="9">#REF!</definedName>
    <definedName name="page82" localSheetId="10">#REF!</definedName>
    <definedName name="page82" localSheetId="11">#REF!</definedName>
    <definedName name="page82" localSheetId="1">#REF!</definedName>
    <definedName name="page82">#REF!</definedName>
    <definedName name="page83" localSheetId="2">#REF!</definedName>
    <definedName name="page83" localSheetId="3">#REF!</definedName>
    <definedName name="page83" localSheetId="4">#REF!</definedName>
    <definedName name="page83" localSheetId="5">#REF!</definedName>
    <definedName name="page83" localSheetId="6">#REF!</definedName>
    <definedName name="page83" localSheetId="7">#REF!</definedName>
    <definedName name="page83" localSheetId="8">#REF!</definedName>
    <definedName name="page83" localSheetId="9">#REF!</definedName>
    <definedName name="page83" localSheetId="10">#REF!</definedName>
    <definedName name="page83" localSheetId="11">#REF!</definedName>
    <definedName name="page83" localSheetId="1">#REF!</definedName>
    <definedName name="page83">#REF!</definedName>
    <definedName name="page84" localSheetId="2">#REF!</definedName>
    <definedName name="page84" localSheetId="3">#REF!</definedName>
    <definedName name="page84" localSheetId="4">#REF!</definedName>
    <definedName name="page84" localSheetId="5">#REF!</definedName>
    <definedName name="page84" localSheetId="6">#REF!</definedName>
    <definedName name="page84" localSheetId="7">#REF!</definedName>
    <definedName name="page84" localSheetId="8">#REF!</definedName>
    <definedName name="page84" localSheetId="9">#REF!</definedName>
    <definedName name="page84" localSheetId="10">#REF!</definedName>
    <definedName name="page84" localSheetId="11">#REF!</definedName>
    <definedName name="page84" localSheetId="1">#REF!</definedName>
    <definedName name="page84">#REF!</definedName>
    <definedName name="page85" localSheetId="2">#REF!</definedName>
    <definedName name="page85" localSheetId="3">#REF!</definedName>
    <definedName name="page85" localSheetId="4">#REF!</definedName>
    <definedName name="page85" localSheetId="5">#REF!</definedName>
    <definedName name="page85" localSheetId="6">#REF!</definedName>
    <definedName name="page85" localSheetId="7">#REF!</definedName>
    <definedName name="page85" localSheetId="8">#REF!</definedName>
    <definedName name="page85" localSheetId="9">#REF!</definedName>
    <definedName name="page85" localSheetId="10">#REF!</definedName>
    <definedName name="page85" localSheetId="11">#REF!</definedName>
    <definedName name="page85" localSheetId="1">#REF!</definedName>
    <definedName name="page85">#REF!</definedName>
    <definedName name="page86" localSheetId="2">#REF!</definedName>
    <definedName name="page86" localSheetId="3">#REF!</definedName>
    <definedName name="page86" localSheetId="4">#REF!</definedName>
    <definedName name="page86" localSheetId="5">#REF!</definedName>
    <definedName name="page86" localSheetId="6">#REF!</definedName>
    <definedName name="page86" localSheetId="7">#REF!</definedName>
    <definedName name="page86" localSheetId="8">#REF!</definedName>
    <definedName name="page86" localSheetId="9">#REF!</definedName>
    <definedName name="page86" localSheetId="10">#REF!</definedName>
    <definedName name="page86" localSheetId="11">#REF!</definedName>
    <definedName name="page86" localSheetId="1">#REF!</definedName>
    <definedName name="page86">#REF!</definedName>
    <definedName name="page87" localSheetId="2">#REF!</definedName>
    <definedName name="page87" localSheetId="3">#REF!</definedName>
    <definedName name="page87" localSheetId="4">#REF!</definedName>
    <definedName name="page87" localSheetId="5">#REF!</definedName>
    <definedName name="page87" localSheetId="6">#REF!</definedName>
    <definedName name="page87" localSheetId="7">#REF!</definedName>
    <definedName name="page87" localSheetId="8">#REF!</definedName>
    <definedName name="page87" localSheetId="9">#REF!</definedName>
    <definedName name="page87" localSheetId="10">#REF!</definedName>
    <definedName name="page87" localSheetId="11">#REF!</definedName>
    <definedName name="page87" localSheetId="1">#REF!</definedName>
    <definedName name="page87">#REF!</definedName>
    <definedName name="page88" localSheetId="2">#REF!</definedName>
    <definedName name="page88" localSheetId="3">#REF!</definedName>
    <definedName name="page88" localSheetId="4">#REF!</definedName>
    <definedName name="page88" localSheetId="5">#REF!</definedName>
    <definedName name="page88" localSheetId="6">#REF!</definedName>
    <definedName name="page88" localSheetId="7">#REF!</definedName>
    <definedName name="page88" localSheetId="8">#REF!</definedName>
    <definedName name="page88" localSheetId="9">#REF!</definedName>
    <definedName name="page88" localSheetId="10">#REF!</definedName>
    <definedName name="page88" localSheetId="11">#REF!</definedName>
    <definedName name="page88" localSheetId="1">#REF!</definedName>
    <definedName name="page88">#REF!</definedName>
    <definedName name="page89" localSheetId="2">#REF!</definedName>
    <definedName name="page89" localSheetId="3">#REF!</definedName>
    <definedName name="page89" localSheetId="4">#REF!</definedName>
    <definedName name="page89" localSheetId="5">#REF!</definedName>
    <definedName name="page89" localSheetId="6">#REF!</definedName>
    <definedName name="page89" localSheetId="7">#REF!</definedName>
    <definedName name="page89" localSheetId="8">#REF!</definedName>
    <definedName name="page89" localSheetId="9">#REF!</definedName>
    <definedName name="page89" localSheetId="10">#REF!</definedName>
    <definedName name="page89" localSheetId="11">#REF!</definedName>
    <definedName name="page89" localSheetId="1">#REF!</definedName>
    <definedName name="page89">#REF!</definedName>
    <definedName name="page9" localSheetId="2">#REF!</definedName>
    <definedName name="page9" localSheetId="3">#REF!</definedName>
    <definedName name="page9" localSheetId="4">#REF!</definedName>
    <definedName name="page9" localSheetId="5">#REF!</definedName>
    <definedName name="page9" localSheetId="6">#REF!</definedName>
    <definedName name="page9" localSheetId="7">#REF!</definedName>
    <definedName name="page9" localSheetId="8">#REF!</definedName>
    <definedName name="page9" localSheetId="9">#REF!</definedName>
    <definedName name="page9" localSheetId="10">#REF!</definedName>
    <definedName name="page9" localSheetId="11">#REF!</definedName>
    <definedName name="page9" localSheetId="1">#REF!</definedName>
    <definedName name="page9">#REF!</definedName>
    <definedName name="page90" localSheetId="2">#REF!</definedName>
    <definedName name="page90" localSheetId="3">#REF!</definedName>
    <definedName name="page90" localSheetId="4">#REF!</definedName>
    <definedName name="page90" localSheetId="5">#REF!</definedName>
    <definedName name="page90" localSheetId="6">#REF!</definedName>
    <definedName name="page90" localSheetId="7">#REF!</definedName>
    <definedName name="page90" localSheetId="8">#REF!</definedName>
    <definedName name="page90" localSheetId="9">#REF!</definedName>
    <definedName name="page90" localSheetId="10">#REF!</definedName>
    <definedName name="page90" localSheetId="11">#REF!</definedName>
    <definedName name="page90" localSheetId="1">#REF!</definedName>
    <definedName name="page90">#REF!</definedName>
    <definedName name="page91" localSheetId="2">#REF!</definedName>
    <definedName name="page91" localSheetId="3">#REF!</definedName>
    <definedName name="page91" localSheetId="4">#REF!</definedName>
    <definedName name="page91" localSheetId="5">#REF!</definedName>
    <definedName name="page91" localSheetId="6">#REF!</definedName>
    <definedName name="page91" localSheetId="7">#REF!</definedName>
    <definedName name="page91" localSheetId="8">#REF!</definedName>
    <definedName name="page91" localSheetId="9">#REF!</definedName>
    <definedName name="page91" localSheetId="10">#REF!</definedName>
    <definedName name="page91" localSheetId="11">#REF!</definedName>
    <definedName name="page91" localSheetId="1">#REF!</definedName>
    <definedName name="page91">#REF!</definedName>
    <definedName name="page92" localSheetId="2">#REF!</definedName>
    <definedName name="page92" localSheetId="3">#REF!</definedName>
    <definedName name="page92" localSheetId="4">#REF!</definedName>
    <definedName name="page92" localSheetId="5">#REF!</definedName>
    <definedName name="page92" localSheetId="6">#REF!</definedName>
    <definedName name="page92" localSheetId="7">#REF!</definedName>
    <definedName name="page92" localSheetId="8">#REF!</definedName>
    <definedName name="page92" localSheetId="9">#REF!</definedName>
    <definedName name="page92" localSheetId="10">#REF!</definedName>
    <definedName name="page92" localSheetId="11">#REF!</definedName>
    <definedName name="page92" localSheetId="1">#REF!</definedName>
    <definedName name="page92">#REF!</definedName>
    <definedName name="page93" localSheetId="2">#REF!</definedName>
    <definedName name="page93" localSheetId="3">#REF!</definedName>
    <definedName name="page93" localSheetId="4">#REF!</definedName>
    <definedName name="page93" localSheetId="5">#REF!</definedName>
    <definedName name="page93" localSheetId="6">#REF!</definedName>
    <definedName name="page93" localSheetId="7">#REF!</definedName>
    <definedName name="page93" localSheetId="8">#REF!</definedName>
    <definedName name="page93" localSheetId="9">#REF!</definedName>
    <definedName name="page93" localSheetId="10">#REF!</definedName>
    <definedName name="page93" localSheetId="11">#REF!</definedName>
    <definedName name="page93" localSheetId="1">#REF!</definedName>
    <definedName name="page93">#REF!</definedName>
    <definedName name="page94" localSheetId="2">#REF!</definedName>
    <definedName name="page94" localSheetId="3">#REF!</definedName>
    <definedName name="page94" localSheetId="4">#REF!</definedName>
    <definedName name="page94" localSheetId="5">#REF!</definedName>
    <definedName name="page94" localSheetId="6">#REF!</definedName>
    <definedName name="page94" localSheetId="7">#REF!</definedName>
    <definedName name="page94" localSheetId="8">#REF!</definedName>
    <definedName name="page94" localSheetId="9">#REF!</definedName>
    <definedName name="page94" localSheetId="10">#REF!</definedName>
    <definedName name="page94" localSheetId="11">#REF!</definedName>
    <definedName name="page94" localSheetId="1">#REF!</definedName>
    <definedName name="page94">#REF!</definedName>
    <definedName name="page95" localSheetId="2">#REF!</definedName>
    <definedName name="page95" localSheetId="3">#REF!</definedName>
    <definedName name="page95" localSheetId="4">#REF!</definedName>
    <definedName name="page95" localSheetId="5">#REF!</definedName>
    <definedName name="page95" localSheetId="6">#REF!</definedName>
    <definedName name="page95" localSheetId="7">#REF!</definedName>
    <definedName name="page95" localSheetId="8">#REF!</definedName>
    <definedName name="page95" localSheetId="9">#REF!</definedName>
    <definedName name="page95" localSheetId="10">#REF!</definedName>
    <definedName name="page95" localSheetId="11">#REF!</definedName>
    <definedName name="page95" localSheetId="1">#REF!</definedName>
    <definedName name="page95">#REF!</definedName>
    <definedName name="page96" localSheetId="2">#REF!</definedName>
    <definedName name="page96" localSheetId="3">#REF!</definedName>
    <definedName name="page96" localSheetId="4">#REF!</definedName>
    <definedName name="page96" localSheetId="5">#REF!</definedName>
    <definedName name="page96" localSheetId="6">#REF!</definedName>
    <definedName name="page96" localSheetId="7">#REF!</definedName>
    <definedName name="page96" localSheetId="8">#REF!</definedName>
    <definedName name="page96" localSheetId="9">#REF!</definedName>
    <definedName name="page96" localSheetId="10">#REF!</definedName>
    <definedName name="page96" localSheetId="11">#REF!</definedName>
    <definedName name="page96" localSheetId="1">#REF!</definedName>
    <definedName name="page96">#REF!</definedName>
    <definedName name="page97" localSheetId="2">#REF!</definedName>
    <definedName name="page97" localSheetId="3">#REF!</definedName>
    <definedName name="page97" localSheetId="4">#REF!</definedName>
    <definedName name="page97" localSheetId="5">#REF!</definedName>
    <definedName name="page97" localSheetId="6">#REF!</definedName>
    <definedName name="page97" localSheetId="7">#REF!</definedName>
    <definedName name="page97" localSheetId="8">#REF!</definedName>
    <definedName name="page97" localSheetId="9">#REF!</definedName>
    <definedName name="page97" localSheetId="10">#REF!</definedName>
    <definedName name="page97" localSheetId="11">#REF!</definedName>
    <definedName name="page97" localSheetId="1">#REF!</definedName>
    <definedName name="page97">#REF!</definedName>
    <definedName name="page98" localSheetId="2">#REF!</definedName>
    <definedName name="page98" localSheetId="3">#REF!</definedName>
    <definedName name="page98" localSheetId="4">#REF!</definedName>
    <definedName name="page98" localSheetId="5">#REF!</definedName>
    <definedName name="page98" localSheetId="6">#REF!</definedName>
    <definedName name="page98" localSheetId="7">#REF!</definedName>
    <definedName name="page98" localSheetId="8">#REF!</definedName>
    <definedName name="page98" localSheetId="9">#REF!</definedName>
    <definedName name="page98" localSheetId="10">#REF!</definedName>
    <definedName name="page98" localSheetId="11">#REF!</definedName>
    <definedName name="page98" localSheetId="1">#REF!</definedName>
    <definedName name="page98">#REF!</definedName>
    <definedName name="page99" localSheetId="2">#REF!</definedName>
    <definedName name="page99" localSheetId="3">#REF!</definedName>
    <definedName name="page99" localSheetId="4">#REF!</definedName>
    <definedName name="page99" localSheetId="5">#REF!</definedName>
    <definedName name="page99" localSheetId="6">#REF!</definedName>
    <definedName name="page99" localSheetId="7">#REF!</definedName>
    <definedName name="page99" localSheetId="8">#REF!</definedName>
    <definedName name="page99" localSheetId="9">#REF!</definedName>
    <definedName name="page99" localSheetId="10">#REF!</definedName>
    <definedName name="page99" localSheetId="11">#REF!</definedName>
    <definedName name="page99" localSheetId="1">#REF!</definedName>
    <definedName name="page99">#REF!</definedName>
    <definedName name="part_no" localSheetId="2">#REF!</definedName>
    <definedName name="part_no" localSheetId="3">#REF!</definedName>
    <definedName name="part_no" localSheetId="4">#REF!</definedName>
    <definedName name="part_no" localSheetId="5">#REF!</definedName>
    <definedName name="part_no" localSheetId="6">#REF!</definedName>
    <definedName name="part_no" localSheetId="7">#REF!</definedName>
    <definedName name="part_no" localSheetId="8">#REF!</definedName>
    <definedName name="part_no" localSheetId="9">#REF!</definedName>
    <definedName name="part_no" localSheetId="10">#REF!</definedName>
    <definedName name="part_no" localSheetId="11">#REF!</definedName>
    <definedName name="part_no" localSheetId="1">#REF!</definedName>
    <definedName name="part_no">#REF!</definedName>
    <definedName name="pc" localSheetId="2">#REF!</definedName>
    <definedName name="pc" localSheetId="3">#REF!</definedName>
    <definedName name="pc" localSheetId="4">#REF!</definedName>
    <definedName name="pc" localSheetId="5">#REF!</definedName>
    <definedName name="pc" localSheetId="6">#REF!</definedName>
    <definedName name="pc" localSheetId="7">#REF!</definedName>
    <definedName name="pc" localSheetId="8">#REF!</definedName>
    <definedName name="pc" localSheetId="9">#REF!</definedName>
    <definedName name="pc" localSheetId="10">#REF!</definedName>
    <definedName name="pc" localSheetId="11">#REF!</definedName>
    <definedName name="pc" localSheetId="1">#REF!</definedName>
    <definedName name="pc">#REF!</definedName>
    <definedName name="pg" localSheetId="2">#REF!</definedName>
    <definedName name="pg" localSheetId="3">#REF!</definedName>
    <definedName name="pg" localSheetId="4">#REF!</definedName>
    <definedName name="pg" localSheetId="5">#REF!</definedName>
    <definedName name="pg" localSheetId="6">#REF!</definedName>
    <definedName name="pg" localSheetId="7">#REF!</definedName>
    <definedName name="pg" localSheetId="8">#REF!</definedName>
    <definedName name="pg" localSheetId="9">#REF!</definedName>
    <definedName name="pg" localSheetId="10">#REF!</definedName>
    <definedName name="pg" localSheetId="11">#REF!</definedName>
    <definedName name="pg" localSheetId="1">#REF!</definedName>
    <definedName name="pg">#REF!</definedName>
    <definedName name="Piles" localSheetId="2">#REF!</definedName>
    <definedName name="Piles" localSheetId="3">#REF!</definedName>
    <definedName name="Piles" localSheetId="4">#REF!</definedName>
    <definedName name="Piles" localSheetId="5">#REF!</definedName>
    <definedName name="Piles" localSheetId="6">#REF!</definedName>
    <definedName name="Piles" localSheetId="7">#REF!</definedName>
    <definedName name="Piles" localSheetId="8">#REF!</definedName>
    <definedName name="Piles" localSheetId="9">#REF!</definedName>
    <definedName name="Piles" localSheetId="10">#REF!</definedName>
    <definedName name="Piles" localSheetId="11">#REF!</definedName>
    <definedName name="Piles" localSheetId="1">#REF!</definedName>
    <definedName name="Piles">#REF!</definedName>
    <definedName name="Pit_2000_Concrete" localSheetId="2">#REF!</definedName>
    <definedName name="Pit_2000_Concrete" localSheetId="3">#REF!</definedName>
    <definedName name="Pit_2000_Concrete" localSheetId="4">#REF!</definedName>
    <definedName name="Pit_2000_Concrete" localSheetId="5">#REF!</definedName>
    <definedName name="Pit_2000_Concrete" localSheetId="6">#REF!</definedName>
    <definedName name="Pit_2000_Concrete" localSheetId="7">#REF!</definedName>
    <definedName name="Pit_2000_Concrete" localSheetId="8">#REF!</definedName>
    <definedName name="Pit_2000_Concrete" localSheetId="9">#REF!</definedName>
    <definedName name="Pit_2000_Concrete" localSheetId="10">#REF!</definedName>
    <definedName name="Pit_2000_Concrete" localSheetId="11">#REF!</definedName>
    <definedName name="Pit_2000_Concrete" localSheetId="1">#REF!</definedName>
    <definedName name="Pit_2000_Concrete">#REF!</definedName>
    <definedName name="Pit_2500_Concrete" localSheetId="2">#REF!</definedName>
    <definedName name="Pit_2500_Concrete" localSheetId="3">#REF!</definedName>
    <definedName name="Pit_2500_Concrete" localSheetId="4">#REF!</definedName>
    <definedName name="Pit_2500_Concrete" localSheetId="5">#REF!</definedName>
    <definedName name="Pit_2500_Concrete" localSheetId="6">#REF!</definedName>
    <definedName name="Pit_2500_Concrete" localSheetId="7">#REF!</definedName>
    <definedName name="Pit_2500_Concrete" localSheetId="8">#REF!</definedName>
    <definedName name="Pit_2500_Concrete" localSheetId="9">#REF!</definedName>
    <definedName name="Pit_2500_Concrete" localSheetId="10">#REF!</definedName>
    <definedName name="Pit_2500_Concrete" localSheetId="11">#REF!</definedName>
    <definedName name="Pit_2500_Concrete" localSheetId="1">#REF!</definedName>
    <definedName name="Pit_2500_Concrete">#REF!</definedName>
    <definedName name="Pit_Ddt_H_Screed" localSheetId="2">#REF!</definedName>
    <definedName name="Pit_Ddt_H_Screed" localSheetId="3">#REF!</definedName>
    <definedName name="Pit_Ddt_H_Screed" localSheetId="4">#REF!</definedName>
    <definedName name="Pit_Ddt_H_Screed" localSheetId="5">#REF!</definedName>
    <definedName name="Pit_Ddt_H_Screed" localSheetId="6">#REF!</definedName>
    <definedName name="Pit_Ddt_H_Screed" localSheetId="7">#REF!</definedName>
    <definedName name="Pit_Ddt_H_Screed" localSheetId="8">#REF!</definedName>
    <definedName name="Pit_Ddt_H_Screed" localSheetId="9">#REF!</definedName>
    <definedName name="Pit_Ddt_H_Screed" localSheetId="10">#REF!</definedName>
    <definedName name="Pit_Ddt_H_Screed" localSheetId="11">#REF!</definedName>
    <definedName name="Pit_Ddt_H_Screed" localSheetId="1">#REF!</definedName>
    <definedName name="Pit_Ddt_H_Screed">#REF!</definedName>
    <definedName name="Pit_FW" localSheetId="2">#REF!</definedName>
    <definedName name="Pit_FW" localSheetId="3">#REF!</definedName>
    <definedName name="Pit_FW" localSheetId="4">#REF!</definedName>
    <definedName name="Pit_FW" localSheetId="5">#REF!</definedName>
    <definedName name="Pit_FW" localSheetId="6">#REF!</definedName>
    <definedName name="Pit_FW" localSheetId="7">#REF!</definedName>
    <definedName name="Pit_FW" localSheetId="8">#REF!</definedName>
    <definedName name="Pit_FW" localSheetId="9">#REF!</definedName>
    <definedName name="Pit_FW" localSheetId="10">#REF!</definedName>
    <definedName name="Pit_FW" localSheetId="11">#REF!</definedName>
    <definedName name="Pit_FW" localSheetId="1">#REF!</definedName>
    <definedName name="Pit_FW">#REF!</definedName>
    <definedName name="Pit_Sloping_Screed" localSheetId="2">#REF!</definedName>
    <definedName name="Pit_Sloping_Screed" localSheetId="3">#REF!</definedName>
    <definedName name="Pit_Sloping_Screed" localSheetId="4">#REF!</definedName>
    <definedName name="Pit_Sloping_Screed" localSheetId="5">#REF!</definedName>
    <definedName name="Pit_Sloping_Screed" localSheetId="6">#REF!</definedName>
    <definedName name="Pit_Sloping_Screed" localSheetId="7">#REF!</definedName>
    <definedName name="Pit_Sloping_Screed" localSheetId="8">#REF!</definedName>
    <definedName name="Pit_Sloping_Screed" localSheetId="9">#REF!</definedName>
    <definedName name="Pit_Sloping_Screed" localSheetId="10">#REF!</definedName>
    <definedName name="Pit_Sloping_Screed" localSheetId="11">#REF!</definedName>
    <definedName name="Pit_Sloping_Screed" localSheetId="1">#REF!</definedName>
    <definedName name="Pit_Sloping_Screed">#REF!</definedName>
    <definedName name="Pit_T25_RF" localSheetId="2">#REF!</definedName>
    <definedName name="Pit_T25_RF" localSheetId="3">#REF!</definedName>
    <definedName name="Pit_T25_RF" localSheetId="4">#REF!</definedName>
    <definedName name="Pit_T25_RF" localSheetId="5">#REF!</definedName>
    <definedName name="Pit_T25_RF" localSheetId="6">#REF!</definedName>
    <definedName name="Pit_T25_RF" localSheetId="7">#REF!</definedName>
    <definedName name="Pit_T25_RF" localSheetId="8">#REF!</definedName>
    <definedName name="Pit_T25_RF" localSheetId="9">#REF!</definedName>
    <definedName name="Pit_T25_RF" localSheetId="10">#REF!</definedName>
    <definedName name="Pit_T25_RF" localSheetId="11">#REF!</definedName>
    <definedName name="Pit_T25_RF" localSheetId="1">#REF!</definedName>
    <definedName name="Pit_T25_RF">#REF!</definedName>
    <definedName name="Pit_T32_Concrete" localSheetId="2">#REF!</definedName>
    <definedName name="Pit_T32_Concrete" localSheetId="3">#REF!</definedName>
    <definedName name="Pit_T32_Concrete" localSheetId="4">#REF!</definedName>
    <definedName name="Pit_T32_Concrete" localSheetId="5">#REF!</definedName>
    <definedName name="Pit_T32_Concrete" localSheetId="6">#REF!</definedName>
    <definedName name="Pit_T32_Concrete" localSheetId="7">#REF!</definedName>
    <definedName name="Pit_T32_Concrete" localSheetId="8">#REF!</definedName>
    <definedName name="Pit_T32_Concrete" localSheetId="9">#REF!</definedName>
    <definedName name="Pit_T32_Concrete" localSheetId="10">#REF!</definedName>
    <definedName name="Pit_T32_Concrete" localSheetId="11">#REF!</definedName>
    <definedName name="Pit_T32_Concrete" localSheetId="1">#REF!</definedName>
    <definedName name="Pit_T32_Concrete">#REF!</definedName>
    <definedName name="pl" localSheetId="2">#REF!</definedName>
    <definedName name="pl" localSheetId="3">#REF!</definedName>
    <definedName name="pl" localSheetId="4">#REF!</definedName>
    <definedName name="pl" localSheetId="5">#REF!</definedName>
    <definedName name="pl" localSheetId="6">#REF!</definedName>
    <definedName name="pl" localSheetId="7">#REF!</definedName>
    <definedName name="pl" localSheetId="8">#REF!</definedName>
    <definedName name="pl" localSheetId="9">#REF!</definedName>
    <definedName name="pl" localSheetId="10">#REF!</definedName>
    <definedName name="pl" localSheetId="11">#REF!</definedName>
    <definedName name="pl" localSheetId="1">#REF!</definedName>
    <definedName name="pl">#REF!</definedName>
    <definedName name="pl4a" localSheetId="2">#REF!</definedName>
    <definedName name="pl4a" localSheetId="3">#REF!</definedName>
    <definedName name="pl4a" localSheetId="4">#REF!</definedName>
    <definedName name="pl4a" localSheetId="5">#REF!</definedName>
    <definedName name="pl4a" localSheetId="6">#REF!</definedName>
    <definedName name="pl4a" localSheetId="7">#REF!</definedName>
    <definedName name="pl4a" localSheetId="8">#REF!</definedName>
    <definedName name="pl4a" localSheetId="9">#REF!</definedName>
    <definedName name="pl4a" localSheetId="10">#REF!</definedName>
    <definedName name="pl4a" localSheetId="11">#REF!</definedName>
    <definedName name="pl4a" localSheetId="1">#REF!</definedName>
    <definedName name="pl4a">#REF!</definedName>
    <definedName name="plst" localSheetId="2">#REF!</definedName>
    <definedName name="plst" localSheetId="3">#REF!</definedName>
    <definedName name="plst" localSheetId="4">#REF!</definedName>
    <definedName name="plst" localSheetId="5">#REF!</definedName>
    <definedName name="plst" localSheetId="6">#REF!</definedName>
    <definedName name="plst" localSheetId="7">#REF!</definedName>
    <definedName name="plst" localSheetId="8">#REF!</definedName>
    <definedName name="plst" localSheetId="9">#REF!</definedName>
    <definedName name="plst" localSheetId="10">#REF!</definedName>
    <definedName name="plst" localSheetId="11">#REF!</definedName>
    <definedName name="plst" localSheetId="1">#REF!</definedName>
    <definedName name="plst">#REF!</definedName>
    <definedName name="poc" localSheetId="2">#REF!</definedName>
    <definedName name="poc" localSheetId="3">#REF!</definedName>
    <definedName name="poc" localSheetId="4">#REF!</definedName>
    <definedName name="poc" localSheetId="5">#REF!</definedName>
    <definedName name="poc" localSheetId="6">#REF!</definedName>
    <definedName name="poc" localSheetId="7">#REF!</definedName>
    <definedName name="poc" localSheetId="8">#REF!</definedName>
    <definedName name="poc" localSheetId="9">#REF!</definedName>
    <definedName name="poc" localSheetId="10">#REF!</definedName>
    <definedName name="poc" localSheetId="11">#REF!</definedName>
    <definedName name="poc" localSheetId="1">#REF!</definedName>
    <definedName name="poc">#REF!</definedName>
    <definedName name="podareas">'[9]Podium Areas'!$B$150:$B$157</definedName>
    <definedName name="postt" localSheetId="2">#REF!</definedName>
    <definedName name="postt" localSheetId="3">#REF!</definedName>
    <definedName name="postt" localSheetId="4">#REF!</definedName>
    <definedName name="postt" localSheetId="5">#REF!</definedName>
    <definedName name="postt" localSheetId="6">#REF!</definedName>
    <definedName name="postt" localSheetId="7">#REF!</definedName>
    <definedName name="postt" localSheetId="8">#REF!</definedName>
    <definedName name="postt" localSheetId="9">#REF!</definedName>
    <definedName name="postt" localSheetId="10">#REF!</definedName>
    <definedName name="postt" localSheetId="11">#REF!</definedName>
    <definedName name="postt" localSheetId="1">#REF!</definedName>
    <definedName name="postt">#REF!</definedName>
    <definedName name="Prefab">[19]Lookups!$AV$3:$AV$5</definedName>
    <definedName name="_xlnm.Print_Area" localSheetId="0">'Bill 3 fly'!$A$1:$J$52</definedName>
    <definedName name="_xlnm.Print_Area" localSheetId="12">'Bill 3-Summary'!$A$1:$J$37</definedName>
    <definedName name="_xlnm.Print_Area" localSheetId="2">Conc_C!$A$1:$R$271</definedName>
    <definedName name="_xlnm.Print_Area" localSheetId="3">D.Masonry!$A$1:$R$163</definedName>
    <definedName name="_xlnm.Print_Area" localSheetId="4">E.Metalwork!$A$1:$R$177</definedName>
    <definedName name="_xlnm.Print_Area" localSheetId="5">F.Woodwork!$A$1:$R$128</definedName>
    <definedName name="_xlnm.Print_Area" localSheetId="6">G.TMP!$A$1:$R$178</definedName>
    <definedName name="_xlnm.Print_Area" localSheetId="7">'H.D&amp;W'!$A$1:$R$232</definedName>
    <definedName name="_xlnm.Print_Area" localSheetId="8">'J. Finishes'!$A$1:$R$356</definedName>
    <definedName name="_xlnm.Print_Area" localSheetId="9">'K. Accessories'!$A$1:$R$229</definedName>
    <definedName name="_xlnm.Print_Area" localSheetId="10">'Q. Mech'!$A$1:$R$1074</definedName>
    <definedName name="_xlnm.Print_Area" localSheetId="11">'R. Elec'!$A$1:$R$506</definedName>
    <definedName name="_xlnm.Print_Area" localSheetId="1">Sitework!$A$1:$R$183</definedName>
    <definedName name="_xlnm.Print_Area">#REF!</definedName>
    <definedName name="PRINT_AREA_MI" localSheetId="2">#REF!</definedName>
    <definedName name="PRINT_AREA_MI" localSheetId="3">#REF!</definedName>
    <definedName name="PRINT_AREA_MI" localSheetId="4">#REF!</definedName>
    <definedName name="PRINT_AREA_MI" localSheetId="5">#REF!</definedName>
    <definedName name="PRINT_AREA_MI" localSheetId="6">#REF!</definedName>
    <definedName name="PRINT_AREA_MI" localSheetId="7">#REF!</definedName>
    <definedName name="PRINT_AREA_MI" localSheetId="8">#REF!</definedName>
    <definedName name="PRINT_AREA_MI" localSheetId="9">#REF!</definedName>
    <definedName name="PRINT_AREA_MI" localSheetId="10">#REF!</definedName>
    <definedName name="PRINT_AREA_MI" localSheetId="11">#REF!</definedName>
    <definedName name="PRINT_AREA_MI" localSheetId="1">#REF!</definedName>
    <definedName name="PRINT_AREA_MI">#REF!</definedName>
    <definedName name="PRINT_AREA_MI1" localSheetId="2">#REF!</definedName>
    <definedName name="PRINT_AREA_MI1" localSheetId="3">#REF!</definedName>
    <definedName name="PRINT_AREA_MI1" localSheetId="4">#REF!</definedName>
    <definedName name="PRINT_AREA_MI1" localSheetId="5">#REF!</definedName>
    <definedName name="PRINT_AREA_MI1" localSheetId="6">#REF!</definedName>
    <definedName name="PRINT_AREA_MI1" localSheetId="7">#REF!</definedName>
    <definedName name="PRINT_AREA_MI1" localSheetId="8">#REF!</definedName>
    <definedName name="PRINT_AREA_MI1" localSheetId="9">#REF!</definedName>
    <definedName name="PRINT_AREA_MI1" localSheetId="10">#REF!</definedName>
    <definedName name="PRINT_AREA_MI1" localSheetId="11">#REF!</definedName>
    <definedName name="PRINT_AREA_MI1" localSheetId="1">#REF!</definedName>
    <definedName name="PRINT_AREA_MI1">#REF!</definedName>
    <definedName name="print_chart" localSheetId="2">#REF!</definedName>
    <definedName name="print_chart" localSheetId="3">#REF!</definedName>
    <definedName name="print_chart" localSheetId="4">#REF!</definedName>
    <definedName name="print_chart" localSheetId="5">#REF!</definedName>
    <definedName name="print_chart" localSheetId="6">#REF!</definedName>
    <definedName name="print_chart" localSheetId="7">#REF!</definedName>
    <definedName name="print_chart" localSheetId="8">#REF!</definedName>
    <definedName name="print_chart" localSheetId="9">#REF!</definedName>
    <definedName name="print_chart" localSheetId="10">#REF!</definedName>
    <definedName name="print_chart" localSheetId="11">#REF!</definedName>
    <definedName name="print_chart" localSheetId="1">#REF!</definedName>
    <definedName name="print_chart">#REF!</definedName>
    <definedName name="PRINT_ENGR" localSheetId="2">#REF!</definedName>
    <definedName name="PRINT_ENGR" localSheetId="3">#REF!</definedName>
    <definedName name="PRINT_ENGR" localSheetId="4">#REF!</definedName>
    <definedName name="PRINT_ENGR" localSheetId="5">#REF!</definedName>
    <definedName name="PRINT_ENGR" localSheetId="6">#REF!</definedName>
    <definedName name="PRINT_ENGR" localSheetId="7">#REF!</definedName>
    <definedName name="PRINT_ENGR" localSheetId="8">#REF!</definedName>
    <definedName name="PRINT_ENGR" localSheetId="9">#REF!</definedName>
    <definedName name="PRINT_ENGR" localSheetId="10">#REF!</definedName>
    <definedName name="PRINT_ENGR" localSheetId="11">#REF!</definedName>
    <definedName name="PRINT_ENGR" localSheetId="1">#REF!</definedName>
    <definedName name="PRINT_ENGR">#REF!</definedName>
    <definedName name="print_input" localSheetId="2">#REF!</definedName>
    <definedName name="print_input" localSheetId="3">#REF!</definedName>
    <definedName name="print_input" localSheetId="4">#REF!</definedName>
    <definedName name="print_input" localSheetId="5">#REF!</definedName>
    <definedName name="print_input" localSheetId="6">#REF!</definedName>
    <definedName name="print_input" localSheetId="7">#REF!</definedName>
    <definedName name="print_input" localSheetId="8">#REF!</definedName>
    <definedName name="print_input" localSheetId="9">#REF!</definedName>
    <definedName name="print_input" localSheetId="10">#REF!</definedName>
    <definedName name="print_input" localSheetId="11">#REF!</definedName>
    <definedName name="print_input" localSheetId="1">#REF!</definedName>
    <definedName name="print_input">#REF!</definedName>
    <definedName name="PRINT_TITLE" localSheetId="2">#REF!</definedName>
    <definedName name="PRINT_TITLE" localSheetId="3">#REF!</definedName>
    <definedName name="PRINT_TITLE" localSheetId="4">#REF!</definedName>
    <definedName name="PRINT_TITLE" localSheetId="5">#REF!</definedName>
    <definedName name="PRINT_TITLE" localSheetId="6">#REF!</definedName>
    <definedName name="PRINT_TITLE" localSheetId="7">#REF!</definedName>
    <definedName name="PRINT_TITLE" localSheetId="8">#REF!</definedName>
    <definedName name="PRINT_TITLE" localSheetId="9">#REF!</definedName>
    <definedName name="PRINT_TITLE" localSheetId="10">#REF!</definedName>
    <definedName name="PRINT_TITLE" localSheetId="11">#REF!</definedName>
    <definedName name="PRINT_TITLE" localSheetId="1">#REF!</definedName>
    <definedName name="PRINT_TITLE">#REF!</definedName>
    <definedName name="_xlnm.Print_Titles" localSheetId="12">'Bill 3-Summary'!$1:$2</definedName>
    <definedName name="_xlnm.Print_Titles" localSheetId="2">Conc_C!$1:$3</definedName>
    <definedName name="_xlnm.Print_Titles" localSheetId="3">D.Masonry!$1:$3</definedName>
    <definedName name="_xlnm.Print_Titles" localSheetId="4">E.Metalwork!$1:$3</definedName>
    <definedName name="_xlnm.Print_Titles" localSheetId="5">F.Woodwork!$1:$3</definedName>
    <definedName name="_xlnm.Print_Titles" localSheetId="6">G.TMP!$1:$3</definedName>
    <definedName name="_xlnm.Print_Titles" localSheetId="7">'H.D&amp;W'!$1:$3</definedName>
    <definedName name="_xlnm.Print_Titles" localSheetId="8">'J. Finishes'!$1:$3</definedName>
    <definedName name="_xlnm.Print_Titles" localSheetId="9">'K. Accessories'!$1:$3</definedName>
    <definedName name="_xlnm.Print_Titles" localSheetId="10">'Q. Mech'!$1:$3</definedName>
    <definedName name="_xlnm.Print_Titles" localSheetId="11">'R. Elec'!$1:$3</definedName>
    <definedName name="_xlnm.Print_Titles" localSheetId="1">Sitework!$1:$3</definedName>
    <definedName name="Print_Titles_MI" localSheetId="2">#REF!</definedName>
    <definedName name="Print_Titles_MI" localSheetId="3">#REF!</definedName>
    <definedName name="Print_Titles_MI" localSheetId="4">#REF!</definedName>
    <definedName name="Print_Titles_MI" localSheetId="5">#REF!</definedName>
    <definedName name="Print_Titles_MI" localSheetId="6">#REF!</definedName>
    <definedName name="Print_Titles_MI" localSheetId="7">#REF!</definedName>
    <definedName name="Print_Titles_MI" localSheetId="8">#REF!</definedName>
    <definedName name="Print_Titles_MI" localSheetId="9">#REF!</definedName>
    <definedName name="Print_Titles_MI" localSheetId="10">#REF!</definedName>
    <definedName name="Print_Titles_MI" localSheetId="11">#REF!</definedName>
    <definedName name="Print_Titles_MI" localSheetId="1">#REF!</definedName>
    <definedName name="Print_Titles_MI">#REF!</definedName>
    <definedName name="Print_Titles_MI___0" localSheetId="2">#REF!</definedName>
    <definedName name="Print_Titles_MI___0" localSheetId="3">#REF!</definedName>
    <definedName name="Print_Titles_MI___0" localSheetId="4">#REF!</definedName>
    <definedName name="Print_Titles_MI___0" localSheetId="5">#REF!</definedName>
    <definedName name="Print_Titles_MI___0" localSheetId="6">#REF!</definedName>
    <definedName name="Print_Titles_MI___0" localSheetId="7">#REF!</definedName>
    <definedName name="Print_Titles_MI___0" localSheetId="8">#REF!</definedName>
    <definedName name="Print_Titles_MI___0" localSheetId="9">#REF!</definedName>
    <definedName name="Print_Titles_MI___0" localSheetId="10">#REF!</definedName>
    <definedName name="Print_Titles_MI___0" localSheetId="11">#REF!</definedName>
    <definedName name="Print_Titles_MI___0" localSheetId="1">#REF!</definedName>
    <definedName name="Print_Titles_MI___0">#REF!</definedName>
    <definedName name="Print_Titles_MI___18" localSheetId="2">#REF!</definedName>
    <definedName name="Print_Titles_MI___18" localSheetId="3">#REF!</definedName>
    <definedName name="Print_Titles_MI___18" localSheetId="4">#REF!</definedName>
    <definedName name="Print_Titles_MI___18" localSheetId="5">#REF!</definedName>
    <definedName name="Print_Titles_MI___18" localSheetId="6">#REF!</definedName>
    <definedName name="Print_Titles_MI___18" localSheetId="7">#REF!</definedName>
    <definedName name="Print_Titles_MI___18" localSheetId="8">#REF!</definedName>
    <definedName name="Print_Titles_MI___18" localSheetId="9">#REF!</definedName>
    <definedName name="Print_Titles_MI___18" localSheetId="10">#REF!</definedName>
    <definedName name="Print_Titles_MI___18" localSheetId="11">#REF!</definedName>
    <definedName name="Print_Titles_MI___18" localSheetId="1">#REF!</definedName>
    <definedName name="Print_Titles_MI___18">#REF!</definedName>
    <definedName name="Proc_Form">'[20]Lookup data'!$M$3:$M$7</definedName>
    <definedName name="PROCESS_ACT" localSheetId="2">#REF!</definedName>
    <definedName name="PROCESS_ACT" localSheetId="3">#REF!</definedName>
    <definedName name="PROCESS_ACT" localSheetId="4">#REF!</definedName>
    <definedName name="PROCESS_ACT" localSheetId="5">#REF!</definedName>
    <definedName name="PROCESS_ACT" localSheetId="6">#REF!</definedName>
    <definedName name="PROCESS_ACT" localSheetId="7">#REF!</definedName>
    <definedName name="PROCESS_ACT" localSheetId="8">#REF!</definedName>
    <definedName name="PROCESS_ACT" localSheetId="9">#REF!</definedName>
    <definedName name="PROCESS_ACT" localSheetId="10">#REF!</definedName>
    <definedName name="PROCESS_ACT" localSheetId="11">#REF!</definedName>
    <definedName name="PROCESS_ACT" localSheetId="1">#REF!</definedName>
    <definedName name="PROCESS_ACT">#REF!</definedName>
    <definedName name="PROCESS_PLAN" localSheetId="2">#REF!</definedName>
    <definedName name="PROCESS_PLAN" localSheetId="3">#REF!</definedName>
    <definedName name="PROCESS_PLAN" localSheetId="4">#REF!</definedName>
    <definedName name="PROCESS_PLAN" localSheetId="5">#REF!</definedName>
    <definedName name="PROCESS_PLAN" localSheetId="6">#REF!</definedName>
    <definedName name="PROCESS_PLAN" localSheetId="7">#REF!</definedName>
    <definedName name="PROCESS_PLAN" localSheetId="8">#REF!</definedName>
    <definedName name="PROCESS_PLAN" localSheetId="9">#REF!</definedName>
    <definedName name="PROCESS_PLAN" localSheetId="10">#REF!</definedName>
    <definedName name="PROCESS_PLAN" localSheetId="11">#REF!</definedName>
    <definedName name="PROCESS_PLAN" localSheetId="1">#REF!</definedName>
    <definedName name="PROCESS_PLAN">#REF!</definedName>
    <definedName name="ps" localSheetId="2">#REF!</definedName>
    <definedName name="ps" localSheetId="3">#REF!</definedName>
    <definedName name="ps" localSheetId="4">#REF!</definedName>
    <definedName name="ps" localSheetId="5">#REF!</definedName>
    <definedName name="ps" localSheetId="6">#REF!</definedName>
    <definedName name="ps" localSheetId="7">#REF!</definedName>
    <definedName name="ps" localSheetId="8">#REF!</definedName>
    <definedName name="ps" localSheetId="9">#REF!</definedName>
    <definedName name="ps" localSheetId="10">#REF!</definedName>
    <definedName name="ps" localSheetId="11">#REF!</definedName>
    <definedName name="ps" localSheetId="1">#REF!</definedName>
    <definedName name="ps">#REF!</definedName>
    <definedName name="Q" localSheetId="2">#REF!</definedName>
    <definedName name="Q" localSheetId="3">#REF!</definedName>
    <definedName name="Q" localSheetId="4">#REF!</definedName>
    <definedName name="Q" localSheetId="5">#REF!</definedName>
    <definedName name="Q" localSheetId="6">#REF!</definedName>
    <definedName name="Q" localSheetId="7">#REF!</definedName>
    <definedName name="Q" localSheetId="8">#REF!</definedName>
    <definedName name="Q" localSheetId="9">#REF!</definedName>
    <definedName name="Q" localSheetId="10">#REF!</definedName>
    <definedName name="Q" localSheetId="11">#REF!</definedName>
    <definedName name="Q" localSheetId="1">#REF!</definedName>
    <definedName name="Q">#REF!</definedName>
    <definedName name="Raft_Edge_A_2000" localSheetId="2">#REF!</definedName>
    <definedName name="Raft_Edge_A_2000" localSheetId="3">#REF!</definedName>
    <definedName name="Raft_Edge_A_2000" localSheetId="4">#REF!</definedName>
    <definedName name="Raft_Edge_A_2000" localSheetId="5">#REF!</definedName>
    <definedName name="Raft_Edge_A_2000" localSheetId="6">#REF!</definedName>
    <definedName name="Raft_Edge_A_2000" localSheetId="7">#REF!</definedName>
    <definedName name="Raft_Edge_A_2000" localSheetId="8">#REF!</definedName>
    <definedName name="Raft_Edge_A_2000" localSheetId="9">#REF!</definedName>
    <definedName name="Raft_Edge_A_2000" localSheetId="10">#REF!</definedName>
    <definedName name="Raft_Edge_A_2000" localSheetId="11">#REF!</definedName>
    <definedName name="Raft_Edge_A_2000" localSheetId="1">#REF!</definedName>
    <definedName name="Raft_Edge_A_2000">#REF!</definedName>
    <definedName name="Raft_Edge_A_2500" localSheetId="2">#REF!</definedName>
    <definedName name="Raft_Edge_A_2500" localSheetId="3">#REF!</definedName>
    <definedName name="Raft_Edge_A_2500" localSheetId="4">#REF!</definedName>
    <definedName name="Raft_Edge_A_2500" localSheetId="5">#REF!</definedName>
    <definedName name="Raft_Edge_A_2500" localSheetId="6">#REF!</definedName>
    <definedName name="Raft_Edge_A_2500" localSheetId="7">#REF!</definedName>
    <definedName name="Raft_Edge_A_2500" localSheetId="8">#REF!</definedName>
    <definedName name="Raft_Edge_A_2500" localSheetId="9">#REF!</definedName>
    <definedName name="Raft_Edge_A_2500" localSheetId="10">#REF!</definedName>
    <definedName name="Raft_Edge_A_2500" localSheetId="11">#REF!</definedName>
    <definedName name="Raft_Edge_A_2500" localSheetId="1">#REF!</definedName>
    <definedName name="Raft_Edge_A_2500">#REF!</definedName>
    <definedName name="Raft_Edge_L_2000" localSheetId="2">#REF!</definedName>
    <definedName name="Raft_Edge_L_2000" localSheetId="3">#REF!</definedName>
    <definedName name="Raft_Edge_L_2000" localSheetId="4">#REF!</definedName>
    <definedName name="Raft_Edge_L_2000" localSheetId="5">#REF!</definedName>
    <definedName name="Raft_Edge_L_2000" localSheetId="6">#REF!</definedName>
    <definedName name="Raft_Edge_L_2000" localSheetId="7">#REF!</definedName>
    <definedName name="Raft_Edge_L_2000" localSheetId="8">#REF!</definedName>
    <definedName name="Raft_Edge_L_2000" localSheetId="9">#REF!</definedName>
    <definedName name="Raft_Edge_L_2000" localSheetId="10">#REF!</definedName>
    <definedName name="Raft_Edge_L_2000" localSheetId="11">#REF!</definedName>
    <definedName name="Raft_Edge_L_2000" localSheetId="1">#REF!</definedName>
    <definedName name="Raft_Edge_L_2000">#REF!</definedName>
    <definedName name="Raft_Edge_L_2500" localSheetId="2">#REF!</definedName>
    <definedName name="Raft_Edge_L_2500" localSheetId="3">#REF!</definedName>
    <definedName name="Raft_Edge_L_2500" localSheetId="4">#REF!</definedName>
    <definedName name="Raft_Edge_L_2500" localSheetId="5">#REF!</definedName>
    <definedName name="Raft_Edge_L_2500" localSheetId="6">#REF!</definedName>
    <definedName name="Raft_Edge_L_2500" localSheetId="7">#REF!</definedName>
    <definedName name="Raft_Edge_L_2500" localSheetId="8">#REF!</definedName>
    <definedName name="Raft_Edge_L_2500" localSheetId="9">#REF!</definedName>
    <definedName name="Raft_Edge_L_2500" localSheetId="10">#REF!</definedName>
    <definedName name="Raft_Edge_L_2500" localSheetId="11">#REF!</definedName>
    <definedName name="Raft_Edge_L_2500" localSheetId="1">#REF!</definedName>
    <definedName name="Raft_Edge_L_2500">#REF!</definedName>
    <definedName name="rate" localSheetId="2">#REF!</definedName>
    <definedName name="rate" localSheetId="3">#REF!</definedName>
    <definedName name="rate" localSheetId="4">#REF!</definedName>
    <definedName name="rate" localSheetId="5">#REF!</definedName>
    <definedName name="rate" localSheetId="6">#REF!</definedName>
    <definedName name="rate" localSheetId="7">#REF!</definedName>
    <definedName name="rate" localSheetId="8">#REF!</definedName>
    <definedName name="rate" localSheetId="9">#REF!</definedName>
    <definedName name="rate" localSheetId="10">#REF!</definedName>
    <definedName name="rate" localSheetId="11">#REF!</definedName>
    <definedName name="rate" localSheetId="1">#REF!</definedName>
    <definedName name="rate">#REF!</definedName>
    <definedName name="rebar" localSheetId="2">#REF!</definedName>
    <definedName name="rebar" localSheetId="3">#REF!</definedName>
    <definedName name="rebar" localSheetId="4">#REF!</definedName>
    <definedName name="rebar" localSheetId="5">#REF!</definedName>
    <definedName name="rebar" localSheetId="6">#REF!</definedName>
    <definedName name="rebar" localSheetId="7">#REF!</definedName>
    <definedName name="rebar" localSheetId="8">#REF!</definedName>
    <definedName name="rebar" localSheetId="9">#REF!</definedName>
    <definedName name="rebar" localSheetId="10">#REF!</definedName>
    <definedName name="rebar" localSheetId="11">#REF!</definedName>
    <definedName name="rebar" localSheetId="1">#REF!</definedName>
    <definedName name="rebar">#REF!</definedName>
    <definedName name="RiskAutoStopPercChange">1.5</definedName>
    <definedName name="RiskCollectDistributionSamples">2</definedName>
    <definedName name="RiskExcelReportsGoInNewWorkbook">TRUE</definedName>
    <definedName name="RiskExcelReportsToGenerate">33</definedName>
    <definedName name="RiskFixedSeed">1</definedName>
    <definedName name="RiskGenerateExcelReportsAtEndOfSimulation">FALSE</definedName>
    <definedName name="RiskHasSettings">TRUE</definedName>
    <definedName name="RiskMinimizeOnStart">FALSE</definedName>
    <definedName name="RiskMonitorConvergence">TRUE</definedName>
    <definedName name="RiskNumIterations">10000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0</definedName>
    <definedName name="RiskStatFunctionsUpdateFreq">1</definedName>
    <definedName name="RiskTemplateSheetName">"myTemplate"</definedName>
    <definedName name="RiskUpdateDisplay">TRUE</definedName>
    <definedName name="RiskUpdateStatFunctions">TRUE</definedName>
    <definedName name="RiskUseDifferentSeedForEachSim">FALSE</definedName>
    <definedName name="RiskUseFixedSeed">FALSE</definedName>
    <definedName name="RiskUseMultipleCPUs">FALSE</definedName>
    <definedName name="S" localSheetId="2">#REF!</definedName>
    <definedName name="S" localSheetId="3">#REF!</definedName>
    <definedName name="S" localSheetId="4">#REF!</definedName>
    <definedName name="S" localSheetId="5">#REF!</definedName>
    <definedName name="S" localSheetId="6">#REF!</definedName>
    <definedName name="S" localSheetId="7">#REF!</definedName>
    <definedName name="S" localSheetId="8">#REF!</definedName>
    <definedName name="S" localSheetId="9">#REF!</definedName>
    <definedName name="S" localSheetId="10">#REF!</definedName>
    <definedName name="S" localSheetId="11">#REF!</definedName>
    <definedName name="S" localSheetId="1">#REF!</definedName>
    <definedName name="S">#REF!</definedName>
    <definedName name="saeed" localSheetId="2">#REF!</definedName>
    <definedName name="saeed" localSheetId="3">#REF!</definedName>
    <definedName name="saeed" localSheetId="4">#REF!</definedName>
    <definedName name="saeed" localSheetId="5">#REF!</definedName>
    <definedName name="saeed" localSheetId="6">#REF!</definedName>
    <definedName name="saeed" localSheetId="7">#REF!</definedName>
    <definedName name="saeed" localSheetId="8">#REF!</definedName>
    <definedName name="saeed" localSheetId="9">#REF!</definedName>
    <definedName name="saeed" localSheetId="10">#REF!</definedName>
    <definedName name="saeed" localSheetId="11">#REF!</definedName>
    <definedName name="saeed" localSheetId="1">#REF!</definedName>
    <definedName name="saeed">#REF!</definedName>
    <definedName name="SALARY" localSheetId="2">#REF!</definedName>
    <definedName name="SALARY" localSheetId="3">#REF!</definedName>
    <definedName name="SALARY" localSheetId="4">#REF!</definedName>
    <definedName name="SALARY" localSheetId="5">#REF!</definedName>
    <definedName name="SALARY" localSheetId="6">#REF!</definedName>
    <definedName name="SALARY" localSheetId="7">#REF!</definedName>
    <definedName name="SALARY" localSheetId="8">#REF!</definedName>
    <definedName name="SALARY" localSheetId="9">#REF!</definedName>
    <definedName name="SALARY" localSheetId="10">#REF!</definedName>
    <definedName name="SALARY" localSheetId="11">#REF!</definedName>
    <definedName name="SALARY" localSheetId="1">#REF!</definedName>
    <definedName name="SALARY">#REF!</definedName>
    <definedName name="sc" localSheetId="2">#REF!</definedName>
    <definedName name="sc" localSheetId="3">#REF!</definedName>
    <definedName name="sc" localSheetId="4">#REF!</definedName>
    <definedName name="sc" localSheetId="5">#REF!</definedName>
    <definedName name="sc" localSheetId="6">#REF!</definedName>
    <definedName name="sc" localSheetId="7">#REF!</definedName>
    <definedName name="sc" localSheetId="8">#REF!</definedName>
    <definedName name="sc" localSheetId="9">#REF!</definedName>
    <definedName name="sc" localSheetId="10">#REF!</definedName>
    <definedName name="sc" localSheetId="11">#REF!</definedName>
    <definedName name="sc" localSheetId="1">#REF!</definedName>
    <definedName name="sc">#REF!</definedName>
    <definedName name="sector">[12]Projects!$F$130:$F$145</definedName>
    <definedName name="sfdf" localSheetId="2">'[8]T&amp;M'!#REF!</definedName>
    <definedName name="sfdf" localSheetId="3">'[8]T&amp;M'!#REF!</definedName>
    <definedName name="sfdf" localSheetId="4">'[8]T&amp;M'!#REF!</definedName>
    <definedName name="sfdf" localSheetId="5">'[8]T&amp;M'!#REF!</definedName>
    <definedName name="sfdf" localSheetId="6">'[8]T&amp;M'!#REF!</definedName>
    <definedName name="sfdf" localSheetId="7">'[8]T&amp;M'!#REF!</definedName>
    <definedName name="sfdf" localSheetId="8">'[8]T&amp;M'!#REF!</definedName>
    <definedName name="sfdf" localSheetId="9">'[8]T&amp;M'!#REF!</definedName>
    <definedName name="sfdf" localSheetId="10">'[8]T&amp;M'!#REF!</definedName>
    <definedName name="sfdf" localSheetId="11">'[8]T&amp;M'!#REF!</definedName>
    <definedName name="sfdf" localSheetId="1">'[8]T&amp;M'!#REF!</definedName>
    <definedName name="sfdf">'[8]T&amp;M'!#REF!</definedName>
    <definedName name="SHEET" localSheetId="2">#REF!</definedName>
    <definedName name="SHEET" localSheetId="3">#REF!</definedName>
    <definedName name="SHEET" localSheetId="4">#REF!</definedName>
    <definedName name="SHEET" localSheetId="5">#REF!</definedName>
    <definedName name="SHEET" localSheetId="6">#REF!</definedName>
    <definedName name="SHEET" localSheetId="7">#REF!</definedName>
    <definedName name="SHEET" localSheetId="8">#REF!</definedName>
    <definedName name="SHEET" localSheetId="9">#REF!</definedName>
    <definedName name="SHEET" localSheetId="10">#REF!</definedName>
    <definedName name="SHEET" localSheetId="11">#REF!</definedName>
    <definedName name="SHEET" localSheetId="1">#REF!</definedName>
    <definedName name="SHEET">#REF!</definedName>
    <definedName name="SideFW_Ang.Connection" localSheetId="2">#REF!</definedName>
    <definedName name="SideFW_Ang.Connection" localSheetId="3">#REF!</definedName>
    <definedName name="SideFW_Ang.Connection" localSheetId="4">#REF!</definedName>
    <definedName name="SideFW_Ang.Connection" localSheetId="5">#REF!</definedName>
    <definedName name="SideFW_Ang.Connection" localSheetId="6">#REF!</definedName>
    <definedName name="SideFW_Ang.Connection" localSheetId="7">#REF!</definedName>
    <definedName name="SideFW_Ang.Connection" localSheetId="8">#REF!</definedName>
    <definedName name="SideFW_Ang.Connection" localSheetId="9">#REF!</definedName>
    <definedName name="SideFW_Ang.Connection" localSheetId="10">#REF!</definedName>
    <definedName name="SideFW_Ang.Connection" localSheetId="11">#REF!</definedName>
    <definedName name="SideFW_Ang.Connection" localSheetId="1">#REF!</definedName>
    <definedName name="SideFW_Ang.Connection">#REF!</definedName>
    <definedName name="SideFW_V_Connection" localSheetId="2">#REF!</definedName>
    <definedName name="SideFW_V_Connection" localSheetId="3">#REF!</definedName>
    <definedName name="SideFW_V_Connection" localSheetId="4">#REF!</definedName>
    <definedName name="SideFW_V_Connection" localSheetId="5">#REF!</definedName>
    <definedName name="SideFW_V_Connection" localSheetId="6">#REF!</definedName>
    <definedName name="SideFW_V_Connection" localSheetId="7">#REF!</definedName>
    <definedName name="SideFW_V_Connection" localSheetId="8">#REF!</definedName>
    <definedName name="SideFW_V_Connection" localSheetId="9">#REF!</definedName>
    <definedName name="SideFW_V_Connection" localSheetId="10">#REF!</definedName>
    <definedName name="SideFW_V_Connection" localSheetId="11">#REF!</definedName>
    <definedName name="SideFW_V_Connection" localSheetId="1">#REF!</definedName>
    <definedName name="SideFW_V_Connection">#REF!</definedName>
    <definedName name="Slab_Area_2000" localSheetId="2">#REF!</definedName>
    <definedName name="Slab_Area_2000" localSheetId="3">#REF!</definedName>
    <definedName name="Slab_Area_2000" localSheetId="4">#REF!</definedName>
    <definedName name="Slab_Area_2000" localSheetId="5">#REF!</definedName>
    <definedName name="Slab_Area_2000" localSheetId="6">#REF!</definedName>
    <definedName name="Slab_Area_2000" localSheetId="7">#REF!</definedName>
    <definedName name="Slab_Area_2000" localSheetId="8">#REF!</definedName>
    <definedName name="Slab_Area_2000" localSheetId="9">#REF!</definedName>
    <definedName name="Slab_Area_2000" localSheetId="10">#REF!</definedName>
    <definedName name="Slab_Area_2000" localSheetId="11">#REF!</definedName>
    <definedName name="Slab_Area_2000" localSheetId="1">#REF!</definedName>
    <definedName name="Slab_Area_2000">#REF!</definedName>
    <definedName name="Slab_Area_2500" localSheetId="2">#REF!</definedName>
    <definedName name="Slab_Area_2500" localSheetId="3">#REF!</definedName>
    <definedName name="Slab_Area_2500" localSheetId="4">#REF!</definedName>
    <definedName name="Slab_Area_2500" localSheetId="5">#REF!</definedName>
    <definedName name="Slab_Area_2500" localSheetId="6">#REF!</definedName>
    <definedName name="Slab_Area_2500" localSheetId="7">#REF!</definedName>
    <definedName name="Slab_Area_2500" localSheetId="8">#REF!</definedName>
    <definedName name="Slab_Area_2500" localSheetId="9">#REF!</definedName>
    <definedName name="Slab_Area_2500" localSheetId="10">#REF!</definedName>
    <definedName name="Slab_Area_2500" localSheetId="11">#REF!</definedName>
    <definedName name="Slab_Area_2500" localSheetId="1">#REF!</definedName>
    <definedName name="Slab_Area_2500">#REF!</definedName>
    <definedName name="SlabArea" localSheetId="2">#REF!</definedName>
    <definedName name="SlabArea" localSheetId="3">#REF!</definedName>
    <definedName name="SlabArea" localSheetId="4">#REF!</definedName>
    <definedName name="SlabArea" localSheetId="5">#REF!</definedName>
    <definedName name="SlabArea" localSheetId="6">#REF!</definedName>
    <definedName name="SlabArea" localSheetId="7">#REF!</definedName>
    <definedName name="SlabArea" localSheetId="8">#REF!</definedName>
    <definedName name="SlabArea" localSheetId="9">#REF!</definedName>
    <definedName name="SlabArea" localSheetId="10">#REF!</definedName>
    <definedName name="SlabArea" localSheetId="11">#REF!</definedName>
    <definedName name="SlabArea" localSheetId="1">#REF!</definedName>
    <definedName name="SlabArea">#REF!</definedName>
    <definedName name="ss" localSheetId="2">#REF!</definedName>
    <definedName name="ss" localSheetId="3">#REF!</definedName>
    <definedName name="ss" localSheetId="4">#REF!</definedName>
    <definedName name="ss" localSheetId="5">#REF!</definedName>
    <definedName name="ss" localSheetId="6">#REF!</definedName>
    <definedName name="ss" localSheetId="7">#REF!</definedName>
    <definedName name="ss" localSheetId="8">#REF!</definedName>
    <definedName name="ss" localSheetId="9">#REF!</definedName>
    <definedName name="ss" localSheetId="10">#REF!</definedName>
    <definedName name="ss" localSheetId="11">#REF!</definedName>
    <definedName name="ss" localSheetId="1">#REF!</definedName>
    <definedName name="ss">#REF!</definedName>
    <definedName name="sssss" localSheetId="2">#REF!</definedName>
    <definedName name="sssss" localSheetId="3">#REF!</definedName>
    <definedName name="sssss" localSheetId="4">#REF!</definedName>
    <definedName name="sssss" localSheetId="5">#REF!</definedName>
    <definedName name="sssss" localSheetId="6">#REF!</definedName>
    <definedName name="sssss" localSheetId="7">#REF!</definedName>
    <definedName name="sssss" localSheetId="8">#REF!</definedName>
    <definedName name="sssss" localSheetId="9">#REF!</definedName>
    <definedName name="sssss" localSheetId="10">#REF!</definedName>
    <definedName name="sssss" localSheetId="11">#REF!</definedName>
    <definedName name="sssss" localSheetId="1">#REF!</definedName>
    <definedName name="sssss">#REF!</definedName>
    <definedName name="SStrip_2000_Concrete" localSheetId="2">#REF!</definedName>
    <definedName name="SStrip_2000_Concrete" localSheetId="3">#REF!</definedName>
    <definedName name="SStrip_2000_Concrete" localSheetId="4">#REF!</definedName>
    <definedName name="SStrip_2000_Concrete" localSheetId="5">#REF!</definedName>
    <definedName name="SStrip_2000_Concrete" localSheetId="6">#REF!</definedName>
    <definedName name="SStrip_2000_Concrete" localSheetId="7">#REF!</definedName>
    <definedName name="SStrip_2000_Concrete" localSheetId="8">#REF!</definedName>
    <definedName name="SStrip_2000_Concrete" localSheetId="9">#REF!</definedName>
    <definedName name="SStrip_2000_Concrete" localSheetId="10">#REF!</definedName>
    <definedName name="SStrip_2000_Concrete" localSheetId="11">#REF!</definedName>
    <definedName name="SStrip_2000_Concrete" localSheetId="1">#REF!</definedName>
    <definedName name="SStrip_2000_Concrete">#REF!</definedName>
    <definedName name="SStrip_2500_Concrete" localSheetId="2">#REF!</definedName>
    <definedName name="SStrip_2500_Concrete" localSheetId="3">#REF!</definedName>
    <definedName name="SStrip_2500_Concrete" localSheetId="4">#REF!</definedName>
    <definedName name="SStrip_2500_Concrete" localSheetId="5">#REF!</definedName>
    <definedName name="SStrip_2500_Concrete" localSheetId="6">#REF!</definedName>
    <definedName name="SStrip_2500_Concrete" localSheetId="7">#REF!</definedName>
    <definedName name="SStrip_2500_Concrete" localSheetId="8">#REF!</definedName>
    <definedName name="SStrip_2500_Concrete" localSheetId="9">#REF!</definedName>
    <definedName name="SStrip_2500_Concrete" localSheetId="10">#REF!</definedName>
    <definedName name="SStrip_2500_Concrete" localSheetId="11">#REF!</definedName>
    <definedName name="SStrip_2500_Concrete" localSheetId="1">#REF!</definedName>
    <definedName name="SStrip_2500_Concrete">#REF!</definedName>
    <definedName name="SStrip_A" localSheetId="2">#REF!</definedName>
    <definedName name="SStrip_A" localSheetId="3">#REF!</definedName>
    <definedName name="SStrip_A" localSheetId="4">#REF!</definedName>
    <definedName name="SStrip_A" localSheetId="5">#REF!</definedName>
    <definedName name="SStrip_A" localSheetId="6">#REF!</definedName>
    <definedName name="SStrip_A" localSheetId="7">#REF!</definedName>
    <definedName name="SStrip_A" localSheetId="8">#REF!</definedName>
    <definedName name="SStrip_A" localSheetId="9">#REF!</definedName>
    <definedName name="SStrip_A" localSheetId="10">#REF!</definedName>
    <definedName name="SStrip_A" localSheetId="11">#REF!</definedName>
    <definedName name="SStrip_A" localSheetId="1">#REF!</definedName>
    <definedName name="SStrip_A">#REF!</definedName>
    <definedName name="SStrip_Area_2000" localSheetId="2">#REF!</definedName>
    <definedName name="SStrip_Area_2000" localSheetId="3">#REF!</definedName>
    <definedName name="SStrip_Area_2000" localSheetId="4">#REF!</definedName>
    <definedName name="SStrip_Area_2000" localSheetId="5">#REF!</definedName>
    <definedName name="SStrip_Area_2000" localSheetId="6">#REF!</definedName>
    <definedName name="SStrip_Area_2000" localSheetId="7">#REF!</definedName>
    <definedName name="SStrip_Area_2000" localSheetId="8">#REF!</definedName>
    <definedName name="SStrip_Area_2000" localSheetId="9">#REF!</definedName>
    <definedName name="SStrip_Area_2000" localSheetId="10">#REF!</definedName>
    <definedName name="SStrip_Area_2000" localSheetId="11">#REF!</definedName>
    <definedName name="SStrip_Area_2000" localSheetId="1">#REF!</definedName>
    <definedName name="SStrip_Area_2000">#REF!</definedName>
    <definedName name="SStrip_Area_2500" localSheetId="2">#REF!</definedName>
    <definedName name="SStrip_Area_2500" localSheetId="3">#REF!</definedName>
    <definedName name="SStrip_Area_2500" localSheetId="4">#REF!</definedName>
    <definedName name="SStrip_Area_2500" localSheetId="5">#REF!</definedName>
    <definedName name="SStrip_Area_2500" localSheetId="6">#REF!</definedName>
    <definedName name="SStrip_Area_2500" localSheetId="7">#REF!</definedName>
    <definedName name="SStrip_Area_2500" localSheetId="8">#REF!</definedName>
    <definedName name="SStrip_Area_2500" localSheetId="9">#REF!</definedName>
    <definedName name="SStrip_Area_2500" localSheetId="10">#REF!</definedName>
    <definedName name="SStrip_Area_2500" localSheetId="11">#REF!</definedName>
    <definedName name="SStrip_Area_2500" localSheetId="1">#REF!</definedName>
    <definedName name="SStrip_Area_2500">#REF!</definedName>
    <definedName name="SStrip_L" localSheetId="2">#REF!</definedName>
    <definedName name="SStrip_L" localSheetId="3">#REF!</definedName>
    <definedName name="SStrip_L" localSheetId="4">#REF!</definedName>
    <definedName name="SStrip_L" localSheetId="5">#REF!</definedName>
    <definedName name="SStrip_L" localSheetId="6">#REF!</definedName>
    <definedName name="SStrip_L" localSheetId="7">#REF!</definedName>
    <definedName name="SStrip_L" localSheetId="8">#REF!</definedName>
    <definedName name="SStrip_L" localSheetId="9">#REF!</definedName>
    <definedName name="SStrip_L" localSheetId="10">#REF!</definedName>
    <definedName name="SStrip_L" localSheetId="11">#REF!</definedName>
    <definedName name="SStrip_L" localSheetId="1">#REF!</definedName>
    <definedName name="SStrip_L">#REF!</definedName>
    <definedName name="SSttip_Area" localSheetId="2">#REF!</definedName>
    <definedName name="SSttip_Area" localSheetId="3">#REF!</definedName>
    <definedName name="SSttip_Area" localSheetId="4">#REF!</definedName>
    <definedName name="SSttip_Area" localSheetId="5">#REF!</definedName>
    <definedName name="SSttip_Area" localSheetId="6">#REF!</definedName>
    <definedName name="SSttip_Area" localSheetId="7">#REF!</definedName>
    <definedName name="SSttip_Area" localSheetId="8">#REF!</definedName>
    <definedName name="SSttip_Area" localSheetId="9">#REF!</definedName>
    <definedName name="SSttip_Area" localSheetId="10">#REF!</definedName>
    <definedName name="SSttip_Area" localSheetId="11">#REF!</definedName>
    <definedName name="SSttip_Area" localSheetId="1">#REF!</definedName>
    <definedName name="SSttip_Area">#REF!</definedName>
    <definedName name="STAFF" localSheetId="2">#REF!</definedName>
    <definedName name="STAFF" localSheetId="3">#REF!</definedName>
    <definedName name="STAFF" localSheetId="4">#REF!</definedName>
    <definedName name="STAFF" localSheetId="5">#REF!</definedName>
    <definedName name="STAFF" localSheetId="6">#REF!</definedName>
    <definedName name="STAFF" localSheetId="7">#REF!</definedName>
    <definedName name="STAFF" localSheetId="8">#REF!</definedName>
    <definedName name="STAFF" localSheetId="9">#REF!</definedName>
    <definedName name="STAFF" localSheetId="10">#REF!</definedName>
    <definedName name="STAFF" localSheetId="11">#REF!</definedName>
    <definedName name="STAFF" localSheetId="1">#REF!</definedName>
    <definedName name="STAFF">#REF!</definedName>
    <definedName name="stage" localSheetId="2">#REF!</definedName>
    <definedName name="stage" localSheetId="3">#REF!</definedName>
    <definedName name="stage" localSheetId="4">#REF!</definedName>
    <definedName name="stage" localSheetId="5">#REF!</definedName>
    <definedName name="stage" localSheetId="6">#REF!</definedName>
    <definedName name="stage" localSheetId="7">#REF!</definedName>
    <definedName name="stage" localSheetId="8">#REF!</definedName>
    <definedName name="stage" localSheetId="9">#REF!</definedName>
    <definedName name="stage" localSheetId="10">#REF!</definedName>
    <definedName name="stage" localSheetId="11">#REF!</definedName>
    <definedName name="stage" localSheetId="1">#REF!</definedName>
    <definedName name="stage">#REF!</definedName>
    <definedName name="stl" localSheetId="2">#REF!</definedName>
    <definedName name="stl" localSheetId="3">#REF!</definedName>
    <definedName name="stl" localSheetId="4">#REF!</definedName>
    <definedName name="stl" localSheetId="5">#REF!</definedName>
    <definedName name="stl" localSheetId="6">#REF!</definedName>
    <definedName name="stl" localSheetId="7">#REF!</definedName>
    <definedName name="stl" localSheetId="8">#REF!</definedName>
    <definedName name="stl" localSheetId="9">#REF!</definedName>
    <definedName name="stl" localSheetId="10">#REF!</definedName>
    <definedName name="stl" localSheetId="11">#REF!</definedName>
    <definedName name="stl" localSheetId="1">#REF!</definedName>
    <definedName name="stl">#REF!</definedName>
    <definedName name="stop" localSheetId="2" hidden="1">[2]Demand!#REF!</definedName>
    <definedName name="stop" localSheetId="3" hidden="1">[2]Demand!#REF!</definedName>
    <definedName name="stop" localSheetId="4" hidden="1">[2]Demand!#REF!</definedName>
    <definedName name="stop" localSheetId="5" hidden="1">[2]Demand!#REF!</definedName>
    <definedName name="stop" localSheetId="6" hidden="1">[2]Demand!#REF!</definedName>
    <definedName name="stop" localSheetId="7" hidden="1">[2]Demand!#REF!</definedName>
    <definedName name="stop" localSheetId="8" hidden="1">[2]Demand!#REF!</definedName>
    <definedName name="stop" localSheetId="9" hidden="1">[2]Demand!#REF!</definedName>
    <definedName name="stop" localSheetId="10" hidden="1">[2]Demand!#REF!</definedName>
    <definedName name="stop" localSheetId="11" hidden="1">[2]Demand!#REF!</definedName>
    <definedName name="stop" localSheetId="1" hidden="1">[2]Demand!#REF!</definedName>
    <definedName name="stop" hidden="1">[2]Demand!#REF!</definedName>
    <definedName name="sub" localSheetId="2">#REF!</definedName>
    <definedName name="sub" localSheetId="3">#REF!</definedName>
    <definedName name="sub" localSheetId="4">#REF!</definedName>
    <definedName name="sub" localSheetId="5">#REF!</definedName>
    <definedName name="sub" localSheetId="6">#REF!</definedName>
    <definedName name="sub" localSheetId="7">#REF!</definedName>
    <definedName name="sub" localSheetId="8">#REF!</definedName>
    <definedName name="sub" localSheetId="9">#REF!</definedName>
    <definedName name="sub" localSheetId="10">#REF!</definedName>
    <definedName name="sub" localSheetId="11">#REF!</definedName>
    <definedName name="sub" localSheetId="1">#REF!</definedName>
    <definedName name="sub">#REF!</definedName>
    <definedName name="subs" localSheetId="2">#REF!</definedName>
    <definedName name="subs" localSheetId="3">#REF!</definedName>
    <definedName name="subs" localSheetId="4">#REF!</definedName>
    <definedName name="subs" localSheetId="5">#REF!</definedName>
    <definedName name="subs" localSheetId="6">#REF!</definedName>
    <definedName name="subs" localSheetId="7">#REF!</definedName>
    <definedName name="subs" localSheetId="8">#REF!</definedName>
    <definedName name="subs" localSheetId="9">#REF!</definedName>
    <definedName name="subs" localSheetId="10">#REF!</definedName>
    <definedName name="subs" localSheetId="11">#REF!</definedName>
    <definedName name="subs" localSheetId="1">#REF!</definedName>
    <definedName name="subs">#REF!</definedName>
    <definedName name="subs4" localSheetId="2">#REF!</definedName>
    <definedName name="subs4" localSheetId="3">#REF!</definedName>
    <definedName name="subs4" localSheetId="4">#REF!</definedName>
    <definedName name="subs4" localSheetId="5">#REF!</definedName>
    <definedName name="subs4" localSheetId="6">#REF!</definedName>
    <definedName name="subs4" localSheetId="7">#REF!</definedName>
    <definedName name="subs4" localSheetId="8">#REF!</definedName>
    <definedName name="subs4" localSheetId="9">#REF!</definedName>
    <definedName name="subs4" localSheetId="10">#REF!</definedName>
    <definedName name="subs4" localSheetId="11">#REF!</definedName>
    <definedName name="subs4" localSheetId="1">#REF!</definedName>
    <definedName name="subs4">#REF!</definedName>
    <definedName name="subs4a" localSheetId="2">#REF!</definedName>
    <definedName name="subs4a" localSheetId="3">#REF!</definedName>
    <definedName name="subs4a" localSheetId="4">#REF!</definedName>
    <definedName name="subs4a" localSheetId="5">#REF!</definedName>
    <definedName name="subs4a" localSheetId="6">#REF!</definedName>
    <definedName name="subs4a" localSheetId="7">#REF!</definedName>
    <definedName name="subs4a" localSheetId="8">#REF!</definedName>
    <definedName name="subs4a" localSheetId="9">#REF!</definedName>
    <definedName name="subs4a" localSheetId="10">#REF!</definedName>
    <definedName name="subs4a" localSheetId="11">#REF!</definedName>
    <definedName name="subs4a" localSheetId="1">#REF!</definedName>
    <definedName name="subs4a">#REF!</definedName>
    <definedName name="SUM" localSheetId="12" hidden="1">{"'Sheet1 (2)'!$A$1:$C$61"}</definedName>
    <definedName name="SUM" localSheetId="2" hidden="1">{"'Sheet1 (2)'!$A$1:$C$61"}</definedName>
    <definedName name="SUM" localSheetId="3" hidden="1">{"'Sheet1 (2)'!$A$1:$C$61"}</definedName>
    <definedName name="SUM" localSheetId="4" hidden="1">{"'Sheet1 (2)'!$A$1:$C$61"}</definedName>
    <definedName name="SUM" localSheetId="5" hidden="1">{"'Sheet1 (2)'!$A$1:$C$61"}</definedName>
    <definedName name="SUM" localSheetId="6" hidden="1">{"'Sheet1 (2)'!$A$1:$C$61"}</definedName>
    <definedName name="SUM" localSheetId="7" hidden="1">{"'Sheet1 (2)'!$A$1:$C$61"}</definedName>
    <definedName name="SUM" localSheetId="8" hidden="1">{"'Sheet1 (2)'!$A$1:$C$61"}</definedName>
    <definedName name="SUM" localSheetId="9" hidden="1">{"'Sheet1 (2)'!$A$1:$C$61"}</definedName>
    <definedName name="SUM" localSheetId="10" hidden="1">{"'Sheet1 (2)'!$A$1:$C$61"}</definedName>
    <definedName name="SUM" localSheetId="11" hidden="1">{"'Sheet1 (2)'!$A$1:$C$61"}</definedName>
    <definedName name="SUM" localSheetId="1" hidden="1">{"'Sheet1 (2)'!$A$1:$C$61"}</definedName>
    <definedName name="SUM" hidden="1">{"'Sheet1 (2)'!$A$1:$C$61"}</definedName>
    <definedName name="Summary" localSheetId="2">#REF!</definedName>
    <definedName name="Summary" localSheetId="3">#REF!</definedName>
    <definedName name="Summary" localSheetId="4">#REF!</definedName>
    <definedName name="Summary" localSheetId="5">#REF!</definedName>
    <definedName name="Summary" localSheetId="6">#REF!</definedName>
    <definedName name="Summary" localSheetId="7">#REF!</definedName>
    <definedName name="Summary" localSheetId="8">#REF!</definedName>
    <definedName name="Summary" localSheetId="9">#REF!</definedName>
    <definedName name="Summary" localSheetId="10">#REF!</definedName>
    <definedName name="Summary" localSheetId="11">#REF!</definedName>
    <definedName name="Summary" localSheetId="1">#REF!</definedName>
    <definedName name="Summary">#REF!</definedName>
    <definedName name="sup" localSheetId="2">#REF!</definedName>
    <definedName name="sup" localSheetId="3">#REF!</definedName>
    <definedName name="sup" localSheetId="4">#REF!</definedName>
    <definedName name="sup" localSheetId="5">#REF!</definedName>
    <definedName name="sup" localSheetId="6">#REF!</definedName>
    <definedName name="sup" localSheetId="7">#REF!</definedName>
    <definedName name="sup" localSheetId="8">#REF!</definedName>
    <definedName name="sup" localSheetId="9">#REF!</definedName>
    <definedName name="sup" localSheetId="10">#REF!</definedName>
    <definedName name="sup" localSheetId="11">#REF!</definedName>
    <definedName name="sup" localSheetId="1">#REF!</definedName>
    <definedName name="sup">#REF!</definedName>
    <definedName name="sups" localSheetId="2">#REF!</definedName>
    <definedName name="sups" localSheetId="3">#REF!</definedName>
    <definedName name="sups" localSheetId="4">#REF!</definedName>
    <definedName name="sups" localSheetId="5">#REF!</definedName>
    <definedName name="sups" localSheetId="6">#REF!</definedName>
    <definedName name="sups" localSheetId="7">#REF!</definedName>
    <definedName name="sups" localSheetId="8">#REF!</definedName>
    <definedName name="sups" localSheetId="9">#REF!</definedName>
    <definedName name="sups" localSheetId="10">#REF!</definedName>
    <definedName name="sups" localSheetId="11">#REF!</definedName>
    <definedName name="sups" localSheetId="1">#REF!</definedName>
    <definedName name="sups">#REF!</definedName>
    <definedName name="sups4" localSheetId="2">#REF!</definedName>
    <definedName name="sups4" localSheetId="3">#REF!</definedName>
    <definedName name="sups4" localSheetId="4">#REF!</definedName>
    <definedName name="sups4" localSheetId="5">#REF!</definedName>
    <definedName name="sups4" localSheetId="6">#REF!</definedName>
    <definedName name="sups4" localSheetId="7">#REF!</definedName>
    <definedName name="sups4" localSheetId="8">#REF!</definedName>
    <definedName name="sups4" localSheetId="9">#REF!</definedName>
    <definedName name="sups4" localSheetId="10">#REF!</definedName>
    <definedName name="sups4" localSheetId="11">#REF!</definedName>
    <definedName name="sups4" localSheetId="1">#REF!</definedName>
    <definedName name="sups4">#REF!</definedName>
    <definedName name="sups4a" localSheetId="2">#REF!</definedName>
    <definedName name="sups4a" localSheetId="3">#REF!</definedName>
    <definedName name="sups4a" localSheetId="4">#REF!</definedName>
    <definedName name="sups4a" localSheetId="5">#REF!</definedName>
    <definedName name="sups4a" localSheetId="6">#REF!</definedName>
    <definedName name="sups4a" localSheetId="7">#REF!</definedName>
    <definedName name="sups4a" localSheetId="8">#REF!</definedName>
    <definedName name="sups4a" localSheetId="9">#REF!</definedName>
    <definedName name="sups4a" localSheetId="10">#REF!</definedName>
    <definedName name="sups4a" localSheetId="11">#REF!</definedName>
    <definedName name="sups4a" localSheetId="1">#REF!</definedName>
    <definedName name="sups4a">#REF!</definedName>
    <definedName name="sw" localSheetId="2">#REF!</definedName>
    <definedName name="sw" localSheetId="3">#REF!</definedName>
    <definedName name="sw" localSheetId="4">#REF!</definedName>
    <definedName name="sw" localSheetId="5">#REF!</definedName>
    <definedName name="sw" localSheetId="6">#REF!</definedName>
    <definedName name="sw" localSheetId="7">#REF!</definedName>
    <definedName name="sw" localSheetId="8">#REF!</definedName>
    <definedName name="sw" localSheetId="9">#REF!</definedName>
    <definedName name="sw" localSheetId="10">#REF!</definedName>
    <definedName name="sw" localSheetId="11">#REF!</definedName>
    <definedName name="sw" localSheetId="1">#REF!</definedName>
    <definedName name="sw">#REF!</definedName>
    <definedName name="sw4a" localSheetId="2">#REF!</definedName>
    <definedName name="sw4a" localSheetId="3">#REF!</definedName>
    <definedName name="sw4a" localSheetId="4">#REF!</definedName>
    <definedName name="sw4a" localSheetId="5">#REF!</definedName>
    <definedName name="sw4a" localSheetId="6">#REF!</definedName>
    <definedName name="sw4a" localSheetId="7">#REF!</definedName>
    <definedName name="sw4a" localSheetId="8">#REF!</definedName>
    <definedName name="sw4a" localSheetId="9">#REF!</definedName>
    <definedName name="sw4a" localSheetId="10">#REF!</definedName>
    <definedName name="sw4a" localSheetId="11">#REF!</definedName>
    <definedName name="sw4a" localSheetId="1">#REF!</definedName>
    <definedName name="sw4a">#REF!</definedName>
    <definedName name="SWE" localSheetId="2">#REF!</definedName>
    <definedName name="SWE" localSheetId="3">#REF!</definedName>
    <definedName name="SWE" localSheetId="4">#REF!</definedName>
    <definedName name="SWE" localSheetId="5">#REF!</definedName>
    <definedName name="SWE" localSheetId="6">#REF!</definedName>
    <definedName name="SWE" localSheetId="7">#REF!</definedName>
    <definedName name="SWE" localSheetId="8">#REF!</definedName>
    <definedName name="SWE" localSheetId="9">#REF!</definedName>
    <definedName name="SWE" localSheetId="10">#REF!</definedName>
    <definedName name="SWE" localSheetId="11">#REF!</definedName>
    <definedName name="SWE" localSheetId="1">#REF!</definedName>
    <definedName name="SWE">#REF!</definedName>
    <definedName name="T" localSheetId="2">#REF!</definedName>
    <definedName name="T" localSheetId="3">#REF!</definedName>
    <definedName name="T" localSheetId="4">#REF!</definedName>
    <definedName name="T" localSheetId="5">#REF!</definedName>
    <definedName name="T" localSheetId="6">#REF!</definedName>
    <definedName name="T" localSheetId="7">#REF!</definedName>
    <definedName name="T" localSheetId="8">#REF!</definedName>
    <definedName name="T" localSheetId="9">#REF!</definedName>
    <definedName name="T" localSheetId="10">#REF!</definedName>
    <definedName name="T" localSheetId="11">#REF!</definedName>
    <definedName name="T" localSheetId="1">#REF!</definedName>
    <definedName name="T">#REF!</definedName>
    <definedName name="T12_Add_RF" localSheetId="2">#REF!</definedName>
    <definedName name="T12_Add_RF" localSheetId="3">#REF!</definedName>
    <definedName name="T12_Add_RF" localSheetId="4">#REF!</definedName>
    <definedName name="T12_Add_RF" localSheetId="5">#REF!</definedName>
    <definedName name="T12_Add_RF" localSheetId="6">#REF!</definedName>
    <definedName name="T12_Add_RF" localSheetId="7">#REF!</definedName>
    <definedName name="T12_Add_RF" localSheetId="8">#REF!</definedName>
    <definedName name="T12_Add_RF" localSheetId="9">#REF!</definedName>
    <definedName name="T12_Add_RF" localSheetId="10">#REF!</definedName>
    <definedName name="T12_Add_RF" localSheetId="11">#REF!</definedName>
    <definedName name="T12_Add_RF" localSheetId="1">#REF!</definedName>
    <definedName name="T12_Add_RF">#REF!</definedName>
    <definedName name="T16_Add_RF" localSheetId="2">#REF!</definedName>
    <definedName name="T16_Add_RF" localSheetId="3">#REF!</definedName>
    <definedName name="T16_Add_RF" localSheetId="4">#REF!</definedName>
    <definedName name="T16_Add_RF" localSheetId="5">#REF!</definedName>
    <definedName name="T16_Add_RF" localSheetId="6">#REF!</definedName>
    <definedName name="T16_Add_RF" localSheetId="7">#REF!</definedName>
    <definedName name="T16_Add_RF" localSheetId="8">#REF!</definedName>
    <definedName name="T16_Add_RF" localSheetId="9">#REF!</definedName>
    <definedName name="T16_Add_RF" localSheetId="10">#REF!</definedName>
    <definedName name="T16_Add_RF" localSheetId="11">#REF!</definedName>
    <definedName name="T16_Add_RF" localSheetId="1">#REF!</definedName>
    <definedName name="T16_Add_RF">#REF!</definedName>
    <definedName name="T25_Add_RF" localSheetId="2">#REF!</definedName>
    <definedName name="T25_Add_RF" localSheetId="3">#REF!</definedName>
    <definedName name="T25_Add_RF" localSheetId="4">#REF!</definedName>
    <definedName name="T25_Add_RF" localSheetId="5">#REF!</definedName>
    <definedName name="T25_Add_RF" localSheetId="6">#REF!</definedName>
    <definedName name="T25_Add_RF" localSheetId="7">#REF!</definedName>
    <definedName name="T25_Add_RF" localSheetId="8">#REF!</definedName>
    <definedName name="T25_Add_RF" localSheetId="9">#REF!</definedName>
    <definedName name="T25_Add_RF" localSheetId="10">#REF!</definedName>
    <definedName name="T25_Add_RF" localSheetId="11">#REF!</definedName>
    <definedName name="T25_Add_RF" localSheetId="1">#REF!</definedName>
    <definedName name="T25_Add_RF">#REF!</definedName>
    <definedName name="T25_Ang.Connection" localSheetId="2">#REF!</definedName>
    <definedName name="T25_Ang.Connection" localSheetId="3">#REF!</definedName>
    <definedName name="T25_Ang.Connection" localSheetId="4">#REF!</definedName>
    <definedName name="T25_Ang.Connection" localSheetId="5">#REF!</definedName>
    <definedName name="T25_Ang.Connection" localSheetId="6">#REF!</definedName>
    <definedName name="T25_Ang.Connection" localSheetId="7">#REF!</definedName>
    <definedName name="T25_Ang.Connection" localSheetId="8">#REF!</definedName>
    <definedName name="T25_Ang.Connection" localSheetId="9">#REF!</definedName>
    <definedName name="T25_Ang.Connection" localSheetId="10">#REF!</definedName>
    <definedName name="T25_Ang.Connection" localSheetId="11">#REF!</definedName>
    <definedName name="T25_Ang.Connection" localSheetId="1">#REF!</definedName>
    <definedName name="T25_Ang.Connection">#REF!</definedName>
    <definedName name="T25_Ver_Connection" localSheetId="2">#REF!</definedName>
    <definedName name="T25_Ver_Connection" localSheetId="3">#REF!</definedName>
    <definedName name="T25_Ver_Connection" localSheetId="4">#REF!</definedName>
    <definedName name="T25_Ver_Connection" localSheetId="5">#REF!</definedName>
    <definedName name="T25_Ver_Connection" localSheetId="6">#REF!</definedName>
    <definedName name="T25_Ver_Connection" localSheetId="7">#REF!</definedName>
    <definedName name="T25_Ver_Connection" localSheetId="8">#REF!</definedName>
    <definedName name="T25_Ver_Connection" localSheetId="9">#REF!</definedName>
    <definedName name="T25_Ver_Connection" localSheetId="10">#REF!</definedName>
    <definedName name="T25_Ver_Connection" localSheetId="11">#REF!</definedName>
    <definedName name="T25_Ver_Connection" localSheetId="1">#REF!</definedName>
    <definedName name="T25_Ver_Connection">#REF!</definedName>
    <definedName name="T32_Add_RF" localSheetId="2">#REF!</definedName>
    <definedName name="T32_Add_RF" localSheetId="3">#REF!</definedName>
    <definedName name="T32_Add_RF" localSheetId="4">#REF!</definedName>
    <definedName name="T32_Add_RF" localSheetId="5">#REF!</definedName>
    <definedName name="T32_Add_RF" localSheetId="6">#REF!</definedName>
    <definedName name="T32_Add_RF" localSheetId="7">#REF!</definedName>
    <definedName name="T32_Add_RF" localSheetId="8">#REF!</definedName>
    <definedName name="T32_Add_RF" localSheetId="9">#REF!</definedName>
    <definedName name="T32_Add_RF" localSheetId="10">#REF!</definedName>
    <definedName name="T32_Add_RF" localSheetId="11">#REF!</definedName>
    <definedName name="T32_Add_RF" localSheetId="1">#REF!</definedName>
    <definedName name="T32_Add_RF">#REF!</definedName>
    <definedName name="T32_Ver_Connection" localSheetId="2">#REF!</definedName>
    <definedName name="T32_Ver_Connection" localSheetId="3">#REF!</definedName>
    <definedName name="T32_Ver_Connection" localSheetId="4">#REF!</definedName>
    <definedName name="T32_Ver_Connection" localSheetId="5">#REF!</definedName>
    <definedName name="T32_Ver_Connection" localSheetId="6">#REF!</definedName>
    <definedName name="T32_Ver_Connection" localSheetId="7">#REF!</definedName>
    <definedName name="T32_Ver_Connection" localSheetId="8">#REF!</definedName>
    <definedName name="T32_Ver_Connection" localSheetId="9">#REF!</definedName>
    <definedName name="T32_Ver_Connection" localSheetId="10">#REF!</definedName>
    <definedName name="T32_Ver_Connection" localSheetId="11">#REF!</definedName>
    <definedName name="T32_Ver_Connection" localSheetId="1">#REF!</definedName>
    <definedName name="T32_Ver_Connection">#REF!</definedName>
    <definedName name="TABLE" localSheetId="2">#REF!</definedName>
    <definedName name="TABLE" localSheetId="3">#REF!</definedName>
    <definedName name="TABLE" localSheetId="4">#REF!</definedName>
    <definedName name="TABLE" localSheetId="5">#REF!</definedName>
    <definedName name="TABLE" localSheetId="6">#REF!</definedName>
    <definedName name="TABLE" localSheetId="7">#REF!</definedName>
    <definedName name="TABLE" localSheetId="8">#REF!</definedName>
    <definedName name="TABLE" localSheetId="9">#REF!</definedName>
    <definedName name="TABLE" localSheetId="10">#REF!</definedName>
    <definedName name="TABLE" localSheetId="11">#REF!</definedName>
    <definedName name="TABLE" localSheetId="1">#REF!</definedName>
    <definedName name="TABLE">#REF!</definedName>
    <definedName name="temp" localSheetId="12" hidden="1">{"'Break down'!$A$4"}</definedName>
    <definedName name="temp" localSheetId="2" hidden="1">{"'Break down'!$A$4"}</definedName>
    <definedName name="temp" localSheetId="3" hidden="1">{"'Break down'!$A$4"}</definedName>
    <definedName name="temp" localSheetId="4" hidden="1">{"'Break down'!$A$4"}</definedName>
    <definedName name="temp" localSheetId="5" hidden="1">{"'Break down'!$A$4"}</definedName>
    <definedName name="temp" localSheetId="6" hidden="1">{"'Break down'!$A$4"}</definedName>
    <definedName name="temp" localSheetId="7" hidden="1">{"'Break down'!$A$4"}</definedName>
    <definedName name="temp" localSheetId="8" hidden="1">{"'Break down'!$A$4"}</definedName>
    <definedName name="temp" localSheetId="9" hidden="1">{"'Break down'!$A$4"}</definedName>
    <definedName name="temp" localSheetId="10" hidden="1">{"'Break down'!$A$4"}</definedName>
    <definedName name="temp" localSheetId="11" hidden="1">{"'Break down'!$A$4"}</definedName>
    <definedName name="temp" localSheetId="1" hidden="1">{"'Break down'!$A$4"}</definedName>
    <definedName name="temp" hidden="1">{"'Break down'!$A$4"}</definedName>
    <definedName name="Top_T25_RF_factor" localSheetId="2">#REF!</definedName>
    <definedName name="Top_T25_RF_factor" localSheetId="3">#REF!</definedName>
    <definedName name="Top_T25_RF_factor" localSheetId="4">#REF!</definedName>
    <definedName name="Top_T25_RF_factor" localSheetId="5">#REF!</definedName>
    <definedName name="Top_T25_RF_factor" localSheetId="6">#REF!</definedName>
    <definedName name="Top_T25_RF_factor" localSheetId="7">#REF!</definedName>
    <definedName name="Top_T25_RF_factor" localSheetId="8">#REF!</definedName>
    <definedName name="Top_T25_RF_factor" localSheetId="9">#REF!</definedName>
    <definedName name="Top_T25_RF_factor" localSheetId="10">#REF!</definedName>
    <definedName name="Top_T25_RF_factor" localSheetId="11">#REF!</definedName>
    <definedName name="Top_T25_RF_factor" localSheetId="1">#REF!</definedName>
    <definedName name="Top_T25_RF_factor">#REF!</definedName>
    <definedName name="Total_Area" localSheetId="2">#REF!</definedName>
    <definedName name="Total_Area" localSheetId="3">#REF!</definedName>
    <definedName name="Total_Area" localSheetId="4">#REF!</definedName>
    <definedName name="Total_Area" localSheetId="5">#REF!</definedName>
    <definedName name="Total_Area" localSheetId="6">#REF!</definedName>
    <definedName name="Total_Area" localSheetId="7">#REF!</definedName>
    <definedName name="Total_Area" localSheetId="8">#REF!</definedName>
    <definedName name="Total_Area" localSheetId="9">#REF!</definedName>
    <definedName name="Total_Area" localSheetId="10">#REF!</definedName>
    <definedName name="Total_Area" localSheetId="11">#REF!</definedName>
    <definedName name="Total_Area" localSheetId="1">#REF!</definedName>
    <definedName name="Total_Area">#REF!</definedName>
    <definedName name="total_bill1" localSheetId="2">#REF!</definedName>
    <definedName name="total_bill1" localSheetId="3">#REF!</definedName>
    <definedName name="total_bill1" localSheetId="4">#REF!</definedName>
    <definedName name="total_bill1" localSheetId="5">#REF!</definedName>
    <definedName name="total_bill1" localSheetId="6">#REF!</definedName>
    <definedName name="total_bill1" localSheetId="7">#REF!</definedName>
    <definedName name="total_bill1" localSheetId="8">#REF!</definedName>
    <definedName name="total_bill1" localSheetId="9">#REF!</definedName>
    <definedName name="total_bill1" localSheetId="10">#REF!</definedName>
    <definedName name="total_bill1" localSheetId="11">#REF!</definedName>
    <definedName name="total_bill1" localSheetId="1">#REF!</definedName>
    <definedName name="total_bill1">#REF!</definedName>
    <definedName name="total_bill3" localSheetId="2">#REF!</definedName>
    <definedName name="total_bill3" localSheetId="3">#REF!</definedName>
    <definedName name="total_bill3" localSheetId="4">#REF!</definedName>
    <definedName name="total_bill3" localSheetId="5">#REF!</definedName>
    <definedName name="total_bill3" localSheetId="6">#REF!</definedName>
    <definedName name="total_bill3" localSheetId="7">#REF!</definedName>
    <definedName name="total_bill3" localSheetId="8">#REF!</definedName>
    <definedName name="total_bill3" localSheetId="9">#REF!</definedName>
    <definedName name="total_bill3" localSheetId="10">#REF!</definedName>
    <definedName name="total_bill3" localSheetId="11">#REF!</definedName>
    <definedName name="total_bill3" localSheetId="1">#REF!</definedName>
    <definedName name="total_bill3">#REF!</definedName>
    <definedName name="total_bill4" localSheetId="2">#REF!</definedName>
    <definedName name="total_bill4" localSheetId="3">#REF!</definedName>
    <definedName name="total_bill4" localSheetId="4">#REF!</definedName>
    <definedName name="total_bill4" localSheetId="5">#REF!</definedName>
    <definedName name="total_bill4" localSheetId="6">#REF!</definedName>
    <definedName name="total_bill4" localSheetId="7">#REF!</definedName>
    <definedName name="total_bill4" localSheetId="8">#REF!</definedName>
    <definedName name="total_bill4" localSheetId="9">#REF!</definedName>
    <definedName name="total_bill4" localSheetId="10">#REF!</definedName>
    <definedName name="total_bill4" localSheetId="11">#REF!</definedName>
    <definedName name="total_bill4" localSheetId="1">#REF!</definedName>
    <definedName name="total_bill4">#REF!</definedName>
    <definedName name="total_bill5" localSheetId="2">#REF!</definedName>
    <definedName name="total_bill5" localSheetId="3">#REF!</definedName>
    <definedName name="total_bill5" localSheetId="4">#REF!</definedName>
    <definedName name="total_bill5" localSheetId="5">#REF!</definedName>
    <definedName name="total_bill5" localSheetId="6">#REF!</definedName>
    <definedName name="total_bill5" localSheetId="7">#REF!</definedName>
    <definedName name="total_bill5" localSheetId="8">#REF!</definedName>
    <definedName name="total_bill5" localSheetId="9">#REF!</definedName>
    <definedName name="total_bill5" localSheetId="10">#REF!</definedName>
    <definedName name="total_bill5" localSheetId="11">#REF!</definedName>
    <definedName name="total_bill5" localSheetId="1">#REF!</definedName>
    <definedName name="total_bill5">#REF!</definedName>
    <definedName name="total_bill6" localSheetId="2">#REF!</definedName>
    <definedName name="total_bill6" localSheetId="3">#REF!</definedName>
    <definedName name="total_bill6" localSheetId="4">#REF!</definedName>
    <definedName name="total_bill6" localSheetId="5">#REF!</definedName>
    <definedName name="total_bill6" localSheetId="6">#REF!</definedName>
    <definedName name="total_bill6" localSheetId="7">#REF!</definedName>
    <definedName name="total_bill6" localSheetId="8">#REF!</definedName>
    <definedName name="total_bill6" localSheetId="9">#REF!</definedName>
    <definedName name="total_bill6" localSheetId="10">#REF!</definedName>
    <definedName name="total_bill6" localSheetId="11">#REF!</definedName>
    <definedName name="total_bill6" localSheetId="1">#REF!</definedName>
    <definedName name="total_bill6">#REF!</definedName>
    <definedName name="total_bill7" localSheetId="2">#REF!</definedName>
    <definedName name="total_bill7" localSheetId="3">#REF!</definedName>
    <definedName name="total_bill7" localSheetId="4">#REF!</definedName>
    <definedName name="total_bill7" localSheetId="5">#REF!</definedName>
    <definedName name="total_bill7" localSheetId="6">#REF!</definedName>
    <definedName name="total_bill7" localSheetId="7">#REF!</definedName>
    <definedName name="total_bill7" localSheetId="8">#REF!</definedName>
    <definedName name="total_bill7" localSheetId="9">#REF!</definedName>
    <definedName name="total_bill7" localSheetId="10">#REF!</definedName>
    <definedName name="total_bill7" localSheetId="11">#REF!</definedName>
    <definedName name="total_bill7" localSheetId="1">#REF!</definedName>
    <definedName name="total_bill7">#REF!</definedName>
    <definedName name="total_fluctuation" localSheetId="2">#REF!</definedName>
    <definedName name="total_fluctuation" localSheetId="3">#REF!</definedName>
    <definedName name="total_fluctuation" localSheetId="4">#REF!</definedName>
    <definedName name="total_fluctuation" localSheetId="5">#REF!</definedName>
    <definedName name="total_fluctuation" localSheetId="6">#REF!</definedName>
    <definedName name="total_fluctuation" localSheetId="7">#REF!</definedName>
    <definedName name="total_fluctuation" localSheetId="8">#REF!</definedName>
    <definedName name="total_fluctuation" localSheetId="9">#REF!</definedName>
    <definedName name="total_fluctuation" localSheetId="10">#REF!</definedName>
    <definedName name="total_fluctuation" localSheetId="11">#REF!</definedName>
    <definedName name="total_fluctuation" localSheetId="1">#REF!</definedName>
    <definedName name="total_fluctuation">#REF!</definedName>
    <definedName name="total_mos" localSheetId="2">#REF!</definedName>
    <definedName name="total_mos" localSheetId="3">#REF!</definedName>
    <definedName name="total_mos" localSheetId="4">#REF!</definedName>
    <definedName name="total_mos" localSheetId="5">#REF!</definedName>
    <definedName name="total_mos" localSheetId="6">#REF!</definedName>
    <definedName name="total_mos" localSheetId="7">#REF!</definedName>
    <definedName name="total_mos" localSheetId="8">#REF!</definedName>
    <definedName name="total_mos" localSheetId="9">#REF!</definedName>
    <definedName name="total_mos" localSheetId="10">#REF!</definedName>
    <definedName name="total_mos" localSheetId="11">#REF!</definedName>
    <definedName name="total_mos" localSheetId="1">#REF!</definedName>
    <definedName name="total_mos">#REF!</definedName>
    <definedName name="ttt">'[21]3'!$C$41</definedName>
    <definedName name="type" localSheetId="2">#REF!</definedName>
    <definedName name="type" localSheetId="3">#REF!</definedName>
    <definedName name="type" localSheetId="4">#REF!</definedName>
    <definedName name="type" localSheetId="5">#REF!</definedName>
    <definedName name="type" localSheetId="6">#REF!</definedName>
    <definedName name="type" localSheetId="7">#REF!</definedName>
    <definedName name="type" localSheetId="8">#REF!</definedName>
    <definedName name="type" localSheetId="9">#REF!</definedName>
    <definedName name="type" localSheetId="10">#REF!</definedName>
    <definedName name="type" localSheetId="11">#REF!</definedName>
    <definedName name="type" localSheetId="1">#REF!</definedName>
    <definedName name="type">#REF!</definedName>
    <definedName name="U" localSheetId="2">#REF!</definedName>
    <definedName name="U" localSheetId="3">#REF!</definedName>
    <definedName name="U" localSheetId="4">#REF!</definedName>
    <definedName name="U" localSheetId="5">#REF!</definedName>
    <definedName name="U" localSheetId="6">#REF!</definedName>
    <definedName name="U" localSheetId="7">#REF!</definedName>
    <definedName name="U" localSheetId="8">#REF!</definedName>
    <definedName name="U" localSheetId="9">#REF!</definedName>
    <definedName name="U" localSheetId="10">#REF!</definedName>
    <definedName name="U" localSheetId="11">#REF!</definedName>
    <definedName name="U" localSheetId="1">#REF!</definedName>
    <definedName name="U">#REF!</definedName>
    <definedName name="ubaid" localSheetId="12" hidden="1">{#N/A,#N/A,FALSE,"VCR"}</definedName>
    <definedName name="ubaid" localSheetId="2" hidden="1">{#N/A,#N/A,FALSE,"VCR"}</definedName>
    <definedName name="ubaid" localSheetId="3" hidden="1">{#N/A,#N/A,FALSE,"VCR"}</definedName>
    <definedName name="ubaid" localSheetId="4" hidden="1">{#N/A,#N/A,FALSE,"VCR"}</definedName>
    <definedName name="ubaid" localSheetId="5" hidden="1">{#N/A,#N/A,FALSE,"VCR"}</definedName>
    <definedName name="ubaid" localSheetId="6" hidden="1">{#N/A,#N/A,FALSE,"VCR"}</definedName>
    <definedName name="ubaid" localSheetId="7" hidden="1">{#N/A,#N/A,FALSE,"VCR"}</definedName>
    <definedName name="ubaid" localSheetId="8" hidden="1">{#N/A,#N/A,FALSE,"VCR"}</definedName>
    <definedName name="ubaid" localSheetId="9" hidden="1">{#N/A,#N/A,FALSE,"VCR"}</definedName>
    <definedName name="ubaid" localSheetId="10" hidden="1">{#N/A,#N/A,FALSE,"VCR"}</definedName>
    <definedName name="ubaid" localSheetId="11" hidden="1">{#N/A,#N/A,FALSE,"VCR"}</definedName>
    <definedName name="ubaid" localSheetId="1" hidden="1">{#N/A,#N/A,FALSE,"VCR"}</definedName>
    <definedName name="ubaid" hidden="1">{#N/A,#N/A,FALSE,"VCR"}</definedName>
    <definedName name="Ubaide" localSheetId="12" hidden="1">{#N/A,#N/A,FALSE,"VCR"}</definedName>
    <definedName name="Ubaide" localSheetId="2" hidden="1">{#N/A,#N/A,FALSE,"VCR"}</definedName>
    <definedName name="Ubaide" localSheetId="3" hidden="1">{#N/A,#N/A,FALSE,"VCR"}</definedName>
    <definedName name="Ubaide" localSheetId="4" hidden="1">{#N/A,#N/A,FALSE,"VCR"}</definedName>
    <definedName name="Ubaide" localSheetId="5" hidden="1">{#N/A,#N/A,FALSE,"VCR"}</definedName>
    <definedName name="Ubaide" localSheetId="6" hidden="1">{#N/A,#N/A,FALSE,"VCR"}</definedName>
    <definedName name="Ubaide" localSheetId="7" hidden="1">{#N/A,#N/A,FALSE,"VCR"}</definedName>
    <definedName name="Ubaide" localSheetId="8" hidden="1">{#N/A,#N/A,FALSE,"VCR"}</definedName>
    <definedName name="Ubaide" localSheetId="9" hidden="1">{#N/A,#N/A,FALSE,"VCR"}</definedName>
    <definedName name="Ubaide" localSheetId="10" hidden="1">{#N/A,#N/A,FALSE,"VCR"}</definedName>
    <definedName name="Ubaide" localSheetId="11" hidden="1">{#N/A,#N/A,FALSE,"VCR"}</definedName>
    <definedName name="Ubaide" localSheetId="1" hidden="1">{#N/A,#N/A,FALSE,"VCR"}</definedName>
    <definedName name="Ubaide" hidden="1">{#N/A,#N/A,FALSE,"VCR"}</definedName>
    <definedName name="use">'[5]Internal Finishes (Unit types)'!$B$645:$B$652</definedName>
    <definedName name="UY" localSheetId="2">#REF!</definedName>
    <definedName name="UY" localSheetId="3">#REF!</definedName>
    <definedName name="UY" localSheetId="4">#REF!</definedName>
    <definedName name="UY" localSheetId="5">#REF!</definedName>
    <definedName name="UY" localSheetId="6">#REF!</definedName>
    <definedName name="UY" localSheetId="7">#REF!</definedName>
    <definedName name="UY" localSheetId="8">#REF!</definedName>
    <definedName name="UY" localSheetId="9">#REF!</definedName>
    <definedName name="UY" localSheetId="10">#REF!</definedName>
    <definedName name="UY" localSheetId="11">#REF!</definedName>
    <definedName name="UY" localSheetId="1">#REF!</definedName>
    <definedName name="UY">#REF!</definedName>
    <definedName name="V" localSheetId="2">#REF!</definedName>
    <definedName name="V" localSheetId="3">#REF!</definedName>
    <definedName name="V" localSheetId="4">#REF!</definedName>
    <definedName name="V" localSheetId="5">#REF!</definedName>
    <definedName name="V" localSheetId="6">#REF!</definedName>
    <definedName name="V" localSheetId="7">#REF!</definedName>
    <definedName name="V" localSheetId="8">#REF!</definedName>
    <definedName name="V" localSheetId="9">#REF!</definedName>
    <definedName name="V" localSheetId="10">#REF!</definedName>
    <definedName name="V" localSheetId="11">#REF!</definedName>
    <definedName name="V" localSheetId="1">#REF!</definedName>
    <definedName name="V">#REF!</definedName>
    <definedName name="V_waterproofing">'[22]9'!$N$25</definedName>
    <definedName name="V_Waterproofing_Area" localSheetId="2">#REF!</definedName>
    <definedName name="V_Waterproofing_Area" localSheetId="3">#REF!</definedName>
    <definedName name="V_Waterproofing_Area" localSheetId="4">#REF!</definedName>
    <definedName name="V_Waterproofing_Area" localSheetId="5">#REF!</definedName>
    <definedName name="V_Waterproofing_Area" localSheetId="6">#REF!</definedName>
    <definedName name="V_Waterproofing_Area" localSheetId="7">#REF!</definedName>
    <definedName name="V_Waterproofing_Area" localSheetId="8">#REF!</definedName>
    <definedName name="V_Waterproofing_Area" localSheetId="9">#REF!</definedName>
    <definedName name="V_Waterproofing_Area" localSheetId="10">#REF!</definedName>
    <definedName name="V_Waterproofing_Area" localSheetId="11">#REF!</definedName>
    <definedName name="V_Waterproofing_Area" localSheetId="1">#REF!</definedName>
    <definedName name="V_Waterproofing_Area">#REF!</definedName>
    <definedName name="w">'[7]3'!$C$41</definedName>
    <definedName name="WAGE" localSheetId="2">#REF!</definedName>
    <definedName name="WAGE" localSheetId="3">#REF!</definedName>
    <definedName name="WAGE" localSheetId="4">#REF!</definedName>
    <definedName name="WAGE" localSheetId="5">#REF!</definedName>
    <definedName name="WAGE" localSheetId="6">#REF!</definedName>
    <definedName name="WAGE" localSheetId="7">#REF!</definedName>
    <definedName name="WAGE" localSheetId="8">#REF!</definedName>
    <definedName name="WAGE" localSheetId="9">#REF!</definedName>
    <definedName name="WAGE" localSheetId="10">#REF!</definedName>
    <definedName name="WAGE" localSheetId="11">#REF!</definedName>
    <definedName name="WAGE" localSheetId="1">#REF!</definedName>
    <definedName name="WAGE">#REF!</definedName>
    <definedName name="Waterstops_Compartmantalization" localSheetId="2">#REF!</definedName>
    <definedName name="Waterstops_Compartmantalization" localSheetId="3">#REF!</definedName>
    <definedName name="Waterstops_Compartmantalization" localSheetId="4">#REF!</definedName>
    <definedName name="Waterstops_Compartmantalization" localSheetId="5">#REF!</definedName>
    <definedName name="Waterstops_Compartmantalization" localSheetId="6">#REF!</definedName>
    <definedName name="Waterstops_Compartmantalization" localSheetId="7">#REF!</definedName>
    <definedName name="Waterstops_Compartmantalization" localSheetId="8">#REF!</definedName>
    <definedName name="Waterstops_Compartmantalization" localSheetId="9">#REF!</definedName>
    <definedName name="Waterstops_Compartmantalization" localSheetId="10">#REF!</definedName>
    <definedName name="Waterstops_Compartmantalization" localSheetId="11">#REF!</definedName>
    <definedName name="Waterstops_Compartmantalization" localSheetId="1">#REF!</definedName>
    <definedName name="Waterstops_Compartmantalization">#REF!</definedName>
    <definedName name="Width_of_the_cell_Y_direction__m" localSheetId="2">#REF!</definedName>
    <definedName name="Width_of_the_cell_Y_direction__m" localSheetId="3">#REF!</definedName>
    <definedName name="Width_of_the_cell_Y_direction__m" localSheetId="4">#REF!</definedName>
    <definedName name="Width_of_the_cell_Y_direction__m" localSheetId="5">#REF!</definedName>
    <definedName name="Width_of_the_cell_Y_direction__m" localSheetId="6">#REF!</definedName>
    <definedName name="Width_of_the_cell_Y_direction__m" localSheetId="7">#REF!</definedName>
    <definedName name="Width_of_the_cell_Y_direction__m" localSheetId="8">#REF!</definedName>
    <definedName name="Width_of_the_cell_Y_direction__m" localSheetId="9">#REF!</definedName>
    <definedName name="Width_of_the_cell_Y_direction__m" localSheetId="10">#REF!</definedName>
    <definedName name="Width_of_the_cell_Y_direction__m" localSheetId="11">#REF!</definedName>
    <definedName name="Width_of_the_cell_Y_direction__m" localSheetId="1">#REF!</definedName>
    <definedName name="Width_of_the_cell_Y_direction__m">#REF!</definedName>
    <definedName name="wp" localSheetId="2">#REF!</definedName>
    <definedName name="wp" localSheetId="3">#REF!</definedName>
    <definedName name="wp" localSheetId="4">#REF!</definedName>
    <definedName name="wp" localSheetId="5">#REF!</definedName>
    <definedName name="wp" localSheetId="6">#REF!</definedName>
    <definedName name="wp" localSheetId="7">#REF!</definedName>
    <definedName name="wp" localSheetId="8">#REF!</definedName>
    <definedName name="wp" localSheetId="9">#REF!</definedName>
    <definedName name="wp" localSheetId="10">#REF!</definedName>
    <definedName name="wp" localSheetId="11">#REF!</definedName>
    <definedName name="wp" localSheetId="1">#REF!</definedName>
    <definedName name="wp">#REF!</definedName>
    <definedName name="wrn.Chandana." localSheetId="12" hidden="1">{#N/A,#N/A,FALSE,"VCR"}</definedName>
    <definedName name="wrn.Chandana." localSheetId="2" hidden="1">{#N/A,#N/A,FALSE,"VCR"}</definedName>
    <definedName name="wrn.Chandana." localSheetId="3" hidden="1">{#N/A,#N/A,FALSE,"VCR"}</definedName>
    <definedName name="wrn.Chandana." localSheetId="4" hidden="1">{#N/A,#N/A,FALSE,"VCR"}</definedName>
    <definedName name="wrn.Chandana." localSheetId="5" hidden="1">{#N/A,#N/A,FALSE,"VCR"}</definedName>
    <definedName name="wrn.Chandana." localSheetId="6" hidden="1">{#N/A,#N/A,FALSE,"VCR"}</definedName>
    <definedName name="wrn.Chandana." localSheetId="7" hidden="1">{#N/A,#N/A,FALSE,"VCR"}</definedName>
    <definedName name="wrn.Chandana." localSheetId="8" hidden="1">{#N/A,#N/A,FALSE,"VCR"}</definedName>
    <definedName name="wrn.Chandana." localSheetId="9" hidden="1">{#N/A,#N/A,FALSE,"VCR"}</definedName>
    <definedName name="wrn.Chandana." localSheetId="10" hidden="1">{#N/A,#N/A,FALSE,"VCR"}</definedName>
    <definedName name="wrn.Chandana." localSheetId="11" hidden="1">{#N/A,#N/A,FALSE,"VCR"}</definedName>
    <definedName name="wrn.Chandana." localSheetId="1" hidden="1">{#N/A,#N/A,FALSE,"VCR"}</definedName>
    <definedName name="wrn.Chandana." hidden="1">{#N/A,#N/A,FALSE,"VCR"}</definedName>
    <definedName name="wrn.PRINT._.REPORT." localSheetId="12" hidden="1">{#N/A,#N/A,FALSE,"summary";#N/A,#N/A,FALSE,"preliminy";#N/A,#N/A,FALSE,"bill 3";#N/A,#N/A,FALSE,"bill 4"}</definedName>
    <definedName name="wrn.PRINT._.REPORT." localSheetId="2" hidden="1">{#N/A,#N/A,FALSE,"summary";#N/A,#N/A,FALSE,"preliminy";#N/A,#N/A,FALSE,"bill 3";#N/A,#N/A,FALSE,"bill 4"}</definedName>
    <definedName name="wrn.PRINT._.REPORT." localSheetId="3" hidden="1">{#N/A,#N/A,FALSE,"summary";#N/A,#N/A,FALSE,"preliminy";#N/A,#N/A,FALSE,"bill 3";#N/A,#N/A,FALSE,"bill 4"}</definedName>
    <definedName name="wrn.PRINT._.REPORT." localSheetId="4" hidden="1">{#N/A,#N/A,FALSE,"summary";#N/A,#N/A,FALSE,"preliminy";#N/A,#N/A,FALSE,"bill 3";#N/A,#N/A,FALSE,"bill 4"}</definedName>
    <definedName name="wrn.PRINT._.REPORT." localSheetId="5" hidden="1">{#N/A,#N/A,FALSE,"summary";#N/A,#N/A,FALSE,"preliminy";#N/A,#N/A,FALSE,"bill 3";#N/A,#N/A,FALSE,"bill 4"}</definedName>
    <definedName name="wrn.PRINT._.REPORT." localSheetId="6" hidden="1">{#N/A,#N/A,FALSE,"summary";#N/A,#N/A,FALSE,"preliminy";#N/A,#N/A,FALSE,"bill 3";#N/A,#N/A,FALSE,"bill 4"}</definedName>
    <definedName name="wrn.PRINT._.REPORT." localSheetId="7" hidden="1">{#N/A,#N/A,FALSE,"summary";#N/A,#N/A,FALSE,"preliminy";#N/A,#N/A,FALSE,"bill 3";#N/A,#N/A,FALSE,"bill 4"}</definedName>
    <definedName name="wrn.PRINT._.REPORT." localSheetId="8" hidden="1">{#N/A,#N/A,FALSE,"summary";#N/A,#N/A,FALSE,"preliminy";#N/A,#N/A,FALSE,"bill 3";#N/A,#N/A,FALSE,"bill 4"}</definedName>
    <definedName name="wrn.PRINT._.REPORT." localSheetId="9" hidden="1">{#N/A,#N/A,FALSE,"summary";#N/A,#N/A,FALSE,"preliminy";#N/A,#N/A,FALSE,"bill 3";#N/A,#N/A,FALSE,"bill 4"}</definedName>
    <definedName name="wrn.PRINT._.REPORT." localSheetId="10" hidden="1">{#N/A,#N/A,FALSE,"summary";#N/A,#N/A,FALSE,"preliminy";#N/A,#N/A,FALSE,"bill 3";#N/A,#N/A,FALSE,"bill 4"}</definedName>
    <definedName name="wrn.PRINT._.REPORT." localSheetId="11" hidden="1">{#N/A,#N/A,FALSE,"summary";#N/A,#N/A,FALSE,"preliminy";#N/A,#N/A,FALSE,"bill 3";#N/A,#N/A,FALSE,"bill 4"}</definedName>
    <definedName name="wrn.PRINT._.REPORT." localSheetId="1" hidden="1">{#N/A,#N/A,FALSE,"summary";#N/A,#N/A,FALSE,"preliminy";#N/A,#N/A,FALSE,"bill 3";#N/A,#N/A,FALSE,"bill 4"}</definedName>
    <definedName name="wrn.PRINT._.REPORT." hidden="1">{#N/A,#N/A,FALSE,"summary";#N/A,#N/A,FALSE,"preliminy";#N/A,#N/A,FALSE,"bill 3";#N/A,#N/A,FALSE,"bill 4"}</definedName>
    <definedName name="X" localSheetId="2">#REF!</definedName>
    <definedName name="X" localSheetId="3">#REF!</definedName>
    <definedName name="X" localSheetId="4">#REF!</definedName>
    <definedName name="X" localSheetId="5">#REF!</definedName>
    <definedName name="X" localSheetId="6">#REF!</definedName>
    <definedName name="X" localSheetId="7">#REF!</definedName>
    <definedName name="X" localSheetId="8">#REF!</definedName>
    <definedName name="X" localSheetId="9">#REF!</definedName>
    <definedName name="X" localSheetId="10">#REF!</definedName>
    <definedName name="X" localSheetId="11">#REF!</definedName>
    <definedName name="X" localSheetId="1">#REF!</definedName>
    <definedName name="X">#REF!</definedName>
    <definedName name="xvxc">'[7]3'!$C$41</definedName>
    <definedName name="Y" localSheetId="2">#REF!</definedName>
    <definedName name="Y" localSheetId="3">#REF!</definedName>
    <definedName name="Y" localSheetId="4">#REF!</definedName>
    <definedName name="Y" localSheetId="5">#REF!</definedName>
    <definedName name="Y" localSheetId="6">#REF!</definedName>
    <definedName name="Y" localSheetId="7">#REF!</definedName>
    <definedName name="Y" localSheetId="8">#REF!</definedName>
    <definedName name="Y" localSheetId="9">#REF!</definedName>
    <definedName name="Y" localSheetId="10">#REF!</definedName>
    <definedName name="Y" localSheetId="11">#REF!</definedName>
    <definedName name="Y" localSheetId="1">#REF!</definedName>
    <definedName name="Y">#REF!</definedName>
    <definedName name="yjhyj" localSheetId="2">#REF!</definedName>
    <definedName name="yjhyj" localSheetId="3">#REF!</definedName>
    <definedName name="yjhyj" localSheetId="4">#REF!</definedName>
    <definedName name="yjhyj" localSheetId="5">#REF!</definedName>
    <definedName name="yjhyj" localSheetId="6">#REF!</definedName>
    <definedName name="yjhyj" localSheetId="7">#REF!</definedName>
    <definedName name="yjhyj" localSheetId="8">#REF!</definedName>
    <definedName name="yjhyj" localSheetId="9">#REF!</definedName>
    <definedName name="yjhyj" localSheetId="10">#REF!</definedName>
    <definedName name="yjhyj" localSheetId="11">#REF!</definedName>
    <definedName name="yjhyj" localSheetId="1">#REF!</definedName>
    <definedName name="yjhyj">#REF!</definedName>
    <definedName name="Z" localSheetId="2">#REF!</definedName>
    <definedName name="Z" localSheetId="3">#REF!</definedName>
    <definedName name="Z" localSheetId="4">#REF!</definedName>
    <definedName name="Z" localSheetId="5">#REF!</definedName>
    <definedName name="Z" localSheetId="6">#REF!</definedName>
    <definedName name="Z" localSheetId="7">#REF!</definedName>
    <definedName name="Z" localSheetId="8">#REF!</definedName>
    <definedName name="Z" localSheetId="9">#REF!</definedName>
    <definedName name="Z" localSheetId="10">#REF!</definedName>
    <definedName name="Z" localSheetId="11">#REF!</definedName>
    <definedName name="Z" localSheetId="1">#REF!</definedName>
    <definedName name="Z">#REF!</definedName>
    <definedName name="Z_09AFA358_18AB_4F70_994A_26F8BCF8C7CA_.wvu.Cols" localSheetId="2" hidden="1">Conc_C!#REF!,Conc_C!#REF!,Conc_C!#REF!,Conc_C!$D:$D,Conc_C!$F:$F,Conc_C!$H:$H,Conc_C!$J:$J,Conc_C!$L:$L,Conc_C!$N:$N,Conc_C!#REF!,Conc_C!#REF!,Conc_C!#REF!</definedName>
    <definedName name="Z_09AFA358_18AB_4F70_994A_26F8BCF8C7CA_.wvu.Cols" localSheetId="3" hidden="1">D.Masonry!#REF!,D.Masonry!#REF!,D.Masonry!#REF!,D.Masonry!$D:$D,D.Masonry!$F:$F,D.Masonry!$H:$H,D.Masonry!$J:$J,D.Masonry!$L:$L,D.Masonry!$N:$N,D.Masonry!#REF!,D.Masonry!#REF!,D.Masonry!#REF!</definedName>
    <definedName name="Z_09AFA358_18AB_4F70_994A_26F8BCF8C7CA_.wvu.Cols" localSheetId="4" hidden="1">E.Metalwork!#REF!,E.Metalwork!#REF!,E.Metalwork!#REF!,E.Metalwork!$D:$D,E.Metalwork!$F:$F,E.Metalwork!$H:$H,E.Metalwork!$J:$J,E.Metalwork!$L:$L,E.Metalwork!$N:$N,E.Metalwork!#REF!,E.Metalwork!#REF!,E.Metalwork!#REF!</definedName>
    <definedName name="Z_09AFA358_18AB_4F70_994A_26F8BCF8C7CA_.wvu.Cols" localSheetId="5" hidden="1">F.Woodwork!#REF!,F.Woodwork!#REF!,F.Woodwork!#REF!,F.Woodwork!$D:$D,F.Woodwork!$F:$F,F.Woodwork!$H:$H,F.Woodwork!$J:$J,F.Woodwork!$L:$L,F.Woodwork!$N:$N,F.Woodwork!#REF!,F.Woodwork!#REF!,F.Woodwork!#REF!</definedName>
    <definedName name="Z_09AFA358_18AB_4F70_994A_26F8BCF8C7CA_.wvu.Cols" localSheetId="6" hidden="1">G.TMP!#REF!,G.TMP!#REF!,G.TMP!#REF!,G.TMP!$D:$D,G.TMP!$F:$F,G.TMP!$H:$H,G.TMP!$J:$J,G.TMP!$L:$L,G.TMP!$N:$N,G.TMP!#REF!,G.TMP!#REF!,G.TMP!#REF!</definedName>
    <definedName name="Z_09AFA358_18AB_4F70_994A_26F8BCF8C7CA_.wvu.Cols" localSheetId="7" hidden="1">'H.D&amp;W'!#REF!,'H.D&amp;W'!#REF!,'H.D&amp;W'!#REF!,'H.D&amp;W'!$D:$D,'H.D&amp;W'!$F:$F,'H.D&amp;W'!$H:$H,'H.D&amp;W'!$J:$J,'H.D&amp;W'!$L:$L,'H.D&amp;W'!$N:$N,'H.D&amp;W'!#REF!,'H.D&amp;W'!#REF!,'H.D&amp;W'!#REF!</definedName>
    <definedName name="Z_09AFA358_18AB_4F70_994A_26F8BCF8C7CA_.wvu.Cols" localSheetId="8" hidden="1">'J. Finishes'!#REF!,'J. Finishes'!#REF!,'J. Finishes'!#REF!,'J. Finishes'!$D:$D,'J. Finishes'!$F:$F,'J. Finishes'!$H:$H,'J. Finishes'!$J:$J,'J. Finishes'!$L:$L,'J. Finishes'!$N:$N,'J. Finishes'!#REF!,'J. Finishes'!#REF!,'J. Finishes'!#REF!</definedName>
    <definedName name="Z_09AFA358_18AB_4F70_994A_26F8BCF8C7CA_.wvu.Cols" localSheetId="9" hidden="1">'K. Accessories'!#REF!,'K. Accessories'!#REF!,'K. Accessories'!#REF!,'K. Accessories'!$D:$D,'K. Accessories'!$F:$F,'K. Accessories'!$H:$H,'K. Accessories'!$J:$J,'K. Accessories'!$L:$L,'K. Accessories'!$N:$N,'K. Accessories'!#REF!,'K. Accessories'!#REF!,'K. Accessories'!#REF!</definedName>
    <definedName name="Z_09AFA358_18AB_4F70_994A_26F8BCF8C7CA_.wvu.Cols" localSheetId="10" hidden="1">'Q. Mech'!#REF!,'Q. Mech'!#REF!,'Q. Mech'!#REF!,'Q. Mech'!$D:$D,'Q. Mech'!$F:$F,'Q. Mech'!$H:$H,'Q. Mech'!$J:$J,'Q. Mech'!$L:$L,'Q. Mech'!$N:$N,'Q. Mech'!#REF!,'Q. Mech'!#REF!,'Q. Mech'!#REF!</definedName>
    <definedName name="Z_09AFA358_18AB_4F70_994A_26F8BCF8C7CA_.wvu.Cols" localSheetId="11" hidden="1">'R. Elec'!#REF!,'R. Elec'!#REF!,'R. Elec'!#REF!,'R. Elec'!$D:$D,'R. Elec'!$F:$F,'R. Elec'!$H:$H,'R. Elec'!$J:$J,'R. Elec'!$L:$L,'R. Elec'!$N:$N,'R. Elec'!#REF!,'R. Elec'!#REF!,'R. Elec'!#REF!</definedName>
    <definedName name="Z_09AFA358_18AB_4F70_994A_26F8BCF8C7CA_.wvu.Cols" localSheetId="1" hidden="1">Sitework!#REF!,Sitework!#REF!,Sitework!#REF!,Sitework!$D:$D,Sitework!$F:$F,Sitework!$H:$H,Sitework!$J:$J,Sitework!$L:$L,Sitework!$N:$N,Sitework!#REF!,Sitework!#REF!,Sitework!#REF!</definedName>
    <definedName name="Z_09AFA358_18AB_4F70_994A_26F8BCF8C7CA_.wvu.FilterData" localSheetId="8" hidden="1">'J. Finishes'!$A$3:$U$331</definedName>
    <definedName name="Z_09AFA358_18AB_4F70_994A_26F8BCF8C7CA_.wvu.FilterData" localSheetId="10" hidden="1">'Q. Mech'!$A$3:$Z$6</definedName>
    <definedName name="Z_09AFA358_18AB_4F70_994A_26F8BCF8C7CA_.wvu.FilterData" localSheetId="11" hidden="1">'R. Elec'!$A$3:$Z$4</definedName>
    <definedName name="Z_09AFA358_18AB_4F70_994A_26F8BCF8C7CA_.wvu.PrintArea" localSheetId="0" hidden="1">'Bill 3 fly'!$A$1:$J$52</definedName>
    <definedName name="Z_09AFA358_18AB_4F70_994A_26F8BCF8C7CA_.wvu.PrintArea" localSheetId="12" hidden="1">'Bill 3-Summary'!$A$1:$J$37</definedName>
    <definedName name="Z_09AFA358_18AB_4F70_994A_26F8BCF8C7CA_.wvu.PrintArea" localSheetId="2" hidden="1">Conc_C!$A$1:$R$271</definedName>
    <definedName name="Z_09AFA358_18AB_4F70_994A_26F8BCF8C7CA_.wvu.PrintArea" localSheetId="3" hidden="1">D.Masonry!$A$1:$R$163</definedName>
    <definedName name="Z_09AFA358_18AB_4F70_994A_26F8BCF8C7CA_.wvu.PrintArea" localSheetId="4" hidden="1">E.Metalwork!$A$1:$R$177</definedName>
    <definedName name="Z_09AFA358_18AB_4F70_994A_26F8BCF8C7CA_.wvu.PrintArea" localSheetId="5" hidden="1">F.Woodwork!$A$1:$R$128</definedName>
    <definedName name="Z_09AFA358_18AB_4F70_994A_26F8BCF8C7CA_.wvu.PrintArea" localSheetId="6" hidden="1">G.TMP!$A$1:$R$178</definedName>
    <definedName name="Z_09AFA358_18AB_4F70_994A_26F8BCF8C7CA_.wvu.PrintArea" localSheetId="7" hidden="1">'H.D&amp;W'!$A$1:$R$229</definedName>
    <definedName name="Z_09AFA358_18AB_4F70_994A_26F8BCF8C7CA_.wvu.PrintArea" localSheetId="8" hidden="1">'J. Finishes'!$A$1:$R$356</definedName>
    <definedName name="Z_09AFA358_18AB_4F70_994A_26F8BCF8C7CA_.wvu.PrintArea" localSheetId="9" hidden="1">'K. Accessories'!$A$1:$R$229</definedName>
    <definedName name="Z_09AFA358_18AB_4F70_994A_26F8BCF8C7CA_.wvu.PrintArea" localSheetId="10" hidden="1">'Q. Mech'!$A$1:$R$6</definedName>
    <definedName name="Z_09AFA358_18AB_4F70_994A_26F8BCF8C7CA_.wvu.PrintArea" localSheetId="11" hidden="1">'R. Elec'!$A$1:$R$4</definedName>
    <definedName name="Z_09AFA358_18AB_4F70_994A_26F8BCF8C7CA_.wvu.PrintArea" localSheetId="1" hidden="1">Sitework!$A$1:$R$183</definedName>
    <definedName name="Z_09AFA358_18AB_4F70_994A_26F8BCF8C7CA_.wvu.PrintTitles" localSheetId="12" hidden="1">'Bill 3-Summary'!$1:$2</definedName>
    <definedName name="Z_09AFA358_18AB_4F70_994A_26F8BCF8C7CA_.wvu.PrintTitles" localSheetId="2" hidden="1">Conc_C!$1:$3</definedName>
    <definedName name="Z_09AFA358_18AB_4F70_994A_26F8BCF8C7CA_.wvu.PrintTitles" localSheetId="3" hidden="1">D.Masonry!$1:$3</definedName>
    <definedName name="Z_09AFA358_18AB_4F70_994A_26F8BCF8C7CA_.wvu.PrintTitles" localSheetId="4" hidden="1">E.Metalwork!$1:$3</definedName>
    <definedName name="Z_09AFA358_18AB_4F70_994A_26F8BCF8C7CA_.wvu.PrintTitles" localSheetId="5" hidden="1">F.Woodwork!$1:$3</definedName>
    <definedName name="Z_09AFA358_18AB_4F70_994A_26F8BCF8C7CA_.wvu.PrintTitles" localSheetId="6" hidden="1">G.TMP!$1:$3</definedName>
    <definedName name="Z_09AFA358_18AB_4F70_994A_26F8BCF8C7CA_.wvu.PrintTitles" localSheetId="7" hidden="1">'H.D&amp;W'!$1:$3</definedName>
    <definedName name="Z_09AFA358_18AB_4F70_994A_26F8BCF8C7CA_.wvu.PrintTitles" localSheetId="8" hidden="1">'J. Finishes'!$1:$3</definedName>
    <definedName name="Z_09AFA358_18AB_4F70_994A_26F8BCF8C7CA_.wvu.PrintTitles" localSheetId="9" hidden="1">'K. Accessories'!$1:$3</definedName>
    <definedName name="Z_09AFA358_18AB_4F70_994A_26F8BCF8C7CA_.wvu.PrintTitles" localSheetId="10" hidden="1">'Q. Mech'!$1:$3</definedName>
    <definedName name="Z_09AFA358_18AB_4F70_994A_26F8BCF8C7CA_.wvu.PrintTitles" localSheetId="11" hidden="1">'R. Elec'!$1:$3</definedName>
    <definedName name="Z_09AFA358_18AB_4F70_994A_26F8BCF8C7CA_.wvu.PrintTitles" localSheetId="1" hidden="1">Sitework!$1:$3</definedName>
    <definedName name="Z_09AFA358_18AB_4F70_994A_26F8BCF8C7CA_.wvu.Rows" localSheetId="3" hidden="1">D.Masonry!#REF!</definedName>
    <definedName name="Z_3948627C_1AC3_4271_9579_A21AA644E012_.wvu.Cols" localSheetId="10" hidden="1">'Q. Mech'!$D:$D,'Q. Mech'!$F:$F,'Q. Mech'!$H:$H,'Q. Mech'!$J:$J,'Q. Mech'!$L:$L,'Q. Mech'!$N:$N</definedName>
    <definedName name="Z_3948627C_1AC3_4271_9579_A21AA644E012_.wvu.Cols" localSheetId="11" hidden="1">'R. Elec'!$D:$D,'R. Elec'!$F:$F,'R. Elec'!$H:$H,'R. Elec'!$J:$J,'R. Elec'!$L:$L,'R. Elec'!$N:$N</definedName>
    <definedName name="Z_3948627C_1AC3_4271_9579_A21AA644E012_.wvu.FilterData" localSheetId="10" hidden="1">'Q. Mech'!$A$4:$Z$1074</definedName>
    <definedName name="Z_3948627C_1AC3_4271_9579_A21AA644E012_.wvu.FilterData" localSheetId="11" hidden="1">'R. Elec'!$A$4:$Z$506</definedName>
    <definedName name="Z_3948627C_1AC3_4271_9579_A21AA644E012_.wvu.PrintArea" localSheetId="10" hidden="1">'Q. Mech'!$A$1:$R$1074</definedName>
    <definedName name="Z_3948627C_1AC3_4271_9579_A21AA644E012_.wvu.PrintArea" localSheetId="11" hidden="1">'R. Elec'!$A$1:$R$506</definedName>
    <definedName name="Z_3948627C_1AC3_4271_9579_A21AA644E012_.wvu.PrintTitles" localSheetId="10" hidden="1">'Q. Mech'!$1:$3</definedName>
    <definedName name="Z_3948627C_1AC3_4271_9579_A21AA644E012_.wvu.PrintTitles" localSheetId="11" hidden="1">'R. Elec'!$1:$3</definedName>
    <definedName name="Z_482A7D88_F086_4461_B197_99768133432E_.wvu.FilterData" localSheetId="10" hidden="1">'Q. Mech'!$A$4:$Z$1074</definedName>
    <definedName name="Z_482A7D88_F086_4461_B197_99768133432E_.wvu.FilterData" localSheetId="11" hidden="1">'R. Elec'!$A$4:$Z$506</definedName>
    <definedName name="Z_526DD3AC_4570_4BAA_96ED_DCDBA28AE7C1_.wvu.FilterData" localSheetId="10" hidden="1">'Q. Mech'!$A$4:$Z$1074</definedName>
    <definedName name="Z_526DD3AC_4570_4BAA_96ED_DCDBA28AE7C1_.wvu.FilterData" localSheetId="11" hidden="1">'R. Elec'!$A$4:$Z$506</definedName>
    <definedName name="Z_56C1D852_8ADB_4510_8C75_E76EF2545BF7_.wvu.FilterData" localSheetId="10" hidden="1">'Q. Mech'!$A$4:$Z$1074</definedName>
    <definedName name="Z_56C1D852_8ADB_4510_8C75_E76EF2545BF7_.wvu.FilterData" localSheetId="11" hidden="1">'R. Elec'!$A$4:$Z$506</definedName>
    <definedName name="Z_7D3EFF4B_130A_4708_9AD3_7D52B74995BB_.wvu.FilterData" localSheetId="10" hidden="1">'Q. Mech'!$A$4:$Z$1074</definedName>
    <definedName name="Z_7D3EFF4B_130A_4708_9AD3_7D52B74995BB_.wvu.FilterData" localSheetId="11" hidden="1">'R. Elec'!$A$4:$Z$506</definedName>
    <definedName name="Z_9B0AB937_A858_4024_AFD2_25458CC5120D_.wvu.Cols" localSheetId="2" hidden="1">Conc_C!#REF!,Conc_C!#REF!,Conc_C!#REF!,Conc_C!$D:$D,Conc_C!$F:$F,Conc_C!$H:$H,Conc_C!$J:$J,Conc_C!$L:$L,Conc_C!$N:$N,Conc_C!#REF!,Conc_C!#REF!,Conc_C!#REF!</definedName>
    <definedName name="Z_9B0AB937_A858_4024_AFD2_25458CC5120D_.wvu.Cols" localSheetId="3" hidden="1">D.Masonry!#REF!,D.Masonry!#REF!,D.Masonry!#REF!,D.Masonry!$D:$D,D.Masonry!$F:$F,D.Masonry!$H:$H,D.Masonry!$J:$J,D.Masonry!$L:$L,D.Masonry!$N:$N,D.Masonry!#REF!,D.Masonry!#REF!,D.Masonry!#REF!</definedName>
    <definedName name="Z_9B0AB937_A858_4024_AFD2_25458CC5120D_.wvu.Cols" localSheetId="4" hidden="1">E.Metalwork!#REF!,E.Metalwork!#REF!,E.Metalwork!#REF!,E.Metalwork!$D:$D,E.Metalwork!$F:$F,E.Metalwork!$H:$H,E.Metalwork!$J:$J,E.Metalwork!$L:$L,E.Metalwork!$N:$N,E.Metalwork!#REF!,E.Metalwork!#REF!,E.Metalwork!#REF!</definedName>
    <definedName name="Z_9B0AB937_A858_4024_AFD2_25458CC5120D_.wvu.Cols" localSheetId="5" hidden="1">F.Woodwork!#REF!,F.Woodwork!#REF!,F.Woodwork!#REF!,F.Woodwork!$D:$D,F.Woodwork!$F:$F,F.Woodwork!$H:$H,F.Woodwork!$J:$J,F.Woodwork!$L:$L,F.Woodwork!$N:$N,F.Woodwork!#REF!,F.Woodwork!#REF!,F.Woodwork!#REF!</definedName>
    <definedName name="Z_9B0AB937_A858_4024_AFD2_25458CC5120D_.wvu.Cols" localSheetId="6" hidden="1">G.TMP!#REF!,G.TMP!#REF!,G.TMP!#REF!,G.TMP!$D:$D,G.TMP!$F:$F,G.TMP!$H:$H,G.TMP!$J:$J,G.TMP!$L:$L,G.TMP!$N:$N,G.TMP!#REF!,G.TMP!#REF!,G.TMP!#REF!</definedName>
    <definedName name="Z_9B0AB937_A858_4024_AFD2_25458CC5120D_.wvu.Cols" localSheetId="7" hidden="1">'H.D&amp;W'!#REF!,'H.D&amp;W'!#REF!,'H.D&amp;W'!#REF!,'H.D&amp;W'!$D:$D,'H.D&amp;W'!$F:$F,'H.D&amp;W'!$H:$H,'H.D&amp;W'!$J:$J,'H.D&amp;W'!$L:$L,'H.D&amp;W'!$N:$N,'H.D&amp;W'!#REF!,'H.D&amp;W'!#REF!,'H.D&amp;W'!#REF!</definedName>
    <definedName name="Z_9B0AB937_A858_4024_AFD2_25458CC5120D_.wvu.Cols" localSheetId="8" hidden="1">'J. Finishes'!#REF!,'J. Finishes'!#REF!,'J. Finishes'!#REF!,'J. Finishes'!$D:$D,'J. Finishes'!$F:$F,'J. Finishes'!$H:$H,'J. Finishes'!$J:$J,'J. Finishes'!$L:$L,'J. Finishes'!$N:$N,'J. Finishes'!#REF!,'J. Finishes'!#REF!,'J. Finishes'!#REF!</definedName>
    <definedName name="Z_9B0AB937_A858_4024_AFD2_25458CC5120D_.wvu.Cols" localSheetId="9" hidden="1">'K. Accessories'!#REF!,'K. Accessories'!#REF!,'K. Accessories'!#REF!,'K. Accessories'!$D:$D,'K. Accessories'!$F:$F,'K. Accessories'!$H:$H,'K. Accessories'!$J:$J,'K. Accessories'!$L:$L,'K. Accessories'!$N:$N,'K. Accessories'!#REF!,'K. Accessories'!#REF!,'K. Accessories'!#REF!</definedName>
    <definedName name="Z_9B0AB937_A858_4024_AFD2_25458CC5120D_.wvu.Cols" localSheetId="10" hidden="1">'Q. Mech'!#REF!,'Q. Mech'!#REF!,'Q. Mech'!#REF!,'Q. Mech'!$D:$D,'Q. Mech'!$F:$F,'Q. Mech'!$H:$H,'Q. Mech'!$J:$J,'Q. Mech'!$L:$L,'Q. Mech'!$N:$N,'Q. Mech'!#REF!,'Q. Mech'!#REF!,'Q. Mech'!#REF!</definedName>
    <definedName name="Z_9B0AB937_A858_4024_AFD2_25458CC5120D_.wvu.Cols" localSheetId="11" hidden="1">'R. Elec'!#REF!,'R. Elec'!#REF!,'R. Elec'!#REF!,'R. Elec'!$D:$D,'R. Elec'!$F:$F,'R. Elec'!$H:$H,'R. Elec'!$J:$J,'R. Elec'!$L:$L,'R. Elec'!$N:$N,'R. Elec'!#REF!,'R. Elec'!#REF!,'R. Elec'!#REF!</definedName>
    <definedName name="Z_9B0AB937_A858_4024_AFD2_25458CC5120D_.wvu.Cols" localSheetId="1" hidden="1">Sitework!#REF!,Sitework!#REF!,Sitework!#REF!,Sitework!$D:$D,Sitework!$F:$F,Sitework!$H:$H,Sitework!$J:$J,Sitework!$L:$L,Sitework!$N:$N,Sitework!#REF!,Sitework!#REF!,Sitework!#REF!</definedName>
    <definedName name="Z_9B0AB937_A858_4024_AFD2_25458CC5120D_.wvu.FilterData" localSheetId="8" hidden="1">'J. Finishes'!$A$3:$U$331</definedName>
    <definedName name="Z_9B0AB937_A858_4024_AFD2_25458CC5120D_.wvu.FilterData" localSheetId="10" hidden="1">'Q. Mech'!$A$3:$Z$6</definedName>
    <definedName name="Z_9B0AB937_A858_4024_AFD2_25458CC5120D_.wvu.FilterData" localSheetId="11" hidden="1">'R. Elec'!$A$3:$Z$4</definedName>
    <definedName name="Z_9B0AB937_A858_4024_AFD2_25458CC5120D_.wvu.PrintArea" localSheetId="0" hidden="1">'Bill 3 fly'!$A$1:$J$52</definedName>
    <definedName name="Z_9B0AB937_A858_4024_AFD2_25458CC5120D_.wvu.PrintArea" localSheetId="12" hidden="1">'Bill 3-Summary'!$A$1:$J$37</definedName>
    <definedName name="Z_9B0AB937_A858_4024_AFD2_25458CC5120D_.wvu.PrintArea" localSheetId="2" hidden="1">Conc_C!$A$1:$R$271</definedName>
    <definedName name="Z_9B0AB937_A858_4024_AFD2_25458CC5120D_.wvu.PrintArea" localSheetId="3" hidden="1">D.Masonry!$A$1:$R$163</definedName>
    <definedName name="Z_9B0AB937_A858_4024_AFD2_25458CC5120D_.wvu.PrintArea" localSheetId="4" hidden="1">E.Metalwork!$A$1:$R$177</definedName>
    <definedName name="Z_9B0AB937_A858_4024_AFD2_25458CC5120D_.wvu.PrintArea" localSheetId="5" hidden="1">F.Woodwork!$A$1:$R$128</definedName>
    <definedName name="Z_9B0AB937_A858_4024_AFD2_25458CC5120D_.wvu.PrintArea" localSheetId="6" hidden="1">G.TMP!$A$1:$R$178</definedName>
    <definedName name="Z_9B0AB937_A858_4024_AFD2_25458CC5120D_.wvu.PrintArea" localSheetId="7" hidden="1">'H.D&amp;W'!$A$1:$R$229</definedName>
    <definedName name="Z_9B0AB937_A858_4024_AFD2_25458CC5120D_.wvu.PrintArea" localSheetId="8" hidden="1">'J. Finishes'!$A$1:$R$356</definedName>
    <definedName name="Z_9B0AB937_A858_4024_AFD2_25458CC5120D_.wvu.PrintArea" localSheetId="9" hidden="1">'K. Accessories'!$A$1:$R$229</definedName>
    <definedName name="Z_9B0AB937_A858_4024_AFD2_25458CC5120D_.wvu.PrintArea" localSheetId="10" hidden="1">'Q. Mech'!$A$1:$R$6</definedName>
    <definedName name="Z_9B0AB937_A858_4024_AFD2_25458CC5120D_.wvu.PrintArea" localSheetId="11" hidden="1">'R. Elec'!$A$1:$R$4</definedName>
    <definedName name="Z_9B0AB937_A858_4024_AFD2_25458CC5120D_.wvu.PrintArea" localSheetId="1" hidden="1">Sitework!$A$1:$R$183</definedName>
    <definedName name="Z_9B0AB937_A858_4024_AFD2_25458CC5120D_.wvu.PrintTitles" localSheetId="12" hidden="1">'Bill 3-Summary'!$1:$2</definedName>
    <definedName name="Z_9B0AB937_A858_4024_AFD2_25458CC5120D_.wvu.PrintTitles" localSheetId="2" hidden="1">Conc_C!$1:$3</definedName>
    <definedName name="Z_9B0AB937_A858_4024_AFD2_25458CC5120D_.wvu.PrintTitles" localSheetId="3" hidden="1">D.Masonry!$1:$3</definedName>
    <definedName name="Z_9B0AB937_A858_4024_AFD2_25458CC5120D_.wvu.PrintTitles" localSheetId="4" hidden="1">E.Metalwork!$1:$3</definedName>
    <definedName name="Z_9B0AB937_A858_4024_AFD2_25458CC5120D_.wvu.PrintTitles" localSheetId="5" hidden="1">F.Woodwork!$1:$3</definedName>
    <definedName name="Z_9B0AB937_A858_4024_AFD2_25458CC5120D_.wvu.PrintTitles" localSheetId="6" hidden="1">G.TMP!$1:$3</definedName>
    <definedName name="Z_9B0AB937_A858_4024_AFD2_25458CC5120D_.wvu.PrintTitles" localSheetId="7" hidden="1">'H.D&amp;W'!$1:$3</definedName>
    <definedName name="Z_9B0AB937_A858_4024_AFD2_25458CC5120D_.wvu.PrintTitles" localSheetId="8" hidden="1">'J. Finishes'!$1:$3</definedName>
    <definedName name="Z_9B0AB937_A858_4024_AFD2_25458CC5120D_.wvu.PrintTitles" localSheetId="9" hidden="1">'K. Accessories'!$1:$3</definedName>
    <definedName name="Z_9B0AB937_A858_4024_AFD2_25458CC5120D_.wvu.PrintTitles" localSheetId="10" hidden="1">'Q. Mech'!$1:$3</definedName>
    <definedName name="Z_9B0AB937_A858_4024_AFD2_25458CC5120D_.wvu.PrintTitles" localSheetId="11" hidden="1">'R. Elec'!$1:$3</definedName>
    <definedName name="Z_9B0AB937_A858_4024_AFD2_25458CC5120D_.wvu.PrintTitles" localSheetId="1" hidden="1">Sitework!$1:$3</definedName>
    <definedName name="Z_9B0AB937_A858_4024_AFD2_25458CC5120D_.wvu.Rows" localSheetId="3" hidden="1">D.Masonry!#REF!</definedName>
    <definedName name="Z_A5028593_220E_41E5_9B7F_B61B224ADECB_.wvu.Cols" localSheetId="2" hidden="1">Conc_C!#REF!,Conc_C!#REF!,Conc_C!#REF!,Conc_C!$D:$D,Conc_C!$F:$F,Conc_C!$H:$H,Conc_C!$J:$J,Conc_C!$L:$L,Conc_C!$N:$N,Conc_C!#REF!,Conc_C!#REF!,Conc_C!#REF!</definedName>
    <definedName name="Z_A5028593_220E_41E5_9B7F_B61B224ADECB_.wvu.Cols" localSheetId="3" hidden="1">D.Masonry!#REF!,D.Masonry!#REF!,D.Masonry!#REF!,D.Masonry!$D:$D,D.Masonry!$F:$F,D.Masonry!$H:$H,D.Masonry!$J:$J,D.Masonry!$L:$L,D.Masonry!$N:$N,D.Masonry!#REF!,D.Masonry!#REF!,D.Masonry!#REF!</definedName>
    <definedName name="Z_A5028593_220E_41E5_9B7F_B61B224ADECB_.wvu.Cols" localSheetId="4" hidden="1">E.Metalwork!#REF!,E.Metalwork!#REF!,E.Metalwork!#REF!,E.Metalwork!$D:$D,E.Metalwork!$F:$F,E.Metalwork!$H:$H,E.Metalwork!$J:$J,E.Metalwork!$L:$L,E.Metalwork!$N:$N,E.Metalwork!#REF!,E.Metalwork!#REF!,E.Metalwork!#REF!</definedName>
    <definedName name="Z_A5028593_220E_41E5_9B7F_B61B224ADECB_.wvu.Cols" localSheetId="5" hidden="1">F.Woodwork!#REF!,F.Woodwork!#REF!,F.Woodwork!#REF!,F.Woodwork!$D:$D,F.Woodwork!$F:$F,F.Woodwork!$H:$H,F.Woodwork!$J:$J,F.Woodwork!$L:$L,F.Woodwork!$N:$N,F.Woodwork!#REF!,F.Woodwork!#REF!,F.Woodwork!#REF!</definedName>
    <definedName name="Z_A5028593_220E_41E5_9B7F_B61B224ADECB_.wvu.Cols" localSheetId="6" hidden="1">G.TMP!#REF!,G.TMP!#REF!,G.TMP!#REF!,G.TMP!$D:$D,G.TMP!$F:$F,G.TMP!$H:$H,G.TMP!$J:$J,G.TMP!$L:$L,G.TMP!$N:$N,G.TMP!#REF!,G.TMP!#REF!,G.TMP!#REF!</definedName>
    <definedName name="Z_A5028593_220E_41E5_9B7F_B61B224ADECB_.wvu.Cols" localSheetId="7" hidden="1">'H.D&amp;W'!#REF!,'H.D&amp;W'!#REF!,'H.D&amp;W'!#REF!,'H.D&amp;W'!$D:$D,'H.D&amp;W'!$F:$F,'H.D&amp;W'!$H:$H,'H.D&amp;W'!$J:$J,'H.D&amp;W'!$L:$L,'H.D&amp;W'!$N:$N,'H.D&amp;W'!#REF!,'H.D&amp;W'!#REF!,'H.D&amp;W'!#REF!</definedName>
    <definedName name="Z_A5028593_220E_41E5_9B7F_B61B224ADECB_.wvu.Cols" localSheetId="8" hidden="1">'J. Finishes'!#REF!,'J. Finishes'!#REF!,'J. Finishes'!#REF!,'J. Finishes'!$D:$D,'J. Finishes'!$F:$F,'J. Finishes'!$H:$H,'J. Finishes'!$J:$J,'J. Finishes'!$L:$L,'J. Finishes'!$N:$N,'J. Finishes'!#REF!,'J. Finishes'!#REF!,'J. Finishes'!#REF!</definedName>
    <definedName name="Z_A5028593_220E_41E5_9B7F_B61B224ADECB_.wvu.Cols" localSheetId="9" hidden="1">'K. Accessories'!#REF!,'K. Accessories'!#REF!,'K. Accessories'!#REF!,'K. Accessories'!$D:$D,'K. Accessories'!$F:$F,'K. Accessories'!$H:$H,'K. Accessories'!$J:$J,'K. Accessories'!$L:$L,'K. Accessories'!$N:$N,'K. Accessories'!#REF!,'K. Accessories'!#REF!,'K. Accessories'!#REF!</definedName>
    <definedName name="Z_A5028593_220E_41E5_9B7F_B61B224ADECB_.wvu.Cols" localSheetId="10" hidden="1">'Q. Mech'!#REF!,'Q. Mech'!#REF!,'Q. Mech'!#REF!,'Q. Mech'!$D:$D,'Q. Mech'!$F:$F,'Q. Mech'!$H:$H,'Q. Mech'!$J:$J,'Q. Mech'!$L:$L,'Q. Mech'!$N:$N,'Q. Mech'!#REF!,'Q. Mech'!#REF!,'Q. Mech'!#REF!</definedName>
    <definedName name="Z_A5028593_220E_41E5_9B7F_B61B224ADECB_.wvu.Cols" localSheetId="11" hidden="1">'R. Elec'!#REF!,'R. Elec'!#REF!,'R. Elec'!#REF!,'R. Elec'!$D:$D,'R. Elec'!$F:$F,'R. Elec'!$H:$H,'R. Elec'!$J:$J,'R. Elec'!$L:$L,'R. Elec'!$N:$N,'R. Elec'!#REF!,'R. Elec'!#REF!,'R. Elec'!#REF!</definedName>
    <definedName name="Z_A5028593_220E_41E5_9B7F_B61B224ADECB_.wvu.Cols" localSheetId="1" hidden="1">Sitework!#REF!,Sitework!#REF!,Sitework!#REF!,Sitework!$D:$D,Sitework!$F:$F,Sitework!$H:$H,Sitework!$J:$J,Sitework!$L:$L,Sitework!$N:$N,Sitework!#REF!,Sitework!#REF!,Sitework!#REF!</definedName>
    <definedName name="Z_A5028593_220E_41E5_9B7F_B61B224ADECB_.wvu.FilterData" localSheetId="8" hidden="1">'J. Finishes'!$A$3:$U$331</definedName>
    <definedName name="Z_A5028593_220E_41E5_9B7F_B61B224ADECB_.wvu.FilterData" localSheetId="10" hidden="1">'Q. Mech'!$A$3:$Z$6</definedName>
    <definedName name="Z_A5028593_220E_41E5_9B7F_B61B224ADECB_.wvu.FilterData" localSheetId="11" hidden="1">'R. Elec'!$A$3:$Z$4</definedName>
    <definedName name="Z_A5028593_220E_41E5_9B7F_B61B224ADECB_.wvu.PrintArea" localSheetId="0" hidden="1">'Bill 3 fly'!$A$1:$J$52</definedName>
    <definedName name="Z_A5028593_220E_41E5_9B7F_B61B224ADECB_.wvu.PrintArea" localSheetId="12" hidden="1">'Bill 3-Summary'!$A$1:$J$37</definedName>
    <definedName name="Z_A5028593_220E_41E5_9B7F_B61B224ADECB_.wvu.PrintArea" localSheetId="2" hidden="1">Conc_C!$A$1:$R$271</definedName>
    <definedName name="Z_A5028593_220E_41E5_9B7F_B61B224ADECB_.wvu.PrintArea" localSheetId="3" hidden="1">D.Masonry!$A$1:$R$163</definedName>
    <definedName name="Z_A5028593_220E_41E5_9B7F_B61B224ADECB_.wvu.PrintArea" localSheetId="4" hidden="1">E.Metalwork!$A$1:$R$177</definedName>
    <definedName name="Z_A5028593_220E_41E5_9B7F_B61B224ADECB_.wvu.PrintArea" localSheetId="5" hidden="1">F.Woodwork!$A$1:$R$128</definedName>
    <definedName name="Z_A5028593_220E_41E5_9B7F_B61B224ADECB_.wvu.PrintArea" localSheetId="6" hidden="1">G.TMP!$A$1:$R$178</definedName>
    <definedName name="Z_A5028593_220E_41E5_9B7F_B61B224ADECB_.wvu.PrintArea" localSheetId="7" hidden="1">'H.D&amp;W'!$A$1:$R$229</definedName>
    <definedName name="Z_A5028593_220E_41E5_9B7F_B61B224ADECB_.wvu.PrintArea" localSheetId="8" hidden="1">'J. Finishes'!$A$1:$R$356</definedName>
    <definedName name="Z_A5028593_220E_41E5_9B7F_B61B224ADECB_.wvu.PrintArea" localSheetId="9" hidden="1">'K. Accessories'!$A$1:$R$229</definedName>
    <definedName name="Z_A5028593_220E_41E5_9B7F_B61B224ADECB_.wvu.PrintArea" localSheetId="10" hidden="1">'Q. Mech'!$A$1:$R$6</definedName>
    <definedName name="Z_A5028593_220E_41E5_9B7F_B61B224ADECB_.wvu.PrintArea" localSheetId="11" hidden="1">'R. Elec'!$A$1:$R$4</definedName>
    <definedName name="Z_A5028593_220E_41E5_9B7F_B61B224ADECB_.wvu.PrintArea" localSheetId="1" hidden="1">Sitework!$A$1:$R$183</definedName>
    <definedName name="Z_A5028593_220E_41E5_9B7F_B61B224ADECB_.wvu.PrintTitles" localSheetId="12" hidden="1">'Bill 3-Summary'!$1:$2</definedName>
    <definedName name="Z_A5028593_220E_41E5_9B7F_B61B224ADECB_.wvu.PrintTitles" localSheetId="2" hidden="1">Conc_C!$1:$3</definedName>
    <definedName name="Z_A5028593_220E_41E5_9B7F_B61B224ADECB_.wvu.PrintTitles" localSheetId="3" hidden="1">D.Masonry!$1:$3</definedName>
    <definedName name="Z_A5028593_220E_41E5_9B7F_B61B224ADECB_.wvu.PrintTitles" localSheetId="4" hidden="1">E.Metalwork!$1:$3</definedName>
    <definedName name="Z_A5028593_220E_41E5_9B7F_B61B224ADECB_.wvu.PrintTitles" localSheetId="5" hidden="1">F.Woodwork!$1:$3</definedName>
    <definedName name="Z_A5028593_220E_41E5_9B7F_B61B224ADECB_.wvu.PrintTitles" localSheetId="6" hidden="1">G.TMP!$1:$3</definedName>
    <definedName name="Z_A5028593_220E_41E5_9B7F_B61B224ADECB_.wvu.PrintTitles" localSheetId="7" hidden="1">'H.D&amp;W'!$1:$3</definedName>
    <definedName name="Z_A5028593_220E_41E5_9B7F_B61B224ADECB_.wvu.PrintTitles" localSheetId="8" hidden="1">'J. Finishes'!$1:$3</definedName>
    <definedName name="Z_A5028593_220E_41E5_9B7F_B61B224ADECB_.wvu.PrintTitles" localSheetId="9" hidden="1">'K. Accessories'!$1:$3</definedName>
    <definedName name="Z_A5028593_220E_41E5_9B7F_B61B224ADECB_.wvu.PrintTitles" localSheetId="10" hidden="1">'Q. Mech'!$1:$3</definedName>
    <definedName name="Z_A5028593_220E_41E5_9B7F_B61B224ADECB_.wvu.PrintTitles" localSheetId="11" hidden="1">'R. Elec'!$1:$3</definedName>
    <definedName name="Z_A5028593_220E_41E5_9B7F_B61B224ADECB_.wvu.PrintTitles" localSheetId="1" hidden="1">Sitework!$1:$3</definedName>
    <definedName name="Z_A5028593_220E_41E5_9B7F_B61B224ADECB_.wvu.Rows" localSheetId="3" hidden="1">D.Masonry!#REF!</definedName>
    <definedName name="Z_AE0784B2_3C23_4745_899E_5BD218D0873D_.wvu.Cols" localSheetId="10" hidden="1">'Q. Mech'!$C:$O</definedName>
    <definedName name="Z_AE0784B2_3C23_4745_899E_5BD218D0873D_.wvu.Cols" localSheetId="11" hidden="1">'R. Elec'!$C:$O</definedName>
    <definedName name="Z_AE0784B2_3C23_4745_899E_5BD218D0873D_.wvu.FilterData" localSheetId="10" hidden="1">'Q. Mech'!$A$4:$Z$1074</definedName>
    <definedName name="Z_AE0784B2_3C23_4745_899E_5BD218D0873D_.wvu.FilterData" localSheetId="11" hidden="1">'R. Elec'!$A$4:$Z$506</definedName>
    <definedName name="Z_AE0784B2_3C23_4745_899E_5BD218D0873D_.wvu.PrintArea" localSheetId="10" hidden="1">'Q. Mech'!$A$1:$R$1074</definedName>
    <definedName name="Z_AE0784B2_3C23_4745_899E_5BD218D0873D_.wvu.PrintArea" localSheetId="11" hidden="1">'R. Elec'!$A$1:$R$506</definedName>
    <definedName name="Z_AE0784B2_3C23_4745_899E_5BD218D0873D_.wvu.PrintTitles" localSheetId="10" hidden="1">'Q. Mech'!$1:$3</definedName>
    <definedName name="Z_AE0784B2_3C23_4745_899E_5BD218D0873D_.wvu.PrintTitles" localSheetId="11" hidden="1">'R. Elec'!$1:$3</definedName>
    <definedName name="Z_B580B4BB_0B38_49DA_B7BF_68DA11923618_.wvu.FilterData" localSheetId="10" hidden="1">'Q. Mech'!$A$4:$Z$1074</definedName>
    <definedName name="Z_B580B4BB_0B38_49DA_B7BF_68DA11923618_.wvu.FilterData" localSheetId="11" hidden="1">'R. Elec'!$A$4:$Z$506</definedName>
    <definedName name="Z_B580B4BB_0B38_49DA_B7BF_68DA11923618_.wvu.PrintArea" localSheetId="10" hidden="1">'Q. Mech'!$A$1:$R$1074</definedName>
    <definedName name="Z_B580B4BB_0B38_49DA_B7BF_68DA11923618_.wvu.PrintArea" localSheetId="11" hidden="1">'R. Elec'!$A$1:$R$506</definedName>
    <definedName name="Z_B580B4BB_0B38_49DA_B7BF_68DA11923618_.wvu.PrintTitles" localSheetId="10" hidden="1">'Q. Mech'!$1:$3</definedName>
    <definedName name="Z_B580B4BB_0B38_49DA_B7BF_68DA11923618_.wvu.PrintTitles" localSheetId="11" hidden="1">'R. Elec'!$1:$3</definedName>
    <definedName name="Z_CBA2F18A_D99E_4593_B5C7_F549C46D482A_.wvu.Cols" localSheetId="2" hidden="1">Conc_C!#REF!,Conc_C!#REF!,Conc_C!#REF!,Conc_C!$D:$D,Conc_C!$F:$F,Conc_C!$H:$H,Conc_C!$J:$J,Conc_C!$L:$L,Conc_C!$N:$N</definedName>
    <definedName name="Z_CBA2F18A_D99E_4593_B5C7_F549C46D482A_.wvu.Cols" localSheetId="3" hidden="1">D.Masonry!#REF!,D.Masonry!#REF!,D.Masonry!#REF!,D.Masonry!$D:$D,D.Masonry!$F:$F,D.Masonry!$H:$H,D.Masonry!$J:$J,D.Masonry!$L:$L,D.Masonry!$N:$N</definedName>
    <definedName name="Z_CBA2F18A_D99E_4593_B5C7_F549C46D482A_.wvu.Cols" localSheetId="4" hidden="1">E.Metalwork!#REF!,E.Metalwork!#REF!,E.Metalwork!#REF!,E.Metalwork!$D:$D,E.Metalwork!$F:$F,E.Metalwork!$H:$H,E.Metalwork!$J:$J,E.Metalwork!$L:$L,E.Metalwork!$N:$N</definedName>
    <definedName name="Z_CBA2F18A_D99E_4593_B5C7_F549C46D482A_.wvu.Cols" localSheetId="5" hidden="1">F.Woodwork!#REF!,F.Woodwork!#REF!,F.Woodwork!#REF!,F.Woodwork!$D:$D,F.Woodwork!$F:$F,F.Woodwork!$H:$H,F.Woodwork!$J:$J,F.Woodwork!$L:$L,F.Woodwork!$N:$N</definedName>
    <definedName name="Z_CBA2F18A_D99E_4593_B5C7_F549C46D482A_.wvu.Cols" localSheetId="6" hidden="1">G.TMP!#REF!,G.TMP!#REF!,G.TMP!#REF!,G.TMP!$D:$D,G.TMP!$F:$F,G.TMP!$H:$H,G.TMP!$J:$J,G.TMP!$L:$L,G.TMP!$N:$N</definedName>
    <definedName name="Z_CBA2F18A_D99E_4593_B5C7_F549C46D482A_.wvu.Cols" localSheetId="7" hidden="1">'H.D&amp;W'!#REF!,'H.D&amp;W'!#REF!,'H.D&amp;W'!#REF!,'H.D&amp;W'!$D:$D,'H.D&amp;W'!$F:$F,'H.D&amp;W'!$H:$H,'H.D&amp;W'!$J:$J,'H.D&amp;W'!$L:$L,'H.D&amp;W'!$N:$N</definedName>
    <definedName name="Z_CBA2F18A_D99E_4593_B5C7_F549C46D482A_.wvu.Cols" localSheetId="8" hidden="1">'J. Finishes'!#REF!,'J. Finishes'!#REF!,'J. Finishes'!#REF!,'J. Finishes'!$D:$D,'J. Finishes'!$F:$F,'J. Finishes'!$H:$H,'J. Finishes'!$J:$J,'J. Finishes'!$L:$L,'J. Finishes'!$N:$N</definedName>
    <definedName name="Z_CBA2F18A_D99E_4593_B5C7_F549C46D482A_.wvu.Cols" localSheetId="9" hidden="1">'K. Accessories'!#REF!,'K. Accessories'!#REF!,'K. Accessories'!#REF!,'K. Accessories'!$D:$D,'K. Accessories'!$F:$F,'K. Accessories'!$H:$H,'K. Accessories'!$J:$J,'K. Accessories'!$L:$L,'K. Accessories'!$N:$N</definedName>
    <definedName name="Z_CBA2F18A_D99E_4593_B5C7_F549C46D482A_.wvu.Cols" localSheetId="10" hidden="1">'Q. Mech'!#REF!,'Q. Mech'!#REF!,'Q. Mech'!#REF!,'Q. Mech'!$D:$D,'Q. Mech'!$F:$F,'Q. Mech'!$H:$H,'Q. Mech'!$J:$J,'Q. Mech'!$L:$L,'Q. Mech'!$N:$N</definedName>
    <definedName name="Z_CBA2F18A_D99E_4593_B5C7_F549C46D482A_.wvu.Cols" localSheetId="11" hidden="1">'R. Elec'!#REF!,'R. Elec'!#REF!,'R. Elec'!#REF!,'R. Elec'!$D:$D,'R. Elec'!$F:$F,'R. Elec'!$H:$H,'R. Elec'!$J:$J,'R. Elec'!$L:$L,'R. Elec'!$N:$N</definedName>
    <definedName name="Z_CBA2F18A_D99E_4593_B5C7_F549C46D482A_.wvu.Cols" localSheetId="1" hidden="1">Sitework!#REF!,Sitework!#REF!,Sitework!#REF!,Sitework!$D:$D,Sitework!$F:$F,Sitework!$H:$H,Sitework!$J:$J,Sitework!$L:$L,Sitework!$N:$N</definedName>
    <definedName name="Z_CBA2F18A_D99E_4593_B5C7_F549C46D482A_.wvu.FilterData" localSheetId="7" hidden="1">'H.D&amp;W'!$A$3:$V$3</definedName>
    <definedName name="Z_CBA2F18A_D99E_4593_B5C7_F549C46D482A_.wvu.FilterData" localSheetId="8" hidden="1">'J. Finishes'!$A$3:$U$331</definedName>
    <definedName name="Z_CBA2F18A_D99E_4593_B5C7_F549C46D482A_.wvu.FilterData" localSheetId="10" hidden="1">'Q. Mech'!$A$3:$Z$6</definedName>
    <definedName name="Z_CBA2F18A_D99E_4593_B5C7_F549C46D482A_.wvu.FilterData" localSheetId="11" hidden="1">'R. Elec'!$A$3:$Z$4</definedName>
    <definedName name="Z_CBA2F18A_D99E_4593_B5C7_F549C46D482A_.wvu.PrintArea" localSheetId="0" hidden="1">'Bill 3 fly'!$A$1:$J$52</definedName>
    <definedName name="Z_CBA2F18A_D99E_4593_B5C7_F549C46D482A_.wvu.PrintArea" localSheetId="12" hidden="1">'Bill 3-Summary'!$A$1:$J$37</definedName>
    <definedName name="Z_CBA2F18A_D99E_4593_B5C7_F549C46D482A_.wvu.PrintArea" localSheetId="2" hidden="1">Conc_C!$A$1:$R$271</definedName>
    <definedName name="Z_CBA2F18A_D99E_4593_B5C7_F549C46D482A_.wvu.PrintArea" localSheetId="3" hidden="1">D.Masonry!$A$1:$R$163</definedName>
    <definedName name="Z_CBA2F18A_D99E_4593_B5C7_F549C46D482A_.wvu.PrintArea" localSheetId="4" hidden="1">E.Metalwork!$A$1:$R$177</definedName>
    <definedName name="Z_CBA2F18A_D99E_4593_B5C7_F549C46D482A_.wvu.PrintArea" localSheetId="5" hidden="1">F.Woodwork!$A$1:$R$128</definedName>
    <definedName name="Z_CBA2F18A_D99E_4593_B5C7_F549C46D482A_.wvu.PrintArea" localSheetId="6" hidden="1">G.TMP!$A$1:$R$178</definedName>
    <definedName name="Z_CBA2F18A_D99E_4593_B5C7_F549C46D482A_.wvu.PrintArea" localSheetId="7" hidden="1">'H.D&amp;W'!$A$1:$R$232</definedName>
    <definedName name="Z_CBA2F18A_D99E_4593_B5C7_F549C46D482A_.wvu.PrintArea" localSheetId="8" hidden="1">'J. Finishes'!$A$1:$R$356</definedName>
    <definedName name="Z_CBA2F18A_D99E_4593_B5C7_F549C46D482A_.wvu.PrintArea" localSheetId="9" hidden="1">'K. Accessories'!$A$1:$R$229</definedName>
    <definedName name="Z_CBA2F18A_D99E_4593_B5C7_F549C46D482A_.wvu.PrintArea" localSheetId="10" hidden="1">'Q. Mech'!$A$1:$R$6</definedName>
    <definedName name="Z_CBA2F18A_D99E_4593_B5C7_F549C46D482A_.wvu.PrintArea" localSheetId="11" hidden="1">'R. Elec'!$A$1:$R$4</definedName>
    <definedName name="Z_CBA2F18A_D99E_4593_B5C7_F549C46D482A_.wvu.PrintArea" localSheetId="1" hidden="1">Sitework!$A$1:$R$183</definedName>
    <definedName name="Z_CBA2F18A_D99E_4593_B5C7_F549C46D482A_.wvu.PrintTitles" localSheetId="12" hidden="1">'Bill 3-Summary'!$1:$2</definedName>
    <definedName name="Z_CBA2F18A_D99E_4593_B5C7_F549C46D482A_.wvu.PrintTitles" localSheetId="2" hidden="1">Conc_C!$1:$3</definedName>
    <definedName name="Z_CBA2F18A_D99E_4593_B5C7_F549C46D482A_.wvu.PrintTitles" localSheetId="3" hidden="1">D.Masonry!$1:$3</definedName>
    <definedName name="Z_CBA2F18A_D99E_4593_B5C7_F549C46D482A_.wvu.PrintTitles" localSheetId="4" hidden="1">E.Metalwork!$1:$3</definedName>
    <definedName name="Z_CBA2F18A_D99E_4593_B5C7_F549C46D482A_.wvu.PrintTitles" localSheetId="5" hidden="1">F.Woodwork!$1:$3</definedName>
    <definedName name="Z_CBA2F18A_D99E_4593_B5C7_F549C46D482A_.wvu.PrintTitles" localSheetId="6" hidden="1">G.TMP!$1:$3</definedName>
    <definedName name="Z_CBA2F18A_D99E_4593_B5C7_F549C46D482A_.wvu.PrintTitles" localSheetId="7" hidden="1">'H.D&amp;W'!$1:$3</definedName>
    <definedName name="Z_CBA2F18A_D99E_4593_B5C7_F549C46D482A_.wvu.PrintTitles" localSheetId="8" hidden="1">'J. Finishes'!$1:$3</definedName>
    <definedName name="Z_CBA2F18A_D99E_4593_B5C7_F549C46D482A_.wvu.PrintTitles" localSheetId="9" hidden="1">'K. Accessories'!$1:$3</definedName>
    <definedName name="Z_CBA2F18A_D99E_4593_B5C7_F549C46D482A_.wvu.PrintTitles" localSheetId="10" hidden="1">'Q. Mech'!$1:$3</definedName>
    <definedName name="Z_CBA2F18A_D99E_4593_B5C7_F549C46D482A_.wvu.PrintTitles" localSheetId="11" hidden="1">'R. Elec'!$1:$3</definedName>
    <definedName name="Z_CBA2F18A_D99E_4593_B5C7_F549C46D482A_.wvu.PrintTitles" localSheetId="1" hidden="1">Sitework!$1:$3</definedName>
    <definedName name="Z_CBA2F18A_D99E_4593_B5C7_F549C46D482A_.wvu.Rows" localSheetId="3" hidden="1">D.Masonry!$60:$61,D.Masonry!#REF!</definedName>
    <definedName name="Z_CBA2F18A_D99E_4593_B5C7_F549C46D482A_.wvu.Rows" localSheetId="8" hidden="1">'J. Finishes'!$118:$123,'J. Finishes'!#REF!,'J. Finishes'!#REF!,'J. Finishes'!#REF!</definedName>
    <definedName name="Z_CBA2F18A_D99E_4593_B5C7_F549C46D482A_.wvu.Rows" localSheetId="9" hidden="1">'K. Accessories'!#REF!,'K. Accessories'!#REF!</definedName>
    <definedName name="Z_CBA2F18A_D99E_4593_B5C7_F549C46D482A_.wvu.Rows" localSheetId="10" hidden="1">'Q. Mech'!#REF!,'Q. Mech'!#REF!,'Q. Mech'!#REF!,'Q. Mech'!#REF!</definedName>
    <definedName name="Z_CBA2F18A_D99E_4593_B5C7_F549C46D482A_.wvu.Rows" localSheetId="11" hidden="1">'R. Elec'!#REF!,'R. Elec'!#REF!,'R. Elec'!#REF!,'R. Elec'!#REF!</definedName>
    <definedName name="Z_D6532FE2_E2B2_4F23_8F4D_362895E2BC06_.wvu.FilterData" localSheetId="10" hidden="1">'Q. Mech'!$A$4:$Z$1074</definedName>
    <definedName name="Z_D6532FE2_E2B2_4F23_8F4D_362895E2BC06_.wvu.FilterData" localSheetId="11" hidden="1">'R. Elec'!$A$4:$Z$506</definedName>
    <definedName name="Z_F5A298CB_A377_4AD3_86FA_88C523DF5663_.wvu.FilterData" localSheetId="10" hidden="1">'Q. Mech'!$A$4:$Z$1074</definedName>
    <definedName name="Z_F5A298CB_A377_4AD3_86FA_88C523DF5663_.wvu.FilterData" localSheetId="11" hidden="1">'R. Elec'!$A$4:$Z$506</definedName>
    <definedName name="자금수지이자" localSheetId="2">#REF!</definedName>
    <definedName name="자금수지이자" localSheetId="3">#REF!</definedName>
    <definedName name="자금수지이자" localSheetId="4">#REF!</definedName>
    <definedName name="자금수지이자" localSheetId="5">#REF!</definedName>
    <definedName name="자금수지이자" localSheetId="6">#REF!</definedName>
    <definedName name="자금수지이자" localSheetId="7">#REF!</definedName>
    <definedName name="자금수지이자" localSheetId="8">#REF!</definedName>
    <definedName name="자금수지이자" localSheetId="9">#REF!</definedName>
    <definedName name="자금수지이자" localSheetId="10">#REF!</definedName>
    <definedName name="자금수지이자" localSheetId="11">#REF!</definedName>
    <definedName name="자금수지이자" localSheetId="1">#REF!</definedName>
    <definedName name="자금수지이자">#REF!</definedName>
    <definedName name="직접공사비계" localSheetId="2">#REF!</definedName>
    <definedName name="직접공사비계" localSheetId="3">#REF!</definedName>
    <definedName name="직접공사비계" localSheetId="4">#REF!</definedName>
    <definedName name="직접공사비계" localSheetId="5">#REF!</definedName>
    <definedName name="직접공사비계" localSheetId="6">#REF!</definedName>
    <definedName name="직접공사비계" localSheetId="7">#REF!</definedName>
    <definedName name="직접공사비계" localSheetId="8">#REF!</definedName>
    <definedName name="직접공사비계" localSheetId="9">#REF!</definedName>
    <definedName name="직접공사비계" localSheetId="10">#REF!</definedName>
    <definedName name="직접공사비계" localSheetId="11">#REF!</definedName>
    <definedName name="직접공사비계" localSheetId="1">#REF!</definedName>
    <definedName name="직접공사비계">#REF!</definedName>
  </definedNames>
  <calcPr calcId="191029"/>
  <customWorkbookViews>
    <customWorkbookView name="Jhon Juarez - Personal View" guid="{CBA2F18A-D99E-4593-B5C7-F549C46D482A}" mergeInterval="0" personalView="1" maximized="1" xWindow="1912" yWindow="-8" windowWidth="1936" windowHeight="1056" tabRatio="866" activeSheetId="3"/>
    <customWorkbookView name="Eranga Vithanage - Personal View" guid="{A5028593-220E-41E5-9B7F-B61B224ADECB}" mergeInterval="0" personalView="1" maximized="1" xWindow="-1928" yWindow="-8" windowWidth="1936" windowHeight="1056" tabRatio="866" activeSheetId="2"/>
    <customWorkbookView name="Jacqueline Ticong - Personal View" guid="{9B0AB937-A858-4024-AFD2-25458CC5120D}" mergeInterval="0" personalView="1" maximized="1" xWindow="1912" yWindow="-8" windowWidth="1936" windowHeight="1056" tabRatio="866" activeSheetId="10"/>
    <customWorkbookView name="Luz Villacan - Personal View" guid="{09AFA358-18AB-4F70-994A-26F8BCF8C7CA}" mergeInterval="0" personalView="1" maximized="1" xWindow="1912" yWindow="-8" windowWidth="1936" windowHeight="1056" tabRatio="866" activeSheetId="8" showComments="commIndAndComment"/>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250" i="10" l="1"/>
  <c r="T250" i="10"/>
  <c r="U47" i="10" l="1"/>
  <c r="U45" i="10"/>
  <c r="T29" i="10"/>
  <c r="U29" i="10"/>
  <c r="T47" i="10"/>
  <c r="M300" i="10"/>
  <c r="N300" i="10" s="1"/>
  <c r="K300" i="10"/>
  <c r="L300" i="10" s="1"/>
  <c r="I300" i="10"/>
  <c r="J300" i="10" s="1"/>
  <c r="G300" i="10"/>
  <c r="H300" i="10" s="1"/>
  <c r="E300" i="10"/>
  <c r="F300" i="10" s="1"/>
  <c r="C300" i="10"/>
  <c r="D300" i="10" s="1"/>
  <c r="O300" i="10" l="1"/>
  <c r="T45" i="10" l="1"/>
  <c r="U21" i="8" l="1"/>
  <c r="T21" i="8"/>
  <c r="M209" i="3"/>
  <c r="N209" i="3" s="1"/>
  <c r="K209" i="3"/>
  <c r="L209" i="3" s="1"/>
  <c r="I209" i="3"/>
  <c r="J209" i="3" s="1"/>
  <c r="G209" i="3"/>
  <c r="H209" i="3" s="1"/>
  <c r="E209" i="3"/>
  <c r="F209" i="3" s="1"/>
  <c r="C209" i="3"/>
  <c r="O209" i="3" s="1"/>
  <c r="R209" i="3" s="1"/>
  <c r="M208" i="3"/>
  <c r="N208" i="3" s="1"/>
  <c r="K208" i="3"/>
  <c r="L208" i="3" s="1"/>
  <c r="I208" i="3"/>
  <c r="J208" i="3" s="1"/>
  <c r="G208" i="3"/>
  <c r="H208" i="3" s="1"/>
  <c r="E208" i="3"/>
  <c r="F208" i="3" s="1"/>
  <c r="C208" i="3"/>
  <c r="D208" i="3" s="1"/>
  <c r="U17" i="10"/>
  <c r="T17" i="10"/>
  <c r="D45" i="10"/>
  <c r="D41" i="10"/>
  <c r="D37" i="10"/>
  <c r="D35" i="10"/>
  <c r="M32" i="10"/>
  <c r="N32" i="10" s="1"/>
  <c r="K32" i="10"/>
  <c r="L32" i="10" s="1"/>
  <c r="I32" i="10"/>
  <c r="J32" i="10" s="1"/>
  <c r="G32" i="10"/>
  <c r="H32" i="10" s="1"/>
  <c r="E32" i="10"/>
  <c r="F32" i="10" s="1"/>
  <c r="C32" i="10"/>
  <c r="D31" i="10"/>
  <c r="M20" i="10"/>
  <c r="N20" i="10" s="1"/>
  <c r="K20" i="10"/>
  <c r="L20" i="10" s="1"/>
  <c r="I20" i="10"/>
  <c r="J20" i="10" s="1"/>
  <c r="G20" i="10"/>
  <c r="H20" i="10" s="1"/>
  <c r="E20" i="10"/>
  <c r="F20" i="10" s="1"/>
  <c r="C20" i="10"/>
  <c r="D19" i="10"/>
  <c r="AM438" i="23"/>
  <c r="AJ438" i="23"/>
  <c r="AG438" i="23"/>
  <c r="AD438" i="23"/>
  <c r="AA438" i="23"/>
  <c r="X438" i="23"/>
  <c r="W438" i="23"/>
  <c r="AI438" i="23" s="1"/>
  <c r="AM434" i="23"/>
  <c r="AJ434" i="23"/>
  <c r="AG434" i="23"/>
  <c r="AD434" i="23"/>
  <c r="AA434" i="23"/>
  <c r="X434" i="23"/>
  <c r="W434" i="23"/>
  <c r="AI434" i="23" s="1"/>
  <c r="K434" i="23" s="1"/>
  <c r="L434" i="23" s="1"/>
  <c r="AM432" i="23"/>
  <c r="AJ432" i="23"/>
  <c r="AG432" i="23"/>
  <c r="AD432" i="23"/>
  <c r="AA432" i="23"/>
  <c r="X432" i="23"/>
  <c r="W432" i="23"/>
  <c r="AI432" i="23" s="1"/>
  <c r="AM430" i="23"/>
  <c r="AJ430" i="23"/>
  <c r="AG430" i="23"/>
  <c r="AD430" i="23"/>
  <c r="AA430" i="23"/>
  <c r="X430" i="23"/>
  <c r="W430" i="23"/>
  <c r="AI430" i="23" s="1"/>
  <c r="AM428" i="23"/>
  <c r="AJ428" i="23"/>
  <c r="AG428" i="23"/>
  <c r="AD428" i="23"/>
  <c r="AA428" i="23"/>
  <c r="X428" i="23"/>
  <c r="W428" i="23"/>
  <c r="AI428" i="23" s="1"/>
  <c r="AM426" i="23"/>
  <c r="AJ426" i="23"/>
  <c r="AG426" i="23"/>
  <c r="AD426" i="23"/>
  <c r="AA426" i="23"/>
  <c r="X426" i="23"/>
  <c r="W426" i="23"/>
  <c r="AI426" i="23" s="1"/>
  <c r="AM424" i="23"/>
  <c r="AJ424" i="23"/>
  <c r="AG424" i="23"/>
  <c r="AD424" i="23"/>
  <c r="AA424" i="23"/>
  <c r="X424" i="23"/>
  <c r="W424" i="23"/>
  <c r="AI424" i="23" s="1"/>
  <c r="AM422" i="23"/>
  <c r="AJ422" i="23"/>
  <c r="AG422" i="23"/>
  <c r="AD422" i="23"/>
  <c r="AA422" i="23"/>
  <c r="X422" i="23"/>
  <c r="W422" i="23"/>
  <c r="AI422" i="23" s="1"/>
  <c r="AM408" i="23"/>
  <c r="AJ408" i="23"/>
  <c r="AG408" i="23"/>
  <c r="AD408" i="23"/>
  <c r="AA408" i="23"/>
  <c r="X408" i="23"/>
  <c r="W408" i="23"/>
  <c r="AI408" i="23" s="1"/>
  <c r="AM406" i="23"/>
  <c r="AJ406" i="23"/>
  <c r="AG406" i="23"/>
  <c r="AD406" i="23"/>
  <c r="AA406" i="23"/>
  <c r="X406" i="23"/>
  <c r="W406" i="23"/>
  <c r="AC406" i="23" s="1"/>
  <c r="G406" i="23" s="1"/>
  <c r="H406" i="23" s="1"/>
  <c r="AM404" i="23"/>
  <c r="AJ404" i="23"/>
  <c r="AG404" i="23"/>
  <c r="AD404" i="23"/>
  <c r="AA404" i="23"/>
  <c r="X404" i="23"/>
  <c r="W404" i="23"/>
  <c r="AI404" i="23" s="1"/>
  <c r="AM402" i="23"/>
  <c r="AJ402" i="23"/>
  <c r="AG402" i="23"/>
  <c r="AD402" i="23"/>
  <c r="AA402" i="23"/>
  <c r="X402" i="23"/>
  <c r="W402" i="23"/>
  <c r="AI402" i="23" s="1"/>
  <c r="AM398" i="23"/>
  <c r="AJ398" i="23"/>
  <c r="AG398" i="23"/>
  <c r="AF398" i="23"/>
  <c r="AD398" i="23"/>
  <c r="AA398" i="23"/>
  <c r="X398" i="23"/>
  <c r="W398" i="23"/>
  <c r="AI398" i="23" s="1"/>
  <c r="AM396" i="23"/>
  <c r="AJ396" i="23"/>
  <c r="AG396" i="23"/>
  <c r="AD396" i="23"/>
  <c r="AA396" i="23"/>
  <c r="X396" i="23"/>
  <c r="W396" i="23"/>
  <c r="AI396" i="23" s="1"/>
  <c r="AM394" i="23"/>
  <c r="AJ394" i="23"/>
  <c r="AI394" i="23"/>
  <c r="K394" i="23" s="1"/>
  <c r="L394" i="23" s="1"/>
  <c r="AG394" i="23"/>
  <c r="AD394" i="23"/>
  <c r="AC394" i="23"/>
  <c r="G394" i="23" s="1"/>
  <c r="H394" i="23" s="1"/>
  <c r="AA394" i="23"/>
  <c r="X394" i="23"/>
  <c r="W394" i="23"/>
  <c r="AM392" i="23"/>
  <c r="AJ392" i="23"/>
  <c r="AG392" i="23"/>
  <c r="AD392" i="23"/>
  <c r="AA392" i="23"/>
  <c r="X392" i="23"/>
  <c r="W392" i="23"/>
  <c r="AI392" i="23" s="1"/>
  <c r="AM390" i="23"/>
  <c r="AJ390" i="23"/>
  <c r="AG390" i="23"/>
  <c r="AD390" i="23"/>
  <c r="AA390" i="23"/>
  <c r="X390" i="23"/>
  <c r="W390" i="23"/>
  <c r="AI390" i="23" s="1"/>
  <c r="AM388" i="23"/>
  <c r="AJ388" i="23"/>
  <c r="AI388" i="23"/>
  <c r="K388" i="23" s="1"/>
  <c r="L388" i="23" s="1"/>
  <c r="AG388" i="23"/>
  <c r="AD388" i="23"/>
  <c r="AC388" i="23"/>
  <c r="G388" i="23" s="1"/>
  <c r="H388" i="23" s="1"/>
  <c r="AA388" i="23"/>
  <c r="X388" i="23"/>
  <c r="W388" i="23"/>
  <c r="AM386" i="23"/>
  <c r="AJ386" i="23"/>
  <c r="AG386" i="23"/>
  <c r="AD386" i="23"/>
  <c r="AA386" i="23"/>
  <c r="X386" i="23"/>
  <c r="W386" i="23"/>
  <c r="AI386" i="23" s="1"/>
  <c r="AM367" i="23"/>
  <c r="AJ367" i="23"/>
  <c r="AG367" i="23"/>
  <c r="AD367" i="23"/>
  <c r="AA367" i="23"/>
  <c r="Z367" i="23"/>
  <c r="E367" i="23" s="1"/>
  <c r="F367" i="23" s="1"/>
  <c r="X367" i="23"/>
  <c r="W367" i="23"/>
  <c r="AI367" i="23" s="1"/>
  <c r="AM365" i="23"/>
  <c r="AJ365" i="23"/>
  <c r="AG365" i="23"/>
  <c r="AD365" i="23"/>
  <c r="AA365" i="23"/>
  <c r="X365" i="23"/>
  <c r="W365" i="23"/>
  <c r="W363" i="23"/>
  <c r="U363" i="23"/>
  <c r="AM363" i="23" s="1"/>
  <c r="T363" i="23"/>
  <c r="AM359" i="23"/>
  <c r="AJ359" i="23"/>
  <c r="AG359" i="23"/>
  <c r="AD359" i="23"/>
  <c r="AC359" i="23"/>
  <c r="AA359" i="23"/>
  <c r="X359" i="23"/>
  <c r="W359" i="23"/>
  <c r="AM357" i="23"/>
  <c r="AJ357" i="23"/>
  <c r="AG357" i="23"/>
  <c r="AD357" i="23"/>
  <c r="AA357" i="23"/>
  <c r="X357" i="23"/>
  <c r="W357" i="23"/>
  <c r="AI357" i="23" s="1"/>
  <c r="K357" i="23" s="1"/>
  <c r="L357" i="23" s="1"/>
  <c r="AM355" i="23"/>
  <c r="AJ355" i="23"/>
  <c r="AG355" i="23"/>
  <c r="AD355" i="23"/>
  <c r="AA355" i="23"/>
  <c r="X355" i="23"/>
  <c r="W355" i="23"/>
  <c r="AI355" i="23" s="1"/>
  <c r="AM353" i="23"/>
  <c r="AJ353" i="23"/>
  <c r="AG353" i="23"/>
  <c r="AD353" i="23"/>
  <c r="AA353" i="23"/>
  <c r="X353" i="23"/>
  <c r="W353" i="23"/>
  <c r="AI353" i="23" s="1"/>
  <c r="K353" i="23" s="1"/>
  <c r="L353" i="23" s="1"/>
  <c r="AM349" i="23"/>
  <c r="AJ349" i="23"/>
  <c r="AG349" i="23"/>
  <c r="AD349" i="23"/>
  <c r="AA349" i="23"/>
  <c r="X349" i="23"/>
  <c r="W349" i="23"/>
  <c r="AC349" i="23" s="1"/>
  <c r="AM347" i="23"/>
  <c r="AJ347" i="23"/>
  <c r="AG347" i="23"/>
  <c r="AD347" i="23"/>
  <c r="AA347" i="23"/>
  <c r="X347" i="23"/>
  <c r="W347" i="23"/>
  <c r="AM345" i="23"/>
  <c r="AJ345" i="23"/>
  <c r="AG345" i="23"/>
  <c r="AD345" i="23"/>
  <c r="AA345" i="23"/>
  <c r="X345" i="23"/>
  <c r="W345" i="23"/>
  <c r="AI345" i="23" s="1"/>
  <c r="G327" i="23"/>
  <c r="H327" i="23" s="1"/>
  <c r="E327" i="23"/>
  <c r="F327" i="23" s="1"/>
  <c r="C327" i="23"/>
  <c r="D327" i="23" s="1"/>
  <c r="AM303" i="23"/>
  <c r="AJ303" i="23"/>
  <c r="AG303" i="23"/>
  <c r="AD303" i="23"/>
  <c r="AA303" i="23"/>
  <c r="X303" i="23"/>
  <c r="W303" i="23"/>
  <c r="AI303" i="23" s="1"/>
  <c r="AM301" i="23"/>
  <c r="AJ301" i="23"/>
  <c r="AG301" i="23"/>
  <c r="AD301" i="23"/>
  <c r="AA301" i="23"/>
  <c r="X301" i="23"/>
  <c r="W301" i="23"/>
  <c r="AI301" i="23" s="1"/>
  <c r="AM299" i="23"/>
  <c r="AJ299" i="23"/>
  <c r="AG299" i="23"/>
  <c r="AD299" i="23"/>
  <c r="AA299" i="23"/>
  <c r="X299" i="23"/>
  <c r="W299" i="23"/>
  <c r="AI299" i="23" s="1"/>
  <c r="AM297" i="23"/>
  <c r="AJ297" i="23"/>
  <c r="AG297" i="23"/>
  <c r="AD297" i="23"/>
  <c r="AA297" i="23"/>
  <c r="X297" i="23"/>
  <c r="W297" i="23"/>
  <c r="AM295" i="23"/>
  <c r="AJ295" i="23"/>
  <c r="AG295" i="23"/>
  <c r="AD295" i="23"/>
  <c r="AC295" i="23"/>
  <c r="G295" i="23" s="1"/>
  <c r="H295" i="23" s="1"/>
  <c r="AA295" i="23"/>
  <c r="X295" i="23"/>
  <c r="W295" i="23"/>
  <c r="AM293" i="23"/>
  <c r="AJ293" i="23"/>
  <c r="AG293" i="23"/>
  <c r="AD293" i="23"/>
  <c r="AA293" i="23"/>
  <c r="X293" i="23"/>
  <c r="W293" i="23"/>
  <c r="AL293" i="23" s="1"/>
  <c r="AM259" i="23"/>
  <c r="AJ259" i="23"/>
  <c r="AG259" i="23"/>
  <c r="AD259" i="23"/>
  <c r="AA259" i="23"/>
  <c r="X259" i="23"/>
  <c r="C259" i="23" s="1"/>
  <c r="W259" i="23"/>
  <c r="AI259" i="23" s="1"/>
  <c r="AM257" i="23"/>
  <c r="AJ257" i="23"/>
  <c r="AG257" i="23"/>
  <c r="AD257" i="23"/>
  <c r="AA257" i="23"/>
  <c r="X257" i="23"/>
  <c r="C257" i="23" s="1"/>
  <c r="W257" i="23"/>
  <c r="AI257" i="23" s="1"/>
  <c r="AM255" i="23"/>
  <c r="AJ255" i="23"/>
  <c r="AG255" i="23"/>
  <c r="AD255" i="23"/>
  <c r="AC255" i="23"/>
  <c r="G255" i="23" s="1"/>
  <c r="H255" i="23" s="1"/>
  <c r="AA255" i="23"/>
  <c r="X255" i="23"/>
  <c r="W255" i="23"/>
  <c r="AI255" i="23" s="1"/>
  <c r="AM253" i="23"/>
  <c r="AJ253" i="23"/>
  <c r="AG253" i="23"/>
  <c r="AD253" i="23"/>
  <c r="AA253" i="23"/>
  <c r="X253" i="23"/>
  <c r="W253" i="23"/>
  <c r="AC253" i="23" s="1"/>
  <c r="AM251" i="23"/>
  <c r="AJ251" i="23"/>
  <c r="AG251" i="23"/>
  <c r="AD251" i="23"/>
  <c r="AA251" i="23"/>
  <c r="X251" i="23"/>
  <c r="W251" i="23"/>
  <c r="AI251" i="23" s="1"/>
  <c r="AM249" i="23"/>
  <c r="AJ249" i="23"/>
  <c r="AI249" i="23"/>
  <c r="AG249" i="23"/>
  <c r="AD249" i="23"/>
  <c r="AA249" i="23"/>
  <c r="X249" i="23"/>
  <c r="W249" i="23"/>
  <c r="AC249" i="23" s="1"/>
  <c r="G249" i="23" s="1"/>
  <c r="H249" i="23" s="1"/>
  <c r="AM247" i="23"/>
  <c r="AJ247" i="23"/>
  <c r="AG247" i="23"/>
  <c r="AD247" i="23"/>
  <c r="AA247" i="23"/>
  <c r="X247" i="23"/>
  <c r="W247" i="23"/>
  <c r="AC247" i="23" s="1"/>
  <c r="AM245" i="23"/>
  <c r="AJ245" i="23"/>
  <c r="AG245" i="23"/>
  <c r="AD245" i="23"/>
  <c r="AA245" i="23"/>
  <c r="Z245" i="23"/>
  <c r="E245" i="23" s="1"/>
  <c r="F245" i="23" s="1"/>
  <c r="X245" i="23"/>
  <c r="W245" i="23"/>
  <c r="AL245" i="23" s="1"/>
  <c r="N241" i="23"/>
  <c r="L241" i="23"/>
  <c r="J241" i="23"/>
  <c r="H241" i="23"/>
  <c r="F241" i="23"/>
  <c r="D241" i="23"/>
  <c r="N240" i="23"/>
  <c r="L240" i="23"/>
  <c r="J240" i="23"/>
  <c r="H240" i="23"/>
  <c r="F240" i="23"/>
  <c r="D240" i="23"/>
  <c r="AM228" i="23"/>
  <c r="AJ228" i="23"/>
  <c r="AG228" i="23"/>
  <c r="AD228" i="23"/>
  <c r="AA228" i="23"/>
  <c r="X228" i="23"/>
  <c r="W228" i="23"/>
  <c r="AI228" i="23" s="1"/>
  <c r="AM226" i="23"/>
  <c r="AJ226" i="23"/>
  <c r="AG226" i="23"/>
  <c r="AD226" i="23"/>
  <c r="AA226" i="23"/>
  <c r="X226" i="23"/>
  <c r="W226" i="23"/>
  <c r="AI226" i="23" s="1"/>
  <c r="AM224" i="23"/>
  <c r="AJ224" i="23"/>
  <c r="AG224" i="23"/>
  <c r="AD224" i="23"/>
  <c r="AA224" i="23"/>
  <c r="X224" i="23"/>
  <c r="W224" i="23"/>
  <c r="AI224" i="23" s="1"/>
  <c r="K224" i="23" s="1"/>
  <c r="L224" i="23" s="1"/>
  <c r="AM222" i="23"/>
  <c r="AJ222" i="23"/>
  <c r="AG222" i="23"/>
  <c r="AD222" i="23"/>
  <c r="AA222" i="23"/>
  <c r="X222" i="23"/>
  <c r="W222" i="23"/>
  <c r="AC222" i="23" s="1"/>
  <c r="G222" i="23" s="1"/>
  <c r="H222" i="23" s="1"/>
  <c r="AM220" i="23"/>
  <c r="AJ220" i="23"/>
  <c r="AG220" i="23"/>
  <c r="AD220" i="23"/>
  <c r="AA220" i="23"/>
  <c r="X220" i="23"/>
  <c r="W220" i="23"/>
  <c r="AI220" i="23" s="1"/>
  <c r="AM218" i="23"/>
  <c r="AJ218" i="23"/>
  <c r="AG218" i="23"/>
  <c r="AD218" i="23"/>
  <c r="AA218" i="23"/>
  <c r="X218" i="23"/>
  <c r="W218" i="23"/>
  <c r="AM216" i="23"/>
  <c r="AJ216" i="23"/>
  <c r="AG216" i="23"/>
  <c r="AD216" i="23"/>
  <c r="AA216" i="23"/>
  <c r="X216" i="23"/>
  <c r="W216" i="23"/>
  <c r="AC216" i="23" s="1"/>
  <c r="G216" i="23" s="1"/>
  <c r="H216" i="23" s="1"/>
  <c r="AM214" i="23"/>
  <c r="AJ214" i="23"/>
  <c r="AG214" i="23"/>
  <c r="AD214" i="23"/>
  <c r="AA214" i="23"/>
  <c r="X214" i="23"/>
  <c r="W214" i="23"/>
  <c r="AL214" i="23" s="1"/>
  <c r="AM212" i="23"/>
  <c r="AJ212" i="23"/>
  <c r="AG212" i="23"/>
  <c r="AD212" i="23"/>
  <c r="AA212" i="23"/>
  <c r="X212" i="23"/>
  <c r="W212" i="23"/>
  <c r="AI212" i="23" s="1"/>
  <c r="AM210" i="23"/>
  <c r="AJ210" i="23"/>
  <c r="AG210" i="23"/>
  <c r="AD210" i="23"/>
  <c r="AA210" i="23"/>
  <c r="X210" i="23"/>
  <c r="W210" i="23"/>
  <c r="AC210" i="23" s="1"/>
  <c r="AM208" i="23"/>
  <c r="AJ208" i="23"/>
  <c r="AG208" i="23"/>
  <c r="AD208" i="23"/>
  <c r="AA208" i="23"/>
  <c r="X208" i="23"/>
  <c r="W208" i="23"/>
  <c r="AI208" i="23" s="1"/>
  <c r="N205" i="23"/>
  <c r="L205" i="23"/>
  <c r="J205" i="23"/>
  <c r="H205" i="23"/>
  <c r="F205" i="23"/>
  <c r="D205" i="23"/>
  <c r="AM204" i="23"/>
  <c r="AJ204" i="23"/>
  <c r="AG204" i="23"/>
  <c r="AD204" i="23"/>
  <c r="AA204" i="23"/>
  <c r="X204" i="23"/>
  <c r="W204" i="23"/>
  <c r="AI204" i="23" s="1"/>
  <c r="K204" i="23" s="1"/>
  <c r="L204" i="23" s="1"/>
  <c r="N203" i="23"/>
  <c r="L203" i="23"/>
  <c r="J203" i="23"/>
  <c r="H203" i="23"/>
  <c r="F203" i="23"/>
  <c r="D203" i="23"/>
  <c r="U202" i="23"/>
  <c r="AG202" i="23" s="1"/>
  <c r="T202" i="23"/>
  <c r="W202" i="23" s="1"/>
  <c r="N201" i="23"/>
  <c r="L201" i="23"/>
  <c r="J201" i="23"/>
  <c r="H201" i="23"/>
  <c r="F201" i="23"/>
  <c r="D201" i="23"/>
  <c r="AM200" i="23"/>
  <c r="AJ200" i="23"/>
  <c r="AG200" i="23"/>
  <c r="AD200" i="23"/>
  <c r="AA200" i="23"/>
  <c r="X200" i="23"/>
  <c r="W200" i="23"/>
  <c r="AI200" i="23" s="1"/>
  <c r="N199" i="23"/>
  <c r="L199" i="23"/>
  <c r="J199" i="23"/>
  <c r="H199" i="23"/>
  <c r="F199" i="23"/>
  <c r="D199" i="23"/>
  <c r="N198" i="23"/>
  <c r="L198" i="23"/>
  <c r="J198" i="23"/>
  <c r="H198" i="23"/>
  <c r="F198" i="23"/>
  <c r="D198" i="23"/>
  <c r="N197" i="23"/>
  <c r="L197" i="23"/>
  <c r="J197" i="23"/>
  <c r="H197" i="23"/>
  <c r="F197" i="23"/>
  <c r="D197" i="23"/>
  <c r="N196" i="23"/>
  <c r="L196" i="23"/>
  <c r="J196" i="23"/>
  <c r="H196" i="23"/>
  <c r="F196" i="23"/>
  <c r="D196" i="23"/>
  <c r="N195" i="23"/>
  <c r="L195" i="23"/>
  <c r="J195" i="23"/>
  <c r="H195" i="23"/>
  <c r="F195" i="23"/>
  <c r="D195" i="23"/>
  <c r="N194" i="23"/>
  <c r="L194" i="23"/>
  <c r="J194" i="23"/>
  <c r="H194" i="23"/>
  <c r="F194" i="23"/>
  <c r="D194" i="23"/>
  <c r="N193" i="23"/>
  <c r="L193" i="23"/>
  <c r="J193" i="23"/>
  <c r="H193" i="23"/>
  <c r="F193" i="23"/>
  <c r="D193" i="23"/>
  <c r="AM180" i="23"/>
  <c r="AJ180" i="23"/>
  <c r="AG180" i="23"/>
  <c r="AD180" i="23"/>
  <c r="AA180" i="23"/>
  <c r="X180" i="23"/>
  <c r="W180" i="23"/>
  <c r="AI180" i="23" s="1"/>
  <c r="AM178" i="23"/>
  <c r="AJ178" i="23"/>
  <c r="AG178" i="23"/>
  <c r="AD178" i="23"/>
  <c r="AA178" i="23"/>
  <c r="X178" i="23"/>
  <c r="W178" i="23"/>
  <c r="AC178" i="23" s="1"/>
  <c r="AM176" i="23"/>
  <c r="AJ176" i="23"/>
  <c r="AG176" i="23"/>
  <c r="AD176" i="23"/>
  <c r="AA176" i="23"/>
  <c r="X176" i="23"/>
  <c r="W176" i="23"/>
  <c r="AC176" i="23" s="1"/>
  <c r="G176" i="23" s="1"/>
  <c r="H176" i="23" s="1"/>
  <c r="AM174" i="23"/>
  <c r="AJ174" i="23"/>
  <c r="AG174" i="23"/>
  <c r="AD174" i="23"/>
  <c r="AA174" i="23"/>
  <c r="X174" i="23"/>
  <c r="W174" i="23"/>
  <c r="AI174" i="23" s="1"/>
  <c r="AM172" i="23"/>
  <c r="AJ172" i="23"/>
  <c r="AG172" i="23"/>
  <c r="AD172" i="23"/>
  <c r="AA172" i="23"/>
  <c r="X172" i="23"/>
  <c r="W172" i="23"/>
  <c r="AI172" i="23" s="1"/>
  <c r="AM170" i="23"/>
  <c r="AJ170" i="23"/>
  <c r="AG170" i="23"/>
  <c r="AD170" i="23"/>
  <c r="AA170" i="23"/>
  <c r="X170" i="23"/>
  <c r="W170" i="23"/>
  <c r="AI170" i="23" s="1"/>
  <c r="K170" i="23" s="1"/>
  <c r="L170" i="23" s="1"/>
  <c r="AM168" i="23"/>
  <c r="AJ168" i="23"/>
  <c r="AG168" i="23"/>
  <c r="AD168" i="23"/>
  <c r="AA168" i="23"/>
  <c r="X168" i="23"/>
  <c r="W168" i="23"/>
  <c r="AM166" i="23"/>
  <c r="AJ166" i="23"/>
  <c r="AG166" i="23"/>
  <c r="AD166" i="23"/>
  <c r="AA166" i="23"/>
  <c r="X166" i="23"/>
  <c r="W166" i="23"/>
  <c r="AM164" i="23"/>
  <c r="AJ164" i="23"/>
  <c r="AG164" i="23"/>
  <c r="AD164" i="23"/>
  <c r="AA164" i="23"/>
  <c r="X164" i="23"/>
  <c r="W164" i="23"/>
  <c r="AI164" i="23" s="1"/>
  <c r="AM162" i="23"/>
  <c r="AJ162" i="23"/>
  <c r="AG162" i="23"/>
  <c r="AD162" i="23"/>
  <c r="AA162" i="23"/>
  <c r="X162" i="23"/>
  <c r="W162" i="23"/>
  <c r="AL162" i="23" s="1"/>
  <c r="AM160" i="23"/>
  <c r="AJ160" i="23"/>
  <c r="AG160" i="23"/>
  <c r="AD160" i="23"/>
  <c r="AA160" i="23"/>
  <c r="X160" i="23"/>
  <c r="W160" i="23"/>
  <c r="AC160" i="23" s="1"/>
  <c r="AM158" i="23"/>
  <c r="AJ158" i="23"/>
  <c r="AG158" i="23"/>
  <c r="AD158" i="23"/>
  <c r="AA158" i="23"/>
  <c r="X158" i="23"/>
  <c r="W158" i="23"/>
  <c r="AM156" i="23"/>
  <c r="AJ156" i="23"/>
  <c r="AG156" i="23"/>
  <c r="AD156" i="23"/>
  <c r="AA156" i="23"/>
  <c r="X156" i="23"/>
  <c r="C156" i="23" s="1"/>
  <c r="D156" i="23" s="1"/>
  <c r="W156" i="23"/>
  <c r="AI156" i="23" s="1"/>
  <c r="AM154" i="23"/>
  <c r="AJ154" i="23"/>
  <c r="AG154" i="23"/>
  <c r="AD154" i="23"/>
  <c r="AA154" i="23"/>
  <c r="X154" i="23"/>
  <c r="W154" i="23"/>
  <c r="AI154" i="23" s="1"/>
  <c r="AM152" i="23"/>
  <c r="AJ152" i="23"/>
  <c r="AG152" i="23"/>
  <c r="AD152" i="23"/>
  <c r="AA152" i="23"/>
  <c r="X152" i="23"/>
  <c r="W152" i="23"/>
  <c r="AM150" i="23"/>
  <c r="AJ150" i="23"/>
  <c r="AG150" i="23"/>
  <c r="AD150" i="23"/>
  <c r="AA150" i="23"/>
  <c r="X150" i="23"/>
  <c r="W150" i="23"/>
  <c r="C150" i="23" s="1"/>
  <c r="N147" i="23"/>
  <c r="L147" i="23"/>
  <c r="J147" i="23"/>
  <c r="H147" i="23"/>
  <c r="F147" i="23"/>
  <c r="D147" i="23"/>
  <c r="N146" i="23"/>
  <c r="L146" i="23"/>
  <c r="J146" i="23"/>
  <c r="H146" i="23"/>
  <c r="F146" i="23"/>
  <c r="D146" i="23"/>
  <c r="AM134" i="23"/>
  <c r="AJ134" i="23"/>
  <c r="AG134" i="23"/>
  <c r="AD134" i="23"/>
  <c r="AA134" i="23"/>
  <c r="X134" i="23"/>
  <c r="W134" i="23"/>
  <c r="AI134" i="23" s="1"/>
  <c r="AM132" i="23"/>
  <c r="AJ132" i="23"/>
  <c r="AG132" i="23"/>
  <c r="AD132" i="23"/>
  <c r="AA132" i="23"/>
  <c r="X132" i="23"/>
  <c r="W132" i="23"/>
  <c r="AL132" i="23" s="1"/>
  <c r="AM130" i="23"/>
  <c r="AJ130" i="23"/>
  <c r="AG130" i="23"/>
  <c r="AD130" i="23"/>
  <c r="AA130" i="23"/>
  <c r="X130" i="23"/>
  <c r="W130" i="23"/>
  <c r="AM128" i="23"/>
  <c r="AJ128" i="23"/>
  <c r="AG128" i="23"/>
  <c r="AD128" i="23"/>
  <c r="AA128" i="23"/>
  <c r="X128" i="23"/>
  <c r="W128" i="23"/>
  <c r="C128" i="23" s="1"/>
  <c r="AM126" i="23"/>
  <c r="AJ126" i="23"/>
  <c r="AG126" i="23"/>
  <c r="AD126" i="23"/>
  <c r="AA126" i="23"/>
  <c r="X126" i="23"/>
  <c r="W126" i="23"/>
  <c r="AI126" i="23" s="1"/>
  <c r="AM124" i="23"/>
  <c r="AJ124" i="23"/>
  <c r="AG124" i="23"/>
  <c r="AD124" i="23"/>
  <c r="AA124" i="23"/>
  <c r="X124" i="23"/>
  <c r="W124" i="23"/>
  <c r="AI124" i="23" s="1"/>
  <c r="K124" i="23" s="1"/>
  <c r="L124" i="23" s="1"/>
  <c r="AM122" i="23"/>
  <c r="AJ122" i="23"/>
  <c r="AG122" i="23"/>
  <c r="AD122" i="23"/>
  <c r="AA122" i="23"/>
  <c r="X122" i="23"/>
  <c r="W122" i="23"/>
  <c r="AM120" i="23"/>
  <c r="AJ120" i="23"/>
  <c r="AG120" i="23"/>
  <c r="AD120" i="23"/>
  <c r="AA120" i="23"/>
  <c r="X120" i="23"/>
  <c r="W120" i="23"/>
  <c r="AM119" i="23"/>
  <c r="AJ119" i="23"/>
  <c r="AG119" i="23"/>
  <c r="AD119" i="23"/>
  <c r="AA119" i="23"/>
  <c r="X119" i="23"/>
  <c r="W119" i="23"/>
  <c r="AI119" i="23" s="1"/>
  <c r="AM118" i="23"/>
  <c r="AJ118" i="23"/>
  <c r="AG118" i="23"/>
  <c r="AD118" i="23"/>
  <c r="AA118" i="23"/>
  <c r="X118" i="23"/>
  <c r="W118" i="23"/>
  <c r="AL118" i="23" s="1"/>
  <c r="N117" i="23"/>
  <c r="L117" i="23"/>
  <c r="J117" i="23"/>
  <c r="H117" i="23"/>
  <c r="F117" i="23"/>
  <c r="D117" i="23"/>
  <c r="AM116" i="23"/>
  <c r="AJ116" i="23"/>
  <c r="AG116" i="23"/>
  <c r="AD116" i="23"/>
  <c r="AA116" i="23"/>
  <c r="X116" i="23"/>
  <c r="W116" i="23"/>
  <c r="AI116" i="23" s="1"/>
  <c r="AM115" i="23"/>
  <c r="AJ115" i="23"/>
  <c r="AG115" i="23"/>
  <c r="AD115" i="23"/>
  <c r="AA115" i="23"/>
  <c r="X115" i="23"/>
  <c r="W115" i="23"/>
  <c r="AL115" i="23" s="1"/>
  <c r="AM114" i="23"/>
  <c r="AJ114" i="23"/>
  <c r="AG114" i="23"/>
  <c r="AD114" i="23"/>
  <c r="AA114" i="23"/>
  <c r="X114" i="23"/>
  <c r="W114" i="23"/>
  <c r="AI114" i="23" s="1"/>
  <c r="K114" i="23" s="1"/>
  <c r="L114" i="23" s="1"/>
  <c r="AM113" i="23"/>
  <c r="AJ113" i="23"/>
  <c r="AG113" i="23"/>
  <c r="AD113" i="23"/>
  <c r="AA113" i="23"/>
  <c r="X113" i="23"/>
  <c r="W113" i="23"/>
  <c r="AI113" i="23" s="1"/>
  <c r="AM112" i="23"/>
  <c r="AJ112" i="23"/>
  <c r="AG112" i="23"/>
  <c r="AD112" i="23"/>
  <c r="AA112" i="23"/>
  <c r="X112" i="23"/>
  <c r="W112" i="23"/>
  <c r="AI112" i="23" s="1"/>
  <c r="AM111" i="23"/>
  <c r="AJ111" i="23"/>
  <c r="AG111" i="23"/>
  <c r="AD111" i="23"/>
  <c r="AA111" i="23"/>
  <c r="X111" i="23"/>
  <c r="W111" i="23"/>
  <c r="AI111" i="23" s="1"/>
  <c r="AM110" i="23"/>
  <c r="AJ110" i="23"/>
  <c r="AG110" i="23"/>
  <c r="AD110" i="23"/>
  <c r="AA110" i="23"/>
  <c r="X110" i="23"/>
  <c r="W110" i="23"/>
  <c r="AM109" i="23"/>
  <c r="AJ109" i="23"/>
  <c r="AG109" i="23"/>
  <c r="AD109" i="23"/>
  <c r="AA109" i="23"/>
  <c r="Z109" i="23"/>
  <c r="E109" i="23" s="1"/>
  <c r="F109" i="23" s="1"/>
  <c r="X109" i="23"/>
  <c r="W109" i="23"/>
  <c r="AF109" i="23" s="1"/>
  <c r="AM108" i="23"/>
  <c r="AJ108" i="23"/>
  <c r="AG108" i="23"/>
  <c r="AD108" i="23"/>
  <c r="AA108" i="23"/>
  <c r="X108" i="23"/>
  <c r="C108" i="23" s="1"/>
  <c r="W108" i="23"/>
  <c r="AI108" i="23" s="1"/>
  <c r="AM107" i="23"/>
  <c r="AJ107" i="23"/>
  <c r="AG107" i="23"/>
  <c r="AD107" i="23"/>
  <c r="AA107" i="23"/>
  <c r="X107" i="23"/>
  <c r="W107" i="23"/>
  <c r="AL107" i="23" s="1"/>
  <c r="AM106" i="23"/>
  <c r="AJ106" i="23"/>
  <c r="AG106" i="23"/>
  <c r="AD106" i="23"/>
  <c r="AC106" i="23"/>
  <c r="G106" i="23" s="1"/>
  <c r="H106" i="23" s="1"/>
  <c r="AA106" i="23"/>
  <c r="X106" i="23"/>
  <c r="W106" i="23"/>
  <c r="AI106" i="23" s="1"/>
  <c r="K106" i="23" s="1"/>
  <c r="L106" i="23" s="1"/>
  <c r="AM105" i="23"/>
  <c r="AJ105" i="23"/>
  <c r="AG105" i="23"/>
  <c r="AD105" i="23"/>
  <c r="AA105" i="23"/>
  <c r="X105" i="23"/>
  <c r="W105" i="23"/>
  <c r="AC105" i="23" s="1"/>
  <c r="AM104" i="23"/>
  <c r="AJ104" i="23"/>
  <c r="AG104" i="23"/>
  <c r="AD104" i="23"/>
  <c r="AA104" i="23"/>
  <c r="X104" i="23"/>
  <c r="W104" i="23"/>
  <c r="AI104" i="23" s="1"/>
  <c r="AM101" i="23"/>
  <c r="AJ101" i="23"/>
  <c r="AG101" i="23"/>
  <c r="AD101" i="23"/>
  <c r="AA101" i="23"/>
  <c r="X101" i="23"/>
  <c r="W101" i="23"/>
  <c r="AI101" i="23" s="1"/>
  <c r="AM99" i="23"/>
  <c r="AJ99" i="23"/>
  <c r="AG99" i="23"/>
  <c r="AD99" i="23"/>
  <c r="AA99" i="23"/>
  <c r="X99" i="23"/>
  <c r="W99" i="23"/>
  <c r="AM60" i="23"/>
  <c r="AJ60" i="23"/>
  <c r="AG60" i="23"/>
  <c r="AD60" i="23"/>
  <c r="AA60" i="23"/>
  <c r="X60" i="23"/>
  <c r="W60" i="23"/>
  <c r="C60" i="23" s="1"/>
  <c r="D60" i="23" s="1"/>
  <c r="AM54" i="23"/>
  <c r="AJ54" i="23"/>
  <c r="AG54" i="23"/>
  <c r="AD54" i="23"/>
  <c r="AA54" i="23"/>
  <c r="X54" i="23"/>
  <c r="W54" i="23"/>
  <c r="AI54" i="23" s="1"/>
  <c r="AM35" i="23"/>
  <c r="AJ35" i="23"/>
  <c r="AG35" i="23"/>
  <c r="AD35" i="23"/>
  <c r="AA35" i="23"/>
  <c r="X35" i="23"/>
  <c r="W35" i="23"/>
  <c r="AC35" i="23" s="1"/>
  <c r="AM31" i="23"/>
  <c r="AJ31" i="23"/>
  <c r="AI31" i="23"/>
  <c r="K31" i="23" s="1"/>
  <c r="L31" i="23" s="1"/>
  <c r="AG31" i="23"/>
  <c r="AD31" i="23"/>
  <c r="AA31" i="23"/>
  <c r="X31" i="23"/>
  <c r="W31" i="23"/>
  <c r="AC31" i="23" s="1"/>
  <c r="AM29" i="23"/>
  <c r="AJ29" i="23"/>
  <c r="AG29" i="23"/>
  <c r="AD29" i="23"/>
  <c r="AA29" i="23"/>
  <c r="X29" i="23"/>
  <c r="W29" i="23"/>
  <c r="AM27" i="23"/>
  <c r="AJ27" i="23"/>
  <c r="AG27" i="23"/>
  <c r="AD27" i="23"/>
  <c r="AA27" i="23"/>
  <c r="X27" i="23"/>
  <c r="W27" i="23"/>
  <c r="AI27" i="23" s="1"/>
  <c r="K27" i="23" s="1"/>
  <c r="L27" i="23" s="1"/>
  <c r="AM25" i="23"/>
  <c r="AJ25" i="23"/>
  <c r="AG25" i="23"/>
  <c r="AD25" i="23"/>
  <c r="AA25" i="23"/>
  <c r="X25" i="23"/>
  <c r="W25" i="23"/>
  <c r="AI25" i="23" s="1"/>
  <c r="AM21" i="23"/>
  <c r="AJ21" i="23"/>
  <c r="AG21" i="23"/>
  <c r="AD21" i="23"/>
  <c r="AA21" i="23"/>
  <c r="X21" i="23"/>
  <c r="W21" i="23"/>
  <c r="AM19" i="23"/>
  <c r="AJ19" i="23"/>
  <c r="AG19" i="23"/>
  <c r="AD19" i="23"/>
  <c r="AA19" i="23"/>
  <c r="X19" i="23"/>
  <c r="W19" i="23"/>
  <c r="N18" i="23"/>
  <c r="L18" i="23"/>
  <c r="J18" i="23"/>
  <c r="H18" i="23"/>
  <c r="F18" i="23"/>
  <c r="D18" i="23"/>
  <c r="N17" i="23"/>
  <c r="L17" i="23"/>
  <c r="J17" i="23"/>
  <c r="H17" i="23"/>
  <c r="F17" i="23"/>
  <c r="D17" i="23"/>
  <c r="N16" i="23"/>
  <c r="L16" i="23"/>
  <c r="J16" i="23"/>
  <c r="H16" i="23"/>
  <c r="F16" i="23"/>
  <c r="D16" i="23"/>
  <c r="N15" i="23"/>
  <c r="L15" i="23"/>
  <c r="J15" i="23"/>
  <c r="H15" i="23"/>
  <c r="F15" i="23"/>
  <c r="D15" i="23"/>
  <c r="N14" i="23"/>
  <c r="L14" i="23"/>
  <c r="J14" i="23"/>
  <c r="H14" i="23"/>
  <c r="F14" i="23"/>
  <c r="D14" i="23"/>
  <c r="N13" i="23"/>
  <c r="L13" i="23"/>
  <c r="J13" i="23"/>
  <c r="H13" i="23"/>
  <c r="F13" i="23"/>
  <c r="D13" i="23"/>
  <c r="N12" i="23"/>
  <c r="L12" i="23"/>
  <c r="J12" i="23"/>
  <c r="H12" i="23"/>
  <c r="F12" i="23"/>
  <c r="D12" i="23"/>
  <c r="N11" i="23"/>
  <c r="L11" i="23"/>
  <c r="J11" i="23"/>
  <c r="H11" i="23"/>
  <c r="F11" i="23"/>
  <c r="D11" i="23"/>
  <c r="N10" i="23"/>
  <c r="L10" i="23"/>
  <c r="J10" i="23"/>
  <c r="H10" i="23"/>
  <c r="F10" i="23"/>
  <c r="D10" i="23"/>
  <c r="N9" i="23"/>
  <c r="L9" i="23"/>
  <c r="J9" i="23"/>
  <c r="H9" i="23"/>
  <c r="F9" i="23"/>
  <c r="D9" i="23"/>
  <c r="N8" i="23"/>
  <c r="L8" i="23"/>
  <c r="J8" i="23"/>
  <c r="H8" i="23"/>
  <c r="F8" i="23"/>
  <c r="D8" i="23"/>
  <c r="N6" i="23"/>
  <c r="L6" i="23"/>
  <c r="J6" i="23"/>
  <c r="H6" i="23"/>
  <c r="F6" i="23"/>
  <c r="D6" i="23"/>
  <c r="N5" i="23"/>
  <c r="L5" i="23"/>
  <c r="J5" i="23"/>
  <c r="H5" i="23"/>
  <c r="F5" i="23"/>
  <c r="D5" i="23"/>
  <c r="S3" i="23"/>
  <c r="R1024" i="22"/>
  <c r="R1030" i="22" s="1"/>
  <c r="N973" i="22"/>
  <c r="L973" i="22"/>
  <c r="J973" i="22"/>
  <c r="H973" i="22"/>
  <c r="F973" i="22"/>
  <c r="D973" i="22"/>
  <c r="N972" i="22"/>
  <c r="L972" i="22"/>
  <c r="J972" i="22"/>
  <c r="H972" i="22"/>
  <c r="F972" i="22"/>
  <c r="D972" i="22"/>
  <c r="N971" i="22"/>
  <c r="L971" i="22"/>
  <c r="J971" i="22"/>
  <c r="H971" i="22"/>
  <c r="F971" i="22"/>
  <c r="D971" i="22"/>
  <c r="N970" i="22"/>
  <c r="L970" i="22"/>
  <c r="J970" i="22"/>
  <c r="H970" i="22"/>
  <c r="F970" i="22"/>
  <c r="D970" i="22"/>
  <c r="N969" i="22"/>
  <c r="L969" i="22"/>
  <c r="J969" i="22"/>
  <c r="H969" i="22"/>
  <c r="F969" i="22"/>
  <c r="D969" i="22"/>
  <c r="N967" i="22"/>
  <c r="L967" i="22"/>
  <c r="J967" i="22"/>
  <c r="H967" i="22"/>
  <c r="F967" i="22"/>
  <c r="D967" i="22"/>
  <c r="N966" i="22"/>
  <c r="L966" i="22"/>
  <c r="J966" i="22"/>
  <c r="H966" i="22"/>
  <c r="F966" i="22"/>
  <c r="D966" i="22"/>
  <c r="N965" i="22"/>
  <c r="L965" i="22"/>
  <c r="J965" i="22"/>
  <c r="H965" i="22"/>
  <c r="F965" i="22"/>
  <c r="D965" i="22"/>
  <c r="N964" i="22"/>
  <c r="L964" i="22"/>
  <c r="J964" i="22"/>
  <c r="H964" i="22"/>
  <c r="F964" i="22"/>
  <c r="D964" i="22"/>
  <c r="N955" i="22"/>
  <c r="L955" i="22"/>
  <c r="J955" i="22"/>
  <c r="H955" i="22"/>
  <c r="F955" i="22"/>
  <c r="D955" i="22"/>
  <c r="N942" i="22"/>
  <c r="L942" i="22"/>
  <c r="J942" i="22"/>
  <c r="H942" i="22"/>
  <c r="F942" i="22"/>
  <c r="D942" i="22"/>
  <c r="N941" i="22"/>
  <c r="L941" i="22"/>
  <c r="J941" i="22"/>
  <c r="H941" i="22"/>
  <c r="F941" i="22"/>
  <c r="D941" i="22"/>
  <c r="N940" i="22"/>
  <c r="L940" i="22"/>
  <c r="J940" i="22"/>
  <c r="H940" i="22"/>
  <c r="F940" i="22"/>
  <c r="D940" i="22"/>
  <c r="N939" i="22"/>
  <c r="L939" i="22"/>
  <c r="J939" i="22"/>
  <c r="H939" i="22"/>
  <c r="F939" i="22"/>
  <c r="D939" i="22"/>
  <c r="N938" i="22"/>
  <c r="L938" i="22"/>
  <c r="J938" i="22"/>
  <c r="H938" i="22"/>
  <c r="F938" i="22"/>
  <c r="D938" i="22"/>
  <c r="N937" i="22"/>
  <c r="L937" i="22"/>
  <c r="J937" i="22"/>
  <c r="H937" i="22"/>
  <c r="F937" i="22"/>
  <c r="D937" i="22"/>
  <c r="N936" i="22"/>
  <c r="L936" i="22"/>
  <c r="J936" i="22"/>
  <c r="H936" i="22"/>
  <c r="F936" i="22"/>
  <c r="D936" i="22"/>
  <c r="N935" i="22"/>
  <c r="L935" i="22"/>
  <c r="J935" i="22"/>
  <c r="H935" i="22"/>
  <c r="F935" i="22"/>
  <c r="D935" i="22"/>
  <c r="N934" i="22"/>
  <c r="L934" i="22"/>
  <c r="J934" i="22"/>
  <c r="H934" i="22"/>
  <c r="F934" i="22"/>
  <c r="D934" i="22"/>
  <c r="AM933" i="22"/>
  <c r="AJ933" i="22"/>
  <c r="AG933" i="22"/>
  <c r="AD933" i="22"/>
  <c r="AA933" i="22"/>
  <c r="X933" i="22"/>
  <c r="W933" i="22"/>
  <c r="AI933" i="22" s="1"/>
  <c r="K933" i="22" s="1"/>
  <c r="L933" i="22" s="1"/>
  <c r="N932" i="22"/>
  <c r="L932" i="22"/>
  <c r="J932" i="22"/>
  <c r="H932" i="22"/>
  <c r="F932" i="22"/>
  <c r="D932" i="22"/>
  <c r="N926" i="22"/>
  <c r="L926" i="22"/>
  <c r="J926" i="22"/>
  <c r="H926" i="22"/>
  <c r="F926" i="22"/>
  <c r="D926" i="22"/>
  <c r="AM916" i="22"/>
  <c r="AJ916" i="22"/>
  <c r="AG916" i="22"/>
  <c r="AD916" i="22"/>
  <c r="AA916" i="22"/>
  <c r="X916" i="22"/>
  <c r="W916" i="22"/>
  <c r="N915" i="22"/>
  <c r="L915" i="22"/>
  <c r="J915" i="22"/>
  <c r="H915" i="22"/>
  <c r="F915" i="22"/>
  <c r="D915" i="22"/>
  <c r="AM914" i="22"/>
  <c r="AJ914" i="22"/>
  <c r="AG914" i="22"/>
  <c r="AD914" i="22"/>
  <c r="AA914" i="22"/>
  <c r="X914" i="22"/>
  <c r="W914" i="22"/>
  <c r="N913" i="22"/>
  <c r="L913" i="22"/>
  <c r="J913" i="22"/>
  <c r="H913" i="22"/>
  <c r="F913" i="22"/>
  <c r="D913" i="22"/>
  <c r="AM912" i="22"/>
  <c r="AJ912" i="22"/>
  <c r="AG912" i="22"/>
  <c r="AD912" i="22"/>
  <c r="AA912" i="22"/>
  <c r="X912" i="22"/>
  <c r="W912" i="22"/>
  <c r="AI912" i="22" s="1"/>
  <c r="N911" i="22"/>
  <c r="L911" i="22"/>
  <c r="J911" i="22"/>
  <c r="H911" i="22"/>
  <c r="F911" i="22"/>
  <c r="D911" i="22"/>
  <c r="AM910" i="22"/>
  <c r="AJ910" i="22"/>
  <c r="AG910" i="22"/>
  <c r="AD910" i="22"/>
  <c r="AA910" i="22"/>
  <c r="X910" i="22"/>
  <c r="W910" i="22"/>
  <c r="AI910" i="22" s="1"/>
  <c r="N909" i="22"/>
  <c r="L909" i="22"/>
  <c r="J909" i="22"/>
  <c r="H909" i="22"/>
  <c r="F909" i="22"/>
  <c r="D909" i="22"/>
  <c r="AM908" i="22"/>
  <c r="AJ908" i="22"/>
  <c r="AG908" i="22"/>
  <c r="AD908" i="22"/>
  <c r="AA908" i="22"/>
  <c r="X908" i="22"/>
  <c r="W908" i="22"/>
  <c r="AC908" i="22" s="1"/>
  <c r="N907" i="22"/>
  <c r="L907" i="22"/>
  <c r="J907" i="22"/>
  <c r="H907" i="22"/>
  <c r="F907" i="22"/>
  <c r="D907" i="22"/>
  <c r="AM906" i="22"/>
  <c r="AJ906" i="22"/>
  <c r="AG906" i="22"/>
  <c r="AD906" i="22"/>
  <c r="AA906" i="22"/>
  <c r="X906" i="22"/>
  <c r="W906" i="22"/>
  <c r="N905" i="22"/>
  <c r="L905" i="22"/>
  <c r="J905" i="22"/>
  <c r="H905" i="22"/>
  <c r="F905" i="22"/>
  <c r="D905" i="22"/>
  <c r="AM904" i="22"/>
  <c r="AJ904" i="22"/>
  <c r="AG904" i="22"/>
  <c r="AD904" i="22"/>
  <c r="AA904" i="22"/>
  <c r="X904" i="22"/>
  <c r="W904" i="22"/>
  <c r="AI904" i="22" s="1"/>
  <c r="N903" i="22"/>
  <c r="L903" i="22"/>
  <c r="J903" i="22"/>
  <c r="H903" i="22"/>
  <c r="F903" i="22"/>
  <c r="D903" i="22"/>
  <c r="AM902" i="22"/>
  <c r="AJ902" i="22"/>
  <c r="AG902" i="22"/>
  <c r="AD902" i="22"/>
  <c r="AA902" i="22"/>
  <c r="X902" i="22"/>
  <c r="W902" i="22"/>
  <c r="AI902" i="22" s="1"/>
  <c r="N901" i="22"/>
  <c r="L901" i="22"/>
  <c r="J901" i="22"/>
  <c r="H901" i="22"/>
  <c r="F901" i="22"/>
  <c r="D901" i="22"/>
  <c r="AM900" i="22"/>
  <c r="AJ900" i="22"/>
  <c r="AG900" i="22"/>
  <c r="AD900" i="22"/>
  <c r="AA900" i="22"/>
  <c r="X900" i="22"/>
  <c r="W900" i="22"/>
  <c r="N899" i="22"/>
  <c r="L899" i="22"/>
  <c r="J899" i="22"/>
  <c r="H899" i="22"/>
  <c r="F899" i="22"/>
  <c r="D899" i="22"/>
  <c r="AM898" i="22"/>
  <c r="AJ898" i="22"/>
  <c r="AG898" i="22"/>
  <c r="AD898" i="22"/>
  <c r="AA898" i="22"/>
  <c r="X898" i="22"/>
  <c r="W898" i="22"/>
  <c r="N897" i="22"/>
  <c r="L897" i="22"/>
  <c r="J897" i="22"/>
  <c r="H897" i="22"/>
  <c r="F897" i="22"/>
  <c r="D897" i="22"/>
  <c r="AM896" i="22"/>
  <c r="AJ896" i="22"/>
  <c r="AG896" i="22"/>
  <c r="AD896" i="22"/>
  <c r="AA896" i="22"/>
  <c r="X896" i="22"/>
  <c r="W896" i="22"/>
  <c r="AI896" i="22" s="1"/>
  <c r="N895" i="22"/>
  <c r="L895" i="22"/>
  <c r="J895" i="22"/>
  <c r="H895" i="22"/>
  <c r="F895" i="22"/>
  <c r="D895" i="22"/>
  <c r="N889" i="22"/>
  <c r="L889" i="22"/>
  <c r="J889" i="22"/>
  <c r="H889" i="22"/>
  <c r="F889" i="22"/>
  <c r="D889" i="22"/>
  <c r="N886" i="22"/>
  <c r="L886" i="22"/>
  <c r="J886" i="22"/>
  <c r="H886" i="22"/>
  <c r="F886" i="22"/>
  <c r="D886" i="22"/>
  <c r="N879" i="22"/>
  <c r="L879" i="22"/>
  <c r="J879" i="22"/>
  <c r="H879" i="22"/>
  <c r="F879" i="22"/>
  <c r="D879" i="22"/>
  <c r="N878" i="22"/>
  <c r="L878" i="22"/>
  <c r="J878" i="22"/>
  <c r="H878" i="22"/>
  <c r="F878" i="22"/>
  <c r="D878" i="22"/>
  <c r="AM877" i="22"/>
  <c r="AJ877" i="22"/>
  <c r="AG877" i="22"/>
  <c r="AD877" i="22"/>
  <c r="AA877" i="22"/>
  <c r="X877" i="22"/>
  <c r="W877" i="22"/>
  <c r="AI877" i="22" s="1"/>
  <c r="N876" i="22"/>
  <c r="L876" i="22"/>
  <c r="J876" i="22"/>
  <c r="H876" i="22"/>
  <c r="F876" i="22"/>
  <c r="D876" i="22"/>
  <c r="AM875" i="22"/>
  <c r="AJ875" i="22"/>
  <c r="AG875" i="22"/>
  <c r="AD875" i="22"/>
  <c r="AA875" i="22"/>
  <c r="X875" i="22"/>
  <c r="W875" i="22"/>
  <c r="N874" i="22"/>
  <c r="L874" i="22"/>
  <c r="J874" i="22"/>
  <c r="H874" i="22"/>
  <c r="F874" i="22"/>
  <c r="D874" i="22"/>
  <c r="AM873" i="22"/>
  <c r="AJ873" i="22"/>
  <c r="AG873" i="22"/>
  <c r="AD873" i="22"/>
  <c r="AA873" i="22"/>
  <c r="X873" i="22"/>
  <c r="W873" i="22"/>
  <c r="AI873" i="22" s="1"/>
  <c r="N872" i="22"/>
  <c r="L872" i="22"/>
  <c r="J872" i="22"/>
  <c r="H872" i="22"/>
  <c r="F872" i="22"/>
  <c r="D872" i="22"/>
  <c r="AM871" i="22"/>
  <c r="AJ871" i="22"/>
  <c r="AG871" i="22"/>
  <c r="AD871" i="22"/>
  <c r="AA871" i="22"/>
  <c r="X871" i="22"/>
  <c r="W871" i="22"/>
  <c r="AI871" i="22" s="1"/>
  <c r="N870" i="22"/>
  <c r="L870" i="22"/>
  <c r="J870" i="22"/>
  <c r="H870" i="22"/>
  <c r="F870" i="22"/>
  <c r="D870" i="22"/>
  <c r="AM869" i="22"/>
  <c r="AJ869" i="22"/>
  <c r="AG869" i="22"/>
  <c r="AD869" i="22"/>
  <c r="AA869" i="22"/>
  <c r="X869" i="22"/>
  <c r="W869" i="22"/>
  <c r="AC869" i="22" s="1"/>
  <c r="N868" i="22"/>
  <c r="L868" i="22"/>
  <c r="J868" i="22"/>
  <c r="H868" i="22"/>
  <c r="F868" i="22"/>
  <c r="D868" i="22"/>
  <c r="AM867" i="22"/>
  <c r="AJ867" i="22"/>
  <c r="AG867" i="22"/>
  <c r="AD867" i="22"/>
  <c r="AA867" i="22"/>
  <c r="X867" i="22"/>
  <c r="W867" i="22"/>
  <c r="N866" i="22"/>
  <c r="L866" i="22"/>
  <c r="J866" i="22"/>
  <c r="H866" i="22"/>
  <c r="F866" i="22"/>
  <c r="D866" i="22"/>
  <c r="AM865" i="22"/>
  <c r="AJ865" i="22"/>
  <c r="AG865" i="22"/>
  <c r="AD865" i="22"/>
  <c r="AA865" i="22"/>
  <c r="X865" i="22"/>
  <c r="W865" i="22"/>
  <c r="AI865" i="22" s="1"/>
  <c r="N864" i="22"/>
  <c r="L864" i="22"/>
  <c r="J864" i="22"/>
  <c r="H864" i="22"/>
  <c r="F864" i="22"/>
  <c r="D864" i="22"/>
  <c r="AM863" i="22"/>
  <c r="AJ863" i="22"/>
  <c r="AG863" i="22"/>
  <c r="AD863" i="22"/>
  <c r="AA863" i="22"/>
  <c r="X863" i="22"/>
  <c r="W863" i="22"/>
  <c r="AI863" i="22" s="1"/>
  <c r="N862" i="22"/>
  <c r="L862" i="22"/>
  <c r="J862" i="22"/>
  <c r="H862" i="22"/>
  <c r="F862" i="22"/>
  <c r="D862" i="22"/>
  <c r="AM861" i="22"/>
  <c r="AJ861" i="22"/>
  <c r="AG861" i="22"/>
  <c r="AD861" i="22"/>
  <c r="AA861" i="22"/>
  <c r="X861" i="22"/>
  <c r="W861" i="22"/>
  <c r="AC861" i="22" s="1"/>
  <c r="N860" i="22"/>
  <c r="L860" i="22"/>
  <c r="J860" i="22"/>
  <c r="H860" i="22"/>
  <c r="F860" i="22"/>
  <c r="D860" i="22"/>
  <c r="AM859" i="22"/>
  <c r="AJ859" i="22"/>
  <c r="AG859" i="22"/>
  <c r="AD859" i="22"/>
  <c r="AA859" i="22"/>
  <c r="X859" i="22"/>
  <c r="W859" i="22"/>
  <c r="N858" i="22"/>
  <c r="L858" i="22"/>
  <c r="J858" i="22"/>
  <c r="H858" i="22"/>
  <c r="F858" i="22"/>
  <c r="D858" i="22"/>
  <c r="AM840" i="22"/>
  <c r="AJ840" i="22"/>
  <c r="AG840" i="22"/>
  <c r="AD840" i="22"/>
  <c r="AA840" i="22"/>
  <c r="X840" i="22"/>
  <c r="W840" i="22"/>
  <c r="AI840" i="22" s="1"/>
  <c r="K840" i="22" s="1"/>
  <c r="L840" i="22" s="1"/>
  <c r="AM838" i="22"/>
  <c r="AJ838" i="22"/>
  <c r="AG838" i="22"/>
  <c r="AD838" i="22"/>
  <c r="AA838" i="22"/>
  <c r="X838" i="22"/>
  <c r="W838" i="22"/>
  <c r="AC838" i="22" s="1"/>
  <c r="AM834" i="22"/>
  <c r="AJ834" i="22"/>
  <c r="AG834" i="22"/>
  <c r="AD834" i="22"/>
  <c r="AA834" i="22"/>
  <c r="X834" i="22"/>
  <c r="W834" i="22"/>
  <c r="AC834" i="22" s="1"/>
  <c r="AM832" i="22"/>
  <c r="AJ832" i="22"/>
  <c r="AG832" i="22"/>
  <c r="AD832" i="22"/>
  <c r="AA832" i="22"/>
  <c r="X832" i="22"/>
  <c r="W832" i="22"/>
  <c r="AI832" i="22" s="1"/>
  <c r="AM828" i="22"/>
  <c r="AJ828" i="22"/>
  <c r="AG828" i="22"/>
  <c r="AD828" i="22"/>
  <c r="AA828" i="22"/>
  <c r="X828" i="22"/>
  <c r="W828" i="22"/>
  <c r="AI828" i="22" s="1"/>
  <c r="AM826" i="22"/>
  <c r="AJ826" i="22"/>
  <c r="AG826" i="22"/>
  <c r="AD826" i="22"/>
  <c r="AA826" i="22"/>
  <c r="X826" i="22"/>
  <c r="W826" i="22"/>
  <c r="AM807" i="22"/>
  <c r="AJ807" i="22"/>
  <c r="AG807" i="22"/>
  <c r="AD807" i="22"/>
  <c r="AA807" i="22"/>
  <c r="X807" i="22"/>
  <c r="W807" i="22"/>
  <c r="AC807" i="22" s="1"/>
  <c r="G807" i="22" s="1"/>
  <c r="H807" i="22" s="1"/>
  <c r="AM805" i="22"/>
  <c r="AJ805" i="22"/>
  <c r="AG805" i="22"/>
  <c r="AD805" i="22"/>
  <c r="AA805" i="22"/>
  <c r="X805" i="22"/>
  <c r="W805" i="22"/>
  <c r="AI805" i="22" s="1"/>
  <c r="AM801" i="22"/>
  <c r="AJ801" i="22"/>
  <c r="AG801" i="22"/>
  <c r="AD801" i="22"/>
  <c r="AA801" i="22"/>
  <c r="X801" i="22"/>
  <c r="W801" i="22"/>
  <c r="AI801" i="22" s="1"/>
  <c r="K801" i="22" s="1"/>
  <c r="L801" i="22" s="1"/>
  <c r="AM799" i="22"/>
  <c r="AJ799" i="22"/>
  <c r="AG799" i="22"/>
  <c r="AD799" i="22"/>
  <c r="AA799" i="22"/>
  <c r="X799" i="22"/>
  <c r="W799" i="22"/>
  <c r="AC799" i="22" s="1"/>
  <c r="AM797" i="22"/>
  <c r="AJ797" i="22"/>
  <c r="AG797" i="22"/>
  <c r="AD797" i="22"/>
  <c r="AA797" i="22"/>
  <c r="X797" i="22"/>
  <c r="W797" i="22"/>
  <c r="AC797" i="22" s="1"/>
  <c r="AM795" i="22"/>
  <c r="AJ795" i="22"/>
  <c r="AG795" i="22"/>
  <c r="AD795" i="22"/>
  <c r="AA795" i="22"/>
  <c r="X795" i="22"/>
  <c r="W795" i="22"/>
  <c r="AI795" i="22" s="1"/>
  <c r="AM793" i="22"/>
  <c r="AJ793" i="22"/>
  <c r="AG793" i="22"/>
  <c r="AD793" i="22"/>
  <c r="AA793" i="22"/>
  <c r="X793" i="22"/>
  <c r="W793" i="22"/>
  <c r="AI793" i="22" s="1"/>
  <c r="K793" i="22" s="1"/>
  <c r="L793" i="22" s="1"/>
  <c r="AM791" i="22"/>
  <c r="AJ791" i="22"/>
  <c r="AG791" i="22"/>
  <c r="AD791" i="22"/>
  <c r="AA791" i="22"/>
  <c r="X791" i="22"/>
  <c r="W791" i="22"/>
  <c r="AM789" i="22"/>
  <c r="AJ789" i="22"/>
  <c r="AG789" i="22"/>
  <c r="AD789" i="22"/>
  <c r="AA789" i="22"/>
  <c r="X789" i="22"/>
  <c r="W789" i="22"/>
  <c r="AC789" i="22" s="1"/>
  <c r="G789" i="22" s="1"/>
  <c r="H789" i="22" s="1"/>
  <c r="AM787" i="22"/>
  <c r="AJ787" i="22"/>
  <c r="AG787" i="22"/>
  <c r="AD787" i="22"/>
  <c r="AA787" i="22"/>
  <c r="X787" i="22"/>
  <c r="W787" i="22"/>
  <c r="AI787" i="22" s="1"/>
  <c r="AM785" i="22"/>
  <c r="AJ785" i="22"/>
  <c r="AG785" i="22"/>
  <c r="AD785" i="22"/>
  <c r="AA785" i="22"/>
  <c r="X785" i="22"/>
  <c r="W785" i="22"/>
  <c r="AI785" i="22" s="1"/>
  <c r="K785" i="22" s="1"/>
  <c r="L785" i="22" s="1"/>
  <c r="AM783" i="22"/>
  <c r="AJ783" i="22"/>
  <c r="AG783" i="22"/>
  <c r="AD783" i="22"/>
  <c r="AA783" i="22"/>
  <c r="X783" i="22"/>
  <c r="W783" i="22"/>
  <c r="AC783" i="22" s="1"/>
  <c r="AM781" i="22"/>
  <c r="AJ781" i="22"/>
  <c r="AG781" i="22"/>
  <c r="AD781" i="22"/>
  <c r="AA781" i="22"/>
  <c r="X781" i="22"/>
  <c r="W781" i="22"/>
  <c r="AC781" i="22" s="1"/>
  <c r="AM763" i="22"/>
  <c r="AJ763" i="22"/>
  <c r="AG763" i="22"/>
  <c r="AD763" i="22"/>
  <c r="AA763" i="22"/>
  <c r="X763" i="22"/>
  <c r="W763" i="22"/>
  <c r="AI763" i="22" s="1"/>
  <c r="N760" i="22"/>
  <c r="AM759" i="22"/>
  <c r="AJ759" i="22"/>
  <c r="AG759" i="22"/>
  <c r="AD759" i="22"/>
  <c r="AA759" i="22"/>
  <c r="X759" i="22"/>
  <c r="W759" i="22"/>
  <c r="AI759" i="22" s="1"/>
  <c r="AM757" i="22"/>
  <c r="AJ757" i="22"/>
  <c r="AG757" i="22"/>
  <c r="AD757" i="22"/>
  <c r="AA757" i="22"/>
  <c r="X757" i="22"/>
  <c r="W757" i="22"/>
  <c r="AI757" i="22" s="1"/>
  <c r="AM753" i="22"/>
  <c r="AJ753" i="22"/>
  <c r="AG753" i="22"/>
  <c r="AD753" i="22"/>
  <c r="AA753" i="22"/>
  <c r="X753" i="22"/>
  <c r="W753" i="22"/>
  <c r="AI753" i="22" s="1"/>
  <c r="G752" i="22"/>
  <c r="E752" i="22"/>
  <c r="C752" i="22"/>
  <c r="AM751" i="22"/>
  <c r="AJ751" i="22"/>
  <c r="AG751" i="22"/>
  <c r="AD751" i="22"/>
  <c r="AA751" i="22"/>
  <c r="X751" i="22"/>
  <c r="W751" i="22"/>
  <c r="AI751" i="22" s="1"/>
  <c r="AM747" i="22"/>
  <c r="AJ747" i="22"/>
  <c r="AG747" i="22"/>
  <c r="AD747" i="22"/>
  <c r="AA747" i="22"/>
  <c r="X747" i="22"/>
  <c r="W747" i="22"/>
  <c r="AM745" i="22"/>
  <c r="AJ745" i="22"/>
  <c r="AG745" i="22"/>
  <c r="AD745" i="22"/>
  <c r="AA745" i="22"/>
  <c r="X745" i="22"/>
  <c r="W745" i="22"/>
  <c r="AI745" i="22" s="1"/>
  <c r="AM743" i="22"/>
  <c r="AJ743" i="22"/>
  <c r="AG743" i="22"/>
  <c r="AD743" i="22"/>
  <c r="AA743" i="22"/>
  <c r="X743" i="22"/>
  <c r="W743" i="22"/>
  <c r="AC743" i="22" s="1"/>
  <c r="AM741" i="22"/>
  <c r="AJ741" i="22"/>
  <c r="AG741" i="22"/>
  <c r="AD741" i="22"/>
  <c r="AA741" i="22"/>
  <c r="X741" i="22"/>
  <c r="W741" i="22"/>
  <c r="AI741" i="22" s="1"/>
  <c r="AM739" i="22"/>
  <c r="AJ739" i="22"/>
  <c r="AG739" i="22"/>
  <c r="AD739" i="22"/>
  <c r="AA739" i="22"/>
  <c r="X739" i="22"/>
  <c r="W739" i="22"/>
  <c r="AI739" i="22" s="1"/>
  <c r="AM737" i="22"/>
  <c r="AJ737" i="22"/>
  <c r="AG737" i="22"/>
  <c r="AD737" i="22"/>
  <c r="AA737" i="22"/>
  <c r="X737" i="22"/>
  <c r="W737" i="22"/>
  <c r="AC737" i="22" s="1"/>
  <c r="AM735" i="22"/>
  <c r="AJ735" i="22"/>
  <c r="AG735" i="22"/>
  <c r="AD735" i="22"/>
  <c r="AA735" i="22"/>
  <c r="X735" i="22"/>
  <c r="W735" i="22"/>
  <c r="AI735" i="22" s="1"/>
  <c r="AM733" i="22"/>
  <c r="AJ733" i="22"/>
  <c r="AG733" i="22"/>
  <c r="AD733" i="22"/>
  <c r="AA733" i="22"/>
  <c r="X733" i="22"/>
  <c r="W733" i="22"/>
  <c r="AC733" i="22" s="1"/>
  <c r="AM713" i="22"/>
  <c r="AJ713" i="22"/>
  <c r="AG713" i="22"/>
  <c r="AD713" i="22"/>
  <c r="AA713" i="22"/>
  <c r="X713" i="22"/>
  <c r="W713" i="22"/>
  <c r="AI713" i="22" s="1"/>
  <c r="AM711" i="22"/>
  <c r="AJ711" i="22"/>
  <c r="AG711" i="22"/>
  <c r="AD711" i="22"/>
  <c r="AA711" i="22"/>
  <c r="X711" i="22"/>
  <c r="W711" i="22"/>
  <c r="AI711" i="22" s="1"/>
  <c r="AM709" i="22"/>
  <c r="AJ709" i="22"/>
  <c r="AG709" i="22"/>
  <c r="AD709" i="22"/>
  <c r="AA709" i="22"/>
  <c r="X709" i="22"/>
  <c r="W709" i="22"/>
  <c r="AC709" i="22" s="1"/>
  <c r="AM707" i="22"/>
  <c r="AJ707" i="22"/>
  <c r="AG707" i="22"/>
  <c r="AD707" i="22"/>
  <c r="AA707" i="22"/>
  <c r="X707" i="22"/>
  <c r="W707" i="22"/>
  <c r="AC707" i="22" s="1"/>
  <c r="AM705" i="22"/>
  <c r="AJ705" i="22"/>
  <c r="AG705" i="22"/>
  <c r="AD705" i="22"/>
  <c r="AA705" i="22"/>
  <c r="X705" i="22"/>
  <c r="W705" i="22"/>
  <c r="AC705" i="22" s="1"/>
  <c r="AM701" i="22"/>
  <c r="AJ701" i="22"/>
  <c r="AG701" i="22"/>
  <c r="AD701" i="22"/>
  <c r="AA701" i="22"/>
  <c r="X701" i="22"/>
  <c r="W701" i="22"/>
  <c r="AI701" i="22" s="1"/>
  <c r="AM699" i="22"/>
  <c r="AJ699" i="22"/>
  <c r="AG699" i="22"/>
  <c r="AD699" i="22"/>
  <c r="AA699" i="22"/>
  <c r="X699" i="22"/>
  <c r="W699" i="22"/>
  <c r="AM703" i="22"/>
  <c r="AJ703" i="22"/>
  <c r="AG703" i="22"/>
  <c r="AD703" i="22"/>
  <c r="AA703" i="22"/>
  <c r="X703" i="22"/>
  <c r="W703" i="22"/>
  <c r="AI703" i="22" s="1"/>
  <c r="AM695" i="22"/>
  <c r="AJ695" i="22"/>
  <c r="AG695" i="22"/>
  <c r="AD695" i="22"/>
  <c r="AA695" i="22"/>
  <c r="X695" i="22"/>
  <c r="W695" i="22"/>
  <c r="AI695" i="22" s="1"/>
  <c r="AM693" i="22"/>
  <c r="AJ693" i="22"/>
  <c r="AG693" i="22"/>
  <c r="AD693" i="22"/>
  <c r="AA693" i="22"/>
  <c r="X693" i="22"/>
  <c r="W693" i="22"/>
  <c r="G692" i="22"/>
  <c r="H692" i="22" s="1"/>
  <c r="E692" i="22"/>
  <c r="F692" i="22" s="1"/>
  <c r="C692" i="22"/>
  <c r="D692" i="22" s="1"/>
  <c r="AM691" i="22"/>
  <c r="AJ691" i="22"/>
  <c r="AG691" i="22"/>
  <c r="AD691" i="22"/>
  <c r="AA691" i="22"/>
  <c r="X691" i="22"/>
  <c r="W691" i="22"/>
  <c r="AC691" i="22" s="1"/>
  <c r="G690" i="22"/>
  <c r="H690" i="22" s="1"/>
  <c r="E690" i="22"/>
  <c r="F690" i="22" s="1"/>
  <c r="C690" i="22"/>
  <c r="D690" i="22" s="1"/>
  <c r="AM689" i="22"/>
  <c r="AJ689" i="22"/>
  <c r="AG689" i="22"/>
  <c r="AD689" i="22"/>
  <c r="AA689" i="22"/>
  <c r="X689" i="22"/>
  <c r="W689" i="22"/>
  <c r="AC689" i="22" s="1"/>
  <c r="G688" i="22"/>
  <c r="H688" i="22" s="1"/>
  <c r="E688" i="22"/>
  <c r="F688" i="22" s="1"/>
  <c r="C688" i="22"/>
  <c r="D688" i="22" s="1"/>
  <c r="AM687" i="22"/>
  <c r="AJ687" i="22"/>
  <c r="AG687" i="22"/>
  <c r="AD687" i="22"/>
  <c r="AA687" i="22"/>
  <c r="X687" i="22"/>
  <c r="W687" i="22"/>
  <c r="AC687" i="22" s="1"/>
  <c r="G686" i="22"/>
  <c r="H686" i="22" s="1"/>
  <c r="E686" i="22"/>
  <c r="F686" i="22" s="1"/>
  <c r="C686" i="22"/>
  <c r="D686" i="22" s="1"/>
  <c r="AM685" i="22"/>
  <c r="AJ685" i="22"/>
  <c r="AG685" i="22"/>
  <c r="AD685" i="22"/>
  <c r="AA685" i="22"/>
  <c r="X685" i="22"/>
  <c r="W685" i="22"/>
  <c r="AI685" i="22" s="1"/>
  <c r="G684" i="22"/>
  <c r="H684" i="22" s="1"/>
  <c r="E684" i="22"/>
  <c r="F684" i="22" s="1"/>
  <c r="C684" i="22"/>
  <c r="D684" i="22" s="1"/>
  <c r="G683" i="22"/>
  <c r="H683" i="22" s="1"/>
  <c r="E683" i="22"/>
  <c r="F683" i="22" s="1"/>
  <c r="C683" i="22"/>
  <c r="D683" i="22" s="1"/>
  <c r="AM667" i="22"/>
  <c r="AJ667" i="22"/>
  <c r="AG667" i="22"/>
  <c r="AD667" i="22"/>
  <c r="AA667" i="22"/>
  <c r="X667" i="22"/>
  <c r="W667" i="22"/>
  <c r="AI667" i="22" s="1"/>
  <c r="AM665" i="22"/>
  <c r="AJ665" i="22"/>
  <c r="AG665" i="22"/>
  <c r="AD665" i="22"/>
  <c r="AA665" i="22"/>
  <c r="X665" i="22"/>
  <c r="W665" i="22"/>
  <c r="AI665" i="22" s="1"/>
  <c r="G664" i="22"/>
  <c r="H664" i="22" s="1"/>
  <c r="E664" i="22"/>
  <c r="F664" i="22" s="1"/>
  <c r="C664" i="22"/>
  <c r="D664" i="22" s="1"/>
  <c r="AM663" i="22"/>
  <c r="AJ663" i="22"/>
  <c r="AG663" i="22"/>
  <c r="AD663" i="22"/>
  <c r="AA663" i="22"/>
  <c r="X663" i="22"/>
  <c r="W663" i="22"/>
  <c r="AI663" i="22" s="1"/>
  <c r="G662" i="22"/>
  <c r="H662" i="22" s="1"/>
  <c r="E662" i="22"/>
  <c r="F662" i="22" s="1"/>
  <c r="C662" i="22"/>
  <c r="D662" i="22" s="1"/>
  <c r="AM661" i="22"/>
  <c r="AJ661" i="22"/>
  <c r="AG661" i="22"/>
  <c r="AD661" i="22"/>
  <c r="AA661" i="22"/>
  <c r="X661" i="22"/>
  <c r="W661" i="22"/>
  <c r="AI661" i="22" s="1"/>
  <c r="G660" i="22"/>
  <c r="H660" i="22" s="1"/>
  <c r="E660" i="22"/>
  <c r="F660" i="22" s="1"/>
  <c r="C660" i="22"/>
  <c r="D660" i="22" s="1"/>
  <c r="AM659" i="22"/>
  <c r="AJ659" i="22"/>
  <c r="AG659" i="22"/>
  <c r="AD659" i="22"/>
  <c r="AA659" i="22"/>
  <c r="X659" i="22"/>
  <c r="W659" i="22"/>
  <c r="AI659" i="22" s="1"/>
  <c r="J659" i="22"/>
  <c r="F659" i="22"/>
  <c r="G658" i="22"/>
  <c r="H658" i="22" s="1"/>
  <c r="E658" i="22"/>
  <c r="F658" i="22" s="1"/>
  <c r="C658" i="22"/>
  <c r="D658" i="22" s="1"/>
  <c r="AM657" i="22"/>
  <c r="AJ657" i="22"/>
  <c r="AG657" i="22"/>
  <c r="AD657" i="22"/>
  <c r="AA657" i="22"/>
  <c r="X657" i="22"/>
  <c r="W657" i="22"/>
  <c r="AC657" i="22" s="1"/>
  <c r="G656" i="22"/>
  <c r="H656" i="22" s="1"/>
  <c r="E656" i="22"/>
  <c r="F656" i="22" s="1"/>
  <c r="C656" i="22"/>
  <c r="D656" i="22" s="1"/>
  <c r="AM653" i="22"/>
  <c r="AJ653" i="22"/>
  <c r="AG653" i="22"/>
  <c r="AD653" i="22"/>
  <c r="AA653" i="22"/>
  <c r="X653" i="22"/>
  <c r="W653" i="22"/>
  <c r="AC653" i="22" s="1"/>
  <c r="AM649" i="22"/>
  <c r="AJ649" i="22"/>
  <c r="AG649" i="22"/>
  <c r="AD649" i="22"/>
  <c r="AA649" i="22"/>
  <c r="X649" i="22"/>
  <c r="W649" i="22"/>
  <c r="AI649" i="22" s="1"/>
  <c r="AM645" i="22"/>
  <c r="AJ645" i="22"/>
  <c r="AG645" i="22"/>
  <c r="AD645" i="22"/>
  <c r="AA645" i="22"/>
  <c r="X645" i="22"/>
  <c r="W645" i="22"/>
  <c r="AI645" i="22" s="1"/>
  <c r="AM643" i="22"/>
  <c r="AJ643" i="22"/>
  <c r="AG643" i="22"/>
  <c r="AD643" i="22"/>
  <c r="AA643" i="22"/>
  <c r="X643" i="22"/>
  <c r="W643" i="22"/>
  <c r="AI643" i="22" s="1"/>
  <c r="AM637" i="22"/>
  <c r="AJ637" i="22"/>
  <c r="AG637" i="22"/>
  <c r="AD637" i="22"/>
  <c r="AA637" i="22"/>
  <c r="X637" i="22"/>
  <c r="W637" i="22"/>
  <c r="AI637" i="22" s="1"/>
  <c r="G634" i="22"/>
  <c r="H634" i="22" s="1"/>
  <c r="E634" i="22"/>
  <c r="F634" i="22" s="1"/>
  <c r="C634" i="22"/>
  <c r="D634" i="22" s="1"/>
  <c r="AM624" i="22"/>
  <c r="AJ624" i="22"/>
  <c r="AG624" i="22"/>
  <c r="AD624" i="22"/>
  <c r="AA624" i="22"/>
  <c r="X624" i="22"/>
  <c r="W624" i="22"/>
  <c r="AI624" i="22" s="1"/>
  <c r="AM622" i="22"/>
  <c r="AJ622" i="22"/>
  <c r="AG622" i="22"/>
  <c r="AD622" i="22"/>
  <c r="AA622" i="22"/>
  <c r="X622" i="22"/>
  <c r="W622" i="22"/>
  <c r="AC622" i="22" s="1"/>
  <c r="AM620" i="22"/>
  <c r="AJ620" i="22"/>
  <c r="AG620" i="22"/>
  <c r="AD620" i="22"/>
  <c r="AA620" i="22"/>
  <c r="X620" i="22"/>
  <c r="W620" i="22"/>
  <c r="AI620" i="22" s="1"/>
  <c r="AM616" i="22"/>
  <c r="AJ616" i="22"/>
  <c r="AG616" i="22"/>
  <c r="AD616" i="22"/>
  <c r="AA616" i="22"/>
  <c r="X616" i="22"/>
  <c r="W616" i="22"/>
  <c r="AC616" i="22" s="1"/>
  <c r="AM614" i="22"/>
  <c r="AJ614" i="22"/>
  <c r="AG614" i="22"/>
  <c r="AD614" i="22"/>
  <c r="AA614" i="22"/>
  <c r="X614" i="22"/>
  <c r="W614" i="22"/>
  <c r="AI614" i="22" s="1"/>
  <c r="AM612" i="22"/>
  <c r="AJ612" i="22"/>
  <c r="AG612" i="22"/>
  <c r="AD612" i="22"/>
  <c r="AA612" i="22"/>
  <c r="X612" i="22"/>
  <c r="W612" i="22"/>
  <c r="AM610" i="22"/>
  <c r="AJ610" i="22"/>
  <c r="AG610" i="22"/>
  <c r="AD610" i="22"/>
  <c r="AA610" i="22"/>
  <c r="X610" i="22"/>
  <c r="W610" i="22"/>
  <c r="AI610" i="22" s="1"/>
  <c r="AM608" i="22"/>
  <c r="AJ608" i="22"/>
  <c r="AG608" i="22"/>
  <c r="AD608" i="22"/>
  <c r="AA608" i="22"/>
  <c r="X608" i="22"/>
  <c r="W608" i="22"/>
  <c r="AC608" i="22" s="1"/>
  <c r="AM606" i="22"/>
  <c r="AJ606" i="22"/>
  <c r="AG606" i="22"/>
  <c r="AD606" i="22"/>
  <c r="AA606" i="22"/>
  <c r="X606" i="22"/>
  <c r="W606" i="22"/>
  <c r="AI606" i="22" s="1"/>
  <c r="AM604" i="22"/>
  <c r="AJ604" i="22"/>
  <c r="AG604" i="22"/>
  <c r="AD604" i="22"/>
  <c r="AA604" i="22"/>
  <c r="X604" i="22"/>
  <c r="W604" i="22"/>
  <c r="AI604" i="22" s="1"/>
  <c r="L604" i="22" s="1"/>
  <c r="H604" i="22"/>
  <c r="AM602" i="22"/>
  <c r="AJ602" i="22"/>
  <c r="AG602" i="22"/>
  <c r="AD602" i="22"/>
  <c r="AA602" i="22"/>
  <c r="X602" i="22"/>
  <c r="W602" i="22"/>
  <c r="AI602" i="22" s="1"/>
  <c r="K602" i="22" s="1"/>
  <c r="L602" i="22" s="1"/>
  <c r="AM600" i="22"/>
  <c r="AJ600" i="22"/>
  <c r="AG600" i="22"/>
  <c r="AD600" i="22"/>
  <c r="AA600" i="22"/>
  <c r="X600" i="22"/>
  <c r="W600" i="22"/>
  <c r="AI600" i="22" s="1"/>
  <c r="AM598" i="22"/>
  <c r="AJ598" i="22"/>
  <c r="AG598" i="22"/>
  <c r="AD598" i="22"/>
  <c r="AA598" i="22"/>
  <c r="X598" i="22"/>
  <c r="W598" i="22"/>
  <c r="AI598" i="22" s="1"/>
  <c r="AM596" i="22"/>
  <c r="AJ596" i="22"/>
  <c r="AG596" i="22"/>
  <c r="AD596" i="22"/>
  <c r="AA596" i="22"/>
  <c r="X596" i="22"/>
  <c r="W596" i="22"/>
  <c r="AI596" i="22" s="1"/>
  <c r="N595" i="22"/>
  <c r="G594" i="22"/>
  <c r="E594" i="22"/>
  <c r="AM592" i="22"/>
  <c r="AJ592" i="22"/>
  <c r="AG592" i="22"/>
  <c r="AD592" i="22"/>
  <c r="AA592" i="22"/>
  <c r="X592" i="22"/>
  <c r="W592" i="22"/>
  <c r="AI592" i="22" s="1"/>
  <c r="AM590" i="22"/>
  <c r="AJ590" i="22"/>
  <c r="AG590" i="22"/>
  <c r="AD590" i="22"/>
  <c r="AA590" i="22"/>
  <c r="X590" i="22"/>
  <c r="W590" i="22"/>
  <c r="AM588" i="22"/>
  <c r="AJ588" i="22"/>
  <c r="AG588" i="22"/>
  <c r="AD588" i="22"/>
  <c r="AA588" i="22"/>
  <c r="X588" i="22"/>
  <c r="W588" i="22"/>
  <c r="AI588" i="22" s="1"/>
  <c r="AM569" i="22"/>
  <c r="AJ569" i="22"/>
  <c r="AG569" i="22"/>
  <c r="AD569" i="22"/>
  <c r="AA569" i="22"/>
  <c r="X569" i="22"/>
  <c r="W569" i="22"/>
  <c r="AI569" i="22" s="1"/>
  <c r="O569" i="22"/>
  <c r="R569" i="22" s="1"/>
  <c r="AM565" i="22"/>
  <c r="AJ565" i="22"/>
  <c r="AG565" i="22"/>
  <c r="AD565" i="22"/>
  <c r="AA565" i="22"/>
  <c r="X565" i="22"/>
  <c r="W565" i="22"/>
  <c r="AM561" i="22"/>
  <c r="AJ561" i="22"/>
  <c r="AG561" i="22"/>
  <c r="AD561" i="22"/>
  <c r="AA561" i="22"/>
  <c r="X561" i="22"/>
  <c r="W561" i="22"/>
  <c r="AI561" i="22" s="1"/>
  <c r="AM559" i="22"/>
  <c r="AJ559" i="22"/>
  <c r="AG559" i="22"/>
  <c r="AD559" i="22"/>
  <c r="AA559" i="22"/>
  <c r="X559" i="22"/>
  <c r="W559" i="22"/>
  <c r="AI559" i="22" s="1"/>
  <c r="AM557" i="22"/>
  <c r="AJ557" i="22"/>
  <c r="AG557" i="22"/>
  <c r="AD557" i="22"/>
  <c r="AA557" i="22"/>
  <c r="X557" i="22"/>
  <c r="W557" i="22"/>
  <c r="AI557" i="22" s="1"/>
  <c r="AM553" i="22"/>
  <c r="AJ553" i="22"/>
  <c r="AG553" i="22"/>
  <c r="AD553" i="22"/>
  <c r="AA553" i="22"/>
  <c r="X553" i="22"/>
  <c r="W553" i="22"/>
  <c r="AI553" i="22" s="1"/>
  <c r="K553" i="22" s="1"/>
  <c r="L553" i="22" s="1"/>
  <c r="AM551" i="22"/>
  <c r="AJ551" i="22"/>
  <c r="AG551" i="22"/>
  <c r="AD551" i="22"/>
  <c r="AA551" i="22"/>
  <c r="X551" i="22"/>
  <c r="W551" i="22"/>
  <c r="AI551" i="22" s="1"/>
  <c r="AM549" i="22"/>
  <c r="AJ549" i="22"/>
  <c r="AG549" i="22"/>
  <c r="AD549" i="22"/>
  <c r="AA549" i="22"/>
  <c r="X549" i="22"/>
  <c r="W549" i="22"/>
  <c r="AC549" i="22" s="1"/>
  <c r="G549" i="22" s="1"/>
  <c r="H549" i="22" s="1"/>
  <c r="AM545" i="22"/>
  <c r="AJ545" i="22"/>
  <c r="AG545" i="22"/>
  <c r="AD545" i="22"/>
  <c r="AA545" i="22"/>
  <c r="X545" i="22"/>
  <c r="W545" i="22"/>
  <c r="AI545" i="22" s="1"/>
  <c r="G522" i="22"/>
  <c r="E522" i="22"/>
  <c r="C522" i="22"/>
  <c r="AM520" i="22"/>
  <c r="AJ520" i="22"/>
  <c r="AG520" i="22"/>
  <c r="AD520" i="22"/>
  <c r="AA520" i="22"/>
  <c r="X520" i="22"/>
  <c r="W520" i="22"/>
  <c r="AM516" i="22"/>
  <c r="AJ516" i="22"/>
  <c r="AG516" i="22"/>
  <c r="AD516" i="22"/>
  <c r="AA516" i="22"/>
  <c r="X516" i="22"/>
  <c r="W516" i="22"/>
  <c r="AI516" i="22" s="1"/>
  <c r="AM512" i="22"/>
  <c r="AJ512" i="22"/>
  <c r="AG512" i="22"/>
  <c r="AD512" i="22"/>
  <c r="AA512" i="22"/>
  <c r="X512" i="22"/>
  <c r="W512" i="22"/>
  <c r="AC512" i="22" s="1"/>
  <c r="AM510" i="22"/>
  <c r="AJ510" i="22"/>
  <c r="AG510" i="22"/>
  <c r="AD510" i="22"/>
  <c r="AA510" i="22"/>
  <c r="X510" i="22"/>
  <c r="W510" i="22"/>
  <c r="AI510" i="22" s="1"/>
  <c r="K510" i="22" s="1"/>
  <c r="L510" i="22" s="1"/>
  <c r="AM506" i="22"/>
  <c r="AJ506" i="22"/>
  <c r="AG506" i="22"/>
  <c r="AD506" i="22"/>
  <c r="AA506" i="22"/>
  <c r="X506" i="22"/>
  <c r="W506" i="22"/>
  <c r="AC506" i="22" s="1"/>
  <c r="AM504" i="22"/>
  <c r="AJ504" i="22"/>
  <c r="AG504" i="22"/>
  <c r="AD504" i="22"/>
  <c r="AA504" i="22"/>
  <c r="X504" i="22"/>
  <c r="W504" i="22"/>
  <c r="AI504" i="22" s="1"/>
  <c r="AM467" i="22"/>
  <c r="AJ467" i="22"/>
  <c r="AG467" i="22"/>
  <c r="AD467" i="22"/>
  <c r="AA467" i="22"/>
  <c r="X467" i="22"/>
  <c r="W467" i="22"/>
  <c r="O467" i="22"/>
  <c r="R467" i="22" s="1"/>
  <c r="AM463" i="22"/>
  <c r="AJ463" i="22"/>
  <c r="AG463" i="22"/>
  <c r="AD463" i="22"/>
  <c r="AA463" i="22"/>
  <c r="X463" i="22"/>
  <c r="W463" i="22"/>
  <c r="AI463" i="22" s="1"/>
  <c r="AM459" i="22"/>
  <c r="AJ459" i="22"/>
  <c r="AG459" i="22"/>
  <c r="AD459" i="22"/>
  <c r="AA459" i="22"/>
  <c r="X459" i="22"/>
  <c r="W459" i="22"/>
  <c r="AM457" i="22"/>
  <c r="AJ457" i="22"/>
  <c r="AG457" i="22"/>
  <c r="AD457" i="22"/>
  <c r="AA457" i="22"/>
  <c r="X457" i="22"/>
  <c r="W457" i="22"/>
  <c r="AI457" i="22" s="1"/>
  <c r="AM455" i="22"/>
  <c r="AJ455" i="22"/>
  <c r="AG455" i="22"/>
  <c r="AD455" i="22"/>
  <c r="AA455" i="22"/>
  <c r="X455" i="22"/>
  <c r="W455" i="22"/>
  <c r="AI455" i="22" s="1"/>
  <c r="AM453" i="22"/>
  <c r="AJ453" i="22"/>
  <c r="AG453" i="22"/>
  <c r="AD453" i="22"/>
  <c r="AA453" i="22"/>
  <c r="X453" i="22"/>
  <c r="W453" i="22"/>
  <c r="AI453" i="22" s="1"/>
  <c r="AM435" i="22"/>
  <c r="AJ435" i="22"/>
  <c r="AG435" i="22"/>
  <c r="AD435" i="22"/>
  <c r="AA435" i="22"/>
  <c r="X435" i="22"/>
  <c r="T435" i="22"/>
  <c r="W435" i="22" s="1"/>
  <c r="AF435" i="22" s="1"/>
  <c r="AM431" i="22"/>
  <c r="AJ431" i="22"/>
  <c r="AG431" i="22"/>
  <c r="AD431" i="22"/>
  <c r="AA431" i="22"/>
  <c r="X431" i="22"/>
  <c r="W431" i="22"/>
  <c r="AM427" i="22"/>
  <c r="AJ427" i="22"/>
  <c r="AG427" i="22"/>
  <c r="AD427" i="22"/>
  <c r="AA427" i="22"/>
  <c r="X427" i="22"/>
  <c r="W427" i="22"/>
  <c r="AI427" i="22" s="1"/>
  <c r="AM423" i="22"/>
  <c r="AJ423" i="22"/>
  <c r="AG423" i="22"/>
  <c r="AD423" i="22"/>
  <c r="AA423" i="22"/>
  <c r="X423" i="22"/>
  <c r="W423" i="22"/>
  <c r="AI423" i="22" s="1"/>
  <c r="AM415" i="22"/>
  <c r="AJ415" i="22"/>
  <c r="AG415" i="22"/>
  <c r="AD415" i="22"/>
  <c r="AA415" i="22"/>
  <c r="X415" i="22"/>
  <c r="W415" i="22"/>
  <c r="AI415" i="22" s="1"/>
  <c r="K415" i="22" s="1"/>
  <c r="L415" i="22" s="1"/>
  <c r="AM413" i="22"/>
  <c r="AJ413" i="22"/>
  <c r="AG413" i="22"/>
  <c r="AD413" i="22"/>
  <c r="AA413" i="22"/>
  <c r="X413" i="22"/>
  <c r="W413" i="22"/>
  <c r="AI413" i="22" s="1"/>
  <c r="AM389" i="22"/>
  <c r="AJ389" i="22"/>
  <c r="AG389" i="22"/>
  <c r="AD389" i="22"/>
  <c r="AA389" i="22"/>
  <c r="X389" i="22"/>
  <c r="W389" i="22"/>
  <c r="AC389" i="22" s="1"/>
  <c r="O389" i="22"/>
  <c r="R389" i="22" s="1"/>
  <c r="AM385" i="22"/>
  <c r="AJ385" i="22"/>
  <c r="AG385" i="22"/>
  <c r="AD385" i="22"/>
  <c r="AA385" i="22"/>
  <c r="X385" i="22"/>
  <c r="W385" i="22"/>
  <c r="AI385" i="22" s="1"/>
  <c r="AM381" i="22"/>
  <c r="AJ381" i="22"/>
  <c r="AG381" i="22"/>
  <c r="AD381" i="22"/>
  <c r="AA381" i="22"/>
  <c r="X381" i="22"/>
  <c r="W381" i="22"/>
  <c r="AI381" i="22" s="1"/>
  <c r="AM377" i="22"/>
  <c r="AJ377" i="22"/>
  <c r="AG377" i="22"/>
  <c r="AD377" i="22"/>
  <c r="AA377" i="22"/>
  <c r="X377" i="22"/>
  <c r="W377" i="22"/>
  <c r="AI377" i="22" s="1"/>
  <c r="K377" i="22" s="1"/>
  <c r="L377" i="22" s="1"/>
  <c r="AM373" i="22"/>
  <c r="AJ373" i="22"/>
  <c r="AG373" i="22"/>
  <c r="AD373" i="22"/>
  <c r="AA373" i="22"/>
  <c r="X373" i="22"/>
  <c r="W373" i="22"/>
  <c r="AC373" i="22" s="1"/>
  <c r="AM355" i="22"/>
  <c r="AJ355" i="22"/>
  <c r="AG355" i="22"/>
  <c r="AD355" i="22"/>
  <c r="AA355" i="22"/>
  <c r="X355" i="22"/>
  <c r="W355" i="22"/>
  <c r="AI355" i="22" s="1"/>
  <c r="O355" i="22"/>
  <c r="R355" i="22" s="1"/>
  <c r="AM353" i="22"/>
  <c r="AJ353" i="22"/>
  <c r="AG353" i="22"/>
  <c r="AD353" i="22"/>
  <c r="AA353" i="22"/>
  <c r="X353" i="22"/>
  <c r="W353" i="22"/>
  <c r="AC353" i="22" s="1"/>
  <c r="O353" i="22"/>
  <c r="R353" i="22" s="1"/>
  <c r="AM349" i="22"/>
  <c r="AJ349" i="22"/>
  <c r="AG349" i="22"/>
  <c r="AD349" i="22"/>
  <c r="AA349" i="22"/>
  <c r="X349" i="22"/>
  <c r="W349" i="22"/>
  <c r="AI349" i="22" s="1"/>
  <c r="U345" i="22"/>
  <c r="AM345" i="22" s="1"/>
  <c r="T345" i="22"/>
  <c r="W345" i="22" s="1"/>
  <c r="AI345" i="22" s="1"/>
  <c r="AM341" i="22"/>
  <c r="AJ341" i="22"/>
  <c r="AG341" i="22"/>
  <c r="AD341" i="22"/>
  <c r="AA341" i="22"/>
  <c r="X341" i="22"/>
  <c r="W341" i="22"/>
  <c r="AC341" i="22" s="1"/>
  <c r="U337" i="22"/>
  <c r="T337" i="22"/>
  <c r="W337" i="22" s="1"/>
  <c r="Z337" i="22" s="1"/>
  <c r="AM333" i="22"/>
  <c r="AJ333" i="22"/>
  <c r="AG333" i="22"/>
  <c r="AD333" i="22"/>
  <c r="AA333" i="22"/>
  <c r="X333" i="22"/>
  <c r="W333" i="22"/>
  <c r="AI333" i="22" s="1"/>
  <c r="U331" i="22"/>
  <c r="AM331" i="22" s="1"/>
  <c r="T331" i="22"/>
  <c r="W331" i="22" s="1"/>
  <c r="AI331" i="22" s="1"/>
  <c r="U329" i="22"/>
  <c r="AM329" i="22" s="1"/>
  <c r="T329" i="22"/>
  <c r="W329" i="22" s="1"/>
  <c r="AI329" i="22" s="1"/>
  <c r="U327" i="22"/>
  <c r="AM327" i="22" s="1"/>
  <c r="T327" i="22"/>
  <c r="W327" i="22" s="1"/>
  <c r="AI327" i="22" s="1"/>
  <c r="AM309" i="22"/>
  <c r="AJ309" i="22"/>
  <c r="AG309" i="22"/>
  <c r="AD309" i="22"/>
  <c r="AA309" i="22"/>
  <c r="X309" i="22"/>
  <c r="W309" i="22"/>
  <c r="AI309" i="22" s="1"/>
  <c r="AM307" i="22"/>
  <c r="AJ307" i="22"/>
  <c r="AG307" i="22"/>
  <c r="AD307" i="22"/>
  <c r="AA307" i="22"/>
  <c r="X307" i="22"/>
  <c r="W307" i="22"/>
  <c r="AC307" i="22" s="1"/>
  <c r="AM305" i="22"/>
  <c r="AJ305" i="22"/>
  <c r="AG305" i="22"/>
  <c r="AD305" i="22"/>
  <c r="AA305" i="22"/>
  <c r="X305" i="22"/>
  <c r="W305" i="22"/>
  <c r="AI305" i="22" s="1"/>
  <c r="AM301" i="22"/>
  <c r="AJ301" i="22"/>
  <c r="AG301" i="22"/>
  <c r="AD301" i="22"/>
  <c r="AA301" i="22"/>
  <c r="X301" i="22"/>
  <c r="W301" i="22"/>
  <c r="AM299" i="22"/>
  <c r="AJ299" i="22"/>
  <c r="AG299" i="22"/>
  <c r="AD299" i="22"/>
  <c r="AA299" i="22"/>
  <c r="X299" i="22"/>
  <c r="W299" i="22"/>
  <c r="AI299" i="22" s="1"/>
  <c r="AM297" i="22"/>
  <c r="AJ297" i="22"/>
  <c r="AG297" i="22"/>
  <c r="AD297" i="22"/>
  <c r="AA297" i="22"/>
  <c r="X297" i="22"/>
  <c r="W297" i="22"/>
  <c r="AI297" i="22" s="1"/>
  <c r="AM295" i="22"/>
  <c r="AJ295" i="22"/>
  <c r="AG295" i="22"/>
  <c r="AD295" i="22"/>
  <c r="AA295" i="22"/>
  <c r="X295" i="22"/>
  <c r="W295" i="22"/>
  <c r="AI295" i="22" s="1"/>
  <c r="N292" i="22"/>
  <c r="U291" i="22"/>
  <c r="AM291" i="22" s="1"/>
  <c r="T291" i="22"/>
  <c r="W291" i="22" s="1"/>
  <c r="N290" i="22"/>
  <c r="U289" i="22"/>
  <c r="AM289" i="22" s="1"/>
  <c r="T289" i="22"/>
  <c r="W289" i="22" s="1"/>
  <c r="AF289" i="22" s="1"/>
  <c r="N286" i="22"/>
  <c r="U285" i="22"/>
  <c r="AA285" i="22" s="1"/>
  <c r="T285" i="22"/>
  <c r="W285" i="22" s="1"/>
  <c r="AF285" i="22" s="1"/>
  <c r="N284" i="22"/>
  <c r="N282" i="22"/>
  <c r="U281" i="22"/>
  <c r="AM281" i="22" s="1"/>
  <c r="T281" i="22"/>
  <c r="W281" i="22" s="1"/>
  <c r="AC281" i="22" s="1"/>
  <c r="N280" i="22"/>
  <c r="N268" i="22"/>
  <c r="AM267" i="22"/>
  <c r="AJ267" i="22"/>
  <c r="AG267" i="22"/>
  <c r="AD267" i="22"/>
  <c r="AA267" i="22"/>
  <c r="X267" i="22"/>
  <c r="W267" i="22"/>
  <c r="AI267" i="22" s="1"/>
  <c r="N266" i="22"/>
  <c r="U265" i="22"/>
  <c r="AM265" i="22" s="1"/>
  <c r="T265" i="22"/>
  <c r="W265" i="22" s="1"/>
  <c r="AL265" i="22" s="1"/>
  <c r="N264" i="22"/>
  <c r="U263" i="22"/>
  <c r="AG263" i="22" s="1"/>
  <c r="T263" i="22"/>
  <c r="W263" i="22" s="1"/>
  <c r="AI263" i="22" s="1"/>
  <c r="N262" i="22"/>
  <c r="AM259" i="22"/>
  <c r="AJ259" i="22"/>
  <c r="AG259" i="22"/>
  <c r="AD259" i="22"/>
  <c r="AA259" i="22"/>
  <c r="X259" i="22"/>
  <c r="W259" i="22"/>
  <c r="AC259" i="22" s="1"/>
  <c r="N258" i="22"/>
  <c r="AM257" i="22"/>
  <c r="AJ257" i="22"/>
  <c r="AG257" i="22"/>
  <c r="AD257" i="22"/>
  <c r="AA257" i="22"/>
  <c r="X257" i="22"/>
  <c r="T257" i="22"/>
  <c r="W257" i="22" s="1"/>
  <c r="AI257" i="22" s="1"/>
  <c r="N256" i="22"/>
  <c r="AM255" i="22"/>
  <c r="AJ255" i="22"/>
  <c r="AG255" i="22"/>
  <c r="AD255" i="22"/>
  <c r="AA255" i="22"/>
  <c r="X255" i="22"/>
  <c r="W255" i="22"/>
  <c r="AC255" i="22" s="1"/>
  <c r="N254" i="22"/>
  <c r="U253" i="22"/>
  <c r="AM253" i="22" s="1"/>
  <c r="T253" i="22"/>
  <c r="W253" i="22" s="1"/>
  <c r="N252" i="22"/>
  <c r="AM251" i="22"/>
  <c r="AJ251" i="22"/>
  <c r="AG251" i="22"/>
  <c r="AD251" i="22"/>
  <c r="AA251" i="22"/>
  <c r="X251" i="22"/>
  <c r="W251" i="22"/>
  <c r="AC251" i="22" s="1"/>
  <c r="N250" i="22"/>
  <c r="AM247" i="22"/>
  <c r="AJ247" i="22"/>
  <c r="AG247" i="22"/>
  <c r="AD247" i="22"/>
  <c r="AA247" i="22"/>
  <c r="X247" i="22"/>
  <c r="W247" i="22"/>
  <c r="AI247" i="22" s="1"/>
  <c r="AM243" i="22"/>
  <c r="AJ243" i="22"/>
  <c r="AG243" i="22"/>
  <c r="AD243" i="22"/>
  <c r="AA243" i="22"/>
  <c r="X243" i="22"/>
  <c r="W243" i="22"/>
  <c r="AI243" i="22" s="1"/>
  <c r="AM241" i="22"/>
  <c r="AJ241" i="22"/>
  <c r="AG241" i="22"/>
  <c r="AD241" i="22"/>
  <c r="AA241" i="22"/>
  <c r="X241" i="22"/>
  <c r="W241" i="22"/>
  <c r="AI241" i="22" s="1"/>
  <c r="K241" i="22" s="1"/>
  <c r="L241" i="22" s="1"/>
  <c r="AM237" i="22"/>
  <c r="AJ237" i="22"/>
  <c r="AG237" i="22"/>
  <c r="AD237" i="22"/>
  <c r="AA237" i="22"/>
  <c r="X237" i="22"/>
  <c r="W237" i="22"/>
  <c r="AC237" i="22" s="1"/>
  <c r="AM195" i="22"/>
  <c r="AJ195" i="22"/>
  <c r="AG195" i="22"/>
  <c r="AD195" i="22"/>
  <c r="AA195" i="22"/>
  <c r="X195" i="22"/>
  <c r="W195" i="22"/>
  <c r="AC195" i="22" s="1"/>
  <c r="AM193" i="22"/>
  <c r="AJ193" i="22"/>
  <c r="AG193" i="22"/>
  <c r="AD193" i="22"/>
  <c r="AA193" i="22"/>
  <c r="X193" i="22"/>
  <c r="W193" i="22"/>
  <c r="AI193" i="22" s="1"/>
  <c r="AM191" i="22"/>
  <c r="AJ191" i="22"/>
  <c r="AG191" i="22"/>
  <c r="AD191" i="22"/>
  <c r="AA191" i="22"/>
  <c r="X191" i="22"/>
  <c r="W191" i="22"/>
  <c r="AM189" i="22"/>
  <c r="AJ189" i="22"/>
  <c r="AG189" i="22"/>
  <c r="AD189" i="22"/>
  <c r="AA189" i="22"/>
  <c r="X189" i="22"/>
  <c r="W189" i="22"/>
  <c r="AI189" i="22" s="1"/>
  <c r="AM175" i="22"/>
  <c r="AJ175" i="22"/>
  <c r="AG175" i="22"/>
  <c r="AD175" i="22"/>
  <c r="AA175" i="22"/>
  <c r="X175" i="22"/>
  <c r="W175" i="22"/>
  <c r="AC175" i="22" s="1"/>
  <c r="G175" i="22" s="1"/>
  <c r="H175" i="22" s="1"/>
  <c r="AM173" i="22"/>
  <c r="AJ173" i="22"/>
  <c r="AG173" i="22"/>
  <c r="AD173" i="22"/>
  <c r="AA173" i="22"/>
  <c r="X173" i="22"/>
  <c r="W173" i="22"/>
  <c r="AM171" i="22"/>
  <c r="AJ171" i="22"/>
  <c r="AG171" i="22"/>
  <c r="AD171" i="22"/>
  <c r="AA171" i="22"/>
  <c r="X171" i="22"/>
  <c r="W171" i="22"/>
  <c r="AI171" i="22" s="1"/>
  <c r="AM169" i="22"/>
  <c r="AJ169" i="22"/>
  <c r="AG169" i="22"/>
  <c r="AD169" i="22"/>
  <c r="AA169" i="22"/>
  <c r="X169" i="22"/>
  <c r="W169" i="22"/>
  <c r="AL169" i="22" s="1"/>
  <c r="AM167" i="22"/>
  <c r="AJ167" i="22"/>
  <c r="AG167" i="22"/>
  <c r="AD167" i="22"/>
  <c r="AA167" i="22"/>
  <c r="X167" i="22"/>
  <c r="W167" i="22"/>
  <c r="AI167" i="22" s="1"/>
  <c r="AM165" i="22"/>
  <c r="AJ165" i="22"/>
  <c r="AG165" i="22"/>
  <c r="AD165" i="22"/>
  <c r="AA165" i="22"/>
  <c r="X165" i="22"/>
  <c r="W165" i="22"/>
  <c r="AI165" i="22" s="1"/>
  <c r="AM163" i="22"/>
  <c r="AJ163" i="22"/>
  <c r="AG163" i="22"/>
  <c r="AD163" i="22"/>
  <c r="AA163" i="22"/>
  <c r="X163" i="22"/>
  <c r="W163" i="22"/>
  <c r="AL163" i="22" s="1"/>
  <c r="AM161" i="22"/>
  <c r="AJ161" i="22"/>
  <c r="AG161" i="22"/>
  <c r="AD161" i="22"/>
  <c r="AA161" i="22"/>
  <c r="X161" i="22"/>
  <c r="W161" i="22"/>
  <c r="AI161" i="22" s="1"/>
  <c r="AM159" i="22"/>
  <c r="AJ159" i="22"/>
  <c r="AG159" i="22"/>
  <c r="AD159" i="22"/>
  <c r="AA159" i="22"/>
  <c r="X159" i="22"/>
  <c r="W159" i="22"/>
  <c r="AL159" i="22" s="1"/>
  <c r="AM157" i="22"/>
  <c r="AJ157" i="22"/>
  <c r="AG157" i="22"/>
  <c r="AD157" i="22"/>
  <c r="AA157" i="22"/>
  <c r="X157" i="22"/>
  <c r="W157" i="22"/>
  <c r="AI157" i="22" s="1"/>
  <c r="AM155" i="22"/>
  <c r="AJ155" i="22"/>
  <c r="AG155" i="22"/>
  <c r="AD155" i="22"/>
  <c r="AA155" i="22"/>
  <c r="X155" i="22"/>
  <c r="W155" i="22"/>
  <c r="AL155" i="22" s="1"/>
  <c r="AM153" i="22"/>
  <c r="AJ153" i="22"/>
  <c r="AG153" i="22"/>
  <c r="AD153" i="22"/>
  <c r="AA153" i="22"/>
  <c r="X153" i="22"/>
  <c r="C153" i="22" s="1"/>
  <c r="W153" i="22"/>
  <c r="AI153" i="22" s="1"/>
  <c r="AM151" i="22"/>
  <c r="AJ151" i="22"/>
  <c r="AG151" i="22"/>
  <c r="AD151" i="22"/>
  <c r="AA151" i="22"/>
  <c r="X151" i="22"/>
  <c r="W151" i="22"/>
  <c r="AL151" i="22" s="1"/>
  <c r="AM149" i="22"/>
  <c r="AJ149" i="22"/>
  <c r="AG149" i="22"/>
  <c r="AD149" i="22"/>
  <c r="AA149" i="22"/>
  <c r="X149" i="22"/>
  <c r="W149" i="22"/>
  <c r="AI149" i="22" s="1"/>
  <c r="AM147" i="22"/>
  <c r="AJ147" i="22"/>
  <c r="AG147" i="22"/>
  <c r="AD147" i="22"/>
  <c r="AA147" i="22"/>
  <c r="X147" i="22"/>
  <c r="W147" i="22"/>
  <c r="AL147" i="22" s="1"/>
  <c r="AM145" i="22"/>
  <c r="AJ145" i="22"/>
  <c r="AG145" i="22"/>
  <c r="AD145" i="22"/>
  <c r="AA145" i="22"/>
  <c r="X145" i="22"/>
  <c r="W145" i="22"/>
  <c r="AI145" i="22" s="1"/>
  <c r="AM143" i="22"/>
  <c r="AJ143" i="22"/>
  <c r="AG143" i="22"/>
  <c r="AD143" i="22"/>
  <c r="AA143" i="22"/>
  <c r="X143" i="22"/>
  <c r="W143" i="22"/>
  <c r="AL143" i="22" s="1"/>
  <c r="AM129" i="22"/>
  <c r="AJ129" i="22"/>
  <c r="AG129" i="22"/>
  <c r="AD129" i="22"/>
  <c r="AA129" i="22"/>
  <c r="X129" i="22"/>
  <c r="W129" i="22"/>
  <c r="AI129" i="22" s="1"/>
  <c r="O129" i="22"/>
  <c r="R129" i="22" s="1"/>
  <c r="AM125" i="22"/>
  <c r="AJ125" i="22"/>
  <c r="AG125" i="22"/>
  <c r="AD125" i="22"/>
  <c r="AA125" i="22"/>
  <c r="X125" i="22"/>
  <c r="W125" i="22"/>
  <c r="AC125" i="22" s="1"/>
  <c r="AM121" i="22"/>
  <c r="AJ121" i="22"/>
  <c r="AG121" i="22"/>
  <c r="AD121" i="22"/>
  <c r="AA121" i="22"/>
  <c r="X121" i="22"/>
  <c r="W121" i="22"/>
  <c r="AI121" i="22" s="1"/>
  <c r="K121" i="22" s="1"/>
  <c r="L121" i="22" s="1"/>
  <c r="W117" i="22"/>
  <c r="AC117" i="22" s="1"/>
  <c r="U117" i="22"/>
  <c r="AM117" i="22" s="1"/>
  <c r="AM115" i="22"/>
  <c r="AJ115" i="22"/>
  <c r="AG115" i="22"/>
  <c r="AD115" i="22"/>
  <c r="AA115" i="22"/>
  <c r="X115" i="22"/>
  <c r="W115" i="22"/>
  <c r="AL115" i="22" s="1"/>
  <c r="AM113" i="22"/>
  <c r="AJ113" i="22"/>
  <c r="AG113" i="22"/>
  <c r="AD113" i="22"/>
  <c r="AA113" i="22"/>
  <c r="X113" i="22"/>
  <c r="T113" i="22"/>
  <c r="W113" i="22" s="1"/>
  <c r="C113" i="22" s="1"/>
  <c r="D113" i="22" s="1"/>
  <c r="AM111" i="22"/>
  <c r="AJ111" i="22"/>
  <c r="AG111" i="22"/>
  <c r="AD111" i="22"/>
  <c r="AA111" i="22"/>
  <c r="X111" i="22"/>
  <c r="W111" i="22"/>
  <c r="AC111" i="22" s="1"/>
  <c r="W109" i="22"/>
  <c r="Z109" i="22" s="1"/>
  <c r="U109" i="22"/>
  <c r="AJ109" i="22" s="1"/>
  <c r="AM107" i="22"/>
  <c r="AJ107" i="22"/>
  <c r="AG107" i="22"/>
  <c r="AD107" i="22"/>
  <c r="AA107" i="22"/>
  <c r="X107" i="22"/>
  <c r="W107" i="22"/>
  <c r="AI107" i="22" s="1"/>
  <c r="AM105" i="22"/>
  <c r="AJ105" i="22"/>
  <c r="AG105" i="22"/>
  <c r="AD105" i="22"/>
  <c r="AA105" i="22"/>
  <c r="X105" i="22"/>
  <c r="W105" i="22"/>
  <c r="AL105" i="22" s="1"/>
  <c r="AM103" i="22"/>
  <c r="AJ103" i="22"/>
  <c r="AG103" i="22"/>
  <c r="AD103" i="22"/>
  <c r="AA103" i="22"/>
  <c r="X103" i="22"/>
  <c r="T103" i="22"/>
  <c r="W103" i="22" s="1"/>
  <c r="AM101" i="22"/>
  <c r="AJ101" i="22"/>
  <c r="AG101" i="22"/>
  <c r="AD101" i="22"/>
  <c r="AA101" i="22"/>
  <c r="X101" i="22"/>
  <c r="T101" i="22"/>
  <c r="W101" i="22" s="1"/>
  <c r="AM87" i="22"/>
  <c r="AJ87" i="22"/>
  <c r="AG87" i="22"/>
  <c r="AD87" i="22"/>
  <c r="AA87" i="22"/>
  <c r="X87" i="22"/>
  <c r="W87" i="22"/>
  <c r="AL87" i="22" s="1"/>
  <c r="AM85" i="22"/>
  <c r="AJ85" i="22"/>
  <c r="AG85" i="22"/>
  <c r="AD85" i="22"/>
  <c r="AA85" i="22"/>
  <c r="X85" i="22"/>
  <c r="W85" i="22"/>
  <c r="AI85" i="22" s="1"/>
  <c r="AM81" i="22"/>
  <c r="AJ81" i="22"/>
  <c r="AG81" i="22"/>
  <c r="AD81" i="22"/>
  <c r="AA81" i="22"/>
  <c r="X81" i="22"/>
  <c r="T81" i="22"/>
  <c r="W81" i="22" s="1"/>
  <c r="N80" i="22"/>
  <c r="AM79" i="22"/>
  <c r="AJ79" i="22"/>
  <c r="AG79" i="22"/>
  <c r="AD79" i="22"/>
  <c r="AA79" i="22"/>
  <c r="X79" i="22"/>
  <c r="T79" i="22"/>
  <c r="W79" i="22" s="1"/>
  <c r="AM77" i="22"/>
  <c r="AJ77" i="22"/>
  <c r="AG77" i="22"/>
  <c r="AD77" i="22"/>
  <c r="AA77" i="22"/>
  <c r="X77" i="22"/>
  <c r="W77" i="22"/>
  <c r="AI77" i="22" s="1"/>
  <c r="AM75" i="22"/>
  <c r="AJ75" i="22"/>
  <c r="AG75" i="22"/>
  <c r="AD75" i="22"/>
  <c r="AA75" i="22"/>
  <c r="X75" i="22"/>
  <c r="T75" i="22"/>
  <c r="W75" i="22" s="1"/>
  <c r="AM73" i="22"/>
  <c r="AJ73" i="22"/>
  <c r="AG73" i="22"/>
  <c r="AD73" i="22"/>
  <c r="AA73" i="22"/>
  <c r="X73" i="22"/>
  <c r="W73" i="22"/>
  <c r="AL73" i="22" s="1"/>
  <c r="AM71" i="22"/>
  <c r="AJ71" i="22"/>
  <c r="AG71" i="22"/>
  <c r="AD71" i="22"/>
  <c r="AA71" i="22"/>
  <c r="X71" i="22"/>
  <c r="W71" i="22"/>
  <c r="AI71" i="22" s="1"/>
  <c r="AM67" i="22"/>
  <c r="AJ67" i="22"/>
  <c r="AG67" i="22"/>
  <c r="AD67" i="22"/>
  <c r="AA67" i="22"/>
  <c r="X67" i="22"/>
  <c r="W67" i="22"/>
  <c r="AL67" i="22" s="1"/>
  <c r="M67" i="22" s="1"/>
  <c r="N67" i="22" s="1"/>
  <c r="AM65" i="22"/>
  <c r="AJ65" i="22"/>
  <c r="AG65" i="22"/>
  <c r="AD65" i="22"/>
  <c r="AA65" i="22"/>
  <c r="X65" i="22"/>
  <c r="W65" i="22"/>
  <c r="AI65" i="22" s="1"/>
  <c r="N64" i="22"/>
  <c r="U63" i="22"/>
  <c r="AM63" i="22" s="1"/>
  <c r="T63" i="22"/>
  <c r="W63" i="22" s="1"/>
  <c r="AM61" i="22"/>
  <c r="AJ61" i="22"/>
  <c r="AG61" i="22"/>
  <c r="AD61" i="22"/>
  <c r="AA61" i="22"/>
  <c r="X61" i="22"/>
  <c r="W61" i="22"/>
  <c r="AC61" i="22" s="1"/>
  <c r="G61" i="22" s="1"/>
  <c r="H61" i="22" s="1"/>
  <c r="AM59" i="22"/>
  <c r="AJ59" i="22"/>
  <c r="AG59" i="22"/>
  <c r="AD59" i="22"/>
  <c r="AA59" i="22"/>
  <c r="X59" i="22"/>
  <c r="W59" i="22"/>
  <c r="AI59" i="22" s="1"/>
  <c r="AM57" i="22"/>
  <c r="AJ57" i="22"/>
  <c r="AG57" i="22"/>
  <c r="AD57" i="22"/>
  <c r="AA57" i="22"/>
  <c r="X57" i="22"/>
  <c r="W57" i="22"/>
  <c r="AC57" i="22" s="1"/>
  <c r="AM31" i="22"/>
  <c r="AJ31" i="22"/>
  <c r="AG31" i="22"/>
  <c r="AD31" i="22"/>
  <c r="AA31" i="22"/>
  <c r="X31" i="22"/>
  <c r="W31" i="22"/>
  <c r="AL31" i="22" s="1"/>
  <c r="AM29" i="22"/>
  <c r="AJ29" i="22"/>
  <c r="AG29" i="22"/>
  <c r="AD29" i="22"/>
  <c r="AA29" i="22"/>
  <c r="X29" i="22"/>
  <c r="W29" i="22"/>
  <c r="AI29" i="22" s="1"/>
  <c r="D27" i="22"/>
  <c r="AM25" i="22"/>
  <c r="AJ25" i="22"/>
  <c r="AG25" i="22"/>
  <c r="AD25" i="22"/>
  <c r="AA25" i="22"/>
  <c r="X25" i="22"/>
  <c r="W25" i="22"/>
  <c r="AC25" i="22" s="1"/>
  <c r="AM23" i="22"/>
  <c r="AJ23" i="22"/>
  <c r="AG23" i="22"/>
  <c r="AD23" i="22"/>
  <c r="AA23" i="22"/>
  <c r="X23" i="22"/>
  <c r="W23" i="22"/>
  <c r="AI23" i="22" s="1"/>
  <c r="AM19" i="22"/>
  <c r="AJ19" i="22"/>
  <c r="AG19" i="22"/>
  <c r="AD19" i="22"/>
  <c r="AA19" i="22"/>
  <c r="X19" i="22"/>
  <c r="W19" i="22"/>
  <c r="AI19" i="22" s="1"/>
  <c r="S3" i="22"/>
  <c r="U23" i="8"/>
  <c r="T23" i="8"/>
  <c r="M154" i="11"/>
  <c r="N154" i="11" s="1"/>
  <c r="K154" i="11"/>
  <c r="L154" i="11" s="1"/>
  <c r="I154" i="11"/>
  <c r="J154" i="11" s="1"/>
  <c r="G154" i="11"/>
  <c r="H154" i="11" s="1"/>
  <c r="E154" i="11"/>
  <c r="F154" i="11" s="1"/>
  <c r="C154" i="11"/>
  <c r="M153" i="11"/>
  <c r="N153" i="11" s="1"/>
  <c r="K153" i="11"/>
  <c r="L153" i="11" s="1"/>
  <c r="I153" i="11"/>
  <c r="J153" i="11" s="1"/>
  <c r="G153" i="11"/>
  <c r="H153" i="11" s="1"/>
  <c r="E153" i="11"/>
  <c r="F153" i="11" s="1"/>
  <c r="C153" i="11"/>
  <c r="D153" i="11" s="1"/>
  <c r="U21" i="4"/>
  <c r="T21" i="4"/>
  <c r="U17" i="4"/>
  <c r="T17" i="4"/>
  <c r="U166" i="3"/>
  <c r="T166" i="3"/>
  <c r="M166" i="3" s="1"/>
  <c r="N166" i="3" s="1"/>
  <c r="M165" i="3"/>
  <c r="N165" i="3" s="1"/>
  <c r="K165" i="3"/>
  <c r="L165" i="3" s="1"/>
  <c r="I165" i="3"/>
  <c r="J165" i="3" s="1"/>
  <c r="G165" i="3"/>
  <c r="E165" i="3"/>
  <c r="F165" i="3" s="1"/>
  <c r="C165" i="3"/>
  <c r="D165" i="3" s="1"/>
  <c r="M164" i="3"/>
  <c r="N164" i="3" s="1"/>
  <c r="M163" i="3"/>
  <c r="N163" i="3" s="1"/>
  <c r="K163" i="3"/>
  <c r="L163" i="3" s="1"/>
  <c r="I163" i="3"/>
  <c r="J163" i="3" s="1"/>
  <c r="G163" i="3"/>
  <c r="H163" i="3" s="1"/>
  <c r="E163" i="3"/>
  <c r="F163" i="3" s="1"/>
  <c r="C163" i="3"/>
  <c r="T160" i="3"/>
  <c r="U154" i="3"/>
  <c r="T154" i="3"/>
  <c r="U33" i="3"/>
  <c r="T33" i="3"/>
  <c r="C33" i="3" s="1"/>
  <c r="D33" i="3" s="1"/>
  <c r="M32" i="3"/>
  <c r="N32" i="3" s="1"/>
  <c r="K32" i="3"/>
  <c r="L32" i="3" s="1"/>
  <c r="I32" i="3"/>
  <c r="J32" i="3" s="1"/>
  <c r="G32" i="3"/>
  <c r="H32" i="3" s="1"/>
  <c r="E32" i="3"/>
  <c r="F32" i="3" s="1"/>
  <c r="C32" i="3"/>
  <c r="U23" i="3"/>
  <c r="T23" i="3"/>
  <c r="C28" i="17"/>
  <c r="U65" i="17"/>
  <c r="T65" i="17"/>
  <c r="U63" i="17"/>
  <c r="T63" i="17"/>
  <c r="U57" i="17"/>
  <c r="T57" i="17"/>
  <c r="G57" i="17" s="1"/>
  <c r="U55" i="17"/>
  <c r="T55" i="17"/>
  <c r="C57" i="17" l="1"/>
  <c r="C430" i="23"/>
  <c r="E57" i="17"/>
  <c r="Z220" i="23"/>
  <c r="Z228" i="23"/>
  <c r="C408" i="23"/>
  <c r="D408" i="23" s="1"/>
  <c r="K424" i="23"/>
  <c r="L424" i="23" s="1"/>
  <c r="Z60" i="23"/>
  <c r="E60" i="23" s="1"/>
  <c r="F60" i="23" s="1"/>
  <c r="K111" i="23"/>
  <c r="L111" i="23" s="1"/>
  <c r="K180" i="23"/>
  <c r="L180" i="23" s="1"/>
  <c r="K249" i="23"/>
  <c r="L249" i="23" s="1"/>
  <c r="K408" i="23"/>
  <c r="L408" i="23" s="1"/>
  <c r="AC432" i="23"/>
  <c r="I109" i="23"/>
  <c r="J109" i="23" s="1"/>
  <c r="Z112" i="23"/>
  <c r="E112" i="23" s="1"/>
  <c r="F112" i="23" s="1"/>
  <c r="C154" i="23"/>
  <c r="D154" i="23" s="1"/>
  <c r="K200" i="23"/>
  <c r="L200" i="23" s="1"/>
  <c r="K212" i="23"/>
  <c r="L212" i="23" s="1"/>
  <c r="AF226" i="23"/>
  <c r="Z345" i="23"/>
  <c r="K404" i="23"/>
  <c r="L404" i="23" s="1"/>
  <c r="AF430" i="23"/>
  <c r="I430" i="23" s="1"/>
  <c r="J430" i="23" s="1"/>
  <c r="C106" i="23"/>
  <c r="C130" i="23"/>
  <c r="D130" i="23" s="1"/>
  <c r="K174" i="23"/>
  <c r="L174" i="23" s="1"/>
  <c r="C251" i="23"/>
  <c r="K398" i="23"/>
  <c r="L398" i="23" s="1"/>
  <c r="Z408" i="23"/>
  <c r="E408" i="23" s="1"/>
  <c r="F408" i="23" s="1"/>
  <c r="K226" i="23"/>
  <c r="L226" i="23" s="1"/>
  <c r="K396" i="23"/>
  <c r="L396" i="23" s="1"/>
  <c r="Z154" i="23"/>
  <c r="Z156" i="23"/>
  <c r="E156" i="23" s="1"/>
  <c r="F156" i="23" s="1"/>
  <c r="C226" i="23"/>
  <c r="D226" i="23" s="1"/>
  <c r="Z257" i="23"/>
  <c r="K438" i="23"/>
  <c r="L438" i="23" s="1"/>
  <c r="D209" i="3"/>
  <c r="O208" i="3"/>
  <c r="E33" i="3"/>
  <c r="F33" i="3" s="1"/>
  <c r="G166" i="3"/>
  <c r="H166" i="3" s="1"/>
  <c r="O32" i="10"/>
  <c r="R32" i="10" s="1"/>
  <c r="O20" i="10"/>
  <c r="R20" i="10" s="1"/>
  <c r="D32" i="10"/>
  <c r="D20" i="10"/>
  <c r="C166" i="3"/>
  <c r="D166" i="3" s="1"/>
  <c r="E166" i="3"/>
  <c r="F166" i="3" s="1"/>
  <c r="K620" i="22"/>
  <c r="L620" i="22" s="1"/>
  <c r="K665" i="22"/>
  <c r="L665" i="22" s="1"/>
  <c r="G31" i="23"/>
  <c r="H31" i="23" s="1"/>
  <c r="G35" i="23"/>
  <c r="H35" i="23" s="1"/>
  <c r="Z108" i="23"/>
  <c r="E108" i="23" s="1"/>
  <c r="F108" i="23" s="1"/>
  <c r="AF112" i="23"/>
  <c r="I112" i="23" s="1"/>
  <c r="J112" i="23" s="1"/>
  <c r="C166" i="23"/>
  <c r="D166" i="23" s="1"/>
  <c r="C200" i="23"/>
  <c r="AD202" i="23"/>
  <c r="AI210" i="23"/>
  <c r="K210" i="23" s="1"/>
  <c r="L210" i="23" s="1"/>
  <c r="Z214" i="23"/>
  <c r="E214" i="23" s="1"/>
  <c r="F214" i="23" s="1"/>
  <c r="AF228" i="23"/>
  <c r="I228" i="23" s="1"/>
  <c r="J228" i="23" s="1"/>
  <c r="M245" i="23"/>
  <c r="N245" i="23" s="1"/>
  <c r="G247" i="23"/>
  <c r="H247" i="23" s="1"/>
  <c r="AF259" i="23"/>
  <c r="I259" i="23" s="1"/>
  <c r="J259" i="23" s="1"/>
  <c r="AF293" i="23"/>
  <c r="I293" i="23" s="1"/>
  <c r="J293" i="23" s="1"/>
  <c r="AI349" i="23"/>
  <c r="K349" i="23" s="1"/>
  <c r="L349" i="23" s="1"/>
  <c r="K428" i="23"/>
  <c r="L428" i="23" s="1"/>
  <c r="I166" i="3"/>
  <c r="J166" i="3" s="1"/>
  <c r="K588" i="22"/>
  <c r="L588" i="22" s="1"/>
  <c r="K596" i="22"/>
  <c r="L596" i="22" s="1"/>
  <c r="C877" i="22"/>
  <c r="D877" i="22" s="1"/>
  <c r="C910" i="22"/>
  <c r="AF104" i="23"/>
  <c r="I104" i="23" s="1"/>
  <c r="J104" i="23" s="1"/>
  <c r="AF119" i="23"/>
  <c r="I119" i="23" s="1"/>
  <c r="J119" i="23" s="1"/>
  <c r="C164" i="23"/>
  <c r="G253" i="23"/>
  <c r="H253" i="23" s="1"/>
  <c r="K355" i="23"/>
  <c r="L355" i="23" s="1"/>
  <c r="AF402" i="23"/>
  <c r="AI406" i="23"/>
  <c r="K406" i="23" s="1"/>
  <c r="L406" i="23" s="1"/>
  <c r="AC426" i="23"/>
  <c r="G426" i="23" s="1"/>
  <c r="H426" i="23" s="1"/>
  <c r="K33" i="3"/>
  <c r="L33" i="3" s="1"/>
  <c r="K166" i="3"/>
  <c r="L166" i="3" s="1"/>
  <c r="I435" i="22"/>
  <c r="J435" i="22" s="1"/>
  <c r="AF108" i="23"/>
  <c r="I108" i="23" s="1"/>
  <c r="J108" i="23" s="1"/>
  <c r="Z111" i="23"/>
  <c r="E111" i="23" s="1"/>
  <c r="F111" i="23" s="1"/>
  <c r="K154" i="23"/>
  <c r="L154" i="23" s="1"/>
  <c r="G160" i="23"/>
  <c r="H160" i="23" s="1"/>
  <c r="AI178" i="23"/>
  <c r="K178" i="23" s="1"/>
  <c r="L178" i="23" s="1"/>
  <c r="G210" i="23"/>
  <c r="H210" i="23" s="1"/>
  <c r="C212" i="23"/>
  <c r="C255" i="23"/>
  <c r="G349" i="23"/>
  <c r="H349" i="23" s="1"/>
  <c r="G359" i="23"/>
  <c r="H359" i="23" s="1"/>
  <c r="X363" i="23"/>
  <c r="C363" i="23" s="1"/>
  <c r="I402" i="23"/>
  <c r="J402" i="23" s="1"/>
  <c r="G432" i="23"/>
  <c r="H432" i="23" s="1"/>
  <c r="I33" i="3"/>
  <c r="J33" i="3" s="1"/>
  <c r="M33" i="3"/>
  <c r="N33" i="3" s="1"/>
  <c r="K661" i="22"/>
  <c r="L661" i="22" s="1"/>
  <c r="K685" i="22"/>
  <c r="L685" i="22" s="1"/>
  <c r="C19" i="23"/>
  <c r="D19" i="23" s="1"/>
  <c r="C112" i="23"/>
  <c r="K113" i="23"/>
  <c r="L113" i="23" s="1"/>
  <c r="K119" i="23"/>
  <c r="L119" i="23" s="1"/>
  <c r="C124" i="23"/>
  <c r="AF220" i="23"/>
  <c r="AC224" i="23"/>
  <c r="G224" i="23" s="1"/>
  <c r="H224" i="23" s="1"/>
  <c r="C228" i="23"/>
  <c r="D228" i="23" s="1"/>
  <c r="Z251" i="23"/>
  <c r="E251" i="23" s="1"/>
  <c r="F251" i="23" s="1"/>
  <c r="K257" i="23"/>
  <c r="L257" i="23" s="1"/>
  <c r="M293" i="23"/>
  <c r="N293" i="23" s="1"/>
  <c r="Z301" i="23"/>
  <c r="C390" i="23"/>
  <c r="D390" i="23" s="1"/>
  <c r="C398" i="23"/>
  <c r="D398" i="23" s="1"/>
  <c r="AF408" i="23"/>
  <c r="AC434" i="23"/>
  <c r="G434" i="23" s="1"/>
  <c r="H434" i="23" s="1"/>
  <c r="G657" i="22"/>
  <c r="H657" i="22" s="1"/>
  <c r="C104" i="23"/>
  <c r="D104" i="23" s="1"/>
  <c r="G105" i="23"/>
  <c r="H105" i="23" s="1"/>
  <c r="AF111" i="23"/>
  <c r="I111" i="23" s="1"/>
  <c r="J111" i="23" s="1"/>
  <c r="C119" i="23"/>
  <c r="C120" i="23"/>
  <c r="D120" i="23" s="1"/>
  <c r="K164" i="23"/>
  <c r="L164" i="23" s="1"/>
  <c r="C174" i="23"/>
  <c r="D174" i="23" s="1"/>
  <c r="G178" i="23"/>
  <c r="H178" i="23" s="1"/>
  <c r="C180" i="23"/>
  <c r="M214" i="23"/>
  <c r="N214" i="23" s="1"/>
  <c r="C220" i="23"/>
  <c r="E257" i="23"/>
  <c r="F257" i="23" s="1"/>
  <c r="E345" i="23"/>
  <c r="F345" i="23" s="1"/>
  <c r="C402" i="23"/>
  <c r="Z104" i="23"/>
  <c r="E104" i="23" s="1"/>
  <c r="F104" i="23" s="1"/>
  <c r="C111" i="23"/>
  <c r="Z119" i="23"/>
  <c r="E119" i="23" s="1"/>
  <c r="F119" i="23" s="1"/>
  <c r="Z174" i="23"/>
  <c r="E174" i="23" s="1"/>
  <c r="F174" i="23" s="1"/>
  <c r="Z212" i="23"/>
  <c r="E212" i="23" s="1"/>
  <c r="F212" i="23" s="1"/>
  <c r="Z390" i="23"/>
  <c r="E390" i="23" s="1"/>
  <c r="Z402" i="23"/>
  <c r="E402" i="23" s="1"/>
  <c r="F402" i="23" s="1"/>
  <c r="AL19" i="23"/>
  <c r="M19" i="23" s="1"/>
  <c r="N19" i="23" s="1"/>
  <c r="K25" i="23"/>
  <c r="L25" i="23" s="1"/>
  <c r="AL25" i="23"/>
  <c r="M25" i="23" s="1"/>
  <c r="N25" i="23" s="1"/>
  <c r="AL27" i="23"/>
  <c r="M27" i="23" s="1"/>
  <c r="N27" i="23" s="1"/>
  <c r="C54" i="23"/>
  <c r="D54" i="23" s="1"/>
  <c r="AF54" i="23"/>
  <c r="I54" i="23" s="1"/>
  <c r="J54" i="23" s="1"/>
  <c r="K101" i="23"/>
  <c r="L101" i="23" s="1"/>
  <c r="AL101" i="23"/>
  <c r="M101" i="23" s="1"/>
  <c r="N101" i="23" s="1"/>
  <c r="C116" i="23"/>
  <c r="AF116" i="23"/>
  <c r="I116" i="23" s="1"/>
  <c r="J116" i="23" s="1"/>
  <c r="AL126" i="23"/>
  <c r="M126" i="23" s="1"/>
  <c r="N126" i="23" s="1"/>
  <c r="Z134" i="23"/>
  <c r="E134" i="23" s="1"/>
  <c r="F134" i="23" s="1"/>
  <c r="AL166" i="23"/>
  <c r="M166" i="23" s="1"/>
  <c r="N166" i="23" s="1"/>
  <c r="AF170" i="23"/>
  <c r="C172" i="23"/>
  <c r="D172" i="23" s="1"/>
  <c r="AF172" i="23"/>
  <c r="I172" i="23" s="1"/>
  <c r="J172" i="23" s="1"/>
  <c r="AF174" i="23"/>
  <c r="I174" i="23" s="1"/>
  <c r="J174" i="23" s="1"/>
  <c r="AL204" i="23"/>
  <c r="AL299" i="23"/>
  <c r="M299" i="23" s="1"/>
  <c r="N299" i="23" s="1"/>
  <c r="AL303" i="23"/>
  <c r="AL353" i="23"/>
  <c r="M353" i="23" s="1"/>
  <c r="N353" i="23" s="1"/>
  <c r="AL355" i="23"/>
  <c r="M355" i="23" s="1"/>
  <c r="N355" i="23" s="1"/>
  <c r="C392" i="23"/>
  <c r="AF392" i="23"/>
  <c r="I392" i="23" s="1"/>
  <c r="J392" i="23" s="1"/>
  <c r="AL422" i="23"/>
  <c r="M422" i="23" s="1"/>
  <c r="N422" i="23" s="1"/>
  <c r="AL428" i="23"/>
  <c r="M428" i="23" s="1"/>
  <c r="N428" i="23" s="1"/>
  <c r="AF438" i="23"/>
  <c r="AL54" i="23"/>
  <c r="M54" i="23" s="1"/>
  <c r="N54" i="23" s="1"/>
  <c r="AC113" i="23"/>
  <c r="G113" i="23" s="1"/>
  <c r="H113" i="23" s="1"/>
  <c r="AL116" i="23"/>
  <c r="M116" i="23" s="1"/>
  <c r="N116" i="23" s="1"/>
  <c r="Z124" i="23"/>
  <c r="E124" i="23" s="1"/>
  <c r="F124" i="23" s="1"/>
  <c r="C134" i="23"/>
  <c r="AF134" i="23"/>
  <c r="I134" i="23" s="1"/>
  <c r="J134" i="23" s="1"/>
  <c r="AF156" i="23"/>
  <c r="I156" i="23" s="1"/>
  <c r="J156" i="23" s="1"/>
  <c r="C160" i="23"/>
  <c r="D160" i="23" s="1"/>
  <c r="Z164" i="23"/>
  <c r="E164" i="23" s="1"/>
  <c r="F164" i="23" s="1"/>
  <c r="AL170" i="23"/>
  <c r="AL172" i="23"/>
  <c r="M172" i="23" s="1"/>
  <c r="N172" i="23" s="1"/>
  <c r="AL174" i="23"/>
  <c r="M174" i="23" s="1"/>
  <c r="N174" i="23" s="1"/>
  <c r="Z180" i="23"/>
  <c r="E180" i="23" s="1"/>
  <c r="F180" i="23" s="1"/>
  <c r="Z200" i="23"/>
  <c r="E200" i="23" s="1"/>
  <c r="F200" i="23" s="1"/>
  <c r="X202" i="23"/>
  <c r="AC208" i="23"/>
  <c r="G208" i="23" s="1"/>
  <c r="H208" i="23" s="1"/>
  <c r="AF212" i="23"/>
  <c r="I212" i="23" s="1"/>
  <c r="J212" i="23" s="1"/>
  <c r="AF214" i="23"/>
  <c r="I214" i="23" s="1"/>
  <c r="J214" i="23" s="1"/>
  <c r="E220" i="23"/>
  <c r="F220" i="23" s="1"/>
  <c r="I220" i="23"/>
  <c r="J220" i="23" s="1"/>
  <c r="C224" i="23"/>
  <c r="D224" i="23" s="1"/>
  <c r="Z226" i="23"/>
  <c r="K228" i="23"/>
  <c r="L228" i="23" s="1"/>
  <c r="AL228" i="23"/>
  <c r="M228" i="23" s="1"/>
  <c r="N228" i="23" s="1"/>
  <c r="AF245" i="23"/>
  <c r="I245" i="23" s="1"/>
  <c r="J245" i="23" s="1"/>
  <c r="AF251" i="23"/>
  <c r="I251" i="23" s="1"/>
  <c r="J251" i="23" s="1"/>
  <c r="AF257" i="23"/>
  <c r="Z259" i="23"/>
  <c r="E259" i="23" s="1"/>
  <c r="F259" i="23" s="1"/>
  <c r="Z293" i="23"/>
  <c r="E293" i="23" s="1"/>
  <c r="F293" i="23" s="1"/>
  <c r="K299" i="23"/>
  <c r="L299" i="23" s="1"/>
  <c r="AF301" i="23"/>
  <c r="C353" i="23"/>
  <c r="D353" i="23" s="1"/>
  <c r="AC357" i="23"/>
  <c r="G357" i="23" s="1"/>
  <c r="H357" i="23" s="1"/>
  <c r="AL392" i="23"/>
  <c r="M392" i="23" s="1"/>
  <c r="N392" i="23" s="1"/>
  <c r="AL398" i="23"/>
  <c r="M398" i="23" s="1"/>
  <c r="N398" i="23" s="1"/>
  <c r="AC404" i="23"/>
  <c r="G404" i="23" s="1"/>
  <c r="H404" i="23" s="1"/>
  <c r="K426" i="23"/>
  <c r="L426" i="23" s="1"/>
  <c r="AL430" i="23"/>
  <c r="M430" i="23" s="1"/>
  <c r="N430" i="23" s="1"/>
  <c r="AL438" i="23"/>
  <c r="M438" i="23" s="1"/>
  <c r="N438" i="23" s="1"/>
  <c r="Z19" i="23"/>
  <c r="E19" i="23" s="1"/>
  <c r="F19" i="23" s="1"/>
  <c r="Z25" i="23"/>
  <c r="E25" i="23" s="1"/>
  <c r="F25" i="23" s="1"/>
  <c r="Z27" i="23"/>
  <c r="E27" i="23" s="1"/>
  <c r="F27" i="23" s="1"/>
  <c r="K54" i="23"/>
  <c r="L54" i="23" s="1"/>
  <c r="AF60" i="23"/>
  <c r="I60" i="23" s="1"/>
  <c r="J60" i="23" s="1"/>
  <c r="C101" i="23"/>
  <c r="Z101" i="23"/>
  <c r="E101" i="23" s="1"/>
  <c r="F101" i="23" s="1"/>
  <c r="AL104" i="23"/>
  <c r="M104" i="23" s="1"/>
  <c r="N104" i="23" s="1"/>
  <c r="M107" i="23"/>
  <c r="N107" i="23" s="1"/>
  <c r="AL108" i="23"/>
  <c r="M108" i="23" s="1"/>
  <c r="N108" i="23" s="1"/>
  <c r="C109" i="23"/>
  <c r="D109" i="23" s="1"/>
  <c r="AL109" i="23"/>
  <c r="M109" i="23" s="1"/>
  <c r="N109" i="23" s="1"/>
  <c r="AL111" i="23"/>
  <c r="M111" i="23" s="1"/>
  <c r="N111" i="23" s="1"/>
  <c r="AL112" i="23"/>
  <c r="M112" i="23" s="1"/>
  <c r="N112" i="23" s="1"/>
  <c r="AC114" i="23"/>
  <c r="G114" i="23" s="1"/>
  <c r="H114" i="23" s="1"/>
  <c r="K116" i="23"/>
  <c r="L116" i="23" s="1"/>
  <c r="AL119" i="23"/>
  <c r="M119" i="23" s="1"/>
  <c r="N119" i="23" s="1"/>
  <c r="AF124" i="23"/>
  <c r="I124" i="23" s="1"/>
  <c r="J124" i="23" s="1"/>
  <c r="Z126" i="23"/>
  <c r="E126" i="23" s="1"/>
  <c r="F126" i="23" s="1"/>
  <c r="AL134" i="23"/>
  <c r="M134" i="23" s="1"/>
  <c r="N134" i="23" s="1"/>
  <c r="AF154" i="23"/>
  <c r="AL156" i="23"/>
  <c r="M156" i="23" s="1"/>
  <c r="N156" i="23" s="1"/>
  <c r="AF164" i="23"/>
  <c r="I164" i="23" s="1"/>
  <c r="J164" i="23" s="1"/>
  <c r="Z166" i="23"/>
  <c r="E166" i="23" s="1"/>
  <c r="F166" i="23" s="1"/>
  <c r="K172" i="23"/>
  <c r="L172" i="23" s="1"/>
  <c r="AF180" i="23"/>
  <c r="I180" i="23" s="1"/>
  <c r="J180" i="23" s="1"/>
  <c r="AF200" i="23"/>
  <c r="I200" i="23" s="1"/>
  <c r="J200" i="23" s="1"/>
  <c r="AM202" i="23"/>
  <c r="Z204" i="23"/>
  <c r="AL212" i="23"/>
  <c r="M212" i="23" s="1"/>
  <c r="N212" i="23" s="1"/>
  <c r="AL251" i="23"/>
  <c r="M251" i="23" s="1"/>
  <c r="N251" i="23" s="1"/>
  <c r="AL257" i="23"/>
  <c r="M257" i="23" s="1"/>
  <c r="N257" i="23" s="1"/>
  <c r="C299" i="23"/>
  <c r="D299" i="23" s="1"/>
  <c r="Z299" i="23"/>
  <c r="E299" i="23" s="1"/>
  <c r="F299" i="23" s="1"/>
  <c r="AL301" i="23"/>
  <c r="Z303" i="23"/>
  <c r="AF345" i="23"/>
  <c r="I345" i="23" s="1"/>
  <c r="J345" i="23" s="1"/>
  <c r="Z353" i="23"/>
  <c r="Z355" i="23"/>
  <c r="E355" i="23" s="1"/>
  <c r="F355" i="23" s="1"/>
  <c r="AJ363" i="23"/>
  <c r="C367" i="23"/>
  <c r="D367" i="23" s="1"/>
  <c r="AF367" i="23"/>
  <c r="I367" i="23" s="1"/>
  <c r="J367" i="23" s="1"/>
  <c r="AC386" i="23"/>
  <c r="G386" i="23" s="1"/>
  <c r="H386" i="23" s="1"/>
  <c r="AF390" i="23"/>
  <c r="AC396" i="23"/>
  <c r="G396" i="23" s="1"/>
  <c r="H396" i="23" s="1"/>
  <c r="AL408" i="23"/>
  <c r="M408" i="23" s="1"/>
  <c r="N408" i="23" s="1"/>
  <c r="Z422" i="23"/>
  <c r="E422" i="23" s="1"/>
  <c r="F422" i="23" s="1"/>
  <c r="AC424" i="23"/>
  <c r="G424" i="23" s="1"/>
  <c r="H424" i="23" s="1"/>
  <c r="C428" i="23"/>
  <c r="D428" i="23" s="1"/>
  <c r="Z428" i="23"/>
  <c r="E428" i="23" s="1"/>
  <c r="AF19" i="23"/>
  <c r="I19" i="23" s="1"/>
  <c r="J19" i="23" s="1"/>
  <c r="C25" i="23"/>
  <c r="AF25" i="23"/>
  <c r="I25" i="23" s="1"/>
  <c r="J25" i="23" s="1"/>
  <c r="C27" i="23"/>
  <c r="D27" i="23" s="1"/>
  <c r="AF27" i="23"/>
  <c r="I27" i="23" s="1"/>
  <c r="J27" i="23" s="1"/>
  <c r="C31" i="23"/>
  <c r="D31" i="23" s="1"/>
  <c r="Z54" i="23"/>
  <c r="E54" i="23" s="1"/>
  <c r="F54" i="23" s="1"/>
  <c r="AL60" i="23"/>
  <c r="M60" i="23" s="1"/>
  <c r="N60" i="23" s="1"/>
  <c r="AF101" i="23"/>
  <c r="I101" i="23" s="1"/>
  <c r="J101" i="23" s="1"/>
  <c r="K104" i="23"/>
  <c r="L104" i="23" s="1"/>
  <c r="K108" i="23"/>
  <c r="L108" i="23" s="1"/>
  <c r="K112" i="23"/>
  <c r="L112" i="23" s="1"/>
  <c r="C114" i="23"/>
  <c r="D114" i="23" s="1"/>
  <c r="Z116" i="23"/>
  <c r="E116" i="23" s="1"/>
  <c r="F116" i="23" s="1"/>
  <c r="AL124" i="23"/>
  <c r="M124" i="23" s="1"/>
  <c r="N124" i="23" s="1"/>
  <c r="C126" i="23"/>
  <c r="D126" i="23" s="1"/>
  <c r="AF126" i="23"/>
  <c r="I126" i="23" s="1"/>
  <c r="J126" i="23" s="1"/>
  <c r="K134" i="23"/>
  <c r="L134" i="23" s="1"/>
  <c r="AL154" i="23"/>
  <c r="K156" i="23"/>
  <c r="L156" i="23" s="1"/>
  <c r="AI160" i="23"/>
  <c r="K160" i="23" s="1"/>
  <c r="L160" i="23" s="1"/>
  <c r="AL164" i="23"/>
  <c r="M164" i="23" s="1"/>
  <c r="N164" i="23" s="1"/>
  <c r="AF166" i="23"/>
  <c r="I166" i="23" s="1"/>
  <c r="J166" i="23" s="1"/>
  <c r="C170" i="23"/>
  <c r="D170" i="23" s="1"/>
  <c r="Z170" i="23"/>
  <c r="Z172" i="23"/>
  <c r="E172" i="23" s="1"/>
  <c r="AL180" i="23"/>
  <c r="M180" i="23" s="1"/>
  <c r="N180" i="23" s="1"/>
  <c r="AL200" i="23"/>
  <c r="M200" i="23" s="1"/>
  <c r="N200" i="23" s="1"/>
  <c r="AJ202" i="23"/>
  <c r="C204" i="23"/>
  <c r="D204" i="23" s="1"/>
  <c r="AF204" i="23"/>
  <c r="I204" i="23" s="1"/>
  <c r="J204" i="23" s="1"/>
  <c r="C208" i="23"/>
  <c r="C210" i="23"/>
  <c r="K220" i="23"/>
  <c r="L220" i="23" s="1"/>
  <c r="AL220" i="23"/>
  <c r="M220" i="23" s="1"/>
  <c r="N220" i="23" s="1"/>
  <c r="AL226" i="23"/>
  <c r="E228" i="23"/>
  <c r="F228" i="23" s="1"/>
  <c r="K251" i="23"/>
  <c r="L251" i="23" s="1"/>
  <c r="K255" i="23"/>
  <c r="L255" i="23" s="1"/>
  <c r="K259" i="23"/>
  <c r="L259" i="23" s="1"/>
  <c r="AL259" i="23"/>
  <c r="M259" i="23" s="1"/>
  <c r="N259" i="23" s="1"/>
  <c r="AF299" i="23"/>
  <c r="I299" i="23" s="1"/>
  <c r="J299" i="23" s="1"/>
  <c r="AF303" i="23"/>
  <c r="AL345" i="23"/>
  <c r="M345" i="23" s="1"/>
  <c r="N345" i="23" s="1"/>
  <c r="AF353" i="23"/>
  <c r="I353" i="23" s="1"/>
  <c r="J353" i="23" s="1"/>
  <c r="C355" i="23"/>
  <c r="AF355" i="23"/>
  <c r="I355" i="23" s="1"/>
  <c r="J355" i="23" s="1"/>
  <c r="AD363" i="23"/>
  <c r="K367" i="23"/>
  <c r="L367" i="23" s="1"/>
  <c r="AL367" i="23"/>
  <c r="M367" i="23" s="1"/>
  <c r="N367" i="23" s="1"/>
  <c r="K390" i="23"/>
  <c r="L390" i="23" s="1"/>
  <c r="AL390" i="23"/>
  <c r="M390" i="23" s="1"/>
  <c r="N390" i="23" s="1"/>
  <c r="Z392" i="23"/>
  <c r="E392" i="23" s="1"/>
  <c r="F392" i="23" s="1"/>
  <c r="Z398" i="23"/>
  <c r="E398" i="23" s="1"/>
  <c r="F398" i="23" s="1"/>
  <c r="AL402" i="23"/>
  <c r="M402" i="23" s="1"/>
  <c r="N402" i="23" s="1"/>
  <c r="C422" i="23"/>
  <c r="AF422" i="23"/>
  <c r="I422" i="23" s="1"/>
  <c r="J422" i="23" s="1"/>
  <c r="AF428" i="23"/>
  <c r="Z430" i="23"/>
  <c r="E430" i="23" s="1"/>
  <c r="F430" i="23" s="1"/>
  <c r="C438" i="23"/>
  <c r="D438" i="23" s="1"/>
  <c r="Z438" i="23"/>
  <c r="E438" i="23" s="1"/>
  <c r="K624" i="22"/>
  <c r="L624" i="22" s="1"/>
  <c r="K663" i="22"/>
  <c r="L663" i="22" s="1"/>
  <c r="C157" i="22"/>
  <c r="G307" i="22"/>
  <c r="H307" i="22" s="1"/>
  <c r="M87" i="22"/>
  <c r="N87" i="22" s="1"/>
  <c r="K453" i="22"/>
  <c r="L453" i="22" s="1"/>
  <c r="K463" i="22"/>
  <c r="L463" i="22" s="1"/>
  <c r="C557" i="22"/>
  <c r="D557" i="22" s="1"/>
  <c r="K559" i="22"/>
  <c r="L559" i="22" s="1"/>
  <c r="K598" i="22"/>
  <c r="L598" i="22" s="1"/>
  <c r="K649" i="22"/>
  <c r="L649" i="22" s="1"/>
  <c r="K757" i="22"/>
  <c r="L757" i="22" s="1"/>
  <c r="K189" i="22"/>
  <c r="L189" i="22" s="1"/>
  <c r="K257" i="22"/>
  <c r="L257" i="22" s="1"/>
  <c r="K305" i="22"/>
  <c r="L305" i="22" s="1"/>
  <c r="G341" i="22"/>
  <c r="H341" i="22" s="1"/>
  <c r="K457" i="22"/>
  <c r="L457" i="22" s="1"/>
  <c r="G705" i="22"/>
  <c r="H705" i="22" s="1"/>
  <c r="M155" i="22"/>
  <c r="N155" i="22" s="1"/>
  <c r="M163" i="22"/>
  <c r="N163" i="22" s="1"/>
  <c r="C551" i="22"/>
  <c r="D551" i="22" s="1"/>
  <c r="C902" i="22"/>
  <c r="C614" i="22"/>
  <c r="D614" i="22" s="1"/>
  <c r="K23" i="22"/>
  <c r="L23" i="22" s="1"/>
  <c r="K77" i="22"/>
  <c r="L77" i="22" s="1"/>
  <c r="K165" i="22"/>
  <c r="L165" i="22" s="1"/>
  <c r="K267" i="22"/>
  <c r="L267" i="22" s="1"/>
  <c r="K299" i="22"/>
  <c r="L299" i="22" s="1"/>
  <c r="K516" i="22"/>
  <c r="L516" i="22" s="1"/>
  <c r="K561" i="22"/>
  <c r="L561" i="22" s="1"/>
  <c r="K592" i="22"/>
  <c r="L592" i="22" s="1"/>
  <c r="K643" i="22"/>
  <c r="L643" i="22" s="1"/>
  <c r="K751" i="22"/>
  <c r="L751" i="22" s="1"/>
  <c r="K763" i="22"/>
  <c r="L763" i="22" s="1"/>
  <c r="K787" i="22"/>
  <c r="L787" i="22" s="1"/>
  <c r="K805" i="22"/>
  <c r="L805" i="22" s="1"/>
  <c r="K904" i="22"/>
  <c r="L904" i="22" s="1"/>
  <c r="K912" i="22"/>
  <c r="L912" i="22" s="1"/>
  <c r="M143" i="22"/>
  <c r="N143" i="22" s="1"/>
  <c r="M151" i="22"/>
  <c r="N151" i="22" s="1"/>
  <c r="M159" i="22"/>
  <c r="N159" i="22" s="1"/>
  <c r="Z333" i="22"/>
  <c r="G237" i="22"/>
  <c r="H237" i="22" s="1"/>
  <c r="G255" i="22"/>
  <c r="H255" i="22" s="1"/>
  <c r="G259" i="22"/>
  <c r="H259" i="22" s="1"/>
  <c r="G616" i="22"/>
  <c r="H616" i="22" s="1"/>
  <c r="M73" i="22"/>
  <c r="N73" i="22" s="1"/>
  <c r="G111" i="22"/>
  <c r="H111" i="22" s="1"/>
  <c r="C828" i="22"/>
  <c r="D828" i="22" s="1"/>
  <c r="C867" i="22"/>
  <c r="D867" i="22" s="1"/>
  <c r="Z828" i="22"/>
  <c r="Z871" i="22"/>
  <c r="E871" i="22" s="1"/>
  <c r="F871" i="22" s="1"/>
  <c r="G251" i="22"/>
  <c r="H251" i="22" s="1"/>
  <c r="X281" i="22"/>
  <c r="G512" i="22"/>
  <c r="H512" i="22" s="1"/>
  <c r="G608" i="22"/>
  <c r="H608" i="22" s="1"/>
  <c r="C667" i="22"/>
  <c r="G689" i="22"/>
  <c r="H689" i="22" s="1"/>
  <c r="Z703" i="22"/>
  <c r="E703" i="22" s="1"/>
  <c r="F703" i="22" s="1"/>
  <c r="C875" i="22"/>
  <c r="G908" i="22"/>
  <c r="H908" i="22" s="1"/>
  <c r="C427" i="22"/>
  <c r="C453" i="22"/>
  <c r="D453" i="22" s="1"/>
  <c r="C545" i="22"/>
  <c r="D545" i="22" s="1"/>
  <c r="C643" i="22"/>
  <c r="D643" i="22" s="1"/>
  <c r="G125" i="22"/>
  <c r="H125" i="22" s="1"/>
  <c r="G373" i="22"/>
  <c r="H373" i="22" s="1"/>
  <c r="C600" i="22"/>
  <c r="D600" i="22" s="1"/>
  <c r="C759" i="22"/>
  <c r="D759" i="22" s="1"/>
  <c r="C863" i="22"/>
  <c r="AF600" i="22"/>
  <c r="G506" i="22"/>
  <c r="H506" i="22" s="1"/>
  <c r="K701" i="22"/>
  <c r="L701" i="22" s="1"/>
  <c r="L739" i="22"/>
  <c r="C805" i="22"/>
  <c r="C149" i="22"/>
  <c r="G195" i="22"/>
  <c r="H195" i="22" s="1"/>
  <c r="C241" i="22"/>
  <c r="D241" i="22" s="1"/>
  <c r="AI259" i="22"/>
  <c r="K259" i="22" s="1"/>
  <c r="L259" i="22" s="1"/>
  <c r="AF385" i="22"/>
  <c r="I385" i="22" s="1"/>
  <c r="J385" i="22" s="1"/>
  <c r="AF457" i="22"/>
  <c r="I457" i="22" s="1"/>
  <c r="J457" i="22" s="1"/>
  <c r="AF551" i="22"/>
  <c r="I551" i="22" s="1"/>
  <c r="J551" i="22" s="1"/>
  <c r="Z588" i="22"/>
  <c r="Z600" i="22"/>
  <c r="G783" i="22"/>
  <c r="H783" i="22" s="1"/>
  <c r="G799" i="22"/>
  <c r="H799" i="22" s="1"/>
  <c r="Z865" i="22"/>
  <c r="K873" i="22"/>
  <c r="L873" i="22" s="1"/>
  <c r="AF149" i="22"/>
  <c r="I149" i="22" s="1"/>
  <c r="J149" i="22" s="1"/>
  <c r="AC165" i="22"/>
  <c r="G165" i="22" s="1"/>
  <c r="H165" i="22" s="1"/>
  <c r="AF241" i="22"/>
  <c r="X345" i="22"/>
  <c r="AC381" i="22"/>
  <c r="G381" i="22" s="1"/>
  <c r="H381" i="22" s="1"/>
  <c r="C504" i="22"/>
  <c r="D504" i="22" s="1"/>
  <c r="C588" i="22"/>
  <c r="AF588" i="22"/>
  <c r="I588" i="22" s="1"/>
  <c r="J588" i="22" s="1"/>
  <c r="AF643" i="22"/>
  <c r="I643" i="22" s="1"/>
  <c r="J643" i="22" s="1"/>
  <c r="G838" i="22"/>
  <c r="H838" i="22" s="1"/>
  <c r="C871" i="22"/>
  <c r="Z157" i="22"/>
  <c r="E157" i="22" s="1"/>
  <c r="F157" i="22" s="1"/>
  <c r="Z161" i="22"/>
  <c r="E161" i="22" s="1"/>
  <c r="F161" i="22" s="1"/>
  <c r="K247" i="22"/>
  <c r="L247" i="22" s="1"/>
  <c r="Z349" i="22"/>
  <c r="E349" i="22" s="1"/>
  <c r="F349" i="22" s="1"/>
  <c r="AI389" i="22"/>
  <c r="AF504" i="22"/>
  <c r="I504" i="22" s="1"/>
  <c r="J504" i="22" s="1"/>
  <c r="AC559" i="22"/>
  <c r="G559" i="22" s="1"/>
  <c r="H559" i="22" s="1"/>
  <c r="C606" i="22"/>
  <c r="D606" i="22" s="1"/>
  <c r="C610" i="22"/>
  <c r="D610" i="22" s="1"/>
  <c r="C685" i="22"/>
  <c r="D685" i="22" s="1"/>
  <c r="G707" i="22"/>
  <c r="H707" i="22" s="1"/>
  <c r="K745" i="22"/>
  <c r="L745" i="22" s="1"/>
  <c r="Z107" i="22"/>
  <c r="E107" i="22" s="1"/>
  <c r="F107" i="22" s="1"/>
  <c r="AF157" i="22"/>
  <c r="I157" i="22" s="1"/>
  <c r="J157" i="22" s="1"/>
  <c r="C161" i="22"/>
  <c r="D161" i="22" s="1"/>
  <c r="AA253" i="22"/>
  <c r="C457" i="22"/>
  <c r="Z551" i="22"/>
  <c r="E551" i="22" s="1"/>
  <c r="F551" i="22" s="1"/>
  <c r="Z606" i="22"/>
  <c r="G691" i="22"/>
  <c r="H691" i="22" s="1"/>
  <c r="K703" i="22"/>
  <c r="L703" i="22" s="1"/>
  <c r="G709" i="22"/>
  <c r="H709" i="22" s="1"/>
  <c r="G737" i="22"/>
  <c r="H737" i="22" s="1"/>
  <c r="C763" i="22"/>
  <c r="D763" i="22" s="1"/>
  <c r="AF193" i="22"/>
  <c r="I193" i="22" s="1"/>
  <c r="J193" i="22" s="1"/>
  <c r="K19" i="22"/>
  <c r="L19" i="22" s="1"/>
  <c r="C29" i="22"/>
  <c r="X63" i="22"/>
  <c r="Z65" i="22"/>
  <c r="E65" i="22" s="1"/>
  <c r="F65" i="22" s="1"/>
  <c r="C103" i="22"/>
  <c r="D103" i="22" s="1"/>
  <c r="AJ117" i="22"/>
  <c r="AF153" i="22"/>
  <c r="I153" i="22" s="1"/>
  <c r="J153" i="22" s="1"/>
  <c r="AF161" i="22"/>
  <c r="I161" i="22" s="1"/>
  <c r="J161" i="22" s="1"/>
  <c r="C167" i="22"/>
  <c r="C173" i="22"/>
  <c r="D173" i="22" s="1"/>
  <c r="AI175" i="22"/>
  <c r="K175" i="22" s="1"/>
  <c r="L175" i="22" s="1"/>
  <c r="Z241" i="22"/>
  <c r="E241" i="22" s="1"/>
  <c r="F241" i="22" s="1"/>
  <c r="M265" i="22"/>
  <c r="N265" i="22" s="1"/>
  <c r="AC267" i="22"/>
  <c r="G267" i="22" s="1"/>
  <c r="H267" i="22" s="1"/>
  <c r="AL289" i="22"/>
  <c r="M289" i="22" s="1"/>
  <c r="N289" i="22" s="1"/>
  <c r="C309" i="22"/>
  <c r="D309" i="22" s="1"/>
  <c r="X327" i="22"/>
  <c r="C333" i="22"/>
  <c r="D333" i="22" s="1"/>
  <c r="AF333" i="22"/>
  <c r="I333" i="22" s="1"/>
  <c r="J333" i="22" s="1"/>
  <c r="K413" i="22"/>
  <c r="L413" i="22" s="1"/>
  <c r="C415" i="22"/>
  <c r="D415" i="22" s="1"/>
  <c r="Z463" i="22"/>
  <c r="E463" i="22" s="1"/>
  <c r="F463" i="22" s="1"/>
  <c r="C561" i="22"/>
  <c r="D561" i="22" s="1"/>
  <c r="AF569" i="22"/>
  <c r="Z592" i="22"/>
  <c r="Z596" i="22"/>
  <c r="E596" i="22" s="1"/>
  <c r="F596" i="22" s="1"/>
  <c r="AI608" i="22"/>
  <c r="K608" i="22" s="1"/>
  <c r="L608" i="22" s="1"/>
  <c r="G653" i="22"/>
  <c r="H653" i="22" s="1"/>
  <c r="AF667" i="22"/>
  <c r="I667" i="22" s="1"/>
  <c r="J667" i="22" s="1"/>
  <c r="AF695" i="22"/>
  <c r="I695" i="22" s="1"/>
  <c r="J695" i="22" s="1"/>
  <c r="AC739" i="22"/>
  <c r="H739" i="22" s="1"/>
  <c r="Z741" i="22"/>
  <c r="Z745" i="22"/>
  <c r="E745" i="22" s="1"/>
  <c r="F745" i="22" s="1"/>
  <c r="C785" i="22"/>
  <c r="D785" i="22" s="1"/>
  <c r="C793" i="22"/>
  <c r="D793" i="22" s="1"/>
  <c r="C801" i="22"/>
  <c r="D801" i="22" s="1"/>
  <c r="G834" i="22"/>
  <c r="H834" i="22" s="1"/>
  <c r="Z896" i="22"/>
  <c r="E896" i="22" s="1"/>
  <c r="AF902" i="22"/>
  <c r="I902" i="22" s="1"/>
  <c r="J902" i="22" s="1"/>
  <c r="AF59" i="22"/>
  <c r="I59" i="22" s="1"/>
  <c r="J59" i="22" s="1"/>
  <c r="AI25" i="22"/>
  <c r="K25" i="22" s="1"/>
  <c r="L25" i="22" s="1"/>
  <c r="AF29" i="22"/>
  <c r="I29" i="22" s="1"/>
  <c r="J29" i="22" s="1"/>
  <c r="M31" i="22"/>
  <c r="N31" i="22" s="1"/>
  <c r="Z71" i="22"/>
  <c r="E71" i="22" s="1"/>
  <c r="F71" i="22" s="1"/>
  <c r="Z85" i="22"/>
  <c r="E85" i="22" s="1"/>
  <c r="F85" i="22" s="1"/>
  <c r="Z121" i="22"/>
  <c r="E121" i="22" s="1"/>
  <c r="F121" i="22" s="1"/>
  <c r="Z129" i="22"/>
  <c r="Z167" i="22"/>
  <c r="K243" i="22"/>
  <c r="L243" i="22" s="1"/>
  <c r="C247" i="22"/>
  <c r="D247" i="22" s="1"/>
  <c r="Z247" i="22"/>
  <c r="E247" i="22" s="1"/>
  <c r="F247" i="22" s="1"/>
  <c r="AA265" i="22"/>
  <c r="AM285" i="22"/>
  <c r="Z289" i="22"/>
  <c r="AF295" i="22"/>
  <c r="I295" i="22" s="1"/>
  <c r="J295" i="22" s="1"/>
  <c r="K297" i="22"/>
  <c r="L297" i="22" s="1"/>
  <c r="C299" i="22"/>
  <c r="Z299" i="22"/>
  <c r="E299" i="22" s="1"/>
  <c r="F299" i="22" s="1"/>
  <c r="Z305" i="22"/>
  <c r="E305" i="22" s="1"/>
  <c r="F305" i="22" s="1"/>
  <c r="Z309" i="22"/>
  <c r="E309" i="22" s="1"/>
  <c r="F309" i="22" s="1"/>
  <c r="K349" i="22"/>
  <c r="L349" i="22" s="1"/>
  <c r="Z355" i="22"/>
  <c r="C385" i="22"/>
  <c r="D385" i="22" s="1"/>
  <c r="AF415" i="22"/>
  <c r="I415" i="22" s="1"/>
  <c r="J415" i="22" s="1"/>
  <c r="Z453" i="22"/>
  <c r="E453" i="22" s="1"/>
  <c r="F453" i="22" s="1"/>
  <c r="Z457" i="22"/>
  <c r="Z516" i="22"/>
  <c r="E516" i="22" s="1"/>
  <c r="F516" i="22" s="1"/>
  <c r="AF557" i="22"/>
  <c r="I557" i="22" s="1"/>
  <c r="J557" i="22" s="1"/>
  <c r="AF561" i="22"/>
  <c r="I561" i="22" s="1"/>
  <c r="J561" i="22" s="1"/>
  <c r="K610" i="22"/>
  <c r="L610" i="22" s="1"/>
  <c r="Z614" i="22"/>
  <c r="K637" i="22"/>
  <c r="L637" i="22" s="1"/>
  <c r="C649" i="22"/>
  <c r="AF665" i="22"/>
  <c r="I665" i="22" s="1"/>
  <c r="J665" i="22" s="1"/>
  <c r="G733" i="22"/>
  <c r="H733" i="22" s="1"/>
  <c r="G743" i="22"/>
  <c r="H743" i="22" s="1"/>
  <c r="Z787" i="22"/>
  <c r="E787" i="22" s="1"/>
  <c r="F787" i="22" s="1"/>
  <c r="C795" i="22"/>
  <c r="D795" i="22" s="1"/>
  <c r="Z801" i="22"/>
  <c r="AF863" i="22"/>
  <c r="I863" i="22" s="1"/>
  <c r="J863" i="22" s="1"/>
  <c r="AF877" i="22"/>
  <c r="I877" i="22" s="1"/>
  <c r="J877" i="22" s="1"/>
  <c r="AF145" i="22"/>
  <c r="I145" i="22" s="1"/>
  <c r="J145" i="22" s="1"/>
  <c r="G25" i="22"/>
  <c r="H25" i="22" s="1"/>
  <c r="G57" i="22"/>
  <c r="H57" i="22" s="1"/>
  <c r="C59" i="22"/>
  <c r="D59" i="22" s="1"/>
  <c r="C71" i="22"/>
  <c r="D71" i="22" s="1"/>
  <c r="C85" i="22"/>
  <c r="D85" i="22" s="1"/>
  <c r="AF85" i="22"/>
  <c r="I85" i="22" s="1"/>
  <c r="J85" i="22" s="1"/>
  <c r="AF129" i="22"/>
  <c r="C145" i="22"/>
  <c r="D145" i="22" s="1"/>
  <c r="Z149" i="22"/>
  <c r="E149" i="22" s="1"/>
  <c r="F149" i="22" s="1"/>
  <c r="AF167" i="22"/>
  <c r="I167" i="22" s="1"/>
  <c r="J167" i="22" s="1"/>
  <c r="AC243" i="22"/>
  <c r="G243" i="22" s="1"/>
  <c r="H243" i="22" s="1"/>
  <c r="Z265" i="22"/>
  <c r="C295" i="22"/>
  <c r="D295" i="22" s="1"/>
  <c r="AC297" i="22"/>
  <c r="G297" i="22" s="1"/>
  <c r="H297" i="22" s="1"/>
  <c r="AF309" i="22"/>
  <c r="I309" i="22" s="1"/>
  <c r="J309" i="22" s="1"/>
  <c r="X331" i="22"/>
  <c r="K333" i="22"/>
  <c r="L333" i="22" s="1"/>
  <c r="AL337" i="22"/>
  <c r="C349" i="22"/>
  <c r="D349" i="22" s="1"/>
  <c r="Z385" i="22"/>
  <c r="E385" i="22" s="1"/>
  <c r="F385" i="22" s="1"/>
  <c r="AC423" i="22"/>
  <c r="G423" i="22" s="1"/>
  <c r="H423" i="22" s="1"/>
  <c r="Z510" i="22"/>
  <c r="E510" i="22" s="1"/>
  <c r="F510" i="22" s="1"/>
  <c r="AC604" i="22"/>
  <c r="AF606" i="22"/>
  <c r="I606" i="22" s="1"/>
  <c r="J606" i="22" s="1"/>
  <c r="Z610" i="22"/>
  <c r="E610" i="22" s="1"/>
  <c r="F610" i="22" s="1"/>
  <c r="AF614" i="22"/>
  <c r="I614" i="22" s="1"/>
  <c r="J614" i="22" s="1"/>
  <c r="Z624" i="22"/>
  <c r="E624" i="22" s="1"/>
  <c r="F624" i="22" s="1"/>
  <c r="Z649" i="22"/>
  <c r="E649" i="22" s="1"/>
  <c r="F649" i="22" s="1"/>
  <c r="Z685" i="22"/>
  <c r="E685" i="22" s="1"/>
  <c r="F685" i="22" s="1"/>
  <c r="G781" i="22"/>
  <c r="H781" i="22" s="1"/>
  <c r="C787" i="22"/>
  <c r="AF795" i="22"/>
  <c r="I795" i="22" s="1"/>
  <c r="J795" i="22" s="1"/>
  <c r="AF904" i="22"/>
  <c r="I904" i="22" s="1"/>
  <c r="J904" i="22" s="1"/>
  <c r="Z910" i="22"/>
  <c r="E910" i="22" s="1"/>
  <c r="F910" i="22" s="1"/>
  <c r="AF427" i="22"/>
  <c r="I427" i="22" s="1"/>
  <c r="J427" i="22" s="1"/>
  <c r="C435" i="22"/>
  <c r="D435" i="22" s="1"/>
  <c r="K455" i="22"/>
  <c r="L455" i="22" s="1"/>
  <c r="C463" i="22"/>
  <c r="Z504" i="22"/>
  <c r="AI506" i="22"/>
  <c r="K506" i="22" s="1"/>
  <c r="L506" i="22" s="1"/>
  <c r="AI512" i="22"/>
  <c r="K512" i="22" s="1"/>
  <c r="L512" i="22" s="1"/>
  <c r="AF545" i="22"/>
  <c r="I545" i="22" s="1"/>
  <c r="J545" i="22" s="1"/>
  <c r="AC553" i="22"/>
  <c r="G553" i="22" s="1"/>
  <c r="H553" i="22" s="1"/>
  <c r="Z569" i="22"/>
  <c r="C592" i="22"/>
  <c r="D592" i="22" s="1"/>
  <c r="AC602" i="22"/>
  <c r="G602" i="22" s="1"/>
  <c r="H602" i="22" s="1"/>
  <c r="AF610" i="22"/>
  <c r="I610" i="22" s="1"/>
  <c r="J610" i="22" s="1"/>
  <c r="G622" i="22"/>
  <c r="H622" i="22" s="1"/>
  <c r="Z643" i="22"/>
  <c r="E643" i="22" s="1"/>
  <c r="F643" i="22" s="1"/>
  <c r="Z661" i="22"/>
  <c r="E661" i="22" s="1"/>
  <c r="F661" i="22" s="1"/>
  <c r="Z667" i="22"/>
  <c r="E667" i="22" s="1"/>
  <c r="F667" i="22" s="1"/>
  <c r="K713" i="22"/>
  <c r="L713" i="22" s="1"/>
  <c r="AI737" i="22"/>
  <c r="K737" i="22" s="1"/>
  <c r="L737" i="22" s="1"/>
  <c r="AF805" i="22"/>
  <c r="I805" i="22" s="1"/>
  <c r="J805" i="22" s="1"/>
  <c r="K828" i="22"/>
  <c r="L828" i="22" s="1"/>
  <c r="G861" i="22"/>
  <c r="H861" i="22" s="1"/>
  <c r="C865" i="22"/>
  <c r="D865" i="22" s="1"/>
  <c r="G869" i="22"/>
  <c r="H869" i="22" s="1"/>
  <c r="C896" i="22"/>
  <c r="D896" i="22" s="1"/>
  <c r="Z902" i="22"/>
  <c r="E902" i="22" s="1"/>
  <c r="F902" i="22" s="1"/>
  <c r="AF910" i="22"/>
  <c r="I910" i="22" s="1"/>
  <c r="J910" i="22" s="1"/>
  <c r="C933" i="22"/>
  <c r="AC75" i="22"/>
  <c r="G75" i="22" s="1"/>
  <c r="H75" i="22" s="1"/>
  <c r="AI75" i="22"/>
  <c r="K75" i="22" s="1"/>
  <c r="L75" i="22" s="1"/>
  <c r="AC101" i="22"/>
  <c r="G101" i="22" s="1"/>
  <c r="H101" i="22" s="1"/>
  <c r="AI101" i="22"/>
  <c r="K101" i="22" s="1"/>
  <c r="L101" i="22" s="1"/>
  <c r="AL23" i="22"/>
  <c r="M23" i="22" s="1"/>
  <c r="N23" i="22" s="1"/>
  <c r="AL77" i="22"/>
  <c r="M77" i="22" s="1"/>
  <c r="N77" i="22" s="1"/>
  <c r="AL171" i="22"/>
  <c r="M171" i="22" s="1"/>
  <c r="N171" i="22" s="1"/>
  <c r="AL173" i="22"/>
  <c r="M173" i="22" s="1"/>
  <c r="N173" i="22" s="1"/>
  <c r="AL189" i="22"/>
  <c r="M189" i="22" s="1"/>
  <c r="N189" i="22" s="1"/>
  <c r="C281" i="22"/>
  <c r="AJ289" i="22"/>
  <c r="AJ291" i="22"/>
  <c r="AJ329" i="22"/>
  <c r="K329" i="22" s="1"/>
  <c r="L329" i="22" s="1"/>
  <c r="AL377" i="22"/>
  <c r="M377" i="22" s="1"/>
  <c r="N377" i="22" s="1"/>
  <c r="AL620" i="22"/>
  <c r="M620" i="22" s="1"/>
  <c r="N620" i="22" s="1"/>
  <c r="AI622" i="22"/>
  <c r="K622" i="22" s="1"/>
  <c r="L622" i="22" s="1"/>
  <c r="AL659" i="22"/>
  <c r="N659" i="22" s="1"/>
  <c r="AL663" i="22"/>
  <c r="M663" i="22" s="1"/>
  <c r="N663" i="22" s="1"/>
  <c r="AL703" i="22"/>
  <c r="M703" i="22" s="1"/>
  <c r="N703" i="22" s="1"/>
  <c r="Z701" i="22"/>
  <c r="E701" i="22" s="1"/>
  <c r="F701" i="22" s="1"/>
  <c r="Z711" i="22"/>
  <c r="E711" i="22" s="1"/>
  <c r="F711" i="22" s="1"/>
  <c r="AC713" i="22"/>
  <c r="G713" i="22" s="1"/>
  <c r="H713" i="22" s="1"/>
  <c r="AI733" i="22"/>
  <c r="K733" i="22" s="1"/>
  <c r="L733" i="22" s="1"/>
  <c r="Z735" i="22"/>
  <c r="E735" i="22" s="1"/>
  <c r="F735" i="22" s="1"/>
  <c r="AL741" i="22"/>
  <c r="AI743" i="22"/>
  <c r="K743" i="22" s="1"/>
  <c r="L743" i="22" s="1"/>
  <c r="AL745" i="22"/>
  <c r="M745" i="22" s="1"/>
  <c r="N745" i="22" s="1"/>
  <c r="Z751" i="22"/>
  <c r="E751" i="22" s="1"/>
  <c r="F751" i="22" s="1"/>
  <c r="Z753" i="22"/>
  <c r="E753" i="22" s="1"/>
  <c r="F753" i="22" s="1"/>
  <c r="AC757" i="22"/>
  <c r="G757" i="22" s="1"/>
  <c r="H757" i="22" s="1"/>
  <c r="Z763" i="22"/>
  <c r="AL832" i="22"/>
  <c r="M832" i="22" s="1"/>
  <c r="N832" i="22" s="1"/>
  <c r="AF840" i="22"/>
  <c r="I840" i="22" s="1"/>
  <c r="J840" i="22" s="1"/>
  <c r="AL873" i="22"/>
  <c r="M873" i="22" s="1"/>
  <c r="N873" i="22" s="1"/>
  <c r="C23" i="22"/>
  <c r="D23" i="22" s="1"/>
  <c r="Z29" i="22"/>
  <c r="E29" i="22" s="1"/>
  <c r="F29" i="22" s="1"/>
  <c r="AI57" i="22"/>
  <c r="K57" i="22" s="1"/>
  <c r="L57" i="22" s="1"/>
  <c r="K59" i="22"/>
  <c r="L59" i="22" s="1"/>
  <c r="AL59" i="22"/>
  <c r="M59" i="22" s="1"/>
  <c r="N59" i="22" s="1"/>
  <c r="C65" i="22"/>
  <c r="AF65" i="22"/>
  <c r="I65" i="22" s="1"/>
  <c r="J65" i="22" s="1"/>
  <c r="C77" i="22"/>
  <c r="D77" i="22" s="1"/>
  <c r="AL85" i="22"/>
  <c r="M85" i="22" s="1"/>
  <c r="N85" i="22" s="1"/>
  <c r="AL109" i="22"/>
  <c r="AD117" i="22"/>
  <c r="G117" i="22" s="1"/>
  <c r="H117" i="22" s="1"/>
  <c r="AF121" i="22"/>
  <c r="I121" i="22" s="1"/>
  <c r="J121" i="22" s="1"/>
  <c r="K145" i="22"/>
  <c r="L145" i="22" s="1"/>
  <c r="AL145" i="22"/>
  <c r="M145" i="22" s="1"/>
  <c r="N145" i="22" s="1"/>
  <c r="K153" i="22"/>
  <c r="L153" i="22" s="1"/>
  <c r="AL153" i="22"/>
  <c r="M153" i="22" s="1"/>
  <c r="N153" i="22" s="1"/>
  <c r="K161" i="22"/>
  <c r="L161" i="22" s="1"/>
  <c r="AL161" i="22"/>
  <c r="M161" i="22" s="1"/>
  <c r="N161" i="22" s="1"/>
  <c r="E167" i="22"/>
  <c r="F167" i="22" s="1"/>
  <c r="C189" i="22"/>
  <c r="K193" i="22"/>
  <c r="L193" i="22" s="1"/>
  <c r="AL193" i="22"/>
  <c r="M193" i="22" s="1"/>
  <c r="N193" i="22" s="1"/>
  <c r="AL241" i="22"/>
  <c r="M241" i="22" s="1"/>
  <c r="N241" i="22" s="1"/>
  <c r="AF247" i="22"/>
  <c r="I247" i="22" s="1"/>
  <c r="J247" i="22" s="1"/>
  <c r="AJ281" i="22"/>
  <c r="AD289" i="22"/>
  <c r="AD291" i="22"/>
  <c r="Z295" i="22"/>
  <c r="E295" i="22" s="1"/>
  <c r="AF299" i="22"/>
  <c r="I299" i="22" s="1"/>
  <c r="J299" i="22" s="1"/>
  <c r="C305" i="22"/>
  <c r="D305" i="22" s="1"/>
  <c r="AF305" i="22"/>
  <c r="I305" i="22" s="1"/>
  <c r="J305" i="22" s="1"/>
  <c r="AL309" i="22"/>
  <c r="M309" i="22" s="1"/>
  <c r="N309" i="22" s="1"/>
  <c r="AD329" i="22"/>
  <c r="AL333" i="22"/>
  <c r="M333" i="22" s="1"/>
  <c r="N333" i="22" s="1"/>
  <c r="AJ345" i="22"/>
  <c r="K345" i="22" s="1"/>
  <c r="L345" i="22" s="1"/>
  <c r="AF349" i="22"/>
  <c r="AF355" i="22"/>
  <c r="K385" i="22"/>
  <c r="L385" i="22" s="1"/>
  <c r="AL385" i="22"/>
  <c r="M385" i="22" s="1"/>
  <c r="N385" i="22" s="1"/>
  <c r="AC413" i="22"/>
  <c r="G413" i="22" s="1"/>
  <c r="H413" i="22" s="1"/>
  <c r="Z415" i="22"/>
  <c r="E415" i="22" s="1"/>
  <c r="F415" i="22" s="1"/>
  <c r="Z427" i="22"/>
  <c r="E427" i="22" s="1"/>
  <c r="F427" i="22" s="1"/>
  <c r="AF453" i="22"/>
  <c r="I453" i="22" s="1"/>
  <c r="J453" i="22" s="1"/>
  <c r="AC455" i="22"/>
  <c r="G455" i="22" s="1"/>
  <c r="H455" i="22" s="1"/>
  <c r="AL457" i="22"/>
  <c r="M457" i="22" s="1"/>
  <c r="N457" i="22" s="1"/>
  <c r="AF463" i="22"/>
  <c r="I463" i="22" s="1"/>
  <c r="J463" i="22" s="1"/>
  <c r="K504" i="22"/>
  <c r="L504" i="22" s="1"/>
  <c r="AL504" i="22"/>
  <c r="M504" i="22" s="1"/>
  <c r="N504" i="22" s="1"/>
  <c r="C510" i="22"/>
  <c r="D510" i="22" s="1"/>
  <c r="AF510" i="22"/>
  <c r="I510" i="22" s="1"/>
  <c r="J510" i="22" s="1"/>
  <c r="C516" i="22"/>
  <c r="D516" i="22" s="1"/>
  <c r="AF516" i="22"/>
  <c r="I516" i="22" s="1"/>
  <c r="J516" i="22" s="1"/>
  <c r="Z545" i="22"/>
  <c r="E545" i="22" s="1"/>
  <c r="F545" i="22" s="1"/>
  <c r="K551" i="22"/>
  <c r="L551" i="22" s="1"/>
  <c r="AL551" i="22"/>
  <c r="M551" i="22" s="1"/>
  <c r="N551" i="22" s="1"/>
  <c r="Z557" i="22"/>
  <c r="E557" i="22" s="1"/>
  <c r="F557" i="22" s="1"/>
  <c r="Z561" i="22"/>
  <c r="E561" i="22" s="1"/>
  <c r="F561" i="22" s="1"/>
  <c r="AL569" i="22"/>
  <c r="AL588" i="22"/>
  <c r="M588" i="22" s="1"/>
  <c r="N588" i="22" s="1"/>
  <c r="AF592" i="22"/>
  <c r="I592" i="22" s="1"/>
  <c r="J592" i="22" s="1"/>
  <c r="C596" i="22"/>
  <c r="D596" i="22" s="1"/>
  <c r="AF596" i="22"/>
  <c r="I596" i="22" s="1"/>
  <c r="J596" i="22" s="1"/>
  <c r="AC598" i="22"/>
  <c r="G598" i="22" s="1"/>
  <c r="H598" i="22" s="1"/>
  <c r="K600" i="22"/>
  <c r="L600" i="22" s="1"/>
  <c r="AL600" i="22"/>
  <c r="M600" i="22" s="1"/>
  <c r="N600" i="22" s="1"/>
  <c r="K606" i="22"/>
  <c r="L606" i="22" s="1"/>
  <c r="AL606" i="22"/>
  <c r="M606" i="22" s="1"/>
  <c r="N606" i="22" s="1"/>
  <c r="AL610" i="22"/>
  <c r="M610" i="22" s="1"/>
  <c r="N610" i="22" s="1"/>
  <c r="K614" i="22"/>
  <c r="L614" i="22" s="1"/>
  <c r="AL614" i="22"/>
  <c r="M614" i="22" s="1"/>
  <c r="N614" i="22" s="1"/>
  <c r="C624" i="22"/>
  <c r="D624" i="22" s="1"/>
  <c r="AF624" i="22"/>
  <c r="I624" i="22" s="1"/>
  <c r="J624" i="22" s="1"/>
  <c r="AC637" i="22"/>
  <c r="G637" i="22" s="1"/>
  <c r="H637" i="22" s="1"/>
  <c r="AL643" i="22"/>
  <c r="M643" i="22" s="1"/>
  <c r="N643" i="22" s="1"/>
  <c r="AF649" i="22"/>
  <c r="I649" i="22" s="1"/>
  <c r="J649" i="22" s="1"/>
  <c r="C661" i="22"/>
  <c r="D661" i="22" s="1"/>
  <c r="AF661" i="22"/>
  <c r="I661" i="22" s="1"/>
  <c r="J661" i="22" s="1"/>
  <c r="C665" i="22"/>
  <c r="D665" i="22" s="1"/>
  <c r="Z665" i="22"/>
  <c r="E665" i="22" s="1"/>
  <c r="F665" i="22" s="1"/>
  <c r="AL667" i="22"/>
  <c r="M667" i="22" s="1"/>
  <c r="N667" i="22" s="1"/>
  <c r="AF685" i="22"/>
  <c r="I685" i="22" s="1"/>
  <c r="J685" i="22" s="1"/>
  <c r="C695" i="22"/>
  <c r="D695" i="22" s="1"/>
  <c r="Z695" i="22"/>
  <c r="E695" i="22" s="1"/>
  <c r="F695" i="22" s="1"/>
  <c r="AF701" i="22"/>
  <c r="I701" i="22" s="1"/>
  <c r="J701" i="22" s="1"/>
  <c r="C711" i="22"/>
  <c r="D711" i="22" s="1"/>
  <c r="AF711" i="22"/>
  <c r="I711" i="22" s="1"/>
  <c r="J711" i="22" s="1"/>
  <c r="C735" i="22"/>
  <c r="AF735" i="22"/>
  <c r="I735" i="22" s="1"/>
  <c r="J735" i="22" s="1"/>
  <c r="C745" i="22"/>
  <c r="D745" i="22" s="1"/>
  <c r="AF751" i="22"/>
  <c r="I751" i="22" s="1"/>
  <c r="J751" i="22" s="1"/>
  <c r="C753" i="22"/>
  <c r="D753" i="22" s="1"/>
  <c r="AF753" i="22"/>
  <c r="I753" i="22" s="1"/>
  <c r="J753" i="22" s="1"/>
  <c r="Z759" i="22"/>
  <c r="E759" i="22" s="1"/>
  <c r="F759" i="22" s="1"/>
  <c r="AF763" i="22"/>
  <c r="I763" i="22" s="1"/>
  <c r="J763" i="22" s="1"/>
  <c r="Z785" i="22"/>
  <c r="AF787" i="22"/>
  <c r="I787" i="22" s="1"/>
  <c r="J787" i="22" s="1"/>
  <c r="Z793" i="22"/>
  <c r="E793" i="22" s="1"/>
  <c r="AL795" i="22"/>
  <c r="M795" i="22" s="1"/>
  <c r="N795" i="22" s="1"/>
  <c r="AF801" i="22"/>
  <c r="I801" i="22" s="1"/>
  <c r="J801" i="22" s="1"/>
  <c r="AL805" i="22"/>
  <c r="M805" i="22" s="1"/>
  <c r="N805" i="22" s="1"/>
  <c r="AF828" i="22"/>
  <c r="I828" i="22" s="1"/>
  <c r="J828" i="22" s="1"/>
  <c r="AL840" i="22"/>
  <c r="M840" i="22" s="1"/>
  <c r="N840" i="22" s="1"/>
  <c r="AL863" i="22"/>
  <c r="M863" i="22" s="1"/>
  <c r="N863" i="22" s="1"/>
  <c r="AF871" i="22"/>
  <c r="I871" i="22" s="1"/>
  <c r="J871" i="22" s="1"/>
  <c r="AL877" i="22"/>
  <c r="M877" i="22" s="1"/>
  <c r="N877" i="22" s="1"/>
  <c r="AL904" i="22"/>
  <c r="M904" i="22" s="1"/>
  <c r="N904" i="22" s="1"/>
  <c r="AL910" i="22"/>
  <c r="M910" i="22" s="1"/>
  <c r="N910" i="22" s="1"/>
  <c r="C912" i="22"/>
  <c r="D912" i="22" s="1"/>
  <c r="Z912" i="22"/>
  <c r="E912" i="22" s="1"/>
  <c r="Z933" i="22"/>
  <c r="E933" i="22" s="1"/>
  <c r="F933" i="22" s="1"/>
  <c r="Z23" i="22"/>
  <c r="E23" i="22" s="1"/>
  <c r="F23" i="22" s="1"/>
  <c r="AJ63" i="22"/>
  <c r="AL65" i="22"/>
  <c r="M65" i="22" s="1"/>
  <c r="N65" i="22" s="1"/>
  <c r="AF71" i="22"/>
  <c r="I71" i="22" s="1"/>
  <c r="J71" i="22" s="1"/>
  <c r="Z77" i="22"/>
  <c r="E77" i="22" s="1"/>
  <c r="F77" i="22" s="1"/>
  <c r="C107" i="22"/>
  <c r="D107" i="22" s="1"/>
  <c r="AF107" i="22"/>
  <c r="I107" i="22" s="1"/>
  <c r="J107" i="22" s="1"/>
  <c r="AF109" i="22"/>
  <c r="AL121" i="22"/>
  <c r="M121" i="22" s="1"/>
  <c r="N121" i="22" s="1"/>
  <c r="Z171" i="22"/>
  <c r="E171" i="22" s="1"/>
  <c r="F171" i="22" s="1"/>
  <c r="Z173" i="22"/>
  <c r="E173" i="22" s="1"/>
  <c r="F173" i="22" s="1"/>
  <c r="Z189" i="22"/>
  <c r="E189" i="22" s="1"/>
  <c r="F189" i="22" s="1"/>
  <c r="AL247" i="22"/>
  <c r="AD281" i="22"/>
  <c r="G281" i="22" s="1"/>
  <c r="H281" i="22" s="1"/>
  <c r="X291" i="22"/>
  <c r="C291" i="22" s="1"/>
  <c r="AL299" i="22"/>
  <c r="M299" i="22" s="1"/>
  <c r="N299" i="22" s="1"/>
  <c r="AL305" i="22"/>
  <c r="M305" i="22" s="1"/>
  <c r="N305" i="22" s="1"/>
  <c r="AJ327" i="22"/>
  <c r="K327" i="22" s="1"/>
  <c r="L327" i="22" s="1"/>
  <c r="X329" i="22"/>
  <c r="C329" i="22" s="1"/>
  <c r="AJ331" i="22"/>
  <c r="K331" i="22" s="1"/>
  <c r="L331" i="22" s="1"/>
  <c r="AL349" i="22"/>
  <c r="M349" i="22" s="1"/>
  <c r="N349" i="22" s="1"/>
  <c r="AL355" i="22"/>
  <c r="Z377" i="22"/>
  <c r="E377" i="22" s="1"/>
  <c r="F377" i="22" s="1"/>
  <c r="AL453" i="22"/>
  <c r="AL463" i="22"/>
  <c r="M463" i="22" s="1"/>
  <c r="N463" i="22" s="1"/>
  <c r="AL510" i="22"/>
  <c r="M510" i="22" s="1"/>
  <c r="N510" i="22" s="1"/>
  <c r="AL516" i="22"/>
  <c r="M516" i="22" s="1"/>
  <c r="N516" i="22" s="1"/>
  <c r="AL592" i="22"/>
  <c r="M592" i="22" s="1"/>
  <c r="N592" i="22" s="1"/>
  <c r="AL596" i="22"/>
  <c r="M596" i="22" s="1"/>
  <c r="N596" i="22" s="1"/>
  <c r="Z620" i="22"/>
  <c r="E620" i="22" s="1"/>
  <c r="F620" i="22" s="1"/>
  <c r="AL624" i="22"/>
  <c r="M624" i="22" s="1"/>
  <c r="N624" i="22" s="1"/>
  <c r="AL649" i="22"/>
  <c r="M649" i="22" s="1"/>
  <c r="N649" i="22" s="1"/>
  <c r="Z659" i="22"/>
  <c r="AL661" i="22"/>
  <c r="M661" i="22" s="1"/>
  <c r="N661" i="22" s="1"/>
  <c r="Z663" i="22"/>
  <c r="E663" i="22" s="1"/>
  <c r="F663" i="22" s="1"/>
  <c r="AL685" i="22"/>
  <c r="M685" i="22" s="1"/>
  <c r="N685" i="22" s="1"/>
  <c r="AL701" i="22"/>
  <c r="M701" i="22" s="1"/>
  <c r="N701" i="22" s="1"/>
  <c r="AL711" i="22"/>
  <c r="M711" i="22" s="1"/>
  <c r="N711" i="22" s="1"/>
  <c r="AL735" i="22"/>
  <c r="M735" i="22" s="1"/>
  <c r="N735" i="22" s="1"/>
  <c r="AL751" i="22"/>
  <c r="M751" i="22" s="1"/>
  <c r="N751" i="22" s="1"/>
  <c r="AL753" i="22"/>
  <c r="M753" i="22" s="1"/>
  <c r="N753" i="22" s="1"/>
  <c r="AF759" i="22"/>
  <c r="I759" i="22" s="1"/>
  <c r="J759" i="22" s="1"/>
  <c r="AL763" i="22"/>
  <c r="M763" i="22" s="1"/>
  <c r="N763" i="22" s="1"/>
  <c r="AF785" i="22"/>
  <c r="I785" i="22" s="1"/>
  <c r="J785" i="22" s="1"/>
  <c r="AL787" i="22"/>
  <c r="M787" i="22" s="1"/>
  <c r="N787" i="22" s="1"/>
  <c r="AF793" i="22"/>
  <c r="I793" i="22" s="1"/>
  <c r="J793" i="22" s="1"/>
  <c r="AL801" i="22"/>
  <c r="M801" i="22" s="1"/>
  <c r="N801" i="22" s="1"/>
  <c r="AL828" i="22"/>
  <c r="M828" i="22" s="1"/>
  <c r="N828" i="22" s="1"/>
  <c r="Z832" i="22"/>
  <c r="E832" i="22" s="1"/>
  <c r="F832" i="22" s="1"/>
  <c r="AF865" i="22"/>
  <c r="I865" i="22" s="1"/>
  <c r="J865" i="22" s="1"/>
  <c r="AL871" i="22"/>
  <c r="M871" i="22" s="1"/>
  <c r="N871" i="22" s="1"/>
  <c r="C873" i="22"/>
  <c r="D873" i="22" s="1"/>
  <c r="Z873" i="22"/>
  <c r="E873" i="22" s="1"/>
  <c r="AF896" i="22"/>
  <c r="I896" i="22" s="1"/>
  <c r="J896" i="22" s="1"/>
  <c r="AF912" i="22"/>
  <c r="I912" i="22" s="1"/>
  <c r="J912" i="22" s="1"/>
  <c r="AF933" i="22"/>
  <c r="I933" i="22" s="1"/>
  <c r="J933" i="22" s="1"/>
  <c r="AF23" i="22"/>
  <c r="I23" i="22" s="1"/>
  <c r="J23" i="22" s="1"/>
  <c r="K29" i="22"/>
  <c r="L29" i="22" s="1"/>
  <c r="AL29" i="22"/>
  <c r="M29" i="22" s="1"/>
  <c r="N29" i="22" s="1"/>
  <c r="Z59" i="22"/>
  <c r="E59" i="22" s="1"/>
  <c r="F59" i="22" s="1"/>
  <c r="AD63" i="22"/>
  <c r="AL71" i="22"/>
  <c r="M71" i="22" s="1"/>
  <c r="N71" i="22" s="1"/>
  <c r="AF77" i="22"/>
  <c r="I77" i="22" s="1"/>
  <c r="J77" i="22" s="1"/>
  <c r="AL107" i="22"/>
  <c r="M107" i="22" s="1"/>
  <c r="N107" i="22" s="1"/>
  <c r="AI111" i="22"/>
  <c r="K111" i="22" s="1"/>
  <c r="L111" i="22" s="1"/>
  <c r="X117" i="22"/>
  <c r="C121" i="22"/>
  <c r="D121" i="22" s="1"/>
  <c r="AL129" i="22"/>
  <c r="Z145" i="22"/>
  <c r="E145" i="22" s="1"/>
  <c r="F145" i="22" s="1"/>
  <c r="M147" i="22"/>
  <c r="N147" i="22" s="1"/>
  <c r="K149" i="22"/>
  <c r="L149" i="22" s="1"/>
  <c r="AL149" i="22"/>
  <c r="M149" i="22" s="1"/>
  <c r="N149" i="22" s="1"/>
  <c r="Z153" i="22"/>
  <c r="E153" i="22" s="1"/>
  <c r="F153" i="22" s="1"/>
  <c r="K157" i="22"/>
  <c r="L157" i="22" s="1"/>
  <c r="AL157" i="22"/>
  <c r="M157" i="22" s="1"/>
  <c r="N157" i="22" s="1"/>
  <c r="K167" i="22"/>
  <c r="L167" i="22" s="1"/>
  <c r="AL167" i="22"/>
  <c r="M167" i="22" s="1"/>
  <c r="N167" i="22" s="1"/>
  <c r="C171" i="22"/>
  <c r="D171" i="22" s="1"/>
  <c r="AF171" i="22"/>
  <c r="I171" i="22" s="1"/>
  <c r="J171" i="22" s="1"/>
  <c r="AF173" i="22"/>
  <c r="I173" i="22" s="1"/>
  <c r="J173" i="22" s="1"/>
  <c r="AF189" i="22"/>
  <c r="I189" i="22" s="1"/>
  <c r="J189" i="22" s="1"/>
  <c r="C193" i="22"/>
  <c r="Z193" i="22"/>
  <c r="E193" i="22" s="1"/>
  <c r="F193" i="22" s="1"/>
  <c r="X289" i="22"/>
  <c r="K295" i="22"/>
  <c r="L295" i="22" s="1"/>
  <c r="AL295" i="22"/>
  <c r="M295" i="22" s="1"/>
  <c r="N295" i="22" s="1"/>
  <c r="AD327" i="22"/>
  <c r="AD331" i="22"/>
  <c r="E333" i="22"/>
  <c r="F333" i="22" s="1"/>
  <c r="AD345" i="22"/>
  <c r="C377" i="22"/>
  <c r="D377" i="22" s="1"/>
  <c r="AF377" i="22"/>
  <c r="I377" i="22" s="1"/>
  <c r="J377" i="22" s="1"/>
  <c r="K381" i="22"/>
  <c r="L381" i="22" s="1"/>
  <c r="AL415" i="22"/>
  <c r="K423" i="22"/>
  <c r="L423" i="22" s="1"/>
  <c r="K427" i="22"/>
  <c r="L427" i="22" s="1"/>
  <c r="AL427" i="22"/>
  <c r="M427" i="22" s="1"/>
  <c r="N427" i="22" s="1"/>
  <c r="E457" i="22"/>
  <c r="F457" i="22" s="1"/>
  <c r="E504" i="22"/>
  <c r="F504" i="22" s="1"/>
  <c r="K545" i="22"/>
  <c r="L545" i="22" s="1"/>
  <c r="AL545" i="22"/>
  <c r="M545" i="22" s="1"/>
  <c r="N545" i="22" s="1"/>
  <c r="K557" i="22"/>
  <c r="L557" i="22" s="1"/>
  <c r="AL557" i="22"/>
  <c r="M557" i="22" s="1"/>
  <c r="N557" i="22" s="1"/>
  <c r="AL561" i="22"/>
  <c r="M561" i="22" s="1"/>
  <c r="N561" i="22" s="1"/>
  <c r="E588" i="22"/>
  <c r="F588" i="22" s="1"/>
  <c r="E600" i="22"/>
  <c r="E606" i="22"/>
  <c r="F606" i="22" s="1"/>
  <c r="E614" i="22"/>
  <c r="F614" i="22" s="1"/>
  <c r="C620" i="22"/>
  <c r="D620" i="22" s="1"/>
  <c r="AF620" i="22"/>
  <c r="I620" i="22" s="1"/>
  <c r="J620" i="22" s="1"/>
  <c r="K645" i="22"/>
  <c r="L645" i="22" s="1"/>
  <c r="AF659" i="22"/>
  <c r="C663" i="22"/>
  <c r="D663" i="22" s="1"/>
  <c r="AF663" i="22"/>
  <c r="I663" i="22" s="1"/>
  <c r="J663" i="22" s="1"/>
  <c r="AL665" i="22"/>
  <c r="K695" i="22"/>
  <c r="L695" i="22" s="1"/>
  <c r="AL695" i="22"/>
  <c r="M695" i="22" s="1"/>
  <c r="N695" i="22" s="1"/>
  <c r="C703" i="22"/>
  <c r="D703" i="22" s="1"/>
  <c r="AF703" i="22"/>
  <c r="I703" i="22" s="1"/>
  <c r="J703" i="22" s="1"/>
  <c r="C701" i="22"/>
  <c r="D701" i="22" s="1"/>
  <c r="AF741" i="22"/>
  <c r="AF745" i="22"/>
  <c r="I745" i="22" s="1"/>
  <c r="J745" i="22" s="1"/>
  <c r="C751" i="22"/>
  <c r="AL759" i="22"/>
  <c r="M759" i="22" s="1"/>
  <c r="N759" i="22" s="1"/>
  <c r="AL785" i="22"/>
  <c r="M785" i="22" s="1"/>
  <c r="N785" i="22" s="1"/>
  <c r="AL793" i="22"/>
  <c r="M793" i="22" s="1"/>
  <c r="N793" i="22" s="1"/>
  <c r="Z795" i="22"/>
  <c r="E795" i="22" s="1"/>
  <c r="F795" i="22" s="1"/>
  <c r="G797" i="22"/>
  <c r="H797" i="22" s="1"/>
  <c r="Z805" i="22"/>
  <c r="E805" i="22" s="1"/>
  <c r="F805" i="22" s="1"/>
  <c r="C832" i="22"/>
  <c r="AF832" i="22"/>
  <c r="I832" i="22" s="1"/>
  <c r="J832" i="22" s="1"/>
  <c r="C840" i="22"/>
  <c r="D840" i="22" s="1"/>
  <c r="Z840" i="22"/>
  <c r="E840" i="22" s="1"/>
  <c r="Z863" i="22"/>
  <c r="E863" i="22" s="1"/>
  <c r="F863" i="22" s="1"/>
  <c r="K865" i="22"/>
  <c r="L865" i="22" s="1"/>
  <c r="AL865" i="22"/>
  <c r="M865" i="22" s="1"/>
  <c r="N865" i="22" s="1"/>
  <c r="AF873" i="22"/>
  <c r="I873" i="22" s="1"/>
  <c r="J873" i="22" s="1"/>
  <c r="Z877" i="22"/>
  <c r="E877" i="22" s="1"/>
  <c r="F877" i="22" s="1"/>
  <c r="K896" i="22"/>
  <c r="L896" i="22" s="1"/>
  <c r="AL896" i="22"/>
  <c r="M896" i="22" s="1"/>
  <c r="N896" i="22" s="1"/>
  <c r="AL902" i="22"/>
  <c r="M902" i="22" s="1"/>
  <c r="N902" i="22" s="1"/>
  <c r="C904" i="22"/>
  <c r="D904" i="22" s="1"/>
  <c r="Z904" i="22"/>
  <c r="AL912" i="22"/>
  <c r="M912" i="22" s="1"/>
  <c r="N912" i="22" s="1"/>
  <c r="AL933" i="22"/>
  <c r="M933" i="22" s="1"/>
  <c r="N933" i="22" s="1"/>
  <c r="AL63" i="22"/>
  <c r="M63" i="22" s="1"/>
  <c r="N63" i="22" s="1"/>
  <c r="AF63" i="22"/>
  <c r="Z63" i="22"/>
  <c r="AI63" i="22"/>
  <c r="AL81" i="22"/>
  <c r="M81" i="22" s="1"/>
  <c r="N81" i="22" s="1"/>
  <c r="AF81" i="22"/>
  <c r="I81" i="22" s="1"/>
  <c r="J81" i="22" s="1"/>
  <c r="Z81" i="22"/>
  <c r="E81" i="22" s="1"/>
  <c r="F81" i="22" s="1"/>
  <c r="AC81" i="22"/>
  <c r="G81" i="22" s="1"/>
  <c r="H81" i="22" s="1"/>
  <c r="C81" i="22"/>
  <c r="AI81" i="22"/>
  <c r="K81" i="22" s="1"/>
  <c r="L81" i="22" s="1"/>
  <c r="AI113" i="22"/>
  <c r="K113" i="22" s="1"/>
  <c r="L113" i="22" s="1"/>
  <c r="AC113" i="22"/>
  <c r="G113" i="22" s="1"/>
  <c r="H113" i="22" s="1"/>
  <c r="AL113" i="22"/>
  <c r="M113" i="22" s="1"/>
  <c r="N113" i="22" s="1"/>
  <c r="Z113" i="22"/>
  <c r="E113" i="22" s="1"/>
  <c r="F113" i="22" s="1"/>
  <c r="AF113" i="22"/>
  <c r="I113" i="22" s="1"/>
  <c r="J113" i="22" s="1"/>
  <c r="D149" i="22"/>
  <c r="D153" i="22"/>
  <c r="D157" i="22"/>
  <c r="AJ337" i="22"/>
  <c r="AD337" i="22"/>
  <c r="X337" i="22"/>
  <c r="C337" i="22" s="1"/>
  <c r="AM337" i="22"/>
  <c r="AA337" i="22"/>
  <c r="E337" i="22" s="1"/>
  <c r="F337" i="22" s="1"/>
  <c r="AL61" i="22"/>
  <c r="M61" i="22" s="1"/>
  <c r="N61" i="22" s="1"/>
  <c r="AF61" i="22"/>
  <c r="I61" i="22" s="1"/>
  <c r="J61" i="22" s="1"/>
  <c r="Z61" i="22"/>
  <c r="E61" i="22" s="1"/>
  <c r="F61" i="22" s="1"/>
  <c r="C61" i="22"/>
  <c r="K107" i="22"/>
  <c r="L107" i="22" s="1"/>
  <c r="K171" i="22"/>
  <c r="L171" i="22" s="1"/>
  <c r="AL520" i="22"/>
  <c r="M520" i="22" s="1"/>
  <c r="N520" i="22" s="1"/>
  <c r="AF520" i="22"/>
  <c r="I520" i="22" s="1"/>
  <c r="J520" i="22" s="1"/>
  <c r="Z520" i="22"/>
  <c r="E520" i="22" s="1"/>
  <c r="F520" i="22" s="1"/>
  <c r="C520" i="22"/>
  <c r="AC520" i="22"/>
  <c r="G520" i="22" s="1"/>
  <c r="H520" i="22" s="1"/>
  <c r="AI520" i="22"/>
  <c r="K520" i="22" s="1"/>
  <c r="L520" i="22" s="1"/>
  <c r="AL25" i="22"/>
  <c r="M25" i="22" s="1"/>
  <c r="N25" i="22" s="1"/>
  <c r="AF25" i="22"/>
  <c r="I25" i="22" s="1"/>
  <c r="J25" i="22" s="1"/>
  <c r="Z25" i="22"/>
  <c r="E25" i="22" s="1"/>
  <c r="F25" i="22" s="1"/>
  <c r="C25" i="22"/>
  <c r="C63" i="22"/>
  <c r="AC63" i="22"/>
  <c r="K65" i="22"/>
  <c r="L65" i="22" s="1"/>
  <c r="K71" i="22"/>
  <c r="L71" i="22" s="1"/>
  <c r="K85" i="22"/>
  <c r="L85" i="22" s="1"/>
  <c r="AL117" i="22"/>
  <c r="M117" i="22" s="1"/>
  <c r="N117" i="22" s="1"/>
  <c r="AF117" i="22"/>
  <c r="Z117" i="22"/>
  <c r="C117" i="22"/>
  <c r="AI117" i="22"/>
  <c r="C165" i="22"/>
  <c r="AL165" i="22"/>
  <c r="M165" i="22" s="1"/>
  <c r="N165" i="22" s="1"/>
  <c r="AF165" i="22"/>
  <c r="I165" i="22" s="1"/>
  <c r="J165" i="22" s="1"/>
  <c r="Z165" i="22"/>
  <c r="E165" i="22" s="1"/>
  <c r="F165" i="22" s="1"/>
  <c r="AL175" i="22"/>
  <c r="M175" i="22" s="1"/>
  <c r="N175" i="22" s="1"/>
  <c r="AF175" i="22"/>
  <c r="I175" i="22" s="1"/>
  <c r="J175" i="22" s="1"/>
  <c r="Z175" i="22"/>
  <c r="E175" i="22" s="1"/>
  <c r="F175" i="22" s="1"/>
  <c r="C175" i="22"/>
  <c r="AL257" i="22"/>
  <c r="M257" i="22" s="1"/>
  <c r="N257" i="22" s="1"/>
  <c r="AF257" i="22"/>
  <c r="I257" i="22" s="1"/>
  <c r="J257" i="22" s="1"/>
  <c r="Z257" i="22"/>
  <c r="E257" i="22" s="1"/>
  <c r="F257" i="22" s="1"/>
  <c r="C257" i="22"/>
  <c r="AC257" i="22"/>
  <c r="G257" i="22" s="1"/>
  <c r="H257" i="22" s="1"/>
  <c r="AJ263" i="22"/>
  <c r="K263" i="22" s="1"/>
  <c r="L263" i="22" s="1"/>
  <c r="AD263" i="22"/>
  <c r="X263" i="22"/>
  <c r="C263" i="22" s="1"/>
  <c r="AM263" i="22"/>
  <c r="AA263" i="22"/>
  <c r="K309" i="22"/>
  <c r="L309" i="22" s="1"/>
  <c r="AG337" i="22"/>
  <c r="AL345" i="22"/>
  <c r="M345" i="22" s="1"/>
  <c r="N345" i="22" s="1"/>
  <c r="AF345" i="22"/>
  <c r="Z345" i="22"/>
  <c r="AC345" i="22"/>
  <c r="G345" i="22" s="1"/>
  <c r="H345" i="22" s="1"/>
  <c r="C345" i="22"/>
  <c r="D427" i="22"/>
  <c r="AL565" i="22"/>
  <c r="M565" i="22" s="1"/>
  <c r="N565" i="22" s="1"/>
  <c r="AF565" i="22"/>
  <c r="I565" i="22" s="1"/>
  <c r="J565" i="22" s="1"/>
  <c r="Z565" i="22"/>
  <c r="E565" i="22" s="1"/>
  <c r="F565" i="22" s="1"/>
  <c r="C565" i="22"/>
  <c r="AC565" i="22"/>
  <c r="G565" i="22" s="1"/>
  <c r="H565" i="22" s="1"/>
  <c r="AI565" i="22"/>
  <c r="K565" i="22" s="1"/>
  <c r="L565" i="22" s="1"/>
  <c r="AF19" i="22"/>
  <c r="I19" i="22" s="1"/>
  <c r="J19" i="22" s="1"/>
  <c r="C19" i="22"/>
  <c r="AL19" i="22"/>
  <c r="M19" i="22" s="1"/>
  <c r="N19" i="22" s="1"/>
  <c r="Z19" i="22"/>
  <c r="E19" i="22" s="1"/>
  <c r="F19" i="22" s="1"/>
  <c r="D29" i="22"/>
  <c r="AI103" i="22"/>
  <c r="K103" i="22" s="1"/>
  <c r="L103" i="22" s="1"/>
  <c r="AC103" i="22"/>
  <c r="G103" i="22" s="1"/>
  <c r="H103" i="22" s="1"/>
  <c r="AL103" i="22"/>
  <c r="M103" i="22" s="1"/>
  <c r="N103" i="22" s="1"/>
  <c r="Z103" i="22"/>
  <c r="E103" i="22" s="1"/>
  <c r="F103" i="22" s="1"/>
  <c r="AF103" i="22"/>
  <c r="I103" i="22" s="1"/>
  <c r="J103" i="22" s="1"/>
  <c r="AL291" i="22"/>
  <c r="M291" i="22" s="1"/>
  <c r="N291" i="22" s="1"/>
  <c r="AF291" i="22"/>
  <c r="Z291" i="22"/>
  <c r="AC291" i="22"/>
  <c r="D299" i="22"/>
  <c r="D457" i="22"/>
  <c r="D588" i="22"/>
  <c r="AL79" i="22"/>
  <c r="M79" i="22" s="1"/>
  <c r="N79" i="22" s="1"/>
  <c r="AF79" i="22"/>
  <c r="I79" i="22" s="1"/>
  <c r="J79" i="22" s="1"/>
  <c r="Z79" i="22"/>
  <c r="E79" i="22" s="1"/>
  <c r="F79" i="22" s="1"/>
  <c r="AI79" i="22"/>
  <c r="K79" i="22" s="1"/>
  <c r="L79" i="22" s="1"/>
  <c r="AC79" i="22"/>
  <c r="G79" i="22" s="1"/>
  <c r="H79" i="22" s="1"/>
  <c r="C79" i="22"/>
  <c r="AL125" i="22"/>
  <c r="M125" i="22" s="1"/>
  <c r="N125" i="22" s="1"/>
  <c r="AF125" i="22"/>
  <c r="I125" i="22" s="1"/>
  <c r="J125" i="22" s="1"/>
  <c r="Z125" i="22"/>
  <c r="E125" i="22" s="1"/>
  <c r="F125" i="22" s="1"/>
  <c r="C125" i="22"/>
  <c r="D281" i="22"/>
  <c r="AL459" i="22"/>
  <c r="M459" i="22" s="1"/>
  <c r="N459" i="22" s="1"/>
  <c r="AF459" i="22"/>
  <c r="I459" i="22" s="1"/>
  <c r="J459" i="22" s="1"/>
  <c r="Z459" i="22"/>
  <c r="E459" i="22" s="1"/>
  <c r="F459" i="22" s="1"/>
  <c r="C459" i="22"/>
  <c r="AC459" i="22"/>
  <c r="G459" i="22" s="1"/>
  <c r="H459" i="22" s="1"/>
  <c r="AI459" i="22"/>
  <c r="K459" i="22" s="1"/>
  <c r="L459" i="22" s="1"/>
  <c r="AL590" i="22"/>
  <c r="M590" i="22" s="1"/>
  <c r="N590" i="22" s="1"/>
  <c r="AF590" i="22"/>
  <c r="I590" i="22" s="1"/>
  <c r="J590" i="22" s="1"/>
  <c r="Z590" i="22"/>
  <c r="E590" i="22" s="1"/>
  <c r="F590" i="22" s="1"/>
  <c r="C590" i="22"/>
  <c r="AC590" i="22"/>
  <c r="G590" i="22" s="1"/>
  <c r="H590" i="22" s="1"/>
  <c r="AI590" i="22"/>
  <c r="K590" i="22" s="1"/>
  <c r="L590" i="22" s="1"/>
  <c r="AC19" i="22"/>
  <c r="G19" i="22" s="1"/>
  <c r="H19" i="22" s="1"/>
  <c r="AL57" i="22"/>
  <c r="M57" i="22" s="1"/>
  <c r="N57" i="22" s="1"/>
  <c r="AF57" i="22"/>
  <c r="I57" i="22" s="1"/>
  <c r="J57" i="22" s="1"/>
  <c r="Z57" i="22"/>
  <c r="E57" i="22" s="1"/>
  <c r="F57" i="22" s="1"/>
  <c r="C57" i="22"/>
  <c r="AI61" i="22"/>
  <c r="K61" i="22" s="1"/>
  <c r="L61" i="22" s="1"/>
  <c r="D65" i="22"/>
  <c r="AL75" i="22"/>
  <c r="M75" i="22" s="1"/>
  <c r="N75" i="22" s="1"/>
  <c r="AF75" i="22"/>
  <c r="I75" i="22" s="1"/>
  <c r="J75" i="22" s="1"/>
  <c r="Z75" i="22"/>
  <c r="E75" i="22" s="1"/>
  <c r="F75" i="22" s="1"/>
  <c r="C75" i="22"/>
  <c r="AL101" i="22"/>
  <c r="M101" i="22" s="1"/>
  <c r="N101" i="22" s="1"/>
  <c r="AF101" i="22"/>
  <c r="I101" i="22" s="1"/>
  <c r="J101" i="22" s="1"/>
  <c r="Z101" i="22"/>
  <c r="E101" i="22" s="1"/>
  <c r="F101" i="22" s="1"/>
  <c r="C101" i="22"/>
  <c r="M105" i="22"/>
  <c r="N105" i="22" s="1"/>
  <c r="AL111" i="22"/>
  <c r="M111" i="22" s="1"/>
  <c r="N111" i="22" s="1"/>
  <c r="AF111" i="22"/>
  <c r="I111" i="22" s="1"/>
  <c r="J111" i="22" s="1"/>
  <c r="Z111" i="22"/>
  <c r="E111" i="22" s="1"/>
  <c r="F111" i="22" s="1"/>
  <c r="C111" i="22"/>
  <c r="M115" i="22"/>
  <c r="N115" i="22" s="1"/>
  <c r="AI125" i="22"/>
  <c r="K125" i="22" s="1"/>
  <c r="L125" i="22" s="1"/>
  <c r="D167" i="22"/>
  <c r="M169" i="22"/>
  <c r="N169" i="22" s="1"/>
  <c r="AL191" i="22"/>
  <c r="M191" i="22" s="1"/>
  <c r="N191" i="22" s="1"/>
  <c r="AF191" i="22"/>
  <c r="I191" i="22" s="1"/>
  <c r="J191" i="22" s="1"/>
  <c r="Z191" i="22"/>
  <c r="E191" i="22" s="1"/>
  <c r="F191" i="22" s="1"/>
  <c r="C191" i="22"/>
  <c r="AC191" i="22"/>
  <c r="G191" i="22" s="1"/>
  <c r="H191" i="22" s="1"/>
  <c r="AI191" i="22"/>
  <c r="K191" i="22" s="1"/>
  <c r="L191" i="22" s="1"/>
  <c r="AI291" i="22"/>
  <c r="F295" i="22"/>
  <c r="AL301" i="22"/>
  <c r="M301" i="22" s="1"/>
  <c r="N301" i="22" s="1"/>
  <c r="AF301" i="22"/>
  <c r="I301" i="22" s="1"/>
  <c r="J301" i="22" s="1"/>
  <c r="Z301" i="22"/>
  <c r="E301" i="22" s="1"/>
  <c r="F301" i="22" s="1"/>
  <c r="C301" i="22"/>
  <c r="AC301" i="22"/>
  <c r="G301" i="22" s="1"/>
  <c r="H301" i="22" s="1"/>
  <c r="AI301" i="22"/>
  <c r="K301" i="22" s="1"/>
  <c r="L301" i="22" s="1"/>
  <c r="AL431" i="22"/>
  <c r="M431" i="22" s="1"/>
  <c r="N431" i="22" s="1"/>
  <c r="AF431" i="22"/>
  <c r="I431" i="22" s="1"/>
  <c r="J431" i="22" s="1"/>
  <c r="Z431" i="22"/>
  <c r="E431" i="22" s="1"/>
  <c r="F431" i="22" s="1"/>
  <c r="C431" i="22"/>
  <c r="AC431" i="22"/>
  <c r="G431" i="22" s="1"/>
  <c r="H431" i="22" s="1"/>
  <c r="AI431" i="22"/>
  <c r="K431" i="22" s="1"/>
  <c r="L431" i="22" s="1"/>
  <c r="AL467" i="22"/>
  <c r="AF467" i="22"/>
  <c r="Z467" i="22"/>
  <c r="AC467" i="22"/>
  <c r="AI467" i="22"/>
  <c r="D875" i="22"/>
  <c r="AL612" i="22"/>
  <c r="M612" i="22" s="1"/>
  <c r="N612" i="22" s="1"/>
  <c r="AF612" i="22"/>
  <c r="I612" i="22" s="1"/>
  <c r="J612" i="22" s="1"/>
  <c r="Z612" i="22"/>
  <c r="E612" i="22" s="1"/>
  <c r="F612" i="22" s="1"/>
  <c r="C612" i="22"/>
  <c r="D751" i="22"/>
  <c r="AL826" i="22"/>
  <c r="M826" i="22" s="1"/>
  <c r="N826" i="22" s="1"/>
  <c r="AF826" i="22"/>
  <c r="I826" i="22" s="1"/>
  <c r="J826" i="22" s="1"/>
  <c r="Z826" i="22"/>
  <c r="E826" i="22" s="1"/>
  <c r="F826" i="22" s="1"/>
  <c r="AI826" i="22"/>
  <c r="K826" i="22" s="1"/>
  <c r="L826" i="22" s="1"/>
  <c r="C826" i="22"/>
  <c r="AL898" i="22"/>
  <c r="M898" i="22" s="1"/>
  <c r="N898" i="22" s="1"/>
  <c r="AF898" i="22"/>
  <c r="I898" i="22" s="1"/>
  <c r="J898" i="22" s="1"/>
  <c r="Z898" i="22"/>
  <c r="E898" i="22" s="1"/>
  <c r="F898" i="22" s="1"/>
  <c r="AC898" i="22"/>
  <c r="G898" i="22" s="1"/>
  <c r="H898" i="22" s="1"/>
  <c r="AI898" i="22"/>
  <c r="K898" i="22" s="1"/>
  <c r="L898" i="22" s="1"/>
  <c r="AL99" i="23"/>
  <c r="M99" i="23" s="1"/>
  <c r="N99" i="23" s="1"/>
  <c r="AF99" i="23"/>
  <c r="I99" i="23" s="1"/>
  <c r="J99" i="23" s="1"/>
  <c r="Z99" i="23"/>
  <c r="E99" i="23" s="1"/>
  <c r="F99" i="23" s="1"/>
  <c r="AC99" i="23"/>
  <c r="G99" i="23" s="1"/>
  <c r="H99" i="23" s="1"/>
  <c r="AI99" i="23"/>
  <c r="K99" i="23" s="1"/>
  <c r="L99" i="23" s="1"/>
  <c r="C99" i="23"/>
  <c r="AL218" i="23"/>
  <c r="M218" i="23" s="1"/>
  <c r="N218" i="23" s="1"/>
  <c r="AF218" i="23"/>
  <c r="I218" i="23" s="1"/>
  <c r="J218" i="23" s="1"/>
  <c r="Z218" i="23"/>
  <c r="E218" i="23" s="1"/>
  <c r="F218" i="23" s="1"/>
  <c r="C218" i="23"/>
  <c r="AC218" i="23"/>
  <c r="G218" i="23" s="1"/>
  <c r="H218" i="23" s="1"/>
  <c r="AI218" i="23"/>
  <c r="K218" i="23" s="1"/>
  <c r="L218" i="23" s="1"/>
  <c r="F438" i="23"/>
  <c r="AI67" i="22"/>
  <c r="K67" i="22" s="1"/>
  <c r="L67" i="22" s="1"/>
  <c r="AC73" i="22"/>
  <c r="G73" i="22" s="1"/>
  <c r="H73" i="22" s="1"/>
  <c r="AC87" i="22"/>
  <c r="G87" i="22" s="1"/>
  <c r="H87" i="22" s="1"/>
  <c r="AC105" i="22"/>
  <c r="G105" i="22" s="1"/>
  <c r="H105" i="22" s="1"/>
  <c r="AA109" i="22"/>
  <c r="E109" i="22" s="1"/>
  <c r="F109" i="22" s="1"/>
  <c r="AM109" i="22"/>
  <c r="AC115" i="22"/>
  <c r="G115" i="22" s="1"/>
  <c r="H115" i="22" s="1"/>
  <c r="AC143" i="22"/>
  <c r="G143" i="22" s="1"/>
  <c r="H143" i="22" s="1"/>
  <c r="AC147" i="22"/>
  <c r="G147" i="22" s="1"/>
  <c r="H147" i="22" s="1"/>
  <c r="AI151" i="22"/>
  <c r="K151" i="22" s="1"/>
  <c r="L151" i="22" s="1"/>
  <c r="AI155" i="22"/>
  <c r="K155" i="22" s="1"/>
  <c r="L155" i="22" s="1"/>
  <c r="AC159" i="22"/>
  <c r="G159" i="22" s="1"/>
  <c r="H159" i="22" s="1"/>
  <c r="AI163" i="22"/>
  <c r="K163" i="22" s="1"/>
  <c r="L163" i="22" s="1"/>
  <c r="AI169" i="22"/>
  <c r="K169" i="22" s="1"/>
  <c r="L169" i="22" s="1"/>
  <c r="AL237" i="22"/>
  <c r="M237" i="22" s="1"/>
  <c r="N237" i="22" s="1"/>
  <c r="AF237" i="22"/>
  <c r="I237" i="22" s="1"/>
  <c r="J237" i="22" s="1"/>
  <c r="Z237" i="22"/>
  <c r="E237" i="22" s="1"/>
  <c r="F237" i="22" s="1"/>
  <c r="C237" i="22"/>
  <c r="AL251" i="22"/>
  <c r="M251" i="22" s="1"/>
  <c r="N251" i="22" s="1"/>
  <c r="AF251" i="22"/>
  <c r="I251" i="22" s="1"/>
  <c r="J251" i="22" s="1"/>
  <c r="Z251" i="22"/>
  <c r="E251" i="22" s="1"/>
  <c r="F251" i="22" s="1"/>
  <c r="C251" i="22"/>
  <c r="AI253" i="22"/>
  <c r="AC253" i="22"/>
  <c r="AL255" i="22"/>
  <c r="M255" i="22" s="1"/>
  <c r="N255" i="22" s="1"/>
  <c r="AF255" i="22"/>
  <c r="I255" i="22" s="1"/>
  <c r="J255" i="22" s="1"/>
  <c r="Z255" i="22"/>
  <c r="E255" i="22" s="1"/>
  <c r="F255" i="22" s="1"/>
  <c r="C255" i="22"/>
  <c r="AL307" i="22"/>
  <c r="M307" i="22" s="1"/>
  <c r="N307" i="22" s="1"/>
  <c r="AF307" i="22"/>
  <c r="I307" i="22" s="1"/>
  <c r="J307" i="22" s="1"/>
  <c r="Z307" i="22"/>
  <c r="E307" i="22" s="1"/>
  <c r="F307" i="22" s="1"/>
  <c r="C307" i="22"/>
  <c r="AL341" i="22"/>
  <c r="M341" i="22" s="1"/>
  <c r="N341" i="22" s="1"/>
  <c r="AF341" i="22"/>
  <c r="I341" i="22" s="1"/>
  <c r="J341" i="22" s="1"/>
  <c r="Z341" i="22"/>
  <c r="E341" i="22" s="1"/>
  <c r="F341" i="22" s="1"/>
  <c r="C341" i="22"/>
  <c r="AL353" i="22"/>
  <c r="AF353" i="22"/>
  <c r="Z353" i="22"/>
  <c r="AL373" i="22"/>
  <c r="M373" i="22" s="1"/>
  <c r="N373" i="22" s="1"/>
  <c r="AF373" i="22"/>
  <c r="I373" i="22" s="1"/>
  <c r="J373" i="22" s="1"/>
  <c r="Z373" i="22"/>
  <c r="E373" i="22" s="1"/>
  <c r="F373" i="22" s="1"/>
  <c r="C373" i="22"/>
  <c r="AL435" i="22"/>
  <c r="M435" i="22" s="1"/>
  <c r="N435" i="22" s="1"/>
  <c r="AL653" i="22"/>
  <c r="M653" i="22" s="1"/>
  <c r="N653" i="22" s="1"/>
  <c r="AF653" i="22"/>
  <c r="I653" i="22" s="1"/>
  <c r="J653" i="22" s="1"/>
  <c r="Z653" i="22"/>
  <c r="E653" i="22" s="1"/>
  <c r="F653" i="22" s="1"/>
  <c r="C653" i="22"/>
  <c r="L659" i="22"/>
  <c r="K667" i="22"/>
  <c r="L667" i="22" s="1"/>
  <c r="C807" i="22"/>
  <c r="AL807" i="22"/>
  <c r="M807" i="22" s="1"/>
  <c r="N807" i="22" s="1"/>
  <c r="AF807" i="22"/>
  <c r="I807" i="22" s="1"/>
  <c r="J807" i="22" s="1"/>
  <c r="Z807" i="22"/>
  <c r="E807" i="22" s="1"/>
  <c r="F807" i="22" s="1"/>
  <c r="AI807" i="22"/>
  <c r="K807" i="22" s="1"/>
  <c r="L807" i="22" s="1"/>
  <c r="AL859" i="22"/>
  <c r="M859" i="22" s="1"/>
  <c r="N859" i="22" s="1"/>
  <c r="AF859" i="22"/>
  <c r="I859" i="22" s="1"/>
  <c r="J859" i="22" s="1"/>
  <c r="Z859" i="22"/>
  <c r="E859" i="22" s="1"/>
  <c r="F859" i="22" s="1"/>
  <c r="AC859" i="22"/>
  <c r="G859" i="22" s="1"/>
  <c r="H859" i="22" s="1"/>
  <c r="AI859" i="22"/>
  <c r="K859" i="22" s="1"/>
  <c r="L859" i="22" s="1"/>
  <c r="C861" i="22"/>
  <c r="AL861" i="22"/>
  <c r="M861" i="22" s="1"/>
  <c r="N861" i="22" s="1"/>
  <c r="AF861" i="22"/>
  <c r="I861" i="22" s="1"/>
  <c r="J861" i="22" s="1"/>
  <c r="Z861" i="22"/>
  <c r="E861" i="22" s="1"/>
  <c r="F861" i="22" s="1"/>
  <c r="AI861" i="22"/>
  <c r="K861" i="22" s="1"/>
  <c r="L861" i="22" s="1"/>
  <c r="D124" i="23"/>
  <c r="C158" i="23"/>
  <c r="AL158" i="23"/>
  <c r="M158" i="23" s="1"/>
  <c r="N158" i="23" s="1"/>
  <c r="AF158" i="23"/>
  <c r="I158" i="23" s="1"/>
  <c r="J158" i="23" s="1"/>
  <c r="Z158" i="23"/>
  <c r="E158" i="23" s="1"/>
  <c r="F158" i="23" s="1"/>
  <c r="AC158" i="23"/>
  <c r="G158" i="23" s="1"/>
  <c r="H158" i="23" s="1"/>
  <c r="AI158" i="23"/>
  <c r="K158" i="23" s="1"/>
  <c r="L158" i="23" s="1"/>
  <c r="AC23" i="22"/>
  <c r="G23" i="22" s="1"/>
  <c r="AC59" i="22"/>
  <c r="G59" i="22" s="1"/>
  <c r="H59" i="22" s="1"/>
  <c r="AC77" i="22"/>
  <c r="G77" i="22" s="1"/>
  <c r="H77" i="22" s="1"/>
  <c r="AC109" i="22"/>
  <c r="AI109" i="22"/>
  <c r="K109" i="22" s="1"/>
  <c r="L109" i="22" s="1"/>
  <c r="AC121" i="22"/>
  <c r="G121" i="22" s="1"/>
  <c r="H121" i="22" s="1"/>
  <c r="AC129" i="22"/>
  <c r="AC167" i="22"/>
  <c r="G167" i="22" s="1"/>
  <c r="H167" i="22" s="1"/>
  <c r="C169" i="22"/>
  <c r="AC173" i="22"/>
  <c r="G173" i="22" s="1"/>
  <c r="H173" i="22" s="1"/>
  <c r="AI173" i="22"/>
  <c r="K173" i="22" s="1"/>
  <c r="L173" i="22" s="1"/>
  <c r="D189" i="22"/>
  <c r="D193" i="22"/>
  <c r="AL243" i="22"/>
  <c r="M243" i="22" s="1"/>
  <c r="N243" i="22" s="1"/>
  <c r="AF243" i="22"/>
  <c r="I243" i="22" s="1"/>
  <c r="J243" i="22" s="1"/>
  <c r="Z243" i="22"/>
  <c r="E243" i="22" s="1"/>
  <c r="F243" i="22" s="1"/>
  <c r="C243" i="22"/>
  <c r="AJ253" i="22"/>
  <c r="AD253" i="22"/>
  <c r="X253" i="22"/>
  <c r="C253" i="22" s="1"/>
  <c r="AG253" i="22"/>
  <c r="AL259" i="22"/>
  <c r="M259" i="22" s="1"/>
  <c r="N259" i="22" s="1"/>
  <c r="AF259" i="22"/>
  <c r="I259" i="22" s="1"/>
  <c r="J259" i="22" s="1"/>
  <c r="Z259" i="22"/>
  <c r="E259" i="22" s="1"/>
  <c r="F259" i="22" s="1"/>
  <c r="C259" i="22"/>
  <c r="AI265" i="22"/>
  <c r="AC265" i="22"/>
  <c r="AF265" i="22"/>
  <c r="AL267" i="22"/>
  <c r="M267" i="22" s="1"/>
  <c r="N267" i="22" s="1"/>
  <c r="AF267" i="22"/>
  <c r="I267" i="22" s="1"/>
  <c r="J267" i="22" s="1"/>
  <c r="Z267" i="22"/>
  <c r="E267" i="22" s="1"/>
  <c r="F267" i="22" s="1"/>
  <c r="C267" i="22"/>
  <c r="AJ285" i="22"/>
  <c r="AD285" i="22"/>
  <c r="X285" i="22"/>
  <c r="C285" i="22" s="1"/>
  <c r="AG285" i="22"/>
  <c r="I285" i="22" s="1"/>
  <c r="J285" i="22" s="1"/>
  <c r="AL381" i="22"/>
  <c r="M381" i="22" s="1"/>
  <c r="N381" i="22" s="1"/>
  <c r="AF381" i="22"/>
  <c r="I381" i="22" s="1"/>
  <c r="J381" i="22" s="1"/>
  <c r="Z381" i="22"/>
  <c r="E381" i="22" s="1"/>
  <c r="F381" i="22" s="1"/>
  <c r="C381" i="22"/>
  <c r="AL389" i="22"/>
  <c r="AF389" i="22"/>
  <c r="Z389" i="22"/>
  <c r="AL413" i="22"/>
  <c r="M413" i="22" s="1"/>
  <c r="N413" i="22" s="1"/>
  <c r="AF413" i="22"/>
  <c r="I413" i="22" s="1"/>
  <c r="J413" i="22" s="1"/>
  <c r="Z413" i="22"/>
  <c r="E413" i="22" s="1"/>
  <c r="F413" i="22" s="1"/>
  <c r="C413" i="22"/>
  <c r="D463" i="22"/>
  <c r="AL506" i="22"/>
  <c r="M506" i="22" s="1"/>
  <c r="N506" i="22" s="1"/>
  <c r="AF506" i="22"/>
  <c r="I506" i="22" s="1"/>
  <c r="J506" i="22" s="1"/>
  <c r="Z506" i="22"/>
  <c r="E506" i="22" s="1"/>
  <c r="F506" i="22" s="1"/>
  <c r="C506" i="22"/>
  <c r="AL553" i="22"/>
  <c r="M553" i="22" s="1"/>
  <c r="N553" i="22" s="1"/>
  <c r="AF553" i="22"/>
  <c r="I553" i="22" s="1"/>
  <c r="J553" i="22" s="1"/>
  <c r="Z553" i="22"/>
  <c r="E553" i="22" s="1"/>
  <c r="F553" i="22" s="1"/>
  <c r="C553" i="22"/>
  <c r="AL598" i="22"/>
  <c r="M598" i="22" s="1"/>
  <c r="N598" i="22" s="1"/>
  <c r="AF598" i="22"/>
  <c r="I598" i="22" s="1"/>
  <c r="J598" i="22" s="1"/>
  <c r="Z598" i="22"/>
  <c r="E598" i="22" s="1"/>
  <c r="F598" i="22" s="1"/>
  <c r="C598" i="22"/>
  <c r="AL602" i="22"/>
  <c r="M602" i="22" s="1"/>
  <c r="N602" i="22" s="1"/>
  <c r="AF602" i="22"/>
  <c r="I602" i="22" s="1"/>
  <c r="J602" i="22" s="1"/>
  <c r="Z602" i="22"/>
  <c r="E602" i="22" s="1"/>
  <c r="F602" i="22" s="1"/>
  <c r="C602" i="22"/>
  <c r="AL604" i="22"/>
  <c r="N604" i="22" s="1"/>
  <c r="AF604" i="22"/>
  <c r="J604" i="22" s="1"/>
  <c r="Z604" i="22"/>
  <c r="F604" i="22" s="1"/>
  <c r="AI612" i="22"/>
  <c r="K612" i="22" s="1"/>
  <c r="L612" i="22" s="1"/>
  <c r="AL622" i="22"/>
  <c r="M622" i="22" s="1"/>
  <c r="N622" i="22" s="1"/>
  <c r="AF622" i="22"/>
  <c r="I622" i="22" s="1"/>
  <c r="J622" i="22" s="1"/>
  <c r="Z622" i="22"/>
  <c r="E622" i="22" s="1"/>
  <c r="F622" i="22" s="1"/>
  <c r="C622" i="22"/>
  <c r="D649" i="22"/>
  <c r="D659" i="22"/>
  <c r="AL689" i="22"/>
  <c r="M689" i="22" s="1"/>
  <c r="N689" i="22" s="1"/>
  <c r="AF689" i="22"/>
  <c r="I689" i="22" s="1"/>
  <c r="J689" i="22" s="1"/>
  <c r="Z689" i="22"/>
  <c r="E689" i="22" s="1"/>
  <c r="F689" i="22" s="1"/>
  <c r="C689" i="22"/>
  <c r="AI689" i="22"/>
  <c r="K689" i="22" s="1"/>
  <c r="L689" i="22" s="1"/>
  <c r="AL707" i="22"/>
  <c r="M707" i="22" s="1"/>
  <c r="N707" i="22" s="1"/>
  <c r="AF707" i="22"/>
  <c r="I707" i="22" s="1"/>
  <c r="J707" i="22" s="1"/>
  <c r="Z707" i="22"/>
  <c r="E707" i="22" s="1"/>
  <c r="F707" i="22" s="1"/>
  <c r="AI707" i="22"/>
  <c r="K707" i="22" s="1"/>
  <c r="L707" i="22" s="1"/>
  <c r="C707" i="22"/>
  <c r="K753" i="22"/>
  <c r="L753" i="22" s="1"/>
  <c r="AL783" i="22"/>
  <c r="M783" i="22" s="1"/>
  <c r="N783" i="22" s="1"/>
  <c r="AF783" i="22"/>
  <c r="I783" i="22" s="1"/>
  <c r="J783" i="22" s="1"/>
  <c r="Z783" i="22"/>
  <c r="E783" i="22" s="1"/>
  <c r="F783" i="22" s="1"/>
  <c r="AI783" i="22"/>
  <c r="K783" i="22" s="1"/>
  <c r="L783" i="22" s="1"/>
  <c r="C783" i="22"/>
  <c r="K795" i="22"/>
  <c r="L795" i="22" s="1"/>
  <c r="AL799" i="22"/>
  <c r="M799" i="22" s="1"/>
  <c r="N799" i="22" s="1"/>
  <c r="AF799" i="22"/>
  <c r="I799" i="22" s="1"/>
  <c r="J799" i="22" s="1"/>
  <c r="Z799" i="22"/>
  <c r="E799" i="22" s="1"/>
  <c r="F799" i="22" s="1"/>
  <c r="AI799" i="22"/>
  <c r="K799" i="22" s="1"/>
  <c r="L799" i="22" s="1"/>
  <c r="C799" i="22"/>
  <c r="K832" i="22"/>
  <c r="L832" i="22" s="1"/>
  <c r="AL838" i="22"/>
  <c r="M838" i="22" s="1"/>
  <c r="N838" i="22" s="1"/>
  <c r="AF838" i="22"/>
  <c r="I838" i="22" s="1"/>
  <c r="J838" i="22" s="1"/>
  <c r="Z838" i="22"/>
  <c r="E838" i="22" s="1"/>
  <c r="F838" i="22" s="1"/>
  <c r="AI838" i="22"/>
  <c r="K838" i="22" s="1"/>
  <c r="L838" i="22" s="1"/>
  <c r="C838" i="22"/>
  <c r="C859" i="22"/>
  <c r="C900" i="22"/>
  <c r="AL900" i="22"/>
  <c r="M900" i="22" s="1"/>
  <c r="N900" i="22" s="1"/>
  <c r="AF900" i="22"/>
  <c r="I900" i="22" s="1"/>
  <c r="J900" i="22" s="1"/>
  <c r="Z900" i="22"/>
  <c r="E900" i="22" s="1"/>
  <c r="F900" i="22" s="1"/>
  <c r="AI900" i="22"/>
  <c r="K900" i="22" s="1"/>
  <c r="L900" i="22" s="1"/>
  <c r="AC900" i="22"/>
  <c r="G900" i="22" s="1"/>
  <c r="H900" i="22" s="1"/>
  <c r="C916" i="22"/>
  <c r="AL916" i="22"/>
  <c r="M916" i="22" s="1"/>
  <c r="N916" i="22" s="1"/>
  <c r="AF916" i="22"/>
  <c r="I916" i="22" s="1"/>
  <c r="J916" i="22" s="1"/>
  <c r="Z916" i="22"/>
  <c r="E916" i="22" s="1"/>
  <c r="F916" i="22" s="1"/>
  <c r="AI916" i="22"/>
  <c r="K916" i="22" s="1"/>
  <c r="L916" i="22" s="1"/>
  <c r="AC916" i="22"/>
  <c r="G916" i="22" s="1"/>
  <c r="H916" i="22" s="1"/>
  <c r="AL35" i="23"/>
  <c r="M35" i="23" s="1"/>
  <c r="N35" i="23" s="1"/>
  <c r="AF35" i="23"/>
  <c r="I35" i="23" s="1"/>
  <c r="J35" i="23" s="1"/>
  <c r="Z35" i="23"/>
  <c r="E35" i="23" s="1"/>
  <c r="F35" i="23" s="1"/>
  <c r="C35" i="23"/>
  <c r="AI35" i="23"/>
  <c r="K35" i="23" s="1"/>
  <c r="L35" i="23" s="1"/>
  <c r="F600" i="22"/>
  <c r="AL645" i="22"/>
  <c r="M645" i="22" s="1"/>
  <c r="N645" i="22" s="1"/>
  <c r="AF645" i="22"/>
  <c r="I645" i="22" s="1"/>
  <c r="J645" i="22" s="1"/>
  <c r="Z645" i="22"/>
  <c r="E645" i="22" s="1"/>
  <c r="F645" i="22" s="1"/>
  <c r="C645" i="22"/>
  <c r="AL791" i="22"/>
  <c r="M791" i="22" s="1"/>
  <c r="N791" i="22" s="1"/>
  <c r="AF791" i="22"/>
  <c r="I791" i="22" s="1"/>
  <c r="J791" i="22" s="1"/>
  <c r="Z791" i="22"/>
  <c r="E791" i="22" s="1"/>
  <c r="F791" i="22" s="1"/>
  <c r="AI791" i="22"/>
  <c r="K791" i="22" s="1"/>
  <c r="L791" i="22" s="1"/>
  <c r="C791" i="22"/>
  <c r="AL914" i="22"/>
  <c r="M914" i="22" s="1"/>
  <c r="N914" i="22" s="1"/>
  <c r="AF914" i="22"/>
  <c r="I914" i="22" s="1"/>
  <c r="J914" i="22" s="1"/>
  <c r="Z914" i="22"/>
  <c r="E914" i="22" s="1"/>
  <c r="F914" i="22" s="1"/>
  <c r="AC914" i="22"/>
  <c r="G914" i="22" s="1"/>
  <c r="H914" i="22" s="1"/>
  <c r="AI914" i="22"/>
  <c r="K914" i="22" s="1"/>
  <c r="L914" i="22" s="1"/>
  <c r="AC31" i="22"/>
  <c r="G31" i="22" s="1"/>
  <c r="H31" i="22" s="1"/>
  <c r="AI31" i="22"/>
  <c r="K31" i="22" s="1"/>
  <c r="L31" i="22" s="1"/>
  <c r="AC67" i="22"/>
  <c r="G67" i="22" s="1"/>
  <c r="H67" i="22" s="1"/>
  <c r="AI73" i="22"/>
  <c r="K73" i="22" s="1"/>
  <c r="L73" i="22" s="1"/>
  <c r="AI87" i="22"/>
  <c r="K87" i="22" s="1"/>
  <c r="L87" i="22" s="1"/>
  <c r="AI105" i="22"/>
  <c r="K105" i="22" s="1"/>
  <c r="L105" i="22" s="1"/>
  <c r="AG109" i="22"/>
  <c r="I109" i="22" s="1"/>
  <c r="J109" i="22" s="1"/>
  <c r="AI115" i="22"/>
  <c r="K115" i="22" s="1"/>
  <c r="L115" i="22" s="1"/>
  <c r="AI143" i="22"/>
  <c r="K143" i="22" s="1"/>
  <c r="L143" i="22" s="1"/>
  <c r="AI147" i="22"/>
  <c r="K147" i="22" s="1"/>
  <c r="L147" i="22" s="1"/>
  <c r="AC151" i="22"/>
  <c r="G151" i="22" s="1"/>
  <c r="H151" i="22" s="1"/>
  <c r="AC155" i="22"/>
  <c r="G155" i="22" s="1"/>
  <c r="H155" i="22" s="1"/>
  <c r="AI159" i="22"/>
  <c r="K159" i="22" s="1"/>
  <c r="L159" i="22" s="1"/>
  <c r="AC163" i="22"/>
  <c r="G163" i="22" s="1"/>
  <c r="H163" i="22" s="1"/>
  <c r="AC169" i="22"/>
  <c r="G169" i="22" s="1"/>
  <c r="H169" i="22" s="1"/>
  <c r="AL195" i="22"/>
  <c r="M195" i="22" s="1"/>
  <c r="N195" i="22" s="1"/>
  <c r="AF195" i="22"/>
  <c r="I195" i="22" s="1"/>
  <c r="J195" i="22" s="1"/>
  <c r="Z195" i="22"/>
  <c r="E195" i="22" s="1"/>
  <c r="F195" i="22" s="1"/>
  <c r="C195" i="22"/>
  <c r="AF253" i="22"/>
  <c r="I253" i="22" s="1"/>
  <c r="J253" i="22" s="1"/>
  <c r="AL263" i="22"/>
  <c r="AF263" i="22"/>
  <c r="I263" i="22" s="1"/>
  <c r="J263" i="22" s="1"/>
  <c r="Z263" i="22"/>
  <c r="E263" i="22" s="1"/>
  <c r="F263" i="22" s="1"/>
  <c r="AI285" i="22"/>
  <c r="AC285" i="22"/>
  <c r="AI289" i="22"/>
  <c r="K289" i="22" s="1"/>
  <c r="L289" i="22" s="1"/>
  <c r="AC289" i="22"/>
  <c r="C289" i="22"/>
  <c r="AL327" i="22"/>
  <c r="M327" i="22" s="1"/>
  <c r="N327" i="22" s="1"/>
  <c r="AF327" i="22"/>
  <c r="Z327" i="22"/>
  <c r="AL329" i="22"/>
  <c r="M329" i="22" s="1"/>
  <c r="N329" i="22" s="1"/>
  <c r="AF329" i="22"/>
  <c r="Z329" i="22"/>
  <c r="AL331" i="22"/>
  <c r="M331" i="22" s="1"/>
  <c r="N331" i="22" s="1"/>
  <c r="AF331" i="22"/>
  <c r="Z331" i="22"/>
  <c r="AI435" i="22"/>
  <c r="K435" i="22" s="1"/>
  <c r="L435" i="22" s="1"/>
  <c r="AC435" i="22"/>
  <c r="G435" i="22" s="1"/>
  <c r="H435" i="22" s="1"/>
  <c r="AL549" i="22"/>
  <c r="M549" i="22" s="1"/>
  <c r="N549" i="22" s="1"/>
  <c r="AF549" i="22"/>
  <c r="I549" i="22" s="1"/>
  <c r="J549" i="22" s="1"/>
  <c r="Z549" i="22"/>
  <c r="E549" i="22" s="1"/>
  <c r="F549" i="22" s="1"/>
  <c r="C549" i="22"/>
  <c r="AL616" i="22"/>
  <c r="M616" i="22" s="1"/>
  <c r="N616" i="22" s="1"/>
  <c r="AF616" i="22"/>
  <c r="I616" i="22" s="1"/>
  <c r="J616" i="22" s="1"/>
  <c r="Z616" i="22"/>
  <c r="E616" i="22" s="1"/>
  <c r="F616" i="22" s="1"/>
  <c r="C616" i="22"/>
  <c r="AL657" i="22"/>
  <c r="M657" i="22" s="1"/>
  <c r="N657" i="22" s="1"/>
  <c r="AF657" i="22"/>
  <c r="I657" i="22" s="1"/>
  <c r="J657" i="22" s="1"/>
  <c r="Z657" i="22"/>
  <c r="E657" i="22" s="1"/>
  <c r="F657" i="22" s="1"/>
  <c r="C657" i="22"/>
  <c r="AL691" i="22"/>
  <c r="M691" i="22" s="1"/>
  <c r="N691" i="22" s="1"/>
  <c r="AF691" i="22"/>
  <c r="I691" i="22" s="1"/>
  <c r="J691" i="22" s="1"/>
  <c r="Z691" i="22"/>
  <c r="E691" i="22" s="1"/>
  <c r="F691" i="22" s="1"/>
  <c r="C691" i="22"/>
  <c r="AI691" i="22"/>
  <c r="K691" i="22" s="1"/>
  <c r="L691" i="22" s="1"/>
  <c r="AL699" i="22"/>
  <c r="N699" i="22" s="1"/>
  <c r="AF699" i="22"/>
  <c r="Z699" i="22"/>
  <c r="AC699" i="22"/>
  <c r="AI699" i="22"/>
  <c r="C709" i="22"/>
  <c r="AL709" i="22"/>
  <c r="M709" i="22" s="1"/>
  <c r="N709" i="22" s="1"/>
  <c r="AF709" i="22"/>
  <c r="I709" i="22" s="1"/>
  <c r="J709" i="22" s="1"/>
  <c r="Z709" i="22"/>
  <c r="E709" i="22" s="1"/>
  <c r="F709" i="22" s="1"/>
  <c r="AI709" i="22"/>
  <c r="K709" i="22" s="1"/>
  <c r="L709" i="22" s="1"/>
  <c r="K711" i="22"/>
  <c r="L711" i="22" s="1"/>
  <c r="D739" i="22"/>
  <c r="AL747" i="22"/>
  <c r="M747" i="22" s="1"/>
  <c r="N747" i="22" s="1"/>
  <c r="AF747" i="22"/>
  <c r="I747" i="22" s="1"/>
  <c r="J747" i="22" s="1"/>
  <c r="Z747" i="22"/>
  <c r="E747" i="22" s="1"/>
  <c r="F747" i="22" s="1"/>
  <c r="C747" i="22"/>
  <c r="AC747" i="22"/>
  <c r="G747" i="22" s="1"/>
  <c r="H747" i="22" s="1"/>
  <c r="AI747" i="22"/>
  <c r="K747" i="22" s="1"/>
  <c r="L747" i="22" s="1"/>
  <c r="C789" i="22"/>
  <c r="AL789" i="22"/>
  <c r="M789" i="22" s="1"/>
  <c r="N789" i="22" s="1"/>
  <c r="AF789" i="22"/>
  <c r="I789" i="22" s="1"/>
  <c r="J789" i="22" s="1"/>
  <c r="Z789" i="22"/>
  <c r="E789" i="22" s="1"/>
  <c r="F789" i="22" s="1"/>
  <c r="AI789" i="22"/>
  <c r="K789" i="22" s="1"/>
  <c r="L789" i="22" s="1"/>
  <c r="AL875" i="22"/>
  <c r="M875" i="22" s="1"/>
  <c r="N875" i="22" s="1"/>
  <c r="AF875" i="22"/>
  <c r="I875" i="22" s="1"/>
  <c r="J875" i="22" s="1"/>
  <c r="Z875" i="22"/>
  <c r="E875" i="22" s="1"/>
  <c r="F875" i="22" s="1"/>
  <c r="AC875" i="22"/>
  <c r="G875" i="22" s="1"/>
  <c r="H875" i="22" s="1"/>
  <c r="AI875" i="22"/>
  <c r="K875" i="22" s="1"/>
  <c r="L875" i="22" s="1"/>
  <c r="AC29" i="22"/>
  <c r="G29" i="22" s="1"/>
  <c r="H29" i="22" s="1"/>
  <c r="C31" i="22"/>
  <c r="Z31" i="22"/>
  <c r="E31" i="22" s="1"/>
  <c r="F31" i="22" s="1"/>
  <c r="AF31" i="22"/>
  <c r="I31" i="22" s="1"/>
  <c r="J31" i="22" s="1"/>
  <c r="AA63" i="22"/>
  <c r="AG63" i="22"/>
  <c r="AC65" i="22"/>
  <c r="G65" i="22" s="1"/>
  <c r="H65" i="22" s="1"/>
  <c r="C67" i="22"/>
  <c r="Z67" i="22"/>
  <c r="E67" i="22" s="1"/>
  <c r="F67" i="22" s="1"/>
  <c r="AF67" i="22"/>
  <c r="I67" i="22" s="1"/>
  <c r="J67" i="22" s="1"/>
  <c r="AC71" i="22"/>
  <c r="G71" i="22" s="1"/>
  <c r="H71" i="22" s="1"/>
  <c r="C73" i="22"/>
  <c r="Z73" i="22"/>
  <c r="E73" i="22" s="1"/>
  <c r="F73" i="22" s="1"/>
  <c r="AF73" i="22"/>
  <c r="I73" i="22" s="1"/>
  <c r="J73" i="22" s="1"/>
  <c r="AC85" i="22"/>
  <c r="G85" i="22" s="1"/>
  <c r="H85" i="22" s="1"/>
  <c r="C87" i="22"/>
  <c r="Z87" i="22"/>
  <c r="E87" i="22" s="1"/>
  <c r="F87" i="22" s="1"/>
  <c r="AF87" i="22"/>
  <c r="I87" i="22" s="1"/>
  <c r="J87" i="22" s="1"/>
  <c r="C105" i="22"/>
  <c r="Z105" i="22"/>
  <c r="E105" i="22" s="1"/>
  <c r="F105" i="22" s="1"/>
  <c r="AF105" i="22"/>
  <c r="I105" i="22" s="1"/>
  <c r="J105" i="22" s="1"/>
  <c r="AC107" i="22"/>
  <c r="G107" i="22" s="1"/>
  <c r="H107" i="22" s="1"/>
  <c r="X109" i="22"/>
  <c r="C109" i="22" s="1"/>
  <c r="AD109" i="22"/>
  <c r="C115" i="22"/>
  <c r="Z115" i="22"/>
  <c r="E115" i="22" s="1"/>
  <c r="F115" i="22" s="1"/>
  <c r="AF115" i="22"/>
  <c r="I115" i="22" s="1"/>
  <c r="J115" i="22" s="1"/>
  <c r="AA117" i="22"/>
  <c r="AG117" i="22"/>
  <c r="C143" i="22"/>
  <c r="Z143" i="22"/>
  <c r="E143" i="22" s="1"/>
  <c r="F143" i="22" s="1"/>
  <c r="AF143" i="22"/>
  <c r="I143" i="22" s="1"/>
  <c r="J143" i="22" s="1"/>
  <c r="AC145" i="22"/>
  <c r="G145" i="22" s="1"/>
  <c r="H145" i="22" s="1"/>
  <c r="C147" i="22"/>
  <c r="Z147" i="22"/>
  <c r="E147" i="22" s="1"/>
  <c r="F147" i="22" s="1"/>
  <c r="AF147" i="22"/>
  <c r="I147" i="22" s="1"/>
  <c r="J147" i="22" s="1"/>
  <c r="AC149" i="22"/>
  <c r="G149" i="22" s="1"/>
  <c r="H149" i="22" s="1"/>
  <c r="C151" i="22"/>
  <c r="Z151" i="22"/>
  <c r="E151" i="22" s="1"/>
  <c r="F151" i="22" s="1"/>
  <c r="AF151" i="22"/>
  <c r="I151" i="22" s="1"/>
  <c r="J151" i="22" s="1"/>
  <c r="AC153" i="22"/>
  <c r="G153" i="22" s="1"/>
  <c r="H153" i="22" s="1"/>
  <c r="C155" i="22"/>
  <c r="Z155" i="22"/>
  <c r="E155" i="22" s="1"/>
  <c r="F155" i="22" s="1"/>
  <c r="AF155" i="22"/>
  <c r="I155" i="22" s="1"/>
  <c r="J155" i="22" s="1"/>
  <c r="AC157" i="22"/>
  <c r="G157" i="22" s="1"/>
  <c r="H157" i="22" s="1"/>
  <c r="C159" i="22"/>
  <c r="Z159" i="22"/>
  <c r="E159" i="22" s="1"/>
  <c r="F159" i="22" s="1"/>
  <c r="AF159" i="22"/>
  <c r="I159" i="22" s="1"/>
  <c r="J159" i="22" s="1"/>
  <c r="AC161" i="22"/>
  <c r="G161" i="22" s="1"/>
  <c r="H161" i="22" s="1"/>
  <c r="C163" i="22"/>
  <c r="Z163" i="22"/>
  <c r="E163" i="22" s="1"/>
  <c r="F163" i="22" s="1"/>
  <c r="AF163" i="22"/>
  <c r="I163" i="22" s="1"/>
  <c r="J163" i="22" s="1"/>
  <c r="Z169" i="22"/>
  <c r="E169" i="22" s="1"/>
  <c r="F169" i="22" s="1"/>
  <c r="AF169" i="22"/>
  <c r="I169" i="22" s="1"/>
  <c r="J169" i="22" s="1"/>
  <c r="AC171" i="22"/>
  <c r="G171" i="22" s="1"/>
  <c r="H171" i="22" s="1"/>
  <c r="AI195" i="22"/>
  <c r="K195" i="22" s="1"/>
  <c r="L195" i="22" s="1"/>
  <c r="AI237" i="22"/>
  <c r="K237" i="22" s="1"/>
  <c r="L237" i="22" s="1"/>
  <c r="I241" i="22"/>
  <c r="J241" i="22" s="1"/>
  <c r="M247" i="22"/>
  <c r="N247" i="22" s="1"/>
  <c r="AI251" i="22"/>
  <c r="K251" i="22" s="1"/>
  <c r="L251" i="22" s="1"/>
  <c r="Z253" i="22"/>
  <c r="E253" i="22" s="1"/>
  <c r="F253" i="22" s="1"/>
  <c r="AL253" i="22"/>
  <c r="M253" i="22" s="1"/>
  <c r="N253" i="22" s="1"/>
  <c r="AI255" i="22"/>
  <c r="K255" i="22" s="1"/>
  <c r="L255" i="22" s="1"/>
  <c r="AC263" i="22"/>
  <c r="AJ265" i="22"/>
  <c r="AD265" i="22"/>
  <c r="X265" i="22"/>
  <c r="C265" i="22" s="1"/>
  <c r="AG265" i="22"/>
  <c r="AL281" i="22"/>
  <c r="M281" i="22" s="1"/>
  <c r="N281" i="22" s="1"/>
  <c r="AF281" i="22"/>
  <c r="Z281" i="22"/>
  <c r="AI281" i="22"/>
  <c r="Z285" i="22"/>
  <c r="E285" i="22" s="1"/>
  <c r="F285" i="22" s="1"/>
  <c r="AL285" i="22"/>
  <c r="M285" i="22" s="1"/>
  <c r="N285" i="22" s="1"/>
  <c r="AL297" i="22"/>
  <c r="M297" i="22" s="1"/>
  <c r="N297" i="22" s="1"/>
  <c r="AF297" i="22"/>
  <c r="I297" i="22" s="1"/>
  <c r="J297" i="22" s="1"/>
  <c r="Z297" i="22"/>
  <c r="E297" i="22" s="1"/>
  <c r="F297" i="22" s="1"/>
  <c r="C297" i="22"/>
  <c r="AI307" i="22"/>
  <c r="K307" i="22" s="1"/>
  <c r="L307" i="22" s="1"/>
  <c r="C327" i="22"/>
  <c r="AC327" i="22"/>
  <c r="G327" i="22" s="1"/>
  <c r="H327" i="22" s="1"/>
  <c r="AC329" i="22"/>
  <c r="C331" i="22"/>
  <c r="AC331" i="22"/>
  <c r="AI337" i="22"/>
  <c r="K337" i="22" s="1"/>
  <c r="L337" i="22" s="1"/>
  <c r="AC337" i="22"/>
  <c r="G337" i="22" s="1"/>
  <c r="H337" i="22" s="1"/>
  <c r="AF337" i="22"/>
  <c r="AI341" i="22"/>
  <c r="K341" i="22" s="1"/>
  <c r="L341" i="22" s="1"/>
  <c r="I349" i="22"/>
  <c r="J349" i="22" s="1"/>
  <c r="AI353" i="22"/>
  <c r="AI373" i="22"/>
  <c r="K373" i="22" s="1"/>
  <c r="L373" i="22" s="1"/>
  <c r="M415" i="22"/>
  <c r="N415" i="22" s="1"/>
  <c r="AL423" i="22"/>
  <c r="M423" i="22" s="1"/>
  <c r="N423" i="22" s="1"/>
  <c r="AF423" i="22"/>
  <c r="I423" i="22" s="1"/>
  <c r="J423" i="22" s="1"/>
  <c r="Z423" i="22"/>
  <c r="E423" i="22" s="1"/>
  <c r="F423" i="22" s="1"/>
  <c r="C423" i="22"/>
  <c r="Z435" i="22"/>
  <c r="E435" i="22" s="1"/>
  <c r="F435" i="22" s="1"/>
  <c r="M453" i="22"/>
  <c r="N453" i="22" s="1"/>
  <c r="AL455" i="22"/>
  <c r="M455" i="22" s="1"/>
  <c r="N455" i="22" s="1"/>
  <c r="AF455" i="22"/>
  <c r="I455" i="22" s="1"/>
  <c r="J455" i="22" s="1"/>
  <c r="Z455" i="22"/>
  <c r="E455" i="22" s="1"/>
  <c r="F455" i="22" s="1"/>
  <c r="C455" i="22"/>
  <c r="AL512" i="22"/>
  <c r="M512" i="22" s="1"/>
  <c r="N512" i="22" s="1"/>
  <c r="AF512" i="22"/>
  <c r="I512" i="22" s="1"/>
  <c r="J512" i="22" s="1"/>
  <c r="Z512" i="22"/>
  <c r="E512" i="22" s="1"/>
  <c r="F512" i="22" s="1"/>
  <c r="C512" i="22"/>
  <c r="AI549" i="22"/>
  <c r="K549" i="22" s="1"/>
  <c r="L549" i="22" s="1"/>
  <c r="AL559" i="22"/>
  <c r="M559" i="22" s="1"/>
  <c r="N559" i="22" s="1"/>
  <c r="AF559" i="22"/>
  <c r="I559" i="22" s="1"/>
  <c r="J559" i="22" s="1"/>
  <c r="Z559" i="22"/>
  <c r="E559" i="22" s="1"/>
  <c r="F559" i="22" s="1"/>
  <c r="C559" i="22"/>
  <c r="E592" i="22"/>
  <c r="F592" i="22" s="1"/>
  <c r="I600" i="22"/>
  <c r="J600" i="22" s="1"/>
  <c r="AL608" i="22"/>
  <c r="M608" i="22" s="1"/>
  <c r="N608" i="22" s="1"/>
  <c r="AF608" i="22"/>
  <c r="I608" i="22" s="1"/>
  <c r="J608" i="22" s="1"/>
  <c r="Z608" i="22"/>
  <c r="E608" i="22" s="1"/>
  <c r="F608" i="22" s="1"/>
  <c r="C608" i="22"/>
  <c r="AC612" i="22"/>
  <c r="G612" i="22" s="1"/>
  <c r="H612" i="22" s="1"/>
  <c r="AI616" i="22"/>
  <c r="K616" i="22" s="1"/>
  <c r="L616" i="22" s="1"/>
  <c r="AL637" i="22"/>
  <c r="M637" i="22" s="1"/>
  <c r="N637" i="22" s="1"/>
  <c r="AF637" i="22"/>
  <c r="I637" i="22" s="1"/>
  <c r="J637" i="22" s="1"/>
  <c r="Z637" i="22"/>
  <c r="E637" i="22" s="1"/>
  <c r="F637" i="22" s="1"/>
  <c r="C637" i="22"/>
  <c r="AC645" i="22"/>
  <c r="G645" i="22" s="1"/>
  <c r="H645" i="22" s="1"/>
  <c r="AI653" i="22"/>
  <c r="K653" i="22" s="1"/>
  <c r="L653" i="22" s="1"/>
  <c r="AI657" i="22"/>
  <c r="K657" i="22" s="1"/>
  <c r="L657" i="22" s="1"/>
  <c r="M665" i="22"/>
  <c r="N665" i="22" s="1"/>
  <c r="AL687" i="22"/>
  <c r="N687" i="22" s="1"/>
  <c r="AF687" i="22"/>
  <c r="Z687" i="22"/>
  <c r="AI687" i="22"/>
  <c r="C693" i="22"/>
  <c r="AL693" i="22"/>
  <c r="M693" i="22" s="1"/>
  <c r="N693" i="22" s="1"/>
  <c r="AF693" i="22"/>
  <c r="I693" i="22" s="1"/>
  <c r="J693" i="22" s="1"/>
  <c r="Z693" i="22"/>
  <c r="E693" i="22" s="1"/>
  <c r="F693" i="22" s="1"/>
  <c r="AC693" i="22"/>
  <c r="G693" i="22" s="1"/>
  <c r="H693" i="22" s="1"/>
  <c r="AI693" i="22"/>
  <c r="K693" i="22" s="1"/>
  <c r="L693" i="22" s="1"/>
  <c r="C705" i="22"/>
  <c r="AL705" i="22"/>
  <c r="M705" i="22" s="1"/>
  <c r="N705" i="22" s="1"/>
  <c r="AF705" i="22"/>
  <c r="I705" i="22" s="1"/>
  <c r="J705" i="22" s="1"/>
  <c r="Z705" i="22"/>
  <c r="E705" i="22" s="1"/>
  <c r="F705" i="22" s="1"/>
  <c r="AI705" i="22"/>
  <c r="K705" i="22" s="1"/>
  <c r="L705" i="22" s="1"/>
  <c r="D735" i="22"/>
  <c r="K759" i="22"/>
  <c r="L759" i="22" s="1"/>
  <c r="C781" i="22"/>
  <c r="AL781" i="22"/>
  <c r="M781" i="22" s="1"/>
  <c r="N781" i="22" s="1"/>
  <c r="AF781" i="22"/>
  <c r="I781" i="22" s="1"/>
  <c r="J781" i="22" s="1"/>
  <c r="Z781" i="22"/>
  <c r="E781" i="22" s="1"/>
  <c r="F781" i="22" s="1"/>
  <c r="AI781" i="22"/>
  <c r="K781" i="22" s="1"/>
  <c r="L781" i="22" s="1"/>
  <c r="AC791" i="22"/>
  <c r="G791" i="22" s="1"/>
  <c r="H791" i="22" s="1"/>
  <c r="C797" i="22"/>
  <c r="AL797" i="22"/>
  <c r="M797" i="22" s="1"/>
  <c r="N797" i="22" s="1"/>
  <c r="AF797" i="22"/>
  <c r="I797" i="22" s="1"/>
  <c r="J797" i="22" s="1"/>
  <c r="Z797" i="22"/>
  <c r="E797" i="22" s="1"/>
  <c r="F797" i="22" s="1"/>
  <c r="AI797" i="22"/>
  <c r="K797" i="22" s="1"/>
  <c r="L797" i="22" s="1"/>
  <c r="AC826" i="22"/>
  <c r="G826" i="22" s="1"/>
  <c r="H826" i="22" s="1"/>
  <c r="C834" i="22"/>
  <c r="AL834" i="22"/>
  <c r="M834" i="22" s="1"/>
  <c r="N834" i="22" s="1"/>
  <c r="AF834" i="22"/>
  <c r="I834" i="22" s="1"/>
  <c r="J834" i="22" s="1"/>
  <c r="Z834" i="22"/>
  <c r="E834" i="22" s="1"/>
  <c r="F834" i="22" s="1"/>
  <c r="AI834" i="22"/>
  <c r="K834" i="22" s="1"/>
  <c r="L834" i="22" s="1"/>
  <c r="AL867" i="22"/>
  <c r="M867" i="22" s="1"/>
  <c r="N867" i="22" s="1"/>
  <c r="AF867" i="22"/>
  <c r="I867" i="22" s="1"/>
  <c r="J867" i="22" s="1"/>
  <c r="Z867" i="22"/>
  <c r="E867" i="22" s="1"/>
  <c r="F867" i="22" s="1"/>
  <c r="AC867" i="22"/>
  <c r="G867" i="22" s="1"/>
  <c r="H867" i="22" s="1"/>
  <c r="AI867" i="22"/>
  <c r="K867" i="22" s="1"/>
  <c r="L867" i="22" s="1"/>
  <c r="C869" i="22"/>
  <c r="AL869" i="22"/>
  <c r="M869" i="22" s="1"/>
  <c r="N869" i="22" s="1"/>
  <c r="AF869" i="22"/>
  <c r="I869" i="22" s="1"/>
  <c r="J869" i="22" s="1"/>
  <c r="Z869" i="22"/>
  <c r="E869" i="22" s="1"/>
  <c r="F869" i="22" s="1"/>
  <c r="AI869" i="22"/>
  <c r="K869" i="22" s="1"/>
  <c r="L869" i="22" s="1"/>
  <c r="C898" i="22"/>
  <c r="C914" i="22"/>
  <c r="AC241" i="22"/>
  <c r="G241" i="22" s="1"/>
  <c r="H241" i="22" s="1"/>
  <c r="AC247" i="22"/>
  <c r="G247" i="22" s="1"/>
  <c r="H247" i="22" s="1"/>
  <c r="AA289" i="22"/>
  <c r="E289" i="22" s="1"/>
  <c r="F289" i="22" s="1"/>
  <c r="AG289" i="22"/>
  <c r="I289" i="22" s="1"/>
  <c r="J289" i="22" s="1"/>
  <c r="AC333" i="22"/>
  <c r="G333" i="22" s="1"/>
  <c r="AC349" i="22"/>
  <c r="G349" i="22" s="1"/>
  <c r="H349" i="22" s="1"/>
  <c r="AC355" i="22"/>
  <c r="AC415" i="22"/>
  <c r="G415" i="22" s="1"/>
  <c r="H415" i="22" s="1"/>
  <c r="AC427" i="22"/>
  <c r="G427" i="22" s="1"/>
  <c r="H427" i="22" s="1"/>
  <c r="AC453" i="22"/>
  <c r="G453" i="22" s="1"/>
  <c r="H453" i="22" s="1"/>
  <c r="AC457" i="22"/>
  <c r="G457" i="22" s="1"/>
  <c r="H457" i="22" s="1"/>
  <c r="AC463" i="22"/>
  <c r="G463" i="22" s="1"/>
  <c r="H463" i="22" s="1"/>
  <c r="AC588" i="22"/>
  <c r="G588" i="22" s="1"/>
  <c r="H588" i="22" s="1"/>
  <c r="AC592" i="22"/>
  <c r="G592" i="22" s="1"/>
  <c r="H592" i="22" s="1"/>
  <c r="AC600" i="22"/>
  <c r="G600" i="22" s="1"/>
  <c r="H600" i="22" s="1"/>
  <c r="AC643" i="22"/>
  <c r="G643" i="22" s="1"/>
  <c r="H643" i="22" s="1"/>
  <c r="AC649" i="22"/>
  <c r="G649" i="22" s="1"/>
  <c r="H649" i="22" s="1"/>
  <c r="AC665" i="22"/>
  <c r="G665" i="22" s="1"/>
  <c r="H665" i="22" s="1"/>
  <c r="D667" i="22"/>
  <c r="AL713" i="22"/>
  <c r="M713" i="22" s="1"/>
  <c r="N713" i="22" s="1"/>
  <c r="AF713" i="22"/>
  <c r="I713" i="22" s="1"/>
  <c r="J713" i="22" s="1"/>
  <c r="Z713" i="22"/>
  <c r="E713" i="22" s="1"/>
  <c r="F713" i="22" s="1"/>
  <c r="C713" i="22"/>
  <c r="AL757" i="22"/>
  <c r="M757" i="22" s="1"/>
  <c r="N757" i="22" s="1"/>
  <c r="AF757" i="22"/>
  <c r="I757" i="22" s="1"/>
  <c r="J757" i="22" s="1"/>
  <c r="Z757" i="22"/>
  <c r="E757" i="22" s="1"/>
  <c r="F757" i="22" s="1"/>
  <c r="C757" i="22"/>
  <c r="D787" i="22"/>
  <c r="D805" i="22"/>
  <c r="D832" i="22"/>
  <c r="K863" i="22"/>
  <c r="L863" i="22" s="1"/>
  <c r="K871" i="22"/>
  <c r="L871" i="22" s="1"/>
  <c r="AL906" i="22"/>
  <c r="M906" i="22" s="1"/>
  <c r="N906" i="22" s="1"/>
  <c r="AF906" i="22"/>
  <c r="I906" i="22" s="1"/>
  <c r="J906" i="22" s="1"/>
  <c r="Z906" i="22"/>
  <c r="E906" i="22" s="1"/>
  <c r="F906" i="22" s="1"/>
  <c r="AC906" i="22"/>
  <c r="G906" i="22" s="1"/>
  <c r="H906" i="22" s="1"/>
  <c r="AI906" i="22"/>
  <c r="K906" i="22" s="1"/>
  <c r="L906" i="22" s="1"/>
  <c r="C908" i="22"/>
  <c r="AL908" i="22"/>
  <c r="M908" i="22" s="1"/>
  <c r="N908" i="22" s="1"/>
  <c r="AF908" i="22"/>
  <c r="I908" i="22" s="1"/>
  <c r="J908" i="22" s="1"/>
  <c r="Z908" i="22"/>
  <c r="E908" i="22" s="1"/>
  <c r="F908" i="22" s="1"/>
  <c r="AI908" i="22"/>
  <c r="K908" i="22" s="1"/>
  <c r="L908" i="22" s="1"/>
  <c r="C105" i="23"/>
  <c r="AL105" i="23"/>
  <c r="M105" i="23" s="1"/>
  <c r="N105" i="23" s="1"/>
  <c r="AF105" i="23"/>
  <c r="I105" i="23" s="1"/>
  <c r="J105" i="23" s="1"/>
  <c r="Z105" i="23"/>
  <c r="E105" i="23" s="1"/>
  <c r="F105" i="23" s="1"/>
  <c r="AI105" i="23"/>
  <c r="K105" i="23" s="1"/>
  <c r="L105" i="23" s="1"/>
  <c r="D112" i="23"/>
  <c r="D116" i="23"/>
  <c r="AL122" i="23"/>
  <c r="M122" i="23" s="1"/>
  <c r="N122" i="23" s="1"/>
  <c r="AF122" i="23"/>
  <c r="I122" i="23" s="1"/>
  <c r="J122" i="23" s="1"/>
  <c r="Z122" i="23"/>
  <c r="E122" i="23" s="1"/>
  <c r="F122" i="23" s="1"/>
  <c r="AC122" i="23"/>
  <c r="G122" i="23" s="1"/>
  <c r="H122" i="23" s="1"/>
  <c r="AI122" i="23"/>
  <c r="K122" i="23" s="1"/>
  <c r="L122" i="23" s="1"/>
  <c r="C122" i="23"/>
  <c r="AC189" i="22"/>
  <c r="G189" i="22" s="1"/>
  <c r="H189" i="22" s="1"/>
  <c r="AC193" i="22"/>
  <c r="G193" i="22" s="1"/>
  <c r="H193" i="22" s="1"/>
  <c r="AA281" i="22"/>
  <c r="AG281" i="22"/>
  <c r="AA291" i="22"/>
  <c r="AG291" i="22"/>
  <c r="AC295" i="22"/>
  <c r="G295" i="22" s="1"/>
  <c r="H295" i="22" s="1"/>
  <c r="AC299" i="22"/>
  <c r="G299" i="22" s="1"/>
  <c r="H299" i="22" s="1"/>
  <c r="AC305" i="22"/>
  <c r="G305" i="22" s="1"/>
  <c r="H305" i="22" s="1"/>
  <c r="AC309" i="22"/>
  <c r="G309" i="22" s="1"/>
  <c r="AA327" i="22"/>
  <c r="AG327" i="22"/>
  <c r="AA329" i="22"/>
  <c r="AG329" i="22"/>
  <c r="AA331" i="22"/>
  <c r="AG331" i="22"/>
  <c r="AA345" i="22"/>
  <c r="AG345" i="22"/>
  <c r="AC377" i="22"/>
  <c r="G377" i="22" s="1"/>
  <c r="AC385" i="22"/>
  <c r="G385" i="22" s="1"/>
  <c r="H385" i="22" s="1"/>
  <c r="AC504" i="22"/>
  <c r="G504" i="22" s="1"/>
  <c r="AC510" i="22"/>
  <c r="G510" i="22" s="1"/>
  <c r="H510" i="22" s="1"/>
  <c r="AC516" i="22"/>
  <c r="G516" i="22" s="1"/>
  <c r="H516" i="22" s="1"/>
  <c r="AC545" i="22"/>
  <c r="G545" i="22" s="1"/>
  <c r="H545" i="22" s="1"/>
  <c r="AC551" i="22"/>
  <c r="G551" i="22" s="1"/>
  <c r="AC557" i="22"/>
  <c r="G557" i="22" s="1"/>
  <c r="H557" i="22" s="1"/>
  <c r="AC561" i="22"/>
  <c r="G561" i="22" s="1"/>
  <c r="H561" i="22" s="1"/>
  <c r="AC569" i="22"/>
  <c r="AC596" i="22"/>
  <c r="G596" i="22" s="1"/>
  <c r="AC606" i="22"/>
  <c r="G606" i="22" s="1"/>
  <c r="H606" i="22" s="1"/>
  <c r="AC610" i="22"/>
  <c r="G610" i="22" s="1"/>
  <c r="H610" i="22" s="1"/>
  <c r="AC614" i="22"/>
  <c r="G614" i="22" s="1"/>
  <c r="H614" i="22" s="1"/>
  <c r="AC620" i="22"/>
  <c r="G620" i="22" s="1"/>
  <c r="AC624" i="22"/>
  <c r="G624" i="22" s="1"/>
  <c r="H624" i="22" s="1"/>
  <c r="AC659" i="22"/>
  <c r="H659" i="22" s="1"/>
  <c r="AC661" i="22"/>
  <c r="G661" i="22" s="1"/>
  <c r="H661" i="22" s="1"/>
  <c r="AC663" i="22"/>
  <c r="G663" i="22" s="1"/>
  <c r="AL733" i="22"/>
  <c r="M733" i="22" s="1"/>
  <c r="N733" i="22" s="1"/>
  <c r="AF733" i="22"/>
  <c r="I733" i="22" s="1"/>
  <c r="J733" i="22" s="1"/>
  <c r="Z733" i="22"/>
  <c r="E733" i="22" s="1"/>
  <c r="F733" i="22" s="1"/>
  <c r="C733" i="22"/>
  <c r="K735" i="22"/>
  <c r="L735" i="22" s="1"/>
  <c r="C737" i="22"/>
  <c r="AL737" i="22"/>
  <c r="M737" i="22" s="1"/>
  <c r="N737" i="22" s="1"/>
  <c r="AF737" i="22"/>
  <c r="I737" i="22" s="1"/>
  <c r="J737" i="22" s="1"/>
  <c r="Z737" i="22"/>
  <c r="E737" i="22" s="1"/>
  <c r="F737" i="22" s="1"/>
  <c r="AL739" i="22"/>
  <c r="N739" i="22" s="1"/>
  <c r="AF739" i="22"/>
  <c r="J739" i="22" s="1"/>
  <c r="Z739" i="22"/>
  <c r="F739" i="22" s="1"/>
  <c r="N741" i="22"/>
  <c r="C743" i="22"/>
  <c r="AL743" i="22"/>
  <c r="M743" i="22" s="1"/>
  <c r="N743" i="22" s="1"/>
  <c r="AF743" i="22"/>
  <c r="I743" i="22" s="1"/>
  <c r="J743" i="22" s="1"/>
  <c r="Z743" i="22"/>
  <c r="E743" i="22" s="1"/>
  <c r="F743" i="22" s="1"/>
  <c r="E763" i="22"/>
  <c r="F763" i="22" s="1"/>
  <c r="E785" i="22"/>
  <c r="E801" i="22"/>
  <c r="E828" i="22"/>
  <c r="D863" i="22"/>
  <c r="E865" i="22"/>
  <c r="D871" i="22"/>
  <c r="C906" i="22"/>
  <c r="D933" i="22"/>
  <c r="C29" i="23"/>
  <c r="AL29" i="23"/>
  <c r="M29" i="23" s="1"/>
  <c r="N29" i="23" s="1"/>
  <c r="AF29" i="23"/>
  <c r="I29" i="23" s="1"/>
  <c r="J29" i="23" s="1"/>
  <c r="Z29" i="23"/>
  <c r="E29" i="23" s="1"/>
  <c r="F29" i="23" s="1"/>
  <c r="AC29" i="23"/>
  <c r="G29" i="23" s="1"/>
  <c r="H29" i="23" s="1"/>
  <c r="AI29" i="23"/>
  <c r="K29" i="23" s="1"/>
  <c r="L29" i="23" s="1"/>
  <c r="D119" i="23"/>
  <c r="AC685" i="22"/>
  <c r="G685" i="22" s="1"/>
  <c r="H685" i="22" s="1"/>
  <c r="AC695" i="22"/>
  <c r="G695" i="22" s="1"/>
  <c r="H695" i="22" s="1"/>
  <c r="AC701" i="22"/>
  <c r="G701" i="22" s="1"/>
  <c r="H701" i="22" s="1"/>
  <c r="AC741" i="22"/>
  <c r="AC745" i="22"/>
  <c r="G745" i="22" s="1"/>
  <c r="H745" i="22" s="1"/>
  <c r="AC751" i="22"/>
  <c r="G751" i="22" s="1"/>
  <c r="H751" i="22" s="1"/>
  <c r="AC763" i="22"/>
  <c r="G763" i="22" s="1"/>
  <c r="H763" i="22" s="1"/>
  <c r="AC785" i="22"/>
  <c r="G785" i="22" s="1"/>
  <c r="H785" i="22" s="1"/>
  <c r="AC793" i="22"/>
  <c r="G793" i="22" s="1"/>
  <c r="H793" i="22" s="1"/>
  <c r="AC801" i="22"/>
  <c r="G801" i="22" s="1"/>
  <c r="H801" i="22" s="1"/>
  <c r="AC828" i="22"/>
  <c r="G828" i="22" s="1"/>
  <c r="H828" i="22" s="1"/>
  <c r="AC840" i="22"/>
  <c r="G840" i="22" s="1"/>
  <c r="H840" i="22" s="1"/>
  <c r="AC865" i="22"/>
  <c r="G865" i="22" s="1"/>
  <c r="H865" i="22" s="1"/>
  <c r="AC873" i="22"/>
  <c r="G873" i="22" s="1"/>
  <c r="H873" i="22" s="1"/>
  <c r="K877" i="22"/>
  <c r="L877" i="22" s="1"/>
  <c r="K902" i="22"/>
  <c r="L902" i="22" s="1"/>
  <c r="K910" i="22"/>
  <c r="L910" i="22" s="1"/>
  <c r="D25" i="23"/>
  <c r="D106" i="23"/>
  <c r="D134" i="23"/>
  <c r="D212" i="23"/>
  <c r="AL297" i="23"/>
  <c r="M297" i="23" s="1"/>
  <c r="N297" i="23" s="1"/>
  <c r="AF297" i="23"/>
  <c r="I297" i="23" s="1"/>
  <c r="J297" i="23" s="1"/>
  <c r="Z297" i="23"/>
  <c r="E297" i="23" s="1"/>
  <c r="F297" i="23" s="1"/>
  <c r="C297" i="23"/>
  <c r="AC297" i="23"/>
  <c r="G297" i="23" s="1"/>
  <c r="H297" i="23" s="1"/>
  <c r="AI297" i="23"/>
  <c r="K297" i="23" s="1"/>
  <c r="L297" i="23" s="1"/>
  <c r="C347" i="23"/>
  <c r="AL347" i="23"/>
  <c r="M347" i="23" s="1"/>
  <c r="N347" i="23" s="1"/>
  <c r="AF347" i="23"/>
  <c r="I347" i="23" s="1"/>
  <c r="J347" i="23" s="1"/>
  <c r="Z347" i="23"/>
  <c r="E347" i="23" s="1"/>
  <c r="F347" i="23" s="1"/>
  <c r="AC347" i="23"/>
  <c r="G347" i="23" s="1"/>
  <c r="H347" i="23" s="1"/>
  <c r="AI347" i="23"/>
  <c r="K347" i="23" s="1"/>
  <c r="L347" i="23" s="1"/>
  <c r="AC667" i="22"/>
  <c r="G667" i="22" s="1"/>
  <c r="H667" i="22" s="1"/>
  <c r="AC703" i="22"/>
  <c r="G703" i="22" s="1"/>
  <c r="H703" i="22" s="1"/>
  <c r="AC711" i="22"/>
  <c r="G711" i="22" s="1"/>
  <c r="AC735" i="22"/>
  <c r="G735" i="22" s="1"/>
  <c r="H735" i="22" s="1"/>
  <c r="AC753" i="22"/>
  <c r="G753" i="22" s="1"/>
  <c r="AC759" i="22"/>
  <c r="G759" i="22" s="1"/>
  <c r="H759" i="22" s="1"/>
  <c r="AC787" i="22"/>
  <c r="G787" i="22" s="1"/>
  <c r="H787" i="22" s="1"/>
  <c r="AC795" i="22"/>
  <c r="G795" i="22" s="1"/>
  <c r="H795" i="22" s="1"/>
  <c r="AC805" i="22"/>
  <c r="G805" i="22" s="1"/>
  <c r="H805" i="22" s="1"/>
  <c r="AC832" i="22"/>
  <c r="G832" i="22" s="1"/>
  <c r="H832" i="22" s="1"/>
  <c r="AC863" i="22"/>
  <c r="G863" i="22" s="1"/>
  <c r="H863" i="22" s="1"/>
  <c r="AC871" i="22"/>
  <c r="G871" i="22" s="1"/>
  <c r="H871" i="22" s="1"/>
  <c r="D902" i="22"/>
  <c r="E904" i="22"/>
  <c r="D910" i="22"/>
  <c r="AL21" i="23"/>
  <c r="M21" i="23" s="1"/>
  <c r="N21" i="23" s="1"/>
  <c r="AF21" i="23"/>
  <c r="I21" i="23" s="1"/>
  <c r="J21" i="23" s="1"/>
  <c r="Z21" i="23"/>
  <c r="E21" i="23" s="1"/>
  <c r="F21" i="23" s="1"/>
  <c r="AC21" i="23"/>
  <c r="G21" i="23" s="1"/>
  <c r="H21" i="23" s="1"/>
  <c r="AI21" i="23"/>
  <c r="K21" i="23" s="1"/>
  <c r="L21" i="23" s="1"/>
  <c r="C21" i="23"/>
  <c r="D101" i="23"/>
  <c r="D108" i="23"/>
  <c r="AL110" i="23"/>
  <c r="M110" i="23" s="1"/>
  <c r="N110" i="23" s="1"/>
  <c r="AF110" i="23"/>
  <c r="I110" i="23" s="1"/>
  <c r="J110" i="23" s="1"/>
  <c r="Z110" i="23"/>
  <c r="E110" i="23" s="1"/>
  <c r="F110" i="23" s="1"/>
  <c r="AC110" i="23"/>
  <c r="G110" i="23" s="1"/>
  <c r="H110" i="23" s="1"/>
  <c r="AI110" i="23"/>
  <c r="K110" i="23" s="1"/>
  <c r="L110" i="23" s="1"/>
  <c r="C110" i="23"/>
  <c r="C113" i="23"/>
  <c r="AL113" i="23"/>
  <c r="M113" i="23" s="1"/>
  <c r="N113" i="23" s="1"/>
  <c r="AF113" i="23"/>
  <c r="I113" i="23" s="1"/>
  <c r="J113" i="23" s="1"/>
  <c r="Z113" i="23"/>
  <c r="E113" i="23" s="1"/>
  <c r="F113" i="23" s="1"/>
  <c r="M115" i="23"/>
  <c r="N115" i="23" s="1"/>
  <c r="M118" i="23"/>
  <c r="N118" i="23" s="1"/>
  <c r="K126" i="23"/>
  <c r="L126" i="23" s="1"/>
  <c r="D180" i="23"/>
  <c r="D255" i="23"/>
  <c r="D257" i="23"/>
  <c r="AC107" i="23"/>
  <c r="G107" i="23" s="1"/>
  <c r="H107" i="23" s="1"/>
  <c r="AI107" i="23"/>
  <c r="K107" i="23" s="1"/>
  <c r="L107" i="23" s="1"/>
  <c r="AC115" i="23"/>
  <c r="G115" i="23" s="1"/>
  <c r="H115" i="23" s="1"/>
  <c r="AI115" i="23"/>
  <c r="K115" i="23" s="1"/>
  <c r="L115" i="23" s="1"/>
  <c r="AC118" i="23"/>
  <c r="G118" i="23" s="1"/>
  <c r="H118" i="23" s="1"/>
  <c r="AI118" i="23"/>
  <c r="K118" i="23" s="1"/>
  <c r="L118" i="23" s="1"/>
  <c r="AC120" i="23"/>
  <c r="G120" i="23" s="1"/>
  <c r="H120" i="23" s="1"/>
  <c r="AI120" i="23"/>
  <c r="K120" i="23" s="1"/>
  <c r="L120" i="23" s="1"/>
  <c r="D128" i="23"/>
  <c r="AC128" i="23"/>
  <c r="G128" i="23" s="1"/>
  <c r="H128" i="23" s="1"/>
  <c r="AI128" i="23"/>
  <c r="K128" i="23" s="1"/>
  <c r="L128" i="23" s="1"/>
  <c r="D150" i="23"/>
  <c r="AC150" i="23"/>
  <c r="G150" i="23" s="1"/>
  <c r="H150" i="23" s="1"/>
  <c r="AI150" i="23"/>
  <c r="K150" i="23" s="1"/>
  <c r="L150" i="23" s="1"/>
  <c r="AL168" i="23"/>
  <c r="M168" i="23" s="1"/>
  <c r="N168" i="23" s="1"/>
  <c r="AF168" i="23"/>
  <c r="I168" i="23" s="1"/>
  <c r="J168" i="23" s="1"/>
  <c r="Z168" i="23"/>
  <c r="E168" i="23" s="1"/>
  <c r="F168" i="23" s="1"/>
  <c r="AC168" i="23"/>
  <c r="G168" i="23" s="1"/>
  <c r="H168" i="23" s="1"/>
  <c r="AI168" i="23"/>
  <c r="K168" i="23" s="1"/>
  <c r="L168" i="23" s="1"/>
  <c r="C168" i="23"/>
  <c r="D210" i="23"/>
  <c r="D220" i="23"/>
  <c r="AC896" i="22"/>
  <c r="G896" i="22" s="1"/>
  <c r="H896" i="22" s="1"/>
  <c r="AC904" i="22"/>
  <c r="G904" i="22" s="1"/>
  <c r="H904" i="22" s="1"/>
  <c r="AC912" i="22"/>
  <c r="G912" i="22" s="1"/>
  <c r="H912" i="22" s="1"/>
  <c r="AC19" i="23"/>
  <c r="G19" i="23" s="1"/>
  <c r="H19" i="23" s="1"/>
  <c r="AI19" i="23"/>
  <c r="K19" i="23" s="1"/>
  <c r="L19" i="23" s="1"/>
  <c r="AL31" i="23"/>
  <c r="M31" i="23" s="1"/>
  <c r="N31" i="23" s="1"/>
  <c r="AF31" i="23"/>
  <c r="I31" i="23" s="1"/>
  <c r="J31" i="23" s="1"/>
  <c r="Z31" i="23"/>
  <c r="E31" i="23" s="1"/>
  <c r="F31" i="23" s="1"/>
  <c r="AC60" i="23"/>
  <c r="G60" i="23" s="1"/>
  <c r="H60" i="23" s="1"/>
  <c r="AI60" i="23"/>
  <c r="K60" i="23" s="1"/>
  <c r="L60" i="23" s="1"/>
  <c r="AL106" i="23"/>
  <c r="M106" i="23" s="1"/>
  <c r="N106" i="23" s="1"/>
  <c r="AF106" i="23"/>
  <c r="I106" i="23" s="1"/>
  <c r="J106" i="23" s="1"/>
  <c r="Z106" i="23"/>
  <c r="E106" i="23" s="1"/>
  <c r="F106" i="23" s="1"/>
  <c r="AC109" i="23"/>
  <c r="G109" i="23" s="1"/>
  <c r="H109" i="23" s="1"/>
  <c r="AI109" i="23"/>
  <c r="K109" i="23" s="1"/>
  <c r="L109" i="23" s="1"/>
  <c r="D111" i="23"/>
  <c r="AL114" i="23"/>
  <c r="M114" i="23" s="1"/>
  <c r="N114" i="23" s="1"/>
  <c r="AF114" i="23"/>
  <c r="I114" i="23" s="1"/>
  <c r="J114" i="23" s="1"/>
  <c r="Z114" i="23"/>
  <c r="E114" i="23" s="1"/>
  <c r="F114" i="23" s="1"/>
  <c r="AL130" i="23"/>
  <c r="M130" i="23" s="1"/>
  <c r="N130" i="23" s="1"/>
  <c r="AF130" i="23"/>
  <c r="I130" i="23" s="1"/>
  <c r="J130" i="23" s="1"/>
  <c r="Z130" i="23"/>
  <c r="E130" i="23" s="1"/>
  <c r="F130" i="23" s="1"/>
  <c r="AC130" i="23"/>
  <c r="G130" i="23" s="1"/>
  <c r="H130" i="23" s="1"/>
  <c r="D164" i="23"/>
  <c r="D200" i="23"/>
  <c r="D208" i="23"/>
  <c r="D251" i="23"/>
  <c r="AC877" i="22"/>
  <c r="G877" i="22" s="1"/>
  <c r="H877" i="22" s="1"/>
  <c r="AC902" i="22"/>
  <c r="G902" i="22" s="1"/>
  <c r="H902" i="22" s="1"/>
  <c r="AC910" i="22"/>
  <c r="G910" i="22" s="1"/>
  <c r="H910" i="22" s="1"/>
  <c r="AC933" i="22"/>
  <c r="G933" i="22" s="1"/>
  <c r="H933" i="22" s="1"/>
  <c r="AC25" i="23"/>
  <c r="G25" i="23" s="1"/>
  <c r="H25" i="23" s="1"/>
  <c r="AC101" i="23"/>
  <c r="G101" i="23" s="1"/>
  <c r="H101" i="23" s="1"/>
  <c r="C107" i="23"/>
  <c r="Z107" i="23"/>
  <c r="E107" i="23" s="1"/>
  <c r="F107" i="23" s="1"/>
  <c r="AF107" i="23"/>
  <c r="I107" i="23" s="1"/>
  <c r="J107" i="23" s="1"/>
  <c r="AC111" i="23"/>
  <c r="G111" i="23" s="1"/>
  <c r="H111" i="23" s="1"/>
  <c r="C115" i="23"/>
  <c r="Z115" i="23"/>
  <c r="E115" i="23" s="1"/>
  <c r="F115" i="23" s="1"/>
  <c r="AF115" i="23"/>
  <c r="I115" i="23" s="1"/>
  <c r="J115" i="23" s="1"/>
  <c r="C118" i="23"/>
  <c r="Z118" i="23"/>
  <c r="E118" i="23" s="1"/>
  <c r="F118" i="23" s="1"/>
  <c r="AF118" i="23"/>
  <c r="I118" i="23" s="1"/>
  <c r="J118" i="23" s="1"/>
  <c r="Z120" i="23"/>
  <c r="E120" i="23" s="1"/>
  <c r="F120" i="23" s="1"/>
  <c r="AF120" i="23"/>
  <c r="I120" i="23" s="1"/>
  <c r="J120" i="23" s="1"/>
  <c r="AL120" i="23"/>
  <c r="M120" i="23" s="1"/>
  <c r="N120" i="23" s="1"/>
  <c r="Z128" i="23"/>
  <c r="E128" i="23" s="1"/>
  <c r="F128" i="23" s="1"/>
  <c r="AF128" i="23"/>
  <c r="I128" i="23" s="1"/>
  <c r="J128" i="23" s="1"/>
  <c r="AL128" i="23"/>
  <c r="M128" i="23" s="1"/>
  <c r="N128" i="23" s="1"/>
  <c r="AI130" i="23"/>
  <c r="K130" i="23" s="1"/>
  <c r="L130" i="23" s="1"/>
  <c r="M132" i="23"/>
  <c r="N132" i="23" s="1"/>
  <c r="Z150" i="23"/>
  <c r="E150" i="23" s="1"/>
  <c r="F150" i="23" s="1"/>
  <c r="AF150" i="23"/>
  <c r="I150" i="23" s="1"/>
  <c r="J150" i="23" s="1"/>
  <c r="AL150" i="23"/>
  <c r="M150" i="23" s="1"/>
  <c r="N150" i="23" s="1"/>
  <c r="AL152" i="23"/>
  <c r="M152" i="23" s="1"/>
  <c r="N152" i="23" s="1"/>
  <c r="AF152" i="23"/>
  <c r="I152" i="23" s="1"/>
  <c r="J152" i="23" s="1"/>
  <c r="Z152" i="23"/>
  <c r="E152" i="23" s="1"/>
  <c r="F152" i="23" s="1"/>
  <c r="AC152" i="23"/>
  <c r="G152" i="23" s="1"/>
  <c r="H152" i="23" s="1"/>
  <c r="AI152" i="23"/>
  <c r="K152" i="23" s="1"/>
  <c r="L152" i="23" s="1"/>
  <c r="C152" i="23"/>
  <c r="M162" i="23"/>
  <c r="N162" i="23" s="1"/>
  <c r="AL178" i="23"/>
  <c r="M178" i="23" s="1"/>
  <c r="N178" i="23" s="1"/>
  <c r="AF178" i="23"/>
  <c r="I178" i="23" s="1"/>
  <c r="J178" i="23" s="1"/>
  <c r="Z178" i="23"/>
  <c r="E178" i="23" s="1"/>
  <c r="F178" i="23" s="1"/>
  <c r="C178" i="23"/>
  <c r="AI202" i="23"/>
  <c r="AC202" i="23"/>
  <c r="G202" i="23" s="1"/>
  <c r="H202" i="23" s="1"/>
  <c r="Z202" i="23"/>
  <c r="AL202" i="23"/>
  <c r="M202" i="23" s="1"/>
  <c r="N202" i="23" s="1"/>
  <c r="AF202" i="23"/>
  <c r="I202" i="23" s="1"/>
  <c r="J202" i="23" s="1"/>
  <c r="C202" i="23"/>
  <c r="AL210" i="23"/>
  <c r="M210" i="23" s="1"/>
  <c r="N210" i="23" s="1"/>
  <c r="AF210" i="23"/>
  <c r="I210" i="23" s="1"/>
  <c r="J210" i="23" s="1"/>
  <c r="Z210" i="23"/>
  <c r="E210" i="23" s="1"/>
  <c r="F210" i="23" s="1"/>
  <c r="AC132" i="23"/>
  <c r="G132" i="23" s="1"/>
  <c r="H132" i="23" s="1"/>
  <c r="AI132" i="23"/>
  <c r="K132" i="23" s="1"/>
  <c r="L132" i="23" s="1"/>
  <c r="E154" i="23"/>
  <c r="I154" i="23"/>
  <c r="J154" i="23" s="1"/>
  <c r="M154" i="23"/>
  <c r="N154" i="23" s="1"/>
  <c r="AC162" i="23"/>
  <c r="G162" i="23" s="1"/>
  <c r="H162" i="23" s="1"/>
  <c r="AI162" i="23"/>
  <c r="K162" i="23" s="1"/>
  <c r="L162" i="23" s="1"/>
  <c r="E170" i="23"/>
  <c r="I170" i="23"/>
  <c r="J170" i="23" s="1"/>
  <c r="M170" i="23"/>
  <c r="N170" i="23" s="1"/>
  <c r="AL176" i="23"/>
  <c r="M176" i="23" s="1"/>
  <c r="N176" i="23" s="1"/>
  <c r="AF176" i="23"/>
  <c r="I176" i="23" s="1"/>
  <c r="J176" i="23" s="1"/>
  <c r="Z176" i="23"/>
  <c r="E176" i="23" s="1"/>
  <c r="F176" i="23" s="1"/>
  <c r="AI176" i="23"/>
  <c r="K176" i="23" s="1"/>
  <c r="L176" i="23" s="1"/>
  <c r="C176" i="23"/>
  <c r="E204" i="23"/>
  <c r="K208" i="23"/>
  <c r="L208" i="23" s="1"/>
  <c r="AL216" i="23"/>
  <c r="M216" i="23" s="1"/>
  <c r="N216" i="23" s="1"/>
  <c r="AF216" i="23"/>
  <c r="I216" i="23" s="1"/>
  <c r="J216" i="23" s="1"/>
  <c r="Z216" i="23"/>
  <c r="E216" i="23" s="1"/>
  <c r="F216" i="23" s="1"/>
  <c r="AI216" i="23"/>
  <c r="K216" i="23" s="1"/>
  <c r="L216" i="23" s="1"/>
  <c r="C216" i="23"/>
  <c r="C222" i="23"/>
  <c r="AL222" i="23"/>
  <c r="M222" i="23" s="1"/>
  <c r="N222" i="23" s="1"/>
  <c r="AF222" i="23"/>
  <c r="I222" i="23" s="1"/>
  <c r="J222" i="23" s="1"/>
  <c r="Z222" i="23"/>
  <c r="E222" i="23" s="1"/>
  <c r="F222" i="23" s="1"/>
  <c r="E226" i="23"/>
  <c r="I226" i="23"/>
  <c r="J226" i="23" s="1"/>
  <c r="M226" i="23"/>
  <c r="N226" i="23" s="1"/>
  <c r="C253" i="23"/>
  <c r="AL253" i="23"/>
  <c r="M253" i="23" s="1"/>
  <c r="N253" i="23" s="1"/>
  <c r="AF253" i="23"/>
  <c r="I253" i="23" s="1"/>
  <c r="J253" i="23" s="1"/>
  <c r="Z253" i="23"/>
  <c r="E253" i="23" s="1"/>
  <c r="F253" i="23" s="1"/>
  <c r="D259" i="23"/>
  <c r="F390" i="23"/>
  <c r="AL160" i="23"/>
  <c r="M160" i="23" s="1"/>
  <c r="N160" i="23" s="1"/>
  <c r="AF160" i="23"/>
  <c r="I160" i="23" s="1"/>
  <c r="J160" i="23" s="1"/>
  <c r="Z160" i="23"/>
  <c r="E160" i="23" s="1"/>
  <c r="F160" i="23" s="1"/>
  <c r="AC166" i="23"/>
  <c r="G166" i="23" s="1"/>
  <c r="H166" i="23" s="1"/>
  <c r="AI166" i="23"/>
  <c r="K166" i="23" s="1"/>
  <c r="L166" i="23" s="1"/>
  <c r="AC124" i="23"/>
  <c r="G124" i="23" s="1"/>
  <c r="H124" i="23" s="1"/>
  <c r="C132" i="23"/>
  <c r="Z132" i="23"/>
  <c r="E132" i="23" s="1"/>
  <c r="F132" i="23" s="1"/>
  <c r="AF132" i="23"/>
  <c r="I132" i="23" s="1"/>
  <c r="J132" i="23" s="1"/>
  <c r="AC154" i="23"/>
  <c r="G154" i="23" s="1"/>
  <c r="H154" i="23" s="1"/>
  <c r="C162" i="23"/>
  <c r="Z162" i="23"/>
  <c r="E162" i="23" s="1"/>
  <c r="F162" i="23" s="1"/>
  <c r="AF162" i="23"/>
  <c r="I162" i="23" s="1"/>
  <c r="J162" i="23" s="1"/>
  <c r="AC170" i="23"/>
  <c r="G170" i="23" s="1"/>
  <c r="H170" i="23" s="1"/>
  <c r="AC200" i="23"/>
  <c r="G200" i="23" s="1"/>
  <c r="H200" i="23" s="1"/>
  <c r="AA202" i="23"/>
  <c r="M204" i="23"/>
  <c r="N204" i="23" s="1"/>
  <c r="AI222" i="23"/>
  <c r="K222" i="23" s="1"/>
  <c r="L222" i="23" s="1"/>
  <c r="AC226" i="23"/>
  <c r="G226" i="23" s="1"/>
  <c r="H226" i="23" s="1"/>
  <c r="AL247" i="23"/>
  <c r="M247" i="23" s="1"/>
  <c r="N247" i="23" s="1"/>
  <c r="AF247" i="23"/>
  <c r="I247" i="23" s="1"/>
  <c r="J247" i="23" s="1"/>
  <c r="Z247" i="23"/>
  <c r="E247" i="23" s="1"/>
  <c r="F247" i="23" s="1"/>
  <c r="AI247" i="23"/>
  <c r="K247" i="23" s="1"/>
  <c r="L247" i="23" s="1"/>
  <c r="C247" i="23"/>
  <c r="AL249" i="23"/>
  <c r="M249" i="23" s="1"/>
  <c r="N249" i="23" s="1"/>
  <c r="AF249" i="23"/>
  <c r="I249" i="23" s="1"/>
  <c r="J249" i="23" s="1"/>
  <c r="Z249" i="23"/>
  <c r="E249" i="23" s="1"/>
  <c r="F249" i="23" s="1"/>
  <c r="C249" i="23"/>
  <c r="AI253" i="23"/>
  <c r="K253" i="23" s="1"/>
  <c r="L253" i="23" s="1"/>
  <c r="I257" i="23"/>
  <c r="J257" i="23" s="1"/>
  <c r="AL365" i="23"/>
  <c r="M365" i="23" s="1"/>
  <c r="N365" i="23" s="1"/>
  <c r="AF365" i="23"/>
  <c r="I365" i="23" s="1"/>
  <c r="J365" i="23" s="1"/>
  <c r="Z365" i="23"/>
  <c r="E365" i="23" s="1"/>
  <c r="F365" i="23" s="1"/>
  <c r="AI365" i="23"/>
  <c r="K365" i="23" s="1"/>
  <c r="L365" i="23" s="1"/>
  <c r="AC365" i="23"/>
  <c r="G365" i="23" s="1"/>
  <c r="H365" i="23" s="1"/>
  <c r="C365" i="23"/>
  <c r="AL295" i="23"/>
  <c r="M295" i="23" s="1"/>
  <c r="N295" i="23" s="1"/>
  <c r="AF295" i="23"/>
  <c r="I295" i="23" s="1"/>
  <c r="J295" i="23" s="1"/>
  <c r="Z295" i="23"/>
  <c r="E295" i="23" s="1"/>
  <c r="F295" i="23" s="1"/>
  <c r="K345" i="23"/>
  <c r="L345" i="23" s="1"/>
  <c r="AL359" i="23"/>
  <c r="M359" i="23" s="1"/>
  <c r="N359" i="23" s="1"/>
  <c r="AF359" i="23"/>
  <c r="I359" i="23" s="1"/>
  <c r="J359" i="23" s="1"/>
  <c r="Z359" i="23"/>
  <c r="E359" i="23" s="1"/>
  <c r="F359" i="23" s="1"/>
  <c r="C359" i="23"/>
  <c r="AL363" i="23"/>
  <c r="M363" i="23" s="1"/>
  <c r="N363" i="23" s="1"/>
  <c r="AF363" i="23"/>
  <c r="Z363" i="23"/>
  <c r="AI363" i="23"/>
  <c r="K363" i="23" s="1"/>
  <c r="L363" i="23" s="1"/>
  <c r="AC257" i="23"/>
  <c r="G257" i="23" s="1"/>
  <c r="H257" i="23" s="1"/>
  <c r="AL349" i="23"/>
  <c r="M349" i="23" s="1"/>
  <c r="N349" i="23" s="1"/>
  <c r="AF349" i="23"/>
  <c r="I349" i="23" s="1"/>
  <c r="J349" i="23" s="1"/>
  <c r="Z349" i="23"/>
  <c r="E349" i="23" s="1"/>
  <c r="F349" i="23" s="1"/>
  <c r="C349" i="23"/>
  <c r="AC27" i="23"/>
  <c r="G27" i="23" s="1"/>
  <c r="H27" i="23" s="1"/>
  <c r="AC54" i="23"/>
  <c r="G54" i="23" s="1"/>
  <c r="H54" i="23" s="1"/>
  <c r="AC104" i="23"/>
  <c r="G104" i="23" s="1"/>
  <c r="AC108" i="23"/>
  <c r="G108" i="23" s="1"/>
  <c r="H108" i="23" s="1"/>
  <c r="AC112" i="23"/>
  <c r="G112" i="23" s="1"/>
  <c r="H112" i="23" s="1"/>
  <c r="AC116" i="23"/>
  <c r="G116" i="23" s="1"/>
  <c r="H116" i="23" s="1"/>
  <c r="AC119" i="23"/>
  <c r="G119" i="23" s="1"/>
  <c r="H119" i="23" s="1"/>
  <c r="AC126" i="23"/>
  <c r="G126" i="23" s="1"/>
  <c r="AC134" i="23"/>
  <c r="G134" i="23" s="1"/>
  <c r="H134" i="23" s="1"/>
  <c r="AC156" i="23"/>
  <c r="G156" i="23" s="1"/>
  <c r="H156" i="23" s="1"/>
  <c r="AC164" i="23"/>
  <c r="G164" i="23" s="1"/>
  <c r="H164" i="23" s="1"/>
  <c r="AC172" i="23"/>
  <c r="G172" i="23" s="1"/>
  <c r="H172" i="23" s="1"/>
  <c r="AC174" i="23"/>
  <c r="G174" i="23" s="1"/>
  <c r="H174" i="23" s="1"/>
  <c r="AC204" i="23"/>
  <c r="G204" i="23" s="1"/>
  <c r="H204" i="23" s="1"/>
  <c r="AL208" i="23"/>
  <c r="M208" i="23" s="1"/>
  <c r="N208" i="23" s="1"/>
  <c r="AF208" i="23"/>
  <c r="I208" i="23" s="1"/>
  <c r="J208" i="23" s="1"/>
  <c r="Z208" i="23"/>
  <c r="E208" i="23" s="1"/>
  <c r="F208" i="23" s="1"/>
  <c r="C214" i="23"/>
  <c r="AC214" i="23"/>
  <c r="G214" i="23" s="1"/>
  <c r="H214" i="23" s="1"/>
  <c r="AI214" i="23"/>
  <c r="K214" i="23" s="1"/>
  <c r="L214" i="23" s="1"/>
  <c r="AL224" i="23"/>
  <c r="M224" i="23" s="1"/>
  <c r="N224" i="23" s="1"/>
  <c r="AF224" i="23"/>
  <c r="I224" i="23" s="1"/>
  <c r="J224" i="23" s="1"/>
  <c r="Z224" i="23"/>
  <c r="E224" i="23" s="1"/>
  <c r="F224" i="23" s="1"/>
  <c r="C245" i="23"/>
  <c r="AC245" i="23"/>
  <c r="G245" i="23" s="1"/>
  <c r="H245" i="23" s="1"/>
  <c r="AI245" i="23"/>
  <c r="K245" i="23" s="1"/>
  <c r="L245" i="23" s="1"/>
  <c r="AL255" i="23"/>
  <c r="M255" i="23" s="1"/>
  <c r="N255" i="23" s="1"/>
  <c r="AF255" i="23"/>
  <c r="I255" i="23" s="1"/>
  <c r="J255" i="23" s="1"/>
  <c r="Z255" i="23"/>
  <c r="E255" i="23" s="1"/>
  <c r="F255" i="23" s="1"/>
  <c r="C293" i="23"/>
  <c r="AC293" i="23"/>
  <c r="G293" i="23" s="1"/>
  <c r="H293" i="23" s="1"/>
  <c r="AI293" i="23"/>
  <c r="K293" i="23" s="1"/>
  <c r="L293" i="23" s="1"/>
  <c r="C295" i="23"/>
  <c r="AI295" i="23"/>
  <c r="K295" i="23" s="1"/>
  <c r="L295" i="23" s="1"/>
  <c r="E353" i="23"/>
  <c r="C357" i="23"/>
  <c r="AL357" i="23"/>
  <c r="M357" i="23" s="1"/>
  <c r="N357" i="23" s="1"/>
  <c r="AF357" i="23"/>
  <c r="I357" i="23" s="1"/>
  <c r="J357" i="23" s="1"/>
  <c r="Z357" i="23"/>
  <c r="E357" i="23" s="1"/>
  <c r="F357" i="23" s="1"/>
  <c r="AI359" i="23"/>
  <c r="K359" i="23" s="1"/>
  <c r="L359" i="23" s="1"/>
  <c r="AC363" i="23"/>
  <c r="G363" i="23" s="1"/>
  <c r="H363" i="23" s="1"/>
  <c r="K386" i="23"/>
  <c r="L386" i="23" s="1"/>
  <c r="K432" i="23"/>
  <c r="L432" i="23" s="1"/>
  <c r="AC180" i="23"/>
  <c r="G180" i="23" s="1"/>
  <c r="H180" i="23" s="1"/>
  <c r="AC212" i="23"/>
  <c r="G212" i="23" s="1"/>
  <c r="H212" i="23" s="1"/>
  <c r="AC220" i="23"/>
  <c r="G220" i="23" s="1"/>
  <c r="H220" i="23" s="1"/>
  <c r="AC228" i="23"/>
  <c r="G228" i="23" s="1"/>
  <c r="H228" i="23" s="1"/>
  <c r="AC251" i="23"/>
  <c r="G251" i="23" s="1"/>
  <c r="H251" i="23" s="1"/>
  <c r="AC259" i="23"/>
  <c r="G259" i="23" s="1"/>
  <c r="H259" i="23" s="1"/>
  <c r="AC299" i="23"/>
  <c r="G299" i="23" s="1"/>
  <c r="H299" i="23" s="1"/>
  <c r="AC301" i="23"/>
  <c r="AC303" i="23"/>
  <c r="D355" i="23"/>
  <c r="C345" i="23"/>
  <c r="AC353" i="23"/>
  <c r="G353" i="23" s="1"/>
  <c r="H353" i="23" s="1"/>
  <c r="C386" i="23"/>
  <c r="AL386" i="23"/>
  <c r="M386" i="23" s="1"/>
  <c r="N386" i="23" s="1"/>
  <c r="AF386" i="23"/>
  <c r="I386" i="23" s="1"/>
  <c r="J386" i="23" s="1"/>
  <c r="Z386" i="23"/>
  <c r="E386" i="23" s="1"/>
  <c r="F386" i="23" s="1"/>
  <c r="AL388" i="23"/>
  <c r="M388" i="23" s="1"/>
  <c r="N388" i="23" s="1"/>
  <c r="AF388" i="23"/>
  <c r="I388" i="23" s="1"/>
  <c r="J388" i="23" s="1"/>
  <c r="Z388" i="23"/>
  <c r="E388" i="23" s="1"/>
  <c r="F388" i="23" s="1"/>
  <c r="K392" i="23"/>
  <c r="L392" i="23" s="1"/>
  <c r="C394" i="23"/>
  <c r="AL394" i="23"/>
  <c r="M394" i="23" s="1"/>
  <c r="N394" i="23" s="1"/>
  <c r="AF394" i="23"/>
  <c r="I394" i="23" s="1"/>
  <c r="J394" i="23" s="1"/>
  <c r="Z394" i="23"/>
  <c r="E394" i="23" s="1"/>
  <c r="F394" i="23" s="1"/>
  <c r="AL396" i="23"/>
  <c r="M396" i="23" s="1"/>
  <c r="N396" i="23" s="1"/>
  <c r="AF396" i="23"/>
  <c r="I396" i="23" s="1"/>
  <c r="J396" i="23" s="1"/>
  <c r="Z396" i="23"/>
  <c r="E396" i="23" s="1"/>
  <c r="F396" i="23" s="1"/>
  <c r="K402" i="23"/>
  <c r="L402" i="23" s="1"/>
  <c r="C404" i="23"/>
  <c r="AL404" i="23"/>
  <c r="M404" i="23" s="1"/>
  <c r="N404" i="23" s="1"/>
  <c r="AF404" i="23"/>
  <c r="I404" i="23" s="1"/>
  <c r="J404" i="23" s="1"/>
  <c r="Z404" i="23"/>
  <c r="E404" i="23" s="1"/>
  <c r="F404" i="23" s="1"/>
  <c r="AL406" i="23"/>
  <c r="M406" i="23" s="1"/>
  <c r="N406" i="23" s="1"/>
  <c r="AF406" i="23"/>
  <c r="I406" i="23" s="1"/>
  <c r="J406" i="23" s="1"/>
  <c r="Z406" i="23"/>
  <c r="E406" i="23" s="1"/>
  <c r="F406" i="23" s="1"/>
  <c r="K422" i="23"/>
  <c r="L422" i="23" s="1"/>
  <c r="C424" i="23"/>
  <c r="AL424" i="23"/>
  <c r="M424" i="23" s="1"/>
  <c r="N424" i="23" s="1"/>
  <c r="AF424" i="23"/>
  <c r="I424" i="23" s="1"/>
  <c r="J424" i="23" s="1"/>
  <c r="Z424" i="23"/>
  <c r="E424" i="23" s="1"/>
  <c r="F424" i="23" s="1"/>
  <c r="AL426" i="23"/>
  <c r="M426" i="23" s="1"/>
  <c r="N426" i="23" s="1"/>
  <c r="AF426" i="23"/>
  <c r="I426" i="23" s="1"/>
  <c r="J426" i="23" s="1"/>
  <c r="Z426" i="23"/>
  <c r="E426" i="23" s="1"/>
  <c r="F426" i="23" s="1"/>
  <c r="K430" i="23"/>
  <c r="L430" i="23" s="1"/>
  <c r="C432" i="23"/>
  <c r="AL432" i="23"/>
  <c r="M432" i="23" s="1"/>
  <c r="N432" i="23" s="1"/>
  <c r="AF432" i="23"/>
  <c r="I432" i="23" s="1"/>
  <c r="J432" i="23" s="1"/>
  <c r="Z432" i="23"/>
  <c r="E432" i="23" s="1"/>
  <c r="F432" i="23" s="1"/>
  <c r="AL434" i="23"/>
  <c r="M434" i="23" s="1"/>
  <c r="N434" i="23" s="1"/>
  <c r="AF434" i="23"/>
  <c r="I434" i="23" s="1"/>
  <c r="J434" i="23" s="1"/>
  <c r="Z434" i="23"/>
  <c r="E434" i="23" s="1"/>
  <c r="F434" i="23" s="1"/>
  <c r="AC345" i="23"/>
  <c r="G345" i="23" s="1"/>
  <c r="H345" i="23" s="1"/>
  <c r="AC355" i="23"/>
  <c r="G355" i="23" s="1"/>
  <c r="H355" i="23" s="1"/>
  <c r="AA363" i="23"/>
  <c r="AG363" i="23"/>
  <c r="AC367" i="23"/>
  <c r="G367" i="23" s="1"/>
  <c r="H367" i="23" s="1"/>
  <c r="C388" i="23"/>
  <c r="I390" i="23"/>
  <c r="J390" i="23" s="1"/>
  <c r="D392" i="23"/>
  <c r="C396" i="23"/>
  <c r="I398" i="23"/>
  <c r="J398" i="23" s="1"/>
  <c r="D402" i="23"/>
  <c r="C406" i="23"/>
  <c r="I408" i="23"/>
  <c r="J408" i="23" s="1"/>
  <c r="D422" i="23"/>
  <c r="C426" i="23"/>
  <c r="I428" i="23"/>
  <c r="J428" i="23" s="1"/>
  <c r="D430" i="23"/>
  <c r="C434" i="23"/>
  <c r="I438" i="23"/>
  <c r="J438" i="23" s="1"/>
  <c r="AC390" i="23"/>
  <c r="G390" i="23" s="1"/>
  <c r="H390" i="23" s="1"/>
  <c r="AC398" i="23"/>
  <c r="G398" i="23" s="1"/>
  <c r="H398" i="23" s="1"/>
  <c r="AC408" i="23"/>
  <c r="G408" i="23" s="1"/>
  <c r="H408" i="23" s="1"/>
  <c r="AC428" i="23"/>
  <c r="G428" i="23" s="1"/>
  <c r="H428" i="23" s="1"/>
  <c r="AC438" i="23"/>
  <c r="G438" i="23" s="1"/>
  <c r="H438" i="23" s="1"/>
  <c r="AC392" i="23"/>
  <c r="G392" i="23" s="1"/>
  <c r="H392" i="23" s="1"/>
  <c r="AC402" i="23"/>
  <c r="G402" i="23" s="1"/>
  <c r="H402" i="23" s="1"/>
  <c r="AC422" i="23"/>
  <c r="G422" i="23" s="1"/>
  <c r="H422" i="23" s="1"/>
  <c r="AC430" i="23"/>
  <c r="G430" i="23" s="1"/>
  <c r="H430" i="23" s="1"/>
  <c r="O154" i="11"/>
  <c r="R154" i="11" s="1"/>
  <c r="O153" i="11"/>
  <c r="D154" i="11"/>
  <c r="O163" i="3"/>
  <c r="G33" i="3"/>
  <c r="H33" i="3" s="1"/>
  <c r="O165" i="3"/>
  <c r="H165" i="3"/>
  <c r="D163" i="3"/>
  <c r="G164" i="3"/>
  <c r="H164" i="3" s="1"/>
  <c r="O32" i="3"/>
  <c r="C164" i="3"/>
  <c r="K164" i="3"/>
  <c r="L164" i="3" s="1"/>
  <c r="I164" i="3"/>
  <c r="J164" i="3" s="1"/>
  <c r="E164" i="3"/>
  <c r="F164" i="3" s="1"/>
  <c r="D32" i="3"/>
  <c r="G329" i="22" l="1"/>
  <c r="H329" i="22" s="1"/>
  <c r="M337" i="22"/>
  <c r="N337" i="22" s="1"/>
  <c r="O166" i="3"/>
  <c r="R166" i="3" s="1"/>
  <c r="K281" i="22"/>
  <c r="L281" i="22" s="1"/>
  <c r="K202" i="23"/>
  <c r="L202" i="23" s="1"/>
  <c r="O33" i="3"/>
  <c r="R33" i="3" s="1"/>
  <c r="K291" i="22"/>
  <c r="L291" i="22" s="1"/>
  <c r="M109" i="22"/>
  <c r="N109" i="22" s="1"/>
  <c r="G291" i="22"/>
  <c r="H291" i="22" s="1"/>
  <c r="K285" i="22"/>
  <c r="L285" i="22" s="1"/>
  <c r="F172" i="23"/>
  <c r="O172" i="23"/>
  <c r="O251" i="23"/>
  <c r="O200" i="23"/>
  <c r="O108" i="23"/>
  <c r="I363" i="23"/>
  <c r="J363" i="23" s="1"/>
  <c r="O101" i="23"/>
  <c r="O367" i="23"/>
  <c r="O228" i="23"/>
  <c r="O220" i="23"/>
  <c r="O112" i="23"/>
  <c r="O299" i="23"/>
  <c r="O164" i="23"/>
  <c r="O255" i="23"/>
  <c r="O111" i="23"/>
  <c r="O119" i="23"/>
  <c r="O124" i="23"/>
  <c r="G331" i="22"/>
  <c r="H331" i="22" s="1"/>
  <c r="M263" i="22"/>
  <c r="N263" i="22" s="1"/>
  <c r="G63" i="22"/>
  <c r="H63" i="22" s="1"/>
  <c r="I337" i="22"/>
  <c r="J337" i="22" s="1"/>
  <c r="K117" i="22"/>
  <c r="L117" i="22" s="1"/>
  <c r="K63" i="22"/>
  <c r="L63" i="22" s="1"/>
  <c r="G289" i="22"/>
  <c r="H289" i="22" s="1"/>
  <c r="O113" i="22"/>
  <c r="R113" i="22" s="1"/>
  <c r="E265" i="22"/>
  <c r="F265" i="22" s="1"/>
  <c r="O305" i="22"/>
  <c r="R305" i="22" s="1"/>
  <c r="E281" i="22"/>
  <c r="F281" i="22" s="1"/>
  <c r="I329" i="22"/>
  <c r="J329" i="22" s="1"/>
  <c r="G109" i="22"/>
  <c r="H109" i="22" s="1"/>
  <c r="K253" i="22"/>
  <c r="L253" i="22" s="1"/>
  <c r="O751" i="22"/>
  <c r="R751" i="22" s="1"/>
  <c r="O588" i="22"/>
  <c r="R588" i="22" s="1"/>
  <c r="I345" i="22"/>
  <c r="J345" i="22" s="1"/>
  <c r="O149" i="22"/>
  <c r="R149" i="22" s="1"/>
  <c r="O871" i="22"/>
  <c r="O415" i="22"/>
  <c r="R415" i="22" s="1"/>
  <c r="E329" i="22"/>
  <c r="F329" i="22" s="1"/>
  <c r="O685" i="22"/>
  <c r="R685" i="22" s="1"/>
  <c r="E345" i="22"/>
  <c r="F345" i="22" s="1"/>
  <c r="O189" i="22"/>
  <c r="R189" i="22" s="1"/>
  <c r="E63" i="22"/>
  <c r="F63" i="22" s="1"/>
  <c r="O795" i="22"/>
  <c r="O516" i="22"/>
  <c r="R516" i="22" s="1"/>
  <c r="O624" i="22"/>
  <c r="R624" i="22" s="1"/>
  <c r="I291" i="22"/>
  <c r="J291" i="22" s="1"/>
  <c r="O193" i="22"/>
  <c r="R193" i="22" s="1"/>
  <c r="E117" i="22"/>
  <c r="F117" i="22" s="1"/>
  <c r="O295" i="22"/>
  <c r="R295" i="22" s="1"/>
  <c r="O561" i="22"/>
  <c r="R561" i="22" s="1"/>
  <c r="O877" i="22"/>
  <c r="O643" i="22"/>
  <c r="R643" i="22" s="1"/>
  <c r="O649" i="22"/>
  <c r="R649" i="22" s="1"/>
  <c r="E291" i="22"/>
  <c r="F291" i="22" s="1"/>
  <c r="O157" i="22"/>
  <c r="R157" i="22" s="1"/>
  <c r="D285" i="22"/>
  <c r="D265" i="22"/>
  <c r="D109" i="22"/>
  <c r="D253" i="22"/>
  <c r="D345" i="23"/>
  <c r="O345" i="23"/>
  <c r="O224" i="23"/>
  <c r="O222" i="23"/>
  <c r="D222" i="23"/>
  <c r="F170" i="23"/>
  <c r="O170" i="23"/>
  <c r="F896" i="22"/>
  <c r="O896" i="22"/>
  <c r="F793" i="22"/>
  <c r="O793" i="22"/>
  <c r="O31" i="23"/>
  <c r="O914" i="22"/>
  <c r="D914" i="22"/>
  <c r="O834" i="22"/>
  <c r="D834" i="22"/>
  <c r="D637" i="22"/>
  <c r="O637" i="22"/>
  <c r="R637" i="22" s="1"/>
  <c r="O105" i="22"/>
  <c r="R105" i="22" s="1"/>
  <c r="D105" i="22"/>
  <c r="O789" i="22"/>
  <c r="D789" i="22"/>
  <c r="D791" i="22"/>
  <c r="O791" i="22"/>
  <c r="O916" i="22"/>
  <c r="D916" i="22"/>
  <c r="D838" i="22"/>
  <c r="O838" i="22"/>
  <c r="O661" i="22"/>
  <c r="R661" i="22" s="1"/>
  <c r="O622" i="22"/>
  <c r="R622" i="22" s="1"/>
  <c r="D622" i="22"/>
  <c r="O453" i="22"/>
  <c r="R453" i="22" s="1"/>
  <c r="O251" i="22"/>
  <c r="R251" i="22" s="1"/>
  <c r="D251" i="22"/>
  <c r="O54" i="23"/>
  <c r="D57" i="22"/>
  <c r="O57" i="22"/>
  <c r="R57" i="22" s="1"/>
  <c r="O299" i="22"/>
  <c r="R299" i="22" s="1"/>
  <c r="D117" i="22"/>
  <c r="D25" i="22"/>
  <c r="O25" i="22"/>
  <c r="R25" i="22" s="1"/>
  <c r="O426" i="23"/>
  <c r="D426" i="23"/>
  <c r="O404" i="23"/>
  <c r="D404" i="23"/>
  <c r="O394" i="23"/>
  <c r="D394" i="23"/>
  <c r="O386" i="23"/>
  <c r="D386" i="23"/>
  <c r="D295" i="23"/>
  <c r="O295" i="23"/>
  <c r="O178" i="23"/>
  <c r="D178" i="23"/>
  <c r="O115" i="23"/>
  <c r="D115" i="23"/>
  <c r="D107" i="23"/>
  <c r="O107" i="23"/>
  <c r="O208" i="23"/>
  <c r="O160" i="23"/>
  <c r="O150" i="23"/>
  <c r="F904" i="22"/>
  <c r="O904" i="22"/>
  <c r="O134" i="23"/>
  <c r="O933" i="22"/>
  <c r="F840" i="22"/>
  <c r="O840" i="22"/>
  <c r="F785" i="22"/>
  <c r="O785" i="22"/>
  <c r="O832" i="22"/>
  <c r="O757" i="22"/>
  <c r="R757" i="22" s="1"/>
  <c r="D757" i="22"/>
  <c r="O687" i="22"/>
  <c r="D455" i="22"/>
  <c r="O455" i="22"/>
  <c r="R455" i="22" s="1"/>
  <c r="D337" i="22"/>
  <c r="O297" i="22"/>
  <c r="R297" i="22" s="1"/>
  <c r="D297" i="22"/>
  <c r="I281" i="22"/>
  <c r="J281" i="22" s="1"/>
  <c r="O163" i="22"/>
  <c r="R163" i="22" s="1"/>
  <c r="D163" i="22"/>
  <c r="O155" i="22"/>
  <c r="R155" i="22" s="1"/>
  <c r="D155" i="22"/>
  <c r="O147" i="22"/>
  <c r="R147" i="22" s="1"/>
  <c r="D147" i="22"/>
  <c r="O143" i="22"/>
  <c r="R143" i="22" s="1"/>
  <c r="D143" i="22"/>
  <c r="E331" i="22"/>
  <c r="F331" i="22" s="1"/>
  <c r="O195" i="22"/>
  <c r="R195" i="22" s="1"/>
  <c r="D195" i="22"/>
  <c r="O703" i="22"/>
  <c r="O689" i="22"/>
  <c r="R689" i="22" s="1"/>
  <c r="D689" i="22"/>
  <c r="O610" i="22"/>
  <c r="R610" i="22" s="1"/>
  <c r="O598" i="22"/>
  <c r="R598" i="22" s="1"/>
  <c r="D598" i="22"/>
  <c r="D341" i="22"/>
  <c r="O341" i="22"/>
  <c r="R341" i="22" s="1"/>
  <c r="O255" i="22"/>
  <c r="R255" i="22" s="1"/>
  <c r="D255" i="22"/>
  <c r="O612" i="22"/>
  <c r="R612" i="22" s="1"/>
  <c r="D612" i="22"/>
  <c r="O301" i="22"/>
  <c r="R301" i="22" s="1"/>
  <c r="D301" i="22"/>
  <c r="D111" i="22"/>
  <c r="O111" i="22"/>
  <c r="R111" i="22" s="1"/>
  <c r="O77" i="22"/>
  <c r="R77" i="22" s="1"/>
  <c r="D590" i="22"/>
  <c r="O590" i="22"/>
  <c r="R590" i="22" s="1"/>
  <c r="O173" i="22"/>
  <c r="R173" i="22" s="1"/>
  <c r="O463" i="22"/>
  <c r="R463" i="22" s="1"/>
  <c r="D19" i="22"/>
  <c r="O19" i="22"/>
  <c r="R19" i="22" s="1"/>
  <c r="O349" i="22"/>
  <c r="R349" i="22" s="1"/>
  <c r="D175" i="22"/>
  <c r="O175" i="22"/>
  <c r="R175" i="22" s="1"/>
  <c r="O171" i="22"/>
  <c r="R171" i="22" s="1"/>
  <c r="O107" i="22"/>
  <c r="R107" i="22" s="1"/>
  <c r="O430" i="23"/>
  <c r="O422" i="23"/>
  <c r="O402" i="23"/>
  <c r="O392" i="23"/>
  <c r="O355" i="23"/>
  <c r="O357" i="23"/>
  <c r="D357" i="23"/>
  <c r="O245" i="23"/>
  <c r="D245" i="23"/>
  <c r="H126" i="23"/>
  <c r="O126" i="23"/>
  <c r="O349" i="23"/>
  <c r="D349" i="23"/>
  <c r="D363" i="23"/>
  <c r="O359" i="23"/>
  <c r="D359" i="23"/>
  <c r="D365" i="23"/>
  <c r="O365" i="23"/>
  <c r="O249" i="23"/>
  <c r="D249" i="23"/>
  <c r="O247" i="23"/>
  <c r="D247" i="23"/>
  <c r="O162" i="23"/>
  <c r="D162" i="23"/>
  <c r="O132" i="23"/>
  <c r="D132" i="23"/>
  <c r="O166" i="23"/>
  <c r="O408" i="23"/>
  <c r="E202" i="23"/>
  <c r="F202" i="23" s="1"/>
  <c r="O156" i="23"/>
  <c r="O118" i="23"/>
  <c r="D118" i="23"/>
  <c r="O168" i="23"/>
  <c r="D168" i="23"/>
  <c r="O120" i="23"/>
  <c r="O257" i="23"/>
  <c r="O110" i="23"/>
  <c r="D110" i="23"/>
  <c r="F912" i="22"/>
  <c r="O912" i="22"/>
  <c r="O902" i="22"/>
  <c r="H753" i="22"/>
  <c r="O753" i="22"/>
  <c r="R753" i="22" s="1"/>
  <c r="H711" i="22"/>
  <c r="O711" i="22"/>
  <c r="R711" i="22" s="1"/>
  <c r="O906" i="22"/>
  <c r="D906" i="22"/>
  <c r="F865" i="22"/>
  <c r="O865" i="22"/>
  <c r="F828" i="22"/>
  <c r="O828" i="22"/>
  <c r="H309" i="22"/>
  <c r="O309" i="22"/>
  <c r="R309" i="22" s="1"/>
  <c r="O116" i="23"/>
  <c r="O105" i="23"/>
  <c r="D105" i="23"/>
  <c r="O713" i="22"/>
  <c r="R713" i="22" s="1"/>
  <c r="D713" i="22"/>
  <c r="O667" i="22"/>
  <c r="O27" i="23"/>
  <c r="O869" i="22"/>
  <c r="D869" i="22"/>
  <c r="O797" i="22"/>
  <c r="D797" i="22"/>
  <c r="O705" i="22"/>
  <c r="D705" i="22"/>
  <c r="O559" i="22"/>
  <c r="R559" i="22" s="1"/>
  <c r="D559" i="22"/>
  <c r="D331" i="22"/>
  <c r="D327" i="22"/>
  <c r="O115" i="22"/>
  <c r="R115" i="22" s="1"/>
  <c r="D115" i="22"/>
  <c r="O709" i="22"/>
  <c r="D709" i="22"/>
  <c r="O691" i="22"/>
  <c r="R691" i="22" s="1"/>
  <c r="D691" i="22"/>
  <c r="D657" i="22"/>
  <c r="O657" i="22"/>
  <c r="R657" i="22" s="1"/>
  <c r="O616" i="22"/>
  <c r="R616" i="22" s="1"/>
  <c r="D616" i="22"/>
  <c r="O549" i="22"/>
  <c r="R549" i="22" s="1"/>
  <c r="D549" i="22"/>
  <c r="I331" i="22"/>
  <c r="J331" i="22" s="1"/>
  <c r="O289" i="22"/>
  <c r="R289" i="22" s="1"/>
  <c r="D289" i="22"/>
  <c r="G285" i="22"/>
  <c r="H285" i="22" s="1"/>
  <c r="O900" i="22"/>
  <c r="D900" i="22"/>
  <c r="D799" i="22"/>
  <c r="O799" i="22"/>
  <c r="O763" i="22"/>
  <c r="R763" i="22" s="1"/>
  <c r="O553" i="22"/>
  <c r="R553" i="22" s="1"/>
  <c r="D553" i="22"/>
  <c r="O506" i="22"/>
  <c r="R506" i="22" s="1"/>
  <c r="D506" i="22"/>
  <c r="K265" i="22"/>
  <c r="L265" i="22" s="1"/>
  <c r="O861" i="22"/>
  <c r="D861" i="22"/>
  <c r="D653" i="22"/>
  <c r="O653" i="22"/>
  <c r="R653" i="22" s="1"/>
  <c r="O373" i="22"/>
  <c r="R373" i="22" s="1"/>
  <c r="D373" i="22"/>
  <c r="G253" i="22"/>
  <c r="H253" i="22" s="1"/>
  <c r="O438" i="23"/>
  <c r="O218" i="23"/>
  <c r="D218" i="23"/>
  <c r="O99" i="23"/>
  <c r="D99" i="23"/>
  <c r="O739" i="22"/>
  <c r="O695" i="22"/>
  <c r="O875" i="22"/>
  <c r="O510" i="22"/>
  <c r="R510" i="22" s="1"/>
  <c r="D431" i="22"/>
  <c r="O431" i="22"/>
  <c r="R431" i="22" s="1"/>
  <c r="O191" i="22"/>
  <c r="R191" i="22" s="1"/>
  <c r="D191" i="22"/>
  <c r="O121" i="22"/>
  <c r="R121" i="22" s="1"/>
  <c r="D75" i="22"/>
  <c r="O75" i="22"/>
  <c r="R75" i="22" s="1"/>
  <c r="O71" i="22"/>
  <c r="R71" i="22" s="1"/>
  <c r="O600" i="22"/>
  <c r="D125" i="22"/>
  <c r="O125" i="22"/>
  <c r="R125" i="22" s="1"/>
  <c r="D79" i="22"/>
  <c r="O79" i="22"/>
  <c r="R79" i="22" s="1"/>
  <c r="O592" i="22"/>
  <c r="R592" i="22" s="1"/>
  <c r="O457" i="22"/>
  <c r="R457" i="22" s="1"/>
  <c r="D291" i="22"/>
  <c r="O29" i="22"/>
  <c r="R29" i="22" s="1"/>
  <c r="O565" i="22"/>
  <c r="R565" i="22" s="1"/>
  <c r="D565" i="22"/>
  <c r="O435" i="22"/>
  <c r="R435" i="22" s="1"/>
  <c r="D345" i="22"/>
  <c r="O165" i="22"/>
  <c r="R165" i="22" s="1"/>
  <c r="D165" i="22"/>
  <c r="I117" i="22"/>
  <c r="J117" i="22" s="1"/>
  <c r="O520" i="22"/>
  <c r="R520" i="22" s="1"/>
  <c r="D520" i="22"/>
  <c r="D61" i="22"/>
  <c r="O61" i="22"/>
  <c r="R61" i="22" s="1"/>
  <c r="O385" i="22"/>
  <c r="R385" i="22" s="1"/>
  <c r="I63" i="22"/>
  <c r="J63" i="22" s="1"/>
  <c r="O103" i="22"/>
  <c r="R103" i="22" s="1"/>
  <c r="O293" i="23"/>
  <c r="D293" i="23"/>
  <c r="O214" i="23"/>
  <c r="D214" i="23"/>
  <c r="O253" i="23"/>
  <c r="D253" i="23"/>
  <c r="D176" i="23"/>
  <c r="O176" i="23"/>
  <c r="O210" i="23"/>
  <c r="O21" i="23"/>
  <c r="D21" i="23"/>
  <c r="O347" i="23"/>
  <c r="D347" i="23"/>
  <c r="O737" i="22"/>
  <c r="D737" i="22"/>
  <c r="O122" i="23"/>
  <c r="D122" i="23"/>
  <c r="O781" i="22"/>
  <c r="D781" i="22"/>
  <c r="O693" i="22"/>
  <c r="D693" i="22"/>
  <c r="O512" i="22"/>
  <c r="R512" i="22" s="1"/>
  <c r="D512" i="22"/>
  <c r="D329" i="22"/>
  <c r="O699" i="22"/>
  <c r="I327" i="22"/>
  <c r="J327" i="22" s="1"/>
  <c r="O247" i="22"/>
  <c r="R247" i="22" s="1"/>
  <c r="O398" i="23"/>
  <c r="D783" i="22"/>
  <c r="O783" i="22"/>
  <c r="D413" i="22"/>
  <c r="O413" i="22"/>
  <c r="R413" i="22" s="1"/>
  <c r="O807" i="22"/>
  <c r="D807" i="22"/>
  <c r="D237" i="22"/>
  <c r="O237" i="22"/>
  <c r="R237" i="22" s="1"/>
  <c r="O85" i="22"/>
  <c r="R85" i="22" s="1"/>
  <c r="O65" i="22"/>
  <c r="R65" i="22" s="1"/>
  <c r="O434" i="23"/>
  <c r="D434" i="23"/>
  <c r="O406" i="23"/>
  <c r="D406" i="23"/>
  <c r="O396" i="23"/>
  <c r="D396" i="23"/>
  <c r="O388" i="23"/>
  <c r="D388" i="23"/>
  <c r="O432" i="23"/>
  <c r="D432" i="23"/>
  <c r="O424" i="23"/>
  <c r="D424" i="23"/>
  <c r="D216" i="23"/>
  <c r="O216" i="23"/>
  <c r="O174" i="23"/>
  <c r="F154" i="23"/>
  <c r="O154" i="23"/>
  <c r="O109" i="23"/>
  <c r="O19" i="23"/>
  <c r="O180" i="23"/>
  <c r="O113" i="23"/>
  <c r="D113" i="23"/>
  <c r="O106" i="23"/>
  <c r="H377" i="22"/>
  <c r="O377" i="22"/>
  <c r="R377" i="22" s="1"/>
  <c r="O908" i="22"/>
  <c r="D908" i="22"/>
  <c r="H333" i="22"/>
  <c r="O333" i="22"/>
  <c r="R333" i="22" s="1"/>
  <c r="O898" i="22"/>
  <c r="D898" i="22"/>
  <c r="O614" i="22"/>
  <c r="R614" i="22" s="1"/>
  <c r="O159" i="22"/>
  <c r="R159" i="22" s="1"/>
  <c r="D159" i="22"/>
  <c r="O151" i="22"/>
  <c r="R151" i="22" s="1"/>
  <c r="D151" i="22"/>
  <c r="O31" i="22"/>
  <c r="R31" i="22" s="1"/>
  <c r="D31" i="22"/>
  <c r="O114" i="23"/>
  <c r="O741" i="22"/>
  <c r="O659" i="22"/>
  <c r="D602" i="22"/>
  <c r="O602" i="22"/>
  <c r="R602" i="22" s="1"/>
  <c r="G265" i="22"/>
  <c r="H265" i="22" s="1"/>
  <c r="O307" i="22"/>
  <c r="R307" i="22" s="1"/>
  <c r="D307" i="22"/>
  <c r="O701" i="22"/>
  <c r="R701" i="22" s="1"/>
  <c r="F428" i="23"/>
  <c r="O428" i="23"/>
  <c r="O353" i="23"/>
  <c r="F353" i="23"/>
  <c r="H104" i="23"/>
  <c r="O104" i="23"/>
  <c r="E363" i="23"/>
  <c r="F363" i="23" s="1"/>
  <c r="O390" i="23"/>
  <c r="O259" i="23"/>
  <c r="O226" i="23"/>
  <c r="F226" i="23"/>
  <c r="F204" i="23"/>
  <c r="O204" i="23"/>
  <c r="O202" i="23"/>
  <c r="D202" i="23"/>
  <c r="O152" i="23"/>
  <c r="D152" i="23"/>
  <c r="O60" i="23"/>
  <c r="O130" i="23"/>
  <c r="O128" i="23"/>
  <c r="O910" i="22"/>
  <c r="O297" i="23"/>
  <c r="D297" i="23"/>
  <c r="O212" i="23"/>
  <c r="O25" i="23"/>
  <c r="O29" i="23"/>
  <c r="D29" i="23"/>
  <c r="F873" i="22"/>
  <c r="O873" i="22"/>
  <c r="O863" i="22"/>
  <c r="F801" i="22"/>
  <c r="O801" i="22"/>
  <c r="O743" i="22"/>
  <c r="D743" i="22"/>
  <c r="O733" i="22"/>
  <c r="R733" i="22" s="1"/>
  <c r="D733" i="22"/>
  <c r="H663" i="22"/>
  <c r="O663" i="22"/>
  <c r="R663" i="22" s="1"/>
  <c r="H620" i="22"/>
  <c r="O620" i="22"/>
  <c r="R620" i="22" s="1"/>
  <c r="H596" i="22"/>
  <c r="O596" i="22"/>
  <c r="R596" i="22" s="1"/>
  <c r="H551" i="22"/>
  <c r="O551" i="22"/>
  <c r="R551" i="22" s="1"/>
  <c r="H504" i="22"/>
  <c r="O504" i="22"/>
  <c r="R504" i="22" s="1"/>
  <c r="O805" i="22"/>
  <c r="O787" i="22"/>
  <c r="O735" i="22"/>
  <c r="O608" i="22"/>
  <c r="R608" i="22" s="1"/>
  <c r="D608" i="22"/>
  <c r="O604" i="22"/>
  <c r="D604" i="22"/>
  <c r="O545" i="22"/>
  <c r="R545" i="22" s="1"/>
  <c r="D423" i="22"/>
  <c r="O423" i="22"/>
  <c r="R423" i="22" s="1"/>
  <c r="G263" i="22"/>
  <c r="H263" i="22" s="1"/>
  <c r="O87" i="22"/>
  <c r="R87" i="22" s="1"/>
  <c r="D87" i="22"/>
  <c r="O73" i="22"/>
  <c r="R73" i="22" s="1"/>
  <c r="D73" i="22"/>
  <c r="O67" i="22"/>
  <c r="R67" i="22" s="1"/>
  <c r="D67" i="22"/>
  <c r="D747" i="22"/>
  <c r="O747" i="22"/>
  <c r="R747" i="22" s="1"/>
  <c r="O745" i="22"/>
  <c r="R745" i="22" s="1"/>
  <c r="E327" i="22"/>
  <c r="F327" i="22" s="1"/>
  <c r="O867" i="22"/>
  <c r="D645" i="22"/>
  <c r="O645" i="22"/>
  <c r="R645" i="22" s="1"/>
  <c r="D35" i="23"/>
  <c r="O35" i="23"/>
  <c r="O859" i="22"/>
  <c r="D859" i="22"/>
  <c r="D707" i="22"/>
  <c r="O707" i="22"/>
  <c r="O665" i="22"/>
  <c r="O381" i="22"/>
  <c r="R381" i="22" s="1"/>
  <c r="D381" i="22"/>
  <c r="O267" i="22"/>
  <c r="R267" i="22" s="1"/>
  <c r="D267" i="22"/>
  <c r="I265" i="22"/>
  <c r="J265" i="22" s="1"/>
  <c r="D259" i="22"/>
  <c r="O259" i="22"/>
  <c r="R259" i="22" s="1"/>
  <c r="D243" i="22"/>
  <c r="O243" i="22"/>
  <c r="R243" i="22" s="1"/>
  <c r="O169" i="22"/>
  <c r="R169" i="22" s="1"/>
  <c r="D169" i="22"/>
  <c r="H23" i="22"/>
  <c r="O23" i="22"/>
  <c r="R23" i="22" s="1"/>
  <c r="O158" i="23"/>
  <c r="D158" i="23"/>
  <c r="O606" i="22"/>
  <c r="R606" i="22" s="1"/>
  <c r="D826" i="22"/>
  <c r="O826" i="22"/>
  <c r="O557" i="22"/>
  <c r="R557" i="22" s="1"/>
  <c r="O167" i="22"/>
  <c r="R167" i="22" s="1"/>
  <c r="O101" i="22"/>
  <c r="R101" i="22" s="1"/>
  <c r="D101" i="22"/>
  <c r="O59" i="22"/>
  <c r="R59" i="22" s="1"/>
  <c r="D459" i="22"/>
  <c r="O459" i="22"/>
  <c r="R459" i="22" s="1"/>
  <c r="O759" i="22"/>
  <c r="R759" i="22" s="1"/>
  <c r="O427" i="22"/>
  <c r="R427" i="22" s="1"/>
  <c r="D263" i="22"/>
  <c r="D257" i="22"/>
  <c r="O257" i="22"/>
  <c r="R257" i="22" s="1"/>
  <c r="O241" i="22"/>
  <c r="R241" i="22" s="1"/>
  <c r="D63" i="22"/>
  <c r="O161" i="22"/>
  <c r="R161" i="22" s="1"/>
  <c r="O153" i="22"/>
  <c r="R153" i="22" s="1"/>
  <c r="O145" i="22"/>
  <c r="R145" i="22" s="1"/>
  <c r="D81" i="22"/>
  <c r="O81" i="22"/>
  <c r="R81" i="22" s="1"/>
  <c r="D164" i="3"/>
  <c r="O164" i="3"/>
  <c r="R164" i="3" s="1"/>
  <c r="O337" i="22" l="1"/>
  <c r="R337" i="22" s="1"/>
  <c r="O363" i="23"/>
  <c r="R724" i="22"/>
  <c r="O329" i="22"/>
  <c r="R329" i="22" s="1"/>
  <c r="O263" i="22"/>
  <c r="R263" i="22" s="1"/>
  <c r="O109" i="22"/>
  <c r="R109" i="22" s="1"/>
  <c r="O345" i="22"/>
  <c r="R345" i="22" s="1"/>
  <c r="O291" i="22"/>
  <c r="R291" i="22" s="1"/>
  <c r="O63" i="22"/>
  <c r="R63" i="22" s="1"/>
  <c r="R228" i="22"/>
  <c r="R628" i="22"/>
  <c r="O117" i="22"/>
  <c r="R117" i="22" s="1"/>
  <c r="R493" i="22"/>
  <c r="O265" i="22"/>
  <c r="R265" i="22" s="1"/>
  <c r="O331" i="22"/>
  <c r="R331" i="22" s="1"/>
  <c r="R579" i="22"/>
  <c r="R536" i="22"/>
  <c r="R772" i="22"/>
  <c r="R404" i="22"/>
  <c r="R48" i="22"/>
  <c r="O281" i="22"/>
  <c r="R281" i="22" s="1"/>
  <c r="R676" i="22"/>
  <c r="O285" i="22"/>
  <c r="R285" i="22" s="1"/>
  <c r="O253" i="22"/>
  <c r="R253" i="22" s="1"/>
  <c r="R182" i="22"/>
  <c r="R446" i="22"/>
  <c r="O327" i="22"/>
  <c r="R327" i="22" s="1"/>
  <c r="U32" i="17"/>
  <c r="T32" i="17"/>
  <c r="C32" i="17" s="1"/>
  <c r="U30" i="17"/>
  <c r="T30" i="17"/>
  <c r="U22" i="17"/>
  <c r="T22" i="17"/>
  <c r="U20" i="17"/>
  <c r="T20" i="17"/>
  <c r="R136" i="22" l="1"/>
  <c r="R274" i="22"/>
  <c r="R364" i="22"/>
  <c r="R318" i="22"/>
  <c r="M21" i="5"/>
  <c r="M20" i="5"/>
  <c r="M19" i="5"/>
  <c r="K21" i="5"/>
  <c r="K20" i="5"/>
  <c r="K19" i="5"/>
  <c r="I21" i="5"/>
  <c r="I20" i="5"/>
  <c r="I19" i="5"/>
  <c r="G21" i="5"/>
  <c r="G20" i="5"/>
  <c r="G19" i="5"/>
  <c r="E19" i="5"/>
  <c r="E21" i="5"/>
  <c r="E20" i="5"/>
  <c r="C21" i="5"/>
  <c r="C19" i="5"/>
  <c r="O21" i="5" l="1"/>
  <c r="R21" i="5" s="1"/>
  <c r="O19" i="5"/>
  <c r="R19" i="5" s="1"/>
  <c r="U128" i="3"/>
  <c r="T128" i="3"/>
  <c r="U126" i="3"/>
  <c r="T126" i="3"/>
  <c r="U124" i="3"/>
  <c r="T124" i="3"/>
  <c r="U122" i="3"/>
  <c r="T122" i="3"/>
  <c r="U120" i="3"/>
  <c r="T120" i="3"/>
  <c r="U118" i="3"/>
  <c r="T118" i="3"/>
  <c r="U116" i="3"/>
  <c r="T116" i="3"/>
  <c r="U112" i="3"/>
  <c r="T112" i="3"/>
  <c r="U110" i="3"/>
  <c r="T110" i="3"/>
  <c r="U106" i="3"/>
  <c r="T106" i="3"/>
  <c r="M128" i="3" l="1"/>
  <c r="N128" i="3" s="1"/>
  <c r="K128" i="3"/>
  <c r="L128" i="3" s="1"/>
  <c r="I128" i="3"/>
  <c r="J128" i="3" s="1"/>
  <c r="G128" i="3"/>
  <c r="H128" i="3" s="1"/>
  <c r="E128" i="3"/>
  <c r="F128" i="3" s="1"/>
  <c r="C128" i="3"/>
  <c r="M127" i="3"/>
  <c r="N127" i="3" s="1"/>
  <c r="K127" i="3"/>
  <c r="L127" i="3" s="1"/>
  <c r="I127" i="3"/>
  <c r="J127" i="3" s="1"/>
  <c r="G127" i="3"/>
  <c r="H127" i="3" s="1"/>
  <c r="E127" i="3"/>
  <c r="F127" i="3" s="1"/>
  <c r="C127" i="3"/>
  <c r="D127" i="3" s="1"/>
  <c r="E108" i="3"/>
  <c r="F108" i="3" s="1"/>
  <c r="M126" i="3"/>
  <c r="K126" i="3"/>
  <c r="L126" i="3" s="1"/>
  <c r="I126" i="3"/>
  <c r="J126" i="3" s="1"/>
  <c r="G126" i="3"/>
  <c r="H126" i="3" s="1"/>
  <c r="E126" i="3"/>
  <c r="F126" i="3" s="1"/>
  <c r="C126" i="3"/>
  <c r="M125" i="3"/>
  <c r="K125" i="3"/>
  <c r="L125" i="3" s="1"/>
  <c r="I125" i="3"/>
  <c r="J125" i="3" s="1"/>
  <c r="G125" i="3"/>
  <c r="H125" i="3" s="1"/>
  <c r="E125" i="3"/>
  <c r="F125" i="3" s="1"/>
  <c r="C125" i="3"/>
  <c r="D125" i="3" s="1"/>
  <c r="M124" i="3"/>
  <c r="K124" i="3"/>
  <c r="L124" i="3" s="1"/>
  <c r="I124" i="3"/>
  <c r="J124" i="3" s="1"/>
  <c r="G124" i="3"/>
  <c r="H124" i="3" s="1"/>
  <c r="E124" i="3"/>
  <c r="F124" i="3" s="1"/>
  <c r="C124" i="3"/>
  <c r="D124" i="3" s="1"/>
  <c r="M123" i="3"/>
  <c r="K123" i="3"/>
  <c r="L123" i="3" s="1"/>
  <c r="I123" i="3"/>
  <c r="J123" i="3" s="1"/>
  <c r="G123" i="3"/>
  <c r="H123" i="3" s="1"/>
  <c r="E123" i="3"/>
  <c r="F123" i="3" s="1"/>
  <c r="C123" i="3"/>
  <c r="D123" i="3" s="1"/>
  <c r="M122" i="3"/>
  <c r="K122" i="3"/>
  <c r="L122" i="3" s="1"/>
  <c r="I122" i="3"/>
  <c r="J122" i="3" s="1"/>
  <c r="G122" i="3"/>
  <c r="H122" i="3" s="1"/>
  <c r="E122" i="3"/>
  <c r="F122" i="3" s="1"/>
  <c r="C122" i="3"/>
  <c r="M121" i="3"/>
  <c r="K121" i="3"/>
  <c r="L121" i="3" s="1"/>
  <c r="I121" i="3"/>
  <c r="J121" i="3" s="1"/>
  <c r="G121" i="3"/>
  <c r="H121" i="3" s="1"/>
  <c r="E121" i="3"/>
  <c r="F121" i="3" s="1"/>
  <c r="C121" i="3"/>
  <c r="D121" i="3" s="1"/>
  <c r="M120" i="3"/>
  <c r="K120" i="3"/>
  <c r="L120" i="3" s="1"/>
  <c r="I120" i="3"/>
  <c r="J120" i="3" s="1"/>
  <c r="G120" i="3"/>
  <c r="H120" i="3" s="1"/>
  <c r="E120" i="3"/>
  <c r="F120" i="3" s="1"/>
  <c r="C120" i="3"/>
  <c r="M119" i="3"/>
  <c r="K119" i="3"/>
  <c r="L119" i="3" s="1"/>
  <c r="I119" i="3"/>
  <c r="J119" i="3" s="1"/>
  <c r="G119" i="3"/>
  <c r="H119" i="3" s="1"/>
  <c r="E119" i="3"/>
  <c r="F119" i="3" s="1"/>
  <c r="C119" i="3"/>
  <c r="D119" i="3" s="1"/>
  <c r="M118" i="3"/>
  <c r="K118" i="3"/>
  <c r="L118" i="3" s="1"/>
  <c r="I118" i="3"/>
  <c r="J118" i="3" s="1"/>
  <c r="G118" i="3"/>
  <c r="H118" i="3" s="1"/>
  <c r="E118" i="3"/>
  <c r="F118" i="3" s="1"/>
  <c r="C118" i="3"/>
  <c r="M117" i="3"/>
  <c r="K117" i="3"/>
  <c r="L117" i="3" s="1"/>
  <c r="I117" i="3"/>
  <c r="J117" i="3" s="1"/>
  <c r="G117" i="3"/>
  <c r="H117" i="3" s="1"/>
  <c r="E117" i="3"/>
  <c r="F117" i="3" s="1"/>
  <c r="C117" i="3"/>
  <c r="D117" i="3" s="1"/>
  <c r="M116" i="3"/>
  <c r="K116" i="3"/>
  <c r="L116" i="3" s="1"/>
  <c r="I116" i="3"/>
  <c r="J116" i="3" s="1"/>
  <c r="G116" i="3"/>
  <c r="H116" i="3" s="1"/>
  <c r="E116" i="3"/>
  <c r="F116" i="3" s="1"/>
  <c r="C116" i="3"/>
  <c r="M115" i="3"/>
  <c r="K115" i="3"/>
  <c r="L115" i="3" s="1"/>
  <c r="I115" i="3"/>
  <c r="J115" i="3" s="1"/>
  <c r="G115" i="3"/>
  <c r="H115" i="3" s="1"/>
  <c r="E115" i="3"/>
  <c r="F115" i="3" s="1"/>
  <c r="C115" i="3"/>
  <c r="D115" i="3" s="1"/>
  <c r="M113" i="3"/>
  <c r="K113" i="3"/>
  <c r="L113" i="3" s="1"/>
  <c r="I113" i="3"/>
  <c r="J113" i="3" s="1"/>
  <c r="G113" i="3"/>
  <c r="H113" i="3" s="1"/>
  <c r="E113" i="3"/>
  <c r="F113" i="3" s="1"/>
  <c r="C113" i="3"/>
  <c r="D113" i="3" s="1"/>
  <c r="M112" i="3"/>
  <c r="K112" i="3"/>
  <c r="L112" i="3" s="1"/>
  <c r="I112" i="3"/>
  <c r="J112" i="3" s="1"/>
  <c r="G112" i="3"/>
  <c r="H112" i="3" s="1"/>
  <c r="E112" i="3"/>
  <c r="F112" i="3" s="1"/>
  <c r="C112" i="3"/>
  <c r="M111" i="3"/>
  <c r="K111" i="3"/>
  <c r="L111" i="3" s="1"/>
  <c r="I111" i="3"/>
  <c r="J111" i="3" s="1"/>
  <c r="G111" i="3"/>
  <c r="H111" i="3" s="1"/>
  <c r="E111" i="3"/>
  <c r="F111" i="3" s="1"/>
  <c r="C111" i="3"/>
  <c r="D111" i="3" s="1"/>
  <c r="M110" i="3"/>
  <c r="K110" i="3"/>
  <c r="L110" i="3" s="1"/>
  <c r="I110" i="3"/>
  <c r="J110" i="3" s="1"/>
  <c r="G110" i="3"/>
  <c r="H110" i="3" s="1"/>
  <c r="E110" i="3"/>
  <c r="F110" i="3" s="1"/>
  <c r="C110" i="3"/>
  <c r="M109" i="3"/>
  <c r="K109" i="3"/>
  <c r="L109" i="3" s="1"/>
  <c r="I109" i="3"/>
  <c r="J109" i="3" s="1"/>
  <c r="G109" i="3"/>
  <c r="H109" i="3" s="1"/>
  <c r="E109" i="3"/>
  <c r="F109" i="3" s="1"/>
  <c r="C109" i="3"/>
  <c r="D109" i="3" s="1"/>
  <c r="G108" i="3"/>
  <c r="H108" i="3" s="1"/>
  <c r="M107" i="3"/>
  <c r="K107" i="3"/>
  <c r="L107" i="3" s="1"/>
  <c r="I107" i="3"/>
  <c r="J107" i="3" s="1"/>
  <c r="G107" i="3"/>
  <c r="H107" i="3" s="1"/>
  <c r="E107" i="3"/>
  <c r="F107" i="3" s="1"/>
  <c r="C107" i="3"/>
  <c r="D107" i="3" s="1"/>
  <c r="M106" i="3"/>
  <c r="C106" i="3"/>
  <c r="K106" i="3"/>
  <c r="I106" i="3"/>
  <c r="J106" i="3" s="1"/>
  <c r="G106" i="3"/>
  <c r="H106" i="3" s="1"/>
  <c r="E106" i="3"/>
  <c r="F106" i="3" s="1"/>
  <c r="M28" i="9"/>
  <c r="N28" i="9" s="1"/>
  <c r="K28" i="9"/>
  <c r="L28" i="9" s="1"/>
  <c r="I28" i="9"/>
  <c r="J28" i="9" s="1"/>
  <c r="G28" i="9"/>
  <c r="H28" i="9" s="1"/>
  <c r="E28" i="9"/>
  <c r="F28" i="9" s="1"/>
  <c r="C28" i="9"/>
  <c r="M27" i="9"/>
  <c r="N27" i="9" s="1"/>
  <c r="K27" i="9"/>
  <c r="L27" i="9" s="1"/>
  <c r="I27" i="9"/>
  <c r="J27" i="9" s="1"/>
  <c r="G27" i="9"/>
  <c r="H27" i="9" s="1"/>
  <c r="E27" i="9"/>
  <c r="F27" i="9" s="1"/>
  <c r="C27" i="9"/>
  <c r="D27" i="9" s="1"/>
  <c r="U123" i="8"/>
  <c r="T123" i="8"/>
  <c r="K122" i="17"/>
  <c r="G122" i="17"/>
  <c r="M122" i="17"/>
  <c r="I122" i="17"/>
  <c r="E122" i="17"/>
  <c r="C122" i="17"/>
  <c r="M28" i="17"/>
  <c r="K28" i="17"/>
  <c r="I28" i="17"/>
  <c r="G28" i="17"/>
  <c r="E28" i="17"/>
  <c r="U27" i="10"/>
  <c r="T27" i="10"/>
  <c r="U25" i="10"/>
  <c r="T25" i="10"/>
  <c r="O122" i="17" l="1"/>
  <c r="O28" i="17"/>
  <c r="R28" i="17" s="1"/>
  <c r="D116" i="3"/>
  <c r="O116" i="3"/>
  <c r="D120" i="3"/>
  <c r="O120" i="3"/>
  <c r="O124" i="3"/>
  <c r="D112" i="3"/>
  <c r="O112" i="3"/>
  <c r="D128" i="3"/>
  <c r="O128" i="3"/>
  <c r="R128" i="3" s="1"/>
  <c r="D118" i="3"/>
  <c r="O118" i="3"/>
  <c r="D122" i="3"/>
  <c r="O122" i="3"/>
  <c r="D126" i="3"/>
  <c r="O126" i="3"/>
  <c r="R126" i="3" s="1"/>
  <c r="D110" i="3"/>
  <c r="O110" i="3"/>
  <c r="D106" i="3"/>
  <c r="O106" i="3"/>
  <c r="D28" i="9"/>
  <c r="O28" i="9"/>
  <c r="R28" i="9" s="1"/>
  <c r="O127" i="3"/>
  <c r="I108" i="3"/>
  <c r="J108" i="3" s="1"/>
  <c r="C108" i="3"/>
  <c r="M108" i="3"/>
  <c r="K108" i="3"/>
  <c r="L108" i="3" s="1"/>
  <c r="O27" i="9"/>
  <c r="M245" i="10"/>
  <c r="N245" i="10" s="1"/>
  <c r="K245" i="10"/>
  <c r="L245" i="10" s="1"/>
  <c r="I245" i="10"/>
  <c r="J245" i="10" s="1"/>
  <c r="G245" i="10"/>
  <c r="H245" i="10" s="1"/>
  <c r="E245" i="10"/>
  <c r="F245" i="10" s="1"/>
  <c r="C245" i="10"/>
  <c r="M244" i="10"/>
  <c r="N244" i="10" s="1"/>
  <c r="K244" i="10"/>
  <c r="L244" i="10" s="1"/>
  <c r="I244" i="10"/>
  <c r="J244" i="10" s="1"/>
  <c r="G244" i="10"/>
  <c r="H244" i="10" s="1"/>
  <c r="E244" i="10"/>
  <c r="F244" i="10" s="1"/>
  <c r="C244" i="10"/>
  <c r="D244" i="10" s="1"/>
  <c r="M243" i="10"/>
  <c r="N243" i="10" s="1"/>
  <c r="K243" i="10"/>
  <c r="L243" i="10" s="1"/>
  <c r="I243" i="10"/>
  <c r="J243" i="10" s="1"/>
  <c r="G243" i="10"/>
  <c r="H243" i="10" s="1"/>
  <c r="E243" i="10"/>
  <c r="F243" i="10" s="1"/>
  <c r="C243" i="10"/>
  <c r="M242" i="10"/>
  <c r="N242" i="10" s="1"/>
  <c r="K242" i="10"/>
  <c r="L242" i="10" s="1"/>
  <c r="I242" i="10"/>
  <c r="J242" i="10" s="1"/>
  <c r="G242" i="10"/>
  <c r="H242" i="10" s="1"/>
  <c r="E242" i="10"/>
  <c r="F242" i="10" s="1"/>
  <c r="C242" i="10"/>
  <c r="O245" i="10" l="1"/>
  <c r="R245" i="10" s="1"/>
  <c r="D108" i="3"/>
  <c r="O108" i="3"/>
  <c r="O243" i="10"/>
  <c r="R243" i="10" s="1"/>
  <c r="D243" i="10"/>
  <c r="O242" i="10"/>
  <c r="O244" i="10"/>
  <c r="D242" i="10"/>
  <c r="D245" i="10"/>
  <c r="M180" i="10" l="1"/>
  <c r="N180" i="10" s="1"/>
  <c r="K180" i="10"/>
  <c r="L180" i="10" s="1"/>
  <c r="I180" i="10"/>
  <c r="J180" i="10" s="1"/>
  <c r="G180" i="10"/>
  <c r="H180" i="10" s="1"/>
  <c r="E180" i="10"/>
  <c r="F180" i="10" s="1"/>
  <c r="C180" i="10"/>
  <c r="M179" i="10"/>
  <c r="N179" i="10" s="1"/>
  <c r="K179" i="10"/>
  <c r="L179" i="10" s="1"/>
  <c r="I179" i="10"/>
  <c r="J179" i="10" s="1"/>
  <c r="G179" i="10"/>
  <c r="H179" i="10" s="1"/>
  <c r="E179" i="10"/>
  <c r="F179" i="10" s="1"/>
  <c r="C179" i="10"/>
  <c r="D179" i="10" s="1"/>
  <c r="U145" i="10"/>
  <c r="M56" i="9"/>
  <c r="N56" i="9" s="1"/>
  <c r="K56" i="9"/>
  <c r="L56" i="9" s="1"/>
  <c r="I56" i="9"/>
  <c r="J56" i="9" s="1"/>
  <c r="G56" i="9"/>
  <c r="H56" i="9" s="1"/>
  <c r="E56" i="9"/>
  <c r="F56" i="9" s="1"/>
  <c r="C56" i="9"/>
  <c r="M91" i="9"/>
  <c r="N91" i="9" s="1"/>
  <c r="K91" i="9"/>
  <c r="L91" i="9" s="1"/>
  <c r="I91" i="9"/>
  <c r="J91" i="9" s="1"/>
  <c r="G91" i="9"/>
  <c r="H91" i="9" s="1"/>
  <c r="E91" i="9"/>
  <c r="F91" i="9" s="1"/>
  <c r="C91" i="9"/>
  <c r="M90" i="9"/>
  <c r="N90" i="9" s="1"/>
  <c r="K90" i="9"/>
  <c r="L90" i="9" s="1"/>
  <c r="I90" i="9"/>
  <c r="J90" i="9" s="1"/>
  <c r="G90" i="9"/>
  <c r="E90" i="9"/>
  <c r="F90" i="9" s="1"/>
  <c r="C90" i="9"/>
  <c r="D90" i="9" s="1"/>
  <c r="M85" i="9"/>
  <c r="N85" i="9" s="1"/>
  <c r="K85" i="9"/>
  <c r="L85" i="9" s="1"/>
  <c r="I85" i="9"/>
  <c r="J85" i="9" s="1"/>
  <c r="G85" i="9"/>
  <c r="E85" i="9"/>
  <c r="F85" i="9" s="1"/>
  <c r="C85" i="9"/>
  <c r="M84" i="9"/>
  <c r="N84" i="9" s="1"/>
  <c r="K84" i="9"/>
  <c r="L84" i="9" s="1"/>
  <c r="I84" i="9"/>
  <c r="J84" i="9" s="1"/>
  <c r="G84" i="9"/>
  <c r="H84" i="9" s="1"/>
  <c r="E84" i="9"/>
  <c r="F84" i="9" s="1"/>
  <c r="C84" i="9"/>
  <c r="M83" i="9"/>
  <c r="N83" i="9" s="1"/>
  <c r="K83" i="9"/>
  <c r="L83" i="9" s="1"/>
  <c r="I83" i="9"/>
  <c r="J83" i="9" s="1"/>
  <c r="G83" i="9"/>
  <c r="H83" i="9" s="1"/>
  <c r="E83" i="9"/>
  <c r="F83" i="9" s="1"/>
  <c r="C83" i="9"/>
  <c r="M82" i="9"/>
  <c r="N82" i="9" s="1"/>
  <c r="K82" i="9"/>
  <c r="L82" i="9" s="1"/>
  <c r="I82" i="9"/>
  <c r="J82" i="9" s="1"/>
  <c r="G82" i="9"/>
  <c r="E82" i="9"/>
  <c r="F82" i="9" s="1"/>
  <c r="C82" i="9"/>
  <c r="D82" i="9" s="1"/>
  <c r="M52" i="9"/>
  <c r="N52" i="9" s="1"/>
  <c r="K52" i="9"/>
  <c r="L52" i="9" s="1"/>
  <c r="I52" i="9"/>
  <c r="J52" i="9" s="1"/>
  <c r="G52" i="9"/>
  <c r="H52" i="9" s="1"/>
  <c r="E52" i="9"/>
  <c r="F52" i="9" s="1"/>
  <c r="C52" i="9"/>
  <c r="M51" i="9"/>
  <c r="N51" i="9" s="1"/>
  <c r="K51" i="9"/>
  <c r="L51" i="9" s="1"/>
  <c r="I51" i="9"/>
  <c r="J51" i="9" s="1"/>
  <c r="G51" i="9"/>
  <c r="H51" i="9" s="1"/>
  <c r="E51" i="9"/>
  <c r="F51" i="9" s="1"/>
  <c r="C51" i="9"/>
  <c r="D51" i="9" s="1"/>
  <c r="U95" i="8"/>
  <c r="U117" i="8"/>
  <c r="O52" i="9" l="1"/>
  <c r="R52" i="9" s="1"/>
  <c r="D85" i="9"/>
  <c r="O85" i="9"/>
  <c r="R85" i="9" s="1"/>
  <c r="D83" i="9"/>
  <c r="O83" i="9"/>
  <c r="R83" i="9" s="1"/>
  <c r="O91" i="9"/>
  <c r="R91" i="9" s="1"/>
  <c r="O56" i="9"/>
  <c r="O180" i="10"/>
  <c r="O179" i="10"/>
  <c r="D180" i="10"/>
  <c r="D56" i="9"/>
  <c r="O90" i="9"/>
  <c r="H90" i="9"/>
  <c r="D91" i="9"/>
  <c r="O82" i="9"/>
  <c r="O84" i="9"/>
  <c r="D84" i="9"/>
  <c r="H82" i="9"/>
  <c r="H85" i="9"/>
  <c r="O51" i="9"/>
  <c r="D52" i="9"/>
  <c r="M41" i="4" l="1"/>
  <c r="N41" i="4" s="1"/>
  <c r="K41" i="4"/>
  <c r="L41" i="4" s="1"/>
  <c r="I41" i="4"/>
  <c r="J41" i="4" s="1"/>
  <c r="G41" i="4"/>
  <c r="H41" i="4" s="1"/>
  <c r="E41" i="4"/>
  <c r="F41" i="4" s="1"/>
  <c r="C41" i="4"/>
  <c r="M40" i="4"/>
  <c r="N40" i="4" s="1"/>
  <c r="K40" i="4"/>
  <c r="L40" i="4" s="1"/>
  <c r="I40" i="4"/>
  <c r="J40" i="4" s="1"/>
  <c r="G40" i="4"/>
  <c r="H40" i="4" s="1"/>
  <c r="E40" i="4"/>
  <c r="F40" i="4" s="1"/>
  <c r="C40" i="4"/>
  <c r="D40" i="4" s="1"/>
  <c r="U160" i="3"/>
  <c r="U31" i="3"/>
  <c r="U114" i="3" s="1"/>
  <c r="M190" i="11"/>
  <c r="N190" i="11" s="1"/>
  <c r="K190" i="11"/>
  <c r="L190" i="11" s="1"/>
  <c r="I190" i="11"/>
  <c r="J190" i="11" s="1"/>
  <c r="G190" i="11"/>
  <c r="H190" i="11" s="1"/>
  <c r="E190" i="11"/>
  <c r="F190" i="11" s="1"/>
  <c r="C190" i="11"/>
  <c r="M189" i="11"/>
  <c r="N189" i="11" s="1"/>
  <c r="K189" i="11"/>
  <c r="L189" i="11" s="1"/>
  <c r="I189" i="11"/>
  <c r="J189" i="11" s="1"/>
  <c r="G189" i="11"/>
  <c r="E189" i="11"/>
  <c r="F189" i="11" s="1"/>
  <c r="C189" i="11"/>
  <c r="D189" i="11" s="1"/>
  <c r="M188" i="11"/>
  <c r="N188" i="11" s="1"/>
  <c r="K188" i="11"/>
  <c r="L188" i="11" s="1"/>
  <c r="I188" i="11"/>
  <c r="J188" i="11" s="1"/>
  <c r="G188" i="11"/>
  <c r="H188" i="11" s="1"/>
  <c r="E188" i="11"/>
  <c r="F188" i="11" s="1"/>
  <c r="C188" i="11"/>
  <c r="D188" i="11" s="1"/>
  <c r="M187" i="11"/>
  <c r="N187" i="11" s="1"/>
  <c r="K187" i="11"/>
  <c r="L187" i="11" s="1"/>
  <c r="I187" i="11"/>
  <c r="J187" i="11" s="1"/>
  <c r="G187" i="11"/>
  <c r="H187" i="11" s="1"/>
  <c r="E187" i="11"/>
  <c r="F187" i="11" s="1"/>
  <c r="C187" i="11"/>
  <c r="D187" i="11" s="1"/>
  <c r="M186" i="11"/>
  <c r="N186" i="11" s="1"/>
  <c r="K186" i="11"/>
  <c r="L186" i="11" s="1"/>
  <c r="I186" i="11"/>
  <c r="J186" i="11" s="1"/>
  <c r="G186" i="11"/>
  <c r="H186" i="11" s="1"/>
  <c r="E186" i="11"/>
  <c r="F186" i="11" s="1"/>
  <c r="C186" i="11"/>
  <c r="M185" i="11"/>
  <c r="N185" i="11" s="1"/>
  <c r="K185" i="11"/>
  <c r="L185" i="11" s="1"/>
  <c r="I185" i="11"/>
  <c r="J185" i="11" s="1"/>
  <c r="G185" i="11"/>
  <c r="H185" i="11" s="1"/>
  <c r="E185" i="11"/>
  <c r="F185" i="11" s="1"/>
  <c r="C185" i="11"/>
  <c r="M184" i="11"/>
  <c r="N184" i="11" s="1"/>
  <c r="K184" i="11"/>
  <c r="L184" i="11" s="1"/>
  <c r="I184" i="11"/>
  <c r="J184" i="11" s="1"/>
  <c r="G184" i="11"/>
  <c r="H184" i="11" s="1"/>
  <c r="E184" i="11"/>
  <c r="F184" i="11" s="1"/>
  <c r="C184" i="11"/>
  <c r="D184" i="11" s="1"/>
  <c r="M183" i="11"/>
  <c r="N183" i="11" s="1"/>
  <c r="K183" i="11"/>
  <c r="L183" i="11" s="1"/>
  <c r="I183" i="11"/>
  <c r="J183" i="11" s="1"/>
  <c r="G183" i="11"/>
  <c r="H183" i="11" s="1"/>
  <c r="E183" i="11"/>
  <c r="F183" i="11" s="1"/>
  <c r="C183" i="11"/>
  <c r="M178" i="11"/>
  <c r="N178" i="11" s="1"/>
  <c r="K178" i="11"/>
  <c r="L178" i="11" s="1"/>
  <c r="I178" i="11"/>
  <c r="J178" i="11" s="1"/>
  <c r="G178" i="11"/>
  <c r="H178" i="11" s="1"/>
  <c r="E178" i="11"/>
  <c r="F178" i="11" s="1"/>
  <c r="C178" i="11"/>
  <c r="M177" i="11"/>
  <c r="N177" i="11" s="1"/>
  <c r="K177" i="11"/>
  <c r="L177" i="11" s="1"/>
  <c r="I177" i="11"/>
  <c r="J177" i="11" s="1"/>
  <c r="G177" i="11"/>
  <c r="E177" i="11"/>
  <c r="F177" i="11" s="1"/>
  <c r="C177" i="11"/>
  <c r="D177" i="11" s="1"/>
  <c r="M176" i="11"/>
  <c r="N176" i="11" s="1"/>
  <c r="K176" i="11"/>
  <c r="L176" i="11" s="1"/>
  <c r="I176" i="11"/>
  <c r="J176" i="11" s="1"/>
  <c r="G176" i="11"/>
  <c r="H176" i="11" s="1"/>
  <c r="E176" i="11"/>
  <c r="F176" i="11" s="1"/>
  <c r="C176" i="11"/>
  <c r="D176" i="11" s="1"/>
  <c r="M175" i="11"/>
  <c r="N175" i="11" s="1"/>
  <c r="K175" i="11"/>
  <c r="L175" i="11" s="1"/>
  <c r="I175" i="11"/>
  <c r="J175" i="11" s="1"/>
  <c r="G175" i="11"/>
  <c r="H175" i="11" s="1"/>
  <c r="E175" i="11"/>
  <c r="F175" i="11" s="1"/>
  <c r="C175" i="11"/>
  <c r="D175" i="11" s="1"/>
  <c r="M174" i="11"/>
  <c r="N174" i="11" s="1"/>
  <c r="K174" i="11"/>
  <c r="L174" i="11" s="1"/>
  <c r="I174" i="11"/>
  <c r="J174" i="11" s="1"/>
  <c r="G174" i="11"/>
  <c r="H174" i="11" s="1"/>
  <c r="E174" i="11"/>
  <c r="F174" i="11" s="1"/>
  <c r="C174" i="11"/>
  <c r="D174" i="11" s="1"/>
  <c r="M173" i="11"/>
  <c r="N173" i="11" s="1"/>
  <c r="K173" i="11"/>
  <c r="L173" i="11" s="1"/>
  <c r="I173" i="11"/>
  <c r="J173" i="11" s="1"/>
  <c r="G173" i="11"/>
  <c r="H173" i="11" s="1"/>
  <c r="E173" i="11"/>
  <c r="F173" i="11" s="1"/>
  <c r="C173" i="11"/>
  <c r="M172" i="11"/>
  <c r="N172" i="11" s="1"/>
  <c r="K172" i="11"/>
  <c r="L172" i="11" s="1"/>
  <c r="I172" i="11"/>
  <c r="J172" i="11" s="1"/>
  <c r="G172" i="11"/>
  <c r="H172" i="11" s="1"/>
  <c r="E172" i="11"/>
  <c r="F172" i="11" s="1"/>
  <c r="C172" i="11"/>
  <c r="D172" i="11" s="1"/>
  <c r="M171" i="11"/>
  <c r="N171" i="11" s="1"/>
  <c r="K171" i="11"/>
  <c r="L171" i="11" s="1"/>
  <c r="I171" i="11"/>
  <c r="J171" i="11" s="1"/>
  <c r="G171" i="11"/>
  <c r="H171" i="11" s="1"/>
  <c r="E171" i="11"/>
  <c r="F171" i="11" s="1"/>
  <c r="C171" i="11"/>
  <c r="M170" i="11"/>
  <c r="N170" i="11" s="1"/>
  <c r="K170" i="11"/>
  <c r="L170" i="11" s="1"/>
  <c r="I170" i="11"/>
  <c r="J170" i="11" s="1"/>
  <c r="G170" i="11"/>
  <c r="H170" i="11" s="1"/>
  <c r="E170" i="11"/>
  <c r="C170" i="11"/>
  <c r="D170" i="11" s="1"/>
  <c r="M169" i="11"/>
  <c r="N169" i="11" s="1"/>
  <c r="K169" i="11"/>
  <c r="L169" i="11" s="1"/>
  <c r="I169" i="11"/>
  <c r="J169" i="11" s="1"/>
  <c r="G169" i="11"/>
  <c r="H169" i="11" s="1"/>
  <c r="E169" i="11"/>
  <c r="F169" i="11" s="1"/>
  <c r="C169" i="11"/>
  <c r="D169" i="11" s="1"/>
  <c r="M168" i="11"/>
  <c r="N168" i="11" s="1"/>
  <c r="K168" i="11"/>
  <c r="L168" i="11" s="1"/>
  <c r="I168" i="11"/>
  <c r="J168" i="11" s="1"/>
  <c r="G168" i="11"/>
  <c r="H168" i="11" s="1"/>
  <c r="E168" i="11"/>
  <c r="F168" i="11" s="1"/>
  <c r="C168" i="11"/>
  <c r="D168" i="11" s="1"/>
  <c r="M167" i="11"/>
  <c r="N167" i="11" s="1"/>
  <c r="K167" i="11"/>
  <c r="L167" i="11" s="1"/>
  <c r="I167" i="11"/>
  <c r="J167" i="11" s="1"/>
  <c r="G167" i="11"/>
  <c r="H167" i="11" s="1"/>
  <c r="E167" i="11"/>
  <c r="F167" i="11" s="1"/>
  <c r="C167" i="11"/>
  <c r="M166" i="11"/>
  <c r="N166" i="11" s="1"/>
  <c r="K166" i="11"/>
  <c r="L166" i="11" s="1"/>
  <c r="I166" i="11"/>
  <c r="J166" i="11" s="1"/>
  <c r="G166" i="11"/>
  <c r="H166" i="11" s="1"/>
  <c r="E166" i="11"/>
  <c r="F166" i="11" s="1"/>
  <c r="C166" i="11"/>
  <c r="D166" i="11" s="1"/>
  <c r="M165" i="11"/>
  <c r="N165" i="11" s="1"/>
  <c r="K165" i="11"/>
  <c r="L165" i="11" s="1"/>
  <c r="I165" i="11"/>
  <c r="J165" i="11" s="1"/>
  <c r="G165" i="11"/>
  <c r="H165" i="11" s="1"/>
  <c r="E165" i="11"/>
  <c r="F165" i="11" s="1"/>
  <c r="C165" i="11"/>
  <c r="M164" i="11"/>
  <c r="N164" i="11" s="1"/>
  <c r="K164" i="11"/>
  <c r="L164" i="11" s="1"/>
  <c r="I164" i="11"/>
  <c r="J164" i="11" s="1"/>
  <c r="G164" i="11"/>
  <c r="H164" i="11" s="1"/>
  <c r="E164" i="11"/>
  <c r="F164" i="11" s="1"/>
  <c r="C164" i="11"/>
  <c r="M163" i="11"/>
  <c r="N163" i="11" s="1"/>
  <c r="K163" i="11"/>
  <c r="L163" i="11" s="1"/>
  <c r="I163" i="11"/>
  <c r="J163" i="11" s="1"/>
  <c r="G163" i="11"/>
  <c r="E163" i="11"/>
  <c r="F163" i="11" s="1"/>
  <c r="C163" i="11"/>
  <c r="D163" i="11" s="1"/>
  <c r="M162" i="11"/>
  <c r="N162" i="11" s="1"/>
  <c r="K162" i="11"/>
  <c r="L162" i="11" s="1"/>
  <c r="I162" i="11"/>
  <c r="J162" i="11" s="1"/>
  <c r="G162" i="11"/>
  <c r="H162" i="11" s="1"/>
  <c r="E162" i="11"/>
  <c r="C162" i="11"/>
  <c r="D162" i="11" s="1"/>
  <c r="M152" i="11"/>
  <c r="N152" i="11" s="1"/>
  <c r="K152" i="11"/>
  <c r="L152" i="11" s="1"/>
  <c r="I152" i="11"/>
  <c r="J152" i="11" s="1"/>
  <c r="G152" i="11"/>
  <c r="H152" i="11" s="1"/>
  <c r="E152" i="11"/>
  <c r="F152" i="11" s="1"/>
  <c r="C152" i="11"/>
  <c r="M151" i="11"/>
  <c r="N151" i="11" s="1"/>
  <c r="K151" i="11"/>
  <c r="L151" i="11" s="1"/>
  <c r="I151" i="11"/>
  <c r="J151" i="11" s="1"/>
  <c r="G151" i="11"/>
  <c r="H151" i="11" s="1"/>
  <c r="E151" i="11"/>
  <c r="F151" i="11" s="1"/>
  <c r="C151" i="11"/>
  <c r="M150" i="11"/>
  <c r="N150" i="11" s="1"/>
  <c r="K150" i="11"/>
  <c r="L150" i="11" s="1"/>
  <c r="I150" i="11"/>
  <c r="J150" i="11" s="1"/>
  <c r="G150" i="11"/>
  <c r="H150" i="11" s="1"/>
  <c r="E150" i="11"/>
  <c r="F150" i="11" s="1"/>
  <c r="C150" i="11"/>
  <c r="M149" i="11"/>
  <c r="N149" i="11" s="1"/>
  <c r="K149" i="11"/>
  <c r="L149" i="11" s="1"/>
  <c r="I149" i="11"/>
  <c r="J149" i="11" s="1"/>
  <c r="G149" i="11"/>
  <c r="H149" i="11" s="1"/>
  <c r="E149" i="11"/>
  <c r="F149" i="11" s="1"/>
  <c r="C149" i="11"/>
  <c r="M161" i="11"/>
  <c r="N161" i="11" s="1"/>
  <c r="K161" i="11"/>
  <c r="L161" i="11" s="1"/>
  <c r="I161" i="11"/>
  <c r="J161" i="11" s="1"/>
  <c r="G161" i="11"/>
  <c r="H161" i="11" s="1"/>
  <c r="E161" i="11"/>
  <c r="F161" i="11" s="1"/>
  <c r="C161" i="11"/>
  <c r="M160" i="11"/>
  <c r="N160" i="11" s="1"/>
  <c r="K160" i="11"/>
  <c r="L160" i="11" s="1"/>
  <c r="I160" i="11"/>
  <c r="J160" i="11" s="1"/>
  <c r="G160" i="11"/>
  <c r="E160" i="11"/>
  <c r="F160" i="11" s="1"/>
  <c r="C160" i="11"/>
  <c r="M159" i="11"/>
  <c r="N159" i="11" s="1"/>
  <c r="K159" i="11"/>
  <c r="L159" i="11" s="1"/>
  <c r="I159" i="11"/>
  <c r="J159" i="11" s="1"/>
  <c r="G159" i="11"/>
  <c r="H159" i="11" s="1"/>
  <c r="E159" i="11"/>
  <c r="F159" i="11" s="1"/>
  <c r="C159" i="11"/>
  <c r="D159" i="11" s="1"/>
  <c r="M158" i="11"/>
  <c r="N158" i="11" s="1"/>
  <c r="K158" i="11"/>
  <c r="L158" i="11" s="1"/>
  <c r="I158" i="11"/>
  <c r="J158" i="11" s="1"/>
  <c r="G158" i="11"/>
  <c r="H158" i="11" s="1"/>
  <c r="E158" i="11"/>
  <c r="F158" i="11" s="1"/>
  <c r="C158" i="11"/>
  <c r="D158" i="11" s="1"/>
  <c r="M157" i="11"/>
  <c r="N157" i="11" s="1"/>
  <c r="K157" i="11"/>
  <c r="L157" i="11" s="1"/>
  <c r="I157" i="11"/>
  <c r="J157" i="11" s="1"/>
  <c r="G157" i="11"/>
  <c r="H157" i="11" s="1"/>
  <c r="E157" i="11"/>
  <c r="F157" i="11" s="1"/>
  <c r="C157" i="11"/>
  <c r="M156" i="11"/>
  <c r="N156" i="11" s="1"/>
  <c r="K156" i="11"/>
  <c r="L156" i="11" s="1"/>
  <c r="I156" i="11"/>
  <c r="J156" i="11" s="1"/>
  <c r="G156" i="11"/>
  <c r="H156" i="11" s="1"/>
  <c r="E156" i="11"/>
  <c r="F156" i="11" s="1"/>
  <c r="C156" i="11"/>
  <c r="M155" i="11"/>
  <c r="N155" i="11" s="1"/>
  <c r="K155" i="11"/>
  <c r="L155" i="11" s="1"/>
  <c r="I155" i="11"/>
  <c r="J155" i="11" s="1"/>
  <c r="G155" i="11"/>
  <c r="H155" i="11" s="1"/>
  <c r="E155" i="11"/>
  <c r="F155" i="11" s="1"/>
  <c r="C155" i="11"/>
  <c r="D155" i="11" s="1"/>
  <c r="M148" i="11"/>
  <c r="N148" i="11" s="1"/>
  <c r="K148" i="11"/>
  <c r="L148" i="11" s="1"/>
  <c r="I148" i="11"/>
  <c r="J148" i="11" s="1"/>
  <c r="G148" i="11"/>
  <c r="H148" i="11" s="1"/>
  <c r="E148" i="11"/>
  <c r="F148" i="11" s="1"/>
  <c r="C148" i="11"/>
  <c r="M147" i="11"/>
  <c r="N147" i="11" s="1"/>
  <c r="K147" i="11"/>
  <c r="L147" i="11" s="1"/>
  <c r="I147" i="11"/>
  <c r="J147" i="11" s="1"/>
  <c r="G147" i="11"/>
  <c r="H147" i="11" s="1"/>
  <c r="E147" i="11"/>
  <c r="F147" i="11" s="1"/>
  <c r="C147" i="11"/>
  <c r="M146" i="11"/>
  <c r="N146" i="11" s="1"/>
  <c r="K146" i="11"/>
  <c r="L146" i="11" s="1"/>
  <c r="I146" i="11"/>
  <c r="J146" i="11" s="1"/>
  <c r="G146" i="11"/>
  <c r="E146" i="11"/>
  <c r="F146" i="11" s="1"/>
  <c r="C146" i="11"/>
  <c r="M145" i="11"/>
  <c r="N145" i="11" s="1"/>
  <c r="K145" i="11"/>
  <c r="L145" i="11" s="1"/>
  <c r="I145" i="11"/>
  <c r="J145" i="11" s="1"/>
  <c r="G145" i="11"/>
  <c r="H145" i="11" s="1"/>
  <c r="E145" i="11"/>
  <c r="F145" i="11" s="1"/>
  <c r="C145" i="11"/>
  <c r="D145" i="11" s="1"/>
  <c r="M144" i="11"/>
  <c r="N144" i="11" s="1"/>
  <c r="K144" i="11"/>
  <c r="L144" i="11" s="1"/>
  <c r="I144" i="11"/>
  <c r="J144" i="11" s="1"/>
  <c r="G144" i="11"/>
  <c r="H144" i="11" s="1"/>
  <c r="E144" i="11"/>
  <c r="F144" i="11" s="1"/>
  <c r="C144" i="11"/>
  <c r="M143" i="11"/>
  <c r="N143" i="11" s="1"/>
  <c r="K143" i="11"/>
  <c r="L143" i="11" s="1"/>
  <c r="I143" i="11"/>
  <c r="J143" i="11" s="1"/>
  <c r="G143" i="11"/>
  <c r="H143" i="11" s="1"/>
  <c r="E143" i="11"/>
  <c r="F143" i="11" s="1"/>
  <c r="C143" i="11"/>
  <c r="M142" i="11"/>
  <c r="N142" i="11" s="1"/>
  <c r="K142" i="11"/>
  <c r="L142" i="11" s="1"/>
  <c r="I142" i="11"/>
  <c r="J142" i="11" s="1"/>
  <c r="G142" i="11"/>
  <c r="H142" i="11" s="1"/>
  <c r="E142" i="11"/>
  <c r="F142" i="11" s="1"/>
  <c r="C142" i="11"/>
  <c r="M141" i="11"/>
  <c r="N141" i="11" s="1"/>
  <c r="K141" i="11"/>
  <c r="L141" i="11" s="1"/>
  <c r="I141" i="11"/>
  <c r="J141" i="11" s="1"/>
  <c r="G141" i="11"/>
  <c r="H141" i="11" s="1"/>
  <c r="E141" i="11"/>
  <c r="F141" i="11" s="1"/>
  <c r="C141" i="11"/>
  <c r="D141" i="11" s="1"/>
  <c r="M140" i="11"/>
  <c r="N140" i="11" s="1"/>
  <c r="K140" i="11"/>
  <c r="L140" i="11" s="1"/>
  <c r="I140" i="11"/>
  <c r="J140" i="11" s="1"/>
  <c r="G140" i="11"/>
  <c r="H140" i="11" s="1"/>
  <c r="E140" i="11"/>
  <c r="F140" i="11" s="1"/>
  <c r="C140" i="11"/>
  <c r="M139" i="11"/>
  <c r="N139" i="11" s="1"/>
  <c r="K139" i="11"/>
  <c r="L139" i="11" s="1"/>
  <c r="I139" i="11"/>
  <c r="J139" i="11" s="1"/>
  <c r="G139" i="11"/>
  <c r="H139" i="11" s="1"/>
  <c r="E139" i="11"/>
  <c r="F139" i="11" s="1"/>
  <c r="C139" i="11"/>
  <c r="M138" i="11"/>
  <c r="N138" i="11" s="1"/>
  <c r="K138" i="11"/>
  <c r="L138" i="11" s="1"/>
  <c r="I138" i="11"/>
  <c r="J138" i="11" s="1"/>
  <c r="G138" i="11"/>
  <c r="H138" i="11" s="1"/>
  <c r="E138" i="11"/>
  <c r="F138" i="11" s="1"/>
  <c r="C138" i="11"/>
  <c r="D138" i="11" s="1"/>
  <c r="M137" i="11"/>
  <c r="N137" i="11" s="1"/>
  <c r="K137" i="11"/>
  <c r="L137" i="11" s="1"/>
  <c r="I137" i="11"/>
  <c r="J137" i="11" s="1"/>
  <c r="G137" i="11"/>
  <c r="H137" i="11" s="1"/>
  <c r="E137" i="11"/>
  <c r="F137" i="11" s="1"/>
  <c r="C137" i="11"/>
  <c r="D137" i="11" s="1"/>
  <c r="M136" i="11"/>
  <c r="N136" i="11" s="1"/>
  <c r="K136" i="11"/>
  <c r="L136" i="11" s="1"/>
  <c r="I136" i="11"/>
  <c r="J136" i="11" s="1"/>
  <c r="G136" i="11"/>
  <c r="H136" i="11" s="1"/>
  <c r="E136" i="11"/>
  <c r="F136" i="11" s="1"/>
  <c r="C136" i="11"/>
  <c r="D136" i="11" s="1"/>
  <c r="M135" i="11"/>
  <c r="N135" i="11" s="1"/>
  <c r="K135" i="11"/>
  <c r="L135" i="11" s="1"/>
  <c r="I135" i="11"/>
  <c r="J135" i="11" s="1"/>
  <c r="G135" i="11"/>
  <c r="H135" i="11" s="1"/>
  <c r="E135" i="11"/>
  <c r="F135" i="11" s="1"/>
  <c r="C135" i="11"/>
  <c r="D135" i="11" s="1"/>
  <c r="M113" i="11"/>
  <c r="N113" i="11" s="1"/>
  <c r="K113" i="11"/>
  <c r="L113" i="11" s="1"/>
  <c r="I113" i="11"/>
  <c r="J113" i="11" s="1"/>
  <c r="G113" i="11"/>
  <c r="E113" i="11"/>
  <c r="F113" i="11" s="1"/>
  <c r="C113" i="11"/>
  <c r="M112" i="11"/>
  <c r="N112" i="11" s="1"/>
  <c r="K112" i="11"/>
  <c r="L112" i="11" s="1"/>
  <c r="I112" i="11"/>
  <c r="J112" i="11" s="1"/>
  <c r="G112" i="11"/>
  <c r="H112" i="11" s="1"/>
  <c r="E112" i="11"/>
  <c r="F112" i="11" s="1"/>
  <c r="C112" i="11"/>
  <c r="D112" i="11" s="1"/>
  <c r="M111" i="11"/>
  <c r="N111" i="11" s="1"/>
  <c r="K111" i="11"/>
  <c r="L111" i="11" s="1"/>
  <c r="I111" i="11"/>
  <c r="J111" i="11" s="1"/>
  <c r="G111" i="11"/>
  <c r="H111" i="11" s="1"/>
  <c r="E111" i="11"/>
  <c r="F111" i="11" s="1"/>
  <c r="C111" i="11"/>
  <c r="M110" i="11"/>
  <c r="N110" i="11" s="1"/>
  <c r="K110" i="11"/>
  <c r="L110" i="11" s="1"/>
  <c r="I110" i="11"/>
  <c r="J110" i="11" s="1"/>
  <c r="G110" i="11"/>
  <c r="H110" i="11" s="1"/>
  <c r="E110" i="11"/>
  <c r="C110" i="11"/>
  <c r="D110" i="11" s="1"/>
  <c r="M109" i="11"/>
  <c r="N109" i="11" s="1"/>
  <c r="K109" i="11"/>
  <c r="L109" i="11" s="1"/>
  <c r="I109" i="11"/>
  <c r="J109" i="11" s="1"/>
  <c r="G109" i="11"/>
  <c r="H109" i="11" s="1"/>
  <c r="E109" i="11"/>
  <c r="F109" i="11" s="1"/>
  <c r="C109" i="11"/>
  <c r="M108" i="11"/>
  <c r="N108" i="11" s="1"/>
  <c r="K108" i="11"/>
  <c r="L108" i="11" s="1"/>
  <c r="I108" i="11"/>
  <c r="J108" i="11" s="1"/>
  <c r="G108" i="11"/>
  <c r="E108" i="11"/>
  <c r="F108" i="11" s="1"/>
  <c r="C108" i="11"/>
  <c r="D108" i="11" s="1"/>
  <c r="M107" i="11"/>
  <c r="N107" i="11" s="1"/>
  <c r="K107" i="11"/>
  <c r="L107" i="11" s="1"/>
  <c r="I107" i="11"/>
  <c r="J107" i="11" s="1"/>
  <c r="G107" i="11"/>
  <c r="H107" i="11" s="1"/>
  <c r="E107" i="11"/>
  <c r="F107" i="11" s="1"/>
  <c r="C107" i="11"/>
  <c r="M106" i="11"/>
  <c r="N106" i="11" s="1"/>
  <c r="K106" i="11"/>
  <c r="L106" i="11" s="1"/>
  <c r="I106" i="11"/>
  <c r="J106" i="11" s="1"/>
  <c r="G106" i="11"/>
  <c r="H106" i="11" s="1"/>
  <c r="E106" i="11"/>
  <c r="F106" i="11" s="1"/>
  <c r="C106" i="11"/>
  <c r="M105" i="11"/>
  <c r="N105" i="11" s="1"/>
  <c r="K105" i="11"/>
  <c r="L105" i="11" s="1"/>
  <c r="I105" i="11"/>
  <c r="J105" i="11" s="1"/>
  <c r="G105" i="11"/>
  <c r="H105" i="11" s="1"/>
  <c r="E105" i="11"/>
  <c r="F105" i="11" s="1"/>
  <c r="C105" i="11"/>
  <c r="D105" i="11" s="1"/>
  <c r="M130" i="11"/>
  <c r="N130" i="11" s="1"/>
  <c r="K130" i="11"/>
  <c r="L130" i="11" s="1"/>
  <c r="I130" i="11"/>
  <c r="J130" i="11" s="1"/>
  <c r="G130" i="11"/>
  <c r="H130" i="11" s="1"/>
  <c r="E130" i="11"/>
  <c r="F130" i="11" s="1"/>
  <c r="C130" i="11"/>
  <c r="M129" i="11"/>
  <c r="N129" i="11" s="1"/>
  <c r="K129" i="11"/>
  <c r="L129" i="11" s="1"/>
  <c r="I129" i="11"/>
  <c r="J129" i="11" s="1"/>
  <c r="G129" i="11"/>
  <c r="H129" i="11" s="1"/>
  <c r="E129" i="11"/>
  <c r="F129" i="11" s="1"/>
  <c r="C129" i="11"/>
  <c r="M128" i="11"/>
  <c r="N128" i="11" s="1"/>
  <c r="K128" i="11"/>
  <c r="L128" i="11" s="1"/>
  <c r="I128" i="11"/>
  <c r="J128" i="11" s="1"/>
  <c r="G128" i="11"/>
  <c r="H128" i="11" s="1"/>
  <c r="E128" i="11"/>
  <c r="F128" i="11" s="1"/>
  <c r="C128" i="11"/>
  <c r="M127" i="11"/>
  <c r="N127" i="11" s="1"/>
  <c r="K127" i="11"/>
  <c r="L127" i="11" s="1"/>
  <c r="I127" i="11"/>
  <c r="J127" i="11" s="1"/>
  <c r="G127" i="11"/>
  <c r="H127" i="11" s="1"/>
  <c r="E127" i="11"/>
  <c r="F127" i="11" s="1"/>
  <c r="C127" i="11"/>
  <c r="D127" i="11" s="1"/>
  <c r="M126" i="11"/>
  <c r="N126" i="11" s="1"/>
  <c r="K126" i="11"/>
  <c r="L126" i="11" s="1"/>
  <c r="I126" i="11"/>
  <c r="J126" i="11" s="1"/>
  <c r="G126" i="11"/>
  <c r="H126" i="11" s="1"/>
  <c r="E126" i="11"/>
  <c r="F126" i="11" s="1"/>
  <c r="C126" i="11"/>
  <c r="M101" i="11"/>
  <c r="N101" i="11" s="1"/>
  <c r="K101" i="11"/>
  <c r="L101" i="11" s="1"/>
  <c r="I101" i="11"/>
  <c r="J101" i="11" s="1"/>
  <c r="G101" i="11"/>
  <c r="H101" i="11" s="1"/>
  <c r="E101" i="11"/>
  <c r="F101" i="11" s="1"/>
  <c r="C101" i="11"/>
  <c r="M100" i="11"/>
  <c r="N100" i="11" s="1"/>
  <c r="K100" i="11"/>
  <c r="L100" i="11" s="1"/>
  <c r="I100" i="11"/>
  <c r="J100" i="11" s="1"/>
  <c r="G100" i="11"/>
  <c r="H100" i="11" s="1"/>
  <c r="E100" i="11"/>
  <c r="C100" i="11"/>
  <c r="D100" i="11" s="1"/>
  <c r="M99" i="11"/>
  <c r="N99" i="11" s="1"/>
  <c r="K99" i="11"/>
  <c r="L99" i="11" s="1"/>
  <c r="I99" i="11"/>
  <c r="J99" i="11" s="1"/>
  <c r="G99" i="11"/>
  <c r="H99" i="11" s="1"/>
  <c r="E99" i="11"/>
  <c r="F99" i="11" s="1"/>
  <c r="C99" i="11"/>
  <c r="M98" i="11"/>
  <c r="N98" i="11" s="1"/>
  <c r="K98" i="11"/>
  <c r="L98" i="11" s="1"/>
  <c r="I98" i="11"/>
  <c r="J98" i="11" s="1"/>
  <c r="G98" i="11"/>
  <c r="E98" i="11"/>
  <c r="F98" i="11" s="1"/>
  <c r="C98" i="11"/>
  <c r="D98" i="11" s="1"/>
  <c r="M97" i="11"/>
  <c r="N97" i="11" s="1"/>
  <c r="K97" i="11"/>
  <c r="L97" i="11" s="1"/>
  <c r="I97" i="11"/>
  <c r="J97" i="11" s="1"/>
  <c r="G97" i="11"/>
  <c r="H97" i="11" s="1"/>
  <c r="E97" i="11"/>
  <c r="F97" i="11" s="1"/>
  <c r="C97" i="11"/>
  <c r="M96" i="11"/>
  <c r="N96" i="11" s="1"/>
  <c r="K96" i="11"/>
  <c r="L96" i="11" s="1"/>
  <c r="I96" i="11"/>
  <c r="J96" i="11" s="1"/>
  <c r="G96" i="11"/>
  <c r="H96" i="11" s="1"/>
  <c r="E96" i="11"/>
  <c r="F96" i="11" s="1"/>
  <c r="C96" i="11"/>
  <c r="M95" i="11"/>
  <c r="N95" i="11" s="1"/>
  <c r="K95" i="11"/>
  <c r="L95" i="11" s="1"/>
  <c r="I95" i="11"/>
  <c r="J95" i="11" s="1"/>
  <c r="G95" i="11"/>
  <c r="H95" i="11" s="1"/>
  <c r="E95" i="11"/>
  <c r="F95" i="11" s="1"/>
  <c r="C95" i="11"/>
  <c r="D95" i="11" s="1"/>
  <c r="M94" i="11"/>
  <c r="N94" i="11" s="1"/>
  <c r="K94" i="11"/>
  <c r="L94" i="11" s="1"/>
  <c r="I94" i="11"/>
  <c r="J94" i="11" s="1"/>
  <c r="G94" i="11"/>
  <c r="H94" i="11" s="1"/>
  <c r="E94" i="11"/>
  <c r="F94" i="11" s="1"/>
  <c r="C94" i="11"/>
  <c r="M78" i="11"/>
  <c r="N78" i="11" s="1"/>
  <c r="K78" i="11"/>
  <c r="L78" i="11" s="1"/>
  <c r="I78" i="11"/>
  <c r="J78" i="11" s="1"/>
  <c r="G78" i="11"/>
  <c r="H78" i="11" s="1"/>
  <c r="E78" i="11"/>
  <c r="F78" i="11" s="1"/>
  <c r="C78" i="11"/>
  <c r="M77" i="11"/>
  <c r="N77" i="11" s="1"/>
  <c r="K77" i="11"/>
  <c r="L77" i="11" s="1"/>
  <c r="I77" i="11"/>
  <c r="J77" i="11" s="1"/>
  <c r="G77" i="11"/>
  <c r="H77" i="11" s="1"/>
  <c r="E77" i="11"/>
  <c r="C77" i="11"/>
  <c r="D77" i="11" s="1"/>
  <c r="M76" i="11"/>
  <c r="N76" i="11" s="1"/>
  <c r="K76" i="11"/>
  <c r="L76" i="11" s="1"/>
  <c r="I76" i="11"/>
  <c r="J76" i="11" s="1"/>
  <c r="G76" i="11"/>
  <c r="H76" i="11" s="1"/>
  <c r="E76" i="11"/>
  <c r="F76" i="11" s="1"/>
  <c r="C76" i="11"/>
  <c r="M75" i="11"/>
  <c r="N75" i="11" s="1"/>
  <c r="K75" i="11"/>
  <c r="L75" i="11" s="1"/>
  <c r="I75" i="11"/>
  <c r="J75" i="11" s="1"/>
  <c r="G75" i="11"/>
  <c r="E75" i="11"/>
  <c r="F75" i="11" s="1"/>
  <c r="C75" i="11"/>
  <c r="D75" i="11" s="1"/>
  <c r="M74" i="11"/>
  <c r="N74" i="11" s="1"/>
  <c r="K74" i="11"/>
  <c r="L74" i="11" s="1"/>
  <c r="I74" i="11"/>
  <c r="J74" i="11" s="1"/>
  <c r="G74" i="11"/>
  <c r="H74" i="11" s="1"/>
  <c r="E74" i="11"/>
  <c r="C74" i="11"/>
  <c r="M73" i="11"/>
  <c r="N73" i="11" s="1"/>
  <c r="K73" i="11"/>
  <c r="L73" i="11" s="1"/>
  <c r="I73" i="11"/>
  <c r="J73" i="11" s="1"/>
  <c r="G73" i="11"/>
  <c r="E73" i="11"/>
  <c r="F73" i="11" s="1"/>
  <c r="C73" i="11"/>
  <c r="D73" i="11" s="1"/>
  <c r="M72" i="11"/>
  <c r="N72" i="11" s="1"/>
  <c r="K72" i="11"/>
  <c r="L72" i="11" s="1"/>
  <c r="I72" i="11"/>
  <c r="J72" i="11" s="1"/>
  <c r="G72" i="11"/>
  <c r="H72" i="11" s="1"/>
  <c r="E72" i="11"/>
  <c r="F72" i="11" s="1"/>
  <c r="C72" i="11"/>
  <c r="M71" i="11"/>
  <c r="N71" i="11" s="1"/>
  <c r="K71" i="11"/>
  <c r="L71" i="11" s="1"/>
  <c r="I71" i="11"/>
  <c r="J71" i="11" s="1"/>
  <c r="G71" i="11"/>
  <c r="H71" i="11" s="1"/>
  <c r="E71" i="11"/>
  <c r="F71" i="11" s="1"/>
  <c r="C71" i="11"/>
  <c r="M70" i="11"/>
  <c r="N70" i="11" s="1"/>
  <c r="K70" i="11"/>
  <c r="L70" i="11" s="1"/>
  <c r="I70" i="11"/>
  <c r="J70" i="11" s="1"/>
  <c r="G70" i="11"/>
  <c r="H70" i="11" s="1"/>
  <c r="E70" i="11"/>
  <c r="F70" i="11" s="1"/>
  <c r="C70" i="11"/>
  <c r="M69" i="11"/>
  <c r="N69" i="11" s="1"/>
  <c r="K69" i="11"/>
  <c r="L69" i="11" s="1"/>
  <c r="I69" i="11"/>
  <c r="J69" i="11" s="1"/>
  <c r="G69" i="11"/>
  <c r="H69" i="11" s="1"/>
  <c r="E69" i="11"/>
  <c r="F69" i="11" s="1"/>
  <c r="C69" i="11"/>
  <c r="M68" i="11"/>
  <c r="N68" i="11" s="1"/>
  <c r="K68" i="11"/>
  <c r="L68" i="11" s="1"/>
  <c r="I68" i="11"/>
  <c r="J68" i="11" s="1"/>
  <c r="G68" i="11"/>
  <c r="H68" i="11" s="1"/>
  <c r="E68" i="11"/>
  <c r="F68" i="11" s="1"/>
  <c r="C68" i="11"/>
  <c r="M83" i="11"/>
  <c r="N83" i="11" s="1"/>
  <c r="K83" i="11"/>
  <c r="L83" i="11" s="1"/>
  <c r="I83" i="11"/>
  <c r="J83" i="11" s="1"/>
  <c r="G83" i="11"/>
  <c r="H83" i="11" s="1"/>
  <c r="E83" i="11"/>
  <c r="F83" i="11" s="1"/>
  <c r="C83" i="11"/>
  <c r="M82" i="11"/>
  <c r="N82" i="11" s="1"/>
  <c r="K82" i="11"/>
  <c r="L82" i="11" s="1"/>
  <c r="I82" i="11"/>
  <c r="J82" i="11" s="1"/>
  <c r="G82" i="11"/>
  <c r="H82" i="11" s="1"/>
  <c r="E82" i="11"/>
  <c r="F82" i="11" s="1"/>
  <c r="C82" i="11"/>
  <c r="D82" i="11" s="1"/>
  <c r="M81" i="11"/>
  <c r="N81" i="11" s="1"/>
  <c r="K81" i="11"/>
  <c r="L81" i="11" s="1"/>
  <c r="I81" i="11"/>
  <c r="J81" i="11" s="1"/>
  <c r="G81" i="11"/>
  <c r="H81" i="11" s="1"/>
  <c r="E81" i="11"/>
  <c r="F81" i="11" s="1"/>
  <c r="C81" i="11"/>
  <c r="M80" i="11"/>
  <c r="N80" i="11" s="1"/>
  <c r="K80" i="11"/>
  <c r="L80" i="11" s="1"/>
  <c r="I80" i="11"/>
  <c r="J80" i="11" s="1"/>
  <c r="G80" i="11"/>
  <c r="E80" i="11"/>
  <c r="F80" i="11" s="1"/>
  <c r="C80" i="11"/>
  <c r="D80" i="11" s="1"/>
  <c r="M79" i="11"/>
  <c r="N79" i="11" s="1"/>
  <c r="K79" i="11"/>
  <c r="L79" i="11" s="1"/>
  <c r="I79" i="11"/>
  <c r="J79" i="11" s="1"/>
  <c r="G79" i="11"/>
  <c r="H79" i="11" s="1"/>
  <c r="E79" i="11"/>
  <c r="F79" i="11" s="1"/>
  <c r="C79" i="11"/>
  <c r="M64" i="11"/>
  <c r="N64" i="11" s="1"/>
  <c r="K64" i="11"/>
  <c r="L64" i="11" s="1"/>
  <c r="I64" i="11"/>
  <c r="J64" i="11" s="1"/>
  <c r="G64" i="11"/>
  <c r="H64" i="11" s="1"/>
  <c r="E64" i="11"/>
  <c r="F64" i="11" s="1"/>
  <c r="C64" i="11"/>
  <c r="M63" i="11"/>
  <c r="N63" i="11" s="1"/>
  <c r="K63" i="11"/>
  <c r="L63" i="11" s="1"/>
  <c r="I63" i="11"/>
  <c r="J63" i="11" s="1"/>
  <c r="G63" i="11"/>
  <c r="H63" i="11" s="1"/>
  <c r="E63" i="11"/>
  <c r="F63" i="11" s="1"/>
  <c r="C63" i="11"/>
  <c r="D63" i="11" s="1"/>
  <c r="M56" i="11"/>
  <c r="N56" i="11" s="1"/>
  <c r="K56" i="11"/>
  <c r="L56" i="11" s="1"/>
  <c r="I56" i="11"/>
  <c r="J56" i="11" s="1"/>
  <c r="G56" i="11"/>
  <c r="H56" i="11" s="1"/>
  <c r="E56" i="11"/>
  <c r="F56" i="11" s="1"/>
  <c r="C56" i="11"/>
  <c r="M55" i="11"/>
  <c r="N55" i="11" s="1"/>
  <c r="K55" i="11"/>
  <c r="L55" i="11" s="1"/>
  <c r="I55" i="11"/>
  <c r="J55" i="11" s="1"/>
  <c r="G55" i="11"/>
  <c r="H55" i="11" s="1"/>
  <c r="E55" i="11"/>
  <c r="F55" i="11" s="1"/>
  <c r="C55" i="11"/>
  <c r="M62" i="11"/>
  <c r="N62" i="11" s="1"/>
  <c r="K62" i="11"/>
  <c r="L62" i="11" s="1"/>
  <c r="I62" i="11"/>
  <c r="J62" i="11" s="1"/>
  <c r="G62" i="11"/>
  <c r="E62" i="11"/>
  <c r="F62" i="11" s="1"/>
  <c r="C62" i="11"/>
  <c r="M61" i="11"/>
  <c r="N61" i="11" s="1"/>
  <c r="K61" i="11"/>
  <c r="L61" i="11" s="1"/>
  <c r="I61" i="11"/>
  <c r="J61" i="11" s="1"/>
  <c r="G61" i="11"/>
  <c r="H61" i="11" s="1"/>
  <c r="E61" i="11"/>
  <c r="F61" i="11" s="1"/>
  <c r="C61" i="11"/>
  <c r="D61" i="11" s="1"/>
  <c r="M60" i="11"/>
  <c r="N60" i="11" s="1"/>
  <c r="K60" i="11"/>
  <c r="L60" i="11" s="1"/>
  <c r="I60" i="11"/>
  <c r="J60" i="11" s="1"/>
  <c r="G60" i="11"/>
  <c r="H60" i="11" s="1"/>
  <c r="E60" i="11"/>
  <c r="F60" i="11" s="1"/>
  <c r="C60" i="11"/>
  <c r="M59" i="11"/>
  <c r="N59" i="11" s="1"/>
  <c r="K59" i="11"/>
  <c r="L59" i="11" s="1"/>
  <c r="I59" i="11"/>
  <c r="J59" i="11" s="1"/>
  <c r="G59" i="11"/>
  <c r="H59" i="11" s="1"/>
  <c r="E59" i="11"/>
  <c r="F59" i="11" s="1"/>
  <c r="C59" i="11"/>
  <c r="D59" i="11" s="1"/>
  <c r="M58" i="11"/>
  <c r="N58" i="11" s="1"/>
  <c r="K58" i="11"/>
  <c r="L58" i="11" s="1"/>
  <c r="I58" i="11"/>
  <c r="J58" i="11" s="1"/>
  <c r="G58" i="11"/>
  <c r="H58" i="11" s="1"/>
  <c r="E58" i="11"/>
  <c r="F58" i="11" s="1"/>
  <c r="C58" i="11"/>
  <c r="M57" i="11"/>
  <c r="N57" i="11" s="1"/>
  <c r="K57" i="11"/>
  <c r="L57" i="11" s="1"/>
  <c r="I57" i="11"/>
  <c r="J57" i="11" s="1"/>
  <c r="G57" i="11"/>
  <c r="H57" i="11" s="1"/>
  <c r="E57" i="11"/>
  <c r="F57" i="11" s="1"/>
  <c r="C57" i="11"/>
  <c r="D57" i="11" s="1"/>
  <c r="M54" i="11"/>
  <c r="N54" i="11" s="1"/>
  <c r="K54" i="11"/>
  <c r="L54" i="11" s="1"/>
  <c r="I54" i="11"/>
  <c r="J54" i="11" s="1"/>
  <c r="G54" i="11"/>
  <c r="H54" i="11" s="1"/>
  <c r="E54" i="11"/>
  <c r="F54" i="11" s="1"/>
  <c r="C54" i="11"/>
  <c r="M53" i="11"/>
  <c r="N53" i="11" s="1"/>
  <c r="K53" i="11"/>
  <c r="L53" i="11" s="1"/>
  <c r="I53" i="11"/>
  <c r="J53" i="11" s="1"/>
  <c r="G53" i="11"/>
  <c r="H53" i="11" s="1"/>
  <c r="E53" i="11"/>
  <c r="F53" i="11" s="1"/>
  <c r="C53" i="11"/>
  <c r="M52" i="11"/>
  <c r="N52" i="11" s="1"/>
  <c r="K52" i="11"/>
  <c r="L52" i="11" s="1"/>
  <c r="I52" i="11"/>
  <c r="J52" i="11" s="1"/>
  <c r="G52" i="11"/>
  <c r="E52" i="11"/>
  <c r="F52" i="11" s="1"/>
  <c r="C52" i="11"/>
  <c r="D52" i="11" s="1"/>
  <c r="M33" i="11"/>
  <c r="N33" i="11" s="1"/>
  <c r="K33" i="11"/>
  <c r="L33" i="11" s="1"/>
  <c r="I33" i="11"/>
  <c r="J33" i="11" s="1"/>
  <c r="G33" i="11"/>
  <c r="E33" i="11"/>
  <c r="F33" i="11" s="1"/>
  <c r="C33" i="11"/>
  <c r="M32" i="11"/>
  <c r="N32" i="11" s="1"/>
  <c r="K32" i="11"/>
  <c r="L32" i="11" s="1"/>
  <c r="I32" i="11"/>
  <c r="J32" i="11" s="1"/>
  <c r="G32" i="11"/>
  <c r="H32" i="11" s="1"/>
  <c r="E32" i="11"/>
  <c r="F32" i="11" s="1"/>
  <c r="C32" i="11"/>
  <c r="M31" i="11"/>
  <c r="N31" i="11" s="1"/>
  <c r="K31" i="11"/>
  <c r="L31" i="11" s="1"/>
  <c r="I31" i="11"/>
  <c r="J31" i="11" s="1"/>
  <c r="G31" i="11"/>
  <c r="H31" i="11" s="1"/>
  <c r="E31" i="11"/>
  <c r="F31" i="11" s="1"/>
  <c r="C31" i="11"/>
  <c r="M30" i="11"/>
  <c r="N30" i="11" s="1"/>
  <c r="K30" i="11"/>
  <c r="L30" i="11" s="1"/>
  <c r="I30" i="11"/>
  <c r="J30" i="11" s="1"/>
  <c r="G30" i="11"/>
  <c r="E30" i="11"/>
  <c r="F30" i="11" s="1"/>
  <c r="C30" i="11"/>
  <c r="D30" i="11" s="1"/>
  <c r="M29" i="11"/>
  <c r="N29" i="11" s="1"/>
  <c r="K29" i="11"/>
  <c r="L29" i="11" s="1"/>
  <c r="I29" i="11"/>
  <c r="J29" i="11" s="1"/>
  <c r="G29" i="11"/>
  <c r="H29" i="11" s="1"/>
  <c r="E29" i="11"/>
  <c r="C29" i="11"/>
  <c r="M28" i="11"/>
  <c r="N28" i="11" s="1"/>
  <c r="K28" i="11"/>
  <c r="L28" i="11" s="1"/>
  <c r="I28" i="11"/>
  <c r="J28" i="11" s="1"/>
  <c r="G28" i="11"/>
  <c r="H28" i="11" s="1"/>
  <c r="E28" i="11"/>
  <c r="F28" i="11" s="1"/>
  <c r="C28" i="11"/>
  <c r="M27" i="11"/>
  <c r="N27" i="11" s="1"/>
  <c r="K27" i="11"/>
  <c r="L27" i="11" s="1"/>
  <c r="I27" i="11"/>
  <c r="J27" i="11" s="1"/>
  <c r="G27" i="11"/>
  <c r="E27" i="11"/>
  <c r="F27" i="11" s="1"/>
  <c r="C27" i="11"/>
  <c r="M26" i="11"/>
  <c r="N26" i="11" s="1"/>
  <c r="K26" i="11"/>
  <c r="L26" i="11" s="1"/>
  <c r="I26" i="11"/>
  <c r="J26" i="11" s="1"/>
  <c r="G26" i="11"/>
  <c r="H26" i="11" s="1"/>
  <c r="E26" i="11"/>
  <c r="F26" i="11" s="1"/>
  <c r="C26" i="11"/>
  <c r="M25" i="11"/>
  <c r="N25" i="11" s="1"/>
  <c r="K25" i="11"/>
  <c r="L25" i="11" s="1"/>
  <c r="I25" i="11"/>
  <c r="J25" i="11" s="1"/>
  <c r="G25" i="11"/>
  <c r="H25" i="11" s="1"/>
  <c r="E25" i="11"/>
  <c r="F25" i="11" s="1"/>
  <c r="C25" i="11"/>
  <c r="M24" i="11"/>
  <c r="N24" i="11" s="1"/>
  <c r="K24" i="11"/>
  <c r="L24" i="11" s="1"/>
  <c r="I24" i="11"/>
  <c r="J24" i="11" s="1"/>
  <c r="G24" i="11"/>
  <c r="H24" i="11" s="1"/>
  <c r="E24" i="11"/>
  <c r="C24" i="11"/>
  <c r="D24" i="11" s="1"/>
  <c r="M23" i="11"/>
  <c r="N23" i="11" s="1"/>
  <c r="K23" i="11"/>
  <c r="L23" i="11" s="1"/>
  <c r="I23" i="11"/>
  <c r="J23" i="11" s="1"/>
  <c r="G23" i="11"/>
  <c r="H23" i="11" s="1"/>
  <c r="E23" i="11"/>
  <c r="F23" i="11" s="1"/>
  <c r="C23" i="11"/>
  <c r="M21" i="11"/>
  <c r="N21" i="11" s="1"/>
  <c r="K21" i="11"/>
  <c r="L21" i="11" s="1"/>
  <c r="I21" i="11"/>
  <c r="J21" i="11" s="1"/>
  <c r="G21" i="11"/>
  <c r="H21" i="11" s="1"/>
  <c r="E21" i="11"/>
  <c r="F21" i="11" s="1"/>
  <c r="C21" i="11"/>
  <c r="M20" i="11"/>
  <c r="N20" i="11" s="1"/>
  <c r="K20" i="11"/>
  <c r="L20" i="11" s="1"/>
  <c r="I20" i="11"/>
  <c r="J20" i="11" s="1"/>
  <c r="G20" i="11"/>
  <c r="H20" i="11" s="1"/>
  <c r="E20" i="11"/>
  <c r="F20" i="11" s="1"/>
  <c r="C20" i="11"/>
  <c r="D20" i="11" s="1"/>
  <c r="M19" i="11"/>
  <c r="N19" i="11" s="1"/>
  <c r="K19" i="11"/>
  <c r="L19" i="11" s="1"/>
  <c r="I19" i="11"/>
  <c r="J19" i="11" s="1"/>
  <c r="G19" i="11"/>
  <c r="H19" i="11" s="1"/>
  <c r="E19" i="11"/>
  <c r="F19" i="11" s="1"/>
  <c r="C19" i="11"/>
  <c r="M18" i="11"/>
  <c r="N18" i="11" s="1"/>
  <c r="K18" i="11"/>
  <c r="L18" i="11" s="1"/>
  <c r="I18" i="11"/>
  <c r="J18" i="11" s="1"/>
  <c r="G18" i="11"/>
  <c r="H18" i="11" s="1"/>
  <c r="E18" i="11"/>
  <c r="F18" i="11" s="1"/>
  <c r="C18" i="11"/>
  <c r="D18" i="11" s="1"/>
  <c r="M17" i="11"/>
  <c r="N17" i="11" s="1"/>
  <c r="K17" i="11"/>
  <c r="L17" i="11" s="1"/>
  <c r="I17" i="11"/>
  <c r="J17" i="11" s="1"/>
  <c r="G17" i="11"/>
  <c r="H17" i="11" s="1"/>
  <c r="E17" i="11"/>
  <c r="F17" i="11" s="1"/>
  <c r="C17" i="11"/>
  <c r="M16" i="11"/>
  <c r="N16" i="11" s="1"/>
  <c r="K16" i="11"/>
  <c r="L16" i="11" s="1"/>
  <c r="I16" i="11"/>
  <c r="J16" i="11" s="1"/>
  <c r="G16" i="11"/>
  <c r="H16" i="11" s="1"/>
  <c r="E16" i="11"/>
  <c r="F16" i="11" s="1"/>
  <c r="C16" i="11"/>
  <c r="D16" i="11" s="1"/>
  <c r="M15" i="11"/>
  <c r="N15" i="11" s="1"/>
  <c r="K15" i="11"/>
  <c r="L15" i="11" s="1"/>
  <c r="I15" i="11"/>
  <c r="J15" i="11" s="1"/>
  <c r="G15" i="11"/>
  <c r="H15" i="11" s="1"/>
  <c r="E15" i="11"/>
  <c r="F15" i="11" s="1"/>
  <c r="C15" i="11"/>
  <c r="M14" i="11"/>
  <c r="N14" i="11" s="1"/>
  <c r="K14" i="11"/>
  <c r="L14" i="11" s="1"/>
  <c r="I14" i="11"/>
  <c r="J14" i="11" s="1"/>
  <c r="G14" i="11"/>
  <c r="H14" i="11" s="1"/>
  <c r="E14" i="11"/>
  <c r="F14" i="11" s="1"/>
  <c r="C14" i="11"/>
  <c r="M13" i="11"/>
  <c r="N13" i="11" s="1"/>
  <c r="K13" i="11"/>
  <c r="L13" i="11" s="1"/>
  <c r="I13" i="11"/>
  <c r="J13" i="11" s="1"/>
  <c r="G13" i="11"/>
  <c r="E13" i="11"/>
  <c r="F13" i="11" s="1"/>
  <c r="C13" i="11"/>
  <c r="M12" i="11"/>
  <c r="N12" i="11" s="1"/>
  <c r="K12" i="11"/>
  <c r="L12" i="11" s="1"/>
  <c r="I12" i="11"/>
  <c r="J12" i="11" s="1"/>
  <c r="G12" i="11"/>
  <c r="H12" i="11" s="1"/>
  <c r="E12" i="11"/>
  <c r="F12" i="11" s="1"/>
  <c r="C12" i="11"/>
  <c r="M11" i="11"/>
  <c r="N11" i="11" s="1"/>
  <c r="K11" i="11"/>
  <c r="L11" i="11" s="1"/>
  <c r="I11" i="11"/>
  <c r="J11" i="11" s="1"/>
  <c r="G11" i="11"/>
  <c r="H11" i="11" s="1"/>
  <c r="E11" i="11"/>
  <c r="F11" i="11" s="1"/>
  <c r="C11" i="11"/>
  <c r="D11" i="11" s="1"/>
  <c r="M288" i="10"/>
  <c r="N288" i="10" s="1"/>
  <c r="K288" i="10"/>
  <c r="L288" i="10" s="1"/>
  <c r="I288" i="10"/>
  <c r="J288" i="10" s="1"/>
  <c r="G288" i="10"/>
  <c r="H288" i="10" s="1"/>
  <c r="E288" i="10"/>
  <c r="F288" i="10" s="1"/>
  <c r="C288" i="10"/>
  <c r="M287" i="10"/>
  <c r="N287" i="10" s="1"/>
  <c r="K287" i="10"/>
  <c r="L287" i="10" s="1"/>
  <c r="I287" i="10"/>
  <c r="J287" i="10" s="1"/>
  <c r="G287" i="10"/>
  <c r="H287" i="10" s="1"/>
  <c r="E287" i="10"/>
  <c r="C287" i="10"/>
  <c r="D287" i="10" s="1"/>
  <c r="M286" i="10"/>
  <c r="N286" i="10" s="1"/>
  <c r="K286" i="10"/>
  <c r="L286" i="10" s="1"/>
  <c r="I286" i="10"/>
  <c r="J286" i="10" s="1"/>
  <c r="G286" i="10"/>
  <c r="H286" i="10" s="1"/>
  <c r="E286" i="10"/>
  <c r="F286" i="10" s="1"/>
  <c r="C286" i="10"/>
  <c r="M285" i="10"/>
  <c r="N285" i="10" s="1"/>
  <c r="K285" i="10"/>
  <c r="L285" i="10" s="1"/>
  <c r="I285" i="10"/>
  <c r="J285" i="10" s="1"/>
  <c r="G285" i="10"/>
  <c r="H285" i="10" s="1"/>
  <c r="E285" i="10"/>
  <c r="C285" i="10"/>
  <c r="D285" i="10" s="1"/>
  <c r="M284" i="10"/>
  <c r="N284" i="10" s="1"/>
  <c r="K284" i="10"/>
  <c r="L284" i="10" s="1"/>
  <c r="I284" i="10"/>
  <c r="J284" i="10" s="1"/>
  <c r="G284" i="10"/>
  <c r="H284" i="10" s="1"/>
  <c r="E284" i="10"/>
  <c r="F284" i="10" s="1"/>
  <c r="C284" i="10"/>
  <c r="M283" i="10"/>
  <c r="N283" i="10" s="1"/>
  <c r="K283" i="10"/>
  <c r="L283" i="10" s="1"/>
  <c r="I283" i="10"/>
  <c r="J283" i="10" s="1"/>
  <c r="G283" i="10"/>
  <c r="H283" i="10" s="1"/>
  <c r="E283" i="10"/>
  <c r="F283" i="10" s="1"/>
  <c r="C283" i="10"/>
  <c r="M282" i="10"/>
  <c r="N282" i="10" s="1"/>
  <c r="K282" i="10"/>
  <c r="L282" i="10" s="1"/>
  <c r="I282" i="10"/>
  <c r="J282" i="10" s="1"/>
  <c r="G282" i="10"/>
  <c r="H282" i="10" s="1"/>
  <c r="E282" i="10"/>
  <c r="C282" i="10"/>
  <c r="D282" i="10" s="1"/>
  <c r="M281" i="10"/>
  <c r="N281" i="10" s="1"/>
  <c r="K281" i="10"/>
  <c r="L281" i="10" s="1"/>
  <c r="I281" i="10"/>
  <c r="J281" i="10" s="1"/>
  <c r="G281" i="10"/>
  <c r="H281" i="10" s="1"/>
  <c r="E281" i="10"/>
  <c r="F281" i="10" s="1"/>
  <c r="C281" i="10"/>
  <c r="M280" i="10"/>
  <c r="N280" i="10" s="1"/>
  <c r="K280" i="10"/>
  <c r="L280" i="10" s="1"/>
  <c r="I280" i="10"/>
  <c r="J280" i="10" s="1"/>
  <c r="G280" i="10"/>
  <c r="H280" i="10" s="1"/>
  <c r="E280" i="10"/>
  <c r="F280" i="10" s="1"/>
  <c r="C280" i="10"/>
  <c r="M279" i="10"/>
  <c r="N279" i="10" s="1"/>
  <c r="K279" i="10"/>
  <c r="L279" i="10" s="1"/>
  <c r="I279" i="10"/>
  <c r="J279" i="10" s="1"/>
  <c r="G279" i="10"/>
  <c r="H279" i="10" s="1"/>
  <c r="E279" i="10"/>
  <c r="C279" i="10"/>
  <c r="D279" i="10" s="1"/>
  <c r="M278" i="10"/>
  <c r="N278" i="10" s="1"/>
  <c r="K278" i="10"/>
  <c r="L278" i="10" s="1"/>
  <c r="I278" i="10"/>
  <c r="J278" i="10" s="1"/>
  <c r="G278" i="10"/>
  <c r="H278" i="10" s="1"/>
  <c r="E278" i="10"/>
  <c r="F278" i="10" s="1"/>
  <c r="C278" i="10"/>
  <c r="M277" i="10"/>
  <c r="N277" i="10" s="1"/>
  <c r="K277" i="10"/>
  <c r="L277" i="10" s="1"/>
  <c r="I277" i="10"/>
  <c r="J277" i="10" s="1"/>
  <c r="G277" i="10"/>
  <c r="H277" i="10" s="1"/>
  <c r="E277" i="10"/>
  <c r="F277" i="10" s="1"/>
  <c r="C277" i="10"/>
  <c r="M276" i="10"/>
  <c r="N276" i="10" s="1"/>
  <c r="K276" i="10"/>
  <c r="L276" i="10" s="1"/>
  <c r="I276" i="10"/>
  <c r="J276" i="10" s="1"/>
  <c r="G276" i="10"/>
  <c r="H276" i="10" s="1"/>
  <c r="E276" i="10"/>
  <c r="C276" i="10"/>
  <c r="D276" i="10" s="1"/>
  <c r="M275" i="10"/>
  <c r="N275" i="10" s="1"/>
  <c r="K275" i="10"/>
  <c r="L275" i="10" s="1"/>
  <c r="I275" i="10"/>
  <c r="J275" i="10" s="1"/>
  <c r="G275" i="10"/>
  <c r="H275" i="10" s="1"/>
  <c r="E275" i="10"/>
  <c r="F275" i="10" s="1"/>
  <c r="C275" i="10"/>
  <c r="T188" i="10"/>
  <c r="M204" i="10"/>
  <c r="N204" i="10" s="1"/>
  <c r="K204" i="10"/>
  <c r="L204" i="10" s="1"/>
  <c r="I204" i="10"/>
  <c r="J204" i="10" s="1"/>
  <c r="G204" i="10"/>
  <c r="H204" i="10" s="1"/>
  <c r="E204" i="10"/>
  <c r="F204" i="10" s="1"/>
  <c r="C204" i="10"/>
  <c r="M203" i="10"/>
  <c r="N203" i="10" s="1"/>
  <c r="K203" i="10"/>
  <c r="L203" i="10" s="1"/>
  <c r="I203" i="10"/>
  <c r="J203" i="10" s="1"/>
  <c r="G203" i="10"/>
  <c r="H203" i="10" s="1"/>
  <c r="E203" i="10"/>
  <c r="F203" i="10" s="1"/>
  <c r="C203" i="10"/>
  <c r="D203" i="10" s="1"/>
  <c r="M202" i="10"/>
  <c r="N202" i="10" s="1"/>
  <c r="K202" i="10"/>
  <c r="L202" i="10" s="1"/>
  <c r="I202" i="10"/>
  <c r="J202" i="10" s="1"/>
  <c r="G202" i="10"/>
  <c r="H202" i="10" s="1"/>
  <c r="E202" i="10"/>
  <c r="F202" i="10" s="1"/>
  <c r="C202" i="10"/>
  <c r="M201" i="10"/>
  <c r="N201" i="10" s="1"/>
  <c r="K201" i="10"/>
  <c r="L201" i="10" s="1"/>
  <c r="I201" i="10"/>
  <c r="J201" i="10" s="1"/>
  <c r="G201" i="10"/>
  <c r="H201" i="10" s="1"/>
  <c r="E201" i="10"/>
  <c r="F201" i="10" s="1"/>
  <c r="C201" i="10"/>
  <c r="M200" i="10"/>
  <c r="N200" i="10" s="1"/>
  <c r="K200" i="10"/>
  <c r="L200" i="10" s="1"/>
  <c r="I200" i="10"/>
  <c r="J200" i="10" s="1"/>
  <c r="G200" i="10"/>
  <c r="E200" i="10"/>
  <c r="F200" i="10" s="1"/>
  <c r="C200" i="10"/>
  <c r="D200" i="10" s="1"/>
  <c r="M199" i="10"/>
  <c r="N199" i="10" s="1"/>
  <c r="K199" i="10"/>
  <c r="L199" i="10" s="1"/>
  <c r="I199" i="10"/>
  <c r="J199" i="10" s="1"/>
  <c r="G199" i="10"/>
  <c r="H199" i="10" s="1"/>
  <c r="E199" i="10"/>
  <c r="F199" i="10" s="1"/>
  <c r="C199" i="10"/>
  <c r="M198" i="10"/>
  <c r="N198" i="10" s="1"/>
  <c r="K198" i="10"/>
  <c r="L198" i="10" s="1"/>
  <c r="I198" i="10"/>
  <c r="J198" i="10" s="1"/>
  <c r="G198" i="10"/>
  <c r="H198" i="10" s="1"/>
  <c r="E198" i="10"/>
  <c r="F198" i="10" s="1"/>
  <c r="C198" i="10"/>
  <c r="M197" i="10"/>
  <c r="N197" i="10" s="1"/>
  <c r="K197" i="10"/>
  <c r="L197" i="10" s="1"/>
  <c r="I197" i="10"/>
  <c r="J197" i="10" s="1"/>
  <c r="G197" i="10"/>
  <c r="H197" i="10" s="1"/>
  <c r="E197" i="10"/>
  <c r="C197" i="10"/>
  <c r="D197" i="10" s="1"/>
  <c r="T159" i="10"/>
  <c r="T190" i="10"/>
  <c r="G190" i="10" s="1"/>
  <c r="H190" i="10" s="1"/>
  <c r="M189" i="10"/>
  <c r="N189" i="10" s="1"/>
  <c r="K189" i="10"/>
  <c r="L189" i="10" s="1"/>
  <c r="I189" i="10"/>
  <c r="J189" i="10" s="1"/>
  <c r="G189" i="10"/>
  <c r="E189" i="10"/>
  <c r="F189" i="10" s="1"/>
  <c r="C189" i="10"/>
  <c r="D189" i="10" s="1"/>
  <c r="T145" i="10"/>
  <c r="T143" i="10"/>
  <c r="O41" i="4" l="1"/>
  <c r="R41" i="4" s="1"/>
  <c r="D202" i="10"/>
  <c r="O202" i="10"/>
  <c r="R202" i="10" s="1"/>
  <c r="O280" i="10"/>
  <c r="R280" i="10" s="1"/>
  <c r="O284" i="10"/>
  <c r="R284" i="10" s="1"/>
  <c r="O288" i="10"/>
  <c r="R288" i="10" s="1"/>
  <c r="O204" i="10"/>
  <c r="R204" i="10" s="1"/>
  <c r="O278" i="10"/>
  <c r="R278" i="10" s="1"/>
  <c r="O286" i="10"/>
  <c r="R286" i="10" s="1"/>
  <c r="O31" i="11"/>
  <c r="R31" i="11" s="1"/>
  <c r="O150" i="11"/>
  <c r="R150" i="11" s="1"/>
  <c r="D13" i="11"/>
  <c r="O13" i="11"/>
  <c r="R13" i="11" s="1"/>
  <c r="O17" i="11"/>
  <c r="R17" i="11" s="1"/>
  <c r="O21" i="11"/>
  <c r="R21" i="11" s="1"/>
  <c r="O58" i="11"/>
  <c r="R58" i="11" s="1"/>
  <c r="D62" i="11"/>
  <c r="O62" i="11"/>
  <c r="R62" i="11" s="1"/>
  <c r="O64" i="11"/>
  <c r="R64" i="11" s="1"/>
  <c r="D70" i="11"/>
  <c r="O70" i="11"/>
  <c r="R70" i="11" s="1"/>
  <c r="D74" i="11"/>
  <c r="O74" i="11"/>
  <c r="R74" i="11" s="1"/>
  <c r="O78" i="11"/>
  <c r="R78" i="11" s="1"/>
  <c r="D97" i="11"/>
  <c r="O97" i="11"/>
  <c r="R97" i="11" s="1"/>
  <c r="O101" i="11"/>
  <c r="R101" i="11" s="1"/>
  <c r="D107" i="11"/>
  <c r="O107" i="11"/>
  <c r="R107" i="11" s="1"/>
  <c r="O111" i="11"/>
  <c r="R111" i="11" s="1"/>
  <c r="O140" i="11"/>
  <c r="R140" i="11" s="1"/>
  <c r="D144" i="11"/>
  <c r="O144" i="11"/>
  <c r="R144" i="11" s="1"/>
  <c r="O148" i="11"/>
  <c r="R148" i="11" s="1"/>
  <c r="D29" i="11"/>
  <c r="O29" i="11"/>
  <c r="R29" i="11" s="1"/>
  <c r="D33" i="11"/>
  <c r="O33" i="11"/>
  <c r="R33" i="11" s="1"/>
  <c r="D152" i="11"/>
  <c r="O152" i="11"/>
  <c r="R152" i="11" s="1"/>
  <c r="D27" i="11"/>
  <c r="O27" i="11"/>
  <c r="R27" i="11" s="1"/>
  <c r="O15" i="11"/>
  <c r="R15" i="11" s="1"/>
  <c r="O19" i="11"/>
  <c r="R19" i="11" s="1"/>
  <c r="D54" i="11"/>
  <c r="O54" i="11"/>
  <c r="R54" i="11" s="1"/>
  <c r="O60" i="11"/>
  <c r="R60" i="11" s="1"/>
  <c r="D56" i="11"/>
  <c r="O56" i="11"/>
  <c r="R56" i="11" s="1"/>
  <c r="D72" i="11"/>
  <c r="O72" i="11"/>
  <c r="R72" i="11" s="1"/>
  <c r="D109" i="11"/>
  <c r="O109" i="11"/>
  <c r="R109" i="11" s="1"/>
  <c r="D113" i="11"/>
  <c r="O113" i="11"/>
  <c r="R113" i="11" s="1"/>
  <c r="O142" i="11"/>
  <c r="R142" i="11" s="1"/>
  <c r="D146" i="11"/>
  <c r="O146" i="11"/>
  <c r="R146" i="11" s="1"/>
  <c r="D160" i="11"/>
  <c r="O160" i="11"/>
  <c r="R160" i="11" s="1"/>
  <c r="D186" i="11"/>
  <c r="O186" i="11"/>
  <c r="R186" i="11" s="1"/>
  <c r="R205" i="11" s="1"/>
  <c r="R219" i="11" s="1"/>
  <c r="O283" i="10"/>
  <c r="M190" i="10"/>
  <c r="N190" i="10" s="1"/>
  <c r="O40" i="4"/>
  <c r="D41" i="4"/>
  <c r="O80" i="11"/>
  <c r="O12" i="11"/>
  <c r="O108" i="11"/>
  <c r="O23" i="11"/>
  <c r="O126" i="11"/>
  <c r="D126" i="11"/>
  <c r="D23" i="11"/>
  <c r="O26" i="11"/>
  <c r="O11" i="11"/>
  <c r="O24" i="11"/>
  <c r="O25" i="11"/>
  <c r="O139" i="11"/>
  <c r="D139" i="11"/>
  <c r="O20" i="11"/>
  <c r="O32" i="11"/>
  <c r="O55" i="11"/>
  <c r="O106" i="11"/>
  <c r="O147" i="11"/>
  <c r="O161" i="11"/>
  <c r="O149" i="11"/>
  <c r="O162" i="11"/>
  <c r="O164" i="11"/>
  <c r="O165" i="11"/>
  <c r="O170" i="11"/>
  <c r="O171" i="11"/>
  <c r="O178" i="11"/>
  <c r="O183" i="11"/>
  <c r="O190" i="11"/>
  <c r="O156" i="11"/>
  <c r="O167" i="11"/>
  <c r="O173" i="11"/>
  <c r="O185" i="11"/>
  <c r="O68" i="11"/>
  <c r="O69" i="11"/>
  <c r="O76" i="11"/>
  <c r="O94" i="11"/>
  <c r="O99" i="11"/>
  <c r="O143" i="11"/>
  <c r="O157" i="11"/>
  <c r="O151" i="11"/>
  <c r="O163" i="11"/>
  <c r="O177" i="11"/>
  <c r="O189" i="11"/>
  <c r="H33" i="11"/>
  <c r="O53" i="11"/>
  <c r="O83" i="11"/>
  <c r="D76" i="11"/>
  <c r="O96" i="11"/>
  <c r="D99" i="11"/>
  <c r="O128" i="11"/>
  <c r="D143" i="11"/>
  <c r="D157" i="11"/>
  <c r="D151" i="11"/>
  <c r="O79" i="11"/>
  <c r="O81" i="11"/>
  <c r="O75" i="11"/>
  <c r="O100" i="11"/>
  <c r="O129" i="11"/>
  <c r="O130" i="11"/>
  <c r="O52" i="11"/>
  <c r="D79" i="11"/>
  <c r="O77" i="11"/>
  <c r="O98" i="11"/>
  <c r="D129" i="11"/>
  <c r="D130" i="11"/>
  <c r="O110" i="11"/>
  <c r="O135" i="11"/>
  <c r="O176" i="11"/>
  <c r="O188" i="11"/>
  <c r="D111" i="11"/>
  <c r="O73" i="11"/>
  <c r="O71" i="11"/>
  <c r="O30" i="11"/>
  <c r="O28" i="11"/>
  <c r="H27" i="11"/>
  <c r="F29" i="11"/>
  <c r="D31" i="11"/>
  <c r="D19" i="11"/>
  <c r="O14" i="11"/>
  <c r="D15" i="11"/>
  <c r="O16" i="11"/>
  <c r="O187" i="11"/>
  <c r="D183" i="11"/>
  <c r="O184" i="11"/>
  <c r="D185" i="11"/>
  <c r="H189" i="11"/>
  <c r="D190" i="11"/>
  <c r="O136" i="11"/>
  <c r="O158" i="11"/>
  <c r="O169" i="11"/>
  <c r="O175" i="11"/>
  <c r="D140" i="11"/>
  <c r="O141" i="11"/>
  <c r="D148" i="11"/>
  <c r="O155" i="11"/>
  <c r="D149" i="11"/>
  <c r="D165" i="11"/>
  <c r="O166" i="11"/>
  <c r="D171" i="11"/>
  <c r="O172" i="11"/>
  <c r="O138" i="11"/>
  <c r="D142" i="11"/>
  <c r="H146" i="11"/>
  <c r="D156" i="11"/>
  <c r="H160" i="11"/>
  <c r="D150" i="11"/>
  <c r="H163" i="11"/>
  <c r="D167" i="11"/>
  <c r="O168" i="11"/>
  <c r="D173" i="11"/>
  <c r="O174" i="11"/>
  <c r="H177" i="11"/>
  <c r="D147" i="11"/>
  <c r="D161" i="11"/>
  <c r="F162" i="11"/>
  <c r="D164" i="11"/>
  <c r="F170" i="11"/>
  <c r="D178" i="11"/>
  <c r="O137" i="11"/>
  <c r="O145" i="11"/>
  <c r="O159" i="11"/>
  <c r="O105" i="11"/>
  <c r="H108" i="11"/>
  <c r="F110" i="11"/>
  <c r="H113" i="11"/>
  <c r="D106" i="11"/>
  <c r="O112" i="11"/>
  <c r="D128" i="11"/>
  <c r="O127" i="11"/>
  <c r="D69" i="11"/>
  <c r="H73" i="11"/>
  <c r="H75" i="11"/>
  <c r="F77" i="11"/>
  <c r="D94" i="11"/>
  <c r="O95" i="11"/>
  <c r="H98" i="11"/>
  <c r="F100" i="11"/>
  <c r="D71" i="11"/>
  <c r="D96" i="11"/>
  <c r="D68" i="11"/>
  <c r="F74" i="11"/>
  <c r="D78" i="11"/>
  <c r="D101" i="11"/>
  <c r="O63" i="11"/>
  <c r="H80" i="11"/>
  <c r="H52" i="11"/>
  <c r="D58" i="11"/>
  <c r="O59" i="11"/>
  <c r="H62" i="11"/>
  <c r="D64" i="11"/>
  <c r="D81" i="11"/>
  <c r="O82" i="11"/>
  <c r="O57" i="11"/>
  <c r="D53" i="11"/>
  <c r="D55" i="11"/>
  <c r="D60" i="11"/>
  <c r="O61" i="11"/>
  <c r="D83" i="11"/>
  <c r="F24" i="11"/>
  <c r="D26" i="11"/>
  <c r="H30" i="11"/>
  <c r="D32" i="11"/>
  <c r="D28" i="11"/>
  <c r="D25" i="11"/>
  <c r="H13" i="11"/>
  <c r="D17" i="11"/>
  <c r="O18" i="11"/>
  <c r="D21" i="11"/>
  <c r="D14" i="11"/>
  <c r="D12" i="11"/>
  <c r="O287" i="10"/>
  <c r="O285" i="10"/>
  <c r="F287" i="10"/>
  <c r="O281" i="10"/>
  <c r="O282" i="10"/>
  <c r="D288" i="10"/>
  <c r="C190" i="10"/>
  <c r="F282" i="10"/>
  <c r="D284" i="10"/>
  <c r="F285" i="10"/>
  <c r="D281" i="10"/>
  <c r="O199" i="10"/>
  <c r="O279" i="10"/>
  <c r="D283" i="10"/>
  <c r="D286" i="10"/>
  <c r="O277" i="10"/>
  <c r="O198" i="10"/>
  <c r="O275" i="10"/>
  <c r="O276" i="10"/>
  <c r="F276" i="10"/>
  <c r="D278" i="10"/>
  <c r="F279" i="10"/>
  <c r="O197" i="10"/>
  <c r="D275" i="10"/>
  <c r="O200" i="10"/>
  <c r="I190" i="10"/>
  <c r="J190" i="10" s="1"/>
  <c r="H200" i="10"/>
  <c r="D277" i="10"/>
  <c r="D280" i="10"/>
  <c r="K190" i="10"/>
  <c r="L190" i="10" s="1"/>
  <c r="O201" i="10"/>
  <c r="F197" i="10"/>
  <c r="D199" i="10"/>
  <c r="O203" i="10"/>
  <c r="D201" i="10"/>
  <c r="D204" i="10"/>
  <c r="D198" i="10"/>
  <c r="O189" i="10"/>
  <c r="E190" i="10"/>
  <c r="F190" i="10" s="1"/>
  <c r="H189" i="10"/>
  <c r="M42" i="10"/>
  <c r="N42" i="10" s="1"/>
  <c r="K42" i="10"/>
  <c r="L42" i="10" s="1"/>
  <c r="I42" i="10"/>
  <c r="J42" i="10" s="1"/>
  <c r="G42" i="10"/>
  <c r="H42" i="10" s="1"/>
  <c r="E42" i="10"/>
  <c r="F42" i="10" s="1"/>
  <c r="C42" i="10"/>
  <c r="M40" i="10"/>
  <c r="N40" i="10" s="1"/>
  <c r="K40" i="10"/>
  <c r="L40" i="10" s="1"/>
  <c r="I40" i="10"/>
  <c r="J40" i="10" s="1"/>
  <c r="G40" i="10"/>
  <c r="H40" i="10" s="1"/>
  <c r="E40" i="10"/>
  <c r="F40" i="10" s="1"/>
  <c r="C40" i="10"/>
  <c r="D40" i="10" s="1"/>
  <c r="M39" i="10"/>
  <c r="N39" i="10" s="1"/>
  <c r="K39" i="10"/>
  <c r="L39" i="10" s="1"/>
  <c r="I39" i="10"/>
  <c r="J39" i="10" s="1"/>
  <c r="G39" i="10"/>
  <c r="H39" i="10" s="1"/>
  <c r="E39" i="10"/>
  <c r="F39" i="10" s="1"/>
  <c r="C39" i="10"/>
  <c r="M326" i="10"/>
  <c r="N326" i="10" s="1"/>
  <c r="K326" i="10"/>
  <c r="L326" i="10" s="1"/>
  <c r="I326" i="10"/>
  <c r="J326" i="10" s="1"/>
  <c r="G326" i="10"/>
  <c r="H326" i="10" s="1"/>
  <c r="E326" i="10"/>
  <c r="F326" i="10" s="1"/>
  <c r="C326" i="10"/>
  <c r="M325" i="10"/>
  <c r="N325" i="10" s="1"/>
  <c r="K325" i="10"/>
  <c r="L325" i="10" s="1"/>
  <c r="I325" i="10"/>
  <c r="J325" i="10" s="1"/>
  <c r="G325" i="10"/>
  <c r="H325" i="10" s="1"/>
  <c r="E325" i="10"/>
  <c r="C325" i="10"/>
  <c r="D325" i="10" s="1"/>
  <c r="M324" i="10"/>
  <c r="N324" i="10" s="1"/>
  <c r="K324" i="10"/>
  <c r="L324" i="10" s="1"/>
  <c r="I324" i="10"/>
  <c r="J324" i="10" s="1"/>
  <c r="G324" i="10"/>
  <c r="H324" i="10" s="1"/>
  <c r="E324" i="10"/>
  <c r="F324" i="10" s="1"/>
  <c r="C324" i="10"/>
  <c r="D324" i="10" s="1"/>
  <c r="M323" i="10"/>
  <c r="N323" i="10" s="1"/>
  <c r="K323" i="10"/>
  <c r="L323" i="10" s="1"/>
  <c r="I323" i="10"/>
  <c r="J323" i="10" s="1"/>
  <c r="G323" i="10"/>
  <c r="H323" i="10" s="1"/>
  <c r="E323" i="10"/>
  <c r="C323" i="10"/>
  <c r="D323" i="10" s="1"/>
  <c r="M322" i="10"/>
  <c r="N322" i="10" s="1"/>
  <c r="K322" i="10"/>
  <c r="L322" i="10" s="1"/>
  <c r="I322" i="10"/>
  <c r="J322" i="10" s="1"/>
  <c r="G322" i="10"/>
  <c r="H322" i="10" s="1"/>
  <c r="E322" i="10"/>
  <c r="F322" i="10" s="1"/>
  <c r="C322" i="10"/>
  <c r="M321" i="10"/>
  <c r="N321" i="10" s="1"/>
  <c r="K321" i="10"/>
  <c r="L321" i="10" s="1"/>
  <c r="I321" i="10"/>
  <c r="J321" i="10" s="1"/>
  <c r="G321" i="10"/>
  <c r="H321" i="10" s="1"/>
  <c r="E321" i="10"/>
  <c r="F321" i="10" s="1"/>
  <c r="C321" i="10"/>
  <c r="D321" i="10" s="1"/>
  <c r="M320" i="10"/>
  <c r="N320" i="10" s="1"/>
  <c r="K320" i="10"/>
  <c r="L320" i="10" s="1"/>
  <c r="I320" i="10"/>
  <c r="J320" i="10" s="1"/>
  <c r="G320" i="10"/>
  <c r="H320" i="10" s="1"/>
  <c r="E320" i="10"/>
  <c r="F320" i="10" s="1"/>
  <c r="C320" i="10"/>
  <c r="M319" i="10"/>
  <c r="N319" i="10" s="1"/>
  <c r="K319" i="10"/>
  <c r="L319" i="10" s="1"/>
  <c r="I319" i="10"/>
  <c r="J319" i="10" s="1"/>
  <c r="G319" i="10"/>
  <c r="H319" i="10" s="1"/>
  <c r="E319" i="10"/>
  <c r="F319" i="10" s="1"/>
  <c r="C319" i="10"/>
  <c r="M318" i="10"/>
  <c r="N318" i="10" s="1"/>
  <c r="K318" i="10"/>
  <c r="L318" i="10" s="1"/>
  <c r="I318" i="10"/>
  <c r="J318" i="10" s="1"/>
  <c r="G318" i="10"/>
  <c r="H318" i="10" s="1"/>
  <c r="E318" i="10"/>
  <c r="F318" i="10" s="1"/>
  <c r="C318" i="10"/>
  <c r="M317" i="10"/>
  <c r="N317" i="10" s="1"/>
  <c r="K317" i="10"/>
  <c r="L317" i="10" s="1"/>
  <c r="I317" i="10"/>
  <c r="J317" i="10" s="1"/>
  <c r="G317" i="10"/>
  <c r="H317" i="10" s="1"/>
  <c r="E317" i="10"/>
  <c r="F317" i="10" s="1"/>
  <c r="C317" i="10"/>
  <c r="D317" i="10" s="1"/>
  <c r="M316" i="10"/>
  <c r="N316" i="10" s="1"/>
  <c r="K316" i="10"/>
  <c r="L316" i="10" s="1"/>
  <c r="I316" i="10"/>
  <c r="J316" i="10" s="1"/>
  <c r="G316" i="10"/>
  <c r="H316" i="10" s="1"/>
  <c r="E316" i="10"/>
  <c r="F316" i="10" s="1"/>
  <c r="C316" i="10"/>
  <c r="M315" i="10"/>
  <c r="N315" i="10" s="1"/>
  <c r="K315" i="10"/>
  <c r="L315" i="10" s="1"/>
  <c r="I315" i="10"/>
  <c r="J315" i="10" s="1"/>
  <c r="G315" i="10"/>
  <c r="H315" i="10" s="1"/>
  <c r="E315" i="10"/>
  <c r="F315" i="10" s="1"/>
  <c r="C315" i="10"/>
  <c r="M314" i="10"/>
  <c r="N314" i="10" s="1"/>
  <c r="K314" i="10"/>
  <c r="L314" i="10" s="1"/>
  <c r="I314" i="10"/>
  <c r="J314" i="10" s="1"/>
  <c r="G314" i="10"/>
  <c r="H314" i="10" s="1"/>
  <c r="E314" i="10"/>
  <c r="C314" i="10"/>
  <c r="D314" i="10" s="1"/>
  <c r="M313" i="10"/>
  <c r="N313" i="10" s="1"/>
  <c r="K313" i="10"/>
  <c r="L313" i="10" s="1"/>
  <c r="I313" i="10"/>
  <c r="J313" i="10" s="1"/>
  <c r="G313" i="10"/>
  <c r="H313" i="10" s="1"/>
  <c r="E313" i="10"/>
  <c r="F313" i="10" s="1"/>
  <c r="C313" i="10"/>
  <c r="D313" i="10" s="1"/>
  <c r="M312" i="10"/>
  <c r="N312" i="10" s="1"/>
  <c r="K312" i="10"/>
  <c r="L312" i="10" s="1"/>
  <c r="I312" i="10"/>
  <c r="J312" i="10" s="1"/>
  <c r="G312" i="10"/>
  <c r="H312" i="10" s="1"/>
  <c r="E312" i="10"/>
  <c r="F312" i="10" s="1"/>
  <c r="C312" i="10"/>
  <c r="D312" i="10" s="1"/>
  <c r="M311" i="10"/>
  <c r="N311" i="10" s="1"/>
  <c r="K311" i="10"/>
  <c r="L311" i="10" s="1"/>
  <c r="I311" i="10"/>
  <c r="J311" i="10" s="1"/>
  <c r="G311" i="10"/>
  <c r="H311" i="10" s="1"/>
  <c r="E311" i="10"/>
  <c r="F311" i="10" s="1"/>
  <c r="C311" i="10"/>
  <c r="M296" i="10"/>
  <c r="N296" i="10" s="1"/>
  <c r="K296" i="10"/>
  <c r="L296" i="10" s="1"/>
  <c r="I296" i="10"/>
  <c r="J296" i="10" s="1"/>
  <c r="G296" i="10"/>
  <c r="E296" i="10"/>
  <c r="F296" i="10" s="1"/>
  <c r="C296" i="10"/>
  <c r="M295" i="10"/>
  <c r="N295" i="10" s="1"/>
  <c r="K295" i="10"/>
  <c r="L295" i="10" s="1"/>
  <c r="I295" i="10"/>
  <c r="J295" i="10" s="1"/>
  <c r="G295" i="10"/>
  <c r="H295" i="10" s="1"/>
  <c r="E295" i="10"/>
  <c r="F295" i="10" s="1"/>
  <c r="C295" i="10"/>
  <c r="M294" i="10"/>
  <c r="N294" i="10" s="1"/>
  <c r="K294" i="10"/>
  <c r="L294" i="10" s="1"/>
  <c r="I294" i="10"/>
  <c r="J294" i="10" s="1"/>
  <c r="G294" i="10"/>
  <c r="H294" i="10" s="1"/>
  <c r="E294" i="10"/>
  <c r="F294" i="10" s="1"/>
  <c r="C294" i="10"/>
  <c r="M293" i="10"/>
  <c r="N293" i="10" s="1"/>
  <c r="K293" i="10"/>
  <c r="L293" i="10" s="1"/>
  <c r="I293" i="10"/>
  <c r="J293" i="10" s="1"/>
  <c r="G293" i="10"/>
  <c r="H293" i="10" s="1"/>
  <c r="E293" i="10"/>
  <c r="C293" i="10"/>
  <c r="D293" i="10" s="1"/>
  <c r="M292" i="10"/>
  <c r="N292" i="10" s="1"/>
  <c r="K292" i="10"/>
  <c r="L292" i="10" s="1"/>
  <c r="I292" i="10"/>
  <c r="J292" i="10" s="1"/>
  <c r="G292" i="10"/>
  <c r="H292" i="10" s="1"/>
  <c r="E292" i="10"/>
  <c r="F292" i="10" s="1"/>
  <c r="C292" i="10"/>
  <c r="M291" i="10"/>
  <c r="N291" i="10" s="1"/>
  <c r="K291" i="10"/>
  <c r="L291" i="10" s="1"/>
  <c r="I291" i="10"/>
  <c r="J291" i="10" s="1"/>
  <c r="G291" i="10"/>
  <c r="H291" i="10" s="1"/>
  <c r="E291" i="10"/>
  <c r="F291" i="10" s="1"/>
  <c r="C291" i="10"/>
  <c r="D291" i="10" s="1"/>
  <c r="M290" i="10"/>
  <c r="N290" i="10" s="1"/>
  <c r="K290" i="10"/>
  <c r="L290" i="10" s="1"/>
  <c r="I290" i="10"/>
  <c r="J290" i="10" s="1"/>
  <c r="G290" i="10"/>
  <c r="H290" i="10" s="1"/>
  <c r="E290" i="10"/>
  <c r="F290" i="10" s="1"/>
  <c r="C290" i="10"/>
  <c r="M289" i="10"/>
  <c r="N289" i="10" s="1"/>
  <c r="K289" i="10"/>
  <c r="L289" i="10" s="1"/>
  <c r="I289" i="10"/>
  <c r="J289" i="10" s="1"/>
  <c r="G289" i="10"/>
  <c r="H289" i="10" s="1"/>
  <c r="E289" i="10"/>
  <c r="F289" i="10" s="1"/>
  <c r="C289" i="10"/>
  <c r="M274" i="10"/>
  <c r="N274" i="10" s="1"/>
  <c r="K274" i="10"/>
  <c r="L274" i="10" s="1"/>
  <c r="I274" i="10"/>
  <c r="J274" i="10" s="1"/>
  <c r="G274" i="10"/>
  <c r="E274" i="10"/>
  <c r="F274" i="10" s="1"/>
  <c r="C274" i="10"/>
  <c r="M273" i="10"/>
  <c r="N273" i="10" s="1"/>
  <c r="K273" i="10"/>
  <c r="L273" i="10" s="1"/>
  <c r="I273" i="10"/>
  <c r="J273" i="10" s="1"/>
  <c r="G273" i="10"/>
  <c r="H273" i="10" s="1"/>
  <c r="E273" i="10"/>
  <c r="F273" i="10" s="1"/>
  <c r="C273" i="10"/>
  <c r="M272" i="10"/>
  <c r="N272" i="10" s="1"/>
  <c r="K272" i="10"/>
  <c r="L272" i="10" s="1"/>
  <c r="I272" i="10"/>
  <c r="J272" i="10" s="1"/>
  <c r="G272" i="10"/>
  <c r="H272" i="10" s="1"/>
  <c r="E272" i="10"/>
  <c r="C272" i="10"/>
  <c r="M271" i="10"/>
  <c r="N271" i="10" s="1"/>
  <c r="K271" i="10"/>
  <c r="L271" i="10" s="1"/>
  <c r="I271" i="10"/>
  <c r="J271" i="10" s="1"/>
  <c r="G271" i="10"/>
  <c r="H271" i="10" s="1"/>
  <c r="E271" i="10"/>
  <c r="C271" i="10"/>
  <c r="D271" i="10" s="1"/>
  <c r="M270" i="10"/>
  <c r="N270" i="10" s="1"/>
  <c r="K270" i="10"/>
  <c r="L270" i="10" s="1"/>
  <c r="I270" i="10"/>
  <c r="J270" i="10" s="1"/>
  <c r="G270" i="10"/>
  <c r="H270" i="10" s="1"/>
  <c r="E270" i="10"/>
  <c r="F270" i="10" s="1"/>
  <c r="C270" i="10"/>
  <c r="D270" i="10" s="1"/>
  <c r="M269" i="10"/>
  <c r="N269" i="10" s="1"/>
  <c r="K269" i="10"/>
  <c r="L269" i="10" s="1"/>
  <c r="I269" i="10"/>
  <c r="J269" i="10" s="1"/>
  <c r="G269" i="10"/>
  <c r="E269" i="10"/>
  <c r="F269" i="10" s="1"/>
  <c r="C269" i="10"/>
  <c r="D269" i="10" s="1"/>
  <c r="M268" i="10"/>
  <c r="N268" i="10" s="1"/>
  <c r="K268" i="10"/>
  <c r="L268" i="10" s="1"/>
  <c r="I268" i="10"/>
  <c r="J268" i="10" s="1"/>
  <c r="G268" i="10"/>
  <c r="H268" i="10" s="1"/>
  <c r="E268" i="10"/>
  <c r="F268" i="10" s="1"/>
  <c r="C268" i="10"/>
  <c r="M257" i="10"/>
  <c r="N257" i="10" s="1"/>
  <c r="K257" i="10"/>
  <c r="L257" i="10" s="1"/>
  <c r="I257" i="10"/>
  <c r="J257" i="10" s="1"/>
  <c r="G257" i="10"/>
  <c r="H257" i="10" s="1"/>
  <c r="E257" i="10"/>
  <c r="F257" i="10" s="1"/>
  <c r="C257" i="10"/>
  <c r="M256" i="10"/>
  <c r="N256" i="10" s="1"/>
  <c r="K256" i="10"/>
  <c r="L256" i="10" s="1"/>
  <c r="I256" i="10"/>
  <c r="J256" i="10" s="1"/>
  <c r="G256" i="10"/>
  <c r="H256" i="10" s="1"/>
  <c r="E256" i="10"/>
  <c r="C256" i="10"/>
  <c r="D256" i="10" s="1"/>
  <c r="M255" i="10"/>
  <c r="N255" i="10" s="1"/>
  <c r="K255" i="10"/>
  <c r="L255" i="10" s="1"/>
  <c r="I255" i="10"/>
  <c r="J255" i="10" s="1"/>
  <c r="G255" i="10"/>
  <c r="H255" i="10" s="1"/>
  <c r="E255" i="10"/>
  <c r="F255" i="10" s="1"/>
  <c r="C255" i="10"/>
  <c r="M251" i="10"/>
  <c r="N251" i="10" s="1"/>
  <c r="K251" i="10"/>
  <c r="L251" i="10" s="1"/>
  <c r="I251" i="10"/>
  <c r="J251" i="10" s="1"/>
  <c r="G251" i="10"/>
  <c r="H251" i="10" s="1"/>
  <c r="E251" i="10"/>
  <c r="C251" i="10"/>
  <c r="M249" i="10"/>
  <c r="N249" i="10" s="1"/>
  <c r="K249" i="10"/>
  <c r="L249" i="10" s="1"/>
  <c r="I249" i="10"/>
  <c r="J249" i="10" s="1"/>
  <c r="G249" i="10"/>
  <c r="E249" i="10"/>
  <c r="F249" i="10" s="1"/>
  <c r="C249" i="10"/>
  <c r="M248" i="10"/>
  <c r="N248" i="10" s="1"/>
  <c r="K248" i="10"/>
  <c r="L248" i="10" s="1"/>
  <c r="I248" i="10"/>
  <c r="J248" i="10" s="1"/>
  <c r="G248" i="10"/>
  <c r="H248" i="10" s="1"/>
  <c r="E248" i="10"/>
  <c r="C248" i="10"/>
  <c r="D248" i="10" s="1"/>
  <c r="M247" i="10"/>
  <c r="N247" i="10" s="1"/>
  <c r="K247" i="10"/>
  <c r="L247" i="10" s="1"/>
  <c r="I247" i="10"/>
  <c r="J247" i="10" s="1"/>
  <c r="G247" i="10"/>
  <c r="H247" i="10" s="1"/>
  <c r="E247" i="10"/>
  <c r="F247" i="10" s="1"/>
  <c r="C247" i="10"/>
  <c r="M246" i="10"/>
  <c r="N246" i="10" s="1"/>
  <c r="K246" i="10"/>
  <c r="L246" i="10" s="1"/>
  <c r="I246" i="10"/>
  <c r="J246" i="10" s="1"/>
  <c r="G246" i="10"/>
  <c r="H246" i="10" s="1"/>
  <c r="E246" i="10"/>
  <c r="F246" i="10" s="1"/>
  <c r="C246" i="10"/>
  <c r="D246" i="10" s="1"/>
  <c r="M241" i="10"/>
  <c r="N241" i="10" s="1"/>
  <c r="K241" i="10"/>
  <c r="L241" i="10" s="1"/>
  <c r="I241" i="10"/>
  <c r="J241" i="10" s="1"/>
  <c r="G241" i="10"/>
  <c r="H241" i="10" s="1"/>
  <c r="E241" i="10"/>
  <c r="F241" i="10" s="1"/>
  <c r="C241" i="10"/>
  <c r="M240" i="10"/>
  <c r="N240" i="10" s="1"/>
  <c r="K240" i="10"/>
  <c r="L240" i="10" s="1"/>
  <c r="I240" i="10"/>
  <c r="J240" i="10" s="1"/>
  <c r="G240" i="10"/>
  <c r="H240" i="10" s="1"/>
  <c r="E240" i="10"/>
  <c r="F240" i="10" s="1"/>
  <c r="C240" i="10"/>
  <c r="M239" i="10"/>
  <c r="N239" i="10" s="1"/>
  <c r="K239" i="10"/>
  <c r="L239" i="10" s="1"/>
  <c r="I239" i="10"/>
  <c r="J239" i="10" s="1"/>
  <c r="G239" i="10"/>
  <c r="H239" i="10" s="1"/>
  <c r="E239" i="10"/>
  <c r="C239" i="10"/>
  <c r="M238" i="10"/>
  <c r="N238" i="10" s="1"/>
  <c r="K238" i="10"/>
  <c r="L238" i="10" s="1"/>
  <c r="I238" i="10"/>
  <c r="J238" i="10" s="1"/>
  <c r="G238" i="10"/>
  <c r="H238" i="10" s="1"/>
  <c r="E238" i="10"/>
  <c r="F238" i="10" s="1"/>
  <c r="C238" i="10"/>
  <c r="M237" i="10"/>
  <c r="N237" i="10" s="1"/>
  <c r="K237" i="10"/>
  <c r="L237" i="10" s="1"/>
  <c r="I237" i="10"/>
  <c r="J237" i="10" s="1"/>
  <c r="G237" i="10"/>
  <c r="E237" i="10"/>
  <c r="F237" i="10" s="1"/>
  <c r="C237" i="10"/>
  <c r="M236" i="10"/>
  <c r="N236" i="10" s="1"/>
  <c r="K236" i="10"/>
  <c r="L236" i="10" s="1"/>
  <c r="I236" i="10"/>
  <c r="J236" i="10" s="1"/>
  <c r="G236" i="10"/>
  <c r="H236" i="10" s="1"/>
  <c r="E236" i="10"/>
  <c r="F236" i="10" s="1"/>
  <c r="C236" i="10"/>
  <c r="D236" i="10" s="1"/>
  <c r="M235" i="10"/>
  <c r="N235" i="10" s="1"/>
  <c r="K235" i="10"/>
  <c r="L235" i="10" s="1"/>
  <c r="I235" i="10"/>
  <c r="J235" i="10" s="1"/>
  <c r="G235" i="10"/>
  <c r="H235" i="10" s="1"/>
  <c r="E235" i="10"/>
  <c r="F235" i="10" s="1"/>
  <c r="C235" i="10"/>
  <c r="D235" i="10" s="1"/>
  <c r="M234" i="10"/>
  <c r="N234" i="10" s="1"/>
  <c r="K234" i="10"/>
  <c r="L234" i="10" s="1"/>
  <c r="I234" i="10"/>
  <c r="J234" i="10" s="1"/>
  <c r="G234" i="10"/>
  <c r="H234" i="10" s="1"/>
  <c r="E234" i="10"/>
  <c r="F234" i="10" s="1"/>
  <c r="C234" i="10"/>
  <c r="D234" i="10" s="1"/>
  <c r="M233" i="10"/>
  <c r="N233" i="10" s="1"/>
  <c r="K233" i="10"/>
  <c r="L233" i="10" s="1"/>
  <c r="I233" i="10"/>
  <c r="J233" i="10" s="1"/>
  <c r="G233" i="10"/>
  <c r="H233" i="10" s="1"/>
  <c r="E233" i="10"/>
  <c r="F233" i="10" s="1"/>
  <c r="C233" i="10"/>
  <c r="M232" i="10"/>
  <c r="N232" i="10" s="1"/>
  <c r="K232" i="10"/>
  <c r="L232" i="10" s="1"/>
  <c r="I232" i="10"/>
  <c r="J232" i="10" s="1"/>
  <c r="G232" i="10"/>
  <c r="H232" i="10" s="1"/>
  <c r="E232" i="10"/>
  <c r="F232" i="10" s="1"/>
  <c r="C232" i="10"/>
  <c r="M231" i="10"/>
  <c r="N231" i="10" s="1"/>
  <c r="K231" i="10"/>
  <c r="L231" i="10" s="1"/>
  <c r="I231" i="10"/>
  <c r="J231" i="10" s="1"/>
  <c r="G231" i="10"/>
  <c r="H231" i="10" s="1"/>
  <c r="E231" i="10"/>
  <c r="C231" i="10"/>
  <c r="M230" i="10"/>
  <c r="N230" i="10" s="1"/>
  <c r="K230" i="10"/>
  <c r="L230" i="10" s="1"/>
  <c r="I230" i="10"/>
  <c r="J230" i="10" s="1"/>
  <c r="G230" i="10"/>
  <c r="H230" i="10" s="1"/>
  <c r="E230" i="10"/>
  <c r="F230" i="10" s="1"/>
  <c r="C230" i="10"/>
  <c r="M229" i="10"/>
  <c r="N229" i="10" s="1"/>
  <c r="K229" i="10"/>
  <c r="L229" i="10" s="1"/>
  <c r="I229" i="10"/>
  <c r="J229" i="10" s="1"/>
  <c r="G229" i="10"/>
  <c r="H229" i="10" s="1"/>
  <c r="E229" i="10"/>
  <c r="F229" i="10" s="1"/>
  <c r="C229" i="10"/>
  <c r="M228" i="10"/>
  <c r="N228" i="10" s="1"/>
  <c r="K228" i="10"/>
  <c r="L228" i="10" s="1"/>
  <c r="I228" i="10"/>
  <c r="J228" i="10" s="1"/>
  <c r="G228" i="10"/>
  <c r="H228" i="10" s="1"/>
  <c r="E228" i="10"/>
  <c r="F228" i="10" s="1"/>
  <c r="C228" i="10"/>
  <c r="D228" i="10" s="1"/>
  <c r="M227" i="10"/>
  <c r="N227" i="10" s="1"/>
  <c r="K227" i="10"/>
  <c r="L227" i="10" s="1"/>
  <c r="I227" i="10"/>
  <c r="J227" i="10" s="1"/>
  <c r="G227" i="10"/>
  <c r="H227" i="10" s="1"/>
  <c r="E227" i="10"/>
  <c r="F227" i="10" s="1"/>
  <c r="C227" i="10"/>
  <c r="M226" i="10"/>
  <c r="N226" i="10" s="1"/>
  <c r="K226" i="10"/>
  <c r="L226" i="10" s="1"/>
  <c r="I226" i="10"/>
  <c r="J226" i="10" s="1"/>
  <c r="G226" i="10"/>
  <c r="H226" i="10" s="1"/>
  <c r="E226" i="10"/>
  <c r="F226" i="10" s="1"/>
  <c r="C226" i="10"/>
  <c r="D226" i="10" s="1"/>
  <c r="M225" i="10"/>
  <c r="N225" i="10" s="1"/>
  <c r="K225" i="10"/>
  <c r="L225" i="10" s="1"/>
  <c r="I225" i="10"/>
  <c r="J225" i="10" s="1"/>
  <c r="G225" i="10"/>
  <c r="H225" i="10" s="1"/>
  <c r="E225" i="10"/>
  <c r="F225" i="10" s="1"/>
  <c r="C225" i="10"/>
  <c r="M224" i="10"/>
  <c r="N224" i="10" s="1"/>
  <c r="K224" i="10"/>
  <c r="L224" i="10" s="1"/>
  <c r="I224" i="10"/>
  <c r="J224" i="10" s="1"/>
  <c r="G224" i="10"/>
  <c r="H224" i="10" s="1"/>
  <c r="E224" i="10"/>
  <c r="F224" i="10" s="1"/>
  <c r="C224" i="10"/>
  <c r="M223" i="10"/>
  <c r="N223" i="10" s="1"/>
  <c r="K223" i="10"/>
  <c r="L223" i="10" s="1"/>
  <c r="I223" i="10"/>
  <c r="J223" i="10" s="1"/>
  <c r="G223" i="10"/>
  <c r="H223" i="10" s="1"/>
  <c r="E223" i="10"/>
  <c r="C223" i="10"/>
  <c r="D223" i="10" s="1"/>
  <c r="M215" i="10"/>
  <c r="N215" i="10" s="1"/>
  <c r="K215" i="10"/>
  <c r="L215" i="10" s="1"/>
  <c r="I215" i="10"/>
  <c r="J215" i="10" s="1"/>
  <c r="G215" i="10"/>
  <c r="H215" i="10" s="1"/>
  <c r="E215" i="10"/>
  <c r="F215" i="10" s="1"/>
  <c r="C215" i="10"/>
  <c r="M196" i="10"/>
  <c r="N196" i="10" s="1"/>
  <c r="K196" i="10"/>
  <c r="L196" i="10" s="1"/>
  <c r="I196" i="10"/>
  <c r="J196" i="10" s="1"/>
  <c r="G196" i="10"/>
  <c r="H196" i="10" s="1"/>
  <c r="E196" i="10"/>
  <c r="C196" i="10"/>
  <c r="M195" i="10"/>
  <c r="N195" i="10" s="1"/>
  <c r="K195" i="10"/>
  <c r="L195" i="10" s="1"/>
  <c r="I195" i="10"/>
  <c r="J195" i="10" s="1"/>
  <c r="G195" i="10"/>
  <c r="H195" i="10" s="1"/>
  <c r="E195" i="10"/>
  <c r="F195" i="10" s="1"/>
  <c r="C195" i="10"/>
  <c r="M194" i="10"/>
  <c r="N194" i="10" s="1"/>
  <c r="K194" i="10"/>
  <c r="L194" i="10" s="1"/>
  <c r="I194" i="10"/>
  <c r="J194" i="10" s="1"/>
  <c r="G194" i="10"/>
  <c r="E194" i="10"/>
  <c r="F194" i="10" s="1"/>
  <c r="C194" i="10"/>
  <c r="M193" i="10"/>
  <c r="N193" i="10" s="1"/>
  <c r="K193" i="10"/>
  <c r="L193" i="10" s="1"/>
  <c r="I193" i="10"/>
  <c r="J193" i="10" s="1"/>
  <c r="G193" i="10"/>
  <c r="H193" i="10" s="1"/>
  <c r="E193" i="10"/>
  <c r="C193" i="10"/>
  <c r="D193" i="10" s="1"/>
  <c r="M192" i="10"/>
  <c r="N192" i="10" s="1"/>
  <c r="K192" i="10"/>
  <c r="L192" i="10" s="1"/>
  <c r="I192" i="10"/>
  <c r="J192" i="10" s="1"/>
  <c r="G192" i="10"/>
  <c r="H192" i="10" s="1"/>
  <c r="E192" i="10"/>
  <c r="F192" i="10" s="1"/>
  <c r="C192" i="10"/>
  <c r="M191" i="10"/>
  <c r="N191" i="10" s="1"/>
  <c r="K191" i="10"/>
  <c r="L191" i="10" s="1"/>
  <c r="I191" i="10"/>
  <c r="J191" i="10" s="1"/>
  <c r="G191" i="10"/>
  <c r="H191" i="10" s="1"/>
  <c r="E191" i="10"/>
  <c r="F191" i="10" s="1"/>
  <c r="C191" i="10"/>
  <c r="D191" i="10" s="1"/>
  <c r="M165" i="10"/>
  <c r="N165" i="10" s="1"/>
  <c r="K165" i="10"/>
  <c r="L165" i="10" s="1"/>
  <c r="I165" i="10"/>
  <c r="J165" i="10" s="1"/>
  <c r="G165" i="10"/>
  <c r="H165" i="10" s="1"/>
  <c r="E165" i="10"/>
  <c r="C165" i="10"/>
  <c r="M164" i="10"/>
  <c r="N164" i="10" s="1"/>
  <c r="K164" i="10"/>
  <c r="L164" i="10" s="1"/>
  <c r="I164" i="10"/>
  <c r="J164" i="10" s="1"/>
  <c r="G164" i="10"/>
  <c r="H164" i="10" s="1"/>
  <c r="E164" i="10"/>
  <c r="F164" i="10" s="1"/>
  <c r="C164" i="10"/>
  <c r="M188" i="10"/>
  <c r="N188" i="10" s="1"/>
  <c r="K188" i="10"/>
  <c r="L188" i="10" s="1"/>
  <c r="I188" i="10"/>
  <c r="J188" i="10" s="1"/>
  <c r="G188" i="10"/>
  <c r="E188" i="10"/>
  <c r="F188" i="10" s="1"/>
  <c r="C188" i="10"/>
  <c r="M187" i="10"/>
  <c r="N187" i="10" s="1"/>
  <c r="K187" i="10"/>
  <c r="L187" i="10" s="1"/>
  <c r="I187" i="10"/>
  <c r="J187" i="10" s="1"/>
  <c r="G187" i="10"/>
  <c r="H187" i="10" s="1"/>
  <c r="E187" i="10"/>
  <c r="F187" i="10" s="1"/>
  <c r="C187" i="10"/>
  <c r="M186" i="10"/>
  <c r="N186" i="10" s="1"/>
  <c r="K186" i="10"/>
  <c r="L186" i="10" s="1"/>
  <c r="I186" i="10"/>
  <c r="J186" i="10" s="1"/>
  <c r="G186" i="10"/>
  <c r="H186" i="10" s="1"/>
  <c r="E186" i="10"/>
  <c r="F186" i="10" s="1"/>
  <c r="C186" i="10"/>
  <c r="M185" i="10"/>
  <c r="N185" i="10" s="1"/>
  <c r="K185" i="10"/>
  <c r="L185" i="10" s="1"/>
  <c r="I185" i="10"/>
  <c r="J185" i="10" s="1"/>
  <c r="G185" i="10"/>
  <c r="H185" i="10" s="1"/>
  <c r="E185" i="10"/>
  <c r="F185" i="10" s="1"/>
  <c r="C185" i="10"/>
  <c r="D185" i="10" s="1"/>
  <c r="M184" i="10"/>
  <c r="N184" i="10" s="1"/>
  <c r="K184" i="10"/>
  <c r="L184" i="10" s="1"/>
  <c r="I184" i="10"/>
  <c r="J184" i="10" s="1"/>
  <c r="G184" i="10"/>
  <c r="H184" i="10" s="1"/>
  <c r="E184" i="10"/>
  <c r="F184" i="10" s="1"/>
  <c r="C184" i="10"/>
  <c r="M183" i="10"/>
  <c r="N183" i="10" s="1"/>
  <c r="K183" i="10"/>
  <c r="L183" i="10" s="1"/>
  <c r="I183" i="10"/>
  <c r="J183" i="10" s="1"/>
  <c r="G183" i="10"/>
  <c r="H183" i="10" s="1"/>
  <c r="E183" i="10"/>
  <c r="F183" i="10" s="1"/>
  <c r="C183" i="10"/>
  <c r="M182" i="10"/>
  <c r="N182" i="10" s="1"/>
  <c r="K182" i="10"/>
  <c r="L182" i="10" s="1"/>
  <c r="I182" i="10"/>
  <c r="J182" i="10" s="1"/>
  <c r="G182" i="10"/>
  <c r="H182" i="10" s="1"/>
  <c r="E182" i="10"/>
  <c r="F182" i="10" s="1"/>
  <c r="C182" i="10"/>
  <c r="D182" i="10" s="1"/>
  <c r="M181" i="10"/>
  <c r="N181" i="10" s="1"/>
  <c r="K181" i="10"/>
  <c r="L181" i="10" s="1"/>
  <c r="I181" i="10"/>
  <c r="J181" i="10" s="1"/>
  <c r="G181" i="10"/>
  <c r="H181" i="10" s="1"/>
  <c r="E181" i="10"/>
  <c r="F181" i="10" s="1"/>
  <c r="C181" i="10"/>
  <c r="M163" i="10"/>
  <c r="N163" i="10" s="1"/>
  <c r="K163" i="10"/>
  <c r="L163" i="10" s="1"/>
  <c r="I163" i="10"/>
  <c r="J163" i="10" s="1"/>
  <c r="G163" i="10"/>
  <c r="E163" i="10"/>
  <c r="F163" i="10" s="1"/>
  <c r="C163" i="10"/>
  <c r="M162" i="10"/>
  <c r="N162" i="10" s="1"/>
  <c r="K162" i="10"/>
  <c r="L162" i="10" s="1"/>
  <c r="I162" i="10"/>
  <c r="J162" i="10" s="1"/>
  <c r="G162" i="10"/>
  <c r="H162" i="10" s="1"/>
  <c r="E162" i="10"/>
  <c r="F162" i="10" s="1"/>
  <c r="C162" i="10"/>
  <c r="D162" i="10" s="1"/>
  <c r="M161" i="10"/>
  <c r="N161" i="10" s="1"/>
  <c r="K161" i="10"/>
  <c r="L161" i="10" s="1"/>
  <c r="I161" i="10"/>
  <c r="J161" i="10" s="1"/>
  <c r="G161" i="10"/>
  <c r="H161" i="10" s="1"/>
  <c r="E161" i="10"/>
  <c r="F161" i="10" s="1"/>
  <c r="C161" i="10"/>
  <c r="M160" i="10"/>
  <c r="N160" i="10" s="1"/>
  <c r="K160" i="10"/>
  <c r="L160" i="10" s="1"/>
  <c r="I160" i="10"/>
  <c r="J160" i="10" s="1"/>
  <c r="G160" i="10"/>
  <c r="H160" i="10" s="1"/>
  <c r="E160" i="10"/>
  <c r="F160" i="10" s="1"/>
  <c r="C160" i="10"/>
  <c r="D160" i="10" s="1"/>
  <c r="M159" i="10"/>
  <c r="N159" i="10" s="1"/>
  <c r="K159" i="10"/>
  <c r="L159" i="10" s="1"/>
  <c r="I159" i="10"/>
  <c r="J159" i="10" s="1"/>
  <c r="G159" i="10"/>
  <c r="H159" i="10" s="1"/>
  <c r="E159" i="10"/>
  <c r="F159" i="10" s="1"/>
  <c r="C159" i="10"/>
  <c r="M158" i="10"/>
  <c r="N158" i="10" s="1"/>
  <c r="K158" i="10"/>
  <c r="L158" i="10" s="1"/>
  <c r="I158" i="10"/>
  <c r="J158" i="10" s="1"/>
  <c r="G158" i="10"/>
  <c r="H158" i="10" s="1"/>
  <c r="E158" i="10"/>
  <c r="F158" i="10" s="1"/>
  <c r="C158" i="10"/>
  <c r="M157" i="10"/>
  <c r="N157" i="10" s="1"/>
  <c r="K157" i="10"/>
  <c r="L157" i="10" s="1"/>
  <c r="I157" i="10"/>
  <c r="J157" i="10" s="1"/>
  <c r="G157" i="10"/>
  <c r="H157" i="10" s="1"/>
  <c r="E157" i="10"/>
  <c r="F157" i="10" s="1"/>
  <c r="C157" i="10"/>
  <c r="M156" i="10"/>
  <c r="N156" i="10" s="1"/>
  <c r="K156" i="10"/>
  <c r="L156" i="10" s="1"/>
  <c r="I156" i="10"/>
  <c r="J156" i="10" s="1"/>
  <c r="G156" i="10"/>
  <c r="H156" i="10" s="1"/>
  <c r="E156" i="10"/>
  <c r="F156" i="10" s="1"/>
  <c r="C156" i="10"/>
  <c r="M155" i="10"/>
  <c r="N155" i="10" s="1"/>
  <c r="K155" i="10"/>
  <c r="L155" i="10" s="1"/>
  <c r="I155" i="10"/>
  <c r="J155" i="10" s="1"/>
  <c r="G155" i="10"/>
  <c r="E155" i="10"/>
  <c r="F155" i="10" s="1"/>
  <c r="C155" i="10"/>
  <c r="M154" i="10"/>
  <c r="N154" i="10" s="1"/>
  <c r="K154" i="10"/>
  <c r="L154" i="10" s="1"/>
  <c r="I154" i="10"/>
  <c r="J154" i="10" s="1"/>
  <c r="G154" i="10"/>
  <c r="H154" i="10" s="1"/>
  <c r="E154" i="10"/>
  <c r="F154" i="10" s="1"/>
  <c r="C154" i="10"/>
  <c r="D154" i="10" s="1"/>
  <c r="M153" i="10"/>
  <c r="N153" i="10" s="1"/>
  <c r="K153" i="10"/>
  <c r="L153" i="10" s="1"/>
  <c r="I153" i="10"/>
  <c r="J153" i="10" s="1"/>
  <c r="G153" i="10"/>
  <c r="H153" i="10" s="1"/>
  <c r="E153" i="10"/>
  <c r="F153" i="10" s="1"/>
  <c r="C153" i="10"/>
  <c r="M152" i="10"/>
  <c r="N152" i="10" s="1"/>
  <c r="K152" i="10"/>
  <c r="L152" i="10" s="1"/>
  <c r="I152" i="10"/>
  <c r="J152" i="10" s="1"/>
  <c r="G152" i="10"/>
  <c r="H152" i="10" s="1"/>
  <c r="E152" i="10"/>
  <c r="F152" i="10" s="1"/>
  <c r="C152" i="10"/>
  <c r="D152" i="10" s="1"/>
  <c r="M151" i="10"/>
  <c r="N151" i="10" s="1"/>
  <c r="K151" i="10"/>
  <c r="L151" i="10" s="1"/>
  <c r="I151" i="10"/>
  <c r="J151" i="10" s="1"/>
  <c r="G151" i="10"/>
  <c r="H151" i="10" s="1"/>
  <c r="E151" i="10"/>
  <c r="F151" i="10" s="1"/>
  <c r="C151" i="10"/>
  <c r="M150" i="10"/>
  <c r="N150" i="10" s="1"/>
  <c r="K150" i="10"/>
  <c r="L150" i="10" s="1"/>
  <c r="I150" i="10"/>
  <c r="J150" i="10" s="1"/>
  <c r="G150" i="10"/>
  <c r="H150" i="10" s="1"/>
  <c r="E150" i="10"/>
  <c r="F150" i="10" s="1"/>
  <c r="C150" i="10"/>
  <c r="M149" i="10"/>
  <c r="N149" i="10" s="1"/>
  <c r="K149" i="10"/>
  <c r="L149" i="10" s="1"/>
  <c r="I149" i="10"/>
  <c r="J149" i="10" s="1"/>
  <c r="G149" i="10"/>
  <c r="H149" i="10" s="1"/>
  <c r="E149" i="10"/>
  <c r="F149" i="10" s="1"/>
  <c r="C149" i="10"/>
  <c r="D149" i="10" s="1"/>
  <c r="M148" i="10"/>
  <c r="N148" i="10" s="1"/>
  <c r="K148" i="10"/>
  <c r="L148" i="10" s="1"/>
  <c r="I148" i="10"/>
  <c r="J148" i="10" s="1"/>
  <c r="G148" i="10"/>
  <c r="H148" i="10" s="1"/>
  <c r="E148" i="10"/>
  <c r="F148" i="10" s="1"/>
  <c r="C148" i="10"/>
  <c r="M170" i="10"/>
  <c r="N170" i="10" s="1"/>
  <c r="K170" i="10"/>
  <c r="L170" i="10" s="1"/>
  <c r="I170" i="10"/>
  <c r="J170" i="10" s="1"/>
  <c r="G170" i="10"/>
  <c r="H170" i="10" s="1"/>
  <c r="E170" i="10"/>
  <c r="F170" i="10" s="1"/>
  <c r="C170" i="10"/>
  <c r="M169" i="10"/>
  <c r="N169" i="10" s="1"/>
  <c r="K169" i="10"/>
  <c r="L169" i="10" s="1"/>
  <c r="I169" i="10"/>
  <c r="J169" i="10" s="1"/>
  <c r="G169" i="10"/>
  <c r="H169" i="10" s="1"/>
  <c r="E169" i="10"/>
  <c r="C169" i="10"/>
  <c r="D169" i="10" s="1"/>
  <c r="M167" i="10"/>
  <c r="N167" i="10" s="1"/>
  <c r="K167" i="10"/>
  <c r="L167" i="10" s="1"/>
  <c r="I167" i="10"/>
  <c r="J167" i="10" s="1"/>
  <c r="G167" i="10"/>
  <c r="H167" i="10" s="1"/>
  <c r="E167" i="10"/>
  <c r="F167" i="10" s="1"/>
  <c r="C167" i="10"/>
  <c r="D167" i="10" s="1"/>
  <c r="M145" i="10"/>
  <c r="N145" i="10" s="1"/>
  <c r="K145" i="10"/>
  <c r="L145" i="10" s="1"/>
  <c r="I145" i="10"/>
  <c r="J145" i="10" s="1"/>
  <c r="G145" i="10"/>
  <c r="H145" i="10" s="1"/>
  <c r="E145" i="10"/>
  <c r="F145" i="10" s="1"/>
  <c r="C145" i="10"/>
  <c r="M144" i="10"/>
  <c r="N144" i="10" s="1"/>
  <c r="K144" i="10"/>
  <c r="L144" i="10" s="1"/>
  <c r="I144" i="10"/>
  <c r="J144" i="10" s="1"/>
  <c r="G144" i="10"/>
  <c r="H144" i="10" s="1"/>
  <c r="E144" i="10"/>
  <c r="F144" i="10" s="1"/>
  <c r="C144" i="10"/>
  <c r="D144" i="10" s="1"/>
  <c r="M143" i="10"/>
  <c r="N143" i="10" s="1"/>
  <c r="K143" i="10"/>
  <c r="L143" i="10" s="1"/>
  <c r="I143" i="10"/>
  <c r="J143" i="10" s="1"/>
  <c r="G143" i="10"/>
  <c r="H143" i="10" s="1"/>
  <c r="E143" i="10"/>
  <c r="C143" i="10"/>
  <c r="M142" i="10"/>
  <c r="N142" i="10" s="1"/>
  <c r="K142" i="10"/>
  <c r="L142" i="10" s="1"/>
  <c r="I142" i="10"/>
  <c r="J142" i="10" s="1"/>
  <c r="G142" i="10"/>
  <c r="H142" i="10" s="1"/>
  <c r="E142" i="10"/>
  <c r="F142" i="10" s="1"/>
  <c r="C142" i="10"/>
  <c r="M141" i="10"/>
  <c r="N141" i="10" s="1"/>
  <c r="K141" i="10"/>
  <c r="L141" i="10" s="1"/>
  <c r="I141" i="10"/>
  <c r="J141" i="10" s="1"/>
  <c r="G141" i="10"/>
  <c r="E141" i="10"/>
  <c r="F141" i="10" s="1"/>
  <c r="C141" i="10"/>
  <c r="M140" i="10"/>
  <c r="N140" i="10" s="1"/>
  <c r="K140" i="10"/>
  <c r="L140" i="10" s="1"/>
  <c r="I140" i="10"/>
  <c r="J140" i="10" s="1"/>
  <c r="G140" i="10"/>
  <c r="H140" i="10" s="1"/>
  <c r="E140" i="10"/>
  <c r="F140" i="10" s="1"/>
  <c r="C140" i="10"/>
  <c r="D140" i="10" s="1"/>
  <c r="M139" i="10"/>
  <c r="N139" i="10" s="1"/>
  <c r="K139" i="10"/>
  <c r="L139" i="10" s="1"/>
  <c r="I139" i="10"/>
  <c r="J139" i="10" s="1"/>
  <c r="G139" i="10"/>
  <c r="H139" i="10" s="1"/>
  <c r="E139" i="10"/>
  <c r="F139" i="10" s="1"/>
  <c r="C139" i="10"/>
  <c r="M138" i="10"/>
  <c r="N138" i="10" s="1"/>
  <c r="K138" i="10"/>
  <c r="L138" i="10" s="1"/>
  <c r="I138" i="10"/>
  <c r="J138" i="10" s="1"/>
  <c r="G138" i="10"/>
  <c r="H138" i="10" s="1"/>
  <c r="E138" i="10"/>
  <c r="F138" i="10" s="1"/>
  <c r="C138" i="10"/>
  <c r="M137" i="10"/>
  <c r="N137" i="10" s="1"/>
  <c r="K137" i="10"/>
  <c r="L137" i="10" s="1"/>
  <c r="I137" i="10"/>
  <c r="J137" i="10" s="1"/>
  <c r="G137" i="10"/>
  <c r="H137" i="10" s="1"/>
  <c r="E137" i="10"/>
  <c r="F137" i="10" s="1"/>
  <c r="C137" i="10"/>
  <c r="M136" i="10"/>
  <c r="N136" i="10" s="1"/>
  <c r="K136" i="10"/>
  <c r="L136" i="10" s="1"/>
  <c r="I136" i="10"/>
  <c r="J136" i="10" s="1"/>
  <c r="G136" i="10"/>
  <c r="H136" i="10" s="1"/>
  <c r="E136" i="10"/>
  <c r="F136" i="10" s="1"/>
  <c r="C136" i="10"/>
  <c r="D136" i="10" s="1"/>
  <c r="M135" i="10"/>
  <c r="N135" i="10" s="1"/>
  <c r="K135" i="10"/>
  <c r="L135" i="10" s="1"/>
  <c r="I135" i="10"/>
  <c r="J135" i="10" s="1"/>
  <c r="G135" i="10"/>
  <c r="H135" i="10" s="1"/>
  <c r="E135" i="10"/>
  <c r="C135" i="10"/>
  <c r="D135" i="10" s="1"/>
  <c r="M134" i="10"/>
  <c r="N134" i="10" s="1"/>
  <c r="K134" i="10"/>
  <c r="L134" i="10" s="1"/>
  <c r="I134" i="10"/>
  <c r="J134" i="10" s="1"/>
  <c r="G134" i="10"/>
  <c r="H134" i="10" s="1"/>
  <c r="E134" i="10"/>
  <c r="F134" i="10" s="1"/>
  <c r="C134" i="10"/>
  <c r="M123" i="10"/>
  <c r="N123" i="10" s="1"/>
  <c r="K123" i="10"/>
  <c r="L123" i="10" s="1"/>
  <c r="I123" i="10"/>
  <c r="J123" i="10" s="1"/>
  <c r="G123" i="10"/>
  <c r="H123" i="10" s="1"/>
  <c r="E123" i="10"/>
  <c r="F123" i="10" s="1"/>
  <c r="C123" i="10"/>
  <c r="M122" i="10"/>
  <c r="N122" i="10" s="1"/>
  <c r="K122" i="10"/>
  <c r="L122" i="10" s="1"/>
  <c r="I122" i="10"/>
  <c r="J122" i="10" s="1"/>
  <c r="G122" i="10"/>
  <c r="H122" i="10" s="1"/>
  <c r="E122" i="10"/>
  <c r="F122" i="10" s="1"/>
  <c r="C122" i="10"/>
  <c r="D122" i="10" s="1"/>
  <c r="M121" i="10"/>
  <c r="N121" i="10" s="1"/>
  <c r="K121" i="10"/>
  <c r="L121" i="10" s="1"/>
  <c r="I121" i="10"/>
  <c r="J121" i="10" s="1"/>
  <c r="G121" i="10"/>
  <c r="H121" i="10" s="1"/>
  <c r="E121" i="10"/>
  <c r="F121" i="10" s="1"/>
  <c r="C121" i="10"/>
  <c r="M120" i="10"/>
  <c r="N120" i="10" s="1"/>
  <c r="K120" i="10"/>
  <c r="L120" i="10" s="1"/>
  <c r="I120" i="10"/>
  <c r="J120" i="10" s="1"/>
  <c r="G120" i="10"/>
  <c r="H120" i="10" s="1"/>
  <c r="E120" i="10"/>
  <c r="F120" i="10" s="1"/>
  <c r="C120" i="10"/>
  <c r="M119" i="10"/>
  <c r="N119" i="10" s="1"/>
  <c r="K119" i="10"/>
  <c r="L119" i="10" s="1"/>
  <c r="I119" i="10"/>
  <c r="J119" i="10" s="1"/>
  <c r="G119" i="10"/>
  <c r="E119" i="10"/>
  <c r="F119" i="10" s="1"/>
  <c r="C119" i="10"/>
  <c r="D119" i="10" s="1"/>
  <c r="M118" i="10"/>
  <c r="N118" i="10" s="1"/>
  <c r="K118" i="10"/>
  <c r="L118" i="10" s="1"/>
  <c r="I118" i="10"/>
  <c r="J118" i="10" s="1"/>
  <c r="G118" i="10"/>
  <c r="H118" i="10" s="1"/>
  <c r="E118" i="10"/>
  <c r="F118" i="10" s="1"/>
  <c r="C118" i="10"/>
  <c r="D118" i="10" s="1"/>
  <c r="M117" i="10"/>
  <c r="N117" i="10" s="1"/>
  <c r="K117" i="10"/>
  <c r="L117" i="10" s="1"/>
  <c r="I117" i="10"/>
  <c r="J117" i="10" s="1"/>
  <c r="G117" i="10"/>
  <c r="E117" i="10"/>
  <c r="F117" i="10" s="1"/>
  <c r="C117" i="10"/>
  <c r="M116" i="10"/>
  <c r="N116" i="10" s="1"/>
  <c r="K116" i="10"/>
  <c r="L116" i="10" s="1"/>
  <c r="I116" i="10"/>
  <c r="J116" i="10" s="1"/>
  <c r="G116" i="10"/>
  <c r="H116" i="10" s="1"/>
  <c r="E116" i="10"/>
  <c r="F116" i="10" s="1"/>
  <c r="C116" i="10"/>
  <c r="M115" i="10"/>
  <c r="N115" i="10" s="1"/>
  <c r="K115" i="10"/>
  <c r="L115" i="10" s="1"/>
  <c r="I115" i="10"/>
  <c r="J115" i="10" s="1"/>
  <c r="G115" i="10"/>
  <c r="H115" i="10" s="1"/>
  <c r="E115" i="10"/>
  <c r="F115" i="10" s="1"/>
  <c r="C115" i="10"/>
  <c r="M114" i="10"/>
  <c r="N114" i="10" s="1"/>
  <c r="K114" i="10"/>
  <c r="L114" i="10" s="1"/>
  <c r="I114" i="10"/>
  <c r="J114" i="10" s="1"/>
  <c r="G114" i="10"/>
  <c r="H114" i="10" s="1"/>
  <c r="E114" i="10"/>
  <c r="C114" i="10"/>
  <c r="D114" i="10" s="1"/>
  <c r="M113" i="10"/>
  <c r="N113" i="10" s="1"/>
  <c r="K113" i="10"/>
  <c r="L113" i="10" s="1"/>
  <c r="I113" i="10"/>
  <c r="J113" i="10" s="1"/>
  <c r="G113" i="10"/>
  <c r="H113" i="10" s="1"/>
  <c r="E113" i="10"/>
  <c r="F113" i="10" s="1"/>
  <c r="C113" i="10"/>
  <c r="M112" i="10"/>
  <c r="N112" i="10" s="1"/>
  <c r="K112" i="10"/>
  <c r="L112" i="10" s="1"/>
  <c r="I112" i="10"/>
  <c r="J112" i="10" s="1"/>
  <c r="G112" i="10"/>
  <c r="E112" i="10"/>
  <c r="F112" i="10" s="1"/>
  <c r="C112" i="10"/>
  <c r="D112" i="10" s="1"/>
  <c r="M111" i="10"/>
  <c r="N111" i="10" s="1"/>
  <c r="K111" i="10"/>
  <c r="L111" i="10" s="1"/>
  <c r="I111" i="10"/>
  <c r="J111" i="10" s="1"/>
  <c r="G111" i="10"/>
  <c r="H111" i="10" s="1"/>
  <c r="E111" i="10"/>
  <c r="F111" i="10" s="1"/>
  <c r="C111" i="10"/>
  <c r="D111" i="10" s="1"/>
  <c r="M110" i="10"/>
  <c r="N110" i="10" s="1"/>
  <c r="K110" i="10"/>
  <c r="L110" i="10" s="1"/>
  <c r="I110" i="10"/>
  <c r="J110" i="10" s="1"/>
  <c r="G110" i="10"/>
  <c r="H110" i="10" s="1"/>
  <c r="E110" i="10"/>
  <c r="F110" i="10" s="1"/>
  <c r="C110" i="10"/>
  <c r="M109" i="10"/>
  <c r="N109" i="10" s="1"/>
  <c r="K109" i="10"/>
  <c r="L109" i="10" s="1"/>
  <c r="I109" i="10"/>
  <c r="J109" i="10" s="1"/>
  <c r="G109" i="10"/>
  <c r="H109" i="10" s="1"/>
  <c r="E109" i="10"/>
  <c r="F109" i="10" s="1"/>
  <c r="C109" i="10"/>
  <c r="M108" i="10"/>
  <c r="N108" i="10" s="1"/>
  <c r="K108" i="10"/>
  <c r="L108" i="10" s="1"/>
  <c r="I108" i="10"/>
  <c r="J108" i="10" s="1"/>
  <c r="G108" i="10"/>
  <c r="H108" i="10" s="1"/>
  <c r="E108" i="10"/>
  <c r="F108" i="10" s="1"/>
  <c r="C108" i="10"/>
  <c r="M107" i="10"/>
  <c r="N107" i="10" s="1"/>
  <c r="K107" i="10"/>
  <c r="L107" i="10" s="1"/>
  <c r="I107" i="10"/>
  <c r="J107" i="10" s="1"/>
  <c r="G107" i="10"/>
  <c r="H107" i="10" s="1"/>
  <c r="E107" i="10"/>
  <c r="F107" i="10" s="1"/>
  <c r="C107" i="10"/>
  <c r="M106" i="10"/>
  <c r="N106" i="10" s="1"/>
  <c r="K106" i="10"/>
  <c r="L106" i="10" s="1"/>
  <c r="I106" i="10"/>
  <c r="J106" i="10" s="1"/>
  <c r="G106" i="10"/>
  <c r="H106" i="10" s="1"/>
  <c r="E106" i="10"/>
  <c r="C106" i="10"/>
  <c r="D106" i="10" s="1"/>
  <c r="M105" i="10"/>
  <c r="N105" i="10" s="1"/>
  <c r="K105" i="10"/>
  <c r="L105" i="10" s="1"/>
  <c r="I105" i="10"/>
  <c r="J105" i="10" s="1"/>
  <c r="G105" i="10"/>
  <c r="H105" i="10" s="1"/>
  <c r="E105" i="10"/>
  <c r="F105" i="10" s="1"/>
  <c r="C105" i="10"/>
  <c r="M104" i="10"/>
  <c r="N104" i="10" s="1"/>
  <c r="K104" i="10"/>
  <c r="L104" i="10" s="1"/>
  <c r="I104" i="10"/>
  <c r="J104" i="10" s="1"/>
  <c r="G104" i="10"/>
  <c r="H104" i="10" s="1"/>
  <c r="E104" i="10"/>
  <c r="F104" i="10" s="1"/>
  <c r="C104" i="10"/>
  <c r="M103" i="10"/>
  <c r="N103" i="10" s="1"/>
  <c r="K103" i="10"/>
  <c r="L103" i="10" s="1"/>
  <c r="I103" i="10"/>
  <c r="J103" i="10" s="1"/>
  <c r="G103" i="10"/>
  <c r="H103" i="10" s="1"/>
  <c r="E103" i="10"/>
  <c r="F103" i="10" s="1"/>
  <c r="C103" i="10"/>
  <c r="M102" i="10"/>
  <c r="N102" i="10" s="1"/>
  <c r="K102" i="10"/>
  <c r="L102" i="10" s="1"/>
  <c r="I102" i="10"/>
  <c r="J102" i="10" s="1"/>
  <c r="G102" i="10"/>
  <c r="H102" i="10" s="1"/>
  <c r="E102" i="10"/>
  <c r="C102" i="10"/>
  <c r="D102" i="10" s="1"/>
  <c r="M101" i="10"/>
  <c r="N101" i="10" s="1"/>
  <c r="K101" i="10"/>
  <c r="L101" i="10" s="1"/>
  <c r="I101" i="10"/>
  <c r="J101" i="10" s="1"/>
  <c r="G101" i="10"/>
  <c r="H101" i="10" s="1"/>
  <c r="E101" i="10"/>
  <c r="F101" i="10" s="1"/>
  <c r="C101" i="10"/>
  <c r="M100" i="10"/>
  <c r="N100" i="10" s="1"/>
  <c r="K100" i="10"/>
  <c r="L100" i="10" s="1"/>
  <c r="I100" i="10"/>
  <c r="J100" i="10" s="1"/>
  <c r="G100" i="10"/>
  <c r="H100" i="10" s="1"/>
  <c r="E100" i="10"/>
  <c r="F100" i="10" s="1"/>
  <c r="C100" i="10"/>
  <c r="D100" i="10" s="1"/>
  <c r="M99" i="10"/>
  <c r="N99" i="10" s="1"/>
  <c r="K99" i="10"/>
  <c r="L99" i="10" s="1"/>
  <c r="I99" i="10"/>
  <c r="J99" i="10" s="1"/>
  <c r="G99" i="10"/>
  <c r="H99" i="10" s="1"/>
  <c r="E99" i="10"/>
  <c r="F99" i="10" s="1"/>
  <c r="C99" i="10"/>
  <c r="M98" i="10"/>
  <c r="N98" i="10" s="1"/>
  <c r="K98" i="10"/>
  <c r="L98" i="10" s="1"/>
  <c r="I98" i="10"/>
  <c r="J98" i="10" s="1"/>
  <c r="G98" i="10"/>
  <c r="H98" i="10" s="1"/>
  <c r="E98" i="10"/>
  <c r="F98" i="10" s="1"/>
  <c r="C98" i="10"/>
  <c r="M88" i="10"/>
  <c r="N88" i="10" s="1"/>
  <c r="K88" i="10"/>
  <c r="L88" i="10" s="1"/>
  <c r="I88" i="10"/>
  <c r="J88" i="10" s="1"/>
  <c r="G88" i="10"/>
  <c r="H88" i="10" s="1"/>
  <c r="E88" i="10"/>
  <c r="F88" i="10" s="1"/>
  <c r="C88" i="10"/>
  <c r="M87" i="10"/>
  <c r="N87" i="10" s="1"/>
  <c r="K87" i="10"/>
  <c r="L87" i="10" s="1"/>
  <c r="I87" i="10"/>
  <c r="J87" i="10" s="1"/>
  <c r="G87" i="10"/>
  <c r="H87" i="10" s="1"/>
  <c r="E87" i="10"/>
  <c r="F87" i="10" s="1"/>
  <c r="C87" i="10"/>
  <c r="D87" i="10" s="1"/>
  <c r="M86" i="10"/>
  <c r="N86" i="10" s="1"/>
  <c r="K86" i="10"/>
  <c r="L86" i="10" s="1"/>
  <c r="I86" i="10"/>
  <c r="J86" i="10" s="1"/>
  <c r="G86" i="10"/>
  <c r="H86" i="10" s="1"/>
  <c r="E86" i="10"/>
  <c r="F86" i="10" s="1"/>
  <c r="C86" i="10"/>
  <c r="M85" i="10"/>
  <c r="N85" i="10" s="1"/>
  <c r="K85" i="10"/>
  <c r="L85" i="10" s="1"/>
  <c r="I85" i="10"/>
  <c r="J85" i="10" s="1"/>
  <c r="G85" i="10"/>
  <c r="E85" i="10"/>
  <c r="F85" i="10" s="1"/>
  <c r="C85" i="10"/>
  <c r="D85" i="10" s="1"/>
  <c r="M84" i="10"/>
  <c r="N84" i="10" s="1"/>
  <c r="K84" i="10"/>
  <c r="L84" i="10" s="1"/>
  <c r="I84" i="10"/>
  <c r="J84" i="10" s="1"/>
  <c r="G84" i="10"/>
  <c r="H84" i="10" s="1"/>
  <c r="E84" i="10"/>
  <c r="C84" i="10"/>
  <c r="D84" i="10" s="1"/>
  <c r="M83" i="10"/>
  <c r="N83" i="10" s="1"/>
  <c r="K83" i="10"/>
  <c r="L83" i="10" s="1"/>
  <c r="I83" i="10"/>
  <c r="J83" i="10" s="1"/>
  <c r="G83" i="10"/>
  <c r="H83" i="10" s="1"/>
  <c r="E83" i="10"/>
  <c r="F83" i="10" s="1"/>
  <c r="C83" i="10"/>
  <c r="M82" i="10"/>
  <c r="N82" i="10" s="1"/>
  <c r="K82" i="10"/>
  <c r="L82" i="10" s="1"/>
  <c r="I82" i="10"/>
  <c r="J82" i="10" s="1"/>
  <c r="G82" i="10"/>
  <c r="E82" i="10"/>
  <c r="F82" i="10" s="1"/>
  <c r="C82" i="10"/>
  <c r="D82" i="10" s="1"/>
  <c r="M81" i="10"/>
  <c r="N81" i="10" s="1"/>
  <c r="K81" i="10"/>
  <c r="L81" i="10" s="1"/>
  <c r="I81" i="10"/>
  <c r="J81" i="10" s="1"/>
  <c r="G81" i="10"/>
  <c r="H81" i="10" s="1"/>
  <c r="E81" i="10"/>
  <c r="F81" i="10" s="1"/>
  <c r="C81" i="10"/>
  <c r="M80" i="10"/>
  <c r="N80" i="10" s="1"/>
  <c r="K80" i="10"/>
  <c r="L80" i="10" s="1"/>
  <c r="I80" i="10"/>
  <c r="J80" i="10" s="1"/>
  <c r="G80" i="10"/>
  <c r="H80" i="10" s="1"/>
  <c r="E80" i="10"/>
  <c r="F80" i="10" s="1"/>
  <c r="C80" i="10"/>
  <c r="M77" i="10"/>
  <c r="N77" i="10" s="1"/>
  <c r="K77" i="10"/>
  <c r="L77" i="10" s="1"/>
  <c r="I77" i="10"/>
  <c r="J77" i="10" s="1"/>
  <c r="G77" i="10"/>
  <c r="H77" i="10" s="1"/>
  <c r="E77" i="10"/>
  <c r="F77" i="10" s="1"/>
  <c r="C77" i="10"/>
  <c r="D77" i="10" s="1"/>
  <c r="M76" i="10"/>
  <c r="N76" i="10" s="1"/>
  <c r="K76" i="10"/>
  <c r="L76" i="10" s="1"/>
  <c r="I76" i="10"/>
  <c r="J76" i="10" s="1"/>
  <c r="G76" i="10"/>
  <c r="E76" i="10"/>
  <c r="F76" i="10" s="1"/>
  <c r="C76" i="10"/>
  <c r="M75" i="10"/>
  <c r="N75" i="10" s="1"/>
  <c r="K75" i="10"/>
  <c r="L75" i="10" s="1"/>
  <c r="I75" i="10"/>
  <c r="J75" i="10" s="1"/>
  <c r="G75" i="10"/>
  <c r="H75" i="10" s="1"/>
  <c r="E75" i="10"/>
  <c r="C75" i="10"/>
  <c r="D75" i="10" s="1"/>
  <c r="M74" i="10"/>
  <c r="N74" i="10" s="1"/>
  <c r="K74" i="10"/>
  <c r="L74" i="10" s="1"/>
  <c r="I74" i="10"/>
  <c r="J74" i="10" s="1"/>
  <c r="G74" i="10"/>
  <c r="H74" i="10" s="1"/>
  <c r="E74" i="10"/>
  <c r="F74" i="10" s="1"/>
  <c r="C74" i="10"/>
  <c r="M73" i="10"/>
  <c r="N73" i="10" s="1"/>
  <c r="K73" i="10"/>
  <c r="L73" i="10" s="1"/>
  <c r="I73" i="10"/>
  <c r="J73" i="10" s="1"/>
  <c r="G73" i="10"/>
  <c r="E73" i="10"/>
  <c r="F73" i="10" s="1"/>
  <c r="C73" i="10"/>
  <c r="D73" i="10" s="1"/>
  <c r="M72" i="10"/>
  <c r="N72" i="10" s="1"/>
  <c r="K72" i="10"/>
  <c r="L72" i="10" s="1"/>
  <c r="I72" i="10"/>
  <c r="J72" i="10" s="1"/>
  <c r="G72" i="10"/>
  <c r="H72" i="10" s="1"/>
  <c r="E72" i="10"/>
  <c r="F72" i="10" s="1"/>
  <c r="C72" i="10"/>
  <c r="M71" i="10"/>
  <c r="N71" i="10" s="1"/>
  <c r="K71" i="10"/>
  <c r="L71" i="10" s="1"/>
  <c r="I71" i="10"/>
  <c r="J71" i="10" s="1"/>
  <c r="G71" i="10"/>
  <c r="H71" i="10" s="1"/>
  <c r="E71" i="10"/>
  <c r="F71" i="10" s="1"/>
  <c r="C71" i="10"/>
  <c r="D71" i="10" s="1"/>
  <c r="M70" i="10"/>
  <c r="N70" i="10" s="1"/>
  <c r="K70" i="10"/>
  <c r="L70" i="10" s="1"/>
  <c r="I70" i="10"/>
  <c r="J70" i="10" s="1"/>
  <c r="G70" i="10"/>
  <c r="H70" i="10" s="1"/>
  <c r="E70" i="10"/>
  <c r="F70" i="10" s="1"/>
  <c r="C70" i="10"/>
  <c r="D70" i="10" s="1"/>
  <c r="M69" i="10"/>
  <c r="N69" i="10" s="1"/>
  <c r="K69" i="10"/>
  <c r="L69" i="10" s="1"/>
  <c r="I69" i="10"/>
  <c r="J69" i="10" s="1"/>
  <c r="G69" i="10"/>
  <c r="H69" i="10" s="1"/>
  <c r="E69" i="10"/>
  <c r="F69" i="10" s="1"/>
  <c r="C69" i="10"/>
  <c r="M68" i="10"/>
  <c r="N68" i="10" s="1"/>
  <c r="K68" i="10"/>
  <c r="L68" i="10" s="1"/>
  <c r="I68" i="10"/>
  <c r="J68" i="10" s="1"/>
  <c r="G68" i="10"/>
  <c r="E68" i="10"/>
  <c r="F68" i="10" s="1"/>
  <c r="C68" i="10"/>
  <c r="M67" i="10"/>
  <c r="N67" i="10" s="1"/>
  <c r="K67" i="10"/>
  <c r="L67" i="10" s="1"/>
  <c r="I67" i="10"/>
  <c r="J67" i="10" s="1"/>
  <c r="G67" i="10"/>
  <c r="H67" i="10" s="1"/>
  <c r="E67" i="10"/>
  <c r="F67" i="10" s="1"/>
  <c r="C67" i="10"/>
  <c r="D67" i="10" s="1"/>
  <c r="M66" i="10"/>
  <c r="N66" i="10" s="1"/>
  <c r="K66" i="10"/>
  <c r="L66" i="10" s="1"/>
  <c r="I66" i="10"/>
  <c r="J66" i="10" s="1"/>
  <c r="G66" i="10"/>
  <c r="H66" i="10" s="1"/>
  <c r="E66" i="10"/>
  <c r="F66" i="10" s="1"/>
  <c r="C66" i="10"/>
  <c r="M65" i="10"/>
  <c r="N65" i="10" s="1"/>
  <c r="K65" i="10"/>
  <c r="L65" i="10" s="1"/>
  <c r="I65" i="10"/>
  <c r="J65" i="10" s="1"/>
  <c r="G65" i="10"/>
  <c r="H65" i="10" s="1"/>
  <c r="E65" i="10"/>
  <c r="F65" i="10" s="1"/>
  <c r="C65" i="10"/>
  <c r="D65" i="10" s="1"/>
  <c r="M64" i="10"/>
  <c r="N64" i="10" s="1"/>
  <c r="K64" i="10"/>
  <c r="L64" i="10" s="1"/>
  <c r="I64" i="10"/>
  <c r="J64" i="10" s="1"/>
  <c r="G64" i="10"/>
  <c r="H64" i="10" s="1"/>
  <c r="E64" i="10"/>
  <c r="F64" i="10" s="1"/>
  <c r="C64" i="10"/>
  <c r="D64" i="10" s="1"/>
  <c r="M63" i="10"/>
  <c r="N63" i="10" s="1"/>
  <c r="K63" i="10"/>
  <c r="L63" i="10" s="1"/>
  <c r="I63" i="10"/>
  <c r="J63" i="10" s="1"/>
  <c r="G63" i="10"/>
  <c r="H63" i="10" s="1"/>
  <c r="E63" i="10"/>
  <c r="F63" i="10" s="1"/>
  <c r="C63" i="10"/>
  <c r="M62" i="10"/>
  <c r="N62" i="10" s="1"/>
  <c r="K62" i="10"/>
  <c r="L62" i="10" s="1"/>
  <c r="I62" i="10"/>
  <c r="J62" i="10" s="1"/>
  <c r="G62" i="10"/>
  <c r="H62" i="10" s="1"/>
  <c r="E62" i="10"/>
  <c r="F62" i="10" s="1"/>
  <c r="C62" i="10"/>
  <c r="M61" i="10"/>
  <c r="N61" i="10" s="1"/>
  <c r="K61" i="10"/>
  <c r="L61" i="10" s="1"/>
  <c r="I61" i="10"/>
  <c r="J61" i="10" s="1"/>
  <c r="G61" i="10"/>
  <c r="H61" i="10" s="1"/>
  <c r="E61" i="10"/>
  <c r="F61" i="10" s="1"/>
  <c r="C61" i="10"/>
  <c r="M60" i="10"/>
  <c r="N60" i="10" s="1"/>
  <c r="K60" i="10"/>
  <c r="L60" i="10" s="1"/>
  <c r="I60" i="10"/>
  <c r="J60" i="10" s="1"/>
  <c r="G60" i="10"/>
  <c r="H60" i="10" s="1"/>
  <c r="E60" i="10"/>
  <c r="F60" i="10" s="1"/>
  <c r="C60" i="10"/>
  <c r="M59" i="10"/>
  <c r="N59" i="10" s="1"/>
  <c r="K59" i="10"/>
  <c r="L59" i="10" s="1"/>
  <c r="I59" i="10"/>
  <c r="J59" i="10" s="1"/>
  <c r="G59" i="10"/>
  <c r="H59" i="10" s="1"/>
  <c r="E59" i="10"/>
  <c r="C59" i="10"/>
  <c r="D59" i="10" s="1"/>
  <c r="M58" i="10"/>
  <c r="N58" i="10" s="1"/>
  <c r="K58" i="10"/>
  <c r="L58" i="10" s="1"/>
  <c r="I58" i="10"/>
  <c r="J58" i="10" s="1"/>
  <c r="G58" i="10"/>
  <c r="H58" i="10" s="1"/>
  <c r="E58" i="10"/>
  <c r="F58" i="10" s="1"/>
  <c r="C58" i="10"/>
  <c r="M57" i="10"/>
  <c r="N57" i="10" s="1"/>
  <c r="K57" i="10"/>
  <c r="L57" i="10" s="1"/>
  <c r="I57" i="10"/>
  <c r="J57" i="10" s="1"/>
  <c r="G57" i="10"/>
  <c r="E57" i="10"/>
  <c r="F57" i="10" s="1"/>
  <c r="C57" i="10"/>
  <c r="D57" i="10" s="1"/>
  <c r="M56" i="10"/>
  <c r="N56" i="10" s="1"/>
  <c r="K56" i="10"/>
  <c r="L56" i="10" s="1"/>
  <c r="I56" i="10"/>
  <c r="J56" i="10" s="1"/>
  <c r="G56" i="10"/>
  <c r="H56" i="10" s="1"/>
  <c r="E56" i="10"/>
  <c r="F56" i="10" s="1"/>
  <c r="C56" i="10"/>
  <c r="M55" i="10"/>
  <c r="N55" i="10" s="1"/>
  <c r="K55" i="10"/>
  <c r="L55" i="10" s="1"/>
  <c r="I55" i="10"/>
  <c r="J55" i="10" s="1"/>
  <c r="G55" i="10"/>
  <c r="H55" i="10" s="1"/>
  <c r="E55" i="10"/>
  <c r="F55" i="10" s="1"/>
  <c r="C55" i="10"/>
  <c r="D55" i="10" s="1"/>
  <c r="M54" i="10"/>
  <c r="N54" i="10" s="1"/>
  <c r="K54" i="10"/>
  <c r="L54" i="10" s="1"/>
  <c r="I54" i="10"/>
  <c r="J54" i="10" s="1"/>
  <c r="G54" i="10"/>
  <c r="H54" i="10" s="1"/>
  <c r="E54" i="10"/>
  <c r="C54" i="10"/>
  <c r="D54" i="10" s="1"/>
  <c r="M48" i="10"/>
  <c r="N48" i="10" s="1"/>
  <c r="K48" i="10"/>
  <c r="L48" i="10" s="1"/>
  <c r="I48" i="10"/>
  <c r="J48" i="10" s="1"/>
  <c r="G48" i="10"/>
  <c r="H48" i="10" s="1"/>
  <c r="E48" i="10"/>
  <c r="C48" i="10"/>
  <c r="M46" i="10"/>
  <c r="N46" i="10" s="1"/>
  <c r="K46" i="10"/>
  <c r="L46" i="10" s="1"/>
  <c r="I46" i="10"/>
  <c r="J46" i="10" s="1"/>
  <c r="G46" i="10"/>
  <c r="E46" i="10"/>
  <c r="F46" i="10" s="1"/>
  <c r="C46" i="10"/>
  <c r="M44" i="10"/>
  <c r="N44" i="10" s="1"/>
  <c r="K44" i="10"/>
  <c r="L44" i="10" s="1"/>
  <c r="I44" i="10"/>
  <c r="J44" i="10" s="1"/>
  <c r="G44" i="10"/>
  <c r="H44" i="10" s="1"/>
  <c r="E44" i="10"/>
  <c r="F44" i="10" s="1"/>
  <c r="C44" i="10"/>
  <c r="M43" i="10"/>
  <c r="N43" i="10" s="1"/>
  <c r="K43" i="10"/>
  <c r="L43" i="10" s="1"/>
  <c r="I43" i="10"/>
  <c r="J43" i="10" s="1"/>
  <c r="G43" i="10"/>
  <c r="E43" i="10"/>
  <c r="F43" i="10" s="1"/>
  <c r="C43" i="10"/>
  <c r="D43" i="10" s="1"/>
  <c r="M38" i="10"/>
  <c r="N38" i="10" s="1"/>
  <c r="K38" i="10"/>
  <c r="L38" i="10" s="1"/>
  <c r="I38" i="10"/>
  <c r="J38" i="10" s="1"/>
  <c r="G38" i="10"/>
  <c r="H38" i="10" s="1"/>
  <c r="E38" i="10"/>
  <c r="C38" i="10"/>
  <c r="M36" i="10"/>
  <c r="N36" i="10" s="1"/>
  <c r="K36" i="10"/>
  <c r="L36" i="10" s="1"/>
  <c r="I36" i="10"/>
  <c r="J36" i="10" s="1"/>
  <c r="G36" i="10"/>
  <c r="H36" i="10" s="1"/>
  <c r="E36" i="10"/>
  <c r="F36" i="10" s="1"/>
  <c r="C36" i="10"/>
  <c r="D36" i="10" s="1"/>
  <c r="M34" i="10"/>
  <c r="N34" i="10" s="1"/>
  <c r="K34" i="10"/>
  <c r="L34" i="10" s="1"/>
  <c r="I34" i="10"/>
  <c r="J34" i="10" s="1"/>
  <c r="G34" i="10"/>
  <c r="H34" i="10" s="1"/>
  <c r="E34" i="10"/>
  <c r="F34" i="10" s="1"/>
  <c r="C34" i="10"/>
  <c r="M33" i="10"/>
  <c r="N33" i="10" s="1"/>
  <c r="K33" i="10"/>
  <c r="L33" i="10" s="1"/>
  <c r="I33" i="10"/>
  <c r="J33" i="10" s="1"/>
  <c r="G33" i="10"/>
  <c r="H33" i="10" s="1"/>
  <c r="E33" i="10"/>
  <c r="F33" i="10" s="1"/>
  <c r="C33" i="10"/>
  <c r="D33" i="10" s="1"/>
  <c r="M30" i="10"/>
  <c r="N30" i="10" s="1"/>
  <c r="K30" i="10"/>
  <c r="L30" i="10" s="1"/>
  <c r="I30" i="10"/>
  <c r="J30" i="10" s="1"/>
  <c r="G30" i="10"/>
  <c r="H30" i="10" s="1"/>
  <c r="E30" i="10"/>
  <c r="F30" i="10" s="1"/>
  <c r="C30" i="10"/>
  <c r="M28" i="10"/>
  <c r="N28" i="10" s="1"/>
  <c r="K28" i="10"/>
  <c r="L28" i="10" s="1"/>
  <c r="I28" i="10"/>
  <c r="J28" i="10" s="1"/>
  <c r="G28" i="10"/>
  <c r="H28" i="10" s="1"/>
  <c r="E28" i="10"/>
  <c r="F28" i="10" s="1"/>
  <c r="C28" i="10"/>
  <c r="D27" i="10"/>
  <c r="M26" i="10"/>
  <c r="N26" i="10" s="1"/>
  <c r="K26" i="10"/>
  <c r="L26" i="10" s="1"/>
  <c r="I26" i="10"/>
  <c r="J26" i="10" s="1"/>
  <c r="G26" i="10"/>
  <c r="H26" i="10" s="1"/>
  <c r="E26" i="10"/>
  <c r="C26" i="10"/>
  <c r="M24" i="10"/>
  <c r="N24" i="10" s="1"/>
  <c r="K24" i="10"/>
  <c r="L24" i="10" s="1"/>
  <c r="I24" i="10"/>
  <c r="J24" i="10" s="1"/>
  <c r="G24" i="10"/>
  <c r="E24" i="10"/>
  <c r="F24" i="10" s="1"/>
  <c r="C24" i="10"/>
  <c r="D24" i="10" s="1"/>
  <c r="M23" i="10"/>
  <c r="N23" i="10" s="1"/>
  <c r="K23" i="10"/>
  <c r="L23" i="10" s="1"/>
  <c r="I23" i="10"/>
  <c r="J23" i="10" s="1"/>
  <c r="G23" i="10"/>
  <c r="H23" i="10" s="1"/>
  <c r="E23" i="10"/>
  <c r="F23" i="10" s="1"/>
  <c r="C23" i="10"/>
  <c r="D23" i="10" s="1"/>
  <c r="M22" i="10"/>
  <c r="N22" i="10" s="1"/>
  <c r="K22" i="10"/>
  <c r="L22" i="10" s="1"/>
  <c r="I22" i="10"/>
  <c r="J22" i="10" s="1"/>
  <c r="G22" i="10"/>
  <c r="H22" i="10" s="1"/>
  <c r="E22" i="10"/>
  <c r="F22" i="10" s="1"/>
  <c r="C22" i="10"/>
  <c r="M21" i="10"/>
  <c r="N21" i="10" s="1"/>
  <c r="K21" i="10"/>
  <c r="L21" i="10" s="1"/>
  <c r="I21" i="10"/>
  <c r="J21" i="10" s="1"/>
  <c r="G21" i="10"/>
  <c r="E21" i="10"/>
  <c r="F21" i="10" s="1"/>
  <c r="C21" i="10"/>
  <c r="D21" i="10" s="1"/>
  <c r="M18" i="10"/>
  <c r="N18" i="10" s="1"/>
  <c r="K18" i="10"/>
  <c r="L18" i="10" s="1"/>
  <c r="I18" i="10"/>
  <c r="J18" i="10" s="1"/>
  <c r="G18" i="10"/>
  <c r="H18" i="10" s="1"/>
  <c r="E18" i="10"/>
  <c r="F18" i="10" s="1"/>
  <c r="C18" i="10"/>
  <c r="D17" i="10"/>
  <c r="C16" i="10"/>
  <c r="D16" i="10" s="1"/>
  <c r="M151" i="9"/>
  <c r="N151" i="9" s="1"/>
  <c r="K151" i="9"/>
  <c r="L151" i="9" s="1"/>
  <c r="I151" i="9"/>
  <c r="J151" i="9" s="1"/>
  <c r="G151" i="9"/>
  <c r="H151" i="9" s="1"/>
  <c r="E151" i="9"/>
  <c r="F151" i="9" s="1"/>
  <c r="C151" i="9"/>
  <c r="M179" i="9"/>
  <c r="N179" i="9" s="1"/>
  <c r="K179" i="9"/>
  <c r="L179" i="9" s="1"/>
  <c r="I179" i="9"/>
  <c r="J179" i="9" s="1"/>
  <c r="G179" i="9"/>
  <c r="H179" i="9" s="1"/>
  <c r="E179" i="9"/>
  <c r="F179" i="9" s="1"/>
  <c r="C179" i="9"/>
  <c r="M178" i="9"/>
  <c r="N178" i="9" s="1"/>
  <c r="K178" i="9"/>
  <c r="L178" i="9" s="1"/>
  <c r="I178" i="9"/>
  <c r="J178" i="9" s="1"/>
  <c r="G178" i="9"/>
  <c r="H178" i="9" s="1"/>
  <c r="E178" i="9"/>
  <c r="C178" i="9"/>
  <c r="D178" i="9" s="1"/>
  <c r="M177" i="9"/>
  <c r="N177" i="9" s="1"/>
  <c r="K177" i="9"/>
  <c r="L177" i="9" s="1"/>
  <c r="I177" i="9"/>
  <c r="J177" i="9" s="1"/>
  <c r="G177" i="9"/>
  <c r="H177" i="9" s="1"/>
  <c r="E177" i="9"/>
  <c r="F177" i="9" s="1"/>
  <c r="C177" i="9"/>
  <c r="M176" i="9"/>
  <c r="N176" i="9" s="1"/>
  <c r="K176" i="9"/>
  <c r="L176" i="9" s="1"/>
  <c r="I176" i="9"/>
  <c r="J176" i="9" s="1"/>
  <c r="G176" i="9"/>
  <c r="E176" i="9"/>
  <c r="F176" i="9" s="1"/>
  <c r="C176" i="9"/>
  <c r="D176" i="9" s="1"/>
  <c r="M175" i="9"/>
  <c r="N175" i="9" s="1"/>
  <c r="K175" i="9"/>
  <c r="L175" i="9" s="1"/>
  <c r="I175" i="9"/>
  <c r="J175" i="9" s="1"/>
  <c r="G175" i="9"/>
  <c r="H175" i="9" s="1"/>
  <c r="E175" i="9"/>
  <c r="F175" i="9" s="1"/>
  <c r="C175" i="9"/>
  <c r="D175" i="9" s="1"/>
  <c r="M174" i="9"/>
  <c r="N174" i="9" s="1"/>
  <c r="K174" i="9"/>
  <c r="L174" i="9" s="1"/>
  <c r="I174" i="9"/>
  <c r="J174" i="9" s="1"/>
  <c r="G174" i="9"/>
  <c r="H174" i="9" s="1"/>
  <c r="E174" i="9"/>
  <c r="F174" i="9" s="1"/>
  <c r="C174" i="9"/>
  <c r="M173" i="9"/>
  <c r="N173" i="9" s="1"/>
  <c r="K173" i="9"/>
  <c r="L173" i="9" s="1"/>
  <c r="I173" i="9"/>
  <c r="J173" i="9" s="1"/>
  <c r="G173" i="9"/>
  <c r="H173" i="9" s="1"/>
  <c r="E173" i="9"/>
  <c r="F173" i="9" s="1"/>
  <c r="C173" i="9"/>
  <c r="M172" i="9"/>
  <c r="N172" i="9" s="1"/>
  <c r="K172" i="9"/>
  <c r="L172" i="9" s="1"/>
  <c r="I172" i="9"/>
  <c r="J172" i="9" s="1"/>
  <c r="G172" i="9"/>
  <c r="H172" i="9" s="1"/>
  <c r="E172" i="9"/>
  <c r="F172" i="9" s="1"/>
  <c r="C172" i="9"/>
  <c r="M171" i="9"/>
  <c r="N171" i="9" s="1"/>
  <c r="K171" i="9"/>
  <c r="L171" i="9" s="1"/>
  <c r="I171" i="9"/>
  <c r="J171" i="9" s="1"/>
  <c r="G171" i="9"/>
  <c r="H171" i="9" s="1"/>
  <c r="E171" i="9"/>
  <c r="F171" i="9" s="1"/>
  <c r="C171" i="9"/>
  <c r="M170" i="9"/>
  <c r="N170" i="9" s="1"/>
  <c r="K170" i="9"/>
  <c r="L170" i="9" s="1"/>
  <c r="I170" i="9"/>
  <c r="J170" i="9" s="1"/>
  <c r="G170" i="9"/>
  <c r="H170" i="9" s="1"/>
  <c r="E170" i="9"/>
  <c r="C170" i="9"/>
  <c r="D170" i="9" s="1"/>
  <c r="M169" i="9"/>
  <c r="N169" i="9" s="1"/>
  <c r="K169" i="9"/>
  <c r="L169" i="9" s="1"/>
  <c r="I169" i="9"/>
  <c r="J169" i="9" s="1"/>
  <c r="G169" i="9"/>
  <c r="H169" i="9" s="1"/>
  <c r="E169" i="9"/>
  <c r="F169" i="9" s="1"/>
  <c r="C169" i="9"/>
  <c r="M168" i="9"/>
  <c r="N168" i="9" s="1"/>
  <c r="K168" i="9"/>
  <c r="L168" i="9" s="1"/>
  <c r="I168" i="9"/>
  <c r="J168" i="9" s="1"/>
  <c r="G168" i="9"/>
  <c r="H168" i="9" s="1"/>
  <c r="E168" i="9"/>
  <c r="F168" i="9" s="1"/>
  <c r="C168" i="9"/>
  <c r="D168" i="9" s="1"/>
  <c r="M167" i="9"/>
  <c r="N167" i="9" s="1"/>
  <c r="K167" i="9"/>
  <c r="L167" i="9" s="1"/>
  <c r="I167" i="9"/>
  <c r="J167" i="9" s="1"/>
  <c r="G167" i="9"/>
  <c r="H167" i="9" s="1"/>
  <c r="E167" i="9"/>
  <c r="C167" i="9"/>
  <c r="M166" i="9"/>
  <c r="N166" i="9" s="1"/>
  <c r="K166" i="9"/>
  <c r="L166" i="9" s="1"/>
  <c r="I166" i="9"/>
  <c r="J166" i="9" s="1"/>
  <c r="G166" i="9"/>
  <c r="H166" i="9" s="1"/>
  <c r="E166" i="9"/>
  <c r="F166" i="9" s="1"/>
  <c r="C166" i="9"/>
  <c r="M165" i="9"/>
  <c r="N165" i="9" s="1"/>
  <c r="K165" i="9"/>
  <c r="L165" i="9" s="1"/>
  <c r="I165" i="9"/>
  <c r="J165" i="9" s="1"/>
  <c r="G165" i="9"/>
  <c r="E165" i="9"/>
  <c r="F165" i="9" s="1"/>
  <c r="C165" i="9"/>
  <c r="M164" i="9"/>
  <c r="N164" i="9" s="1"/>
  <c r="K164" i="9"/>
  <c r="L164" i="9" s="1"/>
  <c r="I164" i="9"/>
  <c r="J164" i="9" s="1"/>
  <c r="G164" i="9"/>
  <c r="H164" i="9" s="1"/>
  <c r="E164" i="9"/>
  <c r="F164" i="9" s="1"/>
  <c r="C164" i="9"/>
  <c r="M163" i="9"/>
  <c r="N163" i="9" s="1"/>
  <c r="K163" i="9"/>
  <c r="L163" i="9" s="1"/>
  <c r="I163" i="9"/>
  <c r="J163" i="9" s="1"/>
  <c r="G163" i="9"/>
  <c r="H163" i="9" s="1"/>
  <c r="E163" i="9"/>
  <c r="F163" i="9" s="1"/>
  <c r="C163" i="9"/>
  <c r="M162" i="9"/>
  <c r="N162" i="9" s="1"/>
  <c r="K162" i="9"/>
  <c r="L162" i="9" s="1"/>
  <c r="I162" i="9"/>
  <c r="J162" i="9" s="1"/>
  <c r="G162" i="9"/>
  <c r="H162" i="9" s="1"/>
  <c r="E162" i="9"/>
  <c r="C162" i="9"/>
  <c r="D162" i="9" s="1"/>
  <c r="M161" i="9"/>
  <c r="N161" i="9" s="1"/>
  <c r="K161" i="9"/>
  <c r="L161" i="9" s="1"/>
  <c r="I161" i="9"/>
  <c r="J161" i="9" s="1"/>
  <c r="G161" i="9"/>
  <c r="H161" i="9" s="1"/>
  <c r="E161" i="9"/>
  <c r="F161" i="9" s="1"/>
  <c r="C161" i="9"/>
  <c r="M160" i="9"/>
  <c r="N160" i="9" s="1"/>
  <c r="K160" i="9"/>
  <c r="L160" i="9" s="1"/>
  <c r="I160" i="9"/>
  <c r="J160" i="9" s="1"/>
  <c r="G160" i="9"/>
  <c r="E160" i="9"/>
  <c r="F160" i="9" s="1"/>
  <c r="C160" i="9"/>
  <c r="D160" i="9" s="1"/>
  <c r="M159" i="9"/>
  <c r="N159" i="9" s="1"/>
  <c r="K159" i="9"/>
  <c r="L159" i="9" s="1"/>
  <c r="I159" i="9"/>
  <c r="J159" i="9" s="1"/>
  <c r="G159" i="9"/>
  <c r="H159" i="9" s="1"/>
  <c r="E159" i="9"/>
  <c r="F159" i="9" s="1"/>
  <c r="C159" i="9"/>
  <c r="D159" i="9" s="1"/>
  <c r="M143" i="9"/>
  <c r="N143" i="9" s="1"/>
  <c r="K143" i="9"/>
  <c r="L143" i="9" s="1"/>
  <c r="I143" i="9"/>
  <c r="J143" i="9" s="1"/>
  <c r="G143" i="9"/>
  <c r="H143" i="9" s="1"/>
  <c r="E143" i="9"/>
  <c r="F143" i="9" s="1"/>
  <c r="C143" i="9"/>
  <c r="M142" i="9"/>
  <c r="N142" i="9" s="1"/>
  <c r="K142" i="9"/>
  <c r="L142" i="9" s="1"/>
  <c r="I142" i="9"/>
  <c r="J142" i="9" s="1"/>
  <c r="G142" i="9"/>
  <c r="H142" i="9" s="1"/>
  <c r="E142" i="9"/>
  <c r="C142" i="9"/>
  <c r="D142" i="9" s="1"/>
  <c r="M141" i="9"/>
  <c r="N141" i="9" s="1"/>
  <c r="K141" i="9"/>
  <c r="L141" i="9" s="1"/>
  <c r="I141" i="9"/>
  <c r="J141" i="9" s="1"/>
  <c r="G141" i="9"/>
  <c r="H141" i="9" s="1"/>
  <c r="E141" i="9"/>
  <c r="F141" i="9" s="1"/>
  <c r="C141" i="9"/>
  <c r="M140" i="9"/>
  <c r="N140" i="9" s="1"/>
  <c r="K140" i="9"/>
  <c r="L140" i="9" s="1"/>
  <c r="I140" i="9"/>
  <c r="J140" i="9" s="1"/>
  <c r="G140" i="9"/>
  <c r="H140" i="9" s="1"/>
  <c r="E140" i="9"/>
  <c r="F140" i="9" s="1"/>
  <c r="C140" i="9"/>
  <c r="D140" i="9" s="1"/>
  <c r="M139" i="9"/>
  <c r="N139" i="9" s="1"/>
  <c r="K139" i="9"/>
  <c r="L139" i="9" s="1"/>
  <c r="I139" i="9"/>
  <c r="J139" i="9" s="1"/>
  <c r="G139" i="9"/>
  <c r="H139" i="9" s="1"/>
  <c r="E139" i="9"/>
  <c r="F139" i="9" s="1"/>
  <c r="C139" i="9"/>
  <c r="M138" i="9"/>
  <c r="N138" i="9" s="1"/>
  <c r="K138" i="9"/>
  <c r="L138" i="9" s="1"/>
  <c r="I138" i="9"/>
  <c r="J138" i="9" s="1"/>
  <c r="G138" i="9"/>
  <c r="H138" i="9" s="1"/>
  <c r="E138" i="9"/>
  <c r="F138" i="9" s="1"/>
  <c r="C138" i="9"/>
  <c r="M137" i="9"/>
  <c r="N137" i="9" s="1"/>
  <c r="K137" i="9"/>
  <c r="L137" i="9" s="1"/>
  <c r="I137" i="9"/>
  <c r="J137" i="9" s="1"/>
  <c r="G137" i="9"/>
  <c r="H137" i="9" s="1"/>
  <c r="E137" i="9"/>
  <c r="F137" i="9" s="1"/>
  <c r="C137" i="9"/>
  <c r="D137" i="9" s="1"/>
  <c r="M136" i="9"/>
  <c r="N136" i="9" s="1"/>
  <c r="K136" i="9"/>
  <c r="L136" i="9" s="1"/>
  <c r="I136" i="9"/>
  <c r="J136" i="9" s="1"/>
  <c r="G136" i="9"/>
  <c r="H136" i="9" s="1"/>
  <c r="E136" i="9"/>
  <c r="F136" i="9" s="1"/>
  <c r="C136" i="9"/>
  <c r="M135" i="9"/>
  <c r="N135" i="9" s="1"/>
  <c r="K135" i="9"/>
  <c r="L135" i="9" s="1"/>
  <c r="I135" i="9"/>
  <c r="J135" i="9" s="1"/>
  <c r="G135" i="9"/>
  <c r="H135" i="9" s="1"/>
  <c r="E135" i="9"/>
  <c r="F135" i="9" s="1"/>
  <c r="C135" i="9"/>
  <c r="D135" i="9" s="1"/>
  <c r="M134" i="9"/>
  <c r="N134" i="9" s="1"/>
  <c r="K134" i="9"/>
  <c r="L134" i="9" s="1"/>
  <c r="I134" i="9"/>
  <c r="J134" i="9" s="1"/>
  <c r="G134" i="9"/>
  <c r="H134" i="9" s="1"/>
  <c r="E134" i="9"/>
  <c r="C134" i="9"/>
  <c r="D134" i="9" s="1"/>
  <c r="M133" i="9"/>
  <c r="N133" i="9" s="1"/>
  <c r="K133" i="9"/>
  <c r="L133" i="9" s="1"/>
  <c r="I133" i="9"/>
  <c r="J133" i="9" s="1"/>
  <c r="G133" i="9"/>
  <c r="H133" i="9" s="1"/>
  <c r="E133" i="9"/>
  <c r="F133" i="9" s="1"/>
  <c r="C133" i="9"/>
  <c r="M132" i="9"/>
  <c r="N132" i="9" s="1"/>
  <c r="K132" i="9"/>
  <c r="L132" i="9" s="1"/>
  <c r="I132" i="9"/>
  <c r="J132" i="9" s="1"/>
  <c r="G132" i="9"/>
  <c r="E132" i="9"/>
  <c r="F132" i="9" s="1"/>
  <c r="C132" i="9"/>
  <c r="D132" i="9" s="1"/>
  <c r="M131" i="9"/>
  <c r="N131" i="9" s="1"/>
  <c r="K131" i="9"/>
  <c r="L131" i="9" s="1"/>
  <c r="I131" i="9"/>
  <c r="J131" i="9" s="1"/>
  <c r="G131" i="9"/>
  <c r="H131" i="9" s="1"/>
  <c r="E131" i="9"/>
  <c r="F131" i="9" s="1"/>
  <c r="C131" i="9"/>
  <c r="D131" i="9" s="1"/>
  <c r="M130" i="9"/>
  <c r="N130" i="9" s="1"/>
  <c r="K130" i="9"/>
  <c r="L130" i="9" s="1"/>
  <c r="I130" i="9"/>
  <c r="J130" i="9" s="1"/>
  <c r="G130" i="9"/>
  <c r="H130" i="9" s="1"/>
  <c r="E130" i="9"/>
  <c r="F130" i="9" s="1"/>
  <c r="C130" i="9"/>
  <c r="M129" i="9"/>
  <c r="N129" i="9" s="1"/>
  <c r="K129" i="9"/>
  <c r="L129" i="9" s="1"/>
  <c r="I129" i="9"/>
  <c r="J129" i="9" s="1"/>
  <c r="G129" i="9"/>
  <c r="H129" i="9" s="1"/>
  <c r="E129" i="9"/>
  <c r="F129" i="9" s="1"/>
  <c r="C129" i="9"/>
  <c r="D129" i="9" s="1"/>
  <c r="M128" i="9"/>
  <c r="N128" i="9" s="1"/>
  <c r="K128" i="9"/>
  <c r="L128" i="9" s="1"/>
  <c r="I128" i="9"/>
  <c r="J128" i="9" s="1"/>
  <c r="G128" i="9"/>
  <c r="H128" i="9" s="1"/>
  <c r="E128" i="9"/>
  <c r="F128" i="9" s="1"/>
  <c r="C128" i="9"/>
  <c r="M127" i="9"/>
  <c r="N127" i="9" s="1"/>
  <c r="K127" i="9"/>
  <c r="L127" i="9" s="1"/>
  <c r="I127" i="9"/>
  <c r="J127" i="9" s="1"/>
  <c r="G127" i="9"/>
  <c r="H127" i="9" s="1"/>
  <c r="E127" i="9"/>
  <c r="F127" i="9" s="1"/>
  <c r="C127" i="9"/>
  <c r="M126" i="9"/>
  <c r="N126" i="9" s="1"/>
  <c r="K126" i="9"/>
  <c r="L126" i="9" s="1"/>
  <c r="I126" i="9"/>
  <c r="J126" i="9" s="1"/>
  <c r="G126" i="9"/>
  <c r="H126" i="9" s="1"/>
  <c r="E126" i="9"/>
  <c r="F126" i="9" s="1"/>
  <c r="C126" i="9"/>
  <c r="D126" i="9" s="1"/>
  <c r="M125" i="9"/>
  <c r="N125" i="9" s="1"/>
  <c r="K125" i="9"/>
  <c r="L125" i="9" s="1"/>
  <c r="I125" i="9"/>
  <c r="J125" i="9" s="1"/>
  <c r="G125" i="9"/>
  <c r="H125" i="9" s="1"/>
  <c r="E125" i="9"/>
  <c r="F125" i="9" s="1"/>
  <c r="C125" i="9"/>
  <c r="M124" i="9"/>
  <c r="N124" i="9" s="1"/>
  <c r="K124" i="9"/>
  <c r="L124" i="9" s="1"/>
  <c r="I124" i="9"/>
  <c r="J124" i="9" s="1"/>
  <c r="G124" i="9"/>
  <c r="E124" i="9"/>
  <c r="F124" i="9" s="1"/>
  <c r="C124" i="9"/>
  <c r="D124" i="9" s="1"/>
  <c r="M123" i="9"/>
  <c r="N123" i="9" s="1"/>
  <c r="K123" i="9"/>
  <c r="L123" i="9" s="1"/>
  <c r="I123" i="9"/>
  <c r="J123" i="9" s="1"/>
  <c r="G123" i="9"/>
  <c r="H123" i="9" s="1"/>
  <c r="E123" i="9"/>
  <c r="F123" i="9" s="1"/>
  <c r="C123" i="9"/>
  <c r="M122" i="9"/>
  <c r="N122" i="9" s="1"/>
  <c r="K122" i="9"/>
  <c r="L122" i="9" s="1"/>
  <c r="I122" i="9"/>
  <c r="J122" i="9" s="1"/>
  <c r="G122" i="9"/>
  <c r="H122" i="9" s="1"/>
  <c r="E122" i="9"/>
  <c r="F122" i="9" s="1"/>
  <c r="C122" i="9"/>
  <c r="M121" i="9"/>
  <c r="N121" i="9" s="1"/>
  <c r="K121" i="9"/>
  <c r="L121" i="9" s="1"/>
  <c r="I121" i="9"/>
  <c r="J121" i="9" s="1"/>
  <c r="G121" i="9"/>
  <c r="H121" i="9" s="1"/>
  <c r="E121" i="9"/>
  <c r="F121" i="9" s="1"/>
  <c r="C121" i="9"/>
  <c r="M120" i="9"/>
  <c r="N120" i="9" s="1"/>
  <c r="K120" i="9"/>
  <c r="L120" i="9" s="1"/>
  <c r="I120" i="9"/>
  <c r="J120" i="9" s="1"/>
  <c r="G120" i="9"/>
  <c r="H120" i="9" s="1"/>
  <c r="E120" i="9"/>
  <c r="F120" i="9" s="1"/>
  <c r="C120" i="9"/>
  <c r="M119" i="9"/>
  <c r="N119" i="9" s="1"/>
  <c r="K119" i="9"/>
  <c r="L119" i="9" s="1"/>
  <c r="I119" i="9"/>
  <c r="J119" i="9" s="1"/>
  <c r="G119" i="9"/>
  <c r="H119" i="9" s="1"/>
  <c r="E119" i="9"/>
  <c r="F119" i="9" s="1"/>
  <c r="C119" i="9"/>
  <c r="M118" i="9"/>
  <c r="N118" i="9" s="1"/>
  <c r="K118" i="9"/>
  <c r="L118" i="9" s="1"/>
  <c r="I118" i="9"/>
  <c r="J118" i="9" s="1"/>
  <c r="G118" i="9"/>
  <c r="H118" i="9" s="1"/>
  <c r="E118" i="9"/>
  <c r="F118" i="9" s="1"/>
  <c r="C118" i="9"/>
  <c r="D118" i="9" s="1"/>
  <c r="M117" i="9"/>
  <c r="N117" i="9" s="1"/>
  <c r="K117" i="9"/>
  <c r="L117" i="9" s="1"/>
  <c r="I117" i="9"/>
  <c r="J117" i="9" s="1"/>
  <c r="G117" i="9"/>
  <c r="H117" i="9" s="1"/>
  <c r="E117" i="9"/>
  <c r="F117" i="9" s="1"/>
  <c r="C117" i="9"/>
  <c r="M116" i="9"/>
  <c r="N116" i="9" s="1"/>
  <c r="K116" i="9"/>
  <c r="L116" i="9" s="1"/>
  <c r="I116" i="9"/>
  <c r="J116" i="9" s="1"/>
  <c r="G116" i="9"/>
  <c r="E116" i="9"/>
  <c r="F116" i="9" s="1"/>
  <c r="C116" i="9"/>
  <c r="D116" i="9" s="1"/>
  <c r="M115" i="9"/>
  <c r="N115" i="9" s="1"/>
  <c r="K115" i="9"/>
  <c r="L115" i="9" s="1"/>
  <c r="I115" i="9"/>
  <c r="J115" i="9" s="1"/>
  <c r="G115" i="9"/>
  <c r="H115" i="9" s="1"/>
  <c r="E115" i="9"/>
  <c r="F115" i="9" s="1"/>
  <c r="C115" i="9"/>
  <c r="M114" i="9"/>
  <c r="N114" i="9" s="1"/>
  <c r="K114" i="9"/>
  <c r="L114" i="9" s="1"/>
  <c r="I114" i="9"/>
  <c r="J114" i="9" s="1"/>
  <c r="G114" i="9"/>
  <c r="H114" i="9" s="1"/>
  <c r="E114" i="9"/>
  <c r="F114" i="9" s="1"/>
  <c r="C114" i="9"/>
  <c r="M113" i="9"/>
  <c r="N113" i="9" s="1"/>
  <c r="K113" i="9"/>
  <c r="L113" i="9" s="1"/>
  <c r="I113" i="9"/>
  <c r="J113" i="9" s="1"/>
  <c r="G113" i="9"/>
  <c r="H113" i="9" s="1"/>
  <c r="E113" i="9"/>
  <c r="F113" i="9" s="1"/>
  <c r="C113" i="9"/>
  <c r="D113" i="9" s="1"/>
  <c r="M112" i="9"/>
  <c r="N112" i="9" s="1"/>
  <c r="K112" i="9"/>
  <c r="L112" i="9" s="1"/>
  <c r="I112" i="9"/>
  <c r="J112" i="9" s="1"/>
  <c r="G112" i="9"/>
  <c r="H112" i="9" s="1"/>
  <c r="E112" i="9"/>
  <c r="F112" i="9" s="1"/>
  <c r="C112" i="9"/>
  <c r="M48" i="9"/>
  <c r="N48" i="9" s="1"/>
  <c r="K48" i="9"/>
  <c r="L48" i="9" s="1"/>
  <c r="I48" i="9"/>
  <c r="J48" i="9" s="1"/>
  <c r="G48" i="9"/>
  <c r="H48" i="9" s="1"/>
  <c r="E48" i="9"/>
  <c r="F48" i="9" s="1"/>
  <c r="C48" i="9"/>
  <c r="M47" i="9"/>
  <c r="N47" i="9" s="1"/>
  <c r="K47" i="9"/>
  <c r="L47" i="9" s="1"/>
  <c r="I47" i="9"/>
  <c r="J47" i="9" s="1"/>
  <c r="G47" i="9"/>
  <c r="H47" i="9" s="1"/>
  <c r="E47" i="9"/>
  <c r="F47" i="9" s="1"/>
  <c r="C47" i="9"/>
  <c r="D47" i="9" s="1"/>
  <c r="M46" i="9"/>
  <c r="N46" i="9" s="1"/>
  <c r="K46" i="9"/>
  <c r="L46" i="9" s="1"/>
  <c r="I46" i="9"/>
  <c r="J46" i="9" s="1"/>
  <c r="G46" i="9"/>
  <c r="H46" i="9" s="1"/>
  <c r="E46" i="9"/>
  <c r="F46" i="9" s="1"/>
  <c r="C46" i="9"/>
  <c r="D46" i="9" s="1"/>
  <c r="U81" i="8"/>
  <c r="U77" i="8"/>
  <c r="U75" i="8"/>
  <c r="U71" i="8"/>
  <c r="U69" i="8"/>
  <c r="U65" i="8"/>
  <c r="U63" i="8"/>
  <c r="U59" i="8"/>
  <c r="U57" i="8"/>
  <c r="U99" i="8"/>
  <c r="T95" i="8"/>
  <c r="T99" i="8" s="1"/>
  <c r="T81" i="8"/>
  <c r="T77" i="8"/>
  <c r="T75" i="8"/>
  <c r="T71" i="8"/>
  <c r="T69" i="8"/>
  <c r="T65" i="8"/>
  <c r="T63" i="8"/>
  <c r="T59" i="8"/>
  <c r="T57" i="8"/>
  <c r="U119" i="8"/>
  <c r="T119" i="8"/>
  <c r="M57" i="5"/>
  <c r="N57" i="5" s="1"/>
  <c r="K57" i="5"/>
  <c r="L57" i="5" s="1"/>
  <c r="I57" i="5"/>
  <c r="J57" i="5" s="1"/>
  <c r="G57" i="5"/>
  <c r="H57" i="5" s="1"/>
  <c r="E57" i="5"/>
  <c r="F57" i="5" s="1"/>
  <c r="C57" i="5"/>
  <c r="M56" i="5"/>
  <c r="N56" i="5" s="1"/>
  <c r="K56" i="5"/>
  <c r="L56" i="5" s="1"/>
  <c r="I56" i="5"/>
  <c r="J56" i="5" s="1"/>
  <c r="G56" i="5"/>
  <c r="H56" i="5" s="1"/>
  <c r="E56" i="5"/>
  <c r="F56" i="5" s="1"/>
  <c r="C56" i="5"/>
  <c r="D56" i="5" s="1"/>
  <c r="M43" i="4"/>
  <c r="N43" i="4" s="1"/>
  <c r="K43" i="4"/>
  <c r="L43" i="4" s="1"/>
  <c r="I43" i="4"/>
  <c r="J43" i="4" s="1"/>
  <c r="G43" i="4"/>
  <c r="H43" i="4" s="1"/>
  <c r="E43" i="4"/>
  <c r="F43" i="4" s="1"/>
  <c r="C43" i="4"/>
  <c r="M42" i="4"/>
  <c r="N42" i="4" s="1"/>
  <c r="K42" i="4"/>
  <c r="L42" i="4" s="1"/>
  <c r="I42" i="4"/>
  <c r="J42" i="4" s="1"/>
  <c r="G42" i="4"/>
  <c r="H42" i="4" s="1"/>
  <c r="E42" i="4"/>
  <c r="F42" i="4" s="1"/>
  <c r="C42" i="4"/>
  <c r="D42" i="4" s="1"/>
  <c r="M35" i="4"/>
  <c r="N35" i="4" s="1"/>
  <c r="K35" i="4"/>
  <c r="L35" i="4" s="1"/>
  <c r="I35" i="4"/>
  <c r="J35" i="4" s="1"/>
  <c r="G35" i="4"/>
  <c r="H35" i="4" s="1"/>
  <c r="E35" i="4"/>
  <c r="F35" i="4" s="1"/>
  <c r="C35" i="4"/>
  <c r="M34" i="4"/>
  <c r="N34" i="4" s="1"/>
  <c r="K34" i="4"/>
  <c r="L34" i="4" s="1"/>
  <c r="I34" i="4"/>
  <c r="J34" i="4" s="1"/>
  <c r="G34" i="4"/>
  <c r="H34" i="4" s="1"/>
  <c r="E34" i="4"/>
  <c r="C34" i="4"/>
  <c r="D34" i="4" s="1"/>
  <c r="M25" i="4"/>
  <c r="N25" i="4" s="1"/>
  <c r="K25" i="4"/>
  <c r="L25" i="4" s="1"/>
  <c r="I25" i="4"/>
  <c r="J25" i="4" s="1"/>
  <c r="G25" i="4"/>
  <c r="H25" i="4" s="1"/>
  <c r="E25" i="4"/>
  <c r="F25" i="4" s="1"/>
  <c r="C25" i="4"/>
  <c r="M24" i="4"/>
  <c r="N24" i="4" s="1"/>
  <c r="K24" i="4"/>
  <c r="L24" i="4" s="1"/>
  <c r="I24" i="4"/>
  <c r="J24" i="4" s="1"/>
  <c r="G24" i="4"/>
  <c r="H24" i="4" s="1"/>
  <c r="E24" i="4"/>
  <c r="F24" i="4" s="1"/>
  <c r="C24" i="4"/>
  <c r="D24" i="4" s="1"/>
  <c r="D62" i="10" l="1"/>
  <c r="O62" i="10"/>
  <c r="O66" i="10"/>
  <c r="O101" i="10"/>
  <c r="R101" i="10" s="1"/>
  <c r="D105" i="10"/>
  <c r="O105" i="10"/>
  <c r="R105" i="10" s="1"/>
  <c r="D109" i="10"/>
  <c r="O109" i="10"/>
  <c r="O113" i="10"/>
  <c r="D117" i="10"/>
  <c r="O117" i="10"/>
  <c r="D121" i="10"/>
  <c r="O121" i="10"/>
  <c r="O139" i="10"/>
  <c r="R139" i="10" s="1"/>
  <c r="D143" i="10"/>
  <c r="O143" i="10"/>
  <c r="R143" i="10" s="1"/>
  <c r="D30" i="10"/>
  <c r="O30" i="10"/>
  <c r="R30" i="10" s="1"/>
  <c r="O57" i="5"/>
  <c r="R57" i="5" s="1"/>
  <c r="O48" i="9"/>
  <c r="R48" i="9" s="1"/>
  <c r="O115" i="9"/>
  <c r="O123" i="9"/>
  <c r="O22" i="10"/>
  <c r="R22" i="10" s="1"/>
  <c r="D48" i="10"/>
  <c r="O48" i="10"/>
  <c r="O153" i="10"/>
  <c r="R153" i="10" s="1"/>
  <c r="D157" i="10"/>
  <c r="O157" i="10"/>
  <c r="R157" i="10" s="1"/>
  <c r="O161" i="10"/>
  <c r="R161" i="10" s="1"/>
  <c r="O186" i="10"/>
  <c r="R186" i="10" s="1"/>
  <c r="D165" i="10"/>
  <c r="O165" i="10"/>
  <c r="R165" i="10" s="1"/>
  <c r="D194" i="10"/>
  <c r="O194" i="10"/>
  <c r="R194" i="10" s="1"/>
  <c r="O227" i="10"/>
  <c r="R227" i="10" s="1"/>
  <c r="D231" i="10"/>
  <c r="O231" i="10"/>
  <c r="R231" i="10" s="1"/>
  <c r="D239" i="10"/>
  <c r="O239" i="10"/>
  <c r="R239" i="10" s="1"/>
  <c r="D251" i="10"/>
  <c r="O251" i="10"/>
  <c r="R251" i="10" s="1"/>
  <c r="D272" i="10"/>
  <c r="O272" i="10"/>
  <c r="R272" i="10" s="1"/>
  <c r="D294" i="10"/>
  <c r="O294" i="10"/>
  <c r="R294" i="10" s="1"/>
  <c r="O28" i="10"/>
  <c r="D38" i="10"/>
  <c r="O38" i="10"/>
  <c r="D26" i="10"/>
  <c r="O26" i="10"/>
  <c r="R26" i="10" s="1"/>
  <c r="D60" i="10"/>
  <c r="O60" i="10"/>
  <c r="R60" i="10" s="1"/>
  <c r="D68" i="10"/>
  <c r="O68" i="10"/>
  <c r="O72" i="10"/>
  <c r="D103" i="10"/>
  <c r="O103" i="10"/>
  <c r="R103" i="10" s="1"/>
  <c r="O123" i="10"/>
  <c r="D141" i="10"/>
  <c r="O141" i="10"/>
  <c r="R141" i="10" s="1"/>
  <c r="O145" i="10"/>
  <c r="R145" i="10" s="1"/>
  <c r="D190" i="10"/>
  <c r="O190" i="10"/>
  <c r="R190" i="10" s="1"/>
  <c r="O18" i="10"/>
  <c r="R18" i="10" s="1"/>
  <c r="D46" i="10"/>
  <c r="O46" i="10"/>
  <c r="D155" i="10"/>
  <c r="O155" i="10"/>
  <c r="R155" i="10" s="1"/>
  <c r="O159" i="10"/>
  <c r="R159" i="10" s="1"/>
  <c r="D163" i="10"/>
  <c r="O163" i="10"/>
  <c r="R163" i="10" s="1"/>
  <c r="O184" i="10"/>
  <c r="R184" i="10" s="1"/>
  <c r="D188" i="10"/>
  <c r="O188" i="10"/>
  <c r="R188" i="10" s="1"/>
  <c r="D196" i="10"/>
  <c r="O196" i="10"/>
  <c r="R196" i="10" s="1"/>
  <c r="D229" i="10"/>
  <c r="O229" i="10"/>
  <c r="R229" i="10" s="1"/>
  <c r="O233" i="10"/>
  <c r="R233" i="10" s="1"/>
  <c r="D237" i="10"/>
  <c r="O237" i="10"/>
  <c r="R237" i="10" s="1"/>
  <c r="O241" i="10"/>
  <c r="R241" i="10" s="1"/>
  <c r="D249" i="10"/>
  <c r="O249" i="10"/>
  <c r="R249" i="10" s="1"/>
  <c r="D274" i="10"/>
  <c r="O274" i="10"/>
  <c r="R274" i="10" s="1"/>
  <c r="D296" i="10"/>
  <c r="O296" i="10"/>
  <c r="R296" i="10" s="1"/>
  <c r="O42" i="10"/>
  <c r="R90" i="11"/>
  <c r="R213" i="11" s="1"/>
  <c r="O163" i="9"/>
  <c r="D167" i="9"/>
  <c r="O167" i="9"/>
  <c r="O171" i="9"/>
  <c r="D161" i="9"/>
  <c r="O161" i="9"/>
  <c r="D165" i="9"/>
  <c r="O165" i="9"/>
  <c r="O169" i="9"/>
  <c r="D173" i="9"/>
  <c r="O173" i="9"/>
  <c r="D177" i="9"/>
  <c r="O177" i="9"/>
  <c r="D119" i="9"/>
  <c r="O119" i="9"/>
  <c r="O117" i="9"/>
  <c r="D121" i="9"/>
  <c r="O121" i="9"/>
  <c r="D76" i="10"/>
  <c r="O76" i="10"/>
  <c r="R76" i="10" s="1"/>
  <c r="O43" i="4"/>
  <c r="R43" i="4" s="1"/>
  <c r="O151" i="9"/>
  <c r="O142" i="9"/>
  <c r="O134" i="9"/>
  <c r="O141" i="9"/>
  <c r="O120" i="9"/>
  <c r="O179" i="9"/>
  <c r="O138" i="9"/>
  <c r="O127" i="9"/>
  <c r="O143" i="9"/>
  <c r="O176" i="9"/>
  <c r="O139" i="9"/>
  <c r="O125" i="9"/>
  <c r="D127" i="9"/>
  <c r="O128" i="9"/>
  <c r="O130" i="9"/>
  <c r="O136" i="9"/>
  <c r="D139" i="9"/>
  <c r="D143" i="9"/>
  <c r="O178" i="9"/>
  <c r="O132" i="9"/>
  <c r="O159" i="9"/>
  <c r="O164" i="9"/>
  <c r="O166" i="9"/>
  <c r="O114" i="9"/>
  <c r="O112" i="9"/>
  <c r="O124" i="9"/>
  <c r="O162" i="9"/>
  <c r="O172" i="9"/>
  <c r="O174" i="9"/>
  <c r="O116" i="9"/>
  <c r="O160" i="9"/>
  <c r="H165" i="9"/>
  <c r="F167" i="9"/>
  <c r="D169" i="9"/>
  <c r="O122" i="9"/>
  <c r="O131" i="9"/>
  <c r="O133" i="9"/>
  <c r="O135" i="9"/>
  <c r="O140" i="9"/>
  <c r="O170" i="9"/>
  <c r="O175" i="9"/>
  <c r="R42" i="10"/>
  <c r="O39" i="10"/>
  <c r="D39" i="10"/>
  <c r="D42" i="10"/>
  <c r="O40" i="10"/>
  <c r="O326" i="10"/>
  <c r="O316" i="10"/>
  <c r="O57" i="10"/>
  <c r="O85" i="10"/>
  <c r="O83" i="10"/>
  <c r="O104" i="10"/>
  <c r="O195" i="10"/>
  <c r="O240" i="10"/>
  <c r="O320" i="10"/>
  <c r="O54" i="10"/>
  <c r="O319" i="10"/>
  <c r="O325" i="10"/>
  <c r="O34" i="10"/>
  <c r="O102" i="10"/>
  <c r="O150" i="10"/>
  <c r="O151" i="10"/>
  <c r="O273" i="10"/>
  <c r="O315" i="10"/>
  <c r="O314" i="10"/>
  <c r="O73" i="10"/>
  <c r="O21" i="10"/>
  <c r="O24" i="10"/>
  <c r="O84" i="10"/>
  <c r="O56" i="10"/>
  <c r="O75" i="10"/>
  <c r="O271" i="10"/>
  <c r="O99" i="10"/>
  <c r="O120" i="10"/>
  <c r="D120" i="10"/>
  <c r="O142" i="10"/>
  <c r="D142" i="10"/>
  <c r="O98" i="10"/>
  <c r="D99" i="10"/>
  <c r="O106" i="10"/>
  <c r="O116" i="10"/>
  <c r="O81" i="10"/>
  <c r="O88" i="10"/>
  <c r="O115" i="10"/>
  <c r="H117" i="10"/>
  <c r="D150" i="10"/>
  <c r="O63" i="10"/>
  <c r="O80" i="10"/>
  <c r="O82" i="10"/>
  <c r="O61" i="10"/>
  <c r="O23" i="10"/>
  <c r="O44" i="10"/>
  <c r="D63" i="10"/>
  <c r="O69" i="10"/>
  <c r="O71" i="10"/>
  <c r="O86" i="10"/>
  <c r="D113" i="10"/>
  <c r="O114" i="10"/>
  <c r="O134" i="10"/>
  <c r="D134" i="10"/>
  <c r="O148" i="10"/>
  <c r="O292" i="10"/>
  <c r="D292" i="10"/>
  <c r="O318" i="10"/>
  <c r="O322" i="10"/>
  <c r="O43" i="10"/>
  <c r="O55" i="10"/>
  <c r="O58" i="10"/>
  <c r="O59" i="10"/>
  <c r="O74" i="10"/>
  <c r="O111" i="10"/>
  <c r="O170" i="10"/>
  <c r="O230" i="10"/>
  <c r="O247" i="10"/>
  <c r="D247" i="10"/>
  <c r="O238" i="10"/>
  <c r="O311" i="10"/>
  <c r="O112" i="10"/>
  <c r="O122" i="10"/>
  <c r="O136" i="10"/>
  <c r="O144" i="10"/>
  <c r="O169" i="10"/>
  <c r="O270" i="10"/>
  <c r="O289" i="10"/>
  <c r="H296" i="10"/>
  <c r="D311" i="10"/>
  <c r="O317" i="10"/>
  <c r="O321" i="10"/>
  <c r="O187" i="10"/>
  <c r="O192" i="10"/>
  <c r="O193" i="10"/>
  <c r="O225" i="10"/>
  <c r="O290" i="10"/>
  <c r="O323" i="10"/>
  <c r="O119" i="10"/>
  <c r="O138" i="10"/>
  <c r="O156" i="10"/>
  <c r="O158" i="10"/>
  <c r="O183" i="10"/>
  <c r="D187" i="10"/>
  <c r="O164" i="10"/>
  <c r="O224" i="10"/>
  <c r="O248" i="10"/>
  <c r="O269" i="10"/>
  <c r="H274" i="10"/>
  <c r="D290" i="10"/>
  <c r="F323" i="10"/>
  <c r="O107" i="10"/>
  <c r="O108" i="10"/>
  <c r="O110" i="10"/>
  <c r="O135" i="10"/>
  <c r="D138" i="10"/>
  <c r="O154" i="10"/>
  <c r="D158" i="10"/>
  <c r="O162" i="10"/>
  <c r="O215" i="10"/>
  <c r="O223" i="10"/>
  <c r="D227" i="10"/>
  <c r="O268" i="10"/>
  <c r="O293" i="10"/>
  <c r="O313" i="10"/>
  <c r="R313" i="10" s="1"/>
  <c r="R331" i="10" s="1"/>
  <c r="R351" i="10" s="1"/>
  <c r="O324" i="10"/>
  <c r="O118" i="10"/>
  <c r="O137" i="10"/>
  <c r="O140" i="10"/>
  <c r="O167" i="10"/>
  <c r="O181" i="10"/>
  <c r="O232" i="10"/>
  <c r="O235" i="10"/>
  <c r="O255" i="10"/>
  <c r="O256" i="10"/>
  <c r="O257" i="10"/>
  <c r="D268" i="10"/>
  <c r="O295" i="10"/>
  <c r="O291" i="10"/>
  <c r="O312" i="10"/>
  <c r="H269" i="10"/>
  <c r="F271" i="10"/>
  <c r="D273" i="10"/>
  <c r="F293" i="10"/>
  <c r="D295" i="10"/>
  <c r="F314" i="10"/>
  <c r="D316" i="10"/>
  <c r="D320" i="10"/>
  <c r="F325" i="10"/>
  <c r="D289" i="10"/>
  <c r="D318" i="10"/>
  <c r="D322" i="10"/>
  <c r="D315" i="10"/>
  <c r="D319" i="10"/>
  <c r="D326" i="10"/>
  <c r="F272" i="10"/>
  <c r="F223" i="10"/>
  <c r="D225" i="10"/>
  <c r="O226" i="10"/>
  <c r="F231" i="10"/>
  <c r="D233" i="10"/>
  <c r="O234" i="10"/>
  <c r="H237" i="10"/>
  <c r="F239" i="10"/>
  <c r="D241" i="10"/>
  <c r="O246" i="10"/>
  <c r="H249" i="10"/>
  <c r="F251" i="10"/>
  <c r="F256" i="10"/>
  <c r="D230" i="10"/>
  <c r="D238" i="10"/>
  <c r="F248" i="10"/>
  <c r="D255" i="10"/>
  <c r="O228" i="10"/>
  <c r="O236" i="10"/>
  <c r="D224" i="10"/>
  <c r="D232" i="10"/>
  <c r="D240" i="10"/>
  <c r="D257" i="10"/>
  <c r="D151" i="10"/>
  <c r="O152" i="10"/>
  <c r="H155" i="10"/>
  <c r="D159" i="10"/>
  <c r="O160" i="10"/>
  <c r="H163" i="10"/>
  <c r="D184" i="10"/>
  <c r="O185" i="10"/>
  <c r="H188" i="10"/>
  <c r="F165" i="10"/>
  <c r="O191" i="10"/>
  <c r="H194" i="10"/>
  <c r="F196" i="10"/>
  <c r="D148" i="10"/>
  <c r="O149" i="10"/>
  <c r="D156" i="10"/>
  <c r="D181" i="10"/>
  <c r="O182" i="10"/>
  <c r="D164" i="10"/>
  <c r="F193" i="10"/>
  <c r="D195" i="10"/>
  <c r="D153" i="10"/>
  <c r="D161" i="10"/>
  <c r="D186" i="10"/>
  <c r="D192" i="10"/>
  <c r="D183" i="10"/>
  <c r="D215" i="10"/>
  <c r="H119" i="10"/>
  <c r="D123" i="10"/>
  <c r="F135" i="10"/>
  <c r="D137" i="10"/>
  <c r="H141" i="10"/>
  <c r="F143" i="10"/>
  <c r="D145" i="10"/>
  <c r="F169" i="10"/>
  <c r="D139" i="10"/>
  <c r="D170" i="10"/>
  <c r="F106" i="10"/>
  <c r="D108" i="10"/>
  <c r="H112" i="10"/>
  <c r="F114" i="10"/>
  <c r="D116" i="10"/>
  <c r="D110" i="10"/>
  <c r="D107" i="10"/>
  <c r="D115" i="10"/>
  <c r="F102" i="10"/>
  <c r="D104" i="10"/>
  <c r="D98" i="10"/>
  <c r="D101" i="10"/>
  <c r="O100" i="10"/>
  <c r="F54" i="10"/>
  <c r="D56" i="10"/>
  <c r="O65" i="10"/>
  <c r="H68" i="10"/>
  <c r="D72" i="10"/>
  <c r="H76" i="10"/>
  <c r="D81" i="10"/>
  <c r="D69" i="10"/>
  <c r="O70" i="10"/>
  <c r="H73" i="10"/>
  <c r="F75" i="10"/>
  <c r="O77" i="10"/>
  <c r="H82" i="10"/>
  <c r="F84" i="10"/>
  <c r="D86" i="10"/>
  <c r="O87" i="10"/>
  <c r="H57" i="10"/>
  <c r="F59" i="10"/>
  <c r="D61" i="10"/>
  <c r="D58" i="10"/>
  <c r="D66" i="10"/>
  <c r="O67" i="10"/>
  <c r="D74" i="10"/>
  <c r="D83" i="10"/>
  <c r="O64" i="10"/>
  <c r="D80" i="10"/>
  <c r="D88" i="10"/>
  <c r="H85" i="10"/>
  <c r="O36" i="10"/>
  <c r="H24" i="10"/>
  <c r="F26" i="10"/>
  <c r="O33" i="10"/>
  <c r="F38" i="10"/>
  <c r="H46" i="10"/>
  <c r="F48" i="10"/>
  <c r="H21" i="10"/>
  <c r="D25" i="10"/>
  <c r="H43" i="10"/>
  <c r="D18" i="10"/>
  <c r="D22" i="10"/>
  <c r="D28" i="10"/>
  <c r="D34" i="10"/>
  <c r="D44" i="10"/>
  <c r="D123" i="9"/>
  <c r="D115" i="9"/>
  <c r="D151" i="9"/>
  <c r="O168" i="9"/>
  <c r="H160" i="9"/>
  <c r="F162" i="9"/>
  <c r="D164" i="9"/>
  <c r="F170" i="9"/>
  <c r="D172" i="9"/>
  <c r="H176" i="9"/>
  <c r="F178" i="9"/>
  <c r="D166" i="9"/>
  <c r="D174" i="9"/>
  <c r="D163" i="9"/>
  <c r="D171" i="9"/>
  <c r="D179" i="9"/>
  <c r="D112" i="9"/>
  <c r="O113" i="9"/>
  <c r="D120" i="9"/>
  <c r="H124" i="9"/>
  <c r="D128" i="9"/>
  <c r="O129" i="9"/>
  <c r="H132" i="9"/>
  <c r="F134" i="9"/>
  <c r="D136" i="9"/>
  <c r="O137" i="9"/>
  <c r="F142" i="9"/>
  <c r="H116" i="9"/>
  <c r="D117" i="9"/>
  <c r="O118" i="9"/>
  <c r="D125" i="9"/>
  <c r="O126" i="9"/>
  <c r="D133" i="9"/>
  <c r="D141" i="9"/>
  <c r="D114" i="9"/>
  <c r="D122" i="9"/>
  <c r="D130" i="9"/>
  <c r="D138" i="9"/>
  <c r="D48" i="9"/>
  <c r="O47" i="9"/>
  <c r="O46" i="9"/>
  <c r="D57" i="5"/>
  <c r="O56" i="5"/>
  <c r="O25" i="4"/>
  <c r="O42" i="4"/>
  <c r="D43" i="4"/>
  <c r="O35" i="4"/>
  <c r="O34" i="4"/>
  <c r="F34" i="4"/>
  <c r="D35" i="4"/>
  <c r="O24" i="4"/>
  <c r="D25" i="4"/>
  <c r="T31" i="3"/>
  <c r="T114" i="3" s="1"/>
  <c r="K65" i="17"/>
  <c r="L65" i="17" s="1"/>
  <c r="M67" i="17"/>
  <c r="N67" i="17" s="1"/>
  <c r="K67" i="17"/>
  <c r="L67" i="17" s="1"/>
  <c r="I67" i="17"/>
  <c r="J67" i="17" s="1"/>
  <c r="G67" i="17"/>
  <c r="H67" i="17" s="1"/>
  <c r="E67" i="17"/>
  <c r="F67" i="17" s="1"/>
  <c r="C67" i="17"/>
  <c r="M65" i="17"/>
  <c r="N65" i="17" s="1"/>
  <c r="G65" i="17"/>
  <c r="H65" i="17" s="1"/>
  <c r="E65" i="17"/>
  <c r="F65" i="17" s="1"/>
  <c r="C65" i="17"/>
  <c r="M64" i="17"/>
  <c r="N64" i="17" s="1"/>
  <c r="K64" i="17"/>
  <c r="L64" i="17" s="1"/>
  <c r="I64" i="17"/>
  <c r="J64" i="17" s="1"/>
  <c r="G64" i="17"/>
  <c r="H64" i="17" s="1"/>
  <c r="E64" i="17"/>
  <c r="F64" i="17" s="1"/>
  <c r="C64" i="17"/>
  <c r="D64" i="17" s="1"/>
  <c r="M22" i="17"/>
  <c r="N22" i="17" s="1"/>
  <c r="M21" i="17"/>
  <c r="N21" i="17" s="1"/>
  <c r="K21" i="17"/>
  <c r="L21" i="17" s="1"/>
  <c r="I21" i="17"/>
  <c r="J21" i="17" s="1"/>
  <c r="G21" i="17"/>
  <c r="H21" i="17" s="1"/>
  <c r="E21" i="17"/>
  <c r="F21" i="17" s="1"/>
  <c r="C21" i="17"/>
  <c r="D21" i="17" s="1"/>
  <c r="O67" i="17" l="1"/>
  <c r="R67" i="17" s="1"/>
  <c r="R218" i="10"/>
  <c r="R345" i="10" s="1"/>
  <c r="G114" i="3"/>
  <c r="H114" i="3" s="1"/>
  <c r="E114" i="3"/>
  <c r="F114" i="3" s="1"/>
  <c r="I114" i="3"/>
  <c r="J114" i="3" s="1"/>
  <c r="C114" i="3"/>
  <c r="M114" i="3"/>
  <c r="K114" i="3"/>
  <c r="L114" i="3" s="1"/>
  <c r="C22" i="17"/>
  <c r="E22" i="17"/>
  <c r="F22" i="17" s="1"/>
  <c r="I65" i="17"/>
  <c r="J65" i="17" s="1"/>
  <c r="G22" i="17"/>
  <c r="H22" i="17" s="1"/>
  <c r="I22" i="17"/>
  <c r="J22" i="17" s="1"/>
  <c r="K22" i="17"/>
  <c r="L22" i="17" s="1"/>
  <c r="D67" i="17"/>
  <c r="O64" i="17"/>
  <c r="D65" i="17"/>
  <c r="O21" i="17"/>
  <c r="D114" i="3" l="1"/>
  <c r="O114" i="3"/>
  <c r="O65" i="17"/>
  <c r="R65" i="17" s="1"/>
  <c r="D22" i="17"/>
  <c r="O22" i="17"/>
  <c r="R22" i="17" s="1"/>
  <c r="N105" i="9" l="1"/>
  <c r="N104" i="9"/>
  <c r="N103" i="9"/>
  <c r="M62" i="9"/>
  <c r="N62" i="9" s="1"/>
  <c r="K62" i="9"/>
  <c r="L62" i="9" s="1"/>
  <c r="I62" i="9"/>
  <c r="J62" i="9" s="1"/>
  <c r="G62" i="9"/>
  <c r="H62" i="9" s="1"/>
  <c r="E62" i="9"/>
  <c r="F62" i="9" s="1"/>
  <c r="C62" i="9"/>
  <c r="M61" i="9"/>
  <c r="N61" i="9" s="1"/>
  <c r="K61" i="9"/>
  <c r="L61" i="9" s="1"/>
  <c r="I61" i="9"/>
  <c r="J61" i="9" s="1"/>
  <c r="G61" i="9"/>
  <c r="H61" i="9" s="1"/>
  <c r="E61" i="9"/>
  <c r="F61" i="9" s="1"/>
  <c r="C61" i="9"/>
  <c r="D61" i="9" s="1"/>
  <c r="M60" i="9"/>
  <c r="N60" i="9" s="1"/>
  <c r="K60" i="9"/>
  <c r="L60" i="9" s="1"/>
  <c r="I60" i="9"/>
  <c r="J60" i="9" s="1"/>
  <c r="G60" i="9"/>
  <c r="H60" i="9" s="1"/>
  <c r="E60" i="9"/>
  <c r="F60" i="9" s="1"/>
  <c r="C60" i="9"/>
  <c r="M59" i="9"/>
  <c r="N59" i="9" s="1"/>
  <c r="K59" i="9"/>
  <c r="L59" i="9" s="1"/>
  <c r="I59" i="9"/>
  <c r="J59" i="9" s="1"/>
  <c r="G59" i="9"/>
  <c r="H59" i="9" s="1"/>
  <c r="E59" i="9"/>
  <c r="F59" i="9" s="1"/>
  <c r="C59" i="9"/>
  <c r="M58" i="9"/>
  <c r="N58" i="9" s="1"/>
  <c r="K58" i="9"/>
  <c r="L58" i="9" s="1"/>
  <c r="I58" i="9"/>
  <c r="J58" i="9" s="1"/>
  <c r="G58" i="9"/>
  <c r="H58" i="9" s="1"/>
  <c r="E58" i="9"/>
  <c r="C58" i="9"/>
  <c r="D58" i="9" s="1"/>
  <c r="M57" i="9"/>
  <c r="N57" i="9" s="1"/>
  <c r="K57" i="9"/>
  <c r="L57" i="9" s="1"/>
  <c r="I57" i="9"/>
  <c r="J57" i="9" s="1"/>
  <c r="G57" i="9"/>
  <c r="H57" i="9" s="1"/>
  <c r="E57" i="9"/>
  <c r="F57" i="9" s="1"/>
  <c r="C57" i="9"/>
  <c r="M67" i="9"/>
  <c r="N67" i="9" s="1"/>
  <c r="K67" i="9"/>
  <c r="L67" i="9" s="1"/>
  <c r="I67" i="9"/>
  <c r="J67" i="9" s="1"/>
  <c r="G67" i="9"/>
  <c r="H67" i="9" s="1"/>
  <c r="E67" i="9"/>
  <c r="F67" i="9" s="1"/>
  <c r="C67" i="9"/>
  <c r="M95" i="9"/>
  <c r="N95" i="9" s="1"/>
  <c r="K95" i="9"/>
  <c r="L95" i="9" s="1"/>
  <c r="I95" i="9"/>
  <c r="J95" i="9" s="1"/>
  <c r="G95" i="9"/>
  <c r="H95" i="9" s="1"/>
  <c r="E95" i="9"/>
  <c r="C95" i="9"/>
  <c r="M94" i="9"/>
  <c r="N94" i="9" s="1"/>
  <c r="K94" i="9"/>
  <c r="L94" i="9" s="1"/>
  <c r="I94" i="9"/>
  <c r="J94" i="9" s="1"/>
  <c r="G94" i="9"/>
  <c r="H94" i="9" s="1"/>
  <c r="E94" i="9"/>
  <c r="F94" i="9" s="1"/>
  <c r="C94" i="9"/>
  <c r="M93" i="9"/>
  <c r="N93" i="9" s="1"/>
  <c r="K93" i="9"/>
  <c r="L93" i="9" s="1"/>
  <c r="I93" i="9"/>
  <c r="J93" i="9" s="1"/>
  <c r="G93" i="9"/>
  <c r="H93" i="9" s="1"/>
  <c r="E93" i="9"/>
  <c r="F93" i="9" s="1"/>
  <c r="C93" i="9"/>
  <c r="M92" i="9"/>
  <c r="N92" i="9" s="1"/>
  <c r="K92" i="9"/>
  <c r="L92" i="9" s="1"/>
  <c r="I92" i="9"/>
  <c r="J92" i="9" s="1"/>
  <c r="G92" i="9"/>
  <c r="H92" i="9" s="1"/>
  <c r="E92" i="9"/>
  <c r="F92" i="9" s="1"/>
  <c r="C92" i="9"/>
  <c r="M89" i="9"/>
  <c r="N89" i="9" s="1"/>
  <c r="K89" i="9"/>
  <c r="L89" i="9" s="1"/>
  <c r="I89" i="9"/>
  <c r="J89" i="9" s="1"/>
  <c r="G89" i="9"/>
  <c r="H89" i="9" s="1"/>
  <c r="E89" i="9"/>
  <c r="F89" i="9" s="1"/>
  <c r="C89" i="9"/>
  <c r="M88" i="9"/>
  <c r="N88" i="9" s="1"/>
  <c r="K88" i="9"/>
  <c r="L88" i="9" s="1"/>
  <c r="I88" i="9"/>
  <c r="J88" i="9" s="1"/>
  <c r="G88" i="9"/>
  <c r="H88" i="9" s="1"/>
  <c r="E88" i="9"/>
  <c r="F88" i="9" s="1"/>
  <c r="C88" i="9"/>
  <c r="D88" i="9" s="1"/>
  <c r="M87" i="9"/>
  <c r="N87" i="9" s="1"/>
  <c r="K87" i="9"/>
  <c r="L87" i="9" s="1"/>
  <c r="I87" i="9"/>
  <c r="J87" i="9" s="1"/>
  <c r="G87" i="9"/>
  <c r="H87" i="9" s="1"/>
  <c r="E87" i="9"/>
  <c r="C87" i="9"/>
  <c r="M86" i="9"/>
  <c r="N86" i="9" s="1"/>
  <c r="K86" i="9"/>
  <c r="L86" i="9" s="1"/>
  <c r="I86" i="9"/>
  <c r="J86" i="9" s="1"/>
  <c r="G86" i="9"/>
  <c r="H86" i="9" s="1"/>
  <c r="E86" i="9"/>
  <c r="F86" i="9" s="1"/>
  <c r="C86" i="9"/>
  <c r="M81" i="9"/>
  <c r="N81" i="9" s="1"/>
  <c r="K81" i="9"/>
  <c r="L81" i="9" s="1"/>
  <c r="I81" i="9"/>
  <c r="J81" i="9" s="1"/>
  <c r="G81" i="9"/>
  <c r="E81" i="9"/>
  <c r="F81" i="9" s="1"/>
  <c r="C81" i="9"/>
  <c r="M80" i="9"/>
  <c r="N80" i="9" s="1"/>
  <c r="K80" i="9"/>
  <c r="L80" i="9" s="1"/>
  <c r="I80" i="9"/>
  <c r="J80" i="9" s="1"/>
  <c r="G80" i="9"/>
  <c r="H80" i="9" s="1"/>
  <c r="E80" i="9"/>
  <c r="F80" i="9" s="1"/>
  <c r="C80" i="9"/>
  <c r="M79" i="9"/>
  <c r="N79" i="9" s="1"/>
  <c r="K79" i="9"/>
  <c r="L79" i="9" s="1"/>
  <c r="I79" i="9"/>
  <c r="J79" i="9" s="1"/>
  <c r="G79" i="9"/>
  <c r="H79" i="9" s="1"/>
  <c r="E79" i="9"/>
  <c r="F79" i="9" s="1"/>
  <c r="C79" i="9"/>
  <c r="M78" i="9"/>
  <c r="N78" i="9" s="1"/>
  <c r="K78" i="9"/>
  <c r="L78" i="9" s="1"/>
  <c r="I78" i="9"/>
  <c r="J78" i="9" s="1"/>
  <c r="G78" i="9"/>
  <c r="H78" i="9" s="1"/>
  <c r="E78" i="9"/>
  <c r="F78" i="9" s="1"/>
  <c r="C78" i="9"/>
  <c r="D78" i="9" s="1"/>
  <c r="M77" i="9"/>
  <c r="N77" i="9" s="1"/>
  <c r="K77" i="9"/>
  <c r="L77" i="9" s="1"/>
  <c r="I77" i="9"/>
  <c r="J77" i="9" s="1"/>
  <c r="G77" i="9"/>
  <c r="H77" i="9" s="1"/>
  <c r="E77" i="9"/>
  <c r="F77" i="9" s="1"/>
  <c r="C77" i="9"/>
  <c r="M76" i="9"/>
  <c r="N76" i="9" s="1"/>
  <c r="K76" i="9"/>
  <c r="L76" i="9" s="1"/>
  <c r="I76" i="9"/>
  <c r="J76" i="9" s="1"/>
  <c r="G76" i="9"/>
  <c r="H76" i="9" s="1"/>
  <c r="E76" i="9"/>
  <c r="F76" i="9" s="1"/>
  <c r="C76" i="9"/>
  <c r="N75" i="9"/>
  <c r="C75" i="9"/>
  <c r="D75" i="9" s="1"/>
  <c r="N74" i="9"/>
  <c r="C74" i="9"/>
  <c r="N73" i="9"/>
  <c r="C73" i="9"/>
  <c r="D73" i="9" s="1"/>
  <c r="M54" i="9"/>
  <c r="N54" i="9" s="1"/>
  <c r="K54" i="9"/>
  <c r="L54" i="9" s="1"/>
  <c r="I54" i="9"/>
  <c r="J54" i="9" s="1"/>
  <c r="G54" i="9"/>
  <c r="H54" i="9" s="1"/>
  <c r="E54" i="9"/>
  <c r="F54" i="9" s="1"/>
  <c r="C54" i="9"/>
  <c r="M53" i="9"/>
  <c r="N53" i="9" s="1"/>
  <c r="K53" i="9"/>
  <c r="L53" i="9" s="1"/>
  <c r="I53" i="9"/>
  <c r="J53" i="9" s="1"/>
  <c r="G53" i="9"/>
  <c r="H53" i="9" s="1"/>
  <c r="E53" i="9"/>
  <c r="F53" i="9" s="1"/>
  <c r="C53" i="9"/>
  <c r="D53" i="9" s="1"/>
  <c r="M50" i="9"/>
  <c r="N50" i="9" s="1"/>
  <c r="K50" i="9"/>
  <c r="L50" i="9" s="1"/>
  <c r="I50" i="9"/>
  <c r="J50" i="9" s="1"/>
  <c r="G50" i="9"/>
  <c r="H50" i="9" s="1"/>
  <c r="E50" i="9"/>
  <c r="F50" i="9" s="1"/>
  <c r="C50" i="9"/>
  <c r="M49" i="9"/>
  <c r="N49" i="9" s="1"/>
  <c r="K49" i="9"/>
  <c r="L49" i="9" s="1"/>
  <c r="I49" i="9"/>
  <c r="J49" i="9" s="1"/>
  <c r="G49" i="9"/>
  <c r="H49" i="9" s="1"/>
  <c r="E49" i="9"/>
  <c r="F49" i="9" s="1"/>
  <c r="C49" i="9"/>
  <c r="M44" i="9"/>
  <c r="N44" i="9" s="1"/>
  <c r="K44" i="9"/>
  <c r="L44" i="9" s="1"/>
  <c r="I44" i="9"/>
  <c r="J44" i="9" s="1"/>
  <c r="G44" i="9"/>
  <c r="H44" i="9" s="1"/>
  <c r="E44" i="9"/>
  <c r="C44" i="9"/>
  <c r="M43" i="9"/>
  <c r="N43" i="9" s="1"/>
  <c r="K43" i="9"/>
  <c r="L43" i="9" s="1"/>
  <c r="I43" i="9"/>
  <c r="J43" i="9" s="1"/>
  <c r="G43" i="9"/>
  <c r="H43" i="9" s="1"/>
  <c r="E43" i="9"/>
  <c r="F43" i="9" s="1"/>
  <c r="C43" i="9"/>
  <c r="M42" i="9"/>
  <c r="N42" i="9" s="1"/>
  <c r="K42" i="9"/>
  <c r="L42" i="9" s="1"/>
  <c r="I42" i="9"/>
  <c r="J42" i="9" s="1"/>
  <c r="G42" i="9"/>
  <c r="H42" i="9" s="1"/>
  <c r="E42" i="9"/>
  <c r="F42" i="9" s="1"/>
  <c r="C42" i="9"/>
  <c r="D42" i="9" s="1"/>
  <c r="M30" i="9"/>
  <c r="N30" i="9" s="1"/>
  <c r="K30" i="9"/>
  <c r="L30" i="9" s="1"/>
  <c r="I30" i="9"/>
  <c r="J30" i="9" s="1"/>
  <c r="G30" i="9"/>
  <c r="E30" i="9"/>
  <c r="F30" i="9" s="1"/>
  <c r="C30" i="9"/>
  <c r="M29" i="9"/>
  <c r="N29" i="9" s="1"/>
  <c r="K29" i="9"/>
  <c r="L29" i="9" s="1"/>
  <c r="I29" i="9"/>
  <c r="J29" i="9" s="1"/>
  <c r="G29" i="9"/>
  <c r="H29" i="9" s="1"/>
  <c r="E29" i="9"/>
  <c r="C29" i="9"/>
  <c r="D29" i="9" s="1"/>
  <c r="M26" i="9"/>
  <c r="N26" i="9" s="1"/>
  <c r="K26" i="9"/>
  <c r="L26" i="9" s="1"/>
  <c r="I26" i="9"/>
  <c r="J26" i="9" s="1"/>
  <c r="G26" i="9"/>
  <c r="H26" i="9" s="1"/>
  <c r="E26" i="9"/>
  <c r="F26" i="9" s="1"/>
  <c r="C26" i="9"/>
  <c r="M25" i="9"/>
  <c r="N25" i="9" s="1"/>
  <c r="K25" i="9"/>
  <c r="L25" i="9" s="1"/>
  <c r="I25" i="9"/>
  <c r="J25" i="9" s="1"/>
  <c r="G25" i="9"/>
  <c r="H25" i="9" s="1"/>
  <c r="E25" i="9"/>
  <c r="F25" i="9" s="1"/>
  <c r="C25" i="9"/>
  <c r="D25" i="9" s="1"/>
  <c r="M24" i="9"/>
  <c r="N24" i="9" s="1"/>
  <c r="K24" i="9"/>
  <c r="L24" i="9" s="1"/>
  <c r="I24" i="9"/>
  <c r="J24" i="9" s="1"/>
  <c r="G24" i="9"/>
  <c r="H24" i="9" s="1"/>
  <c r="E24" i="9"/>
  <c r="F24" i="9" s="1"/>
  <c r="C24" i="9"/>
  <c r="M23" i="9"/>
  <c r="N23" i="9" s="1"/>
  <c r="K23" i="9"/>
  <c r="L23" i="9" s="1"/>
  <c r="I23" i="9"/>
  <c r="J23" i="9" s="1"/>
  <c r="G23" i="9"/>
  <c r="H23" i="9" s="1"/>
  <c r="E23" i="9"/>
  <c r="F23" i="9" s="1"/>
  <c r="C23" i="9"/>
  <c r="D23" i="9" s="1"/>
  <c r="M22" i="9"/>
  <c r="N22" i="9" s="1"/>
  <c r="K22" i="9"/>
  <c r="L22" i="9" s="1"/>
  <c r="I22" i="9"/>
  <c r="J22" i="9" s="1"/>
  <c r="G22" i="9"/>
  <c r="H22" i="9" s="1"/>
  <c r="E22" i="9"/>
  <c r="C22" i="9"/>
  <c r="M21" i="9"/>
  <c r="N21" i="9" s="1"/>
  <c r="K21" i="9"/>
  <c r="L21" i="9" s="1"/>
  <c r="I21" i="9"/>
  <c r="J21" i="9" s="1"/>
  <c r="G21" i="9"/>
  <c r="H21" i="9" s="1"/>
  <c r="E21" i="9"/>
  <c r="F21" i="9" s="1"/>
  <c r="C21" i="9"/>
  <c r="M20" i="9"/>
  <c r="N20" i="9" s="1"/>
  <c r="K20" i="9"/>
  <c r="L20" i="9" s="1"/>
  <c r="I20" i="9"/>
  <c r="J20" i="9" s="1"/>
  <c r="G20" i="9"/>
  <c r="E20" i="9"/>
  <c r="F20" i="9" s="1"/>
  <c r="C20" i="9"/>
  <c r="D20" i="9" s="1"/>
  <c r="M19" i="9"/>
  <c r="N19" i="9" s="1"/>
  <c r="K19" i="9"/>
  <c r="L19" i="9" s="1"/>
  <c r="I19" i="9"/>
  <c r="J19" i="9" s="1"/>
  <c r="G19" i="9"/>
  <c r="H19" i="9" s="1"/>
  <c r="E19" i="9"/>
  <c r="C19" i="9"/>
  <c r="D19" i="9" s="1"/>
  <c r="M18" i="9"/>
  <c r="N18" i="9" s="1"/>
  <c r="K18" i="9"/>
  <c r="L18" i="9" s="1"/>
  <c r="I18" i="9"/>
  <c r="J18" i="9" s="1"/>
  <c r="G18" i="9"/>
  <c r="H18" i="9" s="1"/>
  <c r="E18" i="9"/>
  <c r="F18" i="9" s="1"/>
  <c r="C18" i="9"/>
  <c r="M17" i="9"/>
  <c r="N17" i="9" s="1"/>
  <c r="K17" i="9"/>
  <c r="L17" i="9" s="1"/>
  <c r="I17" i="9"/>
  <c r="J17" i="9" s="1"/>
  <c r="G17" i="9"/>
  <c r="H17" i="9" s="1"/>
  <c r="E17" i="9"/>
  <c r="F17" i="9" s="1"/>
  <c r="C17" i="9"/>
  <c r="D17" i="9" s="1"/>
  <c r="M16" i="9"/>
  <c r="N16" i="9" s="1"/>
  <c r="K16" i="9"/>
  <c r="L16" i="9" s="1"/>
  <c r="I16" i="9"/>
  <c r="J16" i="9" s="1"/>
  <c r="G16" i="9"/>
  <c r="H16" i="9" s="1"/>
  <c r="E16" i="9"/>
  <c r="F16" i="9" s="1"/>
  <c r="C16" i="9"/>
  <c r="M15" i="9"/>
  <c r="N15" i="9" s="1"/>
  <c r="K15" i="9"/>
  <c r="L15" i="9" s="1"/>
  <c r="I15" i="9"/>
  <c r="J15" i="9" s="1"/>
  <c r="G15" i="9"/>
  <c r="H15" i="9" s="1"/>
  <c r="E15" i="9"/>
  <c r="F15" i="9" s="1"/>
  <c r="C15" i="9"/>
  <c r="M14" i="9"/>
  <c r="N14" i="9" s="1"/>
  <c r="K14" i="9"/>
  <c r="L14" i="9" s="1"/>
  <c r="I14" i="9"/>
  <c r="J14" i="9" s="1"/>
  <c r="G14" i="9"/>
  <c r="E14" i="9"/>
  <c r="F14" i="9" s="1"/>
  <c r="C14" i="9"/>
  <c r="D14" i="9" s="1"/>
  <c r="M13" i="9"/>
  <c r="N13" i="9" s="1"/>
  <c r="K13" i="9"/>
  <c r="L13" i="9" s="1"/>
  <c r="I13" i="9"/>
  <c r="J13" i="9" s="1"/>
  <c r="G13" i="9"/>
  <c r="H13" i="9" s="1"/>
  <c r="E13" i="9"/>
  <c r="F13" i="9" s="1"/>
  <c r="C13" i="9"/>
  <c r="D13" i="9" s="1"/>
  <c r="M135" i="8"/>
  <c r="N135" i="8" s="1"/>
  <c r="K135" i="8"/>
  <c r="L135" i="8" s="1"/>
  <c r="I135" i="8"/>
  <c r="J135" i="8" s="1"/>
  <c r="G135" i="8"/>
  <c r="H135" i="8" s="1"/>
  <c r="E135" i="8"/>
  <c r="F135" i="8" s="1"/>
  <c r="C135" i="8"/>
  <c r="M124" i="8"/>
  <c r="N124" i="8" s="1"/>
  <c r="K124" i="8"/>
  <c r="L124" i="8" s="1"/>
  <c r="I124" i="8"/>
  <c r="J124" i="8" s="1"/>
  <c r="G124" i="8"/>
  <c r="H124" i="8" s="1"/>
  <c r="E124" i="8"/>
  <c r="C124" i="8"/>
  <c r="D124" i="8" s="1"/>
  <c r="M123" i="8"/>
  <c r="N123" i="8" s="1"/>
  <c r="K123" i="8"/>
  <c r="L123" i="8" s="1"/>
  <c r="I123" i="8"/>
  <c r="J123" i="8" s="1"/>
  <c r="G123" i="8"/>
  <c r="H123" i="8" s="1"/>
  <c r="E123" i="8"/>
  <c r="F123" i="8" s="1"/>
  <c r="C123" i="8"/>
  <c r="M122" i="8"/>
  <c r="N122" i="8" s="1"/>
  <c r="K122" i="8"/>
  <c r="L122" i="8" s="1"/>
  <c r="I122" i="8"/>
  <c r="J122" i="8" s="1"/>
  <c r="G122" i="8"/>
  <c r="H122" i="8" s="1"/>
  <c r="E122" i="8"/>
  <c r="F122" i="8" s="1"/>
  <c r="C122" i="8"/>
  <c r="D122" i="8" s="1"/>
  <c r="M121" i="8"/>
  <c r="N121" i="8" s="1"/>
  <c r="K121" i="8"/>
  <c r="L121" i="8" s="1"/>
  <c r="I121" i="8"/>
  <c r="J121" i="8" s="1"/>
  <c r="G121" i="8"/>
  <c r="H121" i="8" s="1"/>
  <c r="E121" i="8"/>
  <c r="F121" i="8" s="1"/>
  <c r="C121" i="8"/>
  <c r="M120" i="8"/>
  <c r="N120" i="8" s="1"/>
  <c r="K120" i="8"/>
  <c r="L120" i="8" s="1"/>
  <c r="I120" i="8"/>
  <c r="J120" i="8" s="1"/>
  <c r="G120" i="8"/>
  <c r="H120" i="8" s="1"/>
  <c r="E120" i="8"/>
  <c r="F120" i="8" s="1"/>
  <c r="C120" i="8"/>
  <c r="M119" i="8"/>
  <c r="N119" i="8" s="1"/>
  <c r="K119" i="8"/>
  <c r="L119" i="8" s="1"/>
  <c r="I119" i="8"/>
  <c r="J119" i="8" s="1"/>
  <c r="G119" i="8"/>
  <c r="H119" i="8" s="1"/>
  <c r="E119" i="8"/>
  <c r="C119" i="8"/>
  <c r="M118" i="8"/>
  <c r="N118" i="8" s="1"/>
  <c r="K118" i="8"/>
  <c r="L118" i="8" s="1"/>
  <c r="I118" i="8"/>
  <c r="J118" i="8" s="1"/>
  <c r="G118" i="8"/>
  <c r="H118" i="8" s="1"/>
  <c r="E118" i="8"/>
  <c r="F118" i="8" s="1"/>
  <c r="C118" i="8"/>
  <c r="M117" i="8"/>
  <c r="N117" i="8" s="1"/>
  <c r="K117" i="8"/>
  <c r="L117" i="8" s="1"/>
  <c r="I117" i="8"/>
  <c r="J117" i="8" s="1"/>
  <c r="G117" i="8"/>
  <c r="E117" i="8"/>
  <c r="F117" i="8" s="1"/>
  <c r="C117" i="8"/>
  <c r="M116" i="8"/>
  <c r="N116" i="8" s="1"/>
  <c r="K116" i="8"/>
  <c r="L116" i="8" s="1"/>
  <c r="I116" i="8"/>
  <c r="J116" i="8" s="1"/>
  <c r="G116" i="8"/>
  <c r="H116" i="8" s="1"/>
  <c r="E116" i="8"/>
  <c r="C116" i="8"/>
  <c r="D116" i="8" s="1"/>
  <c r="M115" i="8"/>
  <c r="N115" i="8" s="1"/>
  <c r="K115" i="8"/>
  <c r="L115" i="8" s="1"/>
  <c r="I115" i="8"/>
  <c r="J115" i="8" s="1"/>
  <c r="G115" i="8"/>
  <c r="H115" i="8" s="1"/>
  <c r="E115" i="8"/>
  <c r="F115" i="8" s="1"/>
  <c r="C115" i="8"/>
  <c r="M114" i="8"/>
  <c r="N114" i="8" s="1"/>
  <c r="K114" i="8"/>
  <c r="L114" i="8" s="1"/>
  <c r="I114" i="8"/>
  <c r="J114" i="8" s="1"/>
  <c r="G114" i="8"/>
  <c r="H114" i="8" s="1"/>
  <c r="E114" i="8"/>
  <c r="F114" i="8" s="1"/>
  <c r="C114" i="8"/>
  <c r="D114" i="8" s="1"/>
  <c r="M113" i="8"/>
  <c r="N113" i="8" s="1"/>
  <c r="K113" i="8"/>
  <c r="L113" i="8" s="1"/>
  <c r="I113" i="8"/>
  <c r="J113" i="8" s="1"/>
  <c r="G113" i="8"/>
  <c r="H113" i="8" s="1"/>
  <c r="E113" i="8"/>
  <c r="F113" i="8" s="1"/>
  <c r="C113" i="8"/>
  <c r="M112" i="8"/>
  <c r="N112" i="8" s="1"/>
  <c r="K112" i="8"/>
  <c r="L112" i="8" s="1"/>
  <c r="I112" i="8"/>
  <c r="J112" i="8" s="1"/>
  <c r="G112" i="8"/>
  <c r="H112" i="8" s="1"/>
  <c r="E112" i="8"/>
  <c r="F112" i="8" s="1"/>
  <c r="C112" i="8"/>
  <c r="M111" i="8"/>
  <c r="N111" i="8" s="1"/>
  <c r="K111" i="8"/>
  <c r="L111" i="8" s="1"/>
  <c r="I111" i="8"/>
  <c r="J111" i="8" s="1"/>
  <c r="G111" i="8"/>
  <c r="H111" i="8" s="1"/>
  <c r="E111" i="8"/>
  <c r="C111" i="8"/>
  <c r="M110" i="8"/>
  <c r="N110" i="8" s="1"/>
  <c r="K110" i="8"/>
  <c r="L110" i="8" s="1"/>
  <c r="I110" i="8"/>
  <c r="J110" i="8" s="1"/>
  <c r="G110" i="8"/>
  <c r="H110" i="8" s="1"/>
  <c r="E110" i="8"/>
  <c r="F110" i="8" s="1"/>
  <c r="C110" i="8"/>
  <c r="M109" i="8"/>
  <c r="N109" i="8" s="1"/>
  <c r="K109" i="8"/>
  <c r="L109" i="8" s="1"/>
  <c r="I109" i="8"/>
  <c r="J109" i="8" s="1"/>
  <c r="G109" i="8"/>
  <c r="E109" i="8"/>
  <c r="F109" i="8" s="1"/>
  <c r="C109" i="8"/>
  <c r="M108" i="8"/>
  <c r="N108" i="8" s="1"/>
  <c r="K108" i="8"/>
  <c r="L108" i="8" s="1"/>
  <c r="I108" i="8"/>
  <c r="J108" i="8" s="1"/>
  <c r="G108" i="8"/>
  <c r="H108" i="8" s="1"/>
  <c r="E108" i="8"/>
  <c r="C108" i="8"/>
  <c r="D108" i="8" s="1"/>
  <c r="M107" i="8"/>
  <c r="N107" i="8" s="1"/>
  <c r="K107" i="8"/>
  <c r="L107" i="8" s="1"/>
  <c r="I107" i="8"/>
  <c r="J107" i="8" s="1"/>
  <c r="G107" i="8"/>
  <c r="H107" i="8" s="1"/>
  <c r="E107" i="8"/>
  <c r="F107" i="8" s="1"/>
  <c r="C107" i="8"/>
  <c r="M106" i="8"/>
  <c r="N106" i="8" s="1"/>
  <c r="K106" i="8"/>
  <c r="L106" i="8" s="1"/>
  <c r="I106" i="8"/>
  <c r="J106" i="8" s="1"/>
  <c r="G106" i="8"/>
  <c r="H106" i="8" s="1"/>
  <c r="E106" i="8"/>
  <c r="F106" i="8" s="1"/>
  <c r="C106" i="8"/>
  <c r="D106" i="8" s="1"/>
  <c r="M105" i="8"/>
  <c r="N105" i="8" s="1"/>
  <c r="K105" i="8"/>
  <c r="L105" i="8" s="1"/>
  <c r="I105" i="8"/>
  <c r="J105" i="8" s="1"/>
  <c r="G105" i="8"/>
  <c r="H105" i="8" s="1"/>
  <c r="E105" i="8"/>
  <c r="F105" i="8" s="1"/>
  <c r="C105" i="8"/>
  <c r="M104" i="8"/>
  <c r="N104" i="8" s="1"/>
  <c r="K104" i="8"/>
  <c r="L104" i="8" s="1"/>
  <c r="I104" i="8"/>
  <c r="J104" i="8" s="1"/>
  <c r="G104" i="8"/>
  <c r="H104" i="8" s="1"/>
  <c r="E104" i="8"/>
  <c r="F104" i="8" s="1"/>
  <c r="C104" i="8"/>
  <c r="M103" i="8"/>
  <c r="N103" i="8" s="1"/>
  <c r="K103" i="8"/>
  <c r="L103" i="8" s="1"/>
  <c r="I103" i="8"/>
  <c r="J103" i="8" s="1"/>
  <c r="G103" i="8"/>
  <c r="H103" i="8" s="1"/>
  <c r="E103" i="8"/>
  <c r="F103" i="8" s="1"/>
  <c r="C103" i="8"/>
  <c r="D103" i="8" s="1"/>
  <c r="M102" i="8"/>
  <c r="N102" i="8" s="1"/>
  <c r="K102" i="8"/>
  <c r="L102" i="8" s="1"/>
  <c r="I102" i="8"/>
  <c r="J102" i="8" s="1"/>
  <c r="G102" i="8"/>
  <c r="H102" i="8" s="1"/>
  <c r="E102" i="8"/>
  <c r="F102" i="8" s="1"/>
  <c r="C102" i="8"/>
  <c r="M101" i="8"/>
  <c r="N101" i="8" s="1"/>
  <c r="K101" i="8"/>
  <c r="L101" i="8" s="1"/>
  <c r="I101" i="8"/>
  <c r="J101" i="8" s="1"/>
  <c r="G101" i="8"/>
  <c r="E101" i="8"/>
  <c r="F101" i="8" s="1"/>
  <c r="C101" i="8"/>
  <c r="D101" i="8" s="1"/>
  <c r="M100" i="8"/>
  <c r="N100" i="8" s="1"/>
  <c r="K100" i="8"/>
  <c r="L100" i="8" s="1"/>
  <c r="I100" i="8"/>
  <c r="J100" i="8" s="1"/>
  <c r="G100" i="8"/>
  <c r="H100" i="8" s="1"/>
  <c r="E100" i="8"/>
  <c r="C100" i="8"/>
  <c r="D100" i="8" s="1"/>
  <c r="M99" i="8"/>
  <c r="N99" i="8" s="1"/>
  <c r="K99" i="8"/>
  <c r="L99" i="8" s="1"/>
  <c r="I99" i="8"/>
  <c r="J99" i="8" s="1"/>
  <c r="G99" i="8"/>
  <c r="H99" i="8" s="1"/>
  <c r="E99" i="8"/>
  <c r="F99" i="8" s="1"/>
  <c r="C99" i="8"/>
  <c r="M98" i="8"/>
  <c r="N98" i="8" s="1"/>
  <c r="K98" i="8"/>
  <c r="L98" i="8" s="1"/>
  <c r="I98" i="8"/>
  <c r="J98" i="8" s="1"/>
  <c r="G98" i="8"/>
  <c r="H98" i="8" s="1"/>
  <c r="E98" i="8"/>
  <c r="F98" i="8" s="1"/>
  <c r="C98" i="8"/>
  <c r="D98" i="8" s="1"/>
  <c r="M97" i="8"/>
  <c r="N97" i="8" s="1"/>
  <c r="K97" i="8"/>
  <c r="L97" i="8" s="1"/>
  <c r="I97" i="8"/>
  <c r="J97" i="8" s="1"/>
  <c r="G97" i="8"/>
  <c r="H97" i="8" s="1"/>
  <c r="E97" i="8"/>
  <c r="F97" i="8" s="1"/>
  <c r="C97" i="8"/>
  <c r="M96" i="8"/>
  <c r="N96" i="8" s="1"/>
  <c r="K96" i="8"/>
  <c r="L96" i="8" s="1"/>
  <c r="I96" i="8"/>
  <c r="J96" i="8" s="1"/>
  <c r="G96" i="8"/>
  <c r="H96" i="8" s="1"/>
  <c r="E96" i="8"/>
  <c r="F96" i="8" s="1"/>
  <c r="C96" i="8"/>
  <c r="M95" i="8"/>
  <c r="N95" i="8" s="1"/>
  <c r="K95" i="8"/>
  <c r="L95" i="8" s="1"/>
  <c r="I95" i="8"/>
  <c r="J95" i="8" s="1"/>
  <c r="G95" i="8"/>
  <c r="H95" i="8" s="1"/>
  <c r="E95" i="8"/>
  <c r="F95" i="8" s="1"/>
  <c r="C95" i="8"/>
  <c r="M94" i="8"/>
  <c r="N94" i="8" s="1"/>
  <c r="K94" i="8"/>
  <c r="L94" i="8" s="1"/>
  <c r="I94" i="8"/>
  <c r="J94" i="8" s="1"/>
  <c r="G94" i="8"/>
  <c r="H94" i="8" s="1"/>
  <c r="E94" i="8"/>
  <c r="F94" i="8" s="1"/>
  <c r="C94" i="8"/>
  <c r="M93" i="8"/>
  <c r="N93" i="8" s="1"/>
  <c r="K93" i="8"/>
  <c r="L93" i="8" s="1"/>
  <c r="I93" i="8"/>
  <c r="J93" i="8" s="1"/>
  <c r="G93" i="8"/>
  <c r="E93" i="8"/>
  <c r="F93" i="8" s="1"/>
  <c r="C93" i="8"/>
  <c r="D93" i="8" s="1"/>
  <c r="M92" i="8"/>
  <c r="N92" i="8" s="1"/>
  <c r="K92" i="8"/>
  <c r="L92" i="8" s="1"/>
  <c r="I92" i="8"/>
  <c r="J92" i="8" s="1"/>
  <c r="G92" i="8"/>
  <c r="H92" i="8" s="1"/>
  <c r="E92" i="8"/>
  <c r="C92" i="8"/>
  <c r="D92" i="8" s="1"/>
  <c r="M85" i="8"/>
  <c r="N85" i="8" s="1"/>
  <c r="K85" i="8"/>
  <c r="L85" i="8" s="1"/>
  <c r="I85" i="8"/>
  <c r="J85" i="8" s="1"/>
  <c r="G85" i="8"/>
  <c r="H85" i="8" s="1"/>
  <c r="E85" i="8"/>
  <c r="F85" i="8" s="1"/>
  <c r="C85" i="8"/>
  <c r="M84" i="8"/>
  <c r="N84" i="8" s="1"/>
  <c r="K84" i="8"/>
  <c r="L84" i="8" s="1"/>
  <c r="I84" i="8"/>
  <c r="J84" i="8" s="1"/>
  <c r="G84" i="8"/>
  <c r="H84" i="8" s="1"/>
  <c r="E84" i="8"/>
  <c r="C84" i="8"/>
  <c r="D84" i="8" s="1"/>
  <c r="M83" i="8"/>
  <c r="N83" i="8" s="1"/>
  <c r="K83" i="8"/>
  <c r="L83" i="8" s="1"/>
  <c r="I83" i="8"/>
  <c r="J83" i="8" s="1"/>
  <c r="G83" i="8"/>
  <c r="H83" i="8" s="1"/>
  <c r="E83" i="8"/>
  <c r="F83" i="8" s="1"/>
  <c r="C83" i="8"/>
  <c r="M82" i="8"/>
  <c r="N82" i="8" s="1"/>
  <c r="K82" i="8"/>
  <c r="L82" i="8" s="1"/>
  <c r="I82" i="8"/>
  <c r="J82" i="8" s="1"/>
  <c r="G82" i="8"/>
  <c r="E82" i="8"/>
  <c r="F82" i="8" s="1"/>
  <c r="C82" i="8"/>
  <c r="D82" i="8" s="1"/>
  <c r="M81" i="8"/>
  <c r="N81" i="8" s="1"/>
  <c r="K81" i="8"/>
  <c r="L81" i="8" s="1"/>
  <c r="I81" i="8"/>
  <c r="J81" i="8" s="1"/>
  <c r="G81" i="8"/>
  <c r="H81" i="8" s="1"/>
  <c r="E81" i="8"/>
  <c r="F81" i="8" s="1"/>
  <c r="C81" i="8"/>
  <c r="M80" i="8"/>
  <c r="N80" i="8" s="1"/>
  <c r="K80" i="8"/>
  <c r="L80" i="8" s="1"/>
  <c r="I80" i="8"/>
  <c r="J80" i="8" s="1"/>
  <c r="G80" i="8"/>
  <c r="H80" i="8" s="1"/>
  <c r="E80" i="8"/>
  <c r="F80" i="8" s="1"/>
  <c r="C80" i="8"/>
  <c r="D80" i="8" s="1"/>
  <c r="M79" i="8"/>
  <c r="N79" i="8" s="1"/>
  <c r="K79" i="8"/>
  <c r="L79" i="8" s="1"/>
  <c r="I79" i="8"/>
  <c r="J79" i="8" s="1"/>
  <c r="G79" i="8"/>
  <c r="H79" i="8" s="1"/>
  <c r="E79" i="8"/>
  <c r="F79" i="8" s="1"/>
  <c r="C79" i="8"/>
  <c r="M78" i="8"/>
  <c r="N78" i="8" s="1"/>
  <c r="K78" i="8"/>
  <c r="L78" i="8" s="1"/>
  <c r="I78" i="8"/>
  <c r="J78" i="8" s="1"/>
  <c r="G78" i="8"/>
  <c r="H78" i="8" s="1"/>
  <c r="E78" i="8"/>
  <c r="F78" i="8" s="1"/>
  <c r="C78" i="8"/>
  <c r="M77" i="8"/>
  <c r="N77" i="8" s="1"/>
  <c r="K77" i="8"/>
  <c r="L77" i="8" s="1"/>
  <c r="I77" i="8"/>
  <c r="J77" i="8" s="1"/>
  <c r="G77" i="8"/>
  <c r="H77" i="8" s="1"/>
  <c r="E77" i="8"/>
  <c r="C77" i="8"/>
  <c r="M76" i="8"/>
  <c r="N76" i="8" s="1"/>
  <c r="K76" i="8"/>
  <c r="L76" i="8" s="1"/>
  <c r="I76" i="8"/>
  <c r="J76" i="8" s="1"/>
  <c r="G76" i="8"/>
  <c r="H76" i="8" s="1"/>
  <c r="E76" i="8"/>
  <c r="F76" i="8" s="1"/>
  <c r="C76" i="8"/>
  <c r="M75" i="8"/>
  <c r="N75" i="8" s="1"/>
  <c r="K75" i="8"/>
  <c r="L75" i="8" s="1"/>
  <c r="I75" i="8"/>
  <c r="J75" i="8" s="1"/>
  <c r="G75" i="8"/>
  <c r="E75" i="8"/>
  <c r="F75" i="8" s="1"/>
  <c r="C75" i="8"/>
  <c r="M74" i="8"/>
  <c r="N74" i="8" s="1"/>
  <c r="K74" i="8"/>
  <c r="L74" i="8" s="1"/>
  <c r="I74" i="8"/>
  <c r="J74" i="8" s="1"/>
  <c r="G74" i="8"/>
  <c r="H74" i="8" s="1"/>
  <c r="E74" i="8"/>
  <c r="F74" i="8" s="1"/>
  <c r="C74" i="8"/>
  <c r="M73" i="8"/>
  <c r="N73" i="8" s="1"/>
  <c r="K73" i="8"/>
  <c r="L73" i="8" s="1"/>
  <c r="I73" i="8"/>
  <c r="J73" i="8" s="1"/>
  <c r="G73" i="8"/>
  <c r="H73" i="8" s="1"/>
  <c r="E73" i="8"/>
  <c r="F73" i="8" s="1"/>
  <c r="C73" i="8"/>
  <c r="M72" i="8"/>
  <c r="N72" i="8" s="1"/>
  <c r="K72" i="8"/>
  <c r="L72" i="8" s="1"/>
  <c r="I72" i="8"/>
  <c r="J72" i="8" s="1"/>
  <c r="G72" i="8"/>
  <c r="H72" i="8" s="1"/>
  <c r="E72" i="8"/>
  <c r="F72" i="8" s="1"/>
  <c r="C72" i="8"/>
  <c r="D72" i="8" s="1"/>
  <c r="M71" i="8"/>
  <c r="N71" i="8" s="1"/>
  <c r="K71" i="8"/>
  <c r="L71" i="8" s="1"/>
  <c r="I71" i="8"/>
  <c r="J71" i="8" s="1"/>
  <c r="G71" i="8"/>
  <c r="H71" i="8" s="1"/>
  <c r="E71" i="8"/>
  <c r="F71" i="8" s="1"/>
  <c r="C71" i="8"/>
  <c r="M70" i="8"/>
  <c r="N70" i="8" s="1"/>
  <c r="K70" i="8"/>
  <c r="L70" i="8" s="1"/>
  <c r="I70" i="8"/>
  <c r="J70" i="8" s="1"/>
  <c r="G70" i="8"/>
  <c r="H70" i="8" s="1"/>
  <c r="E70" i="8"/>
  <c r="F70" i="8" s="1"/>
  <c r="C70" i="8"/>
  <c r="M69" i="8"/>
  <c r="N69" i="8" s="1"/>
  <c r="K69" i="8"/>
  <c r="L69" i="8" s="1"/>
  <c r="I69" i="8"/>
  <c r="J69" i="8" s="1"/>
  <c r="G69" i="8"/>
  <c r="H69" i="8" s="1"/>
  <c r="E69" i="8"/>
  <c r="F69" i="8" s="1"/>
  <c r="C69" i="8"/>
  <c r="M68" i="8"/>
  <c r="N68" i="8" s="1"/>
  <c r="K68" i="8"/>
  <c r="L68" i="8" s="1"/>
  <c r="I68" i="8"/>
  <c r="J68" i="8" s="1"/>
  <c r="G68" i="8"/>
  <c r="H68" i="8" s="1"/>
  <c r="E68" i="8"/>
  <c r="F68" i="8" s="1"/>
  <c r="C68" i="8"/>
  <c r="M67" i="8"/>
  <c r="N67" i="8" s="1"/>
  <c r="K67" i="8"/>
  <c r="L67" i="8" s="1"/>
  <c r="I67" i="8"/>
  <c r="J67" i="8" s="1"/>
  <c r="G67" i="8"/>
  <c r="E67" i="8"/>
  <c r="F67" i="8" s="1"/>
  <c r="C67" i="8"/>
  <c r="D67" i="8" s="1"/>
  <c r="M66" i="8"/>
  <c r="N66" i="8" s="1"/>
  <c r="K66" i="8"/>
  <c r="L66" i="8" s="1"/>
  <c r="I66" i="8"/>
  <c r="J66" i="8" s="1"/>
  <c r="G66" i="8"/>
  <c r="H66" i="8" s="1"/>
  <c r="E66" i="8"/>
  <c r="F66" i="8" s="1"/>
  <c r="C66" i="8"/>
  <c r="M65" i="8"/>
  <c r="N65" i="8" s="1"/>
  <c r="K65" i="8"/>
  <c r="L65" i="8" s="1"/>
  <c r="I65" i="8"/>
  <c r="J65" i="8" s="1"/>
  <c r="G65" i="8"/>
  <c r="H65" i="8" s="1"/>
  <c r="E65" i="8"/>
  <c r="F65" i="8" s="1"/>
  <c r="C65" i="8"/>
  <c r="M64" i="8"/>
  <c r="N64" i="8" s="1"/>
  <c r="K64" i="8"/>
  <c r="L64" i="8" s="1"/>
  <c r="I64" i="8"/>
  <c r="J64" i="8" s="1"/>
  <c r="G64" i="8"/>
  <c r="H64" i="8" s="1"/>
  <c r="E64" i="8"/>
  <c r="F64" i="8" s="1"/>
  <c r="C64" i="8"/>
  <c r="D64" i="8" s="1"/>
  <c r="M63" i="8"/>
  <c r="N63" i="8" s="1"/>
  <c r="K63" i="8"/>
  <c r="L63" i="8" s="1"/>
  <c r="I63" i="8"/>
  <c r="J63" i="8" s="1"/>
  <c r="G63" i="8"/>
  <c r="H63" i="8" s="1"/>
  <c r="E63" i="8"/>
  <c r="F63" i="8" s="1"/>
  <c r="C63" i="8"/>
  <c r="M62" i="8"/>
  <c r="N62" i="8" s="1"/>
  <c r="K62" i="8"/>
  <c r="L62" i="8" s="1"/>
  <c r="I62" i="8"/>
  <c r="J62" i="8" s="1"/>
  <c r="G62" i="8"/>
  <c r="H62" i="8" s="1"/>
  <c r="E62" i="8"/>
  <c r="F62" i="8" s="1"/>
  <c r="C62" i="8"/>
  <c r="D62" i="8" s="1"/>
  <c r="M61" i="8"/>
  <c r="N61" i="8" s="1"/>
  <c r="K61" i="8"/>
  <c r="L61" i="8" s="1"/>
  <c r="I61" i="8"/>
  <c r="J61" i="8" s="1"/>
  <c r="G61" i="8"/>
  <c r="H61" i="8" s="1"/>
  <c r="E61" i="8"/>
  <c r="F61" i="8" s="1"/>
  <c r="C61" i="8"/>
  <c r="D61" i="8" s="1"/>
  <c r="M60" i="8"/>
  <c r="N60" i="8" s="1"/>
  <c r="K60" i="8"/>
  <c r="L60" i="8" s="1"/>
  <c r="I60" i="8"/>
  <c r="J60" i="8" s="1"/>
  <c r="G60" i="8"/>
  <c r="H60" i="8" s="1"/>
  <c r="E60" i="8"/>
  <c r="F60" i="8" s="1"/>
  <c r="C60" i="8"/>
  <c r="M59" i="8"/>
  <c r="N59" i="8" s="1"/>
  <c r="K59" i="8"/>
  <c r="L59" i="8" s="1"/>
  <c r="I59" i="8"/>
  <c r="J59" i="8" s="1"/>
  <c r="G59" i="8"/>
  <c r="E59" i="8"/>
  <c r="F59" i="8" s="1"/>
  <c r="C59" i="8"/>
  <c r="M58" i="8"/>
  <c r="N58" i="8" s="1"/>
  <c r="K58" i="8"/>
  <c r="L58" i="8" s="1"/>
  <c r="I58" i="8"/>
  <c r="J58" i="8" s="1"/>
  <c r="G58" i="8"/>
  <c r="H58" i="8" s="1"/>
  <c r="E58" i="8"/>
  <c r="F58" i="8" s="1"/>
  <c r="C58" i="8"/>
  <c r="D58" i="8" s="1"/>
  <c r="M57" i="8"/>
  <c r="N57" i="8" s="1"/>
  <c r="K57" i="8"/>
  <c r="L57" i="8" s="1"/>
  <c r="I57" i="8"/>
  <c r="J57" i="8" s="1"/>
  <c r="G57" i="8"/>
  <c r="H57" i="8" s="1"/>
  <c r="E57" i="8"/>
  <c r="C57" i="8"/>
  <c r="M56" i="8"/>
  <c r="N56" i="8" s="1"/>
  <c r="K56" i="8"/>
  <c r="L56" i="8" s="1"/>
  <c r="I56" i="8"/>
  <c r="J56" i="8" s="1"/>
  <c r="G56" i="8"/>
  <c r="H56" i="8" s="1"/>
  <c r="E56" i="8"/>
  <c r="F56" i="8" s="1"/>
  <c r="C56" i="8"/>
  <c r="D56" i="8" s="1"/>
  <c r="M55" i="8"/>
  <c r="N55" i="8" s="1"/>
  <c r="K55" i="8"/>
  <c r="L55" i="8" s="1"/>
  <c r="I55" i="8"/>
  <c r="J55" i="8" s="1"/>
  <c r="G55" i="8"/>
  <c r="H55" i="8" s="1"/>
  <c r="E55" i="8"/>
  <c r="F55" i="8" s="1"/>
  <c r="C55" i="8"/>
  <c r="M54" i="8"/>
  <c r="N54" i="8" s="1"/>
  <c r="K54" i="8"/>
  <c r="L54" i="8" s="1"/>
  <c r="I54" i="8"/>
  <c r="J54" i="8" s="1"/>
  <c r="G54" i="8"/>
  <c r="H54" i="8" s="1"/>
  <c r="E54" i="8"/>
  <c r="F54" i="8" s="1"/>
  <c r="C54" i="8"/>
  <c r="M53" i="8"/>
  <c r="N53" i="8" s="1"/>
  <c r="K53" i="8"/>
  <c r="L53" i="8" s="1"/>
  <c r="I53" i="8"/>
  <c r="J53" i="8" s="1"/>
  <c r="G53" i="8"/>
  <c r="H53" i="8" s="1"/>
  <c r="E53" i="8"/>
  <c r="F53" i="8" s="1"/>
  <c r="C53" i="8"/>
  <c r="M52" i="8"/>
  <c r="N52" i="8" s="1"/>
  <c r="K52" i="8"/>
  <c r="L52" i="8" s="1"/>
  <c r="I52" i="8"/>
  <c r="J52" i="8" s="1"/>
  <c r="G52" i="8"/>
  <c r="H52" i="8" s="1"/>
  <c r="E52" i="8"/>
  <c r="F52" i="8" s="1"/>
  <c r="C52" i="8"/>
  <c r="M51" i="8"/>
  <c r="N51" i="8" s="1"/>
  <c r="K51" i="8"/>
  <c r="L51" i="8" s="1"/>
  <c r="I51" i="8"/>
  <c r="J51" i="8" s="1"/>
  <c r="G51" i="8"/>
  <c r="E51" i="8"/>
  <c r="F51" i="8" s="1"/>
  <c r="C51" i="8"/>
  <c r="M50" i="8"/>
  <c r="N50" i="8" s="1"/>
  <c r="K50" i="8"/>
  <c r="L50" i="8" s="1"/>
  <c r="I50" i="8"/>
  <c r="J50" i="8" s="1"/>
  <c r="G50" i="8"/>
  <c r="H50" i="8" s="1"/>
  <c r="E50" i="8"/>
  <c r="F50" i="8" s="1"/>
  <c r="C50" i="8"/>
  <c r="M49" i="8"/>
  <c r="N49" i="8" s="1"/>
  <c r="K49" i="8"/>
  <c r="L49" i="8" s="1"/>
  <c r="I49" i="8"/>
  <c r="J49" i="8" s="1"/>
  <c r="G49" i="8"/>
  <c r="H49" i="8" s="1"/>
  <c r="E49" i="8"/>
  <c r="C49" i="8"/>
  <c r="D49" i="8" s="1"/>
  <c r="M48" i="8"/>
  <c r="N48" i="8" s="1"/>
  <c r="K48" i="8"/>
  <c r="L48" i="8" s="1"/>
  <c r="I48" i="8"/>
  <c r="J48" i="8" s="1"/>
  <c r="G48" i="8"/>
  <c r="H48" i="8" s="1"/>
  <c r="E48" i="8"/>
  <c r="F48" i="8" s="1"/>
  <c r="C48" i="8"/>
  <c r="D48" i="8" s="1"/>
  <c r="M47" i="8"/>
  <c r="N47" i="8" s="1"/>
  <c r="K47" i="8"/>
  <c r="L47" i="8" s="1"/>
  <c r="I47" i="8"/>
  <c r="J47" i="8" s="1"/>
  <c r="G47" i="8"/>
  <c r="H47" i="8" s="1"/>
  <c r="E47" i="8"/>
  <c r="F47" i="8" s="1"/>
  <c r="C47" i="8"/>
  <c r="M46" i="8"/>
  <c r="N46" i="8" s="1"/>
  <c r="K46" i="8"/>
  <c r="L46" i="8" s="1"/>
  <c r="I46" i="8"/>
  <c r="J46" i="8" s="1"/>
  <c r="G46" i="8"/>
  <c r="H46" i="8" s="1"/>
  <c r="E46" i="8"/>
  <c r="F46" i="8" s="1"/>
  <c r="C46" i="8"/>
  <c r="M38" i="8"/>
  <c r="N38" i="8" s="1"/>
  <c r="K38" i="8"/>
  <c r="L38" i="8" s="1"/>
  <c r="I38" i="8"/>
  <c r="J38" i="8" s="1"/>
  <c r="G38" i="8"/>
  <c r="H38" i="8" s="1"/>
  <c r="E38" i="8"/>
  <c r="F38" i="8" s="1"/>
  <c r="C38" i="8"/>
  <c r="M33" i="8"/>
  <c r="N33" i="8" s="1"/>
  <c r="K33" i="8"/>
  <c r="L33" i="8" s="1"/>
  <c r="I33" i="8"/>
  <c r="J33" i="8" s="1"/>
  <c r="G33" i="8"/>
  <c r="H33" i="8" s="1"/>
  <c r="E33" i="8"/>
  <c r="F33" i="8" s="1"/>
  <c r="C33" i="8"/>
  <c r="M32" i="8"/>
  <c r="N32" i="8" s="1"/>
  <c r="K32" i="8"/>
  <c r="L32" i="8" s="1"/>
  <c r="I32" i="8"/>
  <c r="J32" i="8" s="1"/>
  <c r="G32" i="8"/>
  <c r="H32" i="8" s="1"/>
  <c r="E32" i="8"/>
  <c r="F32" i="8" s="1"/>
  <c r="C32" i="8"/>
  <c r="D32" i="8" s="1"/>
  <c r="M31" i="8"/>
  <c r="N31" i="8" s="1"/>
  <c r="K31" i="8"/>
  <c r="L31" i="8" s="1"/>
  <c r="I31" i="8"/>
  <c r="J31" i="8" s="1"/>
  <c r="G31" i="8"/>
  <c r="H31" i="8" s="1"/>
  <c r="E31" i="8"/>
  <c r="F31" i="8" s="1"/>
  <c r="C31" i="8"/>
  <c r="M30" i="8"/>
  <c r="N30" i="8" s="1"/>
  <c r="K30" i="8"/>
  <c r="L30" i="8" s="1"/>
  <c r="I30" i="8"/>
  <c r="J30" i="8" s="1"/>
  <c r="G30" i="8"/>
  <c r="H30" i="8" s="1"/>
  <c r="E30" i="8"/>
  <c r="F30" i="8" s="1"/>
  <c r="C30" i="8"/>
  <c r="M29" i="8"/>
  <c r="N29" i="8" s="1"/>
  <c r="K29" i="8"/>
  <c r="L29" i="8" s="1"/>
  <c r="I29" i="8"/>
  <c r="J29" i="8" s="1"/>
  <c r="G29" i="8"/>
  <c r="H29" i="8" s="1"/>
  <c r="E29" i="8"/>
  <c r="F29" i="8" s="1"/>
  <c r="C29" i="8"/>
  <c r="M28" i="8"/>
  <c r="N28" i="8" s="1"/>
  <c r="K28" i="8"/>
  <c r="L28" i="8" s="1"/>
  <c r="I28" i="8"/>
  <c r="J28" i="8" s="1"/>
  <c r="G28" i="8"/>
  <c r="H28" i="8" s="1"/>
  <c r="E28" i="8"/>
  <c r="F28" i="8" s="1"/>
  <c r="C28" i="8"/>
  <c r="M27" i="8"/>
  <c r="N27" i="8" s="1"/>
  <c r="K27" i="8"/>
  <c r="L27" i="8" s="1"/>
  <c r="I27" i="8"/>
  <c r="J27" i="8" s="1"/>
  <c r="G27" i="8"/>
  <c r="H27" i="8" s="1"/>
  <c r="E27" i="8"/>
  <c r="F27" i="8" s="1"/>
  <c r="C27" i="8"/>
  <c r="M26" i="8"/>
  <c r="N26" i="8" s="1"/>
  <c r="K26" i="8"/>
  <c r="L26" i="8" s="1"/>
  <c r="I26" i="8"/>
  <c r="J26" i="8" s="1"/>
  <c r="G26" i="8"/>
  <c r="H26" i="8" s="1"/>
  <c r="E26" i="8"/>
  <c r="C26" i="8"/>
  <c r="D26" i="8" s="1"/>
  <c r="M25" i="8"/>
  <c r="N25" i="8" s="1"/>
  <c r="K25" i="8"/>
  <c r="L25" i="8" s="1"/>
  <c r="I25" i="8"/>
  <c r="J25" i="8" s="1"/>
  <c r="G25" i="8"/>
  <c r="H25" i="8" s="1"/>
  <c r="E25" i="8"/>
  <c r="F25" i="8" s="1"/>
  <c r="C25" i="8"/>
  <c r="M24" i="8"/>
  <c r="N24" i="8" s="1"/>
  <c r="K24" i="8"/>
  <c r="L24" i="8" s="1"/>
  <c r="I24" i="8"/>
  <c r="J24" i="8" s="1"/>
  <c r="G24" i="8"/>
  <c r="E24" i="8"/>
  <c r="F24" i="8" s="1"/>
  <c r="C24" i="8"/>
  <c r="D24" i="8" s="1"/>
  <c r="M23" i="8"/>
  <c r="N23" i="8" s="1"/>
  <c r="K23" i="8"/>
  <c r="L23" i="8" s="1"/>
  <c r="I23" i="8"/>
  <c r="J23" i="8" s="1"/>
  <c r="G23" i="8"/>
  <c r="H23" i="8" s="1"/>
  <c r="E23" i="8"/>
  <c r="C23" i="8"/>
  <c r="M22" i="8"/>
  <c r="N22" i="8" s="1"/>
  <c r="K22" i="8"/>
  <c r="L22" i="8" s="1"/>
  <c r="I22" i="8"/>
  <c r="J22" i="8" s="1"/>
  <c r="G22" i="8"/>
  <c r="H22" i="8" s="1"/>
  <c r="E22" i="8"/>
  <c r="C22" i="8"/>
  <c r="D22" i="8" s="1"/>
  <c r="M21" i="8"/>
  <c r="N21" i="8" s="1"/>
  <c r="K21" i="8"/>
  <c r="L21" i="8" s="1"/>
  <c r="I21" i="8"/>
  <c r="J21" i="8" s="1"/>
  <c r="G21" i="8"/>
  <c r="H21" i="8" s="1"/>
  <c r="E21" i="8"/>
  <c r="F21" i="8" s="1"/>
  <c r="C21" i="8"/>
  <c r="M20" i="8"/>
  <c r="N20" i="8" s="1"/>
  <c r="K20" i="8"/>
  <c r="L20" i="8" s="1"/>
  <c r="I20" i="8"/>
  <c r="J20" i="8" s="1"/>
  <c r="G20" i="8"/>
  <c r="E20" i="8"/>
  <c r="F20" i="8" s="1"/>
  <c r="C20" i="8"/>
  <c r="D20" i="8" s="1"/>
  <c r="M19" i="8"/>
  <c r="N19" i="8" s="1"/>
  <c r="K19" i="8"/>
  <c r="L19" i="8" s="1"/>
  <c r="I19" i="8"/>
  <c r="J19" i="8" s="1"/>
  <c r="G19" i="8"/>
  <c r="H19" i="8" s="1"/>
  <c r="E19" i="8"/>
  <c r="F19" i="8" s="1"/>
  <c r="C19" i="8"/>
  <c r="D19" i="8" s="1"/>
  <c r="M18" i="8"/>
  <c r="N18" i="8" s="1"/>
  <c r="K18" i="8"/>
  <c r="L18" i="8" s="1"/>
  <c r="I18" i="8"/>
  <c r="J18" i="8" s="1"/>
  <c r="G18" i="8"/>
  <c r="H18" i="8" s="1"/>
  <c r="E18" i="8"/>
  <c r="F18" i="8" s="1"/>
  <c r="C18" i="8"/>
  <c r="M17" i="8"/>
  <c r="N17" i="8" s="1"/>
  <c r="K17" i="8"/>
  <c r="L17" i="8" s="1"/>
  <c r="I17" i="8"/>
  <c r="J17" i="8" s="1"/>
  <c r="G17" i="8"/>
  <c r="H17" i="8" s="1"/>
  <c r="E17" i="8"/>
  <c r="F17" i="8" s="1"/>
  <c r="C17" i="8"/>
  <c r="M85" i="7"/>
  <c r="N85" i="7" s="1"/>
  <c r="K85" i="7"/>
  <c r="L85" i="7" s="1"/>
  <c r="I85" i="7"/>
  <c r="J85" i="7" s="1"/>
  <c r="G85" i="7"/>
  <c r="H85" i="7" s="1"/>
  <c r="E85" i="7"/>
  <c r="F85" i="7" s="1"/>
  <c r="C85" i="7"/>
  <c r="M73" i="7"/>
  <c r="N73" i="7" s="1"/>
  <c r="K73" i="7"/>
  <c r="L73" i="7" s="1"/>
  <c r="I73" i="7"/>
  <c r="J73" i="7" s="1"/>
  <c r="G73" i="7"/>
  <c r="H73" i="7" s="1"/>
  <c r="E73" i="7"/>
  <c r="F73" i="7" s="1"/>
  <c r="C73" i="7"/>
  <c r="M71" i="7"/>
  <c r="N71" i="7" s="1"/>
  <c r="K71" i="7"/>
  <c r="L71" i="7" s="1"/>
  <c r="I71" i="7"/>
  <c r="J71" i="7" s="1"/>
  <c r="G71" i="7"/>
  <c r="H71" i="7" s="1"/>
  <c r="E71" i="7"/>
  <c r="F71" i="7" s="1"/>
  <c r="C71" i="7"/>
  <c r="M69" i="7"/>
  <c r="N69" i="7" s="1"/>
  <c r="K69" i="7"/>
  <c r="L69" i="7" s="1"/>
  <c r="I69" i="7"/>
  <c r="J69" i="7" s="1"/>
  <c r="G69" i="7"/>
  <c r="E69" i="7"/>
  <c r="F69" i="7" s="1"/>
  <c r="C69" i="7"/>
  <c r="M68" i="7"/>
  <c r="N68" i="7" s="1"/>
  <c r="K68" i="7"/>
  <c r="L68" i="7" s="1"/>
  <c r="I68" i="7"/>
  <c r="J68" i="7" s="1"/>
  <c r="G68" i="7"/>
  <c r="H68" i="7" s="1"/>
  <c r="E68" i="7"/>
  <c r="F68" i="7" s="1"/>
  <c r="C68" i="7"/>
  <c r="D68" i="7" s="1"/>
  <c r="M67" i="7"/>
  <c r="N67" i="7" s="1"/>
  <c r="K67" i="7"/>
  <c r="L67" i="7" s="1"/>
  <c r="I67" i="7"/>
  <c r="J67" i="7" s="1"/>
  <c r="G67" i="7"/>
  <c r="H67" i="7" s="1"/>
  <c r="E67" i="7"/>
  <c r="F67" i="7" s="1"/>
  <c r="C67" i="7"/>
  <c r="M66" i="7"/>
  <c r="N66" i="7" s="1"/>
  <c r="K66" i="7"/>
  <c r="L66" i="7" s="1"/>
  <c r="I66" i="7"/>
  <c r="J66" i="7" s="1"/>
  <c r="G66" i="7"/>
  <c r="H66" i="7" s="1"/>
  <c r="E66" i="7"/>
  <c r="F66" i="7" s="1"/>
  <c r="C66" i="7"/>
  <c r="D66" i="7" s="1"/>
  <c r="M65" i="7"/>
  <c r="N65" i="7" s="1"/>
  <c r="K65" i="7"/>
  <c r="L65" i="7" s="1"/>
  <c r="I65" i="7"/>
  <c r="J65" i="7" s="1"/>
  <c r="G65" i="7"/>
  <c r="H65" i="7" s="1"/>
  <c r="E65" i="7"/>
  <c r="F65" i="7" s="1"/>
  <c r="C65" i="7"/>
  <c r="M64" i="7"/>
  <c r="N64" i="7" s="1"/>
  <c r="K64" i="7"/>
  <c r="L64" i="7" s="1"/>
  <c r="I64" i="7"/>
  <c r="J64" i="7" s="1"/>
  <c r="G64" i="7"/>
  <c r="E64" i="7"/>
  <c r="F64" i="7" s="1"/>
  <c r="C64" i="7"/>
  <c r="D64" i="7" s="1"/>
  <c r="M63" i="7"/>
  <c r="N63" i="7" s="1"/>
  <c r="K63" i="7"/>
  <c r="L63" i="7" s="1"/>
  <c r="I63" i="7"/>
  <c r="J63" i="7" s="1"/>
  <c r="G63" i="7"/>
  <c r="H63" i="7" s="1"/>
  <c r="E63" i="7"/>
  <c r="C63" i="7"/>
  <c r="D63" i="7" s="1"/>
  <c r="N61" i="7"/>
  <c r="L61" i="7"/>
  <c r="J61" i="7"/>
  <c r="H61" i="7"/>
  <c r="F61" i="7"/>
  <c r="M60" i="7"/>
  <c r="N60" i="7" s="1"/>
  <c r="K60" i="7"/>
  <c r="L60" i="7" s="1"/>
  <c r="I60" i="7"/>
  <c r="J60" i="7" s="1"/>
  <c r="G60" i="7"/>
  <c r="H60" i="7" s="1"/>
  <c r="E60" i="7"/>
  <c r="F60" i="7" s="1"/>
  <c r="C60" i="7"/>
  <c r="D60" i="7" s="1"/>
  <c r="M59" i="7"/>
  <c r="N59" i="7" s="1"/>
  <c r="K59" i="7"/>
  <c r="L59" i="7" s="1"/>
  <c r="I59" i="7"/>
  <c r="J59" i="7" s="1"/>
  <c r="G59" i="7"/>
  <c r="H59" i="7" s="1"/>
  <c r="E59" i="7"/>
  <c r="F59" i="7" s="1"/>
  <c r="C59" i="7"/>
  <c r="M58" i="7"/>
  <c r="N58" i="7" s="1"/>
  <c r="K58" i="7"/>
  <c r="L58" i="7" s="1"/>
  <c r="I58" i="7"/>
  <c r="J58" i="7" s="1"/>
  <c r="G58" i="7"/>
  <c r="H58" i="7" s="1"/>
  <c r="E58" i="7"/>
  <c r="F58" i="7" s="1"/>
  <c r="C58" i="7"/>
  <c r="M57" i="7"/>
  <c r="N57" i="7" s="1"/>
  <c r="K57" i="7"/>
  <c r="L57" i="7" s="1"/>
  <c r="I57" i="7"/>
  <c r="J57" i="7" s="1"/>
  <c r="G57" i="7"/>
  <c r="H57" i="7" s="1"/>
  <c r="E57" i="7"/>
  <c r="F57" i="7" s="1"/>
  <c r="C57" i="7"/>
  <c r="M56" i="7"/>
  <c r="N56" i="7" s="1"/>
  <c r="K56" i="7"/>
  <c r="L56" i="7" s="1"/>
  <c r="I56" i="7"/>
  <c r="J56" i="7" s="1"/>
  <c r="G56" i="7"/>
  <c r="H56" i="7" s="1"/>
  <c r="E56" i="7"/>
  <c r="F56" i="7" s="1"/>
  <c r="C56" i="7"/>
  <c r="M55" i="7"/>
  <c r="N55" i="7" s="1"/>
  <c r="K55" i="7"/>
  <c r="L55" i="7" s="1"/>
  <c r="I55" i="7"/>
  <c r="J55" i="7" s="1"/>
  <c r="G55" i="7"/>
  <c r="H55" i="7" s="1"/>
  <c r="E55" i="7"/>
  <c r="F55" i="7" s="1"/>
  <c r="C55" i="7"/>
  <c r="O55" i="7" s="1"/>
  <c r="M54" i="7"/>
  <c r="N54" i="7" s="1"/>
  <c r="K54" i="7"/>
  <c r="L54" i="7" s="1"/>
  <c r="I54" i="7"/>
  <c r="J54" i="7" s="1"/>
  <c r="G54" i="7"/>
  <c r="E54" i="7"/>
  <c r="F54" i="7" s="1"/>
  <c r="C54" i="7"/>
  <c r="D54" i="7" s="1"/>
  <c r="N53" i="7"/>
  <c r="M52" i="7"/>
  <c r="N52" i="7" s="1"/>
  <c r="K52" i="7"/>
  <c r="L52" i="7" s="1"/>
  <c r="I52" i="7"/>
  <c r="J52" i="7" s="1"/>
  <c r="G52" i="7"/>
  <c r="H52" i="7" s="1"/>
  <c r="E52" i="7"/>
  <c r="F52" i="7" s="1"/>
  <c r="C52" i="7"/>
  <c r="D52" i="7" s="1"/>
  <c r="M51" i="7"/>
  <c r="N51" i="7" s="1"/>
  <c r="K51" i="7"/>
  <c r="L51" i="7" s="1"/>
  <c r="I51" i="7"/>
  <c r="J51" i="7" s="1"/>
  <c r="G51" i="7"/>
  <c r="H51" i="7" s="1"/>
  <c r="E51" i="7"/>
  <c r="F51" i="7" s="1"/>
  <c r="C51" i="7"/>
  <c r="M50" i="7"/>
  <c r="N50" i="7" s="1"/>
  <c r="K50" i="7"/>
  <c r="L50" i="7" s="1"/>
  <c r="I50" i="7"/>
  <c r="J50" i="7" s="1"/>
  <c r="G50" i="7"/>
  <c r="H50" i="7" s="1"/>
  <c r="E50" i="7"/>
  <c r="F50" i="7" s="1"/>
  <c r="C50" i="7"/>
  <c r="M49" i="7"/>
  <c r="N49" i="7" s="1"/>
  <c r="K49" i="7"/>
  <c r="L49" i="7" s="1"/>
  <c r="I49" i="7"/>
  <c r="J49" i="7" s="1"/>
  <c r="G49" i="7"/>
  <c r="H49" i="7" s="1"/>
  <c r="E49" i="7"/>
  <c r="F49" i="7" s="1"/>
  <c r="C49" i="7"/>
  <c r="M48" i="7"/>
  <c r="N48" i="7" s="1"/>
  <c r="K48" i="7"/>
  <c r="L48" i="7" s="1"/>
  <c r="I48" i="7"/>
  <c r="J48" i="7" s="1"/>
  <c r="G48" i="7"/>
  <c r="H48" i="7" s="1"/>
  <c r="E48" i="7"/>
  <c r="F48" i="7" s="1"/>
  <c r="C48" i="7"/>
  <c r="M47" i="7"/>
  <c r="N47" i="7" s="1"/>
  <c r="K47" i="7"/>
  <c r="L47" i="7" s="1"/>
  <c r="I47" i="7"/>
  <c r="J47" i="7" s="1"/>
  <c r="G47" i="7"/>
  <c r="H47" i="7" s="1"/>
  <c r="E47" i="7"/>
  <c r="F47" i="7" s="1"/>
  <c r="C47" i="7"/>
  <c r="M34" i="7"/>
  <c r="N34" i="7" s="1"/>
  <c r="K34" i="7"/>
  <c r="L34" i="7" s="1"/>
  <c r="I34" i="7"/>
  <c r="J34" i="7" s="1"/>
  <c r="G34" i="7"/>
  <c r="E34" i="7"/>
  <c r="F34" i="7" s="1"/>
  <c r="C34" i="7"/>
  <c r="M33" i="7"/>
  <c r="N33" i="7" s="1"/>
  <c r="K33" i="7"/>
  <c r="L33" i="7" s="1"/>
  <c r="I33" i="7"/>
  <c r="J33" i="7" s="1"/>
  <c r="G33" i="7"/>
  <c r="H33" i="7" s="1"/>
  <c r="E33" i="7"/>
  <c r="F33" i="7" s="1"/>
  <c r="C33" i="7"/>
  <c r="M28" i="7"/>
  <c r="N28" i="7" s="1"/>
  <c r="K28" i="7"/>
  <c r="L28" i="7" s="1"/>
  <c r="I28" i="7"/>
  <c r="J28" i="7" s="1"/>
  <c r="G28" i="7"/>
  <c r="H28" i="7" s="1"/>
  <c r="E28" i="7"/>
  <c r="F28" i="7" s="1"/>
  <c r="C28" i="7"/>
  <c r="M27" i="7"/>
  <c r="N27" i="7" s="1"/>
  <c r="K27" i="7"/>
  <c r="L27" i="7" s="1"/>
  <c r="I27" i="7"/>
  <c r="J27" i="7" s="1"/>
  <c r="G27" i="7"/>
  <c r="E27" i="7"/>
  <c r="F27" i="7" s="1"/>
  <c r="C27" i="7"/>
  <c r="D27" i="7" s="1"/>
  <c r="M32" i="7"/>
  <c r="N32" i="7" s="1"/>
  <c r="K32" i="7"/>
  <c r="L32" i="7" s="1"/>
  <c r="I32" i="7"/>
  <c r="J32" i="7" s="1"/>
  <c r="G32" i="7"/>
  <c r="H32" i="7" s="1"/>
  <c r="E32" i="7"/>
  <c r="F32" i="7" s="1"/>
  <c r="C32" i="7"/>
  <c r="M31" i="7"/>
  <c r="N31" i="7" s="1"/>
  <c r="K31" i="7"/>
  <c r="L31" i="7" s="1"/>
  <c r="I31" i="7"/>
  <c r="J31" i="7" s="1"/>
  <c r="G31" i="7"/>
  <c r="H31" i="7" s="1"/>
  <c r="E31" i="7"/>
  <c r="F31" i="7" s="1"/>
  <c r="C31" i="7"/>
  <c r="D31" i="7" s="1"/>
  <c r="M30" i="7"/>
  <c r="N30" i="7" s="1"/>
  <c r="K30" i="7"/>
  <c r="L30" i="7" s="1"/>
  <c r="I30" i="7"/>
  <c r="J30" i="7" s="1"/>
  <c r="G30" i="7"/>
  <c r="H30" i="7" s="1"/>
  <c r="E30" i="7"/>
  <c r="F30" i="7" s="1"/>
  <c r="C30" i="7"/>
  <c r="M29" i="7"/>
  <c r="N29" i="7" s="1"/>
  <c r="K29" i="7"/>
  <c r="L29" i="7" s="1"/>
  <c r="I29" i="7"/>
  <c r="J29" i="7" s="1"/>
  <c r="G29" i="7"/>
  <c r="H29" i="7" s="1"/>
  <c r="E29" i="7"/>
  <c r="F29" i="7" s="1"/>
  <c r="C29" i="7"/>
  <c r="M26" i="7"/>
  <c r="N26" i="7" s="1"/>
  <c r="K26" i="7"/>
  <c r="L26" i="7" s="1"/>
  <c r="I26" i="7"/>
  <c r="J26" i="7" s="1"/>
  <c r="G26" i="7"/>
  <c r="H26" i="7" s="1"/>
  <c r="E26" i="7"/>
  <c r="F26" i="7" s="1"/>
  <c r="C26" i="7"/>
  <c r="D26" i="7" s="1"/>
  <c r="M24" i="7"/>
  <c r="N24" i="7" s="1"/>
  <c r="K24" i="7"/>
  <c r="L24" i="7" s="1"/>
  <c r="I24" i="7"/>
  <c r="J24" i="7" s="1"/>
  <c r="G24" i="7"/>
  <c r="H24" i="7" s="1"/>
  <c r="E24" i="7"/>
  <c r="F24" i="7" s="1"/>
  <c r="C24" i="7"/>
  <c r="M23" i="7"/>
  <c r="N23" i="7" s="1"/>
  <c r="K23" i="7"/>
  <c r="L23" i="7" s="1"/>
  <c r="I23" i="7"/>
  <c r="J23" i="7" s="1"/>
  <c r="G23" i="7"/>
  <c r="H23" i="7" s="1"/>
  <c r="E23" i="7"/>
  <c r="F23" i="7" s="1"/>
  <c r="C23" i="7"/>
  <c r="M22" i="7"/>
  <c r="N22" i="7" s="1"/>
  <c r="K22" i="7"/>
  <c r="L22" i="7" s="1"/>
  <c r="I22" i="7"/>
  <c r="J22" i="7" s="1"/>
  <c r="G22" i="7"/>
  <c r="H22" i="7" s="1"/>
  <c r="E22" i="7"/>
  <c r="C22" i="7"/>
  <c r="M21" i="7"/>
  <c r="N21" i="7" s="1"/>
  <c r="K21" i="7"/>
  <c r="L21" i="7" s="1"/>
  <c r="I21" i="7"/>
  <c r="J21" i="7" s="1"/>
  <c r="G21" i="7"/>
  <c r="H21" i="7" s="1"/>
  <c r="E21" i="7"/>
  <c r="F21" i="7" s="1"/>
  <c r="C21" i="7"/>
  <c r="M20" i="7"/>
  <c r="N20" i="7" s="1"/>
  <c r="K20" i="7"/>
  <c r="L20" i="7" s="1"/>
  <c r="I20" i="7"/>
  <c r="J20" i="7" s="1"/>
  <c r="G20" i="7"/>
  <c r="E20" i="7"/>
  <c r="F20" i="7" s="1"/>
  <c r="C20" i="7"/>
  <c r="M19" i="7"/>
  <c r="N19" i="7" s="1"/>
  <c r="K19" i="7"/>
  <c r="L19" i="7" s="1"/>
  <c r="I19" i="7"/>
  <c r="J19" i="7" s="1"/>
  <c r="G19" i="7"/>
  <c r="H19" i="7" s="1"/>
  <c r="E19" i="7"/>
  <c r="C19" i="7"/>
  <c r="D19" i="7" s="1"/>
  <c r="M18" i="7"/>
  <c r="N18" i="7" s="1"/>
  <c r="K18" i="7"/>
  <c r="L18" i="7" s="1"/>
  <c r="I18" i="7"/>
  <c r="J18" i="7" s="1"/>
  <c r="G18" i="7"/>
  <c r="H18" i="7" s="1"/>
  <c r="E18" i="7"/>
  <c r="F18" i="7" s="1"/>
  <c r="C18" i="7"/>
  <c r="M17" i="7"/>
  <c r="N17" i="7" s="1"/>
  <c r="K17" i="7"/>
  <c r="L17" i="7" s="1"/>
  <c r="I17" i="7"/>
  <c r="J17" i="7" s="1"/>
  <c r="G17" i="7"/>
  <c r="H17" i="7" s="1"/>
  <c r="E17" i="7"/>
  <c r="F17" i="7" s="1"/>
  <c r="C17" i="7"/>
  <c r="D17" i="7" s="1"/>
  <c r="M16" i="7"/>
  <c r="N16" i="7" s="1"/>
  <c r="K16" i="7"/>
  <c r="L16" i="7" s="1"/>
  <c r="I16" i="7"/>
  <c r="J16" i="7" s="1"/>
  <c r="G16" i="7"/>
  <c r="H16" i="7" s="1"/>
  <c r="E16" i="7"/>
  <c r="F16" i="7" s="1"/>
  <c r="C16" i="7"/>
  <c r="M15" i="7"/>
  <c r="N15" i="7" s="1"/>
  <c r="K15" i="7"/>
  <c r="L15" i="7" s="1"/>
  <c r="I15" i="7"/>
  <c r="J15" i="7" s="1"/>
  <c r="G15" i="7"/>
  <c r="H15" i="7" s="1"/>
  <c r="E15" i="7"/>
  <c r="F15" i="7" s="1"/>
  <c r="C15" i="7"/>
  <c r="M14" i="7"/>
  <c r="N14" i="7" s="1"/>
  <c r="K14" i="7"/>
  <c r="L14" i="7" s="1"/>
  <c r="I14" i="7"/>
  <c r="J14" i="7" s="1"/>
  <c r="G14" i="7"/>
  <c r="H14" i="7" s="1"/>
  <c r="E14" i="7"/>
  <c r="C14" i="7"/>
  <c r="D14" i="7" s="1"/>
  <c r="M134" i="5"/>
  <c r="N134" i="5" s="1"/>
  <c r="K134" i="5"/>
  <c r="L134" i="5" s="1"/>
  <c r="I134" i="5"/>
  <c r="J134" i="5" s="1"/>
  <c r="G134" i="5"/>
  <c r="H134" i="5" s="1"/>
  <c r="E134" i="5"/>
  <c r="F134" i="5" s="1"/>
  <c r="C134" i="5"/>
  <c r="N115" i="5"/>
  <c r="N114" i="5"/>
  <c r="N113" i="5"/>
  <c r="N112" i="5"/>
  <c r="M105" i="5"/>
  <c r="N105" i="5" s="1"/>
  <c r="K105" i="5"/>
  <c r="L105" i="5" s="1"/>
  <c r="I105" i="5"/>
  <c r="J105" i="5" s="1"/>
  <c r="G105" i="5"/>
  <c r="H105" i="5" s="1"/>
  <c r="E105" i="5"/>
  <c r="F105" i="5" s="1"/>
  <c r="C105" i="5"/>
  <c r="M104" i="5"/>
  <c r="N104" i="5" s="1"/>
  <c r="K104" i="5"/>
  <c r="L104" i="5" s="1"/>
  <c r="I104" i="5"/>
  <c r="J104" i="5" s="1"/>
  <c r="G104" i="5"/>
  <c r="H104" i="5" s="1"/>
  <c r="E104" i="5"/>
  <c r="C104" i="5"/>
  <c r="D104" i="5" s="1"/>
  <c r="M103" i="5"/>
  <c r="N103" i="5" s="1"/>
  <c r="K103" i="5"/>
  <c r="L103" i="5" s="1"/>
  <c r="I103" i="5"/>
  <c r="J103" i="5" s="1"/>
  <c r="G103" i="5"/>
  <c r="H103" i="5" s="1"/>
  <c r="E103" i="5"/>
  <c r="F103" i="5" s="1"/>
  <c r="C103" i="5"/>
  <c r="M102" i="5"/>
  <c r="N102" i="5" s="1"/>
  <c r="K102" i="5"/>
  <c r="L102" i="5" s="1"/>
  <c r="I102" i="5"/>
  <c r="J102" i="5" s="1"/>
  <c r="G102" i="5"/>
  <c r="E102" i="5"/>
  <c r="F102" i="5" s="1"/>
  <c r="C102" i="5"/>
  <c r="D102" i="5" s="1"/>
  <c r="M100" i="5"/>
  <c r="N100" i="5" s="1"/>
  <c r="K100" i="5"/>
  <c r="L100" i="5" s="1"/>
  <c r="I100" i="5"/>
  <c r="J100" i="5" s="1"/>
  <c r="G100" i="5"/>
  <c r="H100" i="5" s="1"/>
  <c r="E100" i="5"/>
  <c r="F100" i="5" s="1"/>
  <c r="C100" i="5"/>
  <c r="M99" i="5"/>
  <c r="N99" i="5" s="1"/>
  <c r="K99" i="5"/>
  <c r="L99" i="5" s="1"/>
  <c r="I99" i="5"/>
  <c r="J99" i="5" s="1"/>
  <c r="G99" i="5"/>
  <c r="E99" i="5"/>
  <c r="F99" i="5" s="1"/>
  <c r="C99" i="5"/>
  <c r="M98" i="5"/>
  <c r="N98" i="5" s="1"/>
  <c r="K98" i="5"/>
  <c r="L98" i="5" s="1"/>
  <c r="I98" i="5"/>
  <c r="J98" i="5" s="1"/>
  <c r="G98" i="5"/>
  <c r="H98" i="5" s="1"/>
  <c r="E98" i="5"/>
  <c r="F98" i="5" s="1"/>
  <c r="C98" i="5"/>
  <c r="D98" i="5" s="1"/>
  <c r="M97" i="5"/>
  <c r="N97" i="5" s="1"/>
  <c r="K97" i="5"/>
  <c r="L97" i="5" s="1"/>
  <c r="I97" i="5"/>
  <c r="J97" i="5" s="1"/>
  <c r="G97" i="5"/>
  <c r="H97" i="5" s="1"/>
  <c r="E97" i="5"/>
  <c r="F97" i="5" s="1"/>
  <c r="C97" i="5"/>
  <c r="D97" i="5" s="1"/>
  <c r="M96" i="5"/>
  <c r="N96" i="5" s="1"/>
  <c r="K96" i="5"/>
  <c r="L96" i="5" s="1"/>
  <c r="I96" i="5"/>
  <c r="J96" i="5" s="1"/>
  <c r="G96" i="5"/>
  <c r="H96" i="5" s="1"/>
  <c r="E96" i="5"/>
  <c r="C96" i="5"/>
  <c r="D96" i="5" s="1"/>
  <c r="M95" i="5"/>
  <c r="N95" i="5" s="1"/>
  <c r="K95" i="5"/>
  <c r="L95" i="5" s="1"/>
  <c r="I95" i="5"/>
  <c r="J95" i="5" s="1"/>
  <c r="G95" i="5"/>
  <c r="H95" i="5" s="1"/>
  <c r="E95" i="5"/>
  <c r="F95" i="5" s="1"/>
  <c r="C95" i="5"/>
  <c r="M94" i="5"/>
  <c r="N94" i="5" s="1"/>
  <c r="K94" i="5"/>
  <c r="L94" i="5" s="1"/>
  <c r="I94" i="5"/>
  <c r="J94" i="5" s="1"/>
  <c r="G94" i="5"/>
  <c r="E94" i="5"/>
  <c r="F94" i="5" s="1"/>
  <c r="C94" i="5"/>
  <c r="D94" i="5" s="1"/>
  <c r="M93" i="5"/>
  <c r="N93" i="5" s="1"/>
  <c r="K93" i="5"/>
  <c r="L93" i="5" s="1"/>
  <c r="I93" i="5"/>
  <c r="J93" i="5" s="1"/>
  <c r="G93" i="5"/>
  <c r="H93" i="5" s="1"/>
  <c r="E93" i="5"/>
  <c r="F93" i="5" s="1"/>
  <c r="C93" i="5"/>
  <c r="M68" i="5"/>
  <c r="N68" i="5" s="1"/>
  <c r="K68" i="5"/>
  <c r="L68" i="5" s="1"/>
  <c r="I68" i="5"/>
  <c r="J68" i="5" s="1"/>
  <c r="G68" i="5"/>
  <c r="H68" i="5" s="1"/>
  <c r="E68" i="5"/>
  <c r="F68" i="5" s="1"/>
  <c r="C68" i="5"/>
  <c r="M67" i="5"/>
  <c r="N67" i="5" s="1"/>
  <c r="K67" i="5"/>
  <c r="L67" i="5" s="1"/>
  <c r="I67" i="5"/>
  <c r="J67" i="5" s="1"/>
  <c r="G67" i="5"/>
  <c r="H67" i="5" s="1"/>
  <c r="E67" i="5"/>
  <c r="C67" i="5"/>
  <c r="M66" i="5"/>
  <c r="N66" i="5" s="1"/>
  <c r="K66" i="5"/>
  <c r="L66" i="5" s="1"/>
  <c r="I66" i="5"/>
  <c r="J66" i="5" s="1"/>
  <c r="G66" i="5"/>
  <c r="H66" i="5" s="1"/>
  <c r="E66" i="5"/>
  <c r="F66" i="5" s="1"/>
  <c r="C66" i="5"/>
  <c r="M65" i="5"/>
  <c r="N65" i="5" s="1"/>
  <c r="K65" i="5"/>
  <c r="L65" i="5" s="1"/>
  <c r="I65" i="5"/>
  <c r="J65" i="5" s="1"/>
  <c r="G65" i="5"/>
  <c r="E65" i="5"/>
  <c r="F65" i="5" s="1"/>
  <c r="C65" i="5"/>
  <c r="D65" i="5" s="1"/>
  <c r="M64" i="5"/>
  <c r="N64" i="5" s="1"/>
  <c r="K64" i="5"/>
  <c r="L64" i="5" s="1"/>
  <c r="I64" i="5"/>
  <c r="J64" i="5" s="1"/>
  <c r="G64" i="5"/>
  <c r="H64" i="5" s="1"/>
  <c r="E64" i="5"/>
  <c r="F64" i="5" s="1"/>
  <c r="C64" i="5"/>
  <c r="M63" i="5"/>
  <c r="N63" i="5" s="1"/>
  <c r="K63" i="5"/>
  <c r="L63" i="5" s="1"/>
  <c r="I63" i="5"/>
  <c r="J63" i="5" s="1"/>
  <c r="G63" i="5"/>
  <c r="H63" i="5" s="1"/>
  <c r="E63" i="5"/>
  <c r="F63" i="5" s="1"/>
  <c r="C63" i="5"/>
  <c r="M62" i="5"/>
  <c r="N62" i="5" s="1"/>
  <c r="K62" i="5"/>
  <c r="L62" i="5" s="1"/>
  <c r="I62" i="5"/>
  <c r="J62" i="5" s="1"/>
  <c r="G62" i="5"/>
  <c r="H62" i="5" s="1"/>
  <c r="E62" i="5"/>
  <c r="C62" i="5"/>
  <c r="D62" i="5" s="1"/>
  <c r="M61" i="5"/>
  <c r="N61" i="5" s="1"/>
  <c r="K61" i="5"/>
  <c r="L61" i="5" s="1"/>
  <c r="I61" i="5"/>
  <c r="J61" i="5" s="1"/>
  <c r="G61" i="5"/>
  <c r="H61" i="5" s="1"/>
  <c r="E61" i="5"/>
  <c r="F61" i="5" s="1"/>
  <c r="C61" i="5"/>
  <c r="M60" i="5"/>
  <c r="N60" i="5" s="1"/>
  <c r="K60" i="5"/>
  <c r="L60" i="5" s="1"/>
  <c r="I60" i="5"/>
  <c r="J60" i="5" s="1"/>
  <c r="G60" i="5"/>
  <c r="E60" i="5"/>
  <c r="F60" i="5" s="1"/>
  <c r="C60" i="5"/>
  <c r="D60" i="5" s="1"/>
  <c r="M59" i="5"/>
  <c r="N59" i="5" s="1"/>
  <c r="K59" i="5"/>
  <c r="L59" i="5" s="1"/>
  <c r="I59" i="5"/>
  <c r="J59" i="5" s="1"/>
  <c r="G59" i="5"/>
  <c r="H59" i="5" s="1"/>
  <c r="E59" i="5"/>
  <c r="F59" i="5" s="1"/>
  <c r="C59" i="5"/>
  <c r="D59" i="5" s="1"/>
  <c r="M58" i="5"/>
  <c r="N58" i="5" s="1"/>
  <c r="K58" i="5"/>
  <c r="L58" i="5" s="1"/>
  <c r="I58" i="5"/>
  <c r="J58" i="5" s="1"/>
  <c r="G58" i="5"/>
  <c r="H58" i="5" s="1"/>
  <c r="E58" i="5"/>
  <c r="F58" i="5" s="1"/>
  <c r="C58" i="5"/>
  <c r="M55" i="5"/>
  <c r="N55" i="5" s="1"/>
  <c r="K55" i="5"/>
  <c r="L55" i="5" s="1"/>
  <c r="I55" i="5"/>
  <c r="J55" i="5" s="1"/>
  <c r="G55" i="5"/>
  <c r="H55" i="5" s="1"/>
  <c r="E55" i="5"/>
  <c r="F55" i="5" s="1"/>
  <c r="C55" i="5"/>
  <c r="M54" i="5"/>
  <c r="N54" i="5" s="1"/>
  <c r="K54" i="5"/>
  <c r="L54" i="5" s="1"/>
  <c r="I54" i="5"/>
  <c r="J54" i="5" s="1"/>
  <c r="G54" i="5"/>
  <c r="E54" i="5"/>
  <c r="F54" i="5" s="1"/>
  <c r="C54" i="5"/>
  <c r="D54" i="5" s="1"/>
  <c r="M28" i="5"/>
  <c r="N28" i="5" s="1"/>
  <c r="K28" i="5"/>
  <c r="L28" i="5" s="1"/>
  <c r="I28" i="5"/>
  <c r="J28" i="5" s="1"/>
  <c r="G28" i="5"/>
  <c r="H28" i="5" s="1"/>
  <c r="E28" i="5"/>
  <c r="F28" i="5" s="1"/>
  <c r="C28" i="5"/>
  <c r="M27" i="5"/>
  <c r="N27" i="5" s="1"/>
  <c r="K27" i="5"/>
  <c r="L27" i="5" s="1"/>
  <c r="I27" i="5"/>
  <c r="J27" i="5" s="1"/>
  <c r="G27" i="5"/>
  <c r="H27" i="5" s="1"/>
  <c r="E27" i="5"/>
  <c r="C27" i="5"/>
  <c r="M26" i="5"/>
  <c r="N26" i="5" s="1"/>
  <c r="K26" i="5"/>
  <c r="L26" i="5" s="1"/>
  <c r="I26" i="5"/>
  <c r="J26" i="5" s="1"/>
  <c r="G26" i="5"/>
  <c r="H26" i="5" s="1"/>
  <c r="E26" i="5"/>
  <c r="F26" i="5" s="1"/>
  <c r="C26" i="5"/>
  <c r="M25" i="5"/>
  <c r="N25" i="5" s="1"/>
  <c r="K25" i="5"/>
  <c r="L25" i="5" s="1"/>
  <c r="I25" i="5"/>
  <c r="J25" i="5" s="1"/>
  <c r="G25" i="5"/>
  <c r="H25" i="5" s="1"/>
  <c r="E25" i="5"/>
  <c r="F25" i="5" s="1"/>
  <c r="C25" i="5"/>
  <c r="M24" i="5"/>
  <c r="N24" i="5" s="1"/>
  <c r="K24" i="5"/>
  <c r="L24" i="5" s="1"/>
  <c r="I24" i="5"/>
  <c r="J24" i="5" s="1"/>
  <c r="G24" i="5"/>
  <c r="H24" i="5" s="1"/>
  <c r="E24" i="5"/>
  <c r="C24" i="5"/>
  <c r="D24" i="5" s="1"/>
  <c r="M23" i="5"/>
  <c r="N23" i="5" s="1"/>
  <c r="K23" i="5"/>
  <c r="L23" i="5" s="1"/>
  <c r="I23" i="5"/>
  <c r="J23" i="5" s="1"/>
  <c r="G23" i="5"/>
  <c r="H23" i="5" s="1"/>
  <c r="E23" i="5"/>
  <c r="F23" i="5" s="1"/>
  <c r="C23" i="5"/>
  <c r="M22" i="5"/>
  <c r="N22" i="5" s="1"/>
  <c r="K22" i="5"/>
  <c r="L22" i="5" s="1"/>
  <c r="I22" i="5"/>
  <c r="J22" i="5" s="1"/>
  <c r="G22" i="5"/>
  <c r="H22" i="5" s="1"/>
  <c r="E22" i="5"/>
  <c r="C22" i="5"/>
  <c r="D22" i="5" s="1"/>
  <c r="N21" i="5"/>
  <c r="L21" i="5"/>
  <c r="J21" i="5"/>
  <c r="H21" i="5"/>
  <c r="F21" i="5"/>
  <c r="N20" i="5"/>
  <c r="L20" i="5"/>
  <c r="J20" i="5"/>
  <c r="F20" i="5"/>
  <c r="C20" i="5"/>
  <c r="D20" i="5" s="1"/>
  <c r="N19" i="5"/>
  <c r="L19" i="5"/>
  <c r="J19" i="5"/>
  <c r="H19" i="5"/>
  <c r="F19" i="5"/>
  <c r="M18" i="5"/>
  <c r="N18" i="5" s="1"/>
  <c r="K18" i="5"/>
  <c r="L18" i="5" s="1"/>
  <c r="I18" i="5"/>
  <c r="J18" i="5" s="1"/>
  <c r="G18" i="5"/>
  <c r="H18" i="5" s="1"/>
  <c r="E18" i="5"/>
  <c r="F18" i="5" s="1"/>
  <c r="C18" i="5"/>
  <c r="D18" i="5" s="1"/>
  <c r="M17" i="5"/>
  <c r="N17" i="5" s="1"/>
  <c r="K17" i="5"/>
  <c r="L17" i="5" s="1"/>
  <c r="I17" i="5"/>
  <c r="J17" i="5" s="1"/>
  <c r="G17" i="5"/>
  <c r="H17" i="5" s="1"/>
  <c r="E17" i="5"/>
  <c r="C17" i="5"/>
  <c r="D17" i="5" s="1"/>
  <c r="M16" i="5"/>
  <c r="N16" i="5" s="1"/>
  <c r="K16" i="5"/>
  <c r="L16" i="5" s="1"/>
  <c r="I16" i="5"/>
  <c r="J16" i="5" s="1"/>
  <c r="G16" i="5"/>
  <c r="H16" i="5" s="1"/>
  <c r="E16" i="5"/>
  <c r="F16" i="5" s="1"/>
  <c r="C16" i="5"/>
  <c r="D16" i="5" s="1"/>
  <c r="M15" i="5"/>
  <c r="N15" i="5" s="1"/>
  <c r="K15" i="5"/>
  <c r="L15" i="5" s="1"/>
  <c r="I15" i="5"/>
  <c r="J15" i="5" s="1"/>
  <c r="G15" i="5"/>
  <c r="H15" i="5" s="1"/>
  <c r="E15" i="5"/>
  <c r="F15" i="5" s="1"/>
  <c r="C15" i="5"/>
  <c r="D15" i="5" s="1"/>
  <c r="M103" i="4"/>
  <c r="N103" i="4" s="1"/>
  <c r="K103" i="4"/>
  <c r="L103" i="4" s="1"/>
  <c r="I103" i="4"/>
  <c r="J103" i="4" s="1"/>
  <c r="G103" i="4"/>
  <c r="H103" i="4" s="1"/>
  <c r="E103" i="4"/>
  <c r="F103" i="4" s="1"/>
  <c r="C103" i="4"/>
  <c r="M99" i="4"/>
  <c r="N99" i="4" s="1"/>
  <c r="K99" i="4"/>
  <c r="L99" i="4" s="1"/>
  <c r="I99" i="4"/>
  <c r="J99" i="4" s="1"/>
  <c r="G99" i="4"/>
  <c r="H99" i="4" s="1"/>
  <c r="E99" i="4"/>
  <c r="F99" i="4" s="1"/>
  <c r="C99" i="4"/>
  <c r="O99" i="4" s="1"/>
  <c r="R99" i="4" s="1"/>
  <c r="M98" i="4"/>
  <c r="N98" i="4" s="1"/>
  <c r="K98" i="4"/>
  <c r="L98" i="4" s="1"/>
  <c r="I98" i="4"/>
  <c r="J98" i="4" s="1"/>
  <c r="G98" i="4"/>
  <c r="H98" i="4" s="1"/>
  <c r="E98" i="4"/>
  <c r="F98" i="4" s="1"/>
  <c r="C98" i="4"/>
  <c r="M97" i="4"/>
  <c r="N97" i="4" s="1"/>
  <c r="K97" i="4"/>
  <c r="L97" i="4" s="1"/>
  <c r="I97" i="4"/>
  <c r="J97" i="4" s="1"/>
  <c r="G97" i="4"/>
  <c r="H97" i="4" s="1"/>
  <c r="E97" i="4"/>
  <c r="C97" i="4"/>
  <c r="M96" i="4"/>
  <c r="N96" i="4" s="1"/>
  <c r="K96" i="4"/>
  <c r="L96" i="4" s="1"/>
  <c r="I96" i="4"/>
  <c r="J96" i="4" s="1"/>
  <c r="G96" i="4"/>
  <c r="H96" i="4" s="1"/>
  <c r="E96" i="4"/>
  <c r="F96" i="4" s="1"/>
  <c r="C96" i="4"/>
  <c r="M95" i="4"/>
  <c r="N95" i="4" s="1"/>
  <c r="K95" i="4"/>
  <c r="L95" i="4" s="1"/>
  <c r="I95" i="4"/>
  <c r="J95" i="4" s="1"/>
  <c r="G95" i="4"/>
  <c r="E95" i="4"/>
  <c r="F95" i="4" s="1"/>
  <c r="C95" i="4"/>
  <c r="D95" i="4" s="1"/>
  <c r="M94" i="4"/>
  <c r="N94" i="4" s="1"/>
  <c r="K94" i="4"/>
  <c r="L94" i="4" s="1"/>
  <c r="I94" i="4"/>
  <c r="J94" i="4" s="1"/>
  <c r="G94" i="4"/>
  <c r="H94" i="4" s="1"/>
  <c r="E94" i="4"/>
  <c r="F94" i="4" s="1"/>
  <c r="C94" i="4"/>
  <c r="D94" i="4" s="1"/>
  <c r="M79" i="4"/>
  <c r="N79" i="4" s="1"/>
  <c r="K79" i="4"/>
  <c r="L79" i="4" s="1"/>
  <c r="I79" i="4"/>
  <c r="J79" i="4" s="1"/>
  <c r="G79" i="4"/>
  <c r="H79" i="4" s="1"/>
  <c r="E79" i="4"/>
  <c r="F79" i="4" s="1"/>
  <c r="C79" i="4"/>
  <c r="M78" i="4"/>
  <c r="N78" i="4" s="1"/>
  <c r="K78" i="4"/>
  <c r="L78" i="4" s="1"/>
  <c r="I78" i="4"/>
  <c r="J78" i="4" s="1"/>
  <c r="G78" i="4"/>
  <c r="H78" i="4" s="1"/>
  <c r="E78" i="4"/>
  <c r="F78" i="4" s="1"/>
  <c r="C78" i="4"/>
  <c r="D78" i="4" s="1"/>
  <c r="M77" i="4"/>
  <c r="N77" i="4" s="1"/>
  <c r="K77" i="4"/>
  <c r="L77" i="4" s="1"/>
  <c r="I77" i="4"/>
  <c r="J77" i="4" s="1"/>
  <c r="G77" i="4"/>
  <c r="H77" i="4" s="1"/>
  <c r="E77" i="4"/>
  <c r="F77" i="4" s="1"/>
  <c r="C77" i="4"/>
  <c r="O77" i="4" s="1"/>
  <c r="R77" i="4" s="1"/>
  <c r="M76" i="4"/>
  <c r="N76" i="4" s="1"/>
  <c r="K76" i="4"/>
  <c r="L76" i="4" s="1"/>
  <c r="I76" i="4"/>
  <c r="J76" i="4" s="1"/>
  <c r="G76" i="4"/>
  <c r="H76" i="4" s="1"/>
  <c r="E76" i="4"/>
  <c r="C76" i="4"/>
  <c r="D76" i="4" s="1"/>
  <c r="M75" i="4"/>
  <c r="N75" i="4" s="1"/>
  <c r="K75" i="4"/>
  <c r="L75" i="4" s="1"/>
  <c r="I75" i="4"/>
  <c r="J75" i="4" s="1"/>
  <c r="G75" i="4"/>
  <c r="H75" i="4" s="1"/>
  <c r="E75" i="4"/>
  <c r="C75" i="4"/>
  <c r="M74" i="4"/>
  <c r="N74" i="4" s="1"/>
  <c r="K74" i="4"/>
  <c r="L74" i="4" s="1"/>
  <c r="I74" i="4"/>
  <c r="J74" i="4" s="1"/>
  <c r="G74" i="4"/>
  <c r="H74" i="4" s="1"/>
  <c r="E74" i="4"/>
  <c r="F74" i="4" s="1"/>
  <c r="C74" i="4"/>
  <c r="M73" i="4"/>
  <c r="N73" i="4" s="1"/>
  <c r="K73" i="4"/>
  <c r="L73" i="4" s="1"/>
  <c r="I73" i="4"/>
  <c r="J73" i="4" s="1"/>
  <c r="G73" i="4"/>
  <c r="E73" i="4"/>
  <c r="F73" i="4" s="1"/>
  <c r="C73" i="4"/>
  <c r="M72" i="4"/>
  <c r="N72" i="4" s="1"/>
  <c r="K72" i="4"/>
  <c r="L72" i="4" s="1"/>
  <c r="I72" i="4"/>
  <c r="J72" i="4" s="1"/>
  <c r="G72" i="4"/>
  <c r="H72" i="4" s="1"/>
  <c r="E72" i="4"/>
  <c r="F72" i="4" s="1"/>
  <c r="C72" i="4"/>
  <c r="D72" i="4" s="1"/>
  <c r="M71" i="4"/>
  <c r="N71" i="4" s="1"/>
  <c r="K71" i="4"/>
  <c r="L71" i="4" s="1"/>
  <c r="I71" i="4"/>
  <c r="J71" i="4" s="1"/>
  <c r="G71" i="4"/>
  <c r="H71" i="4" s="1"/>
  <c r="E71" i="4"/>
  <c r="F71" i="4" s="1"/>
  <c r="C71" i="4"/>
  <c r="M70" i="4"/>
  <c r="N70" i="4" s="1"/>
  <c r="K70" i="4"/>
  <c r="L70" i="4" s="1"/>
  <c r="I70" i="4"/>
  <c r="J70" i="4" s="1"/>
  <c r="G70" i="4"/>
  <c r="H70" i="4" s="1"/>
  <c r="E70" i="4"/>
  <c r="F70" i="4" s="1"/>
  <c r="C70" i="4"/>
  <c r="D70" i="4" s="1"/>
  <c r="M69" i="4"/>
  <c r="N69" i="4" s="1"/>
  <c r="K69" i="4"/>
  <c r="L69" i="4" s="1"/>
  <c r="I69" i="4"/>
  <c r="J69" i="4" s="1"/>
  <c r="G69" i="4"/>
  <c r="H69" i="4" s="1"/>
  <c r="E69" i="4"/>
  <c r="F69" i="4" s="1"/>
  <c r="C69" i="4"/>
  <c r="O69" i="4" s="1"/>
  <c r="R69" i="4" s="1"/>
  <c r="M68" i="4"/>
  <c r="N68" i="4" s="1"/>
  <c r="K68" i="4"/>
  <c r="L68" i="4" s="1"/>
  <c r="I68" i="4"/>
  <c r="J68" i="4" s="1"/>
  <c r="G68" i="4"/>
  <c r="H68" i="4" s="1"/>
  <c r="E68" i="4"/>
  <c r="C68" i="4"/>
  <c r="D68" i="4" s="1"/>
  <c r="M67" i="4"/>
  <c r="N67" i="4" s="1"/>
  <c r="K67" i="4"/>
  <c r="L67" i="4" s="1"/>
  <c r="I67" i="4"/>
  <c r="J67" i="4" s="1"/>
  <c r="G67" i="4"/>
  <c r="E67" i="4"/>
  <c r="F67" i="4" s="1"/>
  <c r="C67" i="4"/>
  <c r="D67" i="4" s="1"/>
  <c r="M66" i="4"/>
  <c r="N66" i="4" s="1"/>
  <c r="K66" i="4"/>
  <c r="L66" i="4" s="1"/>
  <c r="I66" i="4"/>
  <c r="J66" i="4" s="1"/>
  <c r="G66" i="4"/>
  <c r="H66" i="4" s="1"/>
  <c r="E66" i="4"/>
  <c r="F66" i="4" s="1"/>
  <c r="C66" i="4"/>
  <c r="M65" i="4"/>
  <c r="N65" i="4" s="1"/>
  <c r="K65" i="4"/>
  <c r="L65" i="4" s="1"/>
  <c r="I65" i="4"/>
  <c r="J65" i="4" s="1"/>
  <c r="G65" i="4"/>
  <c r="H65" i="4" s="1"/>
  <c r="E65" i="4"/>
  <c r="F65" i="4" s="1"/>
  <c r="C65" i="4"/>
  <c r="M64" i="4"/>
  <c r="N64" i="4" s="1"/>
  <c r="K64" i="4"/>
  <c r="L64" i="4" s="1"/>
  <c r="I64" i="4"/>
  <c r="J64" i="4" s="1"/>
  <c r="G64" i="4"/>
  <c r="H64" i="4" s="1"/>
  <c r="E64" i="4"/>
  <c r="F64" i="4" s="1"/>
  <c r="C64" i="4"/>
  <c r="D64" i="4" s="1"/>
  <c r="M39" i="4"/>
  <c r="N39" i="4" s="1"/>
  <c r="K39" i="4"/>
  <c r="L39" i="4" s="1"/>
  <c r="I39" i="4"/>
  <c r="J39" i="4" s="1"/>
  <c r="G39" i="4"/>
  <c r="H39" i="4" s="1"/>
  <c r="E39" i="4"/>
  <c r="F39" i="4" s="1"/>
  <c r="C39" i="4"/>
  <c r="M38" i="4"/>
  <c r="N38" i="4" s="1"/>
  <c r="K38" i="4"/>
  <c r="L38" i="4" s="1"/>
  <c r="I38" i="4"/>
  <c r="J38" i="4" s="1"/>
  <c r="G38" i="4"/>
  <c r="E38" i="4"/>
  <c r="F38" i="4" s="1"/>
  <c r="C38" i="4"/>
  <c r="D38" i="4" s="1"/>
  <c r="M63" i="4"/>
  <c r="N63" i="4" s="1"/>
  <c r="K63" i="4"/>
  <c r="L63" i="4" s="1"/>
  <c r="I63" i="4"/>
  <c r="J63" i="4" s="1"/>
  <c r="G63" i="4"/>
  <c r="H63" i="4" s="1"/>
  <c r="E63" i="4"/>
  <c r="C63" i="4"/>
  <c r="M62" i="4"/>
  <c r="N62" i="4" s="1"/>
  <c r="K62" i="4"/>
  <c r="L62" i="4" s="1"/>
  <c r="I62" i="4"/>
  <c r="J62" i="4" s="1"/>
  <c r="G62" i="4"/>
  <c r="H62" i="4" s="1"/>
  <c r="E62" i="4"/>
  <c r="F62" i="4" s="1"/>
  <c r="C62" i="4"/>
  <c r="M61" i="4"/>
  <c r="N61" i="4" s="1"/>
  <c r="K61" i="4"/>
  <c r="L61" i="4" s="1"/>
  <c r="I61" i="4"/>
  <c r="J61" i="4" s="1"/>
  <c r="G61" i="4"/>
  <c r="H61" i="4" s="1"/>
  <c r="E61" i="4"/>
  <c r="F61" i="4" s="1"/>
  <c r="C61" i="4"/>
  <c r="M60" i="4"/>
  <c r="N60" i="4" s="1"/>
  <c r="K60" i="4"/>
  <c r="L60" i="4" s="1"/>
  <c r="I60" i="4"/>
  <c r="J60" i="4" s="1"/>
  <c r="G60" i="4"/>
  <c r="H60" i="4" s="1"/>
  <c r="E60" i="4"/>
  <c r="F60" i="4" s="1"/>
  <c r="C60" i="4"/>
  <c r="M59" i="4"/>
  <c r="N59" i="4" s="1"/>
  <c r="K59" i="4"/>
  <c r="L59" i="4" s="1"/>
  <c r="I59" i="4"/>
  <c r="J59" i="4" s="1"/>
  <c r="G59" i="4"/>
  <c r="H59" i="4" s="1"/>
  <c r="E59" i="4"/>
  <c r="F59" i="4" s="1"/>
  <c r="C59" i="4"/>
  <c r="O59" i="4" s="1"/>
  <c r="R59" i="4" s="1"/>
  <c r="M58" i="4"/>
  <c r="N58" i="4" s="1"/>
  <c r="K58" i="4"/>
  <c r="L58" i="4" s="1"/>
  <c r="I58" i="4"/>
  <c r="J58" i="4" s="1"/>
  <c r="G58" i="4"/>
  <c r="H58" i="4" s="1"/>
  <c r="E58" i="4"/>
  <c r="C58" i="4"/>
  <c r="D58" i="4" s="1"/>
  <c r="M57" i="4"/>
  <c r="N57" i="4" s="1"/>
  <c r="K57" i="4"/>
  <c r="L57" i="4" s="1"/>
  <c r="I57" i="4"/>
  <c r="J57" i="4" s="1"/>
  <c r="G57" i="4"/>
  <c r="H57" i="4" s="1"/>
  <c r="E57" i="4"/>
  <c r="F57" i="4" s="1"/>
  <c r="C57" i="4"/>
  <c r="M56" i="4"/>
  <c r="N56" i="4" s="1"/>
  <c r="K56" i="4"/>
  <c r="L56" i="4" s="1"/>
  <c r="I56" i="4"/>
  <c r="J56" i="4" s="1"/>
  <c r="G56" i="4"/>
  <c r="E56" i="4"/>
  <c r="F56" i="4" s="1"/>
  <c r="C56" i="4"/>
  <c r="D56" i="4" s="1"/>
  <c r="M55" i="4"/>
  <c r="N55" i="4" s="1"/>
  <c r="K55" i="4"/>
  <c r="L55" i="4" s="1"/>
  <c r="I55" i="4"/>
  <c r="J55" i="4" s="1"/>
  <c r="G55" i="4"/>
  <c r="H55" i="4" s="1"/>
  <c r="E55" i="4"/>
  <c r="F55" i="4" s="1"/>
  <c r="C55" i="4"/>
  <c r="M54" i="4"/>
  <c r="N54" i="4" s="1"/>
  <c r="K54" i="4"/>
  <c r="L54" i="4" s="1"/>
  <c r="I54" i="4"/>
  <c r="J54" i="4" s="1"/>
  <c r="G54" i="4"/>
  <c r="H54" i="4" s="1"/>
  <c r="E54" i="4"/>
  <c r="F54" i="4" s="1"/>
  <c r="C54" i="4"/>
  <c r="M53" i="4"/>
  <c r="N53" i="4" s="1"/>
  <c r="K53" i="4"/>
  <c r="L53" i="4" s="1"/>
  <c r="I53" i="4"/>
  <c r="J53" i="4" s="1"/>
  <c r="G53" i="4"/>
  <c r="H53" i="4" s="1"/>
  <c r="E53" i="4"/>
  <c r="F53" i="4" s="1"/>
  <c r="C53" i="4"/>
  <c r="D53" i="4" s="1"/>
  <c r="M52" i="4"/>
  <c r="N52" i="4" s="1"/>
  <c r="K52" i="4"/>
  <c r="L52" i="4" s="1"/>
  <c r="I52" i="4"/>
  <c r="J52" i="4" s="1"/>
  <c r="G52" i="4"/>
  <c r="H52" i="4" s="1"/>
  <c r="E52" i="4"/>
  <c r="F52" i="4" s="1"/>
  <c r="C52" i="4"/>
  <c r="M37" i="4"/>
  <c r="N37" i="4" s="1"/>
  <c r="K37" i="4"/>
  <c r="L37" i="4" s="1"/>
  <c r="I37" i="4"/>
  <c r="J37" i="4" s="1"/>
  <c r="G37" i="4"/>
  <c r="H37" i="4" s="1"/>
  <c r="E37" i="4"/>
  <c r="F37" i="4" s="1"/>
  <c r="C37" i="4"/>
  <c r="O37" i="4" s="1"/>
  <c r="R37" i="4" s="1"/>
  <c r="M36" i="4"/>
  <c r="N36" i="4" s="1"/>
  <c r="K36" i="4"/>
  <c r="L36" i="4" s="1"/>
  <c r="I36" i="4"/>
  <c r="J36" i="4" s="1"/>
  <c r="G36" i="4"/>
  <c r="H36" i="4" s="1"/>
  <c r="E36" i="4"/>
  <c r="C36" i="4"/>
  <c r="D36" i="4" s="1"/>
  <c r="M33" i="4"/>
  <c r="N33" i="4" s="1"/>
  <c r="K33" i="4"/>
  <c r="L33" i="4" s="1"/>
  <c r="I33" i="4"/>
  <c r="J33" i="4" s="1"/>
  <c r="G33" i="4"/>
  <c r="H33" i="4" s="1"/>
  <c r="E33" i="4"/>
  <c r="F33" i="4" s="1"/>
  <c r="C33" i="4"/>
  <c r="M32" i="4"/>
  <c r="N32" i="4" s="1"/>
  <c r="K32" i="4"/>
  <c r="L32" i="4" s="1"/>
  <c r="I32" i="4"/>
  <c r="J32" i="4" s="1"/>
  <c r="G32" i="4"/>
  <c r="E32" i="4"/>
  <c r="F32" i="4" s="1"/>
  <c r="C32" i="4"/>
  <c r="D32" i="4" s="1"/>
  <c r="M31" i="4"/>
  <c r="N31" i="4" s="1"/>
  <c r="K31" i="4"/>
  <c r="L31" i="4" s="1"/>
  <c r="I31" i="4"/>
  <c r="J31" i="4" s="1"/>
  <c r="G31" i="4"/>
  <c r="H31" i="4" s="1"/>
  <c r="E31" i="4"/>
  <c r="F31" i="4" s="1"/>
  <c r="C31" i="4"/>
  <c r="M30" i="4"/>
  <c r="N30" i="4" s="1"/>
  <c r="K30" i="4"/>
  <c r="L30" i="4" s="1"/>
  <c r="I30" i="4"/>
  <c r="J30" i="4" s="1"/>
  <c r="G30" i="4"/>
  <c r="H30" i="4" s="1"/>
  <c r="E30" i="4"/>
  <c r="F30" i="4" s="1"/>
  <c r="C30" i="4"/>
  <c r="D30" i="4" s="1"/>
  <c r="M29" i="4"/>
  <c r="N29" i="4" s="1"/>
  <c r="K29" i="4"/>
  <c r="L29" i="4" s="1"/>
  <c r="I29" i="4"/>
  <c r="J29" i="4" s="1"/>
  <c r="G29" i="4"/>
  <c r="H29" i="4" s="1"/>
  <c r="E29" i="4"/>
  <c r="F29" i="4" s="1"/>
  <c r="C29" i="4"/>
  <c r="M28" i="4"/>
  <c r="N28" i="4" s="1"/>
  <c r="K28" i="4"/>
  <c r="L28" i="4" s="1"/>
  <c r="I28" i="4"/>
  <c r="J28" i="4" s="1"/>
  <c r="G28" i="4"/>
  <c r="H28" i="4" s="1"/>
  <c r="E28" i="4"/>
  <c r="F28" i="4" s="1"/>
  <c r="C28" i="4"/>
  <c r="M27" i="4"/>
  <c r="N27" i="4" s="1"/>
  <c r="K27" i="4"/>
  <c r="L27" i="4" s="1"/>
  <c r="I27" i="4"/>
  <c r="J27" i="4" s="1"/>
  <c r="G27" i="4"/>
  <c r="H27" i="4" s="1"/>
  <c r="E27" i="4"/>
  <c r="F27" i="4" s="1"/>
  <c r="C27" i="4"/>
  <c r="O27" i="4" s="1"/>
  <c r="R27" i="4" s="1"/>
  <c r="M23" i="4"/>
  <c r="N23" i="4" s="1"/>
  <c r="K23" i="4"/>
  <c r="L23" i="4" s="1"/>
  <c r="I23" i="4"/>
  <c r="J23" i="4" s="1"/>
  <c r="G23" i="4"/>
  <c r="E23" i="4"/>
  <c r="F23" i="4" s="1"/>
  <c r="C23" i="4"/>
  <c r="M22" i="4"/>
  <c r="N22" i="4" s="1"/>
  <c r="K22" i="4"/>
  <c r="L22" i="4" s="1"/>
  <c r="I22" i="4"/>
  <c r="J22" i="4" s="1"/>
  <c r="G22" i="4"/>
  <c r="H22" i="4" s="1"/>
  <c r="E22" i="4"/>
  <c r="C22" i="4"/>
  <c r="D22" i="4" s="1"/>
  <c r="M21" i="4"/>
  <c r="N21" i="4" s="1"/>
  <c r="K21" i="4"/>
  <c r="L21" i="4" s="1"/>
  <c r="I21" i="4"/>
  <c r="J21" i="4" s="1"/>
  <c r="G21" i="4"/>
  <c r="E21" i="4"/>
  <c r="F21" i="4" s="1"/>
  <c r="C21" i="4"/>
  <c r="M20" i="4"/>
  <c r="N20" i="4" s="1"/>
  <c r="K20" i="4"/>
  <c r="L20" i="4" s="1"/>
  <c r="I20" i="4"/>
  <c r="J20" i="4" s="1"/>
  <c r="G20" i="4"/>
  <c r="H20" i="4" s="1"/>
  <c r="E20" i="4"/>
  <c r="C20" i="4"/>
  <c r="D20" i="4" s="1"/>
  <c r="N19" i="4"/>
  <c r="L19" i="4"/>
  <c r="J19" i="4"/>
  <c r="H19" i="4"/>
  <c r="F19" i="4"/>
  <c r="M18" i="4"/>
  <c r="N18" i="4" s="1"/>
  <c r="K18" i="4"/>
  <c r="L18" i="4" s="1"/>
  <c r="I18" i="4"/>
  <c r="J18" i="4" s="1"/>
  <c r="G18" i="4"/>
  <c r="H18" i="4" s="1"/>
  <c r="E18" i="4"/>
  <c r="F18" i="4" s="1"/>
  <c r="C18" i="4"/>
  <c r="D18" i="4" s="1"/>
  <c r="M17" i="4"/>
  <c r="N17" i="4" s="1"/>
  <c r="K17" i="4"/>
  <c r="L17" i="4" s="1"/>
  <c r="I17" i="4"/>
  <c r="J17" i="4" s="1"/>
  <c r="G17" i="4"/>
  <c r="H17" i="4" s="1"/>
  <c r="E17" i="4"/>
  <c r="F17" i="4" s="1"/>
  <c r="C17" i="4"/>
  <c r="M16" i="4"/>
  <c r="N16" i="4" s="1"/>
  <c r="K16" i="4"/>
  <c r="L16" i="4" s="1"/>
  <c r="I16" i="4"/>
  <c r="J16" i="4" s="1"/>
  <c r="G16" i="4"/>
  <c r="E16" i="4"/>
  <c r="F16" i="4" s="1"/>
  <c r="C16" i="4"/>
  <c r="D16" i="4" s="1"/>
  <c r="N15" i="4"/>
  <c r="L15" i="4"/>
  <c r="J15" i="4"/>
  <c r="H15" i="4"/>
  <c r="F15" i="4"/>
  <c r="M14" i="4"/>
  <c r="N14" i="4" s="1"/>
  <c r="K14" i="4"/>
  <c r="L14" i="4" s="1"/>
  <c r="I14" i="4"/>
  <c r="J14" i="4" s="1"/>
  <c r="G14" i="4"/>
  <c r="H14" i="4" s="1"/>
  <c r="E14" i="4"/>
  <c r="F14" i="4" s="1"/>
  <c r="C14" i="4"/>
  <c r="M222" i="3"/>
  <c r="N222" i="3" s="1"/>
  <c r="K222" i="3"/>
  <c r="L222" i="3" s="1"/>
  <c r="I222" i="3"/>
  <c r="J222" i="3" s="1"/>
  <c r="G222" i="3"/>
  <c r="H222" i="3" s="1"/>
  <c r="E222" i="3"/>
  <c r="F222" i="3" s="1"/>
  <c r="C222" i="3"/>
  <c r="M221" i="3"/>
  <c r="N221" i="3" s="1"/>
  <c r="K221" i="3"/>
  <c r="L221" i="3" s="1"/>
  <c r="I221" i="3"/>
  <c r="J221" i="3" s="1"/>
  <c r="G221" i="3"/>
  <c r="H221" i="3" s="1"/>
  <c r="E221" i="3"/>
  <c r="C221" i="3"/>
  <c r="D221" i="3" s="1"/>
  <c r="M220" i="3"/>
  <c r="N220" i="3" s="1"/>
  <c r="K220" i="3"/>
  <c r="L220" i="3" s="1"/>
  <c r="I220" i="3"/>
  <c r="J220" i="3" s="1"/>
  <c r="G220" i="3"/>
  <c r="H220" i="3" s="1"/>
  <c r="E220" i="3"/>
  <c r="F220" i="3" s="1"/>
  <c r="C220" i="3"/>
  <c r="M219" i="3"/>
  <c r="N219" i="3" s="1"/>
  <c r="K219" i="3"/>
  <c r="L219" i="3" s="1"/>
  <c r="I219" i="3"/>
  <c r="J219" i="3" s="1"/>
  <c r="G219" i="3"/>
  <c r="H219" i="3" s="1"/>
  <c r="E219" i="3"/>
  <c r="F219" i="3" s="1"/>
  <c r="C219" i="3"/>
  <c r="D219" i="3" s="1"/>
  <c r="M218" i="3"/>
  <c r="N218" i="3" s="1"/>
  <c r="K218" i="3"/>
  <c r="L218" i="3" s="1"/>
  <c r="I218" i="3"/>
  <c r="J218" i="3" s="1"/>
  <c r="G218" i="3"/>
  <c r="H218" i="3" s="1"/>
  <c r="E218" i="3"/>
  <c r="C218" i="3"/>
  <c r="D218" i="3" s="1"/>
  <c r="M217" i="3"/>
  <c r="N217" i="3" s="1"/>
  <c r="K217" i="3"/>
  <c r="L217" i="3" s="1"/>
  <c r="I217" i="3"/>
  <c r="J217" i="3" s="1"/>
  <c r="G217" i="3"/>
  <c r="H217" i="3" s="1"/>
  <c r="E217" i="3"/>
  <c r="F217" i="3" s="1"/>
  <c r="C217" i="3"/>
  <c r="M216" i="3"/>
  <c r="N216" i="3" s="1"/>
  <c r="K216" i="3"/>
  <c r="L216" i="3" s="1"/>
  <c r="I216" i="3"/>
  <c r="J216" i="3" s="1"/>
  <c r="G216" i="3"/>
  <c r="H216" i="3" s="1"/>
  <c r="E216" i="3"/>
  <c r="F216" i="3" s="1"/>
  <c r="C216" i="3"/>
  <c r="D216" i="3" s="1"/>
  <c r="M215" i="3"/>
  <c r="N215" i="3" s="1"/>
  <c r="K215" i="3"/>
  <c r="L215" i="3" s="1"/>
  <c r="I215" i="3"/>
  <c r="J215" i="3" s="1"/>
  <c r="G215" i="3"/>
  <c r="H215" i="3" s="1"/>
  <c r="E215" i="3"/>
  <c r="F215" i="3" s="1"/>
  <c r="C215" i="3"/>
  <c r="M214" i="3"/>
  <c r="N214" i="3" s="1"/>
  <c r="K214" i="3"/>
  <c r="L214" i="3" s="1"/>
  <c r="I214" i="3"/>
  <c r="J214" i="3" s="1"/>
  <c r="G214" i="3"/>
  <c r="H214" i="3" s="1"/>
  <c r="E214" i="3"/>
  <c r="F214" i="3" s="1"/>
  <c r="C214" i="3"/>
  <c r="M213" i="3"/>
  <c r="N213" i="3" s="1"/>
  <c r="K213" i="3"/>
  <c r="L213" i="3" s="1"/>
  <c r="I213" i="3"/>
  <c r="J213" i="3" s="1"/>
  <c r="G213" i="3"/>
  <c r="H213" i="3" s="1"/>
  <c r="E213" i="3"/>
  <c r="C213" i="3"/>
  <c r="M212" i="3"/>
  <c r="N212" i="3" s="1"/>
  <c r="K212" i="3"/>
  <c r="L212" i="3" s="1"/>
  <c r="I212" i="3"/>
  <c r="J212" i="3" s="1"/>
  <c r="G212" i="3"/>
  <c r="H212" i="3" s="1"/>
  <c r="E212" i="3"/>
  <c r="F212" i="3" s="1"/>
  <c r="C212" i="3"/>
  <c r="M211" i="3"/>
  <c r="N211" i="3" s="1"/>
  <c r="K211" i="3"/>
  <c r="L211" i="3" s="1"/>
  <c r="I211" i="3"/>
  <c r="J211" i="3" s="1"/>
  <c r="G211" i="3"/>
  <c r="E211" i="3"/>
  <c r="F211" i="3" s="1"/>
  <c r="C211" i="3"/>
  <c r="D211" i="3" s="1"/>
  <c r="M210" i="3"/>
  <c r="N210" i="3" s="1"/>
  <c r="K210" i="3"/>
  <c r="L210" i="3" s="1"/>
  <c r="I210" i="3"/>
  <c r="J210" i="3" s="1"/>
  <c r="G210" i="3"/>
  <c r="H210" i="3" s="1"/>
  <c r="E210" i="3"/>
  <c r="F210" i="3" s="1"/>
  <c r="C210" i="3"/>
  <c r="D210" i="3" s="1"/>
  <c r="M207" i="3"/>
  <c r="N207" i="3" s="1"/>
  <c r="K207" i="3"/>
  <c r="L207" i="3" s="1"/>
  <c r="I207" i="3"/>
  <c r="J207" i="3" s="1"/>
  <c r="G207" i="3"/>
  <c r="H207" i="3" s="1"/>
  <c r="E207" i="3"/>
  <c r="F207" i="3" s="1"/>
  <c r="C207" i="3"/>
  <c r="M206" i="3"/>
  <c r="N206" i="3" s="1"/>
  <c r="K206" i="3"/>
  <c r="L206" i="3" s="1"/>
  <c r="I206" i="3"/>
  <c r="J206" i="3" s="1"/>
  <c r="G206" i="3"/>
  <c r="H206" i="3" s="1"/>
  <c r="E206" i="3"/>
  <c r="F206" i="3" s="1"/>
  <c r="C206" i="3"/>
  <c r="D206" i="3" s="1"/>
  <c r="M205" i="3"/>
  <c r="N205" i="3" s="1"/>
  <c r="K205" i="3"/>
  <c r="L205" i="3" s="1"/>
  <c r="I205" i="3"/>
  <c r="J205" i="3" s="1"/>
  <c r="G205" i="3"/>
  <c r="H205" i="3" s="1"/>
  <c r="E205" i="3"/>
  <c r="C205" i="3"/>
  <c r="D205" i="3" s="1"/>
  <c r="M204" i="3"/>
  <c r="N204" i="3" s="1"/>
  <c r="K204" i="3"/>
  <c r="L204" i="3" s="1"/>
  <c r="I204" i="3"/>
  <c r="J204" i="3" s="1"/>
  <c r="G204" i="3"/>
  <c r="H204" i="3" s="1"/>
  <c r="E204" i="3"/>
  <c r="F204" i="3" s="1"/>
  <c r="C204" i="3"/>
  <c r="M203" i="3"/>
  <c r="N203" i="3" s="1"/>
  <c r="K203" i="3"/>
  <c r="L203" i="3" s="1"/>
  <c r="I203" i="3"/>
  <c r="J203" i="3" s="1"/>
  <c r="G203" i="3"/>
  <c r="E203" i="3"/>
  <c r="F203" i="3" s="1"/>
  <c r="C203" i="3"/>
  <c r="M202" i="3"/>
  <c r="N202" i="3" s="1"/>
  <c r="K202" i="3"/>
  <c r="L202" i="3" s="1"/>
  <c r="I202" i="3"/>
  <c r="J202" i="3" s="1"/>
  <c r="G202" i="3"/>
  <c r="H202" i="3" s="1"/>
  <c r="E202" i="3"/>
  <c r="F202" i="3" s="1"/>
  <c r="C202" i="3"/>
  <c r="D202" i="3" s="1"/>
  <c r="M201" i="3"/>
  <c r="N201" i="3" s="1"/>
  <c r="K201" i="3"/>
  <c r="L201" i="3" s="1"/>
  <c r="I201" i="3"/>
  <c r="J201" i="3" s="1"/>
  <c r="G201" i="3"/>
  <c r="H201" i="3" s="1"/>
  <c r="E201" i="3"/>
  <c r="F201" i="3" s="1"/>
  <c r="C201" i="3"/>
  <c r="M200" i="3"/>
  <c r="N200" i="3" s="1"/>
  <c r="K200" i="3"/>
  <c r="L200" i="3" s="1"/>
  <c r="I200" i="3"/>
  <c r="J200" i="3" s="1"/>
  <c r="G200" i="3"/>
  <c r="H200" i="3" s="1"/>
  <c r="E200" i="3"/>
  <c r="F200" i="3" s="1"/>
  <c r="C200" i="3"/>
  <c r="D200" i="3" s="1"/>
  <c r="M199" i="3"/>
  <c r="N199" i="3" s="1"/>
  <c r="K199" i="3"/>
  <c r="L199" i="3" s="1"/>
  <c r="I199" i="3"/>
  <c r="J199" i="3" s="1"/>
  <c r="G199" i="3"/>
  <c r="H199" i="3" s="1"/>
  <c r="E199" i="3"/>
  <c r="F199" i="3" s="1"/>
  <c r="C199" i="3"/>
  <c r="M198" i="3"/>
  <c r="N198" i="3" s="1"/>
  <c r="K198" i="3"/>
  <c r="L198" i="3" s="1"/>
  <c r="I198" i="3"/>
  <c r="J198" i="3" s="1"/>
  <c r="G198" i="3"/>
  <c r="E198" i="3"/>
  <c r="F198" i="3" s="1"/>
  <c r="C198" i="3"/>
  <c r="D198" i="3" s="1"/>
  <c r="M191" i="3"/>
  <c r="N191" i="3" s="1"/>
  <c r="K191" i="3"/>
  <c r="L191" i="3" s="1"/>
  <c r="I191" i="3"/>
  <c r="J191" i="3" s="1"/>
  <c r="G191" i="3"/>
  <c r="H191" i="3" s="1"/>
  <c r="E191" i="3"/>
  <c r="F191" i="3" s="1"/>
  <c r="C191" i="3"/>
  <c r="M190" i="3"/>
  <c r="N190" i="3" s="1"/>
  <c r="K190" i="3"/>
  <c r="L190" i="3" s="1"/>
  <c r="I190" i="3"/>
  <c r="J190" i="3" s="1"/>
  <c r="G190" i="3"/>
  <c r="H190" i="3" s="1"/>
  <c r="E190" i="3"/>
  <c r="F190" i="3" s="1"/>
  <c r="C190" i="3"/>
  <c r="D190" i="3" s="1"/>
  <c r="M189" i="3"/>
  <c r="N189" i="3" s="1"/>
  <c r="K189" i="3"/>
  <c r="L189" i="3" s="1"/>
  <c r="I189" i="3"/>
  <c r="J189" i="3" s="1"/>
  <c r="G189" i="3"/>
  <c r="H189" i="3" s="1"/>
  <c r="E189" i="3"/>
  <c r="F189" i="3" s="1"/>
  <c r="C189" i="3"/>
  <c r="M188" i="3"/>
  <c r="N188" i="3" s="1"/>
  <c r="K188" i="3"/>
  <c r="L188" i="3" s="1"/>
  <c r="I188" i="3"/>
  <c r="J188" i="3" s="1"/>
  <c r="G188" i="3"/>
  <c r="H188" i="3" s="1"/>
  <c r="E188" i="3"/>
  <c r="F188" i="3" s="1"/>
  <c r="C188" i="3"/>
  <c r="M187" i="3"/>
  <c r="N187" i="3" s="1"/>
  <c r="K187" i="3"/>
  <c r="L187" i="3" s="1"/>
  <c r="I187" i="3"/>
  <c r="J187" i="3" s="1"/>
  <c r="G187" i="3"/>
  <c r="H187" i="3" s="1"/>
  <c r="E187" i="3"/>
  <c r="F187" i="3" s="1"/>
  <c r="C187" i="3"/>
  <c r="D187" i="3" s="1"/>
  <c r="M186" i="3"/>
  <c r="N186" i="3" s="1"/>
  <c r="K186" i="3"/>
  <c r="L186" i="3" s="1"/>
  <c r="I186" i="3"/>
  <c r="J186" i="3" s="1"/>
  <c r="G186" i="3"/>
  <c r="H186" i="3" s="1"/>
  <c r="E186" i="3"/>
  <c r="F186" i="3" s="1"/>
  <c r="C186" i="3"/>
  <c r="M185" i="3"/>
  <c r="N185" i="3" s="1"/>
  <c r="K185" i="3"/>
  <c r="L185" i="3" s="1"/>
  <c r="I185" i="3"/>
  <c r="J185" i="3" s="1"/>
  <c r="G185" i="3"/>
  <c r="E185" i="3"/>
  <c r="F185" i="3" s="1"/>
  <c r="C185" i="3"/>
  <c r="D185" i="3" s="1"/>
  <c r="M184" i="3"/>
  <c r="N184" i="3" s="1"/>
  <c r="K184" i="3"/>
  <c r="L184" i="3" s="1"/>
  <c r="I184" i="3"/>
  <c r="J184" i="3" s="1"/>
  <c r="G184" i="3"/>
  <c r="H184" i="3" s="1"/>
  <c r="E184" i="3"/>
  <c r="F184" i="3" s="1"/>
  <c r="C184" i="3"/>
  <c r="M183" i="3"/>
  <c r="N183" i="3" s="1"/>
  <c r="K183" i="3"/>
  <c r="L183" i="3" s="1"/>
  <c r="I183" i="3"/>
  <c r="J183" i="3" s="1"/>
  <c r="G183" i="3"/>
  <c r="H183" i="3" s="1"/>
  <c r="E183" i="3"/>
  <c r="F183" i="3" s="1"/>
  <c r="C183" i="3"/>
  <c r="M182" i="3"/>
  <c r="N182" i="3" s="1"/>
  <c r="K182" i="3"/>
  <c r="L182" i="3" s="1"/>
  <c r="I182" i="3"/>
  <c r="J182" i="3" s="1"/>
  <c r="G182" i="3"/>
  <c r="H182" i="3" s="1"/>
  <c r="E182" i="3"/>
  <c r="F182" i="3" s="1"/>
  <c r="C182" i="3"/>
  <c r="M181" i="3"/>
  <c r="N181" i="3" s="1"/>
  <c r="K181" i="3"/>
  <c r="L181" i="3" s="1"/>
  <c r="I181" i="3"/>
  <c r="J181" i="3" s="1"/>
  <c r="G181" i="3"/>
  <c r="H181" i="3" s="1"/>
  <c r="E181" i="3"/>
  <c r="F181" i="3" s="1"/>
  <c r="C181" i="3"/>
  <c r="M180" i="3"/>
  <c r="N180" i="3" s="1"/>
  <c r="K180" i="3"/>
  <c r="L180" i="3" s="1"/>
  <c r="I180" i="3"/>
  <c r="J180" i="3" s="1"/>
  <c r="G180" i="3"/>
  <c r="E180" i="3"/>
  <c r="F180" i="3" s="1"/>
  <c r="C180" i="3"/>
  <c r="M179" i="3"/>
  <c r="N179" i="3" s="1"/>
  <c r="K179" i="3"/>
  <c r="L179" i="3" s="1"/>
  <c r="I179" i="3"/>
  <c r="J179" i="3" s="1"/>
  <c r="G179" i="3"/>
  <c r="H179" i="3" s="1"/>
  <c r="E179" i="3"/>
  <c r="F179" i="3" s="1"/>
  <c r="C179" i="3"/>
  <c r="D179" i="3" s="1"/>
  <c r="M178" i="3"/>
  <c r="N178" i="3" s="1"/>
  <c r="K178" i="3"/>
  <c r="L178" i="3" s="1"/>
  <c r="I178" i="3"/>
  <c r="J178" i="3" s="1"/>
  <c r="G178" i="3"/>
  <c r="H178" i="3" s="1"/>
  <c r="E178" i="3"/>
  <c r="F178" i="3" s="1"/>
  <c r="C178" i="3"/>
  <c r="M177" i="3"/>
  <c r="N177" i="3" s="1"/>
  <c r="K177" i="3"/>
  <c r="L177" i="3" s="1"/>
  <c r="I177" i="3"/>
  <c r="J177" i="3" s="1"/>
  <c r="G177" i="3"/>
  <c r="H177" i="3" s="1"/>
  <c r="E177" i="3"/>
  <c r="F177" i="3" s="1"/>
  <c r="C177" i="3"/>
  <c r="D177" i="3" s="1"/>
  <c r="M176" i="3"/>
  <c r="N176" i="3" s="1"/>
  <c r="K176" i="3"/>
  <c r="L176" i="3" s="1"/>
  <c r="I176" i="3"/>
  <c r="J176" i="3" s="1"/>
  <c r="G176" i="3"/>
  <c r="H176" i="3" s="1"/>
  <c r="E176" i="3"/>
  <c r="F176" i="3" s="1"/>
  <c r="C176" i="3"/>
  <c r="M175" i="3"/>
  <c r="N175" i="3" s="1"/>
  <c r="K175" i="3"/>
  <c r="L175" i="3" s="1"/>
  <c r="I175" i="3"/>
  <c r="J175" i="3" s="1"/>
  <c r="G175" i="3"/>
  <c r="H175" i="3" s="1"/>
  <c r="E175" i="3"/>
  <c r="F175" i="3" s="1"/>
  <c r="C175" i="3"/>
  <c r="M174" i="3"/>
  <c r="N174" i="3" s="1"/>
  <c r="K174" i="3"/>
  <c r="L174" i="3" s="1"/>
  <c r="I174" i="3"/>
  <c r="J174" i="3" s="1"/>
  <c r="G174" i="3"/>
  <c r="E174" i="3"/>
  <c r="F174" i="3" s="1"/>
  <c r="C174" i="3"/>
  <c r="M173" i="3"/>
  <c r="N173" i="3" s="1"/>
  <c r="K173" i="3"/>
  <c r="L173" i="3" s="1"/>
  <c r="I173" i="3"/>
  <c r="J173" i="3" s="1"/>
  <c r="G173" i="3"/>
  <c r="H173" i="3" s="1"/>
  <c r="E173" i="3"/>
  <c r="F173" i="3" s="1"/>
  <c r="C173" i="3"/>
  <c r="M172" i="3"/>
  <c r="N172" i="3" s="1"/>
  <c r="K172" i="3"/>
  <c r="L172" i="3" s="1"/>
  <c r="I172" i="3"/>
  <c r="J172" i="3" s="1"/>
  <c r="G172" i="3"/>
  <c r="H172" i="3" s="1"/>
  <c r="E172" i="3"/>
  <c r="F172" i="3" s="1"/>
  <c r="C172" i="3"/>
  <c r="M171" i="3"/>
  <c r="N171" i="3" s="1"/>
  <c r="K171" i="3"/>
  <c r="L171" i="3" s="1"/>
  <c r="I171" i="3"/>
  <c r="J171" i="3" s="1"/>
  <c r="G171" i="3"/>
  <c r="H171" i="3" s="1"/>
  <c r="E171" i="3"/>
  <c r="F171" i="3" s="1"/>
  <c r="C171" i="3"/>
  <c r="D171" i="3" s="1"/>
  <c r="M170" i="3"/>
  <c r="N170" i="3" s="1"/>
  <c r="K170" i="3"/>
  <c r="L170" i="3" s="1"/>
  <c r="I170" i="3"/>
  <c r="J170" i="3" s="1"/>
  <c r="G170" i="3"/>
  <c r="H170" i="3" s="1"/>
  <c r="E170" i="3"/>
  <c r="F170" i="3" s="1"/>
  <c r="C170" i="3"/>
  <c r="M169" i="3"/>
  <c r="N169" i="3" s="1"/>
  <c r="K169" i="3"/>
  <c r="L169" i="3" s="1"/>
  <c r="I169" i="3"/>
  <c r="J169" i="3" s="1"/>
  <c r="G169" i="3"/>
  <c r="H169" i="3" s="1"/>
  <c r="E169" i="3"/>
  <c r="F169" i="3" s="1"/>
  <c r="C169" i="3"/>
  <c r="D169" i="3" s="1"/>
  <c r="M168" i="3"/>
  <c r="N168" i="3" s="1"/>
  <c r="K168" i="3"/>
  <c r="L168" i="3" s="1"/>
  <c r="I168" i="3"/>
  <c r="J168" i="3" s="1"/>
  <c r="G168" i="3"/>
  <c r="H168" i="3" s="1"/>
  <c r="E168" i="3"/>
  <c r="F168" i="3" s="1"/>
  <c r="C168" i="3"/>
  <c r="D168" i="3" s="1"/>
  <c r="M167" i="3"/>
  <c r="N167" i="3" s="1"/>
  <c r="K167" i="3"/>
  <c r="L167" i="3" s="1"/>
  <c r="I167" i="3"/>
  <c r="J167" i="3" s="1"/>
  <c r="G167" i="3"/>
  <c r="H167" i="3" s="1"/>
  <c r="E167" i="3"/>
  <c r="F167" i="3" s="1"/>
  <c r="C167" i="3"/>
  <c r="M162" i="3"/>
  <c r="N162" i="3" s="1"/>
  <c r="K162" i="3"/>
  <c r="L162" i="3" s="1"/>
  <c r="I162" i="3"/>
  <c r="J162" i="3" s="1"/>
  <c r="G162" i="3"/>
  <c r="H162" i="3" s="1"/>
  <c r="E162" i="3"/>
  <c r="F162" i="3" s="1"/>
  <c r="C162" i="3"/>
  <c r="M161" i="3"/>
  <c r="N161" i="3" s="1"/>
  <c r="K161" i="3"/>
  <c r="L161" i="3" s="1"/>
  <c r="I161" i="3"/>
  <c r="J161" i="3" s="1"/>
  <c r="G161" i="3"/>
  <c r="H161" i="3" s="1"/>
  <c r="E161" i="3"/>
  <c r="F161" i="3" s="1"/>
  <c r="C161" i="3"/>
  <c r="M160" i="3"/>
  <c r="N160" i="3" s="1"/>
  <c r="K160" i="3"/>
  <c r="L160" i="3" s="1"/>
  <c r="I160" i="3"/>
  <c r="J160" i="3" s="1"/>
  <c r="G160" i="3"/>
  <c r="E160" i="3"/>
  <c r="F160" i="3" s="1"/>
  <c r="C160" i="3"/>
  <c r="M159" i="3"/>
  <c r="N159" i="3" s="1"/>
  <c r="K159" i="3"/>
  <c r="L159" i="3" s="1"/>
  <c r="I159" i="3"/>
  <c r="J159" i="3" s="1"/>
  <c r="G159" i="3"/>
  <c r="H159" i="3" s="1"/>
  <c r="E159" i="3"/>
  <c r="F159" i="3" s="1"/>
  <c r="C159" i="3"/>
  <c r="D159" i="3" s="1"/>
  <c r="M158" i="3"/>
  <c r="N158" i="3" s="1"/>
  <c r="K158" i="3"/>
  <c r="L158" i="3" s="1"/>
  <c r="I158" i="3"/>
  <c r="J158" i="3" s="1"/>
  <c r="G158" i="3"/>
  <c r="H158" i="3" s="1"/>
  <c r="E158" i="3"/>
  <c r="F158" i="3" s="1"/>
  <c r="C158" i="3"/>
  <c r="M157" i="3"/>
  <c r="N157" i="3" s="1"/>
  <c r="K157" i="3"/>
  <c r="L157" i="3" s="1"/>
  <c r="I157" i="3"/>
  <c r="J157" i="3" s="1"/>
  <c r="G157" i="3"/>
  <c r="E157" i="3"/>
  <c r="F157" i="3" s="1"/>
  <c r="C157" i="3"/>
  <c r="D157" i="3" s="1"/>
  <c r="M156" i="3"/>
  <c r="N156" i="3" s="1"/>
  <c r="K156" i="3"/>
  <c r="L156" i="3" s="1"/>
  <c r="I156" i="3"/>
  <c r="J156" i="3" s="1"/>
  <c r="G156" i="3"/>
  <c r="H156" i="3" s="1"/>
  <c r="E156" i="3"/>
  <c r="F156" i="3" s="1"/>
  <c r="C156" i="3"/>
  <c r="M155" i="3"/>
  <c r="N155" i="3" s="1"/>
  <c r="K155" i="3"/>
  <c r="L155" i="3" s="1"/>
  <c r="I155" i="3"/>
  <c r="J155" i="3" s="1"/>
  <c r="G155" i="3"/>
  <c r="H155" i="3" s="1"/>
  <c r="E155" i="3"/>
  <c r="F155" i="3" s="1"/>
  <c r="C155" i="3"/>
  <c r="M154" i="3"/>
  <c r="N154" i="3" s="1"/>
  <c r="K154" i="3"/>
  <c r="L154" i="3" s="1"/>
  <c r="I154" i="3"/>
  <c r="J154" i="3" s="1"/>
  <c r="G154" i="3"/>
  <c r="H154" i="3" s="1"/>
  <c r="E154" i="3"/>
  <c r="F154" i="3" s="1"/>
  <c r="C154" i="3"/>
  <c r="M153" i="3"/>
  <c r="N153" i="3" s="1"/>
  <c r="K153" i="3"/>
  <c r="L153" i="3" s="1"/>
  <c r="I153" i="3"/>
  <c r="J153" i="3" s="1"/>
  <c r="G153" i="3"/>
  <c r="H153" i="3" s="1"/>
  <c r="E153" i="3"/>
  <c r="F153" i="3" s="1"/>
  <c r="C153" i="3"/>
  <c r="M152" i="3"/>
  <c r="N152" i="3" s="1"/>
  <c r="K152" i="3"/>
  <c r="L152" i="3" s="1"/>
  <c r="I152" i="3"/>
  <c r="J152" i="3" s="1"/>
  <c r="G152" i="3"/>
  <c r="E152" i="3"/>
  <c r="F152" i="3" s="1"/>
  <c r="C152" i="3"/>
  <c r="D152" i="3" s="1"/>
  <c r="M151" i="3"/>
  <c r="N151" i="3" s="1"/>
  <c r="K151" i="3"/>
  <c r="L151" i="3" s="1"/>
  <c r="I151" i="3"/>
  <c r="J151" i="3" s="1"/>
  <c r="G151" i="3"/>
  <c r="H151" i="3" s="1"/>
  <c r="E151" i="3"/>
  <c r="C151" i="3"/>
  <c r="D151" i="3" s="1"/>
  <c r="M150" i="3"/>
  <c r="N150" i="3" s="1"/>
  <c r="K150" i="3"/>
  <c r="L150" i="3" s="1"/>
  <c r="I150" i="3"/>
  <c r="J150" i="3" s="1"/>
  <c r="G150" i="3"/>
  <c r="H150" i="3" s="1"/>
  <c r="E150" i="3"/>
  <c r="F150" i="3" s="1"/>
  <c r="C150" i="3"/>
  <c r="M149" i="3"/>
  <c r="N149" i="3" s="1"/>
  <c r="K149" i="3"/>
  <c r="L149" i="3" s="1"/>
  <c r="I149" i="3"/>
  <c r="J149" i="3" s="1"/>
  <c r="G149" i="3"/>
  <c r="H149" i="3" s="1"/>
  <c r="E149" i="3"/>
  <c r="F149" i="3" s="1"/>
  <c r="C149" i="3"/>
  <c r="D149" i="3" s="1"/>
  <c r="M133" i="3"/>
  <c r="N133" i="3" s="1"/>
  <c r="K133" i="3"/>
  <c r="L133" i="3" s="1"/>
  <c r="I133" i="3"/>
  <c r="J133" i="3" s="1"/>
  <c r="G133" i="3"/>
  <c r="H133" i="3" s="1"/>
  <c r="E133" i="3"/>
  <c r="F133" i="3" s="1"/>
  <c r="C133" i="3"/>
  <c r="M132" i="3"/>
  <c r="N132" i="3" s="1"/>
  <c r="K132" i="3"/>
  <c r="L132" i="3" s="1"/>
  <c r="I132" i="3"/>
  <c r="J132" i="3" s="1"/>
  <c r="G132" i="3"/>
  <c r="H132" i="3" s="1"/>
  <c r="E132" i="3"/>
  <c r="F132" i="3" s="1"/>
  <c r="C132" i="3"/>
  <c r="M131" i="3"/>
  <c r="N131" i="3" s="1"/>
  <c r="K131" i="3"/>
  <c r="L131" i="3" s="1"/>
  <c r="I131" i="3"/>
  <c r="J131" i="3" s="1"/>
  <c r="G131" i="3"/>
  <c r="H131" i="3" s="1"/>
  <c r="E131" i="3"/>
  <c r="F131" i="3" s="1"/>
  <c r="C131" i="3"/>
  <c r="M130" i="3"/>
  <c r="N130" i="3" s="1"/>
  <c r="K130" i="3"/>
  <c r="L130" i="3" s="1"/>
  <c r="I130" i="3"/>
  <c r="J130" i="3" s="1"/>
  <c r="G130" i="3"/>
  <c r="E130" i="3"/>
  <c r="F130" i="3" s="1"/>
  <c r="C130" i="3"/>
  <c r="D130" i="3" s="1"/>
  <c r="M129" i="3"/>
  <c r="N129" i="3" s="1"/>
  <c r="K129" i="3"/>
  <c r="L129" i="3" s="1"/>
  <c r="I129" i="3"/>
  <c r="J129" i="3" s="1"/>
  <c r="G129" i="3"/>
  <c r="H129" i="3" s="1"/>
  <c r="E129" i="3"/>
  <c r="F129" i="3" s="1"/>
  <c r="C129" i="3"/>
  <c r="N126" i="3"/>
  <c r="N125" i="3"/>
  <c r="N124" i="3"/>
  <c r="N123" i="3"/>
  <c r="N122" i="3"/>
  <c r="N121" i="3"/>
  <c r="N120" i="3"/>
  <c r="N119" i="3"/>
  <c r="N118" i="3"/>
  <c r="N117" i="3"/>
  <c r="N116" i="3"/>
  <c r="N115" i="3"/>
  <c r="N114" i="3"/>
  <c r="N113" i="3"/>
  <c r="N112" i="3"/>
  <c r="N111" i="3"/>
  <c r="N110" i="3"/>
  <c r="N109" i="3"/>
  <c r="N108" i="3"/>
  <c r="N107" i="3"/>
  <c r="N106" i="3"/>
  <c r="L106" i="3"/>
  <c r="M105" i="3"/>
  <c r="N105" i="3" s="1"/>
  <c r="K105" i="3"/>
  <c r="L105" i="3" s="1"/>
  <c r="I105" i="3"/>
  <c r="J105" i="3" s="1"/>
  <c r="G105" i="3"/>
  <c r="H105" i="3" s="1"/>
  <c r="E105" i="3"/>
  <c r="F105" i="3" s="1"/>
  <c r="C105" i="3"/>
  <c r="M104" i="3"/>
  <c r="N104" i="3" s="1"/>
  <c r="K104" i="3"/>
  <c r="L104" i="3" s="1"/>
  <c r="I104" i="3"/>
  <c r="J104" i="3" s="1"/>
  <c r="G104" i="3"/>
  <c r="H104" i="3" s="1"/>
  <c r="E104" i="3"/>
  <c r="F104" i="3" s="1"/>
  <c r="C104" i="3"/>
  <c r="D104" i="3" s="1"/>
  <c r="M72" i="3"/>
  <c r="N72" i="3" s="1"/>
  <c r="K72" i="3"/>
  <c r="L72" i="3" s="1"/>
  <c r="I72" i="3"/>
  <c r="J72" i="3" s="1"/>
  <c r="G72" i="3"/>
  <c r="H72" i="3" s="1"/>
  <c r="E72" i="3"/>
  <c r="F72" i="3" s="1"/>
  <c r="C72" i="3"/>
  <c r="M71" i="3"/>
  <c r="N71" i="3" s="1"/>
  <c r="K71" i="3"/>
  <c r="L71" i="3" s="1"/>
  <c r="I71" i="3"/>
  <c r="J71" i="3" s="1"/>
  <c r="G71" i="3"/>
  <c r="H71" i="3" s="1"/>
  <c r="E71" i="3"/>
  <c r="C71" i="3"/>
  <c r="M70" i="3"/>
  <c r="N70" i="3" s="1"/>
  <c r="K70" i="3"/>
  <c r="L70" i="3" s="1"/>
  <c r="I70" i="3"/>
  <c r="J70" i="3" s="1"/>
  <c r="G70" i="3"/>
  <c r="H70" i="3" s="1"/>
  <c r="E70" i="3"/>
  <c r="F70" i="3" s="1"/>
  <c r="C70" i="3"/>
  <c r="M69" i="3"/>
  <c r="N69" i="3" s="1"/>
  <c r="K69" i="3"/>
  <c r="L69" i="3" s="1"/>
  <c r="I69" i="3"/>
  <c r="J69" i="3" s="1"/>
  <c r="G69" i="3"/>
  <c r="E69" i="3"/>
  <c r="F69" i="3" s="1"/>
  <c r="C69" i="3"/>
  <c r="M68" i="3"/>
  <c r="N68" i="3" s="1"/>
  <c r="K68" i="3"/>
  <c r="L68" i="3" s="1"/>
  <c r="I68" i="3"/>
  <c r="J68" i="3" s="1"/>
  <c r="G68" i="3"/>
  <c r="H68" i="3" s="1"/>
  <c r="E68" i="3"/>
  <c r="C68" i="3"/>
  <c r="D68" i="3" s="1"/>
  <c r="M67" i="3"/>
  <c r="N67" i="3" s="1"/>
  <c r="K67" i="3"/>
  <c r="L67" i="3" s="1"/>
  <c r="I67" i="3"/>
  <c r="J67" i="3" s="1"/>
  <c r="G67" i="3"/>
  <c r="H67" i="3" s="1"/>
  <c r="E67" i="3"/>
  <c r="F67" i="3" s="1"/>
  <c r="C67" i="3"/>
  <c r="M66" i="3"/>
  <c r="N66" i="3" s="1"/>
  <c r="K66" i="3"/>
  <c r="L66" i="3" s="1"/>
  <c r="I66" i="3"/>
  <c r="J66" i="3" s="1"/>
  <c r="G66" i="3"/>
  <c r="H66" i="3" s="1"/>
  <c r="E66" i="3"/>
  <c r="F66" i="3" s="1"/>
  <c r="C66" i="3"/>
  <c r="D66" i="3" s="1"/>
  <c r="M65" i="3"/>
  <c r="N65" i="3" s="1"/>
  <c r="K65" i="3"/>
  <c r="L65" i="3" s="1"/>
  <c r="I65" i="3"/>
  <c r="J65" i="3" s="1"/>
  <c r="G65" i="3"/>
  <c r="H65" i="3" s="1"/>
  <c r="E65" i="3"/>
  <c r="F65" i="3" s="1"/>
  <c r="C65" i="3"/>
  <c r="M64" i="3"/>
  <c r="N64" i="3" s="1"/>
  <c r="K64" i="3"/>
  <c r="L64" i="3" s="1"/>
  <c r="I64" i="3"/>
  <c r="J64" i="3" s="1"/>
  <c r="G64" i="3"/>
  <c r="H64" i="3" s="1"/>
  <c r="E64" i="3"/>
  <c r="F64" i="3" s="1"/>
  <c r="C64" i="3"/>
  <c r="M63" i="3"/>
  <c r="N63" i="3" s="1"/>
  <c r="K63" i="3"/>
  <c r="L63" i="3" s="1"/>
  <c r="I63" i="3"/>
  <c r="J63" i="3" s="1"/>
  <c r="G63" i="3"/>
  <c r="H63" i="3" s="1"/>
  <c r="E63" i="3"/>
  <c r="C63" i="3"/>
  <c r="M62" i="3"/>
  <c r="N62" i="3" s="1"/>
  <c r="K62" i="3"/>
  <c r="L62" i="3" s="1"/>
  <c r="I62" i="3"/>
  <c r="J62" i="3" s="1"/>
  <c r="G62" i="3"/>
  <c r="H62" i="3" s="1"/>
  <c r="E62" i="3"/>
  <c r="F62" i="3" s="1"/>
  <c r="C62" i="3"/>
  <c r="M61" i="3"/>
  <c r="N61" i="3" s="1"/>
  <c r="K61" i="3"/>
  <c r="L61" i="3" s="1"/>
  <c r="I61" i="3"/>
  <c r="J61" i="3" s="1"/>
  <c r="G61" i="3"/>
  <c r="H61" i="3" s="1"/>
  <c r="E61" i="3"/>
  <c r="F61" i="3" s="1"/>
  <c r="C61" i="3"/>
  <c r="M60" i="3"/>
  <c r="N60" i="3" s="1"/>
  <c r="K60" i="3"/>
  <c r="L60" i="3" s="1"/>
  <c r="I60" i="3"/>
  <c r="J60" i="3" s="1"/>
  <c r="G60" i="3"/>
  <c r="H60" i="3" s="1"/>
  <c r="E60" i="3"/>
  <c r="F60" i="3" s="1"/>
  <c r="C60" i="3"/>
  <c r="D60" i="3" s="1"/>
  <c r="M59" i="3"/>
  <c r="N59" i="3" s="1"/>
  <c r="K59" i="3"/>
  <c r="L59" i="3" s="1"/>
  <c r="I59" i="3"/>
  <c r="J59" i="3" s="1"/>
  <c r="G59" i="3"/>
  <c r="H59" i="3" s="1"/>
  <c r="E59" i="3"/>
  <c r="F59" i="3" s="1"/>
  <c r="C59" i="3"/>
  <c r="M58" i="3"/>
  <c r="N58" i="3" s="1"/>
  <c r="K58" i="3"/>
  <c r="L58" i="3" s="1"/>
  <c r="I58" i="3"/>
  <c r="J58" i="3" s="1"/>
  <c r="G58" i="3"/>
  <c r="H58" i="3" s="1"/>
  <c r="E58" i="3"/>
  <c r="F58" i="3" s="1"/>
  <c r="C58" i="3"/>
  <c r="D58" i="3" s="1"/>
  <c r="M57" i="3"/>
  <c r="N57" i="3" s="1"/>
  <c r="K57" i="3"/>
  <c r="L57" i="3" s="1"/>
  <c r="I57" i="3"/>
  <c r="J57" i="3" s="1"/>
  <c r="G57" i="3"/>
  <c r="H57" i="3" s="1"/>
  <c r="E57" i="3"/>
  <c r="F57" i="3" s="1"/>
  <c r="C57" i="3"/>
  <c r="M56" i="3"/>
  <c r="N56" i="3" s="1"/>
  <c r="K56" i="3"/>
  <c r="L56" i="3" s="1"/>
  <c r="I56" i="3"/>
  <c r="J56" i="3" s="1"/>
  <c r="G56" i="3"/>
  <c r="H56" i="3" s="1"/>
  <c r="E56" i="3"/>
  <c r="F56" i="3" s="1"/>
  <c r="C56" i="3"/>
  <c r="M55" i="3"/>
  <c r="N55" i="3" s="1"/>
  <c r="K55" i="3"/>
  <c r="L55" i="3" s="1"/>
  <c r="I55" i="3"/>
  <c r="J55" i="3" s="1"/>
  <c r="G55" i="3"/>
  <c r="H55" i="3" s="1"/>
  <c r="E55" i="3"/>
  <c r="F55" i="3" s="1"/>
  <c r="C55" i="3"/>
  <c r="M54" i="3"/>
  <c r="N54" i="3" s="1"/>
  <c r="K54" i="3"/>
  <c r="L54" i="3" s="1"/>
  <c r="I54" i="3"/>
  <c r="J54" i="3" s="1"/>
  <c r="G54" i="3"/>
  <c r="H54" i="3" s="1"/>
  <c r="E54" i="3"/>
  <c r="F54" i="3" s="1"/>
  <c r="C54" i="3"/>
  <c r="D54" i="3" s="1"/>
  <c r="M34" i="3"/>
  <c r="N34" i="3" s="1"/>
  <c r="K34" i="3"/>
  <c r="L34" i="3" s="1"/>
  <c r="I34" i="3"/>
  <c r="J34" i="3" s="1"/>
  <c r="G34" i="3"/>
  <c r="H34" i="3" s="1"/>
  <c r="E34" i="3"/>
  <c r="F34" i="3" s="1"/>
  <c r="C34" i="3"/>
  <c r="M31" i="3"/>
  <c r="N31" i="3" s="1"/>
  <c r="K31" i="3"/>
  <c r="L31" i="3" s="1"/>
  <c r="I31" i="3"/>
  <c r="J31" i="3" s="1"/>
  <c r="G31" i="3"/>
  <c r="E31" i="3"/>
  <c r="F31" i="3" s="1"/>
  <c r="C31" i="3"/>
  <c r="M30" i="3"/>
  <c r="N30" i="3" s="1"/>
  <c r="K30" i="3"/>
  <c r="L30" i="3" s="1"/>
  <c r="I30" i="3"/>
  <c r="J30" i="3" s="1"/>
  <c r="G30" i="3"/>
  <c r="H30" i="3" s="1"/>
  <c r="E30" i="3"/>
  <c r="C30" i="3"/>
  <c r="D30" i="3" s="1"/>
  <c r="M29" i="3"/>
  <c r="N29" i="3" s="1"/>
  <c r="K29" i="3"/>
  <c r="L29" i="3" s="1"/>
  <c r="I29" i="3"/>
  <c r="J29" i="3" s="1"/>
  <c r="G29" i="3"/>
  <c r="H29" i="3" s="1"/>
  <c r="E29" i="3"/>
  <c r="F29" i="3" s="1"/>
  <c r="C29" i="3"/>
  <c r="M28" i="3"/>
  <c r="N28" i="3" s="1"/>
  <c r="K28" i="3"/>
  <c r="L28" i="3" s="1"/>
  <c r="I28" i="3"/>
  <c r="J28" i="3" s="1"/>
  <c r="G28" i="3"/>
  <c r="H28" i="3" s="1"/>
  <c r="E28" i="3"/>
  <c r="F28" i="3" s="1"/>
  <c r="C28" i="3"/>
  <c r="D28" i="3" s="1"/>
  <c r="M27" i="3"/>
  <c r="N27" i="3" s="1"/>
  <c r="K27" i="3"/>
  <c r="L27" i="3" s="1"/>
  <c r="I27" i="3"/>
  <c r="J27" i="3" s="1"/>
  <c r="G27" i="3"/>
  <c r="H27" i="3" s="1"/>
  <c r="E27" i="3"/>
  <c r="F27" i="3" s="1"/>
  <c r="C27" i="3"/>
  <c r="M26" i="3"/>
  <c r="N26" i="3" s="1"/>
  <c r="K26" i="3"/>
  <c r="L26" i="3" s="1"/>
  <c r="I26" i="3"/>
  <c r="J26" i="3" s="1"/>
  <c r="G26" i="3"/>
  <c r="H26" i="3" s="1"/>
  <c r="E26" i="3"/>
  <c r="F26" i="3" s="1"/>
  <c r="C26" i="3"/>
  <c r="M25" i="3"/>
  <c r="N25" i="3" s="1"/>
  <c r="K25" i="3"/>
  <c r="L25" i="3" s="1"/>
  <c r="I25" i="3"/>
  <c r="J25" i="3" s="1"/>
  <c r="G25" i="3"/>
  <c r="H25" i="3" s="1"/>
  <c r="E25" i="3"/>
  <c r="C25" i="3"/>
  <c r="M24" i="3"/>
  <c r="N24" i="3" s="1"/>
  <c r="K24" i="3"/>
  <c r="L24" i="3" s="1"/>
  <c r="I24" i="3"/>
  <c r="J24" i="3" s="1"/>
  <c r="G24" i="3"/>
  <c r="H24" i="3" s="1"/>
  <c r="E24" i="3"/>
  <c r="F24" i="3" s="1"/>
  <c r="C24" i="3"/>
  <c r="M23" i="3"/>
  <c r="N23" i="3" s="1"/>
  <c r="K23" i="3"/>
  <c r="L23" i="3" s="1"/>
  <c r="I23" i="3"/>
  <c r="J23" i="3" s="1"/>
  <c r="G23" i="3"/>
  <c r="E23" i="3"/>
  <c r="F23" i="3" s="1"/>
  <c r="C23" i="3"/>
  <c r="M22" i="3"/>
  <c r="N22" i="3" s="1"/>
  <c r="K22" i="3"/>
  <c r="L22" i="3" s="1"/>
  <c r="I22" i="3"/>
  <c r="J22" i="3" s="1"/>
  <c r="G22" i="3"/>
  <c r="H22" i="3" s="1"/>
  <c r="E22" i="3"/>
  <c r="C22" i="3"/>
  <c r="D22" i="3" s="1"/>
  <c r="M21" i="3"/>
  <c r="N21" i="3" s="1"/>
  <c r="K21" i="3"/>
  <c r="L21" i="3" s="1"/>
  <c r="I21" i="3"/>
  <c r="J21" i="3" s="1"/>
  <c r="G21" i="3"/>
  <c r="H21" i="3" s="1"/>
  <c r="E21" i="3"/>
  <c r="F21" i="3" s="1"/>
  <c r="C21" i="3"/>
  <c r="M20" i="3"/>
  <c r="N20" i="3" s="1"/>
  <c r="K20" i="3"/>
  <c r="L20" i="3" s="1"/>
  <c r="I20" i="3"/>
  <c r="J20" i="3" s="1"/>
  <c r="G20" i="3"/>
  <c r="H20" i="3" s="1"/>
  <c r="E20" i="3"/>
  <c r="F20" i="3" s="1"/>
  <c r="C20" i="3"/>
  <c r="D20" i="3" s="1"/>
  <c r="M19" i="3"/>
  <c r="N19" i="3" s="1"/>
  <c r="K19" i="3"/>
  <c r="L19" i="3" s="1"/>
  <c r="I19" i="3"/>
  <c r="J19" i="3" s="1"/>
  <c r="G19" i="3"/>
  <c r="H19" i="3" s="1"/>
  <c r="E19" i="3"/>
  <c r="F19" i="3" s="1"/>
  <c r="C19" i="3"/>
  <c r="M18" i="3"/>
  <c r="N18" i="3" s="1"/>
  <c r="K18" i="3"/>
  <c r="L18" i="3" s="1"/>
  <c r="I18" i="3"/>
  <c r="J18" i="3" s="1"/>
  <c r="G18" i="3"/>
  <c r="H18" i="3" s="1"/>
  <c r="E18" i="3"/>
  <c r="F18" i="3" s="1"/>
  <c r="C18" i="3"/>
  <c r="M17" i="3"/>
  <c r="N17" i="3" s="1"/>
  <c r="K17" i="3"/>
  <c r="L17" i="3" s="1"/>
  <c r="I17" i="3"/>
  <c r="J17" i="3" s="1"/>
  <c r="G17" i="3"/>
  <c r="H17" i="3" s="1"/>
  <c r="E17" i="3"/>
  <c r="C17" i="3"/>
  <c r="D17" i="3" s="1"/>
  <c r="M16" i="3"/>
  <c r="N16" i="3" s="1"/>
  <c r="K16" i="3"/>
  <c r="L16" i="3" s="1"/>
  <c r="I16" i="3"/>
  <c r="J16" i="3" s="1"/>
  <c r="G16" i="3"/>
  <c r="H16" i="3" s="1"/>
  <c r="E16" i="3"/>
  <c r="F16" i="3" s="1"/>
  <c r="C16" i="3"/>
  <c r="M15" i="3"/>
  <c r="N15" i="3" s="1"/>
  <c r="K15" i="3"/>
  <c r="L15" i="3" s="1"/>
  <c r="I15" i="3"/>
  <c r="J15" i="3" s="1"/>
  <c r="G15" i="3"/>
  <c r="E15" i="3"/>
  <c r="F15" i="3" s="1"/>
  <c r="C15" i="3"/>
  <c r="M14" i="3"/>
  <c r="N14" i="3" s="1"/>
  <c r="K14" i="3"/>
  <c r="L14" i="3" s="1"/>
  <c r="I14" i="3"/>
  <c r="J14" i="3" s="1"/>
  <c r="G14" i="3"/>
  <c r="H14" i="3" s="1"/>
  <c r="E14" i="3"/>
  <c r="C14" i="3"/>
  <c r="D14" i="3" s="1"/>
  <c r="M13" i="3"/>
  <c r="N13" i="3" s="1"/>
  <c r="K13" i="3"/>
  <c r="L13" i="3" s="1"/>
  <c r="I13" i="3"/>
  <c r="J13" i="3" s="1"/>
  <c r="G13" i="3"/>
  <c r="H13" i="3" s="1"/>
  <c r="E13" i="3"/>
  <c r="F13" i="3" s="1"/>
  <c r="C13" i="3"/>
  <c r="M130" i="17"/>
  <c r="N130" i="17" s="1"/>
  <c r="K130" i="17"/>
  <c r="L130" i="17" s="1"/>
  <c r="I130" i="17"/>
  <c r="J130" i="17" s="1"/>
  <c r="G130" i="17"/>
  <c r="H130" i="17" s="1"/>
  <c r="E130" i="17"/>
  <c r="F130" i="17" s="1"/>
  <c r="C130" i="17"/>
  <c r="M129" i="17"/>
  <c r="N129" i="17" s="1"/>
  <c r="K129" i="17"/>
  <c r="L129" i="17" s="1"/>
  <c r="I129" i="17"/>
  <c r="J129" i="17" s="1"/>
  <c r="G129" i="17"/>
  <c r="H129" i="17" s="1"/>
  <c r="E129" i="17"/>
  <c r="C129" i="17"/>
  <c r="D129" i="17" s="1"/>
  <c r="N122" i="17"/>
  <c r="L122" i="17"/>
  <c r="J122" i="17"/>
  <c r="H122" i="17"/>
  <c r="F122" i="17"/>
  <c r="D122" i="17"/>
  <c r="M121" i="17"/>
  <c r="N121" i="17" s="1"/>
  <c r="K121" i="17"/>
  <c r="L121" i="17" s="1"/>
  <c r="I121" i="17"/>
  <c r="J121" i="17" s="1"/>
  <c r="G121" i="17"/>
  <c r="H121" i="17" s="1"/>
  <c r="E121" i="17"/>
  <c r="F121" i="17" s="1"/>
  <c r="C121" i="17"/>
  <c r="M120" i="17"/>
  <c r="N120" i="17" s="1"/>
  <c r="K120" i="17"/>
  <c r="L120" i="17" s="1"/>
  <c r="I120" i="17"/>
  <c r="J120" i="17" s="1"/>
  <c r="G120" i="17"/>
  <c r="H120" i="17" s="1"/>
  <c r="E120" i="17"/>
  <c r="F120" i="17" s="1"/>
  <c r="C120" i="17"/>
  <c r="M119" i="17"/>
  <c r="N119" i="17" s="1"/>
  <c r="K119" i="17"/>
  <c r="L119" i="17" s="1"/>
  <c r="I119" i="17"/>
  <c r="J119" i="17" s="1"/>
  <c r="G119" i="17"/>
  <c r="H119" i="17" s="1"/>
  <c r="E119" i="17"/>
  <c r="C119" i="17"/>
  <c r="D119" i="17" s="1"/>
  <c r="M118" i="17"/>
  <c r="N118" i="17" s="1"/>
  <c r="K118" i="17"/>
  <c r="L118" i="17" s="1"/>
  <c r="I118" i="17"/>
  <c r="J118" i="17" s="1"/>
  <c r="G118" i="17"/>
  <c r="H118" i="17" s="1"/>
  <c r="E118" i="17"/>
  <c r="F118" i="17" s="1"/>
  <c r="C118" i="17"/>
  <c r="M117" i="17"/>
  <c r="N117" i="17" s="1"/>
  <c r="K117" i="17"/>
  <c r="L117" i="17" s="1"/>
  <c r="I117" i="17"/>
  <c r="J117" i="17" s="1"/>
  <c r="G117" i="17"/>
  <c r="E117" i="17"/>
  <c r="F117" i="17" s="1"/>
  <c r="C117" i="17"/>
  <c r="D117" i="17" s="1"/>
  <c r="M116" i="17"/>
  <c r="N116" i="17" s="1"/>
  <c r="K116" i="17"/>
  <c r="L116" i="17" s="1"/>
  <c r="I116" i="17"/>
  <c r="J116" i="17" s="1"/>
  <c r="G116" i="17"/>
  <c r="H116" i="17" s="1"/>
  <c r="E116" i="17"/>
  <c r="F116" i="17" s="1"/>
  <c r="C116" i="17"/>
  <c r="M115" i="17"/>
  <c r="N115" i="17" s="1"/>
  <c r="K115" i="17"/>
  <c r="L115" i="17" s="1"/>
  <c r="I115" i="17"/>
  <c r="J115" i="17" s="1"/>
  <c r="G115" i="17"/>
  <c r="H115" i="17" s="1"/>
  <c r="E115" i="17"/>
  <c r="F115" i="17" s="1"/>
  <c r="C115" i="17"/>
  <c r="M114" i="17"/>
  <c r="N114" i="17" s="1"/>
  <c r="K114" i="17"/>
  <c r="L114" i="17" s="1"/>
  <c r="I114" i="17"/>
  <c r="J114" i="17" s="1"/>
  <c r="G114" i="17"/>
  <c r="H114" i="17" s="1"/>
  <c r="E114" i="17"/>
  <c r="F114" i="17" s="1"/>
  <c r="C114" i="17"/>
  <c r="M113" i="17"/>
  <c r="N113" i="17" s="1"/>
  <c r="K113" i="17"/>
  <c r="L113" i="17" s="1"/>
  <c r="I113" i="17"/>
  <c r="J113" i="17" s="1"/>
  <c r="G113" i="17"/>
  <c r="H113" i="17" s="1"/>
  <c r="E113" i="17"/>
  <c r="F113" i="17" s="1"/>
  <c r="C113" i="17"/>
  <c r="M112" i="17"/>
  <c r="N112" i="17" s="1"/>
  <c r="K112" i="17"/>
  <c r="L112" i="17" s="1"/>
  <c r="I112" i="17"/>
  <c r="J112" i="17" s="1"/>
  <c r="G112" i="17"/>
  <c r="H112" i="17" s="1"/>
  <c r="E112" i="17"/>
  <c r="F112" i="17" s="1"/>
  <c r="C112" i="17"/>
  <c r="M111" i="17"/>
  <c r="N111" i="17" s="1"/>
  <c r="K111" i="17"/>
  <c r="L111" i="17" s="1"/>
  <c r="I111" i="17"/>
  <c r="J111" i="17" s="1"/>
  <c r="G111" i="17"/>
  <c r="H111" i="17" s="1"/>
  <c r="E111" i="17"/>
  <c r="C111" i="17"/>
  <c r="D111" i="17" s="1"/>
  <c r="M110" i="17"/>
  <c r="N110" i="17" s="1"/>
  <c r="K110" i="17"/>
  <c r="L110" i="17" s="1"/>
  <c r="I110" i="17"/>
  <c r="J110" i="17" s="1"/>
  <c r="G110" i="17"/>
  <c r="H110" i="17" s="1"/>
  <c r="E110" i="17"/>
  <c r="F110" i="17" s="1"/>
  <c r="C110" i="17"/>
  <c r="M109" i="17"/>
  <c r="N109" i="17" s="1"/>
  <c r="K109" i="17"/>
  <c r="L109" i="17" s="1"/>
  <c r="I109" i="17"/>
  <c r="J109" i="17" s="1"/>
  <c r="G109" i="17"/>
  <c r="E109" i="17"/>
  <c r="F109" i="17" s="1"/>
  <c r="C109" i="17"/>
  <c r="D109" i="17" s="1"/>
  <c r="M108" i="17"/>
  <c r="N108" i="17" s="1"/>
  <c r="K108" i="17"/>
  <c r="L108" i="17" s="1"/>
  <c r="I108" i="17"/>
  <c r="J108" i="17" s="1"/>
  <c r="G108" i="17"/>
  <c r="H108" i="17" s="1"/>
  <c r="E108" i="17"/>
  <c r="C108" i="17"/>
  <c r="D108" i="17" s="1"/>
  <c r="M107" i="17"/>
  <c r="N107" i="17" s="1"/>
  <c r="K107" i="17"/>
  <c r="L107" i="17" s="1"/>
  <c r="I107" i="17"/>
  <c r="J107" i="17" s="1"/>
  <c r="G107" i="17"/>
  <c r="H107" i="17" s="1"/>
  <c r="E107" i="17"/>
  <c r="F107" i="17" s="1"/>
  <c r="C107" i="17"/>
  <c r="M106" i="17"/>
  <c r="N106" i="17" s="1"/>
  <c r="K106" i="17"/>
  <c r="L106" i="17" s="1"/>
  <c r="I106" i="17"/>
  <c r="J106" i="17" s="1"/>
  <c r="G106" i="17"/>
  <c r="H106" i="17" s="1"/>
  <c r="E106" i="17"/>
  <c r="F106" i="17" s="1"/>
  <c r="C106" i="17"/>
  <c r="M105" i="17"/>
  <c r="N105" i="17" s="1"/>
  <c r="K105" i="17"/>
  <c r="L105" i="17" s="1"/>
  <c r="I105" i="17"/>
  <c r="J105" i="17" s="1"/>
  <c r="G105" i="17"/>
  <c r="H105" i="17" s="1"/>
  <c r="E105" i="17"/>
  <c r="F105" i="17" s="1"/>
  <c r="C105" i="17"/>
  <c r="M104" i="17"/>
  <c r="N104" i="17" s="1"/>
  <c r="K104" i="17"/>
  <c r="L104" i="17" s="1"/>
  <c r="I104" i="17"/>
  <c r="J104" i="17" s="1"/>
  <c r="G104" i="17"/>
  <c r="H104" i="17" s="1"/>
  <c r="E104" i="17"/>
  <c r="F104" i="17" s="1"/>
  <c r="C104" i="17"/>
  <c r="M66" i="17"/>
  <c r="N66" i="17" s="1"/>
  <c r="K66" i="17"/>
  <c r="L66" i="17" s="1"/>
  <c r="I66" i="17"/>
  <c r="J66" i="17" s="1"/>
  <c r="G66" i="17"/>
  <c r="H66" i="17" s="1"/>
  <c r="E66" i="17"/>
  <c r="F66" i="17" s="1"/>
  <c r="C66" i="17"/>
  <c r="M63" i="17"/>
  <c r="N63" i="17" s="1"/>
  <c r="K63" i="17"/>
  <c r="L63" i="17" s="1"/>
  <c r="I63" i="17"/>
  <c r="J63" i="17" s="1"/>
  <c r="G63" i="17"/>
  <c r="H63" i="17" s="1"/>
  <c r="E63" i="17"/>
  <c r="C63" i="17"/>
  <c r="M62" i="17"/>
  <c r="N62" i="17" s="1"/>
  <c r="K62" i="17"/>
  <c r="L62" i="17" s="1"/>
  <c r="I62" i="17"/>
  <c r="J62" i="17" s="1"/>
  <c r="G62" i="17"/>
  <c r="H62" i="17" s="1"/>
  <c r="E62" i="17"/>
  <c r="F62" i="17" s="1"/>
  <c r="C62" i="17"/>
  <c r="M61" i="17"/>
  <c r="N61" i="17" s="1"/>
  <c r="K61" i="17"/>
  <c r="L61" i="17" s="1"/>
  <c r="I61" i="17"/>
  <c r="J61" i="17" s="1"/>
  <c r="G61" i="17"/>
  <c r="H61" i="17" s="1"/>
  <c r="E61" i="17"/>
  <c r="F61" i="17" s="1"/>
  <c r="C61" i="17"/>
  <c r="D61" i="17" s="1"/>
  <c r="M60" i="17"/>
  <c r="N60" i="17" s="1"/>
  <c r="K60" i="17"/>
  <c r="L60" i="17" s="1"/>
  <c r="I60" i="17"/>
  <c r="J60" i="17" s="1"/>
  <c r="G60" i="17"/>
  <c r="H60" i="17" s="1"/>
  <c r="E60" i="17"/>
  <c r="C60" i="17"/>
  <c r="D60" i="17" s="1"/>
  <c r="M59" i="17"/>
  <c r="N59" i="17" s="1"/>
  <c r="K59" i="17"/>
  <c r="L59" i="17" s="1"/>
  <c r="I59" i="17"/>
  <c r="J59" i="17" s="1"/>
  <c r="G59" i="17"/>
  <c r="H59" i="17" s="1"/>
  <c r="E59" i="17"/>
  <c r="F59" i="17" s="1"/>
  <c r="C59" i="17"/>
  <c r="M58" i="17"/>
  <c r="N58" i="17" s="1"/>
  <c r="K58" i="17"/>
  <c r="L58" i="17" s="1"/>
  <c r="I58" i="17"/>
  <c r="J58" i="17" s="1"/>
  <c r="G58" i="17"/>
  <c r="H58" i="17" s="1"/>
  <c r="E58" i="17"/>
  <c r="F58" i="17" s="1"/>
  <c r="C58" i="17"/>
  <c r="D58" i="17" s="1"/>
  <c r="M57" i="17"/>
  <c r="N57" i="17" s="1"/>
  <c r="K57" i="17"/>
  <c r="L57" i="17" s="1"/>
  <c r="I57" i="17"/>
  <c r="J57" i="17" s="1"/>
  <c r="H57" i="17"/>
  <c r="F57" i="17"/>
  <c r="M56" i="17"/>
  <c r="N56" i="17" s="1"/>
  <c r="K56" i="17"/>
  <c r="L56" i="17" s="1"/>
  <c r="I56" i="17"/>
  <c r="J56" i="17" s="1"/>
  <c r="G56" i="17"/>
  <c r="H56" i="17" s="1"/>
  <c r="E56" i="17"/>
  <c r="F56" i="17" s="1"/>
  <c r="C56" i="17"/>
  <c r="M55" i="17"/>
  <c r="N55" i="17" s="1"/>
  <c r="K55" i="17"/>
  <c r="L55" i="17" s="1"/>
  <c r="I55" i="17"/>
  <c r="J55" i="17" s="1"/>
  <c r="G55" i="17"/>
  <c r="H55" i="17" s="1"/>
  <c r="E55" i="17"/>
  <c r="C55" i="17"/>
  <c r="M54" i="17"/>
  <c r="N54" i="17" s="1"/>
  <c r="K54" i="17"/>
  <c r="L54" i="17" s="1"/>
  <c r="I54" i="17"/>
  <c r="J54" i="17" s="1"/>
  <c r="G54" i="17"/>
  <c r="H54" i="17" s="1"/>
  <c r="E54" i="17"/>
  <c r="F54" i="17" s="1"/>
  <c r="C54" i="17"/>
  <c r="M53" i="17"/>
  <c r="N53" i="17" s="1"/>
  <c r="K53" i="17"/>
  <c r="L53" i="17" s="1"/>
  <c r="I53" i="17"/>
  <c r="J53" i="17" s="1"/>
  <c r="G53" i="17"/>
  <c r="H53" i="17" s="1"/>
  <c r="E53" i="17"/>
  <c r="F53" i="17" s="1"/>
  <c r="C53" i="17"/>
  <c r="D53" i="17" s="1"/>
  <c r="C17" i="17"/>
  <c r="D17" i="17" s="1"/>
  <c r="M45" i="17"/>
  <c r="N45" i="17" s="1"/>
  <c r="K45" i="17"/>
  <c r="L45" i="17" s="1"/>
  <c r="I45" i="17"/>
  <c r="J45" i="17" s="1"/>
  <c r="G45" i="17"/>
  <c r="H45" i="17" s="1"/>
  <c r="E45" i="17"/>
  <c r="F45" i="17" s="1"/>
  <c r="C45" i="17"/>
  <c r="M32" i="17"/>
  <c r="N32" i="17" s="1"/>
  <c r="K32" i="17"/>
  <c r="L32" i="17" s="1"/>
  <c r="I32" i="17"/>
  <c r="J32" i="17" s="1"/>
  <c r="G32" i="17"/>
  <c r="H32" i="17" s="1"/>
  <c r="E32" i="17"/>
  <c r="M31" i="17"/>
  <c r="N31" i="17" s="1"/>
  <c r="K31" i="17"/>
  <c r="L31" i="17" s="1"/>
  <c r="I31" i="17"/>
  <c r="J31" i="17" s="1"/>
  <c r="G31" i="17"/>
  <c r="H31" i="17" s="1"/>
  <c r="E31" i="17"/>
  <c r="F31" i="17" s="1"/>
  <c r="C31" i="17"/>
  <c r="M30" i="17"/>
  <c r="N30" i="17" s="1"/>
  <c r="K30" i="17"/>
  <c r="L30" i="17" s="1"/>
  <c r="I30" i="17"/>
  <c r="J30" i="17" s="1"/>
  <c r="G30" i="17"/>
  <c r="H30" i="17" s="1"/>
  <c r="E30" i="17"/>
  <c r="F30" i="17" s="1"/>
  <c r="C30" i="17"/>
  <c r="M29" i="17"/>
  <c r="N29" i="17" s="1"/>
  <c r="K29" i="17"/>
  <c r="L29" i="17" s="1"/>
  <c r="I29" i="17"/>
  <c r="J29" i="17" s="1"/>
  <c r="G29" i="17"/>
  <c r="H29" i="17" s="1"/>
  <c r="E29" i="17"/>
  <c r="F29" i="17" s="1"/>
  <c r="C29" i="17"/>
  <c r="N28" i="17"/>
  <c r="L28" i="17"/>
  <c r="J28" i="17"/>
  <c r="H28" i="17"/>
  <c r="F28" i="17"/>
  <c r="M27" i="17"/>
  <c r="N27" i="17" s="1"/>
  <c r="K27" i="17"/>
  <c r="L27" i="17" s="1"/>
  <c r="I27" i="17"/>
  <c r="J27" i="17" s="1"/>
  <c r="G27" i="17"/>
  <c r="H27" i="17" s="1"/>
  <c r="E27" i="17"/>
  <c r="C27" i="17"/>
  <c r="D27" i="17" s="1"/>
  <c r="M26" i="17"/>
  <c r="N26" i="17" s="1"/>
  <c r="K26" i="17"/>
  <c r="L26" i="17" s="1"/>
  <c r="I26" i="17"/>
  <c r="J26" i="17" s="1"/>
  <c r="G26" i="17"/>
  <c r="H26" i="17" s="1"/>
  <c r="E26" i="17"/>
  <c r="F26" i="17" s="1"/>
  <c r="C26" i="17"/>
  <c r="D26" i="17" s="1"/>
  <c r="M25" i="17"/>
  <c r="N25" i="17" s="1"/>
  <c r="K25" i="17"/>
  <c r="L25" i="17" s="1"/>
  <c r="I25" i="17"/>
  <c r="J25" i="17" s="1"/>
  <c r="G25" i="17"/>
  <c r="E25" i="17"/>
  <c r="F25" i="17" s="1"/>
  <c r="C25" i="17"/>
  <c r="D25" i="17" s="1"/>
  <c r="M24" i="17"/>
  <c r="N24" i="17" s="1"/>
  <c r="K24" i="17"/>
  <c r="L24" i="17" s="1"/>
  <c r="I24" i="17"/>
  <c r="J24" i="17" s="1"/>
  <c r="G24" i="17"/>
  <c r="H24" i="17" s="1"/>
  <c r="E24" i="17"/>
  <c r="F24" i="17" s="1"/>
  <c r="C24" i="17"/>
  <c r="M23" i="17"/>
  <c r="N23" i="17" s="1"/>
  <c r="K23" i="17"/>
  <c r="L23" i="17" s="1"/>
  <c r="I23" i="17"/>
  <c r="J23" i="17" s="1"/>
  <c r="G23" i="17"/>
  <c r="H23" i="17" s="1"/>
  <c r="E23" i="17"/>
  <c r="F23" i="17" s="1"/>
  <c r="C23" i="17"/>
  <c r="M20" i="17"/>
  <c r="N20" i="17" s="1"/>
  <c r="K20" i="17"/>
  <c r="L20" i="17" s="1"/>
  <c r="I20" i="17"/>
  <c r="J20" i="17" s="1"/>
  <c r="G20" i="17"/>
  <c r="H20" i="17" s="1"/>
  <c r="E20" i="17"/>
  <c r="F20" i="17" s="1"/>
  <c r="C20" i="17"/>
  <c r="M19" i="17"/>
  <c r="N19" i="17" s="1"/>
  <c r="K19" i="17"/>
  <c r="L19" i="17" s="1"/>
  <c r="I19" i="17"/>
  <c r="J19" i="17" s="1"/>
  <c r="G19" i="17"/>
  <c r="H19" i="17" s="1"/>
  <c r="E19" i="17"/>
  <c r="F19" i="17" s="1"/>
  <c r="C19" i="17"/>
  <c r="M18" i="17"/>
  <c r="N18" i="17" s="1"/>
  <c r="K18" i="17"/>
  <c r="L18" i="17" s="1"/>
  <c r="I18" i="17"/>
  <c r="J18" i="17" s="1"/>
  <c r="G18" i="17"/>
  <c r="H18" i="17" s="1"/>
  <c r="E18" i="17"/>
  <c r="F18" i="17" s="1"/>
  <c r="C18" i="17"/>
  <c r="M17" i="17"/>
  <c r="N17" i="17" s="1"/>
  <c r="K17" i="17"/>
  <c r="L17" i="17" s="1"/>
  <c r="I17" i="17"/>
  <c r="J17" i="17" s="1"/>
  <c r="G17" i="17"/>
  <c r="H17" i="17" s="1"/>
  <c r="E17" i="17"/>
  <c r="O110" i="17" l="1"/>
  <c r="O103" i="4"/>
  <c r="R103" i="4" s="1"/>
  <c r="O63" i="5"/>
  <c r="R63" i="5" s="1"/>
  <c r="D67" i="5"/>
  <c r="O67" i="5"/>
  <c r="R67" i="5" s="1"/>
  <c r="O95" i="5"/>
  <c r="R95" i="5" s="1"/>
  <c r="D99" i="5"/>
  <c r="O99" i="5"/>
  <c r="R99" i="5" s="1"/>
  <c r="O85" i="7"/>
  <c r="R85" i="7" s="1"/>
  <c r="R105" i="7" s="1"/>
  <c r="R115" i="7" s="1"/>
  <c r="D51" i="8"/>
  <c r="O51" i="8"/>
  <c r="R51" i="8" s="1"/>
  <c r="D59" i="8"/>
  <c r="O59" i="8"/>
  <c r="R59" i="8" s="1"/>
  <c r="O63" i="8"/>
  <c r="R63" i="8" s="1"/>
  <c r="O71" i="8"/>
  <c r="R71" i="8" s="1"/>
  <c r="D75" i="8"/>
  <c r="O75" i="8"/>
  <c r="R75" i="8" s="1"/>
  <c r="O105" i="8"/>
  <c r="R105" i="8" s="1"/>
  <c r="D109" i="8"/>
  <c r="O109" i="8"/>
  <c r="R109" i="8" s="1"/>
  <c r="D117" i="8"/>
  <c r="O117" i="8"/>
  <c r="R117" i="8" s="1"/>
  <c r="O135" i="8"/>
  <c r="R135" i="8" s="1"/>
  <c r="R157" i="8" s="1"/>
  <c r="R169" i="8" s="1"/>
  <c r="D31" i="4"/>
  <c r="O31" i="4"/>
  <c r="R31" i="4" s="1"/>
  <c r="D63" i="4"/>
  <c r="O63" i="4"/>
  <c r="R63" i="4" s="1"/>
  <c r="D73" i="4"/>
  <c r="O73" i="4"/>
  <c r="R73" i="4" s="1"/>
  <c r="D27" i="5"/>
  <c r="O27" i="5"/>
  <c r="O103" i="5"/>
  <c r="R103" i="5" s="1"/>
  <c r="O60" i="9"/>
  <c r="R60" i="9" s="1"/>
  <c r="O57" i="17"/>
  <c r="D116" i="17"/>
  <c r="O116" i="17"/>
  <c r="D23" i="4"/>
  <c r="O23" i="4"/>
  <c r="R23" i="4" s="1"/>
  <c r="D106" i="17"/>
  <c r="O106" i="17"/>
  <c r="O55" i="5"/>
  <c r="R55" i="5" s="1"/>
  <c r="D61" i="5"/>
  <c r="O61" i="5"/>
  <c r="R61" i="5" s="1"/>
  <c r="O28" i="7"/>
  <c r="R28" i="7" s="1"/>
  <c r="D53" i="8"/>
  <c r="O53" i="8"/>
  <c r="R53" i="8" s="1"/>
  <c r="D57" i="8"/>
  <c r="O57" i="8"/>
  <c r="R57" i="8" s="1"/>
  <c r="O65" i="8"/>
  <c r="R65" i="8" s="1"/>
  <c r="D69" i="8"/>
  <c r="O69" i="8"/>
  <c r="R69" i="8" s="1"/>
  <c r="D77" i="8"/>
  <c r="O77" i="8"/>
  <c r="R77" i="8" s="1"/>
  <c r="O81" i="8"/>
  <c r="R81" i="8" s="1"/>
  <c r="D95" i="8"/>
  <c r="O95" i="8"/>
  <c r="R95" i="8" s="1"/>
  <c r="O99" i="8"/>
  <c r="R99" i="8" s="1"/>
  <c r="D111" i="8"/>
  <c r="O111" i="8"/>
  <c r="R111" i="8" s="1"/>
  <c r="D119" i="8"/>
  <c r="O119" i="8"/>
  <c r="R119" i="8" s="1"/>
  <c r="O123" i="8"/>
  <c r="R123" i="8" s="1"/>
  <c r="D114" i="17"/>
  <c r="O114" i="17"/>
  <c r="D29" i="4"/>
  <c r="O29" i="4"/>
  <c r="R29" i="4" s="1"/>
  <c r="O33" i="4"/>
  <c r="R33" i="4" s="1"/>
  <c r="O57" i="4"/>
  <c r="R57" i="4" s="1"/>
  <c r="D61" i="4"/>
  <c r="O61" i="4"/>
  <c r="R61" i="4" s="1"/>
  <c r="O39" i="4"/>
  <c r="R39" i="4" s="1"/>
  <c r="O71" i="4"/>
  <c r="R71" i="4" s="1"/>
  <c r="O79" i="4"/>
  <c r="R79" i="4" s="1"/>
  <c r="D97" i="4"/>
  <c r="O97" i="4"/>
  <c r="R97" i="4" s="1"/>
  <c r="D25" i="5"/>
  <c r="O25" i="5"/>
  <c r="R25" i="5" s="1"/>
  <c r="R48" i="5" s="1"/>
  <c r="R159" i="5" s="1"/>
  <c r="D105" i="5"/>
  <c r="O105" i="5"/>
  <c r="R105" i="5" s="1"/>
  <c r="O18" i="7"/>
  <c r="R18" i="7" s="1"/>
  <c r="O17" i="8"/>
  <c r="R17" i="8" s="1"/>
  <c r="D29" i="8"/>
  <c r="O29" i="8"/>
  <c r="R29" i="8" s="1"/>
  <c r="O33" i="8"/>
  <c r="R33" i="8" s="1"/>
  <c r="O31" i="8"/>
  <c r="R31" i="8" s="1"/>
  <c r="D23" i="8"/>
  <c r="O23" i="8"/>
  <c r="R23" i="8" s="1"/>
  <c r="O21" i="8"/>
  <c r="R21" i="8" s="1"/>
  <c r="R44" i="8" s="1"/>
  <c r="R163" i="8" s="1"/>
  <c r="D30" i="7"/>
  <c r="O30" i="7"/>
  <c r="R30" i="7" s="1"/>
  <c r="O65" i="7"/>
  <c r="R65" i="7" s="1"/>
  <c r="D69" i="7"/>
  <c r="O69" i="7"/>
  <c r="R69" i="7" s="1"/>
  <c r="D22" i="7"/>
  <c r="O22" i="7"/>
  <c r="R22" i="7" s="1"/>
  <c r="D32" i="7"/>
  <c r="O32" i="7"/>
  <c r="R32" i="7" s="1"/>
  <c r="D34" i="7"/>
  <c r="O34" i="7"/>
  <c r="R34" i="7" s="1"/>
  <c r="O67" i="7"/>
  <c r="R67" i="7" s="1"/>
  <c r="D73" i="7"/>
  <c r="O73" i="7"/>
  <c r="R73" i="7" s="1"/>
  <c r="D51" i="7"/>
  <c r="O51" i="7"/>
  <c r="O16" i="7"/>
  <c r="R16" i="7" s="1"/>
  <c r="D20" i="7"/>
  <c r="O20" i="7"/>
  <c r="R20" i="7" s="1"/>
  <c r="O24" i="7"/>
  <c r="R24" i="7" s="1"/>
  <c r="D49" i="7"/>
  <c r="O49" i="7"/>
  <c r="R49" i="7" s="1"/>
  <c r="D57" i="7"/>
  <c r="O57" i="7"/>
  <c r="D59" i="7"/>
  <c r="O59" i="7"/>
  <c r="D61" i="7"/>
  <c r="O61" i="7"/>
  <c r="O53" i="7"/>
  <c r="D75" i="4"/>
  <c r="O75" i="4"/>
  <c r="R75" i="4" s="1"/>
  <c r="O17" i="4"/>
  <c r="R17" i="4" s="1"/>
  <c r="D21" i="4"/>
  <c r="O21" i="4"/>
  <c r="R21" i="4" s="1"/>
  <c r="D15" i="4"/>
  <c r="O15" i="4"/>
  <c r="O19" i="4"/>
  <c r="D172" i="3"/>
  <c r="O172" i="3"/>
  <c r="R172" i="3" s="1"/>
  <c r="D176" i="3"/>
  <c r="O176" i="3"/>
  <c r="R176" i="3" s="1"/>
  <c r="D180" i="3"/>
  <c r="O180" i="3"/>
  <c r="R180" i="3" s="1"/>
  <c r="D184" i="3"/>
  <c r="O184" i="3"/>
  <c r="R184" i="3" s="1"/>
  <c r="O59" i="3"/>
  <c r="D63" i="3"/>
  <c r="O63" i="3"/>
  <c r="O67" i="3"/>
  <c r="R67" i="3" s="1"/>
  <c r="D71" i="3"/>
  <c r="O71" i="3"/>
  <c r="R71" i="3" s="1"/>
  <c r="D132" i="3"/>
  <c r="O132" i="3"/>
  <c r="R132" i="3" s="1"/>
  <c r="O158" i="3"/>
  <c r="R158" i="3" s="1"/>
  <c r="O170" i="3"/>
  <c r="R170" i="3" s="1"/>
  <c r="D174" i="3"/>
  <c r="O174" i="3"/>
  <c r="R174" i="3" s="1"/>
  <c r="O178" i="3"/>
  <c r="R178" i="3" s="1"/>
  <c r="D182" i="3"/>
  <c r="O182" i="3"/>
  <c r="R182" i="3" s="1"/>
  <c r="D203" i="3"/>
  <c r="O203" i="3"/>
  <c r="R203" i="3" s="1"/>
  <c r="O207" i="3"/>
  <c r="R207" i="3" s="1"/>
  <c r="D213" i="3"/>
  <c r="O213" i="3"/>
  <c r="R213" i="3" s="1"/>
  <c r="D57" i="3"/>
  <c r="O57" i="3"/>
  <c r="R57" i="3" s="1"/>
  <c r="O61" i="3"/>
  <c r="O65" i="3"/>
  <c r="D69" i="3"/>
  <c r="O69" i="3"/>
  <c r="R69" i="3" s="1"/>
  <c r="D25" i="3"/>
  <c r="O25" i="3"/>
  <c r="O29" i="3"/>
  <c r="O19" i="3"/>
  <c r="O27" i="3"/>
  <c r="D31" i="3"/>
  <c r="O31" i="3"/>
  <c r="D162" i="3"/>
  <c r="O162" i="3"/>
  <c r="R162" i="3" s="1"/>
  <c r="D160" i="3"/>
  <c r="O160" i="3"/>
  <c r="R160" i="3" s="1"/>
  <c r="D154" i="3"/>
  <c r="O154" i="3"/>
  <c r="R154" i="3" s="1"/>
  <c r="O156" i="3"/>
  <c r="R156" i="3" s="1"/>
  <c r="D23" i="3"/>
  <c r="O23" i="3"/>
  <c r="D15" i="3"/>
  <c r="O15" i="3"/>
  <c r="D55" i="17"/>
  <c r="O55" i="17"/>
  <c r="D63" i="17"/>
  <c r="O63" i="17"/>
  <c r="R63" i="17" s="1"/>
  <c r="D32" i="17"/>
  <c r="O32" i="17"/>
  <c r="D20" i="17"/>
  <c r="O20" i="17"/>
  <c r="R20" i="17" s="1"/>
  <c r="O30" i="17"/>
  <c r="O16" i="9"/>
  <c r="R16" i="9" s="1"/>
  <c r="O24" i="9"/>
  <c r="D30" i="9"/>
  <c r="O30" i="9"/>
  <c r="O79" i="9"/>
  <c r="D87" i="9"/>
  <c r="O87" i="9"/>
  <c r="D93" i="9"/>
  <c r="O93" i="9"/>
  <c r="D44" i="9"/>
  <c r="O44" i="9"/>
  <c r="R44" i="9" s="1"/>
  <c r="O54" i="9"/>
  <c r="R54" i="9" s="1"/>
  <c r="O18" i="9"/>
  <c r="D22" i="9"/>
  <c r="O22" i="9"/>
  <c r="O77" i="9"/>
  <c r="D81" i="9"/>
  <c r="O81" i="9"/>
  <c r="O89" i="9"/>
  <c r="D95" i="9"/>
  <c r="O95" i="9"/>
  <c r="O62" i="9"/>
  <c r="R62" i="9" s="1"/>
  <c r="O15" i="7"/>
  <c r="O71" i="7"/>
  <c r="O23" i="7"/>
  <c r="O27" i="7"/>
  <c r="O222" i="3"/>
  <c r="O80" i="9"/>
  <c r="O58" i="9"/>
  <c r="O57" i="9"/>
  <c r="O15" i="9"/>
  <c r="O76" i="9"/>
  <c r="O19" i="9"/>
  <c r="O74" i="9"/>
  <c r="D15" i="9"/>
  <c r="O20" i="9"/>
  <c r="D76" i="9"/>
  <c r="D80" i="9"/>
  <c r="O86" i="9"/>
  <c r="O92" i="9"/>
  <c r="O67" i="9"/>
  <c r="O75" i="9"/>
  <c r="D92" i="9"/>
  <c r="O94" i="9"/>
  <c r="O105" i="9"/>
  <c r="O23" i="9"/>
  <c r="O26" i="9"/>
  <c r="O29" i="9"/>
  <c r="O104" i="9"/>
  <c r="O21" i="9"/>
  <c r="O43" i="9"/>
  <c r="O49" i="9"/>
  <c r="O59" i="9"/>
  <c r="O103" i="9"/>
  <c r="D49" i="9"/>
  <c r="O50" i="9"/>
  <c r="O113" i="8"/>
  <c r="O20" i="8"/>
  <c r="O28" i="8"/>
  <c r="O112" i="8"/>
  <c r="O27" i="8"/>
  <c r="O118" i="8"/>
  <c r="O25" i="8"/>
  <c r="O100" i="8"/>
  <c r="O97" i="8"/>
  <c r="O115" i="8"/>
  <c r="O66" i="8"/>
  <c r="O78" i="8"/>
  <c r="O96" i="8"/>
  <c r="O70" i="8"/>
  <c r="O68" i="8"/>
  <c r="O30" i="8"/>
  <c r="O58" i="8"/>
  <c r="O60" i="8"/>
  <c r="O62" i="8"/>
  <c r="O93" i="8"/>
  <c r="O49" i="8"/>
  <c r="O55" i="8"/>
  <c r="O102" i="8"/>
  <c r="O120" i="8"/>
  <c r="O121" i="8"/>
  <c r="D66" i="8"/>
  <c r="D70" i="8"/>
  <c r="O83" i="8"/>
  <c r="O26" i="8"/>
  <c r="O46" i="8"/>
  <c r="O74" i="8"/>
  <c r="O76" i="8"/>
  <c r="D78" i="8"/>
  <c r="O85" i="8"/>
  <c r="O101" i="8"/>
  <c r="O116" i="8"/>
  <c r="O124" i="8"/>
  <c r="O24" i="8"/>
  <c r="O38" i="8"/>
  <c r="D46" i="8"/>
  <c r="D74" i="8"/>
  <c r="O79" i="8"/>
  <c r="D85" i="8"/>
  <c r="O94" i="8"/>
  <c r="O107" i="8"/>
  <c r="O110" i="8"/>
  <c r="O32" i="8"/>
  <c r="O50" i="8"/>
  <c r="O52" i="8"/>
  <c r="O54" i="8"/>
  <c r="O67" i="8"/>
  <c r="O73" i="8"/>
  <c r="O84" i="8"/>
  <c r="O18" i="8"/>
  <c r="O19" i="8"/>
  <c r="O22" i="8"/>
  <c r="O47" i="8"/>
  <c r="D50" i="8"/>
  <c r="D54" i="8"/>
  <c r="O82" i="8"/>
  <c r="O92" i="8"/>
  <c r="O104" i="8"/>
  <c r="O108" i="8"/>
  <c r="D31" i="8"/>
  <c r="O68" i="7"/>
  <c r="O19" i="7"/>
  <c r="O29" i="7"/>
  <c r="O33" i="7"/>
  <c r="H34" i="7"/>
  <c r="O14" i="7"/>
  <c r="O26" i="7"/>
  <c r="O47" i="7"/>
  <c r="O48" i="7"/>
  <c r="O56" i="7"/>
  <c r="O21" i="7"/>
  <c r="O50" i="7"/>
  <c r="O58" i="7"/>
  <c r="O63" i="7"/>
  <c r="O64" i="7"/>
  <c r="O54" i="7"/>
  <c r="H64" i="7"/>
  <c r="O68" i="5"/>
  <c r="O65" i="5"/>
  <c r="O114" i="5"/>
  <c r="O62" i="5"/>
  <c r="O100" i="5"/>
  <c r="O93" i="5"/>
  <c r="O14" i="4"/>
  <c r="O98" i="4"/>
  <c r="O66" i="4"/>
  <c r="O96" i="4"/>
  <c r="O62" i="4"/>
  <c r="O32" i="4"/>
  <c r="O74" i="4"/>
  <c r="D14" i="4"/>
  <c r="O54" i="4"/>
  <c r="O55" i="4"/>
  <c r="O58" i="4"/>
  <c r="O95" i="4"/>
  <c r="O20" i="4"/>
  <c r="O28" i="4"/>
  <c r="O52" i="4"/>
  <c r="D55" i="4"/>
  <c r="O38" i="4"/>
  <c r="O22" i="4"/>
  <c r="O30" i="4"/>
  <c r="O67" i="4"/>
  <c r="O60" i="4"/>
  <c r="O16" i="4"/>
  <c r="D66" i="4"/>
  <c r="O56" i="4"/>
  <c r="O76" i="4"/>
  <c r="O65" i="4"/>
  <c r="O36" i="4"/>
  <c r="O68" i="4"/>
  <c r="O72" i="4"/>
  <c r="O94" i="4"/>
  <c r="O55" i="3"/>
  <c r="O183" i="3"/>
  <c r="O175" i="3"/>
  <c r="D222" i="3"/>
  <c r="O204" i="3"/>
  <c r="O131" i="3"/>
  <c r="O202" i="3"/>
  <c r="O181" i="3"/>
  <c r="O201" i="3"/>
  <c r="O18" i="3"/>
  <c r="O34" i="3"/>
  <c r="O56" i="3"/>
  <c r="O125" i="3"/>
  <c r="O130" i="3"/>
  <c r="O153" i="3"/>
  <c r="O155" i="3"/>
  <c r="D175" i="3"/>
  <c r="D183" i="3"/>
  <c r="O198" i="3"/>
  <c r="O214" i="3"/>
  <c r="O221" i="3"/>
  <c r="O21" i="3"/>
  <c r="O22" i="3"/>
  <c r="D56" i="3"/>
  <c r="O111" i="3"/>
  <c r="H130" i="3"/>
  <c r="O150" i="3"/>
  <c r="H180" i="3"/>
  <c r="H198" i="3"/>
  <c r="O211" i="3"/>
  <c r="D214" i="3"/>
  <c r="O16" i="3"/>
  <c r="O151" i="3"/>
  <c r="D156" i="3"/>
  <c r="O161" i="3"/>
  <c r="O167" i="3"/>
  <c r="O205" i="3"/>
  <c r="O17" i="3"/>
  <c r="O109" i="3"/>
  <c r="O113" i="3"/>
  <c r="O152" i="3"/>
  <c r="O215" i="3"/>
  <c r="O26" i="3"/>
  <c r="O58" i="3"/>
  <c r="O62" i="3"/>
  <c r="O64" i="3"/>
  <c r="O119" i="3"/>
  <c r="H152" i="3"/>
  <c r="O168" i="3"/>
  <c r="O210" i="3"/>
  <c r="O13" i="3"/>
  <c r="O14" i="3"/>
  <c r="O30" i="3"/>
  <c r="O121" i="3"/>
  <c r="O157" i="3"/>
  <c r="O186" i="3"/>
  <c r="O189" i="3"/>
  <c r="O217" i="3"/>
  <c r="O220" i="3"/>
  <c r="O24" i="3"/>
  <c r="O68" i="3"/>
  <c r="O70" i="3"/>
  <c r="O72" i="3"/>
  <c r="O105" i="3"/>
  <c r="O117" i="3"/>
  <c r="O129" i="3"/>
  <c r="O133" i="3"/>
  <c r="H160" i="3"/>
  <c r="O173" i="3"/>
  <c r="O185" i="3"/>
  <c r="O188" i="3"/>
  <c r="O191" i="3"/>
  <c r="O199" i="3"/>
  <c r="O212" i="3"/>
  <c r="O218" i="3"/>
  <c r="O130" i="17"/>
  <c r="O27" i="17"/>
  <c r="O56" i="17"/>
  <c r="O45" i="17"/>
  <c r="O16" i="17"/>
  <c r="R16" i="17" s="1"/>
  <c r="O25" i="17"/>
  <c r="O60" i="17"/>
  <c r="O29" i="17"/>
  <c r="O18" i="17"/>
  <c r="O23" i="17"/>
  <c r="O24" i="17"/>
  <c r="D24" i="17"/>
  <c r="O31" i="17"/>
  <c r="O17" i="17"/>
  <c r="O19" i="17"/>
  <c r="O26" i="17"/>
  <c r="O118" i="17"/>
  <c r="O54" i="17"/>
  <c r="O66" i="17"/>
  <c r="O59" i="17"/>
  <c r="O62" i="17"/>
  <c r="F32" i="17"/>
  <c r="D30" i="17"/>
  <c r="F58" i="9"/>
  <c r="D60" i="9"/>
  <c r="O61" i="9"/>
  <c r="D57" i="9"/>
  <c r="D62" i="9"/>
  <c r="D59" i="9"/>
  <c r="O42" i="9"/>
  <c r="O73" i="9"/>
  <c r="F44" i="9"/>
  <c r="D50" i="9"/>
  <c r="O53" i="9"/>
  <c r="D77" i="9"/>
  <c r="O78" i="9"/>
  <c r="H81" i="9"/>
  <c r="F87" i="9"/>
  <c r="O88" i="9"/>
  <c r="F95" i="9"/>
  <c r="D43" i="9"/>
  <c r="D74" i="9"/>
  <c r="D86" i="9"/>
  <c r="D94" i="9"/>
  <c r="D54" i="9"/>
  <c r="D79" i="9"/>
  <c r="D89" i="9"/>
  <c r="D67" i="9"/>
  <c r="D16" i="9"/>
  <c r="O17" i="9"/>
  <c r="H20" i="9"/>
  <c r="F22" i="9"/>
  <c r="D24" i="9"/>
  <c r="O25" i="9"/>
  <c r="H30" i="9"/>
  <c r="F19" i="9"/>
  <c r="D21" i="9"/>
  <c r="F29" i="9"/>
  <c r="D18" i="9"/>
  <c r="D26" i="9"/>
  <c r="O14" i="9"/>
  <c r="O13" i="9"/>
  <c r="H14" i="9"/>
  <c r="D135" i="8"/>
  <c r="H93" i="8"/>
  <c r="D97" i="8"/>
  <c r="O98" i="8"/>
  <c r="H101" i="8"/>
  <c r="D105" i="8"/>
  <c r="O106" i="8"/>
  <c r="H109" i="8"/>
  <c r="F111" i="8"/>
  <c r="D113" i="8"/>
  <c r="O114" i="8"/>
  <c r="H117" i="8"/>
  <c r="F119" i="8"/>
  <c r="D121" i="8"/>
  <c r="O122" i="8"/>
  <c r="F92" i="8"/>
  <c r="D94" i="8"/>
  <c r="F100" i="8"/>
  <c r="D102" i="8"/>
  <c r="O103" i="8"/>
  <c r="F108" i="8"/>
  <c r="D110" i="8"/>
  <c r="F116" i="8"/>
  <c r="D118" i="8"/>
  <c r="F124" i="8"/>
  <c r="D99" i="8"/>
  <c r="D107" i="8"/>
  <c r="D115" i="8"/>
  <c r="D123" i="8"/>
  <c r="D96" i="8"/>
  <c r="D104" i="8"/>
  <c r="D112" i="8"/>
  <c r="D120" i="8"/>
  <c r="D47" i="8"/>
  <c r="O48" i="8"/>
  <c r="H51" i="8"/>
  <c r="D55" i="8"/>
  <c r="O56" i="8"/>
  <c r="H59" i="8"/>
  <c r="D63" i="8"/>
  <c r="O64" i="8"/>
  <c r="H67" i="8"/>
  <c r="D71" i="8"/>
  <c r="O72" i="8"/>
  <c r="H75" i="8"/>
  <c r="F77" i="8"/>
  <c r="D79" i="8"/>
  <c r="O80" i="8"/>
  <c r="H82" i="8"/>
  <c r="F84" i="8"/>
  <c r="D52" i="8"/>
  <c r="D60" i="8"/>
  <c r="O61" i="8"/>
  <c r="D68" i="8"/>
  <c r="D76" i="8"/>
  <c r="D83" i="8"/>
  <c r="D65" i="8"/>
  <c r="D73" i="8"/>
  <c r="D81" i="8"/>
  <c r="F49" i="8"/>
  <c r="F57" i="8"/>
  <c r="H20" i="8"/>
  <c r="F22" i="8"/>
  <c r="H24" i="8"/>
  <c r="F26" i="8"/>
  <c r="D28" i="8"/>
  <c r="D21" i="8"/>
  <c r="D25" i="8"/>
  <c r="D33" i="8"/>
  <c r="D18" i="8"/>
  <c r="D30" i="8"/>
  <c r="D27" i="8"/>
  <c r="D38" i="8"/>
  <c r="F23" i="8"/>
  <c r="D17" i="8"/>
  <c r="D85" i="7"/>
  <c r="F63" i="7"/>
  <c r="D65" i="7"/>
  <c r="O66" i="7"/>
  <c r="H69" i="7"/>
  <c r="D67" i="7"/>
  <c r="D71" i="7"/>
  <c r="O52" i="7"/>
  <c r="O60" i="7"/>
  <c r="D48" i="7"/>
  <c r="D56" i="7"/>
  <c r="D50" i="7"/>
  <c r="H54" i="7"/>
  <c r="D58" i="7"/>
  <c r="D47" i="7"/>
  <c r="D55" i="7"/>
  <c r="O31" i="7"/>
  <c r="D33" i="7"/>
  <c r="D29" i="7"/>
  <c r="H27" i="7"/>
  <c r="D28" i="7"/>
  <c r="F14" i="7"/>
  <c r="D16" i="7"/>
  <c r="O17" i="7"/>
  <c r="H20" i="7"/>
  <c r="F22" i="7"/>
  <c r="D24" i="7"/>
  <c r="F19" i="7"/>
  <c r="D21" i="7"/>
  <c r="D18" i="7"/>
  <c r="D15" i="7"/>
  <c r="D23" i="7"/>
  <c r="O60" i="5"/>
  <c r="H65" i="5"/>
  <c r="F67" i="5"/>
  <c r="O115" i="5"/>
  <c r="O134" i="5"/>
  <c r="R134" i="5" s="1"/>
  <c r="R153" i="5" s="1"/>
  <c r="R165" i="5" s="1"/>
  <c r="F22" i="5"/>
  <c r="H20" i="5"/>
  <c r="D26" i="5"/>
  <c r="O94" i="5"/>
  <c r="O102" i="5"/>
  <c r="F24" i="5"/>
  <c r="O28" i="5"/>
  <c r="O58" i="5"/>
  <c r="H94" i="5"/>
  <c r="O96" i="5"/>
  <c r="H102" i="5"/>
  <c r="O104" i="5"/>
  <c r="D55" i="5"/>
  <c r="F96" i="5"/>
  <c r="F104" i="5"/>
  <c r="O59" i="5"/>
  <c r="O64" i="5"/>
  <c r="O66" i="5"/>
  <c r="O98" i="5"/>
  <c r="O113" i="5"/>
  <c r="O54" i="5"/>
  <c r="D134" i="5"/>
  <c r="O97" i="5"/>
  <c r="O112" i="5"/>
  <c r="D93" i="5"/>
  <c r="D95" i="5"/>
  <c r="H99" i="5"/>
  <c r="D103" i="5"/>
  <c r="D100" i="5"/>
  <c r="H54" i="5"/>
  <c r="H60" i="5"/>
  <c r="F62" i="5"/>
  <c r="D64" i="5"/>
  <c r="D58" i="5"/>
  <c r="D66" i="5"/>
  <c r="D63" i="5"/>
  <c r="D68" i="5"/>
  <c r="F17" i="5"/>
  <c r="D19" i="5"/>
  <c r="F27" i="5"/>
  <c r="D21" i="5"/>
  <c r="D23" i="5"/>
  <c r="D28" i="5"/>
  <c r="D103" i="4"/>
  <c r="O64" i="4"/>
  <c r="H67" i="4"/>
  <c r="D69" i="4"/>
  <c r="O70" i="4"/>
  <c r="H73" i="4"/>
  <c r="D77" i="4"/>
  <c r="O78" i="4"/>
  <c r="H95" i="4"/>
  <c r="F97" i="4"/>
  <c r="D99" i="4"/>
  <c r="F75" i="4"/>
  <c r="D74" i="4"/>
  <c r="D96" i="4"/>
  <c r="D65" i="4"/>
  <c r="D71" i="4"/>
  <c r="D79" i="4"/>
  <c r="D98" i="4"/>
  <c r="F68" i="4"/>
  <c r="F76" i="4"/>
  <c r="D28" i="4"/>
  <c r="H32" i="4"/>
  <c r="F36" i="4"/>
  <c r="D52" i="4"/>
  <c r="O53" i="4"/>
  <c r="H56" i="4"/>
  <c r="F58" i="4"/>
  <c r="D60" i="4"/>
  <c r="H38" i="4"/>
  <c r="D33" i="4"/>
  <c r="D57" i="4"/>
  <c r="F63" i="4"/>
  <c r="D39" i="4"/>
  <c r="D54" i="4"/>
  <c r="D62" i="4"/>
  <c r="D27" i="4"/>
  <c r="D37" i="4"/>
  <c r="D59" i="4"/>
  <c r="O18" i="4"/>
  <c r="H16" i="4"/>
  <c r="F20" i="4"/>
  <c r="F22" i="4"/>
  <c r="H21" i="4"/>
  <c r="D17" i="4"/>
  <c r="D19" i="4"/>
  <c r="H23" i="4"/>
  <c r="O219" i="3"/>
  <c r="D199" i="3"/>
  <c r="O200" i="3"/>
  <c r="H203" i="3"/>
  <c r="F205" i="3"/>
  <c r="O206" i="3"/>
  <c r="H211" i="3"/>
  <c r="F213" i="3"/>
  <c r="D215" i="3"/>
  <c r="O216" i="3"/>
  <c r="F221" i="3"/>
  <c r="D204" i="3"/>
  <c r="D212" i="3"/>
  <c r="F218" i="3"/>
  <c r="D220" i="3"/>
  <c r="D201" i="3"/>
  <c r="D207" i="3"/>
  <c r="D217" i="3"/>
  <c r="O177" i="3"/>
  <c r="F151" i="3"/>
  <c r="H157" i="3"/>
  <c r="D173" i="3"/>
  <c r="D150" i="3"/>
  <c r="D158" i="3"/>
  <c r="O159" i="3"/>
  <c r="D170" i="3"/>
  <c r="O171" i="3"/>
  <c r="H174" i="3"/>
  <c r="D178" i="3"/>
  <c r="O179" i="3"/>
  <c r="D186" i="3"/>
  <c r="O187" i="3"/>
  <c r="D189" i="3"/>
  <c r="O190" i="3"/>
  <c r="O149" i="3"/>
  <c r="D155" i="3"/>
  <c r="D167" i="3"/>
  <c r="D153" i="3"/>
  <c r="D161" i="3"/>
  <c r="D181" i="3"/>
  <c r="H185" i="3"/>
  <c r="D188" i="3"/>
  <c r="D191" i="3"/>
  <c r="O169" i="3"/>
  <c r="O107" i="3"/>
  <c r="O115" i="3"/>
  <c r="O123" i="3"/>
  <c r="O104" i="3"/>
  <c r="D129" i="3"/>
  <c r="D105" i="3"/>
  <c r="D131" i="3"/>
  <c r="D133" i="3"/>
  <c r="O54" i="3"/>
  <c r="D59" i="3"/>
  <c r="O60" i="3"/>
  <c r="F63" i="3"/>
  <c r="D65" i="3"/>
  <c r="O66" i="3"/>
  <c r="H69" i="3"/>
  <c r="F71" i="3"/>
  <c r="D62" i="3"/>
  <c r="F68" i="3"/>
  <c r="D70" i="3"/>
  <c r="D55" i="3"/>
  <c r="D61" i="3"/>
  <c r="D67" i="3"/>
  <c r="D64" i="3"/>
  <c r="D72" i="3"/>
  <c r="H15" i="3"/>
  <c r="F17" i="3"/>
  <c r="D19" i="3"/>
  <c r="O20" i="3"/>
  <c r="H23" i="3"/>
  <c r="F25" i="3"/>
  <c r="D27" i="3"/>
  <c r="O28" i="3"/>
  <c r="H31" i="3"/>
  <c r="F14" i="3"/>
  <c r="D16" i="3"/>
  <c r="F22" i="3"/>
  <c r="D24" i="3"/>
  <c r="F30" i="3"/>
  <c r="D13" i="3"/>
  <c r="D21" i="3"/>
  <c r="D29" i="3"/>
  <c r="D18" i="3"/>
  <c r="D26" i="3"/>
  <c r="D34" i="3"/>
  <c r="O105" i="17"/>
  <c r="O117" i="17"/>
  <c r="O119" i="17"/>
  <c r="O121" i="17"/>
  <c r="D118" i="17"/>
  <c r="O108" i="17"/>
  <c r="O112" i="17"/>
  <c r="O113" i="17"/>
  <c r="O120" i="17"/>
  <c r="O107" i="17"/>
  <c r="O129" i="17"/>
  <c r="F108" i="17"/>
  <c r="D110" i="17"/>
  <c r="O115" i="17"/>
  <c r="O104" i="17"/>
  <c r="O111" i="17"/>
  <c r="O109" i="17"/>
  <c r="D105" i="17"/>
  <c r="H109" i="17"/>
  <c r="F111" i="17"/>
  <c r="D113" i="17"/>
  <c r="H117" i="17"/>
  <c r="F119" i="17"/>
  <c r="D121" i="17"/>
  <c r="F129" i="17"/>
  <c r="D107" i="17"/>
  <c r="D115" i="17"/>
  <c r="D104" i="17"/>
  <c r="D112" i="17"/>
  <c r="D120" i="17"/>
  <c r="D130" i="17"/>
  <c r="O61" i="17"/>
  <c r="F55" i="17"/>
  <c r="D57" i="17"/>
  <c r="O58" i="17"/>
  <c r="F63" i="17"/>
  <c r="D54" i="17"/>
  <c r="F60" i="17"/>
  <c r="D62" i="17"/>
  <c r="D59" i="17"/>
  <c r="D56" i="17"/>
  <c r="D66" i="17"/>
  <c r="O53" i="17"/>
  <c r="F17" i="17"/>
  <c r="D19" i="17"/>
  <c r="H25" i="17"/>
  <c r="F27" i="17"/>
  <c r="D29" i="17"/>
  <c r="D23" i="17"/>
  <c r="D31" i="17"/>
  <c r="D18" i="17"/>
  <c r="D28" i="17"/>
  <c r="D45" i="17"/>
  <c r="R130" i="8" l="1"/>
  <c r="R167" i="8" s="1"/>
  <c r="R92" i="4"/>
  <c r="R129" i="5"/>
  <c r="R163" i="5" s="1"/>
  <c r="R88" i="8"/>
  <c r="R165" i="8" s="1"/>
  <c r="R177" i="8" s="1"/>
  <c r="R48" i="4"/>
  <c r="R142" i="4" s="1"/>
  <c r="R242" i="3"/>
  <c r="R256" i="3" s="1"/>
  <c r="R196" i="3"/>
  <c r="R254" i="3" s="1"/>
  <c r="R70" i="9"/>
  <c r="R208" i="9" s="1"/>
  <c r="R113" i="10"/>
  <c r="R110" i="10"/>
  <c r="R112" i="10"/>
  <c r="R111" i="10"/>
  <c r="R81" i="10"/>
  <c r="R80" i="10"/>
  <c r="R77" i="10"/>
  <c r="R117" i="10"/>
  <c r="R64" i="7" l="1"/>
  <c r="R68" i="7"/>
  <c r="R57" i="7"/>
  <c r="R73" i="10" l="1"/>
  <c r="R74" i="10"/>
  <c r="R31" i="7" l="1"/>
  <c r="C195" i="9" l="1"/>
  <c r="C194" i="9"/>
  <c r="D194" i="9" s="1"/>
  <c r="C193" i="9"/>
  <c r="C192" i="9"/>
  <c r="D192" i="9" s="1"/>
  <c r="C191" i="9"/>
  <c r="D191" i="9" s="1"/>
  <c r="D193" i="9" l="1"/>
  <c r="D195" i="9"/>
  <c r="R24" i="9"/>
  <c r="R27" i="7" l="1"/>
  <c r="N43" i="11" l="1"/>
  <c r="C43" i="11"/>
  <c r="N42" i="11"/>
  <c r="C42" i="11"/>
  <c r="D42" i="11" s="1"/>
  <c r="N41" i="11"/>
  <c r="C41" i="11"/>
  <c r="N40" i="11"/>
  <c r="C40" i="11"/>
  <c r="D40" i="11" s="1"/>
  <c r="N39" i="11"/>
  <c r="C39" i="11"/>
  <c r="D39" i="11" s="1"/>
  <c r="S3" i="11"/>
  <c r="S3" i="10"/>
  <c r="S3" i="9"/>
  <c r="C197" i="9"/>
  <c r="C196" i="9"/>
  <c r="D196" i="9" s="1"/>
  <c r="C34" i="9"/>
  <c r="C33" i="9"/>
  <c r="D33" i="9" s="1"/>
  <c r="C32" i="9"/>
  <c r="S3" i="8"/>
  <c r="S3" i="7"/>
  <c r="E53" i="5"/>
  <c r="F53" i="5" s="1"/>
  <c r="C53" i="5"/>
  <c r="S3" i="5"/>
  <c r="S3" i="4"/>
  <c r="C45" i="3"/>
  <c r="S3" i="3"/>
  <c r="N141" i="17"/>
  <c r="S3" i="17"/>
  <c r="O43" i="11" l="1"/>
  <c r="O42" i="11"/>
  <c r="O41" i="11"/>
  <c r="D41" i="11"/>
  <c r="R94" i="11"/>
  <c r="R95" i="11"/>
  <c r="R98" i="11"/>
  <c r="R99" i="11"/>
  <c r="R100" i="11"/>
  <c r="R26" i="7"/>
  <c r="R71" i="7"/>
  <c r="R66" i="7"/>
  <c r="R33" i="7"/>
  <c r="R118" i="17"/>
  <c r="R120" i="17"/>
  <c r="R110" i="17"/>
  <c r="R106" i="17"/>
  <c r="R114" i="17"/>
  <c r="R122" i="17"/>
  <c r="R116" i="17"/>
  <c r="R96" i="11"/>
  <c r="O40" i="11"/>
  <c r="O39" i="11"/>
  <c r="D43" i="11"/>
  <c r="R99" i="10"/>
  <c r="R82" i="10"/>
  <c r="R84" i="10"/>
  <c r="R68" i="10"/>
  <c r="R62" i="10"/>
  <c r="R67" i="10"/>
  <c r="R136" i="10"/>
  <c r="R175" i="10" s="1"/>
  <c r="R343" i="10" s="1"/>
  <c r="R85" i="10"/>
  <c r="R98" i="10"/>
  <c r="R83" i="10"/>
  <c r="R86" i="10"/>
  <c r="R138" i="10"/>
  <c r="R137" i="10"/>
  <c r="R87" i="10"/>
  <c r="R14" i="9"/>
  <c r="R15" i="9"/>
  <c r="D32" i="9"/>
  <c r="R18" i="9"/>
  <c r="D197" i="9"/>
  <c r="D34" i="9"/>
  <c r="D53" i="5"/>
  <c r="D45" i="3"/>
  <c r="O141" i="17"/>
  <c r="R136" i="17" l="1"/>
  <c r="R168" i="17" s="1"/>
  <c r="R42" i="7"/>
  <c r="R111" i="7" s="1"/>
  <c r="R133" i="11"/>
  <c r="R215" i="11" s="1"/>
  <c r="N16" i="17"/>
  <c r="L16" i="17"/>
  <c r="J16" i="17"/>
  <c r="H16" i="17"/>
  <c r="F16" i="17"/>
  <c r="D16" i="17"/>
  <c r="R30" i="17" l="1"/>
  <c r="R55" i="17"/>
  <c r="R141" i="17"/>
  <c r="R158" i="17" s="1"/>
  <c r="R170" i="17" s="1"/>
  <c r="R32" i="17"/>
  <c r="R57" i="17"/>
  <c r="R96" i="17" l="1"/>
  <c r="R166" i="17" s="1"/>
  <c r="R48" i="17"/>
  <c r="R164" i="17" s="1"/>
  <c r="R176" i="17"/>
  <c r="R182" i="17" l="1"/>
  <c r="R117" i="9"/>
  <c r="R115" i="9"/>
  <c r="R59" i="3" l="1"/>
  <c r="R59" i="5"/>
  <c r="R247" i="10" l="1"/>
  <c r="R119" i="9" l="1"/>
  <c r="R121" i="9"/>
  <c r="R123" i="9"/>
  <c r="R154" i="9" l="1"/>
  <c r="R212" i="9" s="1"/>
  <c r="R59" i="7"/>
  <c r="R95" i="4" l="1"/>
  <c r="R136" i="4" s="1"/>
  <c r="R146" i="4" s="1"/>
  <c r="J36" i="15"/>
  <c r="R15" i="3" l="1"/>
  <c r="R112" i="3"/>
  <c r="R27" i="3"/>
  <c r="R65" i="3"/>
  <c r="R108" i="3"/>
  <c r="R120" i="3"/>
  <c r="R28" i="10"/>
  <c r="R292" i="10"/>
  <c r="R308" i="10" s="1"/>
  <c r="R349" i="10" s="1"/>
  <c r="R123" i="10"/>
  <c r="R24" i="10"/>
  <c r="R51" i="7"/>
  <c r="R55" i="7"/>
  <c r="R80" i="7" s="1"/>
  <c r="R113" i="7" s="1"/>
  <c r="R127" i="7" s="1"/>
  <c r="R177" i="9"/>
  <c r="R200" i="9" s="1"/>
  <c r="R77" i="9"/>
  <c r="R93" i="9"/>
  <c r="R116" i="3"/>
  <c r="R81" i="9"/>
  <c r="R79" i="9"/>
  <c r="R87" i="9"/>
  <c r="R95" i="9"/>
  <c r="R122" i="3"/>
  <c r="R145" i="11"/>
  <c r="R25" i="3"/>
  <c r="R147" i="11"/>
  <c r="R89" i="9"/>
  <c r="R151" i="11"/>
  <c r="R143" i="11"/>
  <c r="R28" i="11"/>
  <c r="R47" i="11" s="1"/>
  <c r="R211" i="11" s="1"/>
  <c r="R109" i="10"/>
  <c r="R30" i="9"/>
  <c r="R121" i="10"/>
  <c r="R65" i="5"/>
  <c r="R88" i="5" s="1"/>
  <c r="R161" i="5" s="1"/>
  <c r="R176" i="5" s="1"/>
  <c r="R22" i="9"/>
  <c r="R63" i="3"/>
  <c r="R61" i="3"/>
  <c r="R114" i="3"/>
  <c r="R110" i="3"/>
  <c r="R31" i="3"/>
  <c r="R29" i="3"/>
  <c r="R19" i="3"/>
  <c r="R106" i="3"/>
  <c r="R23" i="3"/>
  <c r="R124" i="3"/>
  <c r="R118" i="3"/>
  <c r="R130" i="10" l="1"/>
  <c r="R341" i="10" s="1"/>
  <c r="R99" i="3"/>
  <c r="R250" i="3" s="1"/>
  <c r="R147" i="3"/>
  <c r="R252" i="3" s="1"/>
  <c r="R50" i="3"/>
  <c r="R248" i="3" s="1"/>
  <c r="R181" i="11"/>
  <c r="R217" i="11" s="1"/>
  <c r="R108" i="9"/>
  <c r="R210" i="9" s="1"/>
  <c r="R37" i="9"/>
  <c r="R206" i="9" s="1"/>
  <c r="R38" i="10"/>
  <c r="R46" i="10"/>
  <c r="R235" i="10"/>
  <c r="R263" i="10" s="1"/>
  <c r="R347" i="10" s="1"/>
  <c r="R51" i="10" l="1"/>
  <c r="R337" i="10" s="1"/>
  <c r="R66" i="10"/>
  <c r="R92" i="10" s="1"/>
  <c r="R214" i="9"/>
  <c r="R231" i="9" s="1"/>
  <c r="R221" i="11" l="1"/>
  <c r="R228" i="11" s="1"/>
  <c r="R339" i="10"/>
  <c r="R355" i="10" s="1"/>
  <c r="R270" i="3" l="1"/>
  <c r="R144" i="4" l="1"/>
  <c r="R162" i="4" s="1"/>
</calcChain>
</file>

<file path=xl/sharedStrings.xml><?xml version="1.0" encoding="utf-8"?>
<sst xmlns="http://schemas.openxmlformats.org/spreadsheetml/2006/main" count="2852" uniqueCount="956">
  <si>
    <t>AED</t>
  </si>
  <si>
    <t>To Collection</t>
  </si>
  <si>
    <t>Unit</t>
  </si>
  <si>
    <t>Quantity</t>
  </si>
  <si>
    <t>Description</t>
  </si>
  <si>
    <t>Item</t>
  </si>
  <si>
    <t>Rate                      AED</t>
  </si>
  <si>
    <t>Amount                               AED</t>
  </si>
  <si>
    <t>GENERALLY</t>
  </si>
  <si>
    <t>DOORS AND WINDOWS</t>
  </si>
  <si>
    <t>m²</t>
  </si>
  <si>
    <t>FINISHES</t>
  </si>
  <si>
    <t>m</t>
  </si>
  <si>
    <t>TO MAIN SUMMARY</t>
  </si>
  <si>
    <t>SUMMARY</t>
  </si>
  <si>
    <t>To Summary</t>
  </si>
  <si>
    <t>ACCESSORIES</t>
  </si>
  <si>
    <t>COLLECTION</t>
  </si>
  <si>
    <t>THERMAL AND MOISTURE PROTECTION</t>
  </si>
  <si>
    <t>WOODWORK</t>
  </si>
  <si>
    <t>Allow for any other works which are not included above and which are required to complete the Woodwork in accordance with the Specification and the Drawings (Tenderer to list below):</t>
  </si>
  <si>
    <t>TOTAL FOR WOODWORK</t>
  </si>
  <si>
    <t>TOTAL</t>
  </si>
  <si>
    <t>Total</t>
  </si>
  <si>
    <t>SITE WORK</t>
  </si>
  <si>
    <t>CONCRETE WORK</t>
  </si>
  <si>
    <t>MASONRY</t>
  </si>
  <si>
    <t>METALWORK</t>
  </si>
  <si>
    <t>MECHANICAL ENGINEERING INSTALLATIONS</t>
  </si>
  <si>
    <t>ELECTRICAL ENGINEERING INSTALLATIONS</t>
  </si>
  <si>
    <t>COUNTERTOPS</t>
  </si>
  <si>
    <t>COUNTERTOPS (CONT'D)</t>
  </si>
  <si>
    <t>VANITY MIRRORS</t>
  </si>
  <si>
    <t>BATHROOM ACCESSORIES</t>
  </si>
  <si>
    <t>BATHROOM PARTITIONS AND DOORS</t>
  </si>
  <si>
    <t>Allow for any other works which are not included above and which are required to complete the Accessories in accordance with the Specification and the Drawings (Tenderer to list below):</t>
  </si>
  <si>
    <t>TOTAL FOR ACCESSORIES</t>
  </si>
  <si>
    <t>TOTAL FOR FINISHES</t>
  </si>
  <si>
    <t>Allow for any other works which are not included above and which are required to complete the Finishes Work in accordance with the Specification and the Drawings (Tenderer to list below):</t>
  </si>
  <si>
    <t>BACKGROUNDS</t>
  </si>
  <si>
    <t>Internal work</t>
  </si>
  <si>
    <t>External work</t>
  </si>
  <si>
    <t>FINISHINGS</t>
  </si>
  <si>
    <t>To walls; to receive paint</t>
  </si>
  <si>
    <t>FINISHINGS (CONT'D)</t>
  </si>
  <si>
    <t>Internal work (Cont'd)</t>
  </si>
  <si>
    <t>SUSPENDED CEILINGS</t>
  </si>
  <si>
    <t>DECORATIONS</t>
  </si>
  <si>
    <t>Ceilings; drop over 500mm not exceeding 1000mm</t>
  </si>
  <si>
    <t>NON-STRUCTURAL METALWORK</t>
  </si>
  <si>
    <t>NON-STRUCTURAL METALWORK (CONT'D)</t>
  </si>
  <si>
    <t>Allow for any other works which are not included above and which are required to complete the Metalwork in accordance with the Specification and the Drawings (Tenderer to list below):</t>
  </si>
  <si>
    <t>TOTAL FOR METALWORK</t>
  </si>
  <si>
    <t>WALLS AND PIERS</t>
  </si>
  <si>
    <t>SUNDRIES</t>
  </si>
  <si>
    <t>Allow for all joints in masonry; including fire resistant compressible joint filler, sealant, angle head restraints, telescopic, sleeved and/or debonded ties and the like</t>
  </si>
  <si>
    <t>TOTAL FOR MASONRY</t>
  </si>
  <si>
    <t>Allow for any other works which are not included above and which are required to complete the Masonry in accordance with the Specification and the Drawings (Tenderer to list below):</t>
  </si>
  <si>
    <t>SUBSTRUCTURE WATERPROOFING</t>
  </si>
  <si>
    <t>To horizontal surfaces</t>
  </si>
  <si>
    <t>To vertical surfaces</t>
  </si>
  <si>
    <t>WET AREA WATERPROOFING</t>
  </si>
  <si>
    <t>ROOF AREA WATERPROOFING</t>
  </si>
  <si>
    <t>Allow for any other works which are not included above and which are required to complete the Thermal and Moisture Protection in accordance with the Specification and the Drawings (Tenderer to list below):</t>
  </si>
  <si>
    <t>Allow for all in-situ concrete stiffening posts in masonry; including all reinforcement, formwork, additional ties and the like</t>
  </si>
  <si>
    <t>Extra over for cutting hole for basin unit</t>
  </si>
  <si>
    <t>A</t>
  </si>
  <si>
    <t>B</t>
  </si>
  <si>
    <t>C</t>
  </si>
  <si>
    <t>D</t>
  </si>
  <si>
    <t>E</t>
  </si>
  <si>
    <t>F</t>
  </si>
  <si>
    <t>G</t>
  </si>
  <si>
    <t>H</t>
  </si>
  <si>
    <t>J</t>
  </si>
  <si>
    <t>K</t>
  </si>
  <si>
    <t>L</t>
  </si>
  <si>
    <t>M</t>
  </si>
  <si>
    <t>DOORS</t>
  </si>
  <si>
    <t>N</t>
  </si>
  <si>
    <t>P</t>
  </si>
  <si>
    <t>Q</t>
  </si>
  <si>
    <t>R</t>
  </si>
  <si>
    <t>S</t>
  </si>
  <si>
    <t>WINDOWS (CONT'D)</t>
  </si>
  <si>
    <t>IRONMONGERY</t>
  </si>
  <si>
    <t>INSULATION</t>
  </si>
  <si>
    <t>DECORATIONS (CONT'D)</t>
  </si>
  <si>
    <t>SANITARY FITTINGS</t>
  </si>
  <si>
    <t>DOORS (CONT'D)</t>
  </si>
  <si>
    <t xml:space="preserve">Ironmongery; fixed to wood doors and frames; including all matching screws and the like fixings; as ID Design Ironmongery Schedule </t>
  </si>
  <si>
    <t>Allow for any other works which are not included above and which are required to complete the Doors and Windows in accordance with the Specification and the Drawings (Tenderer to list below):</t>
  </si>
  <si>
    <t>TOTAL FOR DOORS AND WINDOWS</t>
  </si>
  <si>
    <t>TOTAL FOR THERMAL AND MOISTURE PROTECTION</t>
  </si>
  <si>
    <t>SITE PREPARATION</t>
  </si>
  <si>
    <t>EXCAVATION</t>
  </si>
  <si>
    <t>m³</t>
  </si>
  <si>
    <t>DISPOSAL</t>
  </si>
  <si>
    <t>Disposal of material arising from excavation</t>
  </si>
  <si>
    <t>Removed off site including a suitable tip</t>
  </si>
  <si>
    <t>Allow for any other works which are not included above and which are required to complete the Site Work in accordance with the Specification and the Drawings (Tenderer to list below):</t>
  </si>
  <si>
    <t>TOTAL FOR SITE WORK</t>
  </si>
  <si>
    <t>WALLS AND PIERS (CONT'D)</t>
  </si>
  <si>
    <t>POURED CONCRETE</t>
  </si>
  <si>
    <t>Blinding; 50mm thick</t>
  </si>
  <si>
    <t>Foundations</t>
  </si>
  <si>
    <t>Columns; below grade slab</t>
  </si>
  <si>
    <t>Columns</t>
  </si>
  <si>
    <t>Lintels</t>
  </si>
  <si>
    <t>Beams</t>
  </si>
  <si>
    <t>REINFORCEMENT</t>
  </si>
  <si>
    <t>t</t>
  </si>
  <si>
    <t>Suspended slabs</t>
  </si>
  <si>
    <t>To beds</t>
  </si>
  <si>
    <t>SHUTTERING</t>
  </si>
  <si>
    <t>Sides of foundations</t>
  </si>
  <si>
    <t>Sides of columns; below grade slab</t>
  </si>
  <si>
    <t>Soffits of suspended slabs</t>
  </si>
  <si>
    <t>Sides of columns</t>
  </si>
  <si>
    <t>Sides and soffits of beams</t>
  </si>
  <si>
    <t>Sides and soffits of lintels</t>
  </si>
  <si>
    <t>Edges; not exceeding 300mm high</t>
  </si>
  <si>
    <t>Allow for all joints in Concrete Work including designed joints</t>
  </si>
  <si>
    <t>Allow for any other works which are not included above and which are required to complete the Concrete Work in accordance with the Specification and the Drawings (Tenderer to list below):</t>
  </si>
  <si>
    <t>TOTAL FOR CONCRETE WORK</t>
  </si>
  <si>
    <t>Shuttering; smooth formed finish</t>
  </si>
  <si>
    <t>Shuttering; rough formed finish</t>
  </si>
  <si>
    <t>SUB-MAINS INSTALLATION</t>
  </si>
  <si>
    <t>SMALL POWER INSTALLATION</t>
  </si>
  <si>
    <t>SMALL POWER INSTALLATION (CONT'D)</t>
  </si>
  <si>
    <t>LIGHTING INSTALLATION</t>
  </si>
  <si>
    <t>Lighting switch point</t>
  </si>
  <si>
    <t>Lighting point</t>
  </si>
  <si>
    <t>VOICE AND DATA COMMUNICATION SYSTEM INSTALLATION</t>
  </si>
  <si>
    <t>SUNDRIES TO ELECTRICAL ENGINEERING INSTALLATION</t>
  </si>
  <si>
    <t>Allow for all connections to mains services</t>
  </si>
  <si>
    <t>Allow for all supports, fixings, anchors and insulating blocks where not included above or elsewhere</t>
  </si>
  <si>
    <t>Allow for all identification including painting, marking and labelling</t>
  </si>
  <si>
    <t>Allow for inspection, testing and commissioning including all off-site and factory testing; inspections to demonstrate compliance with relevant specifications and standards; operating the completed installations; submitting all relevant test record sheets at the completion of the installations</t>
  </si>
  <si>
    <t>Allow for providing in suitable quantities all special tools, operating handles and keys or other equipment necessary for installation, maintenance or operation of the completed installation</t>
  </si>
  <si>
    <t>Allow for providing spares for the Electrical Engineering Installation</t>
  </si>
  <si>
    <t>Allow for providing comprehensive equipment documentation including operating instructions and maintenance manuals, record documents, warranties, guarantees, drawings and the like</t>
  </si>
  <si>
    <t>WORK INCIDENTAL TO ELECTRICAL ENGINEERING INSTALLATION</t>
  </si>
  <si>
    <t>Allow for planning and coordinating with relevant statutory authorities and with all other trades</t>
  </si>
  <si>
    <t>Allow for liaison with obtaining approvals and attendance on DEWA, other statutory bodies and service providers as required</t>
  </si>
  <si>
    <t>Allow for marking the positions of and cutting or forming holes, mortices, chases or the like and all making good</t>
  </si>
  <si>
    <t>Allow for supplying and fixing all sleeves, frames and built-in fire stoppers for building into concrete structures and masonry walls</t>
  </si>
  <si>
    <t>Allow for supplying and fixing all brackets, clamps and other fixing devices including building in or cutting and pinning and all making good</t>
  </si>
  <si>
    <t>Allow for fire stopping all cables, conduit, trucking, cable tray and the like at penetrations through fire walls and other structures and making good</t>
  </si>
  <si>
    <t>Allow for all incidental work including factory finishing, fixing to all backgrounds by appropriate means and all making good</t>
  </si>
  <si>
    <t>Allow for training the Employer's Staff to operate and maintain the Electrical Engineering Installations</t>
  </si>
  <si>
    <t>Allow for all incidental work to the Electrical Engineering Installations where not included above or elsewhere</t>
  </si>
  <si>
    <t>Allow for any other works which are not included above and which are required to complete the Electrical Engineering Installations in accordance with the Specification and the Drawings (Tenderer to list below):</t>
  </si>
  <si>
    <t>110mm diameter</t>
  </si>
  <si>
    <t>Equipment</t>
  </si>
  <si>
    <t>REFRIGERANT PIPING INSTALLATION</t>
  </si>
  <si>
    <t>Copper refrigerant pipe and fittings</t>
  </si>
  <si>
    <t>HVAC INSTALLATION</t>
  </si>
  <si>
    <t>Fresh air ductwork</t>
  </si>
  <si>
    <t>HVAC INSTALLATION (CONT'D)</t>
  </si>
  <si>
    <t>SUNDRIES TO MECHANICAL ENGINEERING INSTALLATIONS</t>
  </si>
  <si>
    <t>Allow for all connections to existing services mains</t>
  </si>
  <si>
    <t>Allow for earthing and bonding as specified; in particular all ductwork systems shall be provided with earth continuity protection at all joints</t>
  </si>
  <si>
    <t>Allow for all supports, fixings, anchors, insulating blocks and anti-vibration devices where not included above or elsewhere</t>
  </si>
  <si>
    <t>Allow for all identification including painting, marking and labelling, including labelling all valves</t>
  </si>
  <si>
    <t>Allow for flushing, cleaning, sterilization and chlorination of the completed installations as necessary</t>
  </si>
  <si>
    <t>Allow for providing in suitable quantities all special tools, operating handles and keys or other equipment necessary for installation, maintenance or operation of the completed installations</t>
  </si>
  <si>
    <t>Allow for providing spares for Mechanical Engineering Installations</t>
  </si>
  <si>
    <t>Allow for vibration and noise control where not included above or elsewhere</t>
  </si>
  <si>
    <t>WORK INCIDENTAL TO MECHANICAL ENGINEERING INSTALLATIONS</t>
  </si>
  <si>
    <t>Allow for fire stopping all pipes, ducts and the like at penetrations through fire walls and other structures and making good</t>
  </si>
  <si>
    <t>Allow for training the Employer's Staff to operate and maintain the Mechanical Engineering Installations</t>
  </si>
  <si>
    <t>Allow for all incidental work to the Mechanical Engineering Installations where not included above or elsewhere</t>
  </si>
  <si>
    <t>Allow for any other works which are not included above and which are required to complete the Mechanical Engineering Installations in accordance with the Specification and the Drawings (Tenderer to list below):</t>
  </si>
  <si>
    <t>TOTAL FOR MECHANICAL ENGINEERING INSTALLATIONS</t>
  </si>
  <si>
    <t>TOTAL FOR ELECTRICAL ENGINEERING INSTALLATIONS</t>
  </si>
  <si>
    <t>a. The Mechanical Engineering Installations are deemed to include for all work at all levels as shown on the drawings</t>
  </si>
  <si>
    <t>a. The Electrical Engineering Installations are deemed to include for all work at all levels as shown on the Drawings</t>
  </si>
  <si>
    <t>Extra over for cutting hole for sink unit</t>
  </si>
  <si>
    <t>FINISHINGS AND FITTINGS</t>
  </si>
  <si>
    <t>FINISHINGS AND FITTINGS (CONT'D)</t>
  </si>
  <si>
    <t xml:space="preserve"> </t>
  </si>
  <si>
    <t>MISCELLANEOUS</t>
  </si>
  <si>
    <t>KITCHEN EQUIPMENT</t>
  </si>
  <si>
    <r>
      <rPr>
        <u/>
        <sz val="11"/>
        <rFont val="Arial"/>
        <family val="2"/>
      </rPr>
      <t>Note</t>
    </r>
    <r>
      <rPr>
        <sz val="11"/>
        <rFont val="Arial"/>
        <family val="2"/>
      </rPr>
      <t>: refer to Architectural Specifications Section 08800, 088300, 102800, 102819, 123640 and Interior Design Hard Finishes Schedule</t>
    </r>
  </si>
  <si>
    <t>Ceilings; drop over 1000mm not exceeding 1500mm</t>
  </si>
  <si>
    <t>Cement sand levelling screed; as Specification Section 035440</t>
  </si>
  <si>
    <t>Strip footings</t>
  </si>
  <si>
    <t>Beds; 100mm thick</t>
  </si>
  <si>
    <t>Upstands and Parapet walls</t>
  </si>
  <si>
    <t>Sides of upstands and parapet walls</t>
  </si>
  <si>
    <t>POURED CONCRETE (CONT'D)</t>
  </si>
  <si>
    <t>STRUCTURAL METALWORK</t>
  </si>
  <si>
    <t>Protective Treatment; including surface preparation</t>
  </si>
  <si>
    <t>Corrosion protection system</t>
  </si>
  <si>
    <t>Fireproofing and intumescent coating system</t>
  </si>
  <si>
    <t>EXTERNAL WATERPROOFING</t>
  </si>
  <si>
    <t>Solid concrete blockwork; bedded and jointed in cement and sand mortar; including damp proof course, expanded metal mesh, grout, horizontal bed joint reinforcement as required and all necessary fixing accessories, flashings, ties, anchors and the like</t>
  </si>
  <si>
    <r>
      <rPr>
        <u/>
        <sz val="11"/>
        <rFont val="Arial"/>
        <family val="2"/>
      </rPr>
      <t>Note</t>
    </r>
    <r>
      <rPr>
        <sz val="11"/>
        <rFont val="Arial"/>
        <family val="2"/>
      </rPr>
      <t xml:space="preserve">: </t>
    </r>
  </si>
  <si>
    <t>Balcony drain; 50mm diameter</t>
  </si>
  <si>
    <t>Cleanout; 110mm diameter</t>
  </si>
  <si>
    <t>25mm diameter</t>
  </si>
  <si>
    <t>32mm diameter</t>
  </si>
  <si>
    <t>40mm diameter</t>
  </si>
  <si>
    <t>50mm diameter</t>
  </si>
  <si>
    <t>Thermal insulation; flexible elastomeric insulation, 13mm thick, to following condensate drain pipes and fittings</t>
  </si>
  <si>
    <t>15mm diameter</t>
  </si>
  <si>
    <t>Fixed to 32mm diameter pipe</t>
  </si>
  <si>
    <t>Hose bib with lock</t>
  </si>
  <si>
    <t>Float valve</t>
  </si>
  <si>
    <t>20mm diameter</t>
  </si>
  <si>
    <t>Set</t>
  </si>
  <si>
    <t>Equipment (Cont'd)</t>
  </si>
  <si>
    <t>Fire Extinguishers</t>
  </si>
  <si>
    <t>Fire blanket</t>
  </si>
  <si>
    <t>Emergency shut off switch</t>
  </si>
  <si>
    <t>Gas leak detector</t>
  </si>
  <si>
    <t>Refrigerant pipework between indoor and outdoor units, including fittings, valves, supports, and all necessary accessories (pipe measured one way only)</t>
  </si>
  <si>
    <t>To copper refrigerant pipes and fittings</t>
  </si>
  <si>
    <t xml:space="preserve">Covered galvanized steel cable trays, including all ancillary works as necessary </t>
  </si>
  <si>
    <t>Exhaust air ductwork</t>
  </si>
  <si>
    <t>Ductwork accessories, including ancillary work as necessary</t>
  </si>
  <si>
    <t>Flexible ductwork with volume damper</t>
  </si>
  <si>
    <t>200mm diameter</t>
  </si>
  <si>
    <t>Exhaust air diffuser (EAD)</t>
  </si>
  <si>
    <t>Ductwork accessories, including ancillary work as necessary (Cont'd)</t>
  </si>
  <si>
    <t>Return air diffuser (RAD)</t>
  </si>
  <si>
    <t>Supply air diffuser (SAD)</t>
  </si>
  <si>
    <t>150 x 100mm</t>
  </si>
  <si>
    <t>Plenum box (PB)</t>
  </si>
  <si>
    <t>500 x 200 x 250mm</t>
  </si>
  <si>
    <t>250 x 200mm</t>
  </si>
  <si>
    <t>Allow for all protective painting including removing protective coatings or wrappings and cleaning exposed surfaces for Mechanical installations.</t>
  </si>
  <si>
    <t>Allow for all decorative painting including removing protective coatings or wrappings and cleaning and polishing exposed surfaces for Mechanical installations.</t>
  </si>
  <si>
    <t>SUB-MAINS INSTALLATION (CONT'D)</t>
  </si>
  <si>
    <t>Cable and conduit to termination points</t>
  </si>
  <si>
    <t>LIGHTING INSTALLATION (CONT"D)</t>
  </si>
  <si>
    <t>Allow for all protective painting including removing protective coatings or wrappings and cleaning exposed surfaces for Electrical installations.</t>
  </si>
  <si>
    <t>Allow for all decorative painting including removing protective coatings or wrappings and cleaning exposed surfaces for Electrical installations.</t>
  </si>
  <si>
    <t>Removed off site including a suitable tip from underground drainage</t>
  </si>
  <si>
    <t>Accessories, including ancillary work as necessary</t>
  </si>
  <si>
    <t>Staircases</t>
  </si>
  <si>
    <t>To parapet walls</t>
  </si>
  <si>
    <t>250 x 150mm</t>
  </si>
  <si>
    <t>ROOF AREA WATERPROOFING (CONT'D)</t>
  </si>
  <si>
    <t>WORK INCIDENTAL TO ELECTRICAL ENGINEERING INSTALLATION (CONT'D)</t>
  </si>
  <si>
    <t>Rate Only</t>
  </si>
  <si>
    <t>To floors; 50mm thick; to receive porcelain tiles; external terraces</t>
  </si>
  <si>
    <t>To horizontal surfaces; to balcony</t>
  </si>
  <si>
    <t>Note: Refer to the following.</t>
  </si>
  <si>
    <t>DRAINAGE INSTALLATION</t>
  </si>
  <si>
    <t>DRAINAGE INSTALLATION (CONT'D)</t>
  </si>
  <si>
    <t>Cleanout; 25mm diameter</t>
  </si>
  <si>
    <t>WATER INSTALLATION</t>
  </si>
  <si>
    <t>WATER INSTALLATION (CONT'D)</t>
  </si>
  <si>
    <t>FIRE PROTECTION INSTALLATION</t>
  </si>
  <si>
    <t>GAS INSTALLATION</t>
  </si>
  <si>
    <t>GAS INSTALLATION (CONT'D)</t>
  </si>
  <si>
    <t>Duct insulation, including all ancillary works as necessary to external air ductwork</t>
  </si>
  <si>
    <t>Volume damper (VD)</t>
  </si>
  <si>
    <t>Linear lighting point</t>
  </si>
  <si>
    <t>TELECOM INSTALLATION</t>
  </si>
  <si>
    <t>Filling to make up levels with granular base materials</t>
  </si>
  <si>
    <t>Site Clearance</t>
  </si>
  <si>
    <t>1. Specification Division 31</t>
  </si>
  <si>
    <t>Termite Control</t>
  </si>
  <si>
    <t>Excavation; including supports and all ancillary works as necessary</t>
  </si>
  <si>
    <t>3. Drawing Nr. S-001 to S-003A inclusive</t>
  </si>
  <si>
    <t>2. Geotechnical Investigation Report Ref. Nr. PDS/24174/REV.01</t>
  </si>
  <si>
    <t>Nr.</t>
  </si>
  <si>
    <t>Page Nr.</t>
  </si>
  <si>
    <t>Page           Nr.</t>
  </si>
  <si>
    <t>Removal of debris, rubbish, vegetation, any existing foundation and services and the like prior to the commencement of excavation works; including disposal to approved location</t>
  </si>
  <si>
    <t>Trench excavation to receive tie/ ground beams</t>
  </si>
  <si>
    <t>PAVING AND SURFACING</t>
  </si>
  <si>
    <t>Precast concrete pavers hydraulic press footpath paving running bond pattern; 300x600x60mm thick; in beige shotblast finish; laid on and including compacted base and subgrade, joints filled with sand and blocks laid to fall and all necessary ancillary works</t>
  </si>
  <si>
    <t>Paving type 01</t>
  </si>
  <si>
    <t>Paving type 2</t>
  </si>
  <si>
    <t>Precast concrete kerb; including foundation, haunching, excavation, disposal, finishes, mortar bed, jointing and pointing and all necessary ancillary works</t>
  </si>
  <si>
    <t>Precast concrete pavers semi dry mix; tegula pattern; combination of 300x300/150x60mm thick; in light brown and grey color; in shotblast finish; laid on and including compacted base and subgrade, joints filled with sand and blocks laid to fall and all necessary ancillary works</t>
  </si>
  <si>
    <t>200 x 150mm high</t>
  </si>
  <si>
    <t>75 x 150mm high</t>
  </si>
  <si>
    <t>Foundation beams</t>
  </si>
  <si>
    <t>Tie beams</t>
  </si>
  <si>
    <t>Reinforced concrete; concrete grade C40/32; ordinary portland cement</t>
  </si>
  <si>
    <t>Plain concrete; concrete grade C20/16; 180kg/cm² compressive strength in 28days; sulphate resistant cement</t>
  </si>
  <si>
    <t>Suspended slabs; 170mm thick</t>
  </si>
  <si>
    <t>High yield steel deformed bar reinforcement; (FY) = 5000kg/cm²; to comply with  BS 4449</t>
  </si>
  <si>
    <t>Reinforced concrete; concrete grade C40/32; sulphate resisting cement</t>
  </si>
  <si>
    <t>Sides of foundation beams</t>
  </si>
  <si>
    <t>Sides of tie beams</t>
  </si>
  <si>
    <t>Reinforced concrete; concrete grade C20; sulphate resisting cement</t>
  </si>
  <si>
    <t>A142 mesh reinforcement; to comply with BS 4483</t>
  </si>
  <si>
    <t>1. Structural General Notes &amp; Details Drawing Nr. S-001 to S-002F inclusive</t>
  </si>
  <si>
    <t>2. Structural Specification Division 3: Section 033000, 034100 &amp; 035216</t>
  </si>
  <si>
    <t>Note: Refer to the following</t>
  </si>
  <si>
    <t>1. Structural General Details Drawing Nr. S-002C</t>
  </si>
  <si>
    <t>2. Architectural General Notes Drawing Nr. A-01 &amp; A-530</t>
  </si>
  <si>
    <t>200mm thick; to top of footing</t>
  </si>
  <si>
    <t>200mm thick; under external tie beams</t>
  </si>
  <si>
    <t>Hollow / lightweight concrete blockwork; bedded and jointed in cement and sand mortar; including damp proof course, expanded metal mesh, grout, horizontal bed joint reinforcement as required and all necessary fixing accessories, flashings, ties, anchors and the like</t>
  </si>
  <si>
    <t>100mm thick; acoustic insulation Rw40+</t>
  </si>
  <si>
    <t>100mm thick; acoustic insulation Rw50+</t>
  </si>
  <si>
    <t>100mm thick; acoustic insulation Rw55+</t>
  </si>
  <si>
    <t>150mm thick; acoustic insulation Rw40+</t>
  </si>
  <si>
    <t>Internal walls</t>
  </si>
  <si>
    <t>Insulated blockwork; bedded and jointed in cement and sand mortar, including insulation, steel mesh, horizontal bed joint reinforcement as required and all necessary fixing accessories, ties, anchors and the like</t>
  </si>
  <si>
    <t>External walls</t>
  </si>
  <si>
    <t>200mm thick; acoustic insulation Rw50+</t>
  </si>
  <si>
    <t>250mm thick; acoustic insulation Rw50+</t>
  </si>
  <si>
    <t>350mm thick; acoustic insulation Rw50+</t>
  </si>
  <si>
    <t>1200mm high; floor mounted; detail 7; to balcony</t>
  </si>
  <si>
    <t>Parking shade; comprising powder coated ACP cladding; rigidly fixed to steel structure (measured elsewhere); including concrete foundation, excavation, disposal, backfilling, steel supports, connections and joints and all necessary accessories; as Drawing Nr. LAC-591-A-520 to 521</t>
  </si>
  <si>
    <r>
      <rPr>
        <u/>
        <sz val="11"/>
        <rFont val="Arial"/>
        <family val="2"/>
      </rPr>
      <t>Note</t>
    </r>
    <r>
      <rPr>
        <sz val="11"/>
        <rFont val="Arial"/>
        <family val="2"/>
      </rPr>
      <t xml:space="preserve">: refer to </t>
    </r>
  </si>
  <si>
    <t xml:space="preserve">1. Architectural Specifications Section 061000, 062023, 099300 &amp; 123530 </t>
  </si>
  <si>
    <t>2. Interior Design Drawings and Specifications</t>
  </si>
  <si>
    <t>2. Architectural General Notes Drawing Nr. A-01 &amp; A-02</t>
  </si>
  <si>
    <t>2. Architectural Specifications Division 07</t>
  </si>
  <si>
    <t>3. Architectural General Notes Drawing Nr. A-01 &amp; A-02</t>
  </si>
  <si>
    <t>To horizontal surfaces; to slab on grade</t>
  </si>
  <si>
    <t>Waterproofing membrane; 2layer - 5mm thick polymer-bitumen modified with elastomers, plastomers and reinforced with 180g/m² non-woven fabric of continuously extruded spun bond rot-proof polyester; including surface preparation and all necessary ancillary works; as Specification Section 071352</t>
  </si>
  <si>
    <t>Waterproofing to wet areas; prepackaged, polymer-modified cement waterproofing; including surface preparation and all necessary ancillary works; as Specification section 071613</t>
  </si>
  <si>
    <t>assume 1200mm high</t>
  </si>
  <si>
    <t>To vertical surfaces; shower walls</t>
  </si>
  <si>
    <t>To horizontal surfaces; accessible roof area</t>
  </si>
  <si>
    <t>To horizontal surfaces; non-accessible roof area</t>
  </si>
  <si>
    <t>Polystyrene rigid insulation; 100mm thick board; 35 kg/m density</t>
  </si>
  <si>
    <t>Filter membrane</t>
  </si>
  <si>
    <t>Loose Gravel; 75mm thick</t>
  </si>
  <si>
    <t>Waterproofing; 5mm thick torch applied modified bitumen waterproofing membrane, bituminous primer coat; including trims, skirting, flashings, linings to gutters and all necessary fixings and accessories</t>
  </si>
  <si>
    <t>Aluminium flashing; including filling, sealant and necessary fixings</t>
  </si>
  <si>
    <t>Bitumen impregnated protection board; including all necessary ancillary works</t>
  </si>
  <si>
    <t>Bituminous paint; 2 layer; including surface preparation and all ancillary works as necessary</t>
  </si>
  <si>
    <t>To ceiling; to receive EIFS cladding</t>
  </si>
  <si>
    <t>4. Drawing Nr. A-420, A-530</t>
  </si>
  <si>
    <t>Waterproofing membrane; including surface preparation and all necessary ancillary works</t>
  </si>
  <si>
    <t>To vertical surfaces; turn-up; 125mm; to balcony</t>
  </si>
  <si>
    <t>To ceiling; entrance</t>
  </si>
  <si>
    <t>Type D1; single leaf door; 1000 x 2200mm; acoustic rating Rw 30+; to bedroom &amp; general areas</t>
  </si>
  <si>
    <t>Type D2; single leaf door; 900 x 2200mm; acoustic rating Rw 30+; to kitchen</t>
  </si>
  <si>
    <t>Type D3; single leaf door; 800 x 2200mm; acoustic rating Rw 30+; to bath/toilet</t>
  </si>
  <si>
    <t>Type D4; double leaf door; 900 x 2200mm; acoustic rating Rw 30+; to laundry/store/janitor/equipment</t>
  </si>
  <si>
    <t>1. Architectural Specifications Division 08</t>
  </si>
  <si>
    <t>3. Drawing Nr. A-610, ID-801 to 807 inclusive</t>
  </si>
  <si>
    <t>WINDOWS</t>
  </si>
  <si>
    <t>Window type W2; overall size 600 x 1200mm; fixed panel</t>
  </si>
  <si>
    <t>Hardware set 02 to Door type D1; to all bedrooms doors including maid's room door</t>
  </si>
  <si>
    <t>Hardware set 03 to Door type D3; to all bathrooms doors including maid's bath door</t>
  </si>
  <si>
    <t>Hardware set 04 to Door type D2; to kitchen door</t>
  </si>
  <si>
    <t>Hardware set 05 to Door type D4; to laundry/ store</t>
  </si>
  <si>
    <t>HA-01; 3D concealed hinge</t>
  </si>
  <si>
    <t>HA-02; mortice lock</t>
  </si>
  <si>
    <t>HA-03; Cylinder</t>
  </si>
  <si>
    <t>HA-04; Lever handle rose</t>
  </si>
  <si>
    <t>HA-05; Lever action flush bolt</t>
  </si>
  <si>
    <t>HA-06; Dust socket</t>
  </si>
  <si>
    <t>HA-07; Concealed magnetic door stop</t>
  </si>
  <si>
    <t>HA-08; Door viewer</t>
  </si>
  <si>
    <t>HA-09; Ball bearing hinge</t>
  </si>
  <si>
    <t>HA-10; Thumbturn cylinder</t>
  </si>
  <si>
    <t>HA-11; Lever handle on rose</t>
  </si>
  <si>
    <t>HA-12; Door stopper</t>
  </si>
  <si>
    <t>HA-13; Mortice bathroom lock</t>
  </si>
  <si>
    <t>HA-14; Bathroom thumbturn lock with emergency release</t>
  </si>
  <si>
    <t>HA-15; concealed hinge</t>
  </si>
  <si>
    <t>HA-16; Spring loaded roller latch</t>
  </si>
  <si>
    <t>HA-17; Knife edge pull</t>
  </si>
  <si>
    <t>Coping beams</t>
  </si>
  <si>
    <t>Sides and soffits of coping beams</t>
  </si>
  <si>
    <t>PRECAST CONCRETE</t>
  </si>
  <si>
    <t>Precast shaft cover; including all necessary ancillary works</t>
  </si>
  <si>
    <t>Step blockwork; 173mm thick</t>
  </si>
  <si>
    <t>250mm thick; under external tie beams</t>
  </si>
  <si>
    <t>250mm thick; to top of footing</t>
  </si>
  <si>
    <t>150mm thick; acoustic insulation Rw50+</t>
  </si>
  <si>
    <t>Car Shades</t>
  </si>
  <si>
    <t>1100mm high; sloping</t>
  </si>
  <si>
    <t>600 x 9100mm high with protection cage</t>
  </si>
  <si>
    <t>1800mm high</t>
  </si>
  <si>
    <t>To floors; 75mm thick; to receive tiles</t>
  </si>
  <si>
    <t>Cement sand plaster; as Specification Section 092400</t>
  </si>
  <si>
    <t>To walls; to receive tiles</t>
  </si>
  <si>
    <t>To walls; to receive anti fungal paint</t>
  </si>
  <si>
    <t>To slab soffit; to receive paint</t>
  </si>
  <si>
    <t>To treads and risers; 20mm thick; to receive ceramic tiles</t>
  </si>
  <si>
    <t>Cement sand levelling screed; slope to fall</t>
  </si>
  <si>
    <t>1. Architectural Specifications Division 09</t>
  </si>
  <si>
    <t>3.  Interior Design Specification - Hard Finishes Schedule</t>
  </si>
  <si>
    <t>To floors; 600 x 600 x 9mm thick; type TL-01</t>
  </si>
  <si>
    <t>Skirting; 100 x 600 x 9mm thick; type TL-02</t>
  </si>
  <si>
    <t>To floors; 600 x 600mm; type CT-1 to balcony, ramp &amp; entrance</t>
  </si>
  <si>
    <t>Cement tiles; 600 x 600 x 50mm thick (hydraulic type); loose laid over PVC pedestals, including grouting joints, paver bond, adhesive and necessary fixings</t>
  </si>
  <si>
    <t>Bulkheads; depth over 500 mm but not exceeding 1000mm</t>
  </si>
  <si>
    <t>Bulkheads; depth over 1000 mm but not exceeding 1500mm</t>
  </si>
  <si>
    <t>Bulkheads; depth over 100 mm but not exceeding 500mm</t>
  </si>
  <si>
    <t>Prepare and apply fenomastic emulsion paint; including preparation, base, final coat and all necessary ancillary works</t>
  </si>
  <si>
    <t>To suspended plasterboard ceilings; type PT-01</t>
  </si>
  <si>
    <t>To suspended plasterboard ceilings; vertical; type PT-01</t>
  </si>
  <si>
    <t>To plastered walls; type PT-02</t>
  </si>
  <si>
    <t>Prepare and apply fenomastic hygiene emulsion paint; including preparation, base, final coat and all necessary ancillary works</t>
  </si>
  <si>
    <t>To suspended plasterboard ceilings; type PT-03; to wet areas</t>
  </si>
  <si>
    <t>To plastered walls; to wet areas; type PT-04</t>
  </si>
  <si>
    <t>To walls above suspended ceiling</t>
  </si>
  <si>
    <t>Decorative paint finish; including preparation, base and final coats and all ancillary works as necessary</t>
  </si>
  <si>
    <t>20 x 10mm</t>
  </si>
  <si>
    <t>40 x 10mm</t>
  </si>
  <si>
    <t>Extra over door size 700 x 2100mm</t>
  </si>
  <si>
    <t>150mm wide</t>
  </si>
  <si>
    <t>550mm high</t>
  </si>
  <si>
    <t>Bathroom accessories; fixed to tiles or plastered concrete or blockwork; including all ancillary works as necessary</t>
  </si>
  <si>
    <t>Kitchen equipment; including all necessary ancillary works</t>
  </si>
  <si>
    <t>1. Drawing Series LAC-591-A-900 series</t>
  </si>
  <si>
    <t>LANDSCAPING</t>
  </si>
  <si>
    <t>To green area; 300mm thick</t>
  </si>
  <si>
    <t>Sweet soil; including excavation, disposal, surface preparation and all necessary ancillary works</t>
  </si>
  <si>
    <t>200mm thick; acoustic insulation Rw40+</t>
  </si>
  <si>
    <t>Steel structure to car shades; structural steel framing system, including supports, finish, connections and joints and all necessary accessories; as Drawing Nr. A-520 &amp; A521</t>
  </si>
  <si>
    <t>1. Architectural Specifications Division 05, 092216, 099114, 099124</t>
  </si>
  <si>
    <t>2. Structural General Details Drawing Nr. S-002C</t>
  </si>
  <si>
    <t>Lightweight concrete; 600 to 800kg/m3 density; laid to slope; thickness to achieve finished floor level</t>
  </si>
  <si>
    <t>External glass door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(measured separately) and all necessary fixings and accessories</t>
  </si>
  <si>
    <t>100mm wide x 20mm thick; type ST-01</t>
  </si>
  <si>
    <t>250mm wide x 20mm thick; type ST-01</t>
  </si>
  <si>
    <t>Tread 300mm wide; type CT-1 to entrance steps</t>
  </si>
  <si>
    <t>Riser 150mm high; type CT-1 to entrance steps</t>
  </si>
  <si>
    <t>1300 x 900 x 1200mm high overall size; to pump room</t>
  </si>
  <si>
    <t>Ceilings; drop over 150mm not exceeding 500mm</t>
  </si>
  <si>
    <t>1200L x 600W x 2400H mm</t>
  </si>
  <si>
    <t>Window type W3; overall size 800 x 1200mm;top hung openable panel</t>
  </si>
  <si>
    <t>1500L x 1200H mm</t>
  </si>
  <si>
    <t>400mm thick; acoustic insulation Rw50+</t>
  </si>
  <si>
    <t>To suspended plasterboard ceilings; vertical; type PT-03</t>
  </si>
  <si>
    <t>500L x 1000H mm; maid's bath</t>
  </si>
  <si>
    <t>IRONMONGERY (CONT'D)</t>
  </si>
  <si>
    <t>Ironmongery; fixed to wood doors and frames; including all matching screws and the like fixings; as ID Design Ironmongery Schedule (Cont'd)</t>
  </si>
  <si>
    <t>Skirting to match floor; 100mm high; type CT-2 to balcony</t>
  </si>
  <si>
    <t>Groove staircase porcelain tile; laid on cement sand screed (measured separately); including grouting, joints, dry set mortar or adhesive and all necessary ancillary works</t>
  </si>
  <si>
    <t>Porcelain tiles; laid on cement sand screed (measured separately); including grouting, joints, dry set mortar or adhesive and all necessary ancillary works</t>
  </si>
  <si>
    <t>Powder coated aluminium channel groove; including all ancillary works as necessary</t>
  </si>
  <si>
    <t>TH-A 
4-Cluster</t>
  </si>
  <si>
    <t>TH-A 
5-Cluster</t>
  </si>
  <si>
    <t>TH-A 
6-Cluster</t>
  </si>
  <si>
    <t>TH-A 
7-Cluster</t>
  </si>
  <si>
    <t>TH-A 
8-Cluster</t>
  </si>
  <si>
    <t>TH-A 
9-Cluster</t>
  </si>
  <si>
    <t>End</t>
  </si>
  <si>
    <t>Mid</t>
  </si>
  <si>
    <t>Oversite excavation to remove topsoil; minimum depth 100mm</t>
  </si>
  <si>
    <t>Anti-termite soil treatment; to vertical surfaces</t>
  </si>
  <si>
    <t>Anti-termite soil treatment; to horizontal and sloping surfaces</t>
  </si>
  <si>
    <t>500mm thick overall; 2 layer of 250mm road base; to foundations</t>
  </si>
  <si>
    <t>250mm thick overall; 1 layer of 250mm road base; to foundations</t>
  </si>
  <si>
    <t>Compacted back filling up to 95% compaction ratio; to ground slab</t>
  </si>
  <si>
    <t>Pit excavation to receive foundation bases</t>
  </si>
  <si>
    <t>Backfilled into excavations; compacted back filling up to 95% compaction ratio</t>
  </si>
  <si>
    <t>Suspended slabs; 235mm thick</t>
  </si>
  <si>
    <t>75mm thick; acoustic insulation Rw40+</t>
  </si>
  <si>
    <t>200mm thick; acoustic insulation Rw55+; FR: 2hr; shared wall</t>
  </si>
  <si>
    <t>350mm thick; acoustic insulation Rw55+; FR: 2hr; shared wall</t>
  </si>
  <si>
    <t>200mm thick; acoustic insulation Rw50+; braced wall</t>
  </si>
  <si>
    <t>100mm thick; to shaft cover</t>
  </si>
  <si>
    <t>250mm thick; acoustic insulation Rw55+; FR: 2Hr; shared</t>
  </si>
  <si>
    <t>1100mm high; horizontal</t>
  </si>
  <si>
    <t>PACKAGE 3 - TOWNHOUSE A</t>
  </si>
  <si>
    <t>300mm high; fixed to top of parapet wall; detail 9; to balcony</t>
  </si>
  <si>
    <t xml:space="preserve">6350 x 6000 x 3050mm high overall size; to double unit </t>
  </si>
  <si>
    <t>Base unit; (2470+1285)L x 600W x 900H mm; L-shaped</t>
  </si>
  <si>
    <t>Wall unit; 1820L x 300W x 1300H mm</t>
  </si>
  <si>
    <t>Wall unit; 2300L x 300W x 1300H mm</t>
  </si>
  <si>
    <t>Wall unit; 1200L x 600W x 900H mm</t>
  </si>
  <si>
    <t>500L x 600W x 2400H mm</t>
  </si>
  <si>
    <t>1040L x 600W x 2400H mm</t>
  </si>
  <si>
    <t>1500L x 600W x 2400H mm</t>
  </si>
  <si>
    <t>1900L x 600W x 2400H mm</t>
  </si>
  <si>
    <t>L-shaped; (2800+1800)L x 600W x 2400H mm</t>
  </si>
  <si>
    <t>700L x  400W x 630H mm</t>
  </si>
  <si>
    <t>1100L x 400W x 630H mm</t>
  </si>
  <si>
    <t>1500L x 600W x  700H mm</t>
  </si>
  <si>
    <t>Solid wood frame type WD-03; with U channel type MT-02; fixed to walls;  including all necessary fixings and accessories</t>
  </si>
  <si>
    <t>130mm wide x 40mm thick; to kitchen opening</t>
  </si>
  <si>
    <t>To horizontal surface; 75mm thick; to balcony</t>
  </si>
  <si>
    <t>To horizontal surface; 50mm thick; to entrance ceiling</t>
  </si>
  <si>
    <t>Type SR-01; 1200 x 1500mm high; to mechanical area (roof)</t>
  </si>
  <si>
    <t>1200 x 2200mm high; to store</t>
  </si>
  <si>
    <t>Door type GL08; single leaf; overall size 900 x 2400mm; Rw+Ctr 35; to master bedroom terrace</t>
  </si>
  <si>
    <t>Window type GL01; overall size 1600 x 3490mm; fixed panel</t>
  </si>
  <si>
    <t>Window type GL02; overall size 3000 x 3490mm; fixed panel with sliding door</t>
  </si>
  <si>
    <t>Window type GL03; overall size 3550 x 3490mm; fixed panel with sliding door</t>
  </si>
  <si>
    <t>Window type GL07; overall size 1400 x 3330mm; fixed with top hung openable panel</t>
  </si>
  <si>
    <t>Window type GL09; overall size 2000 x 3330mm; fixed with top hung openable panel</t>
  </si>
  <si>
    <t>Window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and all necessary fixings and accessories; as Drawing Nr. A-TH-A-630</t>
  </si>
  <si>
    <t>Window type W1; overall size 1100 x 1400mm; top hung openable panel</t>
  </si>
  <si>
    <t>Window type W4; overall size 800 x 1200mm; fixed panel</t>
  </si>
  <si>
    <t>Window and frame sets; 24mm thick hermatically sealed double glazing unit (GLS-3) comprising 6mm thick tinted (high performance) tempered glass on outer space, 12mm thick cavity and 6mm thick sand blasted tempered glass on inside face; with and including powder coated aluminium frame profile, gaskets, sealants, insulation, sill, jamb and ironmongery and all necessary fixings and accessories; as Drawing Nr. A-TH-A-630</t>
  </si>
  <si>
    <t>Self-levelling compound screed hard trowel; 50mm thick</t>
  </si>
  <si>
    <t>To floors; to receive epoxy resin coating</t>
  </si>
  <si>
    <t>Concrete effect  porcelain tiles type A; silk finish; laid on cement sand screed (measured elsewhere); including grouting, joints, dry set mortar or adhesive and all necessary ancillary works</t>
  </si>
  <si>
    <t>Wood look porcelain tiles; matte finish; laid on cement sand screed (measured elsewhere); including grouting, joints, dry set mortar or adhesive and all necessary ancillary works</t>
  </si>
  <si>
    <t>To floors; 1200 x 200 x 10mm thick; type TL-03</t>
  </si>
  <si>
    <t>Skirting; 100 x 10mm thick; type TL-04</t>
  </si>
  <si>
    <t>Concrete effect porcelain tiles type B; in matte finish; laid on cement sand plaster (measured elsewhere); including grouting, joints, dry set mortar or adhesive and all necessary ancillary works</t>
  </si>
  <si>
    <t>To floors; 300 x 600 x 9m thick; type TL-07</t>
  </si>
  <si>
    <t>Concrete effect porcelain tiles type C; matte finish; laid on cement sand screed (measured elsewhere); including grouting, joints, dry set mortar or adhesive and all necessary ancillary works</t>
  </si>
  <si>
    <t>To floors; 600 x 600 x 9m thick; type TL-08</t>
  </si>
  <si>
    <t>To floors; 1200 x 600 x 9mm thick; type TL10</t>
  </si>
  <si>
    <t>To treads; 9mm thick; type TL10</t>
  </si>
  <si>
    <t>To riser; 152mm high x 9mm thick; type TL10</t>
  </si>
  <si>
    <t>Mosaic porcelain tiles; matte finish; laid on cement sand screed (measured elsewhere); including grouting, joints, dry set mortar or adhesive and all necessary ancillary works</t>
  </si>
  <si>
    <t>Chevron porcelain tiles; matte finish; laid on cement sand screed (measured elsewhere); including grouting, joints, dry set mortar or adhesive and all necessary ancillary works</t>
  </si>
  <si>
    <t>To walls; 300 x 600 x 9m thick; type TL-06</t>
  </si>
  <si>
    <t>To walls; 300 x 600 x 9m thick; type TL-07</t>
  </si>
  <si>
    <t>Marble threshold; polished finish; laid on cement sand screed (measured elsewhere); including grouting, joints, dry set mortar or adhesive and all necessary ancillary works</t>
  </si>
  <si>
    <t>Suspended ceilings; gypsum plasterboard; including proprietary ceiling suspension system, corner bead, accessories, shadow gaps, access panels and all necessary fixings and accessories</t>
  </si>
  <si>
    <t>Suspended ceilings; moisture resistant  gypsum plasterboard; including proprietary ceiling suspension system, corner bead, accessories, shadow gaps, access panels and all necessary fixings and accessories</t>
  </si>
  <si>
    <t>Lightcoves; 140mm girth</t>
  </si>
  <si>
    <t>Bulkheads; depth not exceeding 100mm</t>
  </si>
  <si>
    <t>Suspended ceiling; calcium silicate board;  including proprietary ceiling suspension system, corner bead, accessories, shadow gaps and all necessary fixings and accessories</t>
  </si>
  <si>
    <t>Bulkheads; depth over 100 mm not exceeding 500mm</t>
  </si>
  <si>
    <t>Alkyd enamel paint; matt finish; including preparation, base and final coats and all ancillary works as necessary</t>
  </si>
  <si>
    <t>To walls; type CP-1</t>
  </si>
  <si>
    <t>To ceiling; type ECP-1</t>
  </si>
  <si>
    <t>To walls; type CP-3</t>
  </si>
  <si>
    <t>To ceiling; type CP-3</t>
  </si>
  <si>
    <t>Epoxy resin coating; including preparation, base and final coats and all ancillary works as necessary</t>
  </si>
  <si>
    <t>To walls; type CP-2</t>
  </si>
  <si>
    <t>To floors; type CSF-1</t>
  </si>
  <si>
    <t>Skirting; 100mm high; type PS-01</t>
  </si>
  <si>
    <t>Shower divider; 12mm thick transparent glass; type GL-02; fixed glass and doors; including stainless steel frame type MT-04, ironmongery and all necessary fixings and accessories; as Material Specification</t>
  </si>
  <si>
    <t>900L x 1650H mm</t>
  </si>
  <si>
    <t>700L x  400W mm overall</t>
  </si>
  <si>
    <t>1100L x  400W mm overall</t>
  </si>
  <si>
    <t>1500L x  600W mm overall</t>
  </si>
  <si>
    <t>(2470+1285)L x 600/880W mm overall; L-shaped including 1800L x 280W mm ledge; as ID-604 detail 47</t>
  </si>
  <si>
    <t>(1220+1285)L x 600W mm overall; L-shaped</t>
  </si>
  <si>
    <t>300L x 150W x 1550H mm</t>
  </si>
  <si>
    <t>510L x 200W x 900H mm</t>
  </si>
  <si>
    <t>560L x 150W x 1550H mm</t>
  </si>
  <si>
    <t>Niche; 12mm thick engineered stone type 2; type SF-02; including all necessary fixings and accessories</t>
  </si>
  <si>
    <t>Cistern enclosure top cover; 12mm thick engineered stone type 2, type SF-02; including all necessary framework and fixings</t>
  </si>
  <si>
    <t>2100L x  880W mm; with 1 Nr. of opening for bathtub</t>
  </si>
  <si>
    <t>Bathtub fascia; in concrete effect porcelain tile type TL-07; including MDF backing, wooden / metal frame and all necessary fixings and accessories; as Drawing Nr. ID-602 Detail 8</t>
  </si>
  <si>
    <t>700L x 1200H mm</t>
  </si>
  <si>
    <t>1100L x 1200H mm</t>
  </si>
  <si>
    <t>BA-20; Tissue roll holder with cover</t>
  </si>
  <si>
    <t>BA-21; Robe hook</t>
  </si>
  <si>
    <t>BA-22; Soap and shampoo tray</t>
  </si>
  <si>
    <t>BA-23; Towel rail</t>
  </si>
  <si>
    <t>BA-24; Glass shower door handle with towel rail</t>
  </si>
  <si>
    <t>BA-25; Floor drain type 1</t>
  </si>
  <si>
    <t>BA-26; Linear drain</t>
  </si>
  <si>
    <t>200mm thick; acoustic insulation Rw55+; FR: 2Hr; shared</t>
  </si>
  <si>
    <t>Exterior insulation and finish system (EIFS) cladding; comprising insulation board, priming coats and paint finish (measured separately); including stainless steel countersunk fixings with large washer and all necessary ancillary works; as Specification Section 072413</t>
  </si>
  <si>
    <t>Thermal insulation; including all necessary ancillary works; as Specification Section 072100</t>
  </si>
  <si>
    <t>Wall unit; (2590+1145)L x 300W x 1300H mm; L-shaped</t>
  </si>
  <si>
    <t>Door type GL06; double sliding door; overall size 2400 x 2400mm; Re+Ctr 35; to dining</t>
  </si>
  <si>
    <t>Window type GL04; overall size 4000 x 3490mm; fixed panel with sliding door</t>
  </si>
  <si>
    <t>Window type GL05; overall size 1600 x 2400mm; fixed panel</t>
  </si>
  <si>
    <t>Window type GL10; overall size 2400 x 3330mm; fixed with top hung openable panel</t>
  </si>
  <si>
    <t>SUSPENDED CEILINGS (CONT'D)</t>
  </si>
  <si>
    <t>Prepare and apply polyurethane coatings (PU paints); including preparation, base, final coat and all necessary ancillary works</t>
  </si>
  <si>
    <t>915L x 600W mm</t>
  </si>
  <si>
    <t>2395L x 600/880W mm; including 1800L x 280W mm ledge; as ID-604 detail 47</t>
  </si>
  <si>
    <t>(1145+1075)L x 600W mm overall; L-shaped</t>
  </si>
  <si>
    <t>MISCELLANEOUS (CONT'D)</t>
  </si>
  <si>
    <t>including thresholds</t>
  </si>
  <si>
    <t>To suspended plasterboard ceilings; type PT-05; 150mm wide</t>
  </si>
  <si>
    <t>BILL NO. 3</t>
  </si>
  <si>
    <t>TOTAL FOR BILL No. 3 : PACKAGE 3  - TOWNHOUSE A</t>
  </si>
  <si>
    <t>100mm thick; acoustic insulation Rw50+; shaft</t>
  </si>
  <si>
    <t>Extra over to gate; 900 x 1800mm high</t>
  </si>
  <si>
    <t>Aluminium screen; 50x50mm screen and 50x100mm frame in powder coated finish; including ironmongery and all necessary fixings and accessories</t>
  </si>
  <si>
    <t>Louvered door; powder coated aluminium shutter with lock; including ironmongery, all necessary fixings and accessories; as Drawing Nr. A-630</t>
  </si>
  <si>
    <t>Anti-fungal paint; including preparation, base and final coats and all ancillary works</t>
  </si>
  <si>
    <t>3/B/1</t>
  </si>
  <si>
    <t>3/B/2</t>
  </si>
  <si>
    <t>3/B/3</t>
  </si>
  <si>
    <t>3/B/4</t>
  </si>
  <si>
    <t>3/C/1</t>
  </si>
  <si>
    <t>3/C/2</t>
  </si>
  <si>
    <t>3/C/3</t>
  </si>
  <si>
    <t>3/C/4</t>
  </si>
  <si>
    <t>3/C/5</t>
  </si>
  <si>
    <t>3/D/1</t>
  </si>
  <si>
    <t>3/D/2</t>
  </si>
  <si>
    <t>3/D/3</t>
  </si>
  <si>
    <t>3/E/1</t>
  </si>
  <si>
    <t>3/E/2</t>
  </si>
  <si>
    <t>3/E/3</t>
  </si>
  <si>
    <t>3/E/4</t>
  </si>
  <si>
    <t>3/F/1</t>
  </si>
  <si>
    <t>3/F/2</t>
  </si>
  <si>
    <t>3/F/3</t>
  </si>
  <si>
    <t>3/G/1</t>
  </si>
  <si>
    <t>3/G/2</t>
  </si>
  <si>
    <t>3/G/3</t>
  </si>
  <si>
    <t>3/G/4</t>
  </si>
  <si>
    <t>3/H/1</t>
  </si>
  <si>
    <t>3/H/2</t>
  </si>
  <si>
    <t>3/H/3</t>
  </si>
  <si>
    <t>3/H/4</t>
  </si>
  <si>
    <t>3/H/5</t>
  </si>
  <si>
    <t>3/J/1</t>
  </si>
  <si>
    <t>3/J/2</t>
  </si>
  <si>
    <t>3/J/3</t>
  </si>
  <si>
    <t>3/J/4</t>
  </si>
  <si>
    <t>3/J/5</t>
  </si>
  <si>
    <t>3/J/6</t>
  </si>
  <si>
    <t>3/J/7</t>
  </si>
  <si>
    <t>3/J/8</t>
  </si>
  <si>
    <t>3/K/1</t>
  </si>
  <si>
    <t>3/K/2</t>
  </si>
  <si>
    <t>3/K/3</t>
  </si>
  <si>
    <t>3/K/4</t>
  </si>
  <si>
    <t>3/K/5</t>
  </si>
  <si>
    <t>3/Q/1</t>
  </si>
  <si>
    <t>3/Q/2</t>
  </si>
  <si>
    <t>3/Q/3</t>
  </si>
  <si>
    <t>3/Q/4</t>
  </si>
  <si>
    <t>3/Q/5</t>
  </si>
  <si>
    <t>3/Q/6</t>
  </si>
  <si>
    <t>3/Q/7</t>
  </si>
  <si>
    <t>3/Q/8</t>
  </si>
  <si>
    <t>3/Q/9</t>
  </si>
  <si>
    <t>3/Q/10</t>
  </si>
  <si>
    <t>3/Q/11</t>
  </si>
  <si>
    <t>3/Q/12</t>
  </si>
  <si>
    <t>3/Q/13</t>
  </si>
  <si>
    <t>3/Q/14</t>
  </si>
  <si>
    <t>3/Q/15</t>
  </si>
  <si>
    <t>3/Q/16</t>
  </si>
  <si>
    <t>3/Q/17</t>
  </si>
  <si>
    <t>3/Q/18</t>
  </si>
  <si>
    <t>3/Q/19</t>
  </si>
  <si>
    <t>3/Q/20</t>
  </si>
  <si>
    <t>3/Q/21</t>
  </si>
  <si>
    <t>3/R/1</t>
  </si>
  <si>
    <t>3/R/2</t>
  </si>
  <si>
    <t>3/R/3</t>
  </si>
  <si>
    <t>3/R/4</t>
  </si>
  <si>
    <t>3/R/5</t>
  </si>
  <si>
    <t>3/R/6</t>
  </si>
  <si>
    <t>3/R/7</t>
  </si>
  <si>
    <t>3/R/8</t>
  </si>
  <si>
    <t>3/R/9</t>
  </si>
  <si>
    <t>3/R/10</t>
  </si>
  <si>
    <t>3/C/6</t>
  </si>
  <si>
    <t>3/Q/24</t>
  </si>
  <si>
    <t>3/D/4</t>
  </si>
  <si>
    <t>Post; 150mm diameter - 15.9kg/m</t>
  </si>
  <si>
    <t>Steel tube; 150 x 100 x 8mm thick aluminium tube in powder coated finish - 29.10kg/m</t>
  </si>
  <si>
    <t>3/H/6</t>
  </si>
  <si>
    <t>Base unit; (1220+1285)L x 600W x 900H mm; L-shaped</t>
  </si>
  <si>
    <t>Base unit; (1145+1075)L x 600W x 900H mm; L-shaped</t>
  </si>
  <si>
    <t>Base unit; 2395L x 600W x 900H mm</t>
  </si>
  <si>
    <t>Base unit; 915L x 600W x 900H mm</t>
  </si>
  <si>
    <t>Hardware set 01 to Door type D05 and D06; to Main entry door</t>
  </si>
  <si>
    <t>Coping Beams</t>
  </si>
  <si>
    <t>Corner</t>
  </si>
  <si>
    <t>4-Cluster
Corner</t>
  </si>
  <si>
    <t>4-Cluster
Mid</t>
  </si>
  <si>
    <t>5-Cluster
Corner</t>
  </si>
  <si>
    <t>5-Cluster
Mid</t>
  </si>
  <si>
    <t>6-Cluster
Corner</t>
  </si>
  <si>
    <t>6-Cluster
Mid</t>
  </si>
  <si>
    <t>7-Cluster
Corner</t>
  </si>
  <si>
    <t>7-Cluster
Mid</t>
  </si>
  <si>
    <t>8-Cluster
Corner</t>
  </si>
  <si>
    <t>8-Cluster
Mid</t>
  </si>
  <si>
    <t>9-Cluster
Corner</t>
  </si>
  <si>
    <t>9-Cluster
Mid</t>
  </si>
  <si>
    <t xml:space="preserve">Storm Water Drainage Installation; complete, as Drawings No. D-TH-A-100 to 101 inclusive </t>
  </si>
  <si>
    <t>Below ground uPVC pipes and fittings; including excavation, beds and surrounds, backfill, compaction, and disposal</t>
  </si>
  <si>
    <t>Above ground uPVC pipes and fittings</t>
  </si>
  <si>
    <t>Rainwater outlet; 110mm diameter</t>
  </si>
  <si>
    <t xml:space="preserve">Foul and Waste Water and Condensate Drainage and Vent Installation; complete, as Drawings No. D-TH-A-100 to 101 inclusive </t>
  </si>
  <si>
    <t>82mm diameter</t>
  </si>
  <si>
    <t>160mm diameter</t>
  </si>
  <si>
    <t>Shower drain; 40mm diameter</t>
  </si>
  <si>
    <t>Floor drain; 82mm diameter</t>
  </si>
  <si>
    <t>Vent cowl; 82mm diameter</t>
  </si>
  <si>
    <t>Vent cowl; 100mm diameter</t>
  </si>
  <si>
    <t>Cleanout; 40mm diameter</t>
  </si>
  <si>
    <t>Floor cleanout; 82mm diameter</t>
  </si>
  <si>
    <t>Floor cleanout; 110mm diameter</t>
  </si>
  <si>
    <t>Dry gully trap; commencing excavation at finished grade line level; including cover and frames and all necessary backfilling, disposal of surplus excavated materials and formwork, all necessary accessories and connections</t>
  </si>
  <si>
    <t>300 x 300mm Size</t>
  </si>
  <si>
    <t>Drainage manhole; commencing excavation at finished grade line level; including cover and frames and all necessary backfilling, disposal of surplus excavated materials and formwork, all necessary accessories and connections</t>
  </si>
  <si>
    <t>600 x 600 x 600mm Size</t>
  </si>
  <si>
    <t>Allow for all necessary pipework connection, fittings, ancillaries, pipe supports and protection, and all necessary accessories</t>
  </si>
  <si>
    <t>Connection to sewerage network; 160 mm diameter pipe</t>
  </si>
  <si>
    <t>Sanitary fittings; fixed to tiled or plastered concrete or blockwork floors and walls; including all waste and overflow outlets, all connections and supports and sealing around with silicone-based sealant; as ID Specification - Sanitary Ware Specification</t>
  </si>
  <si>
    <t>BA-01: Wall mounted water closet</t>
  </si>
  <si>
    <t>BA-02: Concealed cistern to water closet</t>
  </si>
  <si>
    <t>BA-03: Flush plate to water closet</t>
  </si>
  <si>
    <t>BA-04: Shattaf/ Trigger spray</t>
  </si>
  <si>
    <t>BA-05: Undercounter wash basin</t>
  </si>
  <si>
    <t>BA-06: Wall mounted basin mixer</t>
  </si>
  <si>
    <t>BA-07: Semi-recessed wash basin</t>
  </si>
  <si>
    <t>BA-08: Basin mixer</t>
  </si>
  <si>
    <t>BA-09: Wall mounted rain shower</t>
  </si>
  <si>
    <t>BA-10: Concealed shower mixer</t>
  </si>
  <si>
    <t>BA-11: Hand shower</t>
  </si>
  <si>
    <t>BA-12: Bath tub</t>
  </si>
  <si>
    <t>BA-13: Wall mounted bathtub mixer with handshower</t>
  </si>
  <si>
    <t>BA-14: Floor standing close coupled water closet</t>
  </si>
  <si>
    <t>BA-15: Shattaf/Trigger spray</t>
  </si>
  <si>
    <t>BA-16: Wall mounted wash basin</t>
  </si>
  <si>
    <t>BA-17: Basin mixer</t>
  </si>
  <si>
    <t>BA-18: Shower rail kit</t>
  </si>
  <si>
    <t>BA-19: Shower Mixer</t>
  </si>
  <si>
    <t>Cold and Hot Water Installation; complete, Drawings No. WS-TH-A-100 to 101 inclusive</t>
  </si>
  <si>
    <t>Below ground PPR incoming main pipes and fittings; including excavation, beds and surrounds, backfill, compaction, and disposal</t>
  </si>
  <si>
    <t>Below ground uPVC boosted cold water pipes and fittings; including excavation, beds and surrounds, backfill, compaction, and disposal</t>
  </si>
  <si>
    <t>Above ground PPR incoming main pipes and fittings</t>
  </si>
  <si>
    <t>Above ground uPVC boosted cold water  pipes and fittings</t>
  </si>
  <si>
    <t>Above ground PPR hot water  pipes and fittings</t>
  </si>
  <si>
    <t>Above ground high density PEX boosted cold water  pipes and fittings; including conduits</t>
  </si>
  <si>
    <t>Above ground high density PEX hot water  pipes and fittings; including conduits</t>
  </si>
  <si>
    <t>Thermal insulation; flexible elastomeric insulation to hot water pipes and fittings</t>
  </si>
  <si>
    <t>Thermal insulation; flexible elastomeric insulation with aluminum cladding to exterior cold water pipes and fittings</t>
  </si>
  <si>
    <t>Thermal insulation; flexible elastomeric insulation with aluminum cladding to exterior hot water pipes and fittings</t>
  </si>
  <si>
    <t>Isolation valve</t>
  </si>
  <si>
    <t>Double regulating valve</t>
  </si>
  <si>
    <t>Fixed to 15mm diameter pipe</t>
  </si>
  <si>
    <t>Advance metering infrastructure; comprised of water meter (provided by DEWA), valve assembly, water meter cabinet, inlet &amp; outlet nozzles, fittings, pipe sleeve, supports and all necessary accessories and connections</t>
  </si>
  <si>
    <t>Allow for the following accessories</t>
  </si>
  <si>
    <t>Automatic air vent at high point of every boosted water system and drain at low point</t>
  </si>
  <si>
    <t>item</t>
  </si>
  <si>
    <t>Thermostatic mixing valve at main hot water supply line</t>
  </si>
  <si>
    <t>Equipment; complete with all necessary accessories and connections</t>
  </si>
  <si>
    <t>Solar water heater, including hot water storage tank, solar panel, electrical backup of 2kW, supports and accessories as necessary</t>
  </si>
  <si>
    <t>300 Litres tank capacity</t>
  </si>
  <si>
    <t>Hot water recirculating pump; including control panel, valve assembly, base frame, anti-vibration mounting, electrical wirings, supports and accessories as necessary</t>
  </si>
  <si>
    <t>0.25 L/s Water flow rate at 0.8 bar; ref. HWRCP-1</t>
  </si>
  <si>
    <t>Cold water booster pumps; including pressure vessel, control panel, valve assembly, base frame, anti-vibration mounting, electrical wirings, supports, connections and accessories as necessary</t>
  </si>
  <si>
    <t>0.70 L/s Water flow rate at 4.0 bar (1 No.duty/1 No. assist); ref. BP-01</t>
  </si>
  <si>
    <t>Polyethylene underground water tank buried without chamber and concrete foundation; including 600 x 600 mm manhole cover, excavation, protection slab, backfill, and all necessary accessories and connections</t>
  </si>
  <si>
    <t>5.7 m3 Capacity</t>
  </si>
  <si>
    <t>Connection to cold water main network; 32 mm diameter pipe</t>
  </si>
  <si>
    <t>Fire protection system installation complete; as Specification and Drawings No. FF-TH-A-100</t>
  </si>
  <si>
    <t xml:space="preserve">5.0 Kg CO2 portable fire extinguisher </t>
  </si>
  <si>
    <t>Gas installation complete; as Specification and Drawings as Drawings No. G-TH-A-100</t>
  </si>
  <si>
    <t>Below ground high density polyethylene (HDPE) pipes and fittings; including excavation, beds and surrounds, warning tape, backfill, compaction, and disposal</t>
  </si>
  <si>
    <t>Above ground high density polyethylene (HDPE) pipes and fittings within GRP sleeve</t>
  </si>
  <si>
    <t>Above ground carbon steel pipes and fittings within PVC sleeve (pipe in pipe) running above false ceiling</t>
  </si>
  <si>
    <t>Above ground carbon steel pipes and fittings</t>
  </si>
  <si>
    <t>1/2" Diameter auto shut off valve</t>
  </si>
  <si>
    <t>Flexible hose</t>
  </si>
  <si>
    <t>Gas meter; including valves, regulator, 500x500x300 mm protection box, supports and all necessary accessories and connections</t>
  </si>
  <si>
    <t>Fixed to 22mm diameter copper pipe</t>
  </si>
  <si>
    <t>Connection to gas main network; 20 mm diameter pipe</t>
  </si>
  <si>
    <t>Refrigerant piping installation complete; as Specifications Section 232300 and Drawings No. AC-001, M-101 to M-105 inclusive</t>
  </si>
  <si>
    <t>Copper refrigerant pipes and fittings to roof floor</t>
  </si>
  <si>
    <t>Thermal insulation to internal refrigerant pipes; 25mm thick closed cell rubber insulation with protective coating to refrigerant liquid and suction pipes and fittings</t>
  </si>
  <si>
    <t>To copper refrigerant pipes and fittings to roof floor</t>
  </si>
  <si>
    <t xml:space="preserve">Aluminium cladding, including all ancillary works as necessary </t>
  </si>
  <si>
    <t>HVAC installation complete; as Specifications and Drawings No. AC-001, M-101 to M-105 inclusive of series B2S1, B2S2, B2S3, B3S1, B3S2 and B3S3</t>
  </si>
  <si>
    <t>Phenolic pre insulated galvanized steel ductwork; including all access panels, supports, fittings and accessories to internal works</t>
  </si>
  <si>
    <t>Supply and return air ductwork</t>
  </si>
  <si>
    <t>Galvanized steel ductwork; including all access panels, supports, fittings and accessories necessary</t>
  </si>
  <si>
    <t>Kitchen exhaust ductwork</t>
  </si>
  <si>
    <t>Acoustic lining insulation, 25mm thick; including all ancillary works as necessary to internal air ductwork</t>
  </si>
  <si>
    <t>To supply and return air ductwork</t>
  </si>
  <si>
    <t>Aluminum cladding 0.9mm thick; including all ancillary works as necessary to supply / return air ductwork</t>
  </si>
  <si>
    <t>To external ductwork</t>
  </si>
  <si>
    <t>150mm diameter</t>
  </si>
  <si>
    <t>250mm diameter</t>
  </si>
  <si>
    <t>100 x 100mm</t>
  </si>
  <si>
    <t>150 x 200mm</t>
  </si>
  <si>
    <t>200 x 150mm</t>
  </si>
  <si>
    <t>200 x 200mm</t>
  </si>
  <si>
    <t>300 x 200mm</t>
  </si>
  <si>
    <t>300 x 250mm</t>
  </si>
  <si>
    <t>350 x 250mm</t>
  </si>
  <si>
    <t>800 x 200mm</t>
  </si>
  <si>
    <t>Non-return damper</t>
  </si>
  <si>
    <t>Grilles, diffusers, registers and louvers complete including fixings and all necessary works</t>
  </si>
  <si>
    <t>ED-1</t>
  </si>
  <si>
    <t>ED-2</t>
  </si>
  <si>
    <t>300 x 300mm</t>
  </si>
  <si>
    <t>Supply air grille (SAG)</t>
  </si>
  <si>
    <t>300 x 150mm</t>
  </si>
  <si>
    <t>450 x 150mm</t>
  </si>
  <si>
    <t xml:space="preserve">500 x 150mm </t>
  </si>
  <si>
    <t xml:space="preserve">550 x 150mm </t>
  </si>
  <si>
    <t>Grilles, diffusers, registers and louvers complete including fixings and all necessary works (Cont'd)</t>
  </si>
  <si>
    <t>Return air grille (RAG)</t>
  </si>
  <si>
    <t>Supply linear diffuser (SLD)</t>
  </si>
  <si>
    <t>2 slots x 850mm long, 25mm per slot</t>
  </si>
  <si>
    <t>2 slots x 1000mm long, 20mm per slot</t>
  </si>
  <si>
    <t>2 slots x 2000mm long, 25mm per slot</t>
  </si>
  <si>
    <t>3 slots x 800mm long, 20mm per slot</t>
  </si>
  <si>
    <t>3 slots x 2000mm long, 20mm per slot</t>
  </si>
  <si>
    <t>3 slots x 2100mm long, 25mm per slot</t>
  </si>
  <si>
    <t>Return linear diffuser (RLD)</t>
  </si>
  <si>
    <t>Bellmouth with wire mesh screen/duct terminal</t>
  </si>
  <si>
    <t>Gooseneck with insect wire mesh screen</t>
  </si>
  <si>
    <t>Opening size 400 x 250 x 350mm</t>
  </si>
  <si>
    <t>Opening size 250 x 200 x 300mm</t>
  </si>
  <si>
    <t>Fresh air intake louvre with sand trap</t>
  </si>
  <si>
    <t>Ducted split indoor units, including cooling coils, fan, motor, drain pan, thermostat, all necessary electrical wirings, supports, filters, flexible connections, fittings and special features.</t>
  </si>
  <si>
    <t>FCU/GF/3, Ceiling concealed type, air flow 138 lps, total cooling load 2.1 kW</t>
  </si>
  <si>
    <t>Condensing outdoor unit (VRF), including cooling coils, fan, motor, drain pan, control panel and all necessary electrical wirings, supports, vibration isolators, filters, flexible connections, fittings and special features.</t>
  </si>
  <si>
    <t>VRF-1 (Corner)</t>
  </si>
  <si>
    <t>VRF-1 (Mid)</t>
  </si>
  <si>
    <t>Split type fan coil units (DX type), including indoor and outdoor units, cooling coil, fan, motor, drain pan, control panel, thermostat, all necessary electrical wirings, supports, vibration isolators, filters, flexible connections, fittings and special features.</t>
  </si>
  <si>
    <t>FCU/GF/2 &amp; CU-01, Wall mounted type, air flow 89 lps with total cooling load 1.2 kW (Corner)</t>
  </si>
  <si>
    <t>Energy recovery ventilator (ERV) including condensing unit, complete with all necessary  electrical wirings, supports, vibration isolators, filters, flexible connections, fittings and special features.</t>
  </si>
  <si>
    <t>ERV-1, cross flow plate heat exchanger type, 190 l/s, supply air flow 14.9 kW (Corner)</t>
  </si>
  <si>
    <t>ERV-1, cross flow plate heat exchanger type, 190 l/s, supply air flow 14.9 kW (Mid)</t>
  </si>
  <si>
    <t>Fans installation complete; including vibration isolators, access door, weatherproof box, control panels, electrical wirings, supports and fittings.</t>
  </si>
  <si>
    <t>KEF-1, In-line ducted type, 100 l/s air flow, external static pressure 80 Pa (Corner)</t>
  </si>
  <si>
    <t>KEF-1, In-line ducted type, 100 l/s air flow, external static pressure 80 Pa (Mid)</t>
  </si>
  <si>
    <t>Page No.</t>
  </si>
  <si>
    <t>b. Refer to Electrical Specifications and Drawings for Electrical installations</t>
  </si>
  <si>
    <t xml:space="preserve">Sub-mains installation complete; as Specification and Drawings No. EP-TH-A-100, 101 &amp; 200, 101 &amp; 200 and EG-001 to 03 inclusive </t>
  </si>
  <si>
    <t>Cables to sub-main circuits; including fixings, cable glands, lugs, terminations and ancillary work</t>
  </si>
  <si>
    <t>4x1C 16mm² XLPE/SWA/CU/PVC + 1C 16mm² CU/PVC</t>
  </si>
  <si>
    <t>Distribution board; including supports and ancillary work as necessary</t>
  </si>
  <si>
    <t>kWh meter</t>
  </si>
  <si>
    <t>KW meter cabinet (w/p recessed in the wall), 80A TP MCCB (kwh meter by DEWA)</t>
  </si>
  <si>
    <t>Containment; including supports and all ancillary works as necessary</t>
  </si>
  <si>
    <t>75mm diameter uPVC duct including trench excavation</t>
  </si>
  <si>
    <t>EARTHING SYSTEM</t>
  </si>
  <si>
    <t xml:space="preserve">Earthing system complete; as Specification and Drawings No. EP-TH-A-100 &amp; 200 and EG-001 to 03 inclusive </t>
  </si>
  <si>
    <t>Earth pit</t>
  </si>
  <si>
    <t xml:space="preserve">Small power installation complete; as Specification and Drawings No. EP-TH-A-100, 101 &amp; 200, EL-TH-A-100 and EG-001 to 03 inclusive </t>
  </si>
  <si>
    <t xml:space="preserve">Cable and conduit to termination points </t>
  </si>
  <si>
    <t>13A 2gang switch socket outlet</t>
  </si>
  <si>
    <t>13A spur outlet, switched</t>
  </si>
  <si>
    <t>13A spur outlet, unswitched</t>
  </si>
  <si>
    <t>13A switch socket outlet</t>
  </si>
  <si>
    <t>13A switch socket outlet w/p</t>
  </si>
  <si>
    <t>13A switch socket outlet with USB charging</t>
  </si>
  <si>
    <t>15A three phase switched socket outlet for car charger</t>
  </si>
  <si>
    <t>20A DP switch</t>
  </si>
  <si>
    <t>20A SP isolator</t>
  </si>
  <si>
    <t>20A TP isolator</t>
  </si>
  <si>
    <t>32A TP isolator</t>
  </si>
  <si>
    <t>45A double pole switch</t>
  </si>
  <si>
    <t>Flex outlet</t>
  </si>
  <si>
    <t>Doorbell</t>
  </si>
  <si>
    <t>Push button</t>
  </si>
  <si>
    <t>Accessories; including fixings, supports, hangers and all ancillary works as necessary</t>
  </si>
  <si>
    <t xml:space="preserve">Lighting installation complete; as Specification and Drawings No. EL-TH-A-100 and EG-001 to 03 inclusive </t>
  </si>
  <si>
    <t>Luminaires; including fixings, supports, hangers and all ancillary works as necessary</t>
  </si>
  <si>
    <t>Type C1; 60w LED decorative pendant chandelier light, IP20 (provision only)</t>
  </si>
  <si>
    <t>Type C2; 60w LED decorative pendant chandelier light, IP20 (provision only)</t>
  </si>
  <si>
    <t>Type C3; 60w LED decorative pendant chandelier light, IP20 (provision only)</t>
  </si>
  <si>
    <t>Type D4; 1x20w LED down light, IP44</t>
  </si>
  <si>
    <t>Type D5; 1x20w LED down light, IP44</t>
  </si>
  <si>
    <t>Type DL1; 1x20w LED down light, IP20</t>
  </si>
  <si>
    <t>Type DL2; 1x20w LED down light, IP44</t>
  </si>
  <si>
    <t>Type DL3; 1x20w LED down light, IP44</t>
  </si>
  <si>
    <t>10w/m LED strip light</t>
  </si>
  <si>
    <t>Type W1; 20w LED wall surface mounted lighting fixture, IP65</t>
  </si>
  <si>
    <t>Wall light for stair &amp; store room</t>
  </si>
  <si>
    <t>Lighting switches; including fixings, supports, hangers and all ancillary works as necessary</t>
  </si>
  <si>
    <t>1 gang, 1 way switch</t>
  </si>
  <si>
    <t>1 gang, 1 way switch w/p</t>
  </si>
  <si>
    <t>1 gang, 2 way switch</t>
  </si>
  <si>
    <t>1 gang, 2 way switch w/p</t>
  </si>
  <si>
    <t>2 gang, 1 way switch</t>
  </si>
  <si>
    <t>2 gang, 2 way switch</t>
  </si>
  <si>
    <t>3 gang, 1 way switch</t>
  </si>
  <si>
    <t>Intermediate switch</t>
  </si>
  <si>
    <t>Fire alarm installation (Hassantuk wireless fire alarm system); complete; as Etisalat commercial proposal Lacasa-591-AK-PKG-03 &amp; AF-PKG-05</t>
  </si>
  <si>
    <t>Control panel/ATE/4G/GSM</t>
  </si>
  <si>
    <t>Wireless smoke detector w/ built in sounder</t>
  </si>
  <si>
    <t>Wireless heat detector w/ built in sounder</t>
  </si>
  <si>
    <t>Signal repeater</t>
  </si>
  <si>
    <t>M2M</t>
  </si>
  <si>
    <t>Monitoring</t>
  </si>
  <si>
    <t xml:space="preserve">Telephone installation complete; as Specification and Drawings No. ET-TH-A-100 &amp; 200 and EG-001 to 03 inclusive </t>
  </si>
  <si>
    <t>RJ45 duel outlet</t>
  </si>
  <si>
    <t>RJ45 telephone outlet</t>
  </si>
  <si>
    <t>12U cabinet</t>
  </si>
  <si>
    <t>Accessories; including supports, hangers and ancillary works as necessary</t>
  </si>
  <si>
    <t>TJB (30x30x15mm)</t>
  </si>
  <si>
    <t>2 x 50mm diameter conduits</t>
  </si>
  <si>
    <t>2 x 50mm diameter uPVC duct including trench excavation</t>
  </si>
  <si>
    <t>b. Refer to Specifications and Drawings for Mechanical installations</t>
  </si>
  <si>
    <t>KA-01: Double undercounter sink</t>
  </si>
  <si>
    <t>KA-02: Sink mixer</t>
  </si>
  <si>
    <t>SANITARY FITTINGS (CONT'D)</t>
  </si>
  <si>
    <t>Sanitary fittings; fixed to tiled or plastered concrete or blockwork floors and walls; including all waste and overflow outlets, all connections and supports and sealing around with silicone-based sealant; as ID Specification - Sanitary Ware Specification (cont'd)</t>
  </si>
  <si>
    <t>Brought Forward</t>
  </si>
  <si>
    <t>3/Q/22</t>
  </si>
  <si>
    <t>Type D5; single leaf door; 1100 x 2400mm; acoustic rating Rw 35+; FR: 60min; to main entrance</t>
  </si>
  <si>
    <t>Type D6; double leaf door; 1600 x 2400mm; acoustic rating Rw 35+; FR: 60min; to main entrance</t>
  </si>
  <si>
    <t>3/R/11</t>
  </si>
  <si>
    <t>change to TL-08</t>
  </si>
  <si>
    <t>Glass balustrade; comprising 10mm hs (low iron glass)+ 1.52mm laminate (sgp interlayer) + 10mm hs (low iron glass) safety glass; including powder coated steel bracket, stainless steel cover, finishes, glazing gasket and all necessary fixings and accessories; as Drawing Nr. A-420</t>
  </si>
  <si>
    <t>Utility cabinet; comprising powder coated aluminium sheet and louver shutter; including all necessary fixings and accessories; as Drawing Nr. LA-630 Detail 1</t>
  </si>
  <si>
    <t>Ceiling tile; moisture resistant; 600 x 600 x 12.5mm thick; type TL-09; non perforated plasterboard; in gloss 5, RAL 9003; including proprietary ceiling suspension system,  corner bead, accessories, shadow gaps and the like</t>
  </si>
  <si>
    <t>To smooth surface of soffit of slab; type PT-01</t>
  </si>
  <si>
    <t>To smooth surface of soffit of slab above suspended ceiling</t>
  </si>
  <si>
    <t>To vertical surfaces; to turning up; 150mm high</t>
  </si>
  <si>
    <t xml:space="preserve">Wardrobes; comprising wood laminate to exteriors type WD-04 finish and plain laminate MDF interiors type WD-05, back panel in 4mm thick white coated hard board; including all necessary wood framework and supports, doors, shelves, carcass, drawers, solid wood lipping, chrome S/S hanger rod, 100mm high skirtings laminated MDF, ironmongery, necessary fixings and accessories; as Drawing Nr.ID-620 to ID-625 inclusive and ID-640 </t>
  </si>
  <si>
    <t>1800L x 2100H mm with 1 no. of door opening 700 x 2100mm</t>
  </si>
  <si>
    <t>1400L x 2100H mm with 1 no. of door opening 700 x 2100mm</t>
  </si>
  <si>
    <t>1415L x 2100H mm with 1 no. of door opening 700 x 2100mm</t>
  </si>
  <si>
    <t>Vanity countertop; 12mm thick engineered stone type 2; type SF-02; cut to size; with and including 150mm high fascia and all necessary fixings and accessories</t>
  </si>
  <si>
    <t>Vanity mirror; 6mm thick; low iron clear glass type GL-01; including backing, frames and all necessary fixings and accessories</t>
  </si>
  <si>
    <t>Deleted</t>
  </si>
  <si>
    <t>Upstand; below grade</t>
  </si>
  <si>
    <t>Edges; exceeding 300mm high</t>
  </si>
  <si>
    <t>Sides of upstand; below grade</t>
  </si>
  <si>
    <t>Access ladder; comprising 25 and 50mm diameter painted galvanized steel pipe; including rung, cage, lockable door, bolts, plates and all necessary fixing accessories; as Drawing Nr. A-531</t>
  </si>
  <si>
    <t>Kitchen countertop; 12mm thick engineered stone type 1; type SF-01; cut to size; including all necessary fixings and accessories</t>
  </si>
  <si>
    <t>Bathtub ledge; 12mm thick engineered stone type 2 to tops; type SF-02; including all necessary galvanized mid steel frameworks, marine plywood backing, supports, waterproofing, fill, silicon sealant, fixings and accessories; as Drawing Nr. ID-602 Detail 8</t>
  </si>
  <si>
    <t>KA-03: Built-in kitchen hood</t>
  </si>
  <si>
    <t>1810L x 600W x 2400H mm</t>
  </si>
  <si>
    <t>Vanity cabinet; wood laminated type WD-07 exterior finish and  type WD-08 melamine laminated interiors on moisture resistant MDF construction; including all necessary wood framework and supports, doors, backing, shelves, drawers, carcass, solid wood lipping, finger pull, fixings, countertop &amp; fascia (measured separately) ironmongery, all necessary fixings and accessories</t>
  </si>
  <si>
    <t>Kitchen cabinets; base units; comprising moisture resistant MDF panel in wood look laminate type WD-07 exterior finish; type WD-08 melamine laminate finish to interiors and 100mm high brushed stainless steel skirting type MT01; including all necessary wood framework and supports, doors, backing, shelves, drawers, carcass, finger pull, countertop (measured separately), fixings and ironmongery; Drawing No. ID-603 to ID-605</t>
  </si>
  <si>
    <t>Internal wood door and frame sets; solid flush door; including solid wood frames, jamb, trim, architrave, finishes, ironmongery (measured separately), rubber gasket and all necessary fixings and accessories; size to suit structural openings</t>
  </si>
  <si>
    <t>Internal wood door and frame sets; semi solid flush door; including solid wood frames, jamb, trim, architrave, finishes, ironmongery (measured separately), rubber gasket and all necessary fixings and accessories; size to suit structural openings</t>
  </si>
  <si>
    <t>External wood door and frame sets; solid panelled door type WD-01; including solid wood frames, jamb, trim, architrave, finishes, ironmongery (measured separately), rubber gasket and all necessary fixings and accessories; size to suit structural openings</t>
  </si>
  <si>
    <t>To walls; 300 x 300 x 8mm thick; 20 x 50mm chip size; type TL-05; to backsplash</t>
  </si>
  <si>
    <t>Balustrade handrail; handrail type MT-03 in stainless steel finish with toughened glass balustrade type GL-03; floor mounted; with and including metal plate, bolts securely fixed to stair, all necessary fixings and accessories; as Drawing Nr. ID-601 Detail 10</t>
  </si>
  <si>
    <t>Kitchen cabinets; wall units; comprising moisture resistant MDF panel in wood look laminate type WD-07 exterior finish; type WD-08 melamine laminate finish to interiors; including all necessary wood framework and supports, doors, backing, shelves, WD-06 finish to open shelves, carcass, finger pull, fixings and ironmongery; Drawing No. ID-603 to ID-605</t>
  </si>
  <si>
    <t>BA-27; Floor drain type 2</t>
  </si>
  <si>
    <t>Aluminium fence; comprising 30x100mm powder coated aluminium box section spaced at 100mm, 150x50mm powder coated aluminium box section frame; including gate, all necessary fixings and ancillary works as Drawing Nr. LAC-591-A-911 Detail A5</t>
  </si>
  <si>
    <t>150 x 150mm</t>
  </si>
  <si>
    <t>600 x 150mm</t>
  </si>
  <si>
    <t xml:space="preserve">950 x 150mm </t>
  </si>
  <si>
    <t>1 slots x 1500mm long, 25mm per slot</t>
  </si>
  <si>
    <t>2 slots x 1400mm long, 25mm per slot</t>
  </si>
  <si>
    <t>2 slots x 1500mm long, 25mm per slot</t>
  </si>
  <si>
    <t>3 slots x 1600mm long, 25mm per slot</t>
  </si>
  <si>
    <t>FCU/GF/1, Ceiling concealed type, air flow 741 lps, cooling load 10.4 kW</t>
  </si>
  <si>
    <t>FCU/GF/4, Ceiling concealed type, air flow 88 lps, total cooling load 1.3 kW</t>
  </si>
  <si>
    <t>FCU/FF/1, Ceiling concealed type, air flow 310 lps, total cooling load 4.5 kW</t>
  </si>
  <si>
    <t>FCU/FF/2, Ceiling concealed type, air flow 175 lps, total cooling load 2.5 kW</t>
  </si>
  <si>
    <t>FCU/FF/3, Ceiling concealed type, air flow 249 lps, total cooling load 3.7 kW</t>
  </si>
  <si>
    <t>FCU/GF/1, Ceiling concealed type, air flow 629 lps, total cooling load 7.7 kW</t>
  </si>
  <si>
    <t>FCU/GF/3, Ceiling concealed type, air flow 156 lps, total cooling load 2.1 kW</t>
  </si>
  <si>
    <t>FCU/FF/1, Ceiling concealed type, air flow 307 lps, total cooling load 3.8 kW</t>
  </si>
  <si>
    <t>FCU/FF/2, Ceiling concealed type, air flow 177 lps, total cooling load 2.2 kW</t>
  </si>
  <si>
    <t>FCU/FF/3, Ceiling concealed type, air flow 235 lps, total cooling load 3.5 kW</t>
  </si>
  <si>
    <t>FCU/GF/2 &amp; CU-01, Wall mounted type, air flow 85 lps with total cooling load 1.1 kW (Mid)</t>
  </si>
  <si>
    <t>1x4C 25mm² XLPE/SWA/CU/PVC + 1C 16mm² CU/PVC</t>
  </si>
  <si>
    <t>DB-GF, TCL 34.25 kW (Mid)</t>
  </si>
  <si>
    <t>DB-1F, TCL 21.20 kW (Mid)</t>
  </si>
  <si>
    <t>DB-GF, TCL 35.44 kW (Corner)</t>
  </si>
  <si>
    <t>DB-1F, TCL 22.15 kW (Corner)</t>
  </si>
  <si>
    <t>Shaver socket</t>
  </si>
  <si>
    <t>300 x 300 x 400mm manhole including cover (grade A) and frames and  all necessary accessories and connections</t>
  </si>
  <si>
    <t>To floors; thickness to vary based on finished floor level; to underside of built-in furnitures</t>
  </si>
  <si>
    <t>To walls; behind built-in furnitures</t>
  </si>
  <si>
    <t>Roof pedestal; comprising concrete upstand and light weight concrete fill; as Drawing No. A-530</t>
  </si>
  <si>
    <t>Polythene sheet; 1000 gauge; including surface preparation and all necessary ancillary works</t>
  </si>
  <si>
    <t>FIRE ALARM SYSTEM INSTALLATION (BY ETISALAT)</t>
  </si>
  <si>
    <t>Wall trim/ Strip angle profile; including all ancillary works as necessary</t>
  </si>
  <si>
    <t>Wall trim; to top of wall tiles; as detail ID-601 detail 22</t>
  </si>
  <si>
    <t>average 175mm thick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</si>
</sst>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quot;£&quot;#,##0;\-&quot;£&quot;#,##0"/>
    <numFmt numFmtId="165" formatCode="_-* #,##0.00_-;\-* #,##0.00_-;_-* &quot;-&quot;??_-;_-@_-"/>
    <numFmt numFmtId="166" formatCode="#,##0_ ;[Red]\-#,##0\ "/>
    <numFmt numFmtId="167" formatCode="_(* #,##0.00_);_(* \(#,##0.00\);_(* &quot; &quot;??_);_(@_)"/>
    <numFmt numFmtId="168" formatCode="_-* #,##0.00_-;_-* #,##0.00\-;_-* &quot;-&quot;??_-;_-@_-"/>
    <numFmt numFmtId="169" formatCode="_(* #,##0_);_(* \(#,##0\);_(* &quot; &quot;_);_(@_)"/>
  </numFmts>
  <fonts count="41" x14ac:knownFonts="1">
    <font>
      <sz val="11"/>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color rgb="FFFF0000"/>
      <name val="Arial"/>
      <family val="2"/>
    </font>
    <font>
      <u/>
      <sz val="11"/>
      <color theme="1"/>
      <name val="Arial"/>
      <family val="2"/>
    </font>
    <font>
      <sz val="11"/>
      <color indexed="8"/>
      <name val="Calibri"/>
      <family val="2"/>
      <charset val="204"/>
    </font>
    <font>
      <sz val="11"/>
      <name val="Arial"/>
      <family val="2"/>
    </font>
    <font>
      <sz val="10"/>
      <name val="Arial"/>
      <family val="2"/>
    </font>
    <font>
      <u/>
      <sz val="11"/>
      <name val="Arial"/>
      <family val="2"/>
    </font>
    <font>
      <sz val="11"/>
      <color theme="1"/>
      <name val="Arial"/>
      <family val="2"/>
    </font>
    <font>
      <sz val="12"/>
      <name val="Arial"/>
      <family val="2"/>
    </font>
    <font>
      <sz val="11"/>
      <color rgb="FFFF0000"/>
      <name val="Arial"/>
      <family val="2"/>
    </font>
    <font>
      <sz val="10"/>
      <name val="Arial"/>
      <family val="2"/>
    </font>
    <font>
      <b/>
      <sz val="11"/>
      <color theme="1"/>
      <name val="Arial"/>
      <family val="2"/>
    </font>
    <font>
      <u/>
      <sz val="11"/>
      <color rgb="FF000000"/>
      <name val="Arial"/>
      <family val="2"/>
    </font>
    <font>
      <sz val="11"/>
      <color theme="1"/>
      <name val="Calibri"/>
      <family val="2"/>
      <charset val="204"/>
      <scheme val="minor"/>
    </font>
    <font>
      <sz val="10"/>
      <name val="MS Sans Serif"/>
      <family val="2"/>
    </font>
    <font>
      <sz val="11"/>
      <color indexed="8"/>
      <name val="Calibri"/>
      <family val="2"/>
    </font>
    <font>
      <sz val="10"/>
      <name val="Times New Roman"/>
      <family val="1"/>
    </font>
    <font>
      <sz val="12"/>
      <name val="Times New Roman"/>
      <family val="1"/>
    </font>
    <font>
      <b/>
      <sz val="11"/>
      <name val="Arial"/>
      <family val="2"/>
    </font>
    <font>
      <sz val="11"/>
      <color rgb="FF0070C0"/>
      <name val="Arial"/>
      <family val="2"/>
    </font>
    <font>
      <strike/>
      <sz val="11"/>
      <name val="Arial"/>
      <family val="2"/>
    </font>
    <font>
      <strike/>
      <u/>
      <sz val="11"/>
      <name val="Arial"/>
      <family val="2"/>
    </font>
    <font>
      <sz val="11"/>
      <color rgb="FFFFFF00"/>
      <name val="Arial"/>
      <family val="2"/>
    </font>
    <font>
      <strike/>
      <sz val="11"/>
      <color theme="1"/>
      <name val="Arial"/>
      <family val="2"/>
    </font>
    <font>
      <strike/>
      <sz val="11"/>
      <color rgb="FFFFFF00"/>
      <name val="Arial"/>
      <family val="2"/>
    </font>
    <font>
      <sz val="11"/>
      <color rgb="FFFF3399"/>
      <name val="Arial"/>
      <family val="2"/>
    </font>
    <font>
      <sz val="11"/>
      <color rgb="FFFFC000"/>
      <name val="Arial"/>
      <family val="2"/>
    </font>
    <font>
      <b/>
      <sz val="11"/>
      <color rgb="FFFFC000"/>
      <name val="Arial"/>
      <family val="2"/>
    </font>
    <font>
      <sz val="11"/>
      <color rgb="FF7030A0"/>
      <name val="Arial"/>
      <family val="2"/>
    </font>
    <font>
      <b/>
      <sz val="11"/>
      <color rgb="FF0070C0"/>
      <name val="Arial"/>
      <family val="2"/>
    </font>
    <font>
      <sz val="11"/>
      <color rgb="FFC00000"/>
      <name val="Arial"/>
      <family val="2"/>
    </font>
  </fonts>
  <fills count="5">
    <fill>
      <patternFill patternType="none"/>
    </fill>
    <fill>
      <patternFill patternType="gray125"/>
    </fill>
    <fill>
      <patternFill patternType="solid">
        <fgColor rgb="FFFFFFFF"/>
        <bgColor indexed="64"/>
      </patternFill>
    </fill>
    <fill>
      <patternFill patternType="solid">
        <fgColor theme="0" tint="-0.14999847407452621"/>
        <bgColor indexed="64"/>
      </patternFill>
    </fill>
    <fill>
      <patternFill patternType="solid">
        <fgColor theme="9" tint="0.79998168889431442"/>
        <bgColor indexed="64"/>
      </patternFill>
    </fill>
  </fills>
  <borders count="20">
    <border>
      <left/>
      <right/>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double">
        <color auto="1"/>
      </right>
      <top style="thin">
        <color auto="1"/>
      </top>
      <bottom/>
      <diagonal/>
    </border>
    <border>
      <left style="double">
        <color auto="1"/>
      </left>
      <right style="thin">
        <color auto="1"/>
      </right>
      <top style="thin">
        <color auto="1"/>
      </top>
      <bottom/>
      <diagonal/>
    </border>
    <border>
      <left style="thin">
        <color auto="1"/>
      </left>
      <right style="double">
        <color auto="1"/>
      </right>
      <top/>
      <bottom style="thin">
        <color auto="1"/>
      </bottom>
      <diagonal/>
    </border>
    <border>
      <left style="double">
        <color auto="1"/>
      </left>
      <right style="thin">
        <color auto="1"/>
      </right>
      <top/>
      <bottom style="thin">
        <color auto="1"/>
      </bottom>
      <diagonal/>
    </border>
    <border>
      <left style="thin">
        <color auto="1"/>
      </left>
      <right style="double">
        <color auto="1"/>
      </right>
      <top/>
      <bottom/>
      <diagonal/>
    </border>
    <border>
      <left style="double">
        <color auto="1"/>
      </left>
      <right style="thin">
        <color auto="1"/>
      </right>
      <top/>
      <bottom/>
      <diagonal/>
    </border>
    <border>
      <left/>
      <right style="thin">
        <color auto="1"/>
      </right>
      <top/>
      <bottom/>
      <diagonal/>
    </border>
    <border>
      <left style="thin">
        <color indexed="64"/>
      </left>
      <right/>
      <top/>
      <bottom/>
      <diagonal/>
    </border>
    <border>
      <left style="thin">
        <color auto="1"/>
      </left>
      <right/>
      <top style="thin">
        <color auto="1"/>
      </top>
      <bottom/>
      <diagonal/>
    </border>
    <border>
      <left style="thin">
        <color auto="1"/>
      </left>
      <right/>
      <top/>
      <bottom style="thin">
        <color auto="1"/>
      </bottom>
      <diagonal/>
    </border>
    <border>
      <left/>
      <right/>
      <top/>
      <bottom style="thin">
        <color auto="1"/>
      </bottom>
      <diagonal/>
    </border>
    <border>
      <left style="thin">
        <color indexed="64"/>
      </left>
      <right style="thin">
        <color indexed="64"/>
      </right>
      <top style="thin">
        <color indexed="64"/>
      </top>
      <bottom style="thin">
        <color indexed="64"/>
      </bottom>
      <diagonal/>
    </border>
    <border>
      <left/>
      <right style="thin">
        <color auto="1"/>
      </right>
      <top/>
      <bottom style="thin">
        <color auto="1"/>
      </bottom>
      <diagonal/>
    </border>
    <border>
      <left style="thin">
        <color indexed="64"/>
      </left>
      <right/>
      <top style="thin">
        <color indexed="64"/>
      </top>
      <bottom style="thin">
        <color indexed="64"/>
      </bottom>
      <diagonal/>
    </border>
  </borders>
  <cellStyleXfs count="589">
    <xf numFmtId="0" fontId="0" fillId="0" borderId="0"/>
    <xf numFmtId="0" fontId="13" fillId="0" borderId="0"/>
    <xf numFmtId="0" fontId="15" fillId="0" borderId="0"/>
    <xf numFmtId="0" fontId="15" fillId="0" borderId="0"/>
    <xf numFmtId="0" fontId="15" fillId="0" borderId="0"/>
    <xf numFmtId="43" fontId="9" fillId="0" borderId="0" applyFont="0" applyFill="0" applyBorder="0" applyAlignment="0" applyProtection="0"/>
    <xf numFmtId="0" fontId="15" fillId="0" borderId="0"/>
    <xf numFmtId="0" fontId="15" fillId="0" borderId="0"/>
    <xf numFmtId="0" fontId="15" fillId="0" borderId="0"/>
    <xf numFmtId="0" fontId="15" fillId="0" borderId="0"/>
    <xf numFmtId="0" fontId="9" fillId="0" borderId="0"/>
    <xf numFmtId="43" fontId="15" fillId="0" borderId="0" applyFont="0" applyFill="0" applyBorder="0" applyAlignment="0" applyProtection="0"/>
    <xf numFmtId="0" fontId="13" fillId="0" borderId="0"/>
    <xf numFmtId="0" fontId="15" fillId="0" borderId="0"/>
    <xf numFmtId="43" fontId="15" fillId="0" borderId="0" applyFont="0" applyFill="0" applyBorder="0" applyAlignment="0" applyProtection="0"/>
    <xf numFmtId="0" fontId="18" fillId="0" borderId="0"/>
    <xf numFmtId="0" fontId="15" fillId="0" borderId="0"/>
    <xf numFmtId="0" fontId="15" fillId="0" borderId="0"/>
    <xf numFmtId="0" fontId="8" fillId="0" borderId="0"/>
    <xf numFmtId="43" fontId="8" fillId="0" borderId="0" applyFont="0" applyFill="0" applyBorder="0" applyAlignment="0" applyProtection="0"/>
    <xf numFmtId="43" fontId="17" fillId="0" borderId="0" applyFont="0" applyFill="0" applyBorder="0" applyAlignment="0" applyProtection="0"/>
    <xf numFmtId="0" fontId="15" fillId="0" borderId="0"/>
    <xf numFmtId="0" fontId="20" fillId="0" borderId="0"/>
    <xf numFmtId="0" fontId="15" fillId="0" borderId="0"/>
    <xf numFmtId="0" fontId="15" fillId="0" borderId="0"/>
    <xf numFmtId="0" fontId="22" fillId="2" borderId="0">
      <alignment horizontal="left" vertical="center"/>
    </xf>
    <xf numFmtId="0" fontId="22" fillId="2" borderId="0">
      <alignment horizontal="left" vertical="top"/>
    </xf>
    <xf numFmtId="0" fontId="7" fillId="0" borderId="0"/>
    <xf numFmtId="0" fontId="7" fillId="0" borderId="0"/>
    <xf numFmtId="165" fontId="7" fillId="0" borderId="0" applyFont="0" applyFill="0" applyBorder="0" applyAlignment="0" applyProtection="0"/>
    <xf numFmtId="0" fontId="13" fillId="0" borderId="0"/>
    <xf numFmtId="0" fontId="23" fillId="0" borderId="0"/>
    <xf numFmtId="0" fontId="15" fillId="0" borderId="0"/>
    <xf numFmtId="0" fontId="7" fillId="0" borderId="0"/>
    <xf numFmtId="165" fontId="15" fillId="0" borderId="0" applyFont="0" applyFill="0" applyBorder="0" applyAlignment="0" applyProtection="0"/>
    <xf numFmtId="0" fontId="25" fillId="0" borderId="0"/>
    <xf numFmtId="0" fontId="15" fillId="0" borderId="0"/>
    <xf numFmtId="0" fontId="15" fillId="0" borderId="0"/>
    <xf numFmtId="43" fontId="15" fillId="0" borderId="0" applyFont="0" applyFill="0" applyBorder="0" applyAlignment="0" applyProtection="0"/>
    <xf numFmtId="0" fontId="24" fillId="0" borderId="0"/>
    <xf numFmtId="0" fontId="15" fillId="0" borderId="0"/>
    <xf numFmtId="0" fontId="25" fillId="0" borderId="0"/>
    <xf numFmtId="0" fontId="15" fillId="0" borderId="0">
      <alignment horizontal="justify" vertical="top" wrapText="1"/>
    </xf>
    <xf numFmtId="0" fontId="15" fillId="0" borderId="0"/>
    <xf numFmtId="165" fontId="26" fillId="0" borderId="0" applyFont="0" applyFill="0" applyBorder="0" applyAlignment="0" applyProtection="0"/>
    <xf numFmtId="9" fontId="15" fillId="0" borderId="0" applyFont="0" applyFill="0" applyBorder="0" applyAlignment="0" applyProtection="0"/>
    <xf numFmtId="165" fontId="15" fillId="0" borderId="0" applyFont="0" applyFill="0" applyBorder="0" applyAlignment="0" applyProtection="0"/>
    <xf numFmtId="0" fontId="15" fillId="0" borderId="0"/>
    <xf numFmtId="164" fontId="15" fillId="0" borderId="0" applyFont="0" applyFill="0" applyBorder="0" applyAlignment="0" applyProtection="0"/>
    <xf numFmtId="168" fontId="15" fillId="0" borderId="0" applyFont="0" applyFill="0" applyBorder="0" applyAlignment="0" applyProtection="0"/>
    <xf numFmtId="165" fontId="25" fillId="0" borderId="0" applyFont="0" applyFill="0" applyBorder="0" applyAlignment="0" applyProtection="0"/>
    <xf numFmtId="0" fontId="7" fillId="0" borderId="0"/>
    <xf numFmtId="165" fontId="7"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26" fillId="0" borderId="0" applyFont="0" applyFill="0" applyBorder="0" applyAlignment="0" applyProtection="0"/>
    <xf numFmtId="165" fontId="15" fillId="0" borderId="0" applyFont="0" applyFill="0" applyBorder="0" applyAlignment="0" applyProtection="0"/>
    <xf numFmtId="164" fontId="15" fillId="0" borderId="0" applyFont="0" applyFill="0" applyBorder="0" applyAlignment="0" applyProtection="0"/>
    <xf numFmtId="165" fontId="25" fillId="0" borderId="0" applyFont="0" applyFill="0" applyBorder="0" applyAlignment="0" applyProtection="0"/>
    <xf numFmtId="9" fontId="7"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15" fillId="0" borderId="0"/>
    <xf numFmtId="43"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15" fillId="0" borderId="0"/>
    <xf numFmtId="43"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9" fontId="15" fillId="0" borderId="0" applyFont="0" applyFill="0" applyBorder="0" applyAlignment="0" applyProtection="0"/>
    <xf numFmtId="43" fontId="27" fillId="0" borderId="0" applyFont="0" applyFill="0" applyBorder="0" applyAlignment="0" applyProtection="0"/>
    <xf numFmtId="43" fontId="15" fillId="0" borderId="0" applyFont="0" applyFill="0" applyBorder="0" applyAlignment="0" applyProtection="0"/>
    <xf numFmtId="43" fontId="6" fillId="0" borderId="0" applyFont="0" applyFill="0" applyBorder="0" applyAlignment="0" applyProtection="0"/>
    <xf numFmtId="0" fontId="15" fillId="0" borderId="0"/>
    <xf numFmtId="0" fontId="6"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6" fillId="0" borderId="0"/>
    <xf numFmtId="43" fontId="6" fillId="0" borderId="0" applyFont="0" applyFill="0" applyBorder="0" applyAlignment="0" applyProtection="0"/>
    <xf numFmtId="0" fontId="15" fillId="0" borderId="0"/>
    <xf numFmtId="0" fontId="15" fillId="0" borderId="0" applyFill="0" applyBorder="0" applyAlignment="0" applyProtection="0"/>
    <xf numFmtId="0" fontId="15" fillId="0" borderId="0" applyFill="0" applyBorder="0" applyAlignment="0" applyProtection="0"/>
    <xf numFmtId="43" fontId="15" fillId="0" borderId="0" applyFont="0" applyFill="0" applyBorder="0" applyAlignment="0" applyProtection="0"/>
    <xf numFmtId="0" fontId="15" fillId="0" borderId="0"/>
    <xf numFmtId="43"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15" fillId="0" borderId="0"/>
    <xf numFmtId="9" fontId="15" fillId="0" borderId="0" applyFont="0" applyFill="0" applyBorder="0" applyAlignment="0" applyProtection="0"/>
    <xf numFmtId="9" fontId="15" fillId="0" borderId="0" applyFont="0" applyFill="0" applyBorder="0" applyAlignment="0" applyProtection="0"/>
    <xf numFmtId="0" fontId="27" fillId="0" borderId="0"/>
    <xf numFmtId="43"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5" fillId="0" borderId="0"/>
    <xf numFmtId="43"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165" fontId="6" fillId="0" borderId="0" applyFont="0" applyFill="0" applyBorder="0" applyAlignment="0" applyProtection="0"/>
    <xf numFmtId="0" fontId="6" fillId="0" borderId="0"/>
    <xf numFmtId="165" fontId="15" fillId="0" borderId="0" applyFont="0" applyFill="0" applyBorder="0" applyAlignment="0" applyProtection="0"/>
    <xf numFmtId="165" fontId="15" fillId="0" borderId="0" applyFont="0" applyFill="0" applyBorder="0" applyAlignment="0" applyProtection="0"/>
    <xf numFmtId="0" fontId="6" fillId="0" borderId="0"/>
    <xf numFmtId="165" fontId="6" fillId="0" borderId="0" applyFont="0" applyFill="0" applyBorder="0" applyAlignment="0" applyProtection="0"/>
    <xf numFmtId="165" fontId="17" fillId="0" borderId="0" applyFont="0" applyFill="0" applyBorder="0" applyAlignment="0" applyProtection="0"/>
    <xf numFmtId="0" fontId="6" fillId="0" borderId="0"/>
    <xf numFmtId="0" fontId="6" fillId="0" borderId="0"/>
    <xf numFmtId="165" fontId="6" fillId="0" borderId="0" applyFont="0" applyFill="0" applyBorder="0" applyAlignment="0" applyProtection="0"/>
    <xf numFmtId="0" fontId="15" fillId="0" borderId="0"/>
    <xf numFmtId="0" fontId="6" fillId="0" borderId="0"/>
    <xf numFmtId="0" fontId="25" fillId="0" borderId="0"/>
    <xf numFmtId="165" fontId="15" fillId="0" borderId="0" applyFont="0" applyFill="0" applyBorder="0" applyAlignment="0" applyProtection="0"/>
    <xf numFmtId="164" fontId="15" fillId="0" borderId="0" applyFont="0" applyFill="0" applyBorder="0" applyAlignment="0" applyProtection="0"/>
    <xf numFmtId="168" fontId="15" fillId="0" borderId="0" applyFont="0" applyFill="0" applyBorder="0" applyAlignment="0" applyProtection="0"/>
    <xf numFmtId="0" fontId="6" fillId="0" borderId="0"/>
    <xf numFmtId="165" fontId="6" fillId="0" borderId="0" applyFont="0" applyFill="0" applyBorder="0" applyAlignment="0" applyProtection="0"/>
    <xf numFmtId="165" fontId="15" fillId="0" borderId="0" applyFont="0" applyFill="0" applyBorder="0" applyAlignment="0" applyProtection="0"/>
    <xf numFmtId="164" fontId="15" fillId="0" borderId="0" applyFont="0" applyFill="0" applyBorder="0" applyAlignment="0" applyProtection="0"/>
    <xf numFmtId="9" fontId="6" fillId="0" borderId="0" applyFont="0" applyFill="0" applyBorder="0" applyAlignment="0" applyProtection="0"/>
    <xf numFmtId="0" fontId="15" fillId="0" borderId="0"/>
    <xf numFmtId="165" fontId="1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27" fillId="0" borderId="0"/>
    <xf numFmtId="43" fontId="15" fillId="0" borderId="0" applyFont="0" applyFill="0" applyBorder="0" applyAlignment="0" applyProtection="0"/>
    <xf numFmtId="0" fontId="5" fillId="0" borderId="0"/>
    <xf numFmtId="43" fontId="5" fillId="0" borderId="0" applyFont="0" applyFill="0" applyBorder="0" applyAlignment="0" applyProtection="0"/>
    <xf numFmtId="43" fontId="5" fillId="0" borderId="0" applyFont="0" applyFill="0" applyBorder="0" applyAlignment="0" applyProtection="0"/>
    <xf numFmtId="0" fontId="15" fillId="0" borderId="0"/>
    <xf numFmtId="0" fontId="5" fillId="0" borderId="0"/>
    <xf numFmtId="0" fontId="5" fillId="0" borderId="0"/>
    <xf numFmtId="165" fontId="5" fillId="0" borderId="0" applyFont="0" applyFill="0" applyBorder="0" applyAlignment="0" applyProtection="0"/>
    <xf numFmtId="0" fontId="5" fillId="0" borderId="0"/>
    <xf numFmtId="0" fontId="5" fillId="0" borderId="0"/>
    <xf numFmtId="165" fontId="5" fillId="0" borderId="0" applyFont="0" applyFill="0" applyBorder="0" applyAlignment="0" applyProtection="0"/>
    <xf numFmtId="9"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9" fontId="15" fillId="0" borderId="0" applyFont="0" applyFill="0" applyBorder="0" applyAlignment="0" applyProtection="0"/>
    <xf numFmtId="43" fontId="5" fillId="0" borderId="0" applyFont="0" applyFill="0" applyBorder="0" applyAlignment="0" applyProtection="0"/>
    <xf numFmtId="0" fontId="15" fillId="0" borderId="0"/>
    <xf numFmtId="0" fontId="5" fillId="0" borderId="0"/>
    <xf numFmtId="0" fontId="5" fillId="0" borderId="0"/>
    <xf numFmtId="0" fontId="5" fillId="0" borderId="0"/>
    <xf numFmtId="0" fontId="5" fillId="0" borderId="0"/>
    <xf numFmtId="43" fontId="5" fillId="0" borderId="0" applyFont="0" applyFill="0" applyBorder="0" applyAlignment="0" applyProtection="0"/>
    <xf numFmtId="43" fontId="1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43" fontId="5" fillId="0" borderId="0" applyFont="0" applyFill="0" applyBorder="0" applyAlignment="0" applyProtection="0"/>
    <xf numFmtId="165" fontId="15" fillId="0" borderId="0" applyFont="0" applyFill="0" applyBorder="0" applyAlignment="0" applyProtection="0"/>
    <xf numFmtId="0" fontId="5" fillId="0" borderId="0"/>
    <xf numFmtId="43" fontId="15" fillId="0" borderId="0" applyFont="0" applyFill="0" applyBorder="0" applyAlignment="0" applyProtection="0"/>
    <xf numFmtId="43" fontId="15" fillId="0" borderId="0" applyFont="0" applyFill="0" applyBorder="0" applyAlignment="0" applyProtection="0"/>
    <xf numFmtId="0" fontId="5" fillId="0" borderId="0"/>
    <xf numFmtId="43" fontId="5" fillId="0" borderId="0" applyFont="0" applyFill="0" applyBorder="0" applyAlignment="0" applyProtection="0"/>
    <xf numFmtId="0" fontId="5" fillId="0" borderId="0"/>
    <xf numFmtId="0" fontId="15" fillId="0" borderId="0"/>
    <xf numFmtId="0" fontId="13" fillId="0" borderId="0"/>
    <xf numFmtId="0" fontId="5" fillId="0" borderId="0"/>
    <xf numFmtId="0" fontId="5" fillId="0" borderId="0"/>
    <xf numFmtId="165" fontId="5" fillId="0" borderId="0" applyFont="0" applyFill="0" applyBorder="0" applyAlignment="0" applyProtection="0"/>
    <xf numFmtId="0" fontId="5" fillId="0" borderId="0"/>
    <xf numFmtId="0" fontId="5" fillId="0" borderId="0"/>
    <xf numFmtId="0" fontId="5" fillId="0" borderId="0"/>
    <xf numFmtId="0" fontId="5" fillId="0" borderId="0"/>
    <xf numFmtId="165" fontId="5" fillId="0" borderId="0" applyFont="0" applyFill="0" applyBorder="0" applyAlignment="0" applyProtection="0"/>
    <xf numFmtId="9" fontId="5" fillId="0" borderId="0" applyFont="0" applyFill="0" applyBorder="0" applyAlignment="0" applyProtection="0"/>
    <xf numFmtId="165" fontId="15" fillId="0" borderId="0" applyFont="0" applyFill="0" applyBorder="0" applyAlignment="0" applyProtection="0"/>
    <xf numFmtId="43" fontId="15" fillId="0" borderId="0" applyFont="0" applyFill="0" applyBorder="0" applyAlignment="0" applyProtection="0"/>
    <xf numFmtId="0" fontId="15" fillId="0" borderId="0"/>
    <xf numFmtId="43"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0" fontId="5" fillId="0" borderId="0"/>
    <xf numFmtId="165" fontId="5" fillId="0" borderId="0" applyFont="0" applyFill="0" applyBorder="0" applyAlignment="0" applyProtection="0"/>
    <xf numFmtId="0" fontId="5" fillId="0" borderId="0"/>
    <xf numFmtId="0" fontId="5" fillId="0" borderId="0"/>
    <xf numFmtId="165" fontId="5" fillId="0" borderId="0" applyFont="0" applyFill="0" applyBorder="0" applyAlignment="0" applyProtection="0"/>
    <xf numFmtId="9"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0" fontId="5" fillId="0" borderId="0"/>
    <xf numFmtId="165" fontId="5" fillId="0" borderId="0" applyFont="0" applyFill="0" applyBorder="0" applyAlignment="0" applyProtection="0"/>
    <xf numFmtId="0" fontId="5" fillId="0" borderId="0"/>
    <xf numFmtId="0" fontId="5" fillId="0" borderId="0"/>
    <xf numFmtId="165" fontId="5" fillId="0" borderId="0" applyFont="0" applyFill="0" applyBorder="0" applyAlignment="0" applyProtection="0"/>
    <xf numFmtId="9"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43" fontId="5" fillId="0" borderId="0" applyFont="0" applyFill="0" applyBorder="0" applyAlignment="0" applyProtection="0"/>
    <xf numFmtId="0" fontId="15" fillId="0" borderId="0"/>
    <xf numFmtId="0" fontId="5" fillId="0" borderId="0"/>
    <xf numFmtId="43" fontId="15" fillId="0" borderId="0" applyFont="0" applyFill="0" applyBorder="0" applyAlignment="0" applyProtection="0"/>
    <xf numFmtId="0" fontId="5" fillId="0" borderId="0"/>
    <xf numFmtId="43" fontId="5" fillId="0" borderId="0" applyFont="0" applyFill="0" applyBorder="0" applyAlignment="0" applyProtection="0"/>
    <xf numFmtId="0" fontId="15" fillId="0" borderId="0"/>
    <xf numFmtId="43"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9" fontId="1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165" fontId="5" fillId="0" borderId="0" applyFont="0" applyFill="0" applyBorder="0" applyAlignment="0" applyProtection="0"/>
    <xf numFmtId="0" fontId="5" fillId="0" borderId="0"/>
    <xf numFmtId="0" fontId="5" fillId="0" borderId="0"/>
    <xf numFmtId="165" fontId="5" fillId="0" borderId="0" applyFont="0" applyFill="0" applyBorder="0" applyAlignment="0" applyProtection="0"/>
    <xf numFmtId="0" fontId="5" fillId="0" borderId="0"/>
    <xf numFmtId="0" fontId="5" fillId="0" borderId="0"/>
    <xf numFmtId="165" fontId="5" fillId="0" borderId="0" applyFont="0" applyFill="0" applyBorder="0" applyAlignment="0" applyProtection="0"/>
    <xf numFmtId="0" fontId="15" fillId="0" borderId="0"/>
    <xf numFmtId="0" fontId="5" fillId="0" borderId="0"/>
    <xf numFmtId="0" fontId="25" fillId="0" borderId="0"/>
    <xf numFmtId="165" fontId="15" fillId="0" borderId="0" applyFont="0" applyFill="0" applyBorder="0" applyAlignment="0" applyProtection="0"/>
    <xf numFmtId="164" fontId="15" fillId="0" borderId="0" applyFont="0" applyFill="0" applyBorder="0" applyAlignment="0" applyProtection="0"/>
    <xf numFmtId="168" fontId="15" fillId="0" borderId="0" applyFont="0" applyFill="0" applyBorder="0" applyAlignment="0" applyProtection="0"/>
    <xf numFmtId="0" fontId="5" fillId="0" borderId="0"/>
    <xf numFmtId="165" fontId="5" fillId="0" borderId="0" applyFont="0" applyFill="0" applyBorder="0" applyAlignment="0" applyProtection="0"/>
    <xf numFmtId="165" fontId="15" fillId="0" borderId="0" applyFont="0" applyFill="0" applyBorder="0" applyAlignment="0" applyProtection="0"/>
    <xf numFmtId="164" fontId="15" fillId="0" borderId="0" applyFont="0" applyFill="0" applyBorder="0" applyAlignment="0" applyProtection="0"/>
    <xf numFmtId="9" fontId="5" fillId="0" borderId="0" applyFont="0" applyFill="0" applyBorder="0" applyAlignment="0" applyProtection="0"/>
    <xf numFmtId="0" fontId="15" fillId="0" borderId="0"/>
    <xf numFmtId="43" fontId="5" fillId="0" borderId="0" applyFont="0" applyFill="0" applyBorder="0" applyAlignment="0" applyProtection="0"/>
    <xf numFmtId="0" fontId="5" fillId="0" borderId="0"/>
    <xf numFmtId="43" fontId="5" fillId="0" borderId="0" applyFont="0" applyFill="0" applyBorder="0" applyAlignment="0" applyProtection="0"/>
    <xf numFmtId="0" fontId="5" fillId="0" borderId="0"/>
    <xf numFmtId="43" fontId="5" fillId="0" borderId="0" applyFont="0" applyFill="0" applyBorder="0" applyAlignment="0" applyProtection="0"/>
    <xf numFmtId="0" fontId="5" fillId="0" borderId="0"/>
    <xf numFmtId="43"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0" fontId="5" fillId="0" borderId="0"/>
    <xf numFmtId="43"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0" fontId="5" fillId="0" borderId="0"/>
    <xf numFmtId="165" fontId="5" fillId="0" borderId="0" applyFont="0" applyFill="0" applyBorder="0" applyAlignment="0" applyProtection="0"/>
    <xf numFmtId="9" fontId="5"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165" fontId="4" fillId="0" borderId="0" applyFont="0" applyFill="0" applyBorder="0" applyAlignment="0" applyProtection="0"/>
    <xf numFmtId="0" fontId="4" fillId="0" borderId="0"/>
    <xf numFmtId="0" fontId="4" fillId="0" borderId="0"/>
    <xf numFmtId="165" fontId="4"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165" fontId="4" fillId="0" borderId="0" applyFont="0" applyFill="0" applyBorder="0" applyAlignment="0" applyProtection="0"/>
    <xf numFmtId="0" fontId="4" fillId="0" borderId="0"/>
    <xf numFmtId="0" fontId="4" fillId="0" borderId="0"/>
    <xf numFmtId="0" fontId="4" fillId="0" borderId="0"/>
    <xf numFmtId="0" fontId="4" fillId="0" borderId="0"/>
    <xf numFmtId="165" fontId="4"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165" fontId="4" fillId="0" borderId="0" applyFont="0" applyFill="0" applyBorder="0" applyAlignment="0" applyProtection="0"/>
    <xf numFmtId="0" fontId="4" fillId="0" borderId="0"/>
    <xf numFmtId="0" fontId="4" fillId="0" borderId="0"/>
    <xf numFmtId="165" fontId="4"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165" fontId="4" fillId="0" borderId="0" applyFont="0" applyFill="0" applyBorder="0" applyAlignment="0" applyProtection="0"/>
    <xf numFmtId="0" fontId="4" fillId="0" borderId="0"/>
    <xf numFmtId="0" fontId="4" fillId="0" borderId="0"/>
    <xf numFmtId="165" fontId="4" fillId="0" borderId="0" applyFont="0" applyFill="0" applyBorder="0" applyAlignment="0" applyProtection="0"/>
    <xf numFmtId="9" fontId="4" fillId="0" borderId="0" applyFont="0" applyFill="0" applyBorder="0" applyAlignment="0" applyProtection="0"/>
    <xf numFmtId="165"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165" fontId="4" fillId="0" borderId="0" applyFont="0" applyFill="0" applyBorder="0" applyAlignment="0" applyProtection="0"/>
    <xf numFmtId="0" fontId="4" fillId="0" borderId="0"/>
    <xf numFmtId="0" fontId="4" fillId="0" borderId="0"/>
    <xf numFmtId="165" fontId="4" fillId="0" borderId="0" applyFont="0" applyFill="0" applyBorder="0" applyAlignment="0" applyProtection="0"/>
    <xf numFmtId="0" fontId="4" fillId="0" borderId="0"/>
    <xf numFmtId="0" fontId="4" fillId="0" borderId="0"/>
    <xf numFmtId="165" fontId="4" fillId="0" borderId="0" applyFont="0" applyFill="0" applyBorder="0" applyAlignment="0" applyProtection="0"/>
    <xf numFmtId="0" fontId="4" fillId="0" borderId="0"/>
    <xf numFmtId="0" fontId="4" fillId="0" borderId="0"/>
    <xf numFmtId="165" fontId="4"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165"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165" fontId="4"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165" fontId="4" fillId="0" borderId="0" applyFont="0" applyFill="0" applyBorder="0" applyAlignment="0" applyProtection="0"/>
    <xf numFmtId="0" fontId="4" fillId="0" borderId="0"/>
    <xf numFmtId="0" fontId="4" fillId="0" borderId="0"/>
    <xf numFmtId="165" fontId="4"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165" fontId="4" fillId="0" borderId="0" applyFont="0" applyFill="0" applyBorder="0" applyAlignment="0" applyProtection="0"/>
    <xf numFmtId="0" fontId="4" fillId="0" borderId="0"/>
    <xf numFmtId="0" fontId="4" fillId="0" borderId="0"/>
    <xf numFmtId="165"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22" fillId="2" borderId="0">
      <alignment horizontal="left" vertical="top"/>
    </xf>
    <xf numFmtId="0" fontId="17" fillId="0" borderId="0"/>
    <xf numFmtId="43" fontId="17" fillId="0" borderId="0" applyFont="0" applyFill="0" applyBorder="0" applyAlignment="0" applyProtection="0"/>
    <xf numFmtId="0" fontId="3" fillId="0" borderId="0"/>
    <xf numFmtId="43" fontId="3" fillId="0" borderId="0" applyFont="0" applyFill="0" applyBorder="0" applyAlignment="0" applyProtection="0"/>
    <xf numFmtId="0" fontId="22" fillId="2" borderId="0">
      <alignment horizontal="left" vertical="top"/>
    </xf>
    <xf numFmtId="0" fontId="2" fillId="0" borderId="0"/>
    <xf numFmtId="43" fontId="2" fillId="0" borderId="0" applyFont="0" applyFill="0" applyBorder="0" applyAlignment="0" applyProtection="0"/>
    <xf numFmtId="0" fontId="1" fillId="0" borderId="0"/>
  </cellStyleXfs>
  <cellXfs count="560">
    <xf numFmtId="0" fontId="0" fillId="0" borderId="0" xfId="0"/>
    <xf numFmtId="0" fontId="14" fillId="0" borderId="13" xfId="1" applyFont="1" applyFill="1" applyBorder="1" applyAlignment="1">
      <alignment horizontal="center" vertical="top" wrapText="1"/>
    </xf>
    <xf numFmtId="0" fontId="14" fillId="0" borderId="10" xfId="3" applyFont="1" applyFill="1" applyBorder="1" applyAlignment="1">
      <alignment horizontal="center" wrapText="1"/>
    </xf>
    <xf numFmtId="0" fontId="0" fillId="0" borderId="13" xfId="0" applyFill="1" applyBorder="1" applyAlignment="1">
      <alignment horizontal="center" vertical="top" wrapText="1"/>
    </xf>
    <xf numFmtId="49" fontId="14" fillId="0" borderId="5" xfId="2" applyNumberFormat="1" applyFont="1" applyFill="1" applyBorder="1" applyAlignment="1">
      <alignment horizontal="center"/>
    </xf>
    <xf numFmtId="0" fontId="14" fillId="0" borderId="5" xfId="2" applyFont="1" applyFill="1" applyBorder="1" applyAlignment="1">
      <alignment horizontal="left" indent="2"/>
    </xf>
    <xf numFmtId="0" fontId="14" fillId="0" borderId="5" xfId="15" applyFont="1" applyFill="1" applyBorder="1" applyAlignment="1">
      <alignment horizontal="left" vertical="top" wrapText="1"/>
    </xf>
    <xf numFmtId="0" fontId="16" fillId="0" borderId="5" xfId="2" applyFont="1" applyFill="1" applyBorder="1" applyAlignment="1">
      <alignment horizontal="left" vertical="top" wrapText="1"/>
    </xf>
    <xf numFmtId="0" fontId="14" fillId="0" borderId="5" xfId="2" applyFont="1" applyFill="1" applyBorder="1" applyAlignment="1">
      <alignment horizontal="center" vertical="top" wrapText="1"/>
    </xf>
    <xf numFmtId="0" fontId="14" fillId="0" borderId="10" xfId="2" applyFont="1" applyFill="1" applyBorder="1" applyAlignment="1">
      <alignment horizontal="center" wrapText="1"/>
    </xf>
    <xf numFmtId="2" fontId="14" fillId="0" borderId="12" xfId="2" applyNumberFormat="1" applyFont="1" applyFill="1" applyBorder="1" applyAlignment="1">
      <alignment horizontal="center" wrapText="1"/>
    </xf>
    <xf numFmtId="0" fontId="14" fillId="0" borderId="0" xfId="2" applyFont="1" applyFill="1" applyBorder="1" applyAlignment="1">
      <alignment horizontal="left" vertical="top" wrapText="1"/>
    </xf>
    <xf numFmtId="0" fontId="14" fillId="0" borderId="5" xfId="1" applyFont="1" applyFill="1" applyBorder="1" applyAlignment="1">
      <alignment horizontal="left" vertical="top" wrapText="1"/>
    </xf>
    <xf numFmtId="0" fontId="14" fillId="0" borderId="5" xfId="1" applyFont="1" applyFill="1" applyBorder="1" applyAlignment="1">
      <alignment horizontal="center" vertical="top"/>
    </xf>
    <xf numFmtId="0" fontId="16" fillId="0" borderId="5" xfId="1" applyFont="1" applyFill="1" applyBorder="1" applyAlignment="1">
      <alignment horizontal="center" vertical="top" wrapText="1"/>
    </xf>
    <xf numFmtId="0" fontId="16" fillId="0" borderId="5" xfId="2" applyFont="1" applyFill="1" applyBorder="1" applyAlignment="1">
      <alignment horizontal="center" vertical="top" wrapText="1"/>
    </xf>
    <xf numFmtId="0" fontId="0" fillId="0" borderId="5" xfId="0" applyFill="1" applyBorder="1" applyAlignment="1"/>
    <xf numFmtId="0" fontId="0" fillId="0" borderId="0" xfId="0" applyFill="1"/>
    <xf numFmtId="0" fontId="0" fillId="0" borderId="5" xfId="0" applyFill="1" applyBorder="1" applyAlignment="1">
      <alignment horizontal="center"/>
    </xf>
    <xf numFmtId="0" fontId="14" fillId="0" borderId="5" xfId="9" applyFont="1" applyFill="1" applyBorder="1" applyAlignment="1">
      <alignment horizontal="left" vertical="top" wrapText="1"/>
    </xf>
    <xf numFmtId="0" fontId="14" fillId="0" borderId="10" xfId="1" applyFont="1" applyFill="1" applyBorder="1" applyAlignment="1">
      <alignment horizontal="center" wrapText="1"/>
    </xf>
    <xf numFmtId="0" fontId="16" fillId="0" borderId="5" xfId="1" applyFont="1" applyFill="1" applyBorder="1" applyAlignment="1">
      <alignment horizontal="left" vertical="top"/>
    </xf>
    <xf numFmtId="43" fontId="14" fillId="0" borderId="12" xfId="11" applyFont="1" applyFill="1" applyBorder="1" applyAlignment="1">
      <alignment horizontal="center" wrapText="1"/>
    </xf>
    <xf numFmtId="3" fontId="14" fillId="0" borderId="5" xfId="0" applyNumberFormat="1" applyFont="1" applyFill="1" applyBorder="1" applyAlignment="1">
      <alignment horizontal="left" vertical="top" wrapText="1"/>
    </xf>
    <xf numFmtId="0" fontId="14" fillId="0" borderId="5" xfId="0" applyFont="1" applyFill="1" applyBorder="1" applyAlignment="1">
      <alignment horizontal="left" vertical="top" wrapText="1" indent="1"/>
    </xf>
    <xf numFmtId="0" fontId="14" fillId="0" borderId="5" xfId="15" applyFont="1" applyFill="1" applyBorder="1" applyAlignment="1">
      <alignment vertical="top" wrapText="1"/>
    </xf>
    <xf numFmtId="0" fontId="0" fillId="0" borderId="5" xfId="0" applyFill="1" applyBorder="1" applyAlignment="1">
      <alignment horizontal="center" vertical="top" wrapText="1"/>
    </xf>
    <xf numFmtId="0" fontId="0" fillId="0" borderId="1" xfId="0" applyFill="1" applyBorder="1" applyAlignment="1">
      <alignment horizontal="center" wrapText="1"/>
    </xf>
    <xf numFmtId="0" fontId="0" fillId="0" borderId="3" xfId="0" applyFill="1" applyBorder="1" applyAlignment="1"/>
    <xf numFmtId="0" fontId="0" fillId="0" borderId="0" xfId="0" applyFill="1" applyAlignment="1">
      <alignment horizontal="center" wrapText="1"/>
    </xf>
    <xf numFmtId="0" fontId="0" fillId="0" borderId="0" xfId="0" applyFill="1" applyAlignment="1">
      <alignment wrapText="1"/>
    </xf>
    <xf numFmtId="0" fontId="0" fillId="0" borderId="12" xfId="0" applyFill="1" applyBorder="1" applyAlignment="1">
      <alignment horizontal="center"/>
    </xf>
    <xf numFmtId="0" fontId="0" fillId="0" borderId="0" xfId="0" applyFill="1" applyAlignment="1">
      <alignment horizontal="center"/>
    </xf>
    <xf numFmtId="0" fontId="0" fillId="0" borderId="4" xfId="0" applyFill="1" applyBorder="1" applyAlignment="1"/>
    <xf numFmtId="0" fontId="0" fillId="0" borderId="0" xfId="0" applyFill="1" applyAlignment="1"/>
    <xf numFmtId="43" fontId="14" fillId="0" borderId="17" xfId="20" applyFont="1" applyFill="1" applyBorder="1" applyAlignment="1">
      <alignment horizontal="center" vertical="center"/>
    </xf>
    <xf numFmtId="0" fontId="14" fillId="0" borderId="13" xfId="0" applyFont="1" applyFill="1" applyBorder="1" applyAlignment="1">
      <alignment horizontal="center" wrapText="1"/>
    </xf>
    <xf numFmtId="0" fontId="14" fillId="0" borderId="0" xfId="0" applyFont="1" applyFill="1" applyBorder="1" applyAlignment="1">
      <alignment wrapText="1"/>
    </xf>
    <xf numFmtId="43" fontId="14" fillId="0" borderId="1" xfId="20" applyFont="1" applyFill="1" applyBorder="1" applyAlignment="1">
      <alignment horizontal="center"/>
    </xf>
    <xf numFmtId="0" fontId="14" fillId="0" borderId="3" xfId="0" applyFont="1" applyFill="1" applyBorder="1" applyAlignment="1">
      <alignment horizontal="center"/>
    </xf>
    <xf numFmtId="0" fontId="14" fillId="0" borderId="4" xfId="0" applyFont="1" applyFill="1" applyBorder="1" applyAlignment="1">
      <alignment horizontal="center"/>
    </xf>
    <xf numFmtId="4" fontId="14" fillId="0" borderId="13" xfId="0" applyNumberFormat="1" applyFont="1" applyFill="1" applyBorder="1" applyAlignment="1">
      <alignment horizontal="center"/>
    </xf>
    <xf numFmtId="0" fontId="14" fillId="0" borderId="0" xfId="0" applyFont="1" applyFill="1" applyBorder="1" applyAlignment="1"/>
    <xf numFmtId="0" fontId="14" fillId="0" borderId="15" xfId="0" applyFont="1" applyFill="1" applyBorder="1" applyAlignment="1">
      <alignment horizontal="center" wrapText="1"/>
    </xf>
    <xf numFmtId="0" fontId="14" fillId="0" borderId="16" xfId="0" applyFont="1" applyFill="1" applyBorder="1" applyAlignment="1">
      <alignment wrapText="1"/>
    </xf>
    <xf numFmtId="0" fontId="14" fillId="0" borderId="16" xfId="0" applyFont="1" applyFill="1" applyBorder="1" applyAlignment="1"/>
    <xf numFmtId="0" fontId="14" fillId="0" borderId="0" xfId="0" applyFont="1" applyFill="1" applyAlignment="1"/>
    <xf numFmtId="0" fontId="14" fillId="0" borderId="13" xfId="18" applyFont="1" applyFill="1" applyBorder="1" applyAlignment="1">
      <alignment horizontal="center" vertical="top" wrapText="1"/>
    </xf>
    <xf numFmtId="43" fontId="14" fillId="0" borderId="13" xfId="19" applyFont="1" applyFill="1" applyBorder="1" applyAlignment="1">
      <alignment horizontal="center"/>
    </xf>
    <xf numFmtId="43" fontId="14" fillId="0" borderId="0" xfId="20" applyFont="1" applyFill="1"/>
    <xf numFmtId="0" fontId="14" fillId="0" borderId="14" xfId="0" applyFont="1" applyFill="1" applyBorder="1" applyAlignment="1">
      <alignment horizontal="center"/>
    </xf>
    <xf numFmtId="0" fontId="14" fillId="0" borderId="15" xfId="0" applyFont="1" applyFill="1" applyBorder="1" applyAlignment="1">
      <alignment horizontal="center"/>
    </xf>
    <xf numFmtId="43" fontId="14" fillId="0" borderId="4" xfId="20" applyFont="1" applyFill="1" applyBorder="1" applyAlignment="1">
      <alignment horizontal="center"/>
    </xf>
    <xf numFmtId="43" fontId="14" fillId="0" borderId="0" xfId="20" applyFont="1" applyFill="1" applyAlignment="1">
      <alignment horizontal="center"/>
    </xf>
    <xf numFmtId="43" fontId="14" fillId="0" borderId="16" xfId="20" applyFont="1" applyFill="1" applyBorder="1" applyAlignment="1">
      <alignment horizontal="center"/>
    </xf>
    <xf numFmtId="0" fontId="0" fillId="0" borderId="13" xfId="0" applyFill="1" applyBorder="1" applyAlignment="1">
      <alignment vertical="top" wrapText="1"/>
    </xf>
    <xf numFmtId="0" fontId="11" fillId="0" borderId="0" xfId="0" applyFont="1" applyFill="1"/>
    <xf numFmtId="0" fontId="12" fillId="0" borderId="13" xfId="0" applyFont="1" applyFill="1" applyBorder="1" applyAlignment="1">
      <alignment horizontal="center" vertical="top" wrapText="1"/>
    </xf>
    <xf numFmtId="0" fontId="10" fillId="0" borderId="0" xfId="0" applyFont="1" applyFill="1"/>
    <xf numFmtId="167" fontId="0" fillId="0" borderId="5" xfId="20" applyNumberFormat="1" applyFont="1" applyFill="1" applyBorder="1" applyAlignment="1"/>
    <xf numFmtId="0" fontId="0" fillId="0" borderId="4" xfId="0" applyFill="1" applyBorder="1" applyAlignment="1">
      <alignment horizontal="center" vertical="top" wrapText="1"/>
    </xf>
    <xf numFmtId="0" fontId="0" fillId="0" borderId="15" xfId="0" applyFill="1" applyBorder="1" applyAlignment="1">
      <alignment vertical="top" wrapText="1"/>
    </xf>
    <xf numFmtId="0" fontId="0" fillId="0" borderId="4" xfId="0" applyFill="1" applyBorder="1" applyAlignment="1">
      <alignment horizontal="center"/>
    </xf>
    <xf numFmtId="0" fontId="21" fillId="0" borderId="1" xfId="0" applyFont="1" applyFill="1" applyBorder="1" applyAlignment="1"/>
    <xf numFmtId="0" fontId="0" fillId="0" borderId="2" xfId="0" applyFill="1" applyBorder="1" applyAlignment="1">
      <alignment horizontal="center"/>
    </xf>
    <xf numFmtId="0" fontId="21" fillId="0" borderId="0" xfId="0" applyFont="1" applyFill="1" applyAlignment="1">
      <alignment horizontal="center" wrapText="1"/>
    </xf>
    <xf numFmtId="0" fontId="21" fillId="0" borderId="0" xfId="0" applyFont="1" applyFill="1" applyAlignment="1">
      <alignment horizontal="right" wrapText="1"/>
    </xf>
    <xf numFmtId="0" fontId="21" fillId="0" borderId="12" xfId="0" applyFont="1" applyFill="1" applyBorder="1" applyAlignment="1">
      <alignment horizontal="center"/>
    </xf>
    <xf numFmtId="167" fontId="21" fillId="0" borderId="5" xfId="20" applyNumberFormat="1" applyFont="1" applyFill="1" applyBorder="1" applyAlignment="1"/>
    <xf numFmtId="0" fontId="21" fillId="0" borderId="0" xfId="0" applyFont="1" applyFill="1"/>
    <xf numFmtId="0" fontId="14" fillId="0" borderId="5" xfId="0" applyFont="1" applyFill="1" applyBorder="1"/>
    <xf numFmtId="0" fontId="14" fillId="0" borderId="10" xfId="18" applyFont="1" applyFill="1" applyBorder="1" applyAlignment="1">
      <alignment horizontal="center"/>
    </xf>
    <xf numFmtId="0" fontId="14" fillId="0" borderId="11" xfId="18" applyFont="1" applyFill="1" applyBorder="1" applyAlignment="1"/>
    <xf numFmtId="0" fontId="14" fillId="0" borderId="5" xfId="18" applyFont="1" applyFill="1" applyBorder="1" applyAlignment="1"/>
    <xf numFmtId="0" fontId="14" fillId="0" borderId="0" xfId="18" applyFont="1" applyFill="1"/>
    <xf numFmtId="16" fontId="14" fillId="0" borderId="17" xfId="20" applyNumberFormat="1" applyFont="1" applyFill="1" applyBorder="1" applyAlignment="1">
      <alignment horizontal="center" vertical="center"/>
    </xf>
    <xf numFmtId="0" fontId="14" fillId="0" borderId="12" xfId="0" applyFont="1" applyFill="1" applyBorder="1"/>
    <xf numFmtId="0" fontId="14" fillId="0" borderId="13" xfId="0" applyFont="1" applyFill="1" applyBorder="1"/>
    <xf numFmtId="0" fontId="16" fillId="0" borderId="5" xfId="15" applyFont="1" applyFill="1" applyBorder="1" applyAlignment="1">
      <alignment horizontal="left" vertical="top" wrapText="1"/>
    </xf>
    <xf numFmtId="0" fontId="14" fillId="0" borderId="5" xfId="15" applyFont="1" applyFill="1" applyBorder="1" applyAlignment="1">
      <alignment horizontal="left" vertical="top" wrapText="1" indent="1"/>
    </xf>
    <xf numFmtId="0" fontId="16" fillId="0" borderId="5" xfId="6" applyFont="1" applyFill="1" applyBorder="1" applyAlignment="1">
      <alignment vertical="top" wrapText="1"/>
    </xf>
    <xf numFmtId="0" fontId="16" fillId="0" borderId="5" xfId="0" applyFont="1" applyFill="1" applyBorder="1" applyAlignment="1">
      <alignment horizontal="center" vertical="top" wrapText="1"/>
    </xf>
    <xf numFmtId="0" fontId="16" fillId="0" borderId="5" xfId="0" applyFont="1" applyFill="1" applyBorder="1" applyAlignment="1">
      <alignment vertical="top" wrapText="1"/>
    </xf>
    <xf numFmtId="3" fontId="14" fillId="0" borderId="5" xfId="1" applyNumberFormat="1" applyFont="1" applyFill="1" applyBorder="1" applyAlignment="1">
      <alignment horizontal="left" vertical="top" wrapText="1"/>
    </xf>
    <xf numFmtId="43" fontId="14" fillId="0" borderId="3" xfId="20" applyFont="1" applyFill="1" applyBorder="1" applyAlignment="1"/>
    <xf numFmtId="43" fontId="14" fillId="0" borderId="4" xfId="20" applyFont="1" applyFill="1" applyBorder="1" applyAlignment="1"/>
    <xf numFmtId="43" fontId="14" fillId="0" borderId="0" xfId="0" applyNumberFormat="1" applyFont="1" applyFill="1"/>
    <xf numFmtId="0" fontId="14" fillId="0" borderId="4" xfId="0" applyFont="1" applyFill="1" applyBorder="1" applyAlignment="1">
      <alignment horizontal="center" vertical="top" wrapText="1"/>
    </xf>
    <xf numFmtId="0" fontId="14" fillId="0" borderId="5" xfId="0" applyFont="1" applyFill="1" applyBorder="1" applyAlignment="1">
      <alignment horizontal="left" vertical="top" wrapText="1"/>
    </xf>
    <xf numFmtId="0" fontId="16" fillId="0" borderId="5" xfId="0" applyFont="1" applyFill="1" applyBorder="1" applyAlignment="1">
      <alignment horizontal="left" vertical="top" wrapText="1"/>
    </xf>
    <xf numFmtId="0" fontId="14" fillId="0" borderId="0" xfId="0" applyFont="1"/>
    <xf numFmtId="0" fontId="14" fillId="0" borderId="0" xfId="2" applyFont="1" applyFill="1"/>
    <xf numFmtId="0" fontId="14" fillId="0" borderId="13" xfId="2" applyFont="1" applyFill="1" applyBorder="1" applyAlignment="1">
      <alignment horizontal="center" vertical="top" wrapText="1"/>
    </xf>
    <xf numFmtId="0" fontId="14" fillId="0" borderId="5" xfId="2" applyFont="1" applyFill="1" applyBorder="1" applyAlignment="1">
      <alignment vertical="top" wrapText="1"/>
    </xf>
    <xf numFmtId="0" fontId="14" fillId="0" borderId="16" xfId="0" applyFont="1" applyFill="1" applyBorder="1" applyAlignment="1">
      <alignment horizontal="center"/>
    </xf>
    <xf numFmtId="166" fontId="14" fillId="0" borderId="0" xfId="0" applyNumberFormat="1" applyFont="1" applyFill="1" applyAlignment="1">
      <alignment vertical="center"/>
    </xf>
    <xf numFmtId="0" fontId="14" fillId="0" borderId="0" xfId="0" applyFont="1" applyFill="1" applyAlignment="1">
      <alignment horizontal="center" vertical="center"/>
    </xf>
    <xf numFmtId="0" fontId="14" fillId="0" borderId="0" xfId="0" applyFont="1" applyFill="1" applyBorder="1" applyAlignment="1">
      <alignment horizontal="center" vertical="center"/>
    </xf>
    <xf numFmtId="0" fontId="14" fillId="0" borderId="0" xfId="0" applyFont="1" applyFill="1" applyAlignment="1">
      <alignment vertical="center"/>
    </xf>
    <xf numFmtId="0" fontId="14" fillId="0" borderId="1" xfId="0" applyFont="1" applyFill="1" applyBorder="1" applyAlignment="1">
      <alignment horizontal="center" vertical="top" wrapText="1"/>
    </xf>
    <xf numFmtId="0" fontId="14" fillId="0" borderId="0" xfId="0" applyFont="1" applyFill="1" applyAlignment="1">
      <alignment horizontal="center" vertical="top" wrapText="1"/>
    </xf>
    <xf numFmtId="0" fontId="16" fillId="0" borderId="5" xfId="0" applyFont="1" applyBorder="1" applyAlignment="1">
      <alignment vertical="top" wrapText="1"/>
    </xf>
    <xf numFmtId="0" fontId="16" fillId="0" borderId="5" xfId="0" applyFont="1" applyBorder="1" applyAlignment="1">
      <alignment horizontal="left" vertical="top" wrapText="1"/>
    </xf>
    <xf numFmtId="0" fontId="14" fillId="0" borderId="11" xfId="0" applyFont="1" applyFill="1" applyBorder="1"/>
    <xf numFmtId="0" fontId="14" fillId="0" borderId="2" xfId="0" applyFont="1" applyFill="1" applyBorder="1"/>
    <xf numFmtId="0" fontId="14" fillId="0" borderId="3" xfId="0" applyFont="1" applyFill="1" applyBorder="1"/>
    <xf numFmtId="0" fontId="14" fillId="0" borderId="4" xfId="0" applyFont="1" applyFill="1" applyBorder="1"/>
    <xf numFmtId="2" fontId="14" fillId="0" borderId="13" xfId="0" applyNumberFormat="1" applyFont="1" applyFill="1" applyBorder="1" applyAlignment="1">
      <alignment horizontal="center"/>
    </xf>
    <xf numFmtId="43" fontId="14" fillId="0" borderId="10" xfId="20" applyFont="1" applyFill="1" applyBorder="1" applyAlignment="1">
      <alignment horizontal="center"/>
    </xf>
    <xf numFmtId="43" fontId="14" fillId="0" borderId="11" xfId="20" applyFont="1" applyFill="1" applyBorder="1" applyAlignment="1"/>
    <xf numFmtId="0" fontId="14" fillId="0" borderId="5" xfId="2" applyFont="1" applyFill="1" applyBorder="1" applyAlignment="1">
      <alignment horizontal="left" vertical="top" wrapText="1"/>
    </xf>
    <xf numFmtId="0" fontId="16" fillId="0" borderId="5" xfId="1" applyFont="1" applyFill="1" applyBorder="1" applyAlignment="1">
      <alignment horizontal="left" vertical="top" wrapText="1"/>
    </xf>
    <xf numFmtId="0" fontId="14" fillId="0" borderId="5" xfId="1" applyFont="1" applyFill="1" applyBorder="1" applyAlignment="1">
      <alignment horizontal="left" vertical="top"/>
    </xf>
    <xf numFmtId="3" fontId="14" fillId="0" borderId="10" xfId="1" applyNumberFormat="1" applyFont="1" applyFill="1" applyBorder="1" applyAlignment="1">
      <alignment horizontal="center"/>
    </xf>
    <xf numFmtId="0" fontId="16" fillId="0" borderId="5" xfId="2" applyFont="1" applyFill="1" applyBorder="1" applyAlignment="1">
      <alignment vertical="top" wrapText="1"/>
    </xf>
    <xf numFmtId="0" fontId="16" fillId="0" borderId="5" xfId="0" applyFont="1" applyFill="1" applyBorder="1" applyAlignment="1">
      <alignment wrapText="1"/>
    </xf>
    <xf numFmtId="0" fontId="14" fillId="0" borderId="0" xfId="0" applyFont="1" applyFill="1" applyBorder="1"/>
    <xf numFmtId="43" fontId="14" fillId="0" borderId="13" xfId="20" applyFont="1" applyFill="1" applyBorder="1" applyAlignment="1">
      <alignment horizontal="center"/>
    </xf>
    <xf numFmtId="43" fontId="14" fillId="0" borderId="0" xfId="20" applyFont="1" applyFill="1" applyBorder="1" applyAlignment="1">
      <alignment horizontal="center"/>
    </xf>
    <xf numFmtId="43" fontId="14" fillId="0" borderId="5" xfId="20" applyFont="1" applyFill="1" applyBorder="1" applyAlignment="1"/>
    <xf numFmtId="0" fontId="14" fillId="0" borderId="13" xfId="0" applyFont="1" applyFill="1" applyBorder="1" applyAlignment="1">
      <alignment horizontal="center"/>
    </xf>
    <xf numFmtId="0" fontId="14" fillId="0" borderId="0" xfId="0" applyFont="1" applyFill="1" applyAlignment="1">
      <alignment horizontal="center" wrapText="1"/>
    </xf>
    <xf numFmtId="0" fontId="14" fillId="0" borderId="0" xfId="0" applyFont="1" applyFill="1" applyAlignment="1">
      <alignment wrapText="1"/>
    </xf>
    <xf numFmtId="0" fontId="14" fillId="0" borderId="0" xfId="0" applyFont="1" applyFill="1" applyAlignment="1">
      <alignment horizontal="center"/>
    </xf>
    <xf numFmtId="0" fontId="14" fillId="0" borderId="12" xfId="0" applyFont="1" applyFill="1" applyBorder="1" applyAlignment="1"/>
    <xf numFmtId="0" fontId="14" fillId="0" borderId="4" xfId="0" applyFont="1" applyFill="1" applyBorder="1" applyAlignment="1"/>
    <xf numFmtId="0" fontId="14" fillId="0" borderId="3" xfId="0" applyFont="1" applyFill="1" applyBorder="1" applyAlignment="1"/>
    <xf numFmtId="0" fontId="14" fillId="0" borderId="5" xfId="0" applyFont="1" applyFill="1" applyBorder="1" applyAlignment="1">
      <alignment horizontal="center" vertical="top" wrapText="1"/>
    </xf>
    <xf numFmtId="0" fontId="14" fillId="0" borderId="5" xfId="0" applyFont="1" applyFill="1" applyBorder="1" applyAlignment="1">
      <alignment horizontal="center"/>
    </xf>
    <xf numFmtId="0" fontId="14" fillId="0" borderId="1" xfId="0" applyFont="1" applyFill="1" applyBorder="1" applyAlignment="1">
      <alignment horizontal="center" wrapText="1"/>
    </xf>
    <xf numFmtId="0" fontId="14" fillId="0" borderId="1" xfId="0" applyFont="1" applyFill="1" applyBorder="1" applyAlignment="1">
      <alignment wrapText="1"/>
    </xf>
    <xf numFmtId="0" fontId="14" fillId="0" borderId="1" xfId="0" applyFont="1" applyFill="1" applyBorder="1" applyAlignment="1">
      <alignment horizontal="center"/>
    </xf>
    <xf numFmtId="0" fontId="14" fillId="0" borderId="2" xfId="0" applyFont="1" applyFill="1" applyBorder="1" applyAlignment="1"/>
    <xf numFmtId="0" fontId="14" fillId="0" borderId="12" xfId="0" applyFont="1" applyFill="1" applyBorder="1" applyAlignment="1">
      <alignment horizontal="center"/>
    </xf>
    <xf numFmtId="43" fontId="14" fillId="0" borderId="3" xfId="20" applyFont="1" applyFill="1" applyBorder="1" applyAlignment="1">
      <alignment horizontal="center"/>
    </xf>
    <xf numFmtId="43" fontId="14" fillId="0" borderId="5" xfId="20" applyFont="1" applyFill="1" applyBorder="1"/>
    <xf numFmtId="0" fontId="14" fillId="0" borderId="5" xfId="0" applyFont="1" applyFill="1" applyBorder="1" applyAlignment="1">
      <alignment vertical="top" wrapText="1"/>
    </xf>
    <xf numFmtId="0" fontId="14" fillId="0" borderId="5" xfId="0" applyFont="1" applyFill="1" applyBorder="1" applyAlignment="1"/>
    <xf numFmtId="3" fontId="14" fillId="0" borderId="13" xfId="0" applyNumberFormat="1" applyFont="1" applyFill="1" applyBorder="1" applyAlignment="1">
      <alignment horizontal="center"/>
    </xf>
    <xf numFmtId="0" fontId="14" fillId="0" borderId="13" xfId="0" applyFont="1" applyFill="1" applyBorder="1" applyAlignment="1">
      <alignment horizontal="center" vertical="top" wrapText="1"/>
    </xf>
    <xf numFmtId="0" fontId="14" fillId="0" borderId="0" xfId="0" applyFont="1" applyFill="1"/>
    <xf numFmtId="0" fontId="14" fillId="0" borderId="11" xfId="0" applyFont="1" applyFill="1" applyBorder="1" applyAlignment="1"/>
    <xf numFmtId="43" fontId="14" fillId="0" borderId="5" xfId="20" applyFont="1" applyFill="1" applyBorder="1" applyAlignment="1">
      <alignment horizontal="center"/>
    </xf>
    <xf numFmtId="0" fontId="14" fillId="0" borderId="16" xfId="0" applyFont="1" applyFill="1" applyBorder="1"/>
    <xf numFmtId="0" fontId="14" fillId="0" borderId="0" xfId="0" applyFont="1" applyFill="1" applyBorder="1" applyAlignment="1">
      <alignment horizontal="center" wrapText="1"/>
    </xf>
    <xf numFmtId="0" fontId="14" fillId="0" borderId="16" xfId="0" applyFont="1" applyFill="1" applyBorder="1" applyAlignment="1">
      <alignment horizontal="center" wrapText="1"/>
    </xf>
    <xf numFmtId="0" fontId="14" fillId="0" borderId="18" xfId="0" applyFont="1" applyFill="1" applyBorder="1" applyAlignment="1"/>
    <xf numFmtId="0" fontId="29" fillId="0" borderId="5" xfId="0" applyFont="1" applyFill="1" applyBorder="1" applyAlignment="1">
      <alignment horizontal="center"/>
    </xf>
    <xf numFmtId="0" fontId="14" fillId="0" borderId="5" xfId="2" applyNumberFormat="1" applyFont="1" applyFill="1" applyBorder="1" applyAlignment="1">
      <alignment horizontal="center"/>
    </xf>
    <xf numFmtId="0" fontId="14" fillId="0" borderId="5" xfId="0" applyFont="1" applyBorder="1"/>
    <xf numFmtId="0" fontId="14" fillId="0" borderId="13" xfId="0" applyFont="1" applyBorder="1" applyAlignment="1">
      <alignment horizontal="center" vertical="top" wrapText="1"/>
    </xf>
    <xf numFmtId="0" fontId="14" fillId="0" borderId="10" xfId="0" applyFont="1" applyBorder="1" applyAlignment="1">
      <alignment horizontal="center"/>
    </xf>
    <xf numFmtId="0" fontId="14" fillId="0" borderId="11" xfId="0" applyFont="1" applyBorder="1"/>
    <xf numFmtId="0" fontId="14" fillId="0" borderId="10" xfId="2" applyFont="1" applyBorder="1" applyAlignment="1">
      <alignment horizontal="center" wrapText="1"/>
    </xf>
    <xf numFmtId="0" fontId="14" fillId="0" borderId="10" xfId="0" applyFont="1" applyFill="1" applyBorder="1" applyAlignment="1">
      <alignment horizontal="center"/>
    </xf>
    <xf numFmtId="43" fontId="14" fillId="0" borderId="5" xfId="20" applyFont="1" applyFill="1" applyBorder="1" applyAlignment="1">
      <alignment vertical="center"/>
    </xf>
    <xf numFmtId="0" fontId="0" fillId="0" borderId="3" xfId="0" applyFill="1" applyBorder="1" applyAlignment="1">
      <alignment horizontal="center"/>
    </xf>
    <xf numFmtId="0" fontId="21" fillId="0" borderId="5" xfId="0" applyFont="1" applyFill="1" applyBorder="1" applyAlignment="1">
      <alignment horizontal="center"/>
    </xf>
    <xf numFmtId="0" fontId="0" fillId="0" borderId="18" xfId="0" applyFill="1" applyBorder="1" applyAlignment="1">
      <alignment horizontal="center"/>
    </xf>
    <xf numFmtId="0" fontId="14" fillId="0" borderId="5" xfId="2" applyFont="1" applyFill="1" applyBorder="1" applyAlignment="1">
      <alignment horizontal="left" vertical="top" wrapText="1" indent="1"/>
    </xf>
    <xf numFmtId="3" fontId="16" fillId="0" borderId="5" xfId="1" applyNumberFormat="1" applyFont="1" applyFill="1" applyBorder="1" applyAlignment="1">
      <alignment horizontal="left" vertical="top" wrapText="1"/>
    </xf>
    <xf numFmtId="0" fontId="0" fillId="0" borderId="4" xfId="0" applyFill="1" applyBorder="1" applyAlignment="1">
      <alignment horizontal="center" vertical="center" wrapText="1"/>
    </xf>
    <xf numFmtId="0" fontId="14" fillId="0" borderId="5" xfId="6" applyFont="1" applyFill="1" applyBorder="1" applyAlignment="1">
      <alignment horizontal="left" vertical="top" indent="1"/>
    </xf>
    <xf numFmtId="0" fontId="16" fillId="0" borderId="5" xfId="6" applyFont="1" applyFill="1" applyBorder="1" applyAlignment="1">
      <alignment horizontal="center" vertical="top" wrapText="1"/>
    </xf>
    <xf numFmtId="0" fontId="14" fillId="0" borderId="5" xfId="18" applyFont="1" applyFill="1" applyBorder="1" applyAlignment="1">
      <alignment vertical="top" wrapText="1"/>
    </xf>
    <xf numFmtId="0" fontId="16" fillId="0" borderId="5" xfId="9" applyFont="1" applyFill="1" applyBorder="1" applyAlignment="1">
      <alignment horizontal="left" vertical="top" wrapText="1"/>
    </xf>
    <xf numFmtId="0" fontId="14" fillId="0" borderId="5" xfId="0" quotePrefix="1" applyFont="1" applyFill="1" applyBorder="1" applyAlignment="1">
      <alignment vertical="top" wrapText="1"/>
    </xf>
    <xf numFmtId="0" fontId="0" fillId="0" borderId="17" xfId="0" applyFill="1" applyBorder="1" applyAlignment="1">
      <alignment horizontal="center"/>
    </xf>
    <xf numFmtId="0" fontId="14" fillId="0" borderId="1" xfId="2" applyFont="1" applyFill="1" applyBorder="1" applyAlignment="1">
      <alignment vertical="top" wrapText="1"/>
    </xf>
    <xf numFmtId="0" fontId="14" fillId="0" borderId="5" xfId="2" applyFont="1" applyBorder="1" applyAlignment="1">
      <alignment horizontal="center"/>
    </xf>
    <xf numFmtId="49" fontId="14" fillId="0" borderId="5" xfId="2" applyNumberFormat="1" applyFont="1" applyBorder="1" applyAlignment="1">
      <alignment horizontal="center"/>
    </xf>
    <xf numFmtId="0" fontId="14" fillId="0" borderId="0" xfId="0" applyFont="1" applyFill="1" applyAlignment="1">
      <alignment horizontal="right"/>
    </xf>
    <xf numFmtId="0" fontId="14" fillId="0" borderId="1" xfId="2" applyFont="1" applyFill="1" applyBorder="1" applyAlignment="1">
      <alignment horizontal="left" vertical="top" wrapText="1"/>
    </xf>
    <xf numFmtId="0" fontId="14" fillId="0" borderId="0" xfId="0" applyFont="1" applyFill="1" applyBorder="1" applyAlignment="1">
      <alignment horizontal="center"/>
    </xf>
    <xf numFmtId="0" fontId="16" fillId="0" borderId="13" xfId="0" applyFont="1" applyFill="1" applyBorder="1" applyAlignment="1"/>
    <xf numFmtId="43" fontId="14" fillId="0" borderId="5" xfId="0" applyNumberFormat="1" applyFont="1" applyFill="1" applyBorder="1" applyAlignment="1">
      <alignment horizontal="center"/>
    </xf>
    <xf numFmtId="0" fontId="14" fillId="0" borderId="5" xfId="17" applyFont="1" applyFill="1" applyBorder="1" applyAlignment="1">
      <alignment horizontal="left" vertical="top" wrapText="1"/>
    </xf>
    <xf numFmtId="0" fontId="14" fillId="0" borderId="0" xfId="0" applyFont="1" applyFill="1" applyAlignment="1">
      <alignment horizontal="left" vertical="top"/>
    </xf>
    <xf numFmtId="167" fontId="14" fillId="0" borderId="5" xfId="0" applyNumberFormat="1" applyFont="1" applyFill="1" applyBorder="1"/>
    <xf numFmtId="0" fontId="14" fillId="0" borderId="5" xfId="8" applyFont="1" applyFill="1" applyBorder="1" applyAlignment="1">
      <alignment horizontal="left" vertical="top" wrapText="1"/>
    </xf>
    <xf numFmtId="0" fontId="14" fillId="0" borderId="18" xfId="0" applyFont="1" applyFill="1" applyBorder="1"/>
    <xf numFmtId="0" fontId="16" fillId="0" borderId="5" xfId="0" quotePrefix="1" applyFont="1" applyFill="1" applyBorder="1" applyAlignment="1">
      <alignment vertical="top" wrapText="1"/>
    </xf>
    <xf numFmtId="0" fontId="14" fillId="0" borderId="5" xfId="9" applyFont="1" applyFill="1" applyBorder="1" applyAlignment="1">
      <alignment horizontal="left" vertical="top"/>
    </xf>
    <xf numFmtId="0" fontId="14" fillId="0" borderId="4" xfId="1" applyFont="1" applyFill="1" applyBorder="1" applyAlignment="1">
      <alignment horizontal="left" vertical="top"/>
    </xf>
    <xf numFmtId="0" fontId="14" fillId="0" borderId="5" xfId="1" applyFont="1" applyBorder="1" applyAlignment="1">
      <alignment horizontal="center" vertical="top"/>
    </xf>
    <xf numFmtId="0" fontId="14" fillId="0" borderId="5" xfId="0" quotePrefix="1" applyFont="1" applyFill="1" applyBorder="1" applyAlignment="1">
      <alignment horizontal="left" vertical="top" wrapText="1"/>
    </xf>
    <xf numFmtId="0" fontId="14" fillId="0" borderId="0" xfId="8" applyFont="1" applyFill="1" applyAlignment="1">
      <alignment horizontal="left" vertical="top" wrapText="1"/>
    </xf>
    <xf numFmtId="0" fontId="14" fillId="0" borderId="4" xfId="0" applyFont="1" applyFill="1" applyBorder="1" applyAlignment="1">
      <alignment vertical="top" wrapText="1"/>
    </xf>
    <xf numFmtId="0" fontId="14" fillId="0" borderId="0" xfId="0" applyFont="1" applyFill="1" applyBorder="1" applyAlignment="1">
      <alignment horizontal="center"/>
    </xf>
    <xf numFmtId="43" fontId="19" fillId="0" borderId="5" xfId="20" applyFont="1" applyFill="1" applyBorder="1" applyAlignment="1">
      <alignment horizontal="center"/>
    </xf>
    <xf numFmtId="0" fontId="14" fillId="0" borderId="5" xfId="15" quotePrefix="1" applyFont="1" applyFill="1" applyBorder="1" applyAlignment="1">
      <alignment horizontal="left" vertical="top" wrapText="1"/>
    </xf>
    <xf numFmtId="166" fontId="14" fillId="0" borderId="17" xfId="1" applyNumberFormat="1" applyFont="1" applyBorder="1" applyAlignment="1">
      <alignment horizontal="center" vertical="center" wrapText="1"/>
    </xf>
    <xf numFmtId="166" fontId="14" fillId="0" borderId="17" xfId="1" applyNumberFormat="1" applyFont="1" applyBorder="1" applyAlignment="1">
      <alignment horizontal="center" vertical="center"/>
    </xf>
    <xf numFmtId="43" fontId="14" fillId="0" borderId="13" xfId="20" applyFont="1" applyFill="1" applyBorder="1" applyAlignment="1">
      <alignment vertical="center"/>
    </xf>
    <xf numFmtId="43" fontId="14" fillId="0" borderId="19" xfId="20" applyFont="1" applyFill="1" applyBorder="1" applyAlignment="1">
      <alignment horizontal="center" vertical="center"/>
    </xf>
    <xf numFmtId="43" fontId="14" fillId="0" borderId="14" xfId="20" applyFont="1" applyFill="1" applyBorder="1" applyAlignment="1">
      <alignment horizontal="center"/>
    </xf>
    <xf numFmtId="43" fontId="14" fillId="0" borderId="13" xfId="20" applyFont="1" applyFill="1" applyBorder="1"/>
    <xf numFmtId="43" fontId="14" fillId="0" borderId="15" xfId="20" applyFont="1" applyFill="1" applyBorder="1" applyAlignment="1">
      <alignment horizontal="center"/>
    </xf>
    <xf numFmtId="0" fontId="14" fillId="0" borderId="5" xfId="1" applyFont="1" applyBorder="1" applyAlignment="1">
      <alignment horizontal="left" vertical="top"/>
    </xf>
    <xf numFmtId="0" fontId="14" fillId="0" borderId="13" xfId="0" applyFont="1" applyBorder="1" applyAlignment="1">
      <alignment horizontal="center"/>
    </xf>
    <xf numFmtId="3" fontId="16" fillId="0" borderId="5" xfId="1" applyNumberFormat="1" applyFont="1" applyBorder="1" applyAlignment="1">
      <alignment horizontal="left" vertical="top" wrapText="1"/>
    </xf>
    <xf numFmtId="0" fontId="14" fillId="0" borderId="5" xfId="2" applyFont="1" applyBorder="1" applyAlignment="1">
      <alignment horizontal="left" vertical="top" wrapText="1" indent="1"/>
    </xf>
    <xf numFmtId="0" fontId="16" fillId="0" borderId="5" xfId="2" applyFont="1" applyBorder="1" applyAlignment="1">
      <alignment horizontal="left" vertical="top" wrapText="1"/>
    </xf>
    <xf numFmtId="0" fontId="14" fillId="0" borderId="5" xfId="15" applyFont="1" applyBorder="1" applyAlignment="1">
      <alignment horizontal="left" vertical="top" wrapText="1"/>
    </xf>
    <xf numFmtId="0" fontId="14" fillId="0" borderId="0" xfId="0" applyFont="1" applyFill="1" applyAlignment="1">
      <alignment horizontal="center"/>
    </xf>
    <xf numFmtId="4" fontId="14" fillId="0" borderId="13" xfId="0" applyNumberFormat="1" applyFont="1" applyBorder="1" applyAlignment="1">
      <alignment horizontal="center"/>
    </xf>
    <xf numFmtId="0" fontId="14" fillId="0" borderId="5" xfId="2" applyFont="1" applyBorder="1" applyAlignment="1">
      <alignment horizontal="left" vertical="top" wrapText="1"/>
    </xf>
    <xf numFmtId="43" fontId="14" fillId="0" borderId="0" xfId="582" applyFont="1" applyFill="1" applyBorder="1" applyAlignment="1">
      <alignment vertical="center"/>
    </xf>
    <xf numFmtId="43" fontId="14" fillId="0" borderId="17" xfId="582" applyFont="1" applyFill="1" applyBorder="1" applyAlignment="1">
      <alignment horizontal="center" vertical="center"/>
    </xf>
    <xf numFmtId="16" fontId="14" fillId="0" borderId="17" xfId="582" applyNumberFormat="1" applyFont="1" applyFill="1" applyBorder="1" applyAlignment="1">
      <alignment horizontal="center" vertical="center" wrapText="1"/>
    </xf>
    <xf numFmtId="43" fontId="14" fillId="0" borderId="3" xfId="582" applyFont="1" applyFill="1" applyBorder="1" applyAlignment="1">
      <alignment horizontal="center"/>
    </xf>
    <xf numFmtId="43" fontId="14" fillId="0" borderId="5" xfId="582" applyFont="1" applyFill="1" applyBorder="1" applyAlignment="1">
      <alignment horizontal="center"/>
    </xf>
    <xf numFmtId="43" fontId="14" fillId="0" borderId="0" xfId="582" applyFont="1" applyFill="1" applyBorder="1" applyAlignment="1">
      <alignment horizontal="center"/>
    </xf>
    <xf numFmtId="43" fontId="29" fillId="0" borderId="5" xfId="20" applyFont="1" applyFill="1" applyBorder="1" applyAlignment="1">
      <alignment horizontal="center"/>
    </xf>
    <xf numFmtId="0" fontId="30" fillId="0" borderId="13" xfId="0" applyFont="1" applyFill="1" applyBorder="1" applyAlignment="1">
      <alignment horizontal="center" vertical="top" wrapText="1"/>
    </xf>
    <xf numFmtId="3" fontId="30" fillId="0" borderId="13" xfId="0" applyNumberFormat="1" applyFont="1" applyFill="1" applyBorder="1" applyAlignment="1">
      <alignment horizontal="center"/>
    </xf>
    <xf numFmtId="0" fontId="30" fillId="0" borderId="10" xfId="0" applyFont="1" applyFill="1" applyBorder="1" applyAlignment="1">
      <alignment horizontal="center"/>
    </xf>
    <xf numFmtId="3" fontId="14" fillId="3" borderId="13" xfId="0" applyNumberFormat="1" applyFont="1" applyFill="1" applyBorder="1" applyAlignment="1">
      <alignment horizontal="center"/>
    </xf>
    <xf numFmtId="0" fontId="31" fillId="0" borderId="5" xfId="0" applyFont="1" applyFill="1" applyBorder="1" applyAlignment="1">
      <alignment vertical="top" wrapText="1"/>
    </xf>
    <xf numFmtId="43" fontId="39" fillId="0" borderId="5" xfId="20" applyFont="1" applyFill="1" applyBorder="1" applyAlignment="1">
      <alignment horizontal="center"/>
    </xf>
    <xf numFmtId="0" fontId="14" fillId="3" borderId="13" xfId="0" applyFont="1" applyFill="1" applyBorder="1" applyAlignment="1">
      <alignment horizontal="center" vertical="top" wrapText="1"/>
    </xf>
    <xf numFmtId="0" fontId="14" fillId="3" borderId="5" xfId="0" applyFont="1" applyFill="1" applyBorder="1" applyAlignment="1">
      <alignment vertical="top" wrapText="1"/>
    </xf>
    <xf numFmtId="0" fontId="14" fillId="3" borderId="10" xfId="0" applyFont="1" applyFill="1" applyBorder="1" applyAlignment="1">
      <alignment horizontal="center"/>
    </xf>
    <xf numFmtId="4" fontId="14" fillId="3" borderId="13" xfId="0" applyNumberFormat="1" applyFont="1" applyFill="1" applyBorder="1" applyAlignment="1">
      <alignment horizontal="center"/>
    </xf>
    <xf numFmtId="0" fontId="14" fillId="3" borderId="5" xfId="2" applyFont="1" applyFill="1" applyBorder="1" applyAlignment="1">
      <alignment horizontal="left" vertical="top" wrapText="1"/>
    </xf>
    <xf numFmtId="0" fontId="30" fillId="3" borderId="13" xfId="0" applyFont="1" applyFill="1" applyBorder="1" applyAlignment="1">
      <alignment horizontal="center" vertical="top" wrapText="1"/>
    </xf>
    <xf numFmtId="0" fontId="30" fillId="3" borderId="5" xfId="0" applyFont="1" applyFill="1" applyBorder="1" applyAlignment="1">
      <alignment vertical="top" wrapText="1"/>
    </xf>
    <xf numFmtId="3" fontId="30" fillId="3" borderId="13" xfId="0" applyNumberFormat="1" applyFont="1" applyFill="1" applyBorder="1" applyAlignment="1">
      <alignment horizontal="center"/>
    </xf>
    <xf numFmtId="0" fontId="30" fillId="3" borderId="10" xfId="0" applyFont="1" applyFill="1" applyBorder="1" applyAlignment="1">
      <alignment horizontal="center"/>
    </xf>
    <xf numFmtId="0" fontId="14" fillId="3" borderId="11" xfId="0" applyFont="1" applyFill="1" applyBorder="1"/>
    <xf numFmtId="0" fontId="14" fillId="3" borderId="5" xfId="0" applyFont="1" applyFill="1" applyBorder="1" applyAlignment="1">
      <alignment horizontal="center"/>
    </xf>
    <xf numFmtId="0" fontId="30" fillId="3" borderId="5" xfId="0" quotePrefix="1" applyFont="1" applyFill="1" applyBorder="1" applyAlignment="1">
      <alignment vertical="top" wrapText="1"/>
    </xf>
    <xf numFmtId="0" fontId="30" fillId="3" borderId="10" xfId="2" applyFont="1" applyFill="1" applyBorder="1" applyAlignment="1">
      <alignment horizontal="center" wrapText="1"/>
    </xf>
    <xf numFmtId="0" fontId="14" fillId="3" borderId="11" xfId="0" applyFont="1" applyFill="1" applyBorder="1" applyAlignment="1"/>
    <xf numFmtId="0" fontId="14" fillId="3" borderId="5" xfId="15" applyFont="1" applyFill="1" applyBorder="1" applyAlignment="1">
      <alignment horizontal="left" vertical="top" wrapText="1"/>
    </xf>
    <xf numFmtId="0" fontId="14" fillId="3" borderId="10" xfId="2" applyFont="1" applyFill="1" applyBorder="1" applyAlignment="1">
      <alignment horizontal="center" wrapText="1"/>
    </xf>
    <xf numFmtId="0" fontId="29" fillId="0" borderId="13" xfId="0" applyFont="1" applyFill="1" applyBorder="1" applyAlignment="1">
      <alignment horizontal="center"/>
    </xf>
    <xf numFmtId="0" fontId="14" fillId="3" borderId="5" xfId="2" applyFont="1" applyFill="1" applyBorder="1" applyAlignment="1">
      <alignment horizontal="center" vertical="top" wrapText="1"/>
    </xf>
    <xf numFmtId="0" fontId="30" fillId="3" borderId="5" xfId="2" applyFont="1" applyFill="1" applyBorder="1" applyAlignment="1">
      <alignment horizontal="left" vertical="top" wrapText="1"/>
    </xf>
    <xf numFmtId="43" fontId="29" fillId="0" borderId="5" xfId="20" applyFont="1" applyFill="1" applyBorder="1" applyAlignment="1"/>
    <xf numFmtId="0" fontId="30" fillId="3" borderId="11" xfId="0" applyFont="1" applyFill="1" applyBorder="1" applyAlignment="1"/>
    <xf numFmtId="0" fontId="31" fillId="3" borderId="5" xfId="1" applyFont="1" applyFill="1" applyBorder="1" applyAlignment="1">
      <alignment horizontal="left" vertical="top" wrapText="1"/>
    </xf>
    <xf numFmtId="0" fontId="30" fillId="3" borderId="5" xfId="1" applyFont="1" applyFill="1" applyBorder="1" applyAlignment="1">
      <alignment horizontal="left" vertical="top"/>
    </xf>
    <xf numFmtId="0" fontId="30" fillId="3" borderId="5" xfId="1" applyFont="1" applyFill="1" applyBorder="1" applyAlignment="1">
      <alignment horizontal="left" vertical="top" wrapText="1"/>
    </xf>
    <xf numFmtId="0" fontId="16" fillId="3" borderId="5" xfId="2" applyFont="1" applyFill="1" applyBorder="1" applyAlignment="1">
      <alignment horizontal="left" vertical="top" wrapText="1"/>
    </xf>
    <xf numFmtId="0" fontId="14" fillId="0" borderId="0" xfId="581" applyFont="1" applyAlignment="1">
      <alignment vertical="center"/>
    </xf>
    <xf numFmtId="166" fontId="14" fillId="0" borderId="17" xfId="581" applyNumberFormat="1" applyFont="1" applyBorder="1" applyAlignment="1">
      <alignment horizontal="center" vertical="center"/>
    </xf>
    <xf numFmtId="166" fontId="14" fillId="0" borderId="0" xfId="581" applyNumberFormat="1" applyFont="1" applyAlignment="1">
      <alignment vertical="center"/>
    </xf>
    <xf numFmtId="0" fontId="14" fillId="0" borderId="5" xfId="581" applyFont="1" applyBorder="1" applyAlignment="1">
      <alignment horizontal="center" vertical="top" wrapText="1"/>
    </xf>
    <xf numFmtId="0" fontId="14" fillId="0" borderId="5" xfId="581" applyFont="1" applyBorder="1" applyAlignment="1">
      <alignment vertical="top" wrapText="1"/>
    </xf>
    <xf numFmtId="0" fontId="14" fillId="0" borderId="5" xfId="581" applyFont="1" applyBorder="1" applyAlignment="1">
      <alignment horizontal="center"/>
    </xf>
    <xf numFmtId="0" fontId="14" fillId="0" borderId="13" xfId="581" applyFont="1" applyBorder="1" applyAlignment="1">
      <alignment horizontal="center"/>
    </xf>
    <xf numFmtId="0" fontId="14" fillId="0" borderId="10" xfId="581" applyFont="1" applyBorder="1" applyAlignment="1">
      <alignment horizontal="center"/>
    </xf>
    <xf numFmtId="43" fontId="14" fillId="0" borderId="11" xfId="581" applyNumberFormat="1" applyFont="1" applyBorder="1"/>
    <xf numFmtId="43" fontId="14" fillId="0" borderId="5" xfId="581" applyNumberFormat="1" applyFont="1" applyBorder="1"/>
    <xf numFmtId="0" fontId="14" fillId="0" borderId="0" xfId="581" applyFont="1"/>
    <xf numFmtId="0" fontId="14" fillId="0" borderId="13" xfId="581" applyFont="1" applyBorder="1" applyAlignment="1">
      <alignment horizontal="center" vertical="top" wrapText="1"/>
    </xf>
    <xf numFmtId="0" fontId="16" fillId="0" borderId="5" xfId="2" applyFont="1" applyBorder="1" applyAlignment="1">
      <alignment horizontal="center" vertical="top" wrapText="1"/>
    </xf>
    <xf numFmtId="0" fontId="14" fillId="0" borderId="13" xfId="586" applyFont="1" applyBorder="1" applyAlignment="1">
      <alignment horizontal="center" vertical="top" wrapText="1"/>
    </xf>
    <xf numFmtId="0" fontId="14" fillId="0" borderId="5" xfId="586" applyFont="1" applyBorder="1" applyAlignment="1">
      <alignment vertical="top" wrapText="1"/>
    </xf>
    <xf numFmtId="43" fontId="14" fillId="0" borderId="13" xfId="587" applyFont="1" applyFill="1" applyBorder="1" applyAlignment="1">
      <alignment horizontal="center"/>
    </xf>
    <xf numFmtId="0" fontId="14" fillId="0" borderId="10" xfId="586" applyFont="1" applyBorder="1" applyAlignment="1">
      <alignment horizontal="center"/>
    </xf>
    <xf numFmtId="43" fontId="14" fillId="0" borderId="11" xfId="586" applyNumberFormat="1" applyFont="1" applyBorder="1"/>
    <xf numFmtId="43" fontId="14" fillId="0" borderId="5" xfId="586" applyNumberFormat="1" applyFont="1" applyBorder="1"/>
    <xf numFmtId="0" fontId="14" fillId="0" borderId="0" xfId="586" applyFont="1"/>
    <xf numFmtId="0" fontId="16" fillId="0" borderId="5" xfId="2" applyFont="1" applyBorder="1" applyAlignment="1">
      <alignment vertical="top" wrapText="1"/>
    </xf>
    <xf numFmtId="166" fontId="14" fillId="0" borderId="5" xfId="586" applyNumberFormat="1" applyFont="1" applyBorder="1" applyAlignment="1">
      <alignment horizontal="center" vertical="center"/>
    </xf>
    <xf numFmtId="0" fontId="17" fillId="0" borderId="0" xfId="586" applyFont="1"/>
    <xf numFmtId="166" fontId="32" fillId="0" borderId="5" xfId="586" applyNumberFormat="1" applyFont="1" applyBorder="1" applyAlignment="1">
      <alignment horizontal="center" vertical="center"/>
    </xf>
    <xf numFmtId="0" fontId="14" fillId="0" borderId="5" xfId="2" applyFont="1" applyBorder="1" applyAlignment="1">
      <alignment vertical="top" wrapText="1"/>
    </xf>
    <xf numFmtId="3" fontId="14" fillId="0" borderId="0" xfId="586" applyNumberFormat="1" applyFont="1"/>
    <xf numFmtId="0" fontId="16" fillId="0" borderId="0" xfId="586" applyFont="1" applyAlignment="1">
      <alignment vertical="top" wrapText="1"/>
    </xf>
    <xf numFmtId="0" fontId="16" fillId="0" borderId="0" xfId="586" applyFont="1" applyAlignment="1">
      <alignment vertical="top"/>
    </xf>
    <xf numFmtId="166" fontId="14" fillId="0" borderId="3" xfId="586" applyNumberFormat="1" applyFont="1" applyBorder="1" applyAlignment="1">
      <alignment horizontal="center" vertical="center"/>
    </xf>
    <xf numFmtId="0" fontId="14" fillId="0" borderId="3" xfId="586" applyFont="1" applyBorder="1" applyAlignment="1">
      <alignment horizontal="center" vertical="center"/>
    </xf>
    <xf numFmtId="166" fontId="32" fillId="0" borderId="3" xfId="586" applyNumberFormat="1" applyFont="1" applyBorder="1" applyAlignment="1">
      <alignment horizontal="center" vertical="center"/>
    </xf>
    <xf numFmtId="0" fontId="14" fillId="0" borderId="0" xfId="586" applyFont="1" applyAlignment="1">
      <alignment horizontal="left"/>
    </xf>
    <xf numFmtId="0" fontId="14" fillId="0" borderId="5" xfId="586" applyFont="1" applyBorder="1" applyAlignment="1">
      <alignment vertical="center"/>
    </xf>
    <xf numFmtId="166" fontId="14" fillId="0" borderId="4" xfId="586" applyNumberFormat="1" applyFont="1" applyBorder="1" applyAlignment="1">
      <alignment horizontal="center" vertical="center"/>
    </xf>
    <xf numFmtId="0" fontId="14" fillId="0" borderId="4" xfId="586" applyFont="1" applyBorder="1" applyAlignment="1">
      <alignment horizontal="center" vertical="center"/>
    </xf>
    <xf numFmtId="166" fontId="32" fillId="0" borderId="4" xfId="586" applyNumberFormat="1" applyFont="1" applyBorder="1" applyAlignment="1">
      <alignment horizontal="center" vertical="center"/>
    </xf>
    <xf numFmtId="166" fontId="19" fillId="0" borderId="5" xfId="586" applyNumberFormat="1" applyFont="1" applyBorder="1" applyAlignment="1">
      <alignment horizontal="center" vertical="center"/>
    </xf>
    <xf numFmtId="0" fontId="14" fillId="0" borderId="0" xfId="586" applyFont="1" applyAlignment="1">
      <alignment vertical="top"/>
    </xf>
    <xf numFmtId="0" fontId="14" fillId="0" borderId="13" xfId="2" applyFont="1" applyBorder="1" applyAlignment="1">
      <alignment horizontal="center" vertical="top" wrapText="1"/>
    </xf>
    <xf numFmtId="3" fontId="14" fillId="0" borderId="5" xfId="2" applyNumberFormat="1" applyFont="1" applyBorder="1" applyAlignment="1">
      <alignment horizontal="center"/>
    </xf>
    <xf numFmtId="3" fontId="14" fillId="0" borderId="13" xfId="2" applyNumberFormat="1" applyFont="1" applyBorder="1" applyAlignment="1">
      <alignment horizontal="center"/>
    </xf>
    <xf numFmtId="2" fontId="14" fillId="0" borderId="0" xfId="6" applyNumberFormat="1" applyFont="1" applyAlignment="1">
      <alignment vertical="top"/>
    </xf>
    <xf numFmtId="0" fontId="14" fillId="0" borderId="5" xfId="17" applyFont="1" applyBorder="1" applyAlignment="1">
      <alignment horizontal="center" vertical="center"/>
    </xf>
    <xf numFmtId="0" fontId="14" fillId="0" borderId="0" xfId="2" applyFont="1"/>
    <xf numFmtId="0" fontId="32" fillId="0" borderId="5" xfId="17" applyFont="1" applyBorder="1" applyAlignment="1">
      <alignment horizontal="center" vertical="center"/>
    </xf>
    <xf numFmtId="3" fontId="14" fillId="0" borderId="13" xfId="586" applyNumberFormat="1" applyFont="1" applyBorder="1" applyAlignment="1">
      <alignment horizontal="center"/>
    </xf>
    <xf numFmtId="0" fontId="14" fillId="0" borderId="5" xfId="586" applyFont="1" applyBorder="1" applyAlignment="1">
      <alignment horizontal="center" vertical="center" wrapText="1"/>
    </xf>
    <xf numFmtId="0" fontId="14" fillId="0" borderId="13" xfId="586" applyFont="1" applyBorder="1" applyAlignment="1">
      <alignment horizontal="center" vertical="center" wrapText="1"/>
    </xf>
    <xf numFmtId="0" fontId="16" fillId="0" borderId="5" xfId="586" applyFont="1" applyBorder="1" applyAlignment="1">
      <alignment vertical="top" wrapText="1"/>
    </xf>
    <xf numFmtId="43" fontId="14" fillId="0" borderId="12" xfId="586" applyNumberFormat="1" applyFont="1" applyBorder="1"/>
    <xf numFmtId="3" fontId="14" fillId="0" borderId="10" xfId="12" applyNumberFormat="1" applyFont="1" applyBorder="1" applyAlignment="1">
      <alignment horizontal="center"/>
    </xf>
    <xf numFmtId="0" fontId="32" fillId="0" borderId="5" xfId="2" applyFont="1" applyBorder="1" applyAlignment="1">
      <alignment horizontal="center"/>
    </xf>
    <xf numFmtId="0" fontId="2" fillId="0" borderId="0" xfId="586"/>
    <xf numFmtId="166" fontId="32" fillId="0" borderId="5" xfId="2" applyNumberFormat="1" applyFont="1" applyBorder="1" applyAlignment="1">
      <alignment horizontal="center" vertical="center"/>
    </xf>
    <xf numFmtId="166" fontId="14" fillId="0" borderId="5" xfId="2" applyNumberFormat="1" applyFont="1" applyBorder="1" applyAlignment="1">
      <alignment horizontal="center" vertical="center"/>
    </xf>
    <xf numFmtId="0" fontId="32" fillId="0" borderId="5" xfId="17" applyFont="1" applyBorder="1" applyAlignment="1">
      <alignment horizontal="center"/>
    </xf>
    <xf numFmtId="0" fontId="14" fillId="0" borderId="5" xfId="17" applyFont="1" applyBorder="1" applyAlignment="1">
      <alignment horizontal="center"/>
    </xf>
    <xf numFmtId="0" fontId="14" fillId="0" borderId="5" xfId="15" applyFont="1" applyBorder="1" applyAlignment="1">
      <alignment vertical="top" wrapText="1"/>
    </xf>
    <xf numFmtId="3" fontId="14" fillId="0" borderId="13" xfId="2" applyNumberFormat="1" applyFont="1" applyBorder="1" applyAlignment="1">
      <alignment horizontal="center" wrapText="1"/>
    </xf>
    <xf numFmtId="0" fontId="14" fillId="0" borderId="5" xfId="2" applyFont="1" applyBorder="1" applyAlignment="1">
      <alignment vertical="top"/>
    </xf>
    <xf numFmtId="166" fontId="17" fillId="0" borderId="5" xfId="586" applyNumberFormat="1" applyFont="1" applyBorder="1" applyAlignment="1">
      <alignment horizontal="center" vertical="center"/>
    </xf>
    <xf numFmtId="166" fontId="17" fillId="0" borderId="3" xfId="586" applyNumberFormat="1" applyFont="1" applyBorder="1" applyAlignment="1">
      <alignment horizontal="center" vertical="center"/>
    </xf>
    <xf numFmtId="166" fontId="17" fillId="0" borderId="0" xfId="586" applyNumberFormat="1" applyFont="1"/>
    <xf numFmtId="0" fontId="14" fillId="0" borderId="5" xfId="586" applyFont="1" applyBorder="1" applyAlignment="1">
      <alignment horizontal="center" vertical="top" wrapText="1"/>
    </xf>
    <xf numFmtId="0" fontId="14" fillId="0" borderId="0" xfId="586" applyFont="1" applyAlignment="1">
      <alignment horizontal="center"/>
    </xf>
    <xf numFmtId="166" fontId="21" fillId="0" borderId="5" xfId="586" applyNumberFormat="1" applyFont="1" applyBorder="1" applyAlignment="1">
      <alignment horizontal="center" vertical="center"/>
    </xf>
    <xf numFmtId="3" fontId="17" fillId="0" borderId="0" xfId="586" applyNumberFormat="1" applyFont="1"/>
    <xf numFmtId="0" fontId="17" fillId="0" borderId="5" xfId="586" applyFont="1" applyBorder="1" applyAlignment="1">
      <alignment horizontal="center" vertical="center"/>
    </xf>
    <xf numFmtId="0" fontId="17" fillId="0" borderId="3" xfId="586" applyFont="1" applyBorder="1" applyAlignment="1">
      <alignment horizontal="center" vertical="center"/>
    </xf>
    <xf numFmtId="0" fontId="17" fillId="0" borderId="0" xfId="586" applyFont="1" applyAlignment="1">
      <alignment horizontal="left"/>
    </xf>
    <xf numFmtId="0" fontId="17" fillId="0" borderId="5" xfId="586" applyFont="1" applyBorder="1" applyAlignment="1">
      <alignment vertical="center"/>
    </xf>
    <xf numFmtId="166" fontId="17" fillId="0" borderId="4" xfId="586" applyNumberFormat="1" applyFont="1" applyBorder="1" applyAlignment="1">
      <alignment horizontal="center" vertical="center"/>
    </xf>
    <xf numFmtId="0" fontId="17" fillId="0" borderId="4" xfId="586" applyFont="1" applyBorder="1" applyAlignment="1">
      <alignment horizontal="center" vertical="center"/>
    </xf>
    <xf numFmtId="3" fontId="14" fillId="0" borderId="5" xfId="586" applyNumberFormat="1" applyFont="1" applyBorder="1" applyAlignment="1">
      <alignment horizontal="left" vertical="top" wrapText="1"/>
    </xf>
    <xf numFmtId="0" fontId="30" fillId="0" borderId="0" xfId="586" applyFont="1" applyAlignment="1">
      <alignment vertical="top" wrapText="1"/>
    </xf>
    <xf numFmtId="0" fontId="14" fillId="0" borderId="0" xfId="586" applyFont="1" applyAlignment="1">
      <alignment vertical="top" wrapText="1"/>
    </xf>
    <xf numFmtId="0" fontId="28" fillId="0" borderId="5" xfId="2" applyFont="1" applyBorder="1" applyAlignment="1">
      <alignment vertical="top" wrapText="1"/>
    </xf>
    <xf numFmtId="0" fontId="31" fillId="0" borderId="5" xfId="2" applyFont="1" applyBorder="1" applyAlignment="1">
      <alignment vertical="top" wrapText="1"/>
    </xf>
    <xf numFmtId="0" fontId="14" fillId="0" borderId="12" xfId="586" applyFont="1" applyBorder="1"/>
    <xf numFmtId="0" fontId="16" fillId="0" borderId="0" xfId="2" applyFont="1" applyAlignment="1">
      <alignment vertical="top" wrapText="1"/>
    </xf>
    <xf numFmtId="0" fontId="14" fillId="0" borderId="0" xfId="2" applyFont="1" applyAlignment="1">
      <alignment vertical="top" wrapText="1"/>
    </xf>
    <xf numFmtId="0" fontId="16" fillId="0" borderId="0" xfId="586" applyFont="1" applyAlignment="1">
      <alignment wrapText="1"/>
    </xf>
    <xf numFmtId="0" fontId="14" fillId="0" borderId="4" xfId="2" applyFont="1" applyBorder="1" applyAlignment="1">
      <alignment vertical="top" wrapText="1"/>
    </xf>
    <xf numFmtId="0" fontId="14" fillId="0" borderId="16" xfId="586" applyFont="1" applyBorder="1"/>
    <xf numFmtId="0" fontId="17" fillId="0" borderId="16" xfId="586" applyFont="1" applyBorder="1"/>
    <xf numFmtId="0" fontId="30" fillId="0" borderId="0" xfId="2" applyFont="1" applyAlignment="1">
      <alignment vertical="top" wrapText="1"/>
    </xf>
    <xf numFmtId="0" fontId="30" fillId="0" borderId="0" xfId="586" applyFont="1"/>
    <xf numFmtId="166" fontId="30" fillId="0" borderId="5" xfId="586" applyNumberFormat="1" applyFont="1" applyBorder="1" applyAlignment="1">
      <alignment horizontal="center" vertical="center"/>
    </xf>
    <xf numFmtId="0" fontId="33" fillId="0" borderId="0" xfId="586" applyFont="1"/>
    <xf numFmtId="166" fontId="34" fillId="0" borderId="5" xfId="586" applyNumberFormat="1" applyFont="1" applyBorder="1" applyAlignment="1">
      <alignment horizontal="center" vertical="center"/>
    </xf>
    <xf numFmtId="0" fontId="28" fillId="0" borderId="5" xfId="2" applyFont="1" applyBorder="1" applyAlignment="1">
      <alignment vertical="top"/>
    </xf>
    <xf numFmtId="0" fontId="16" fillId="0" borderId="5" xfId="23" applyFont="1" applyBorder="1" applyAlignment="1">
      <alignment horizontal="left" vertical="top" wrapText="1"/>
    </xf>
    <xf numFmtId="166" fontId="14" fillId="0" borderId="13" xfId="586" applyNumberFormat="1" applyFont="1" applyBorder="1" applyAlignment="1">
      <alignment horizontal="center" vertical="center"/>
    </xf>
    <xf numFmtId="3" fontId="14" fillId="3" borderId="13" xfId="586" applyNumberFormat="1" applyFont="1" applyFill="1" applyBorder="1" applyAlignment="1">
      <alignment horizontal="center"/>
    </xf>
    <xf numFmtId="0" fontId="17" fillId="0" borderId="5" xfId="586" applyFont="1" applyBorder="1" applyAlignment="1">
      <alignment horizontal="center"/>
    </xf>
    <xf numFmtId="0" fontId="14" fillId="3" borderId="13" xfId="586" applyFont="1" applyFill="1" applyBorder="1" applyAlignment="1">
      <alignment horizontal="center" vertical="top" wrapText="1"/>
    </xf>
    <xf numFmtId="0" fontId="14" fillId="3" borderId="5" xfId="586" applyFont="1" applyFill="1" applyBorder="1" applyAlignment="1">
      <alignment vertical="top" wrapText="1"/>
    </xf>
    <xf numFmtId="0" fontId="14" fillId="3" borderId="0" xfId="586" applyFont="1" applyFill="1"/>
    <xf numFmtId="166" fontId="14" fillId="3" borderId="5" xfId="586" applyNumberFormat="1" applyFont="1" applyFill="1" applyBorder="1" applyAlignment="1">
      <alignment horizontal="center" vertical="center"/>
    </xf>
    <xf numFmtId="0" fontId="30" fillId="3" borderId="13" xfId="586" applyFont="1" applyFill="1" applyBorder="1" applyAlignment="1">
      <alignment horizontal="center" vertical="top" wrapText="1"/>
    </xf>
    <xf numFmtId="0" fontId="30" fillId="3" borderId="5" xfId="586" applyFont="1" applyFill="1" applyBorder="1" applyAlignment="1">
      <alignment vertical="top" wrapText="1"/>
    </xf>
    <xf numFmtId="3" fontId="30" fillId="3" borderId="13" xfId="586" applyNumberFormat="1" applyFont="1" applyFill="1" applyBorder="1" applyAlignment="1">
      <alignment horizontal="center"/>
    </xf>
    <xf numFmtId="43" fontId="30" fillId="3" borderId="11" xfId="586" applyNumberFormat="1" applyFont="1" applyFill="1" applyBorder="1"/>
    <xf numFmtId="0" fontId="30" fillId="3" borderId="0" xfId="586" applyFont="1" applyFill="1"/>
    <xf numFmtId="166" fontId="30" fillId="3" borderId="5" xfId="586" applyNumberFormat="1" applyFont="1" applyFill="1" applyBorder="1" applyAlignment="1">
      <alignment horizontal="center" vertical="center"/>
    </xf>
    <xf numFmtId="0" fontId="14" fillId="3" borderId="5" xfId="586" applyFont="1" applyFill="1" applyBorder="1" applyAlignment="1">
      <alignment horizontal="center" vertical="top" wrapText="1"/>
    </xf>
    <xf numFmtId="0" fontId="12" fillId="0" borderId="0" xfId="586" applyFont="1" applyAlignment="1">
      <alignment vertical="top" wrapText="1"/>
    </xf>
    <xf numFmtId="0" fontId="30" fillId="0" borderId="10" xfId="2" applyFont="1" applyBorder="1" applyAlignment="1">
      <alignment horizontal="center" wrapText="1"/>
    </xf>
    <xf numFmtId="0" fontId="30" fillId="3" borderId="5" xfId="586" applyFont="1" applyFill="1" applyBorder="1" applyAlignment="1">
      <alignment horizontal="center" vertical="top" wrapText="1"/>
    </xf>
    <xf numFmtId="0" fontId="14" fillId="3" borderId="5" xfId="586" quotePrefix="1" applyFont="1" applyFill="1" applyBorder="1" applyAlignment="1">
      <alignment vertical="top" wrapText="1"/>
    </xf>
    <xf numFmtId="0" fontId="30" fillId="3" borderId="5" xfId="2" applyFont="1" applyFill="1" applyBorder="1" applyAlignment="1">
      <alignment vertical="top" wrapText="1"/>
    </xf>
    <xf numFmtId="0" fontId="14" fillId="0" borderId="5" xfId="586" applyFont="1" applyBorder="1" applyAlignment="1">
      <alignment horizontal="left" vertical="top" wrapText="1"/>
    </xf>
    <xf numFmtId="0" fontId="14" fillId="0" borderId="5" xfId="586" applyFont="1" applyBorder="1" applyAlignment="1">
      <alignment horizontal="center"/>
    </xf>
    <xf numFmtId="0" fontId="16" fillId="0" borderId="5" xfId="586" applyFont="1" applyBorder="1" applyAlignment="1">
      <alignment vertical="top"/>
    </xf>
    <xf numFmtId="0" fontId="14" fillId="0" borderId="5" xfId="2" applyFont="1" applyBorder="1" applyAlignment="1">
      <alignment horizontal="center" vertical="top" wrapText="1"/>
    </xf>
    <xf numFmtId="0" fontId="14" fillId="0" borderId="5" xfId="3" applyFont="1" applyBorder="1" applyAlignment="1">
      <alignment vertical="top" wrapText="1"/>
    </xf>
    <xf numFmtId="0" fontId="16" fillId="0" borderId="5" xfId="12" applyFont="1" applyBorder="1" applyAlignment="1">
      <alignment vertical="top" wrapText="1"/>
    </xf>
    <xf numFmtId="0" fontId="14" fillId="0" borderId="13" xfId="12" applyFont="1" applyBorder="1" applyAlignment="1">
      <alignment horizontal="center" vertical="top" wrapText="1"/>
    </xf>
    <xf numFmtId="0" fontId="14" fillId="0" borderId="15" xfId="0" applyFont="1" applyBorder="1" applyAlignment="1">
      <alignment horizontal="center" vertical="top" wrapText="1"/>
    </xf>
    <xf numFmtId="0" fontId="14" fillId="0" borderId="0" xfId="0" applyFont="1" applyAlignment="1">
      <alignment vertical="top" wrapText="1"/>
    </xf>
    <xf numFmtId="0" fontId="14" fillId="0" borderId="12" xfId="0" applyFont="1" applyBorder="1"/>
    <xf numFmtId="0" fontId="14" fillId="0" borderId="1" xfId="0" applyFont="1" applyBorder="1" applyAlignment="1">
      <alignment horizontal="center" vertical="top" wrapText="1"/>
    </xf>
    <xf numFmtId="0" fontId="14" fillId="0" borderId="1" xfId="0" applyFont="1" applyBorder="1" applyAlignment="1">
      <alignment vertical="top" wrapText="1"/>
    </xf>
    <xf numFmtId="0" fontId="14" fillId="0" borderId="1" xfId="0" applyFont="1" applyBorder="1" applyAlignment="1">
      <alignment horizontal="center"/>
    </xf>
    <xf numFmtId="0" fontId="14" fillId="0" borderId="2" xfId="0" applyFont="1" applyBorder="1"/>
    <xf numFmtId="0" fontId="14" fillId="0" borderId="0" xfId="0" applyFont="1" applyAlignment="1">
      <alignment horizontal="center" wrapText="1"/>
    </xf>
    <xf numFmtId="0" fontId="14" fillId="0" borderId="0" xfId="0" applyFont="1" applyAlignment="1">
      <alignment wrapText="1"/>
    </xf>
    <xf numFmtId="0" fontId="14" fillId="0" borderId="0" xfId="0" applyFont="1" applyAlignment="1">
      <alignment horizontal="right"/>
    </xf>
    <xf numFmtId="0" fontId="14" fillId="0" borderId="12" xfId="0" applyFont="1" applyBorder="1" applyAlignment="1">
      <alignment horizontal="center"/>
    </xf>
    <xf numFmtId="0" fontId="14" fillId="0" borderId="0" xfId="0" applyFont="1" applyAlignment="1">
      <alignment horizontal="center" vertical="top" wrapText="1"/>
    </xf>
    <xf numFmtId="0" fontId="14" fillId="0" borderId="1" xfId="586" applyFont="1" applyBorder="1" applyAlignment="1">
      <alignment horizontal="center" vertical="top" wrapText="1"/>
    </xf>
    <xf numFmtId="0" fontId="14" fillId="0" borderId="1" xfId="586" applyFont="1" applyBorder="1" applyAlignment="1">
      <alignment vertical="top" wrapText="1"/>
    </xf>
    <xf numFmtId="0" fontId="14" fillId="0" borderId="1" xfId="586" applyFont="1" applyBorder="1" applyAlignment="1">
      <alignment horizontal="center"/>
    </xf>
    <xf numFmtId="43" fontId="14" fillId="0" borderId="2" xfId="586" applyNumberFormat="1" applyFont="1" applyBorder="1"/>
    <xf numFmtId="43" fontId="14" fillId="0" borderId="3" xfId="586" applyNumberFormat="1" applyFont="1" applyBorder="1"/>
    <xf numFmtId="0" fontId="14" fillId="0" borderId="0" xfId="586" applyFont="1" applyAlignment="1">
      <alignment horizontal="center" vertical="top" wrapText="1"/>
    </xf>
    <xf numFmtId="43" fontId="14" fillId="0" borderId="12" xfId="586" applyNumberFormat="1" applyFont="1" applyBorder="1" applyAlignment="1">
      <alignment horizontal="center"/>
    </xf>
    <xf numFmtId="43" fontId="14" fillId="0" borderId="4" xfId="586" applyNumberFormat="1" applyFont="1" applyBorder="1"/>
    <xf numFmtId="0" fontId="14" fillId="0" borderId="0" xfId="581" applyFont="1" applyAlignment="1">
      <alignment horizontal="center" wrapText="1"/>
    </xf>
    <xf numFmtId="0" fontId="14" fillId="0" borderId="0" xfId="581" applyFont="1" applyAlignment="1">
      <alignment horizontal="center"/>
    </xf>
    <xf numFmtId="43" fontId="14" fillId="0" borderId="0" xfId="581" applyNumberFormat="1" applyFont="1"/>
    <xf numFmtId="0" fontId="14" fillId="0" borderId="12" xfId="586" applyFont="1" applyBorder="1" applyAlignment="1">
      <alignment horizontal="left"/>
    </xf>
    <xf numFmtId="0" fontId="32" fillId="0" borderId="5" xfId="586" applyFont="1" applyBorder="1" applyAlignment="1">
      <alignment horizontal="center"/>
    </xf>
    <xf numFmtId="3" fontId="14" fillId="0" borderId="12" xfId="586" applyNumberFormat="1" applyFont="1" applyBorder="1" applyAlignment="1">
      <alignment horizontal="left"/>
    </xf>
    <xf numFmtId="3" fontId="17" fillId="0" borderId="12" xfId="586" applyNumberFormat="1" applyFont="1" applyBorder="1" applyAlignment="1">
      <alignment horizontal="left"/>
    </xf>
    <xf numFmtId="0" fontId="19" fillId="0" borderId="5" xfId="586" applyFont="1" applyBorder="1" applyAlignment="1">
      <alignment horizontal="center"/>
    </xf>
    <xf numFmtId="0" fontId="14" fillId="0" borderId="1" xfId="586" applyFont="1" applyBorder="1" applyAlignment="1">
      <alignment horizontal="center" wrapText="1"/>
    </xf>
    <xf numFmtId="0" fontId="14" fillId="0" borderId="1" xfId="586" applyFont="1" applyBorder="1" applyAlignment="1">
      <alignment wrapText="1"/>
    </xf>
    <xf numFmtId="0" fontId="14" fillId="0" borderId="3" xfId="586" applyFont="1" applyBorder="1" applyAlignment="1">
      <alignment horizontal="center"/>
    </xf>
    <xf numFmtId="0" fontId="32" fillId="0" borderId="3" xfId="586" applyFont="1" applyBorder="1" applyAlignment="1">
      <alignment horizontal="center"/>
    </xf>
    <xf numFmtId="0" fontId="14" fillId="0" borderId="0" xfId="586" applyFont="1" applyAlignment="1">
      <alignment horizontal="center" wrapText="1"/>
    </xf>
    <xf numFmtId="0" fontId="14" fillId="0" borderId="0" xfId="586" applyFont="1" applyAlignment="1">
      <alignment wrapText="1"/>
    </xf>
    <xf numFmtId="0" fontId="14" fillId="0" borderId="5" xfId="586" applyFont="1" applyBorder="1"/>
    <xf numFmtId="0" fontId="32" fillId="0" borderId="5" xfId="586" applyFont="1" applyBorder="1"/>
    <xf numFmtId="0" fontId="14" fillId="0" borderId="4" xfId="586" applyFont="1" applyBorder="1" applyAlignment="1">
      <alignment horizontal="center"/>
    </xf>
    <xf numFmtId="0" fontId="32" fillId="0" borderId="4" xfId="586" applyFont="1" applyBorder="1" applyAlignment="1">
      <alignment horizontal="center"/>
    </xf>
    <xf numFmtId="0" fontId="16" fillId="0" borderId="5" xfId="586" applyFont="1" applyBorder="1" applyAlignment="1">
      <alignment horizontal="left"/>
    </xf>
    <xf numFmtId="0" fontId="14" fillId="0" borderId="5" xfId="586" applyFont="1" applyBorder="1" applyAlignment="1">
      <alignment horizontal="left"/>
    </xf>
    <xf numFmtId="0" fontId="14" fillId="0" borderId="10" xfId="586" applyFont="1" applyBorder="1" applyAlignment="1">
      <alignment horizontal="center" wrapText="1"/>
    </xf>
    <xf numFmtId="0" fontId="14" fillId="3" borderId="10" xfId="586" applyFont="1" applyFill="1" applyBorder="1" applyAlignment="1">
      <alignment horizontal="center"/>
    </xf>
    <xf numFmtId="0" fontId="14" fillId="3" borderId="12" xfId="586" applyFont="1" applyFill="1" applyBorder="1" applyAlignment="1">
      <alignment horizontal="left"/>
    </xf>
    <xf numFmtId="0" fontId="14" fillId="3" borderId="5" xfId="586" applyFont="1" applyFill="1" applyBorder="1" applyAlignment="1">
      <alignment horizontal="center"/>
    </xf>
    <xf numFmtId="3" fontId="14" fillId="0" borderId="5" xfId="586" applyNumberFormat="1" applyFont="1" applyBorder="1" applyAlignment="1">
      <alignment horizontal="center"/>
    </xf>
    <xf numFmtId="0" fontId="14" fillId="0" borderId="5" xfId="586" applyFont="1" applyBorder="1" applyAlignment="1">
      <alignment wrapText="1"/>
    </xf>
    <xf numFmtId="0" fontId="35" fillId="0" borderId="5" xfId="586" applyFont="1" applyBorder="1" applyAlignment="1">
      <alignment horizontal="center"/>
    </xf>
    <xf numFmtId="43" fontId="14" fillId="0" borderId="0" xfId="586" applyNumberFormat="1" applyFont="1"/>
    <xf numFmtId="3" fontId="17" fillId="0" borderId="12" xfId="586" applyNumberFormat="1" applyFont="1" applyBorder="1" applyAlignment="1">
      <alignment horizontal="center"/>
    </xf>
    <xf numFmtId="3" fontId="32" fillId="0" borderId="5" xfId="586" applyNumberFormat="1" applyFont="1" applyBorder="1" applyAlignment="1">
      <alignment horizontal="center"/>
    </xf>
    <xf numFmtId="0" fontId="16" fillId="0" borderId="5" xfId="586" applyFont="1" applyBorder="1" applyAlignment="1">
      <alignment horizontal="left" vertical="top" wrapText="1"/>
    </xf>
    <xf numFmtId="0" fontId="36" fillId="0" borderId="5" xfId="586" applyFont="1" applyBorder="1" applyAlignment="1">
      <alignment horizontal="center"/>
    </xf>
    <xf numFmtId="0" fontId="37" fillId="0" borderId="5" xfId="586" applyFont="1" applyBorder="1" applyAlignment="1">
      <alignment horizontal="center"/>
    </xf>
    <xf numFmtId="0" fontId="17" fillId="0" borderId="12" xfId="586" applyFont="1" applyBorder="1" applyAlignment="1">
      <alignment horizontal="left"/>
    </xf>
    <xf numFmtId="0" fontId="38" fillId="0" borderId="5" xfId="586" applyFont="1" applyBorder="1" applyAlignment="1">
      <alignment horizontal="center"/>
    </xf>
    <xf numFmtId="0" fontId="14" fillId="0" borderId="5" xfId="3" applyFont="1" applyBorder="1" applyAlignment="1">
      <alignment horizontal="left" vertical="top" wrapText="1"/>
    </xf>
    <xf numFmtId="0" fontId="14" fillId="0" borderId="13" xfId="586" applyFont="1" applyBorder="1" applyAlignment="1">
      <alignment horizontal="center" wrapText="1"/>
    </xf>
    <xf numFmtId="0" fontId="14" fillId="0" borderId="12" xfId="586" applyFont="1" applyBorder="1" applyAlignment="1">
      <alignment horizontal="center"/>
    </xf>
    <xf numFmtId="0" fontId="14" fillId="0" borderId="15" xfId="586" applyFont="1" applyBorder="1" applyAlignment="1">
      <alignment horizontal="center" wrapText="1"/>
    </xf>
    <xf numFmtId="0" fontId="14" fillId="0" borderId="16" xfId="586" applyFont="1" applyBorder="1" applyAlignment="1">
      <alignment wrapText="1"/>
    </xf>
    <xf numFmtId="0" fontId="14" fillId="0" borderId="16" xfId="586" applyFont="1" applyBorder="1" applyAlignment="1">
      <alignment horizontal="center"/>
    </xf>
    <xf numFmtId="43" fontId="14" fillId="0" borderId="16" xfId="586" applyNumberFormat="1" applyFont="1" applyBorder="1"/>
    <xf numFmtId="0" fontId="14" fillId="0" borderId="1" xfId="586" applyFont="1" applyBorder="1"/>
    <xf numFmtId="0" fontId="14" fillId="0" borderId="0" xfId="0" applyFont="1" applyFill="1" applyBorder="1" applyAlignment="1">
      <alignment horizontal="right"/>
    </xf>
    <xf numFmtId="166" fontId="14" fillId="0" borderId="17" xfId="1" applyNumberFormat="1" applyFont="1" applyBorder="1" applyAlignment="1">
      <alignment horizontal="center" vertical="center" wrapText="1"/>
    </xf>
    <xf numFmtId="166" fontId="14" fillId="0" borderId="17" xfId="581" applyNumberFormat="1" applyFont="1" applyBorder="1" applyAlignment="1">
      <alignment horizontal="center" vertical="center" wrapText="1"/>
    </xf>
    <xf numFmtId="0" fontId="14" fillId="0" borderId="0" xfId="0" applyFont="1" applyAlignment="1">
      <alignment horizontal="center"/>
    </xf>
    <xf numFmtId="0" fontId="14" fillId="0" borderId="0" xfId="586" applyFont="1" applyAlignment="1">
      <alignment horizontal="right"/>
    </xf>
    <xf numFmtId="43" fontId="14" fillId="0" borderId="11" xfId="586" applyNumberFormat="1" applyFont="1" applyFill="1" applyBorder="1"/>
    <xf numFmtId="43" fontId="30" fillId="0" borderId="11" xfId="586" applyNumberFormat="1" applyFont="1" applyFill="1" applyBorder="1"/>
    <xf numFmtId="43" fontId="14" fillId="0" borderId="5" xfId="586" applyNumberFormat="1" applyFont="1" applyFill="1" applyBorder="1"/>
    <xf numFmtId="169" fontId="14" fillId="0" borderId="5" xfId="11" applyNumberFormat="1" applyFont="1" applyFill="1" applyBorder="1" applyAlignment="1">
      <alignment horizontal="center" wrapText="1"/>
    </xf>
    <xf numFmtId="169" fontId="14" fillId="0" borderId="5" xfId="586" applyNumberFormat="1" applyFont="1" applyBorder="1"/>
    <xf numFmtId="169" fontId="14" fillId="0" borderId="5" xfId="586" applyNumberFormat="1" applyFont="1" applyFill="1" applyBorder="1"/>
    <xf numFmtId="169" fontId="30" fillId="0" borderId="5" xfId="586" applyNumberFormat="1" applyFont="1" applyFill="1" applyBorder="1"/>
    <xf numFmtId="169" fontId="14" fillId="0" borderId="4" xfId="0" applyNumberFormat="1" applyFont="1" applyBorder="1"/>
    <xf numFmtId="169" fontId="14" fillId="0" borderId="3" xfId="0" applyNumberFormat="1" applyFont="1" applyBorder="1"/>
    <xf numFmtId="169" fontId="14" fillId="0" borderId="5" xfId="0" applyNumberFormat="1" applyFont="1" applyBorder="1"/>
    <xf numFmtId="169" fontId="14" fillId="0" borderId="3" xfId="586" applyNumberFormat="1" applyFont="1" applyBorder="1"/>
    <xf numFmtId="169" fontId="14" fillId="3" borderId="5" xfId="586" applyNumberFormat="1" applyFont="1" applyFill="1" applyBorder="1" applyAlignment="1">
      <alignment horizontal="center"/>
    </xf>
    <xf numFmtId="3" fontId="14" fillId="0" borderId="13" xfId="586" applyNumberFormat="1" applyFont="1" applyFill="1" applyBorder="1" applyAlignment="1">
      <alignment horizontal="center"/>
    </xf>
    <xf numFmtId="0" fontId="14" fillId="0" borderId="5" xfId="586" applyFont="1" applyFill="1" applyBorder="1" applyAlignment="1">
      <alignment horizontal="center" vertical="top" wrapText="1"/>
    </xf>
    <xf numFmtId="0" fontId="14" fillId="0" borderId="13" xfId="586" applyFont="1" applyFill="1" applyBorder="1" applyAlignment="1">
      <alignment horizontal="center" vertical="top" wrapText="1"/>
    </xf>
    <xf numFmtId="43" fontId="14" fillId="0" borderId="0" xfId="586" applyNumberFormat="1" applyFont="1" applyFill="1"/>
    <xf numFmtId="0" fontId="16" fillId="2" borderId="5" xfId="580" applyFont="1" applyBorder="1" applyAlignment="1">
      <alignment vertical="top" wrapText="1"/>
    </xf>
    <xf numFmtId="0" fontId="16" fillId="3" borderId="5" xfId="585" applyFont="1" applyFill="1" applyBorder="1" applyAlignment="1">
      <alignment horizontal="left" vertical="top" wrapText="1"/>
    </xf>
    <xf numFmtId="0" fontId="16" fillId="3" borderId="5" xfId="16" applyFont="1" applyFill="1" applyBorder="1" applyAlignment="1">
      <alignment horizontal="left" vertical="top" wrapText="1"/>
    </xf>
    <xf numFmtId="0" fontId="14" fillId="3" borderId="5" xfId="1" applyFont="1" applyFill="1" applyBorder="1" applyAlignment="1">
      <alignment horizontal="left" vertical="top"/>
    </xf>
    <xf numFmtId="0" fontId="16" fillId="3" borderId="5" xfId="0" applyFont="1" applyFill="1" applyBorder="1" applyAlignment="1">
      <alignment vertical="top" wrapText="1"/>
    </xf>
    <xf numFmtId="0" fontId="16" fillId="3" borderId="5" xfId="2" applyFont="1" applyFill="1" applyBorder="1" applyAlignment="1">
      <alignment vertical="top" wrapText="1"/>
    </xf>
    <xf numFmtId="0" fontId="16" fillId="3" borderId="5" xfId="6" applyFont="1" applyFill="1" applyBorder="1" applyAlignment="1">
      <alignment vertical="top" wrapText="1"/>
    </xf>
    <xf numFmtId="0" fontId="14" fillId="3" borderId="5" xfId="1" applyFont="1" applyFill="1" applyBorder="1" applyAlignment="1">
      <alignment horizontal="left" vertical="top" wrapText="1"/>
    </xf>
    <xf numFmtId="0" fontId="16" fillId="3" borderId="5" xfId="15" applyFont="1" applyFill="1" applyBorder="1" applyAlignment="1">
      <alignment vertical="top" wrapText="1"/>
    </xf>
    <xf numFmtId="0" fontId="16" fillId="3" borderId="5" xfId="15" applyFont="1" applyFill="1" applyBorder="1" applyAlignment="1">
      <alignment horizontal="left" vertical="top" wrapText="1"/>
    </xf>
    <xf numFmtId="0" fontId="14" fillId="0" borderId="5" xfId="74" applyFont="1" applyBorder="1" applyAlignment="1">
      <alignment vertical="top" wrapText="1"/>
    </xf>
    <xf numFmtId="169" fontId="14" fillId="0" borderId="4" xfId="586" applyNumberFormat="1" applyFont="1" applyBorder="1"/>
    <xf numFmtId="0" fontId="16" fillId="0" borderId="0" xfId="586" applyFont="1"/>
    <xf numFmtId="0" fontId="14" fillId="0" borderId="10" xfId="12" applyFont="1" applyBorder="1" applyAlignment="1">
      <alignment horizontal="center"/>
    </xf>
    <xf numFmtId="166" fontId="14" fillId="0" borderId="13" xfId="586" applyNumberFormat="1" applyFont="1" applyBorder="1" applyAlignment="1">
      <alignment horizontal="center" vertical="center" wrapText="1"/>
    </xf>
    <xf numFmtId="0" fontId="14" fillId="0" borderId="10" xfId="586" applyFont="1" applyBorder="1" applyAlignment="1">
      <alignment horizontal="center" vertical="center"/>
    </xf>
    <xf numFmtId="43" fontId="14" fillId="0" borderId="11" xfId="586" applyNumberFormat="1" applyFont="1" applyBorder="1" applyAlignment="1">
      <alignment horizontal="center" vertical="center" wrapText="1"/>
    </xf>
    <xf numFmtId="169" fontId="14" fillId="0" borderId="5" xfId="586" applyNumberFormat="1" applyFont="1" applyBorder="1" applyAlignment="1">
      <alignment horizontal="center" vertical="center" wrapText="1"/>
    </xf>
    <xf numFmtId="0" fontId="30" fillId="0" borderId="5" xfId="586" applyFont="1" applyBorder="1" applyAlignment="1">
      <alignment horizontal="center" vertical="top" wrapText="1"/>
    </xf>
    <xf numFmtId="3" fontId="30" fillId="0" borderId="13" xfId="586" applyNumberFormat="1" applyFont="1" applyBorder="1" applyAlignment="1">
      <alignment horizontal="center"/>
    </xf>
    <xf numFmtId="0" fontId="30" fillId="0" borderId="10" xfId="586" applyFont="1" applyBorder="1" applyAlignment="1">
      <alignment horizontal="center"/>
    </xf>
    <xf numFmtId="43" fontId="30" fillId="0" borderId="11" xfId="586" applyNumberFormat="1" applyFont="1" applyBorder="1"/>
    <xf numFmtId="169" fontId="30" fillId="0" borderId="5" xfId="586" applyNumberFormat="1" applyFont="1" applyBorder="1"/>
    <xf numFmtId="0" fontId="14" fillId="0" borderId="4" xfId="586" applyFont="1" applyBorder="1" applyAlignment="1">
      <alignment horizontal="center" vertical="top" wrapText="1"/>
    </xf>
    <xf numFmtId="3" fontId="14" fillId="0" borderId="15" xfId="586" applyNumberFormat="1" applyFont="1" applyBorder="1" applyAlignment="1">
      <alignment horizontal="center"/>
    </xf>
    <xf numFmtId="0" fontId="14" fillId="0" borderId="8" xfId="586" applyFont="1" applyBorder="1" applyAlignment="1">
      <alignment horizontal="center"/>
    </xf>
    <xf numFmtId="43" fontId="14" fillId="0" borderId="9" xfId="586" applyNumberFormat="1" applyFont="1" applyBorder="1"/>
    <xf numFmtId="0" fontId="30" fillId="0" borderId="0" xfId="586" applyFont="1" applyAlignment="1">
      <alignment horizontal="center" vertical="top" wrapText="1"/>
    </xf>
    <xf numFmtId="3" fontId="30" fillId="0" borderId="0" xfId="586" applyNumberFormat="1" applyFont="1" applyAlignment="1">
      <alignment horizontal="center"/>
    </xf>
    <xf numFmtId="0" fontId="30" fillId="0" borderId="0" xfId="586" applyFont="1" applyAlignment="1">
      <alignment horizontal="center"/>
    </xf>
    <xf numFmtId="43" fontId="30" fillId="0" borderId="12" xfId="586" applyNumberFormat="1" applyFont="1" applyBorder="1"/>
    <xf numFmtId="0" fontId="14" fillId="0" borderId="13" xfId="586" applyFont="1" applyBorder="1" applyAlignment="1">
      <alignment horizontal="center"/>
    </xf>
    <xf numFmtId="0" fontId="16" fillId="0" borderId="8" xfId="586" applyFont="1" applyBorder="1" applyAlignment="1">
      <alignment vertical="top" wrapText="1"/>
    </xf>
    <xf numFmtId="43" fontId="16" fillId="0" borderId="9" xfId="586" applyNumberFormat="1" applyFont="1" applyBorder="1" applyAlignment="1">
      <alignment vertical="top" wrapText="1"/>
    </xf>
    <xf numFmtId="169" fontId="16" fillId="0" borderId="5" xfId="586" applyNumberFormat="1" applyFont="1" applyBorder="1" applyAlignment="1">
      <alignment vertical="top" wrapText="1"/>
    </xf>
    <xf numFmtId="0" fontId="14" fillId="0" borderId="10" xfId="586" applyFont="1" applyFill="1" applyBorder="1" applyAlignment="1">
      <alignment horizontal="center"/>
    </xf>
    <xf numFmtId="0" fontId="14" fillId="0" borderId="0" xfId="581" applyFont="1" applyAlignment="1">
      <alignment wrapText="1"/>
    </xf>
    <xf numFmtId="43" fontId="14" fillId="0" borderId="13" xfId="586" applyNumberFormat="1" applyFont="1" applyBorder="1" applyAlignment="1">
      <alignment horizontal="center"/>
    </xf>
    <xf numFmtId="43" fontId="40" fillId="0" borderId="5" xfId="20" applyFont="1" applyFill="1" applyBorder="1" applyAlignment="1">
      <alignment horizontal="center"/>
    </xf>
    <xf numFmtId="0" fontId="14" fillId="4" borderId="13" xfId="0" applyFont="1" applyFill="1" applyBorder="1" applyAlignment="1">
      <alignment horizontal="center" vertical="top" wrapText="1"/>
    </xf>
    <xf numFmtId="0" fontId="14" fillId="4" borderId="5" xfId="2" applyFont="1" applyFill="1" applyBorder="1" applyAlignment="1">
      <alignment horizontal="left" vertical="top" wrapText="1"/>
    </xf>
    <xf numFmtId="3" fontId="14" fillId="4" borderId="13" xfId="0" applyNumberFormat="1" applyFont="1" applyFill="1" applyBorder="1" applyAlignment="1">
      <alignment horizontal="center"/>
    </xf>
    <xf numFmtId="0" fontId="14" fillId="4" borderId="10" xfId="0" applyFont="1" applyFill="1" applyBorder="1" applyAlignment="1">
      <alignment horizontal="center"/>
    </xf>
    <xf numFmtId="0" fontId="30" fillId="4" borderId="13" xfId="0" applyFont="1" applyFill="1" applyBorder="1" applyAlignment="1">
      <alignment horizontal="center" vertical="top" wrapText="1"/>
    </xf>
    <xf numFmtId="0" fontId="30" fillId="4" borderId="5" xfId="0" applyFont="1" applyFill="1" applyBorder="1" applyAlignment="1">
      <alignment horizontal="left" vertical="top" wrapText="1"/>
    </xf>
    <xf numFmtId="3" fontId="30" fillId="4" borderId="13" xfId="0" applyNumberFormat="1" applyFont="1" applyFill="1" applyBorder="1" applyAlignment="1">
      <alignment horizontal="center"/>
    </xf>
    <xf numFmtId="0" fontId="30" fillId="4" borderId="10" xfId="0" applyFont="1" applyFill="1" applyBorder="1" applyAlignment="1">
      <alignment horizontal="center"/>
    </xf>
    <xf numFmtId="0" fontId="30" fillId="4" borderId="11" xfId="0" applyFont="1" applyFill="1" applyBorder="1" applyAlignment="1"/>
    <xf numFmtId="0" fontId="14" fillId="4" borderId="5" xfId="0" applyFont="1" applyFill="1" applyBorder="1" applyAlignment="1">
      <alignment horizontal="center"/>
    </xf>
    <xf numFmtId="0" fontId="16" fillId="4" borderId="5" xfId="0" quotePrefix="1" applyFont="1" applyFill="1" applyBorder="1" applyAlignment="1">
      <alignment vertical="top" wrapText="1"/>
    </xf>
    <xf numFmtId="3" fontId="14" fillId="4" borderId="5" xfId="1" applyNumberFormat="1" applyFont="1" applyFill="1" applyBorder="1" applyAlignment="1">
      <alignment horizontal="left" vertical="top" wrapText="1"/>
    </xf>
    <xf numFmtId="0" fontId="14" fillId="4" borderId="10" xfId="2" applyFont="1" applyFill="1" applyBorder="1" applyAlignment="1">
      <alignment horizontal="center" wrapText="1"/>
    </xf>
    <xf numFmtId="0" fontId="14" fillId="4" borderId="5" xfId="1" applyFont="1" applyFill="1" applyBorder="1" applyAlignment="1">
      <alignment horizontal="left" vertical="top" wrapText="1"/>
    </xf>
    <xf numFmtId="0" fontId="14" fillId="4" borderId="13" xfId="1" applyFont="1" applyFill="1" applyBorder="1" applyAlignment="1">
      <alignment horizontal="center" vertical="top" wrapText="1"/>
    </xf>
    <xf numFmtId="0" fontId="16" fillId="4" borderId="5" xfId="1" applyFont="1" applyFill="1" applyBorder="1" applyAlignment="1">
      <alignment horizontal="left" vertical="top" wrapText="1"/>
    </xf>
    <xf numFmtId="0" fontId="16" fillId="4" borderId="5" xfId="2" applyFont="1" applyFill="1" applyBorder="1" applyAlignment="1">
      <alignment horizontal="left" vertical="top" wrapText="1"/>
    </xf>
    <xf numFmtId="0" fontId="30" fillId="4" borderId="13" xfId="586" applyFont="1" applyFill="1" applyBorder="1" applyAlignment="1">
      <alignment horizontal="center" vertical="top" wrapText="1"/>
    </xf>
    <xf numFmtId="0" fontId="31" fillId="4" borderId="5" xfId="2" applyFont="1" applyFill="1" applyBorder="1" applyAlignment="1">
      <alignment horizontal="left" vertical="top" wrapText="1"/>
    </xf>
    <xf numFmtId="3" fontId="30" fillId="4" borderId="13" xfId="586" applyNumberFormat="1" applyFont="1" applyFill="1" applyBorder="1" applyAlignment="1">
      <alignment horizontal="center"/>
    </xf>
    <xf numFmtId="0" fontId="30" fillId="4" borderId="10" xfId="586" applyFont="1" applyFill="1" applyBorder="1" applyAlignment="1">
      <alignment horizontal="center"/>
    </xf>
    <xf numFmtId="0" fontId="14" fillId="4" borderId="11" xfId="588" applyFont="1" applyFill="1" applyBorder="1"/>
    <xf numFmtId="0" fontId="14" fillId="4" borderId="5" xfId="588" applyFont="1" applyFill="1" applyBorder="1"/>
    <xf numFmtId="0" fontId="30" fillId="4" borderId="5" xfId="586" applyFont="1" applyFill="1" applyBorder="1" applyAlignment="1">
      <alignment horizontal="left" vertical="top" wrapText="1"/>
    </xf>
    <xf numFmtId="0" fontId="30" fillId="4" borderId="5" xfId="2" applyFont="1" applyFill="1" applyBorder="1" applyAlignment="1">
      <alignment horizontal="left" vertical="top" wrapText="1"/>
    </xf>
    <xf numFmtId="0" fontId="30" fillId="4" borderId="10" xfId="586" applyFont="1" applyFill="1" applyBorder="1" applyAlignment="1">
      <alignment horizontal="center" wrapText="1"/>
    </xf>
    <xf numFmtId="0" fontId="14" fillId="4" borderId="5" xfId="0" applyFont="1" applyFill="1" applyBorder="1"/>
    <xf numFmtId="0" fontId="14" fillId="4" borderId="5" xfId="588" applyFont="1" applyFill="1" applyBorder="1" applyAlignment="1">
      <alignment vertical="top" wrapText="1"/>
    </xf>
    <xf numFmtId="3" fontId="30" fillId="4" borderId="5" xfId="1" applyNumberFormat="1" applyFont="1" applyFill="1" applyBorder="1" applyAlignment="1">
      <alignment horizontal="left" vertical="top" wrapText="1"/>
    </xf>
    <xf numFmtId="0" fontId="30" fillId="4" borderId="10" xfId="2" applyFont="1" applyFill="1" applyBorder="1" applyAlignment="1">
      <alignment horizontal="center" wrapText="1"/>
    </xf>
    <xf numFmtId="0" fontId="14" fillId="4" borderId="11" xfId="0" applyFont="1" applyFill="1" applyBorder="1" applyAlignment="1"/>
    <xf numFmtId="0" fontId="12" fillId="0" borderId="0" xfId="0" applyFont="1" applyAlignment="1">
      <alignment horizontal="center"/>
    </xf>
    <xf numFmtId="0" fontId="14" fillId="0" borderId="7" xfId="0" applyFont="1" applyFill="1" applyBorder="1" applyAlignment="1">
      <alignment horizontal="center" vertical="center" wrapText="1"/>
    </xf>
    <xf numFmtId="0" fontId="14" fillId="0" borderId="11" xfId="0" applyFont="1" applyFill="1" applyBorder="1" applyAlignment="1">
      <alignment horizontal="center" vertical="center" wrapText="1"/>
    </xf>
    <xf numFmtId="0" fontId="14" fillId="0" borderId="9" xfId="0" applyFont="1" applyFill="1" applyBorder="1" applyAlignment="1">
      <alignment horizontal="center" vertical="center" wrapText="1"/>
    </xf>
    <xf numFmtId="0" fontId="14" fillId="0" borderId="3" xfId="0" applyFont="1" applyFill="1" applyBorder="1" applyAlignment="1">
      <alignment horizontal="center" vertical="center" wrapText="1"/>
    </xf>
    <xf numFmtId="0" fontId="14" fillId="0" borderId="5" xfId="0" applyFont="1" applyFill="1" applyBorder="1" applyAlignment="1">
      <alignment horizontal="center" vertical="center" wrapText="1"/>
    </xf>
    <xf numFmtId="0" fontId="14" fillId="0" borderId="4" xfId="0" applyFont="1" applyFill="1" applyBorder="1" applyAlignment="1">
      <alignment horizontal="center" vertical="center" wrapText="1"/>
    </xf>
    <xf numFmtId="166" fontId="14" fillId="0" borderId="3" xfId="1" applyNumberFormat="1" applyFont="1" applyBorder="1" applyAlignment="1">
      <alignment horizontal="center" vertical="center"/>
    </xf>
    <xf numFmtId="166" fontId="14" fillId="0" borderId="4" xfId="1" applyNumberFormat="1" applyFont="1" applyBorder="1" applyAlignment="1">
      <alignment horizontal="center" vertical="center"/>
    </xf>
    <xf numFmtId="166" fontId="14" fillId="0" borderId="3" xfId="1" applyNumberFormat="1" applyFont="1" applyBorder="1" applyAlignment="1">
      <alignment horizontal="center" vertical="center" wrapText="1"/>
    </xf>
    <xf numFmtId="166" fontId="14" fillId="0" borderId="4" xfId="1" applyNumberFormat="1" applyFont="1" applyBorder="1" applyAlignment="1">
      <alignment horizontal="center" vertical="center" wrapText="1"/>
    </xf>
    <xf numFmtId="0" fontId="14" fillId="0" borderId="0" xfId="0" applyFont="1" applyFill="1" applyBorder="1" applyAlignment="1">
      <alignment horizontal="right"/>
    </xf>
    <xf numFmtId="0" fontId="16" fillId="0" borderId="0" xfId="0" applyFont="1" applyFill="1" applyAlignment="1">
      <alignment horizontal="center"/>
    </xf>
    <xf numFmtId="166" fontId="14" fillId="0" borderId="17" xfId="1" applyNumberFormat="1" applyFont="1" applyBorder="1" applyAlignment="1">
      <alignment horizontal="center" vertical="center" wrapText="1"/>
    </xf>
    <xf numFmtId="0" fontId="14" fillId="0" borderId="6" xfId="0" applyFont="1" applyFill="1" applyBorder="1" applyAlignment="1">
      <alignment horizontal="center" vertical="center"/>
    </xf>
    <xf numFmtId="0" fontId="14" fillId="0" borderId="10" xfId="0" applyFont="1" applyFill="1" applyBorder="1" applyAlignment="1">
      <alignment horizontal="center" vertical="center"/>
    </xf>
    <xf numFmtId="0" fontId="14" fillId="0" borderId="8" xfId="0" applyFont="1" applyFill="1" applyBorder="1" applyAlignment="1">
      <alignment horizontal="center" vertical="center"/>
    </xf>
    <xf numFmtId="0" fontId="16" fillId="0" borderId="0" xfId="0" applyFont="1" applyFill="1" applyBorder="1" applyAlignment="1">
      <alignment horizontal="center"/>
    </xf>
    <xf numFmtId="43" fontId="14" fillId="0" borderId="3" xfId="581" applyNumberFormat="1" applyFont="1" applyBorder="1" applyAlignment="1">
      <alignment horizontal="center" vertical="center" wrapText="1"/>
    </xf>
    <xf numFmtId="43" fontId="14" fillId="0" borderId="5" xfId="581" applyNumberFormat="1" applyFont="1" applyBorder="1" applyAlignment="1">
      <alignment horizontal="center" vertical="center" wrapText="1"/>
    </xf>
    <xf numFmtId="43" fontId="14" fillId="0" borderId="4" xfId="581" applyNumberFormat="1" applyFont="1" applyBorder="1" applyAlignment="1">
      <alignment horizontal="center" vertical="center" wrapText="1"/>
    </xf>
    <xf numFmtId="166" fontId="14" fillId="0" borderId="3" xfId="581" applyNumberFormat="1" applyFont="1" applyBorder="1" applyAlignment="1">
      <alignment horizontal="center" vertical="center"/>
    </xf>
    <xf numFmtId="166" fontId="14" fillId="0" borderId="4" xfId="581" applyNumberFormat="1" applyFont="1" applyBorder="1" applyAlignment="1">
      <alignment horizontal="center" vertical="center"/>
    </xf>
    <xf numFmtId="0" fontId="14" fillId="0" borderId="3" xfId="581" applyFont="1" applyBorder="1" applyAlignment="1">
      <alignment horizontal="center" vertical="center" wrapText="1"/>
    </xf>
    <xf numFmtId="0" fontId="14" fillId="0" borderId="5" xfId="581" applyFont="1" applyBorder="1" applyAlignment="1">
      <alignment horizontal="center" vertical="center" wrapText="1"/>
    </xf>
    <xf numFmtId="0" fontId="14" fillId="0" borderId="4" xfId="581" applyFont="1" applyBorder="1" applyAlignment="1">
      <alignment horizontal="center" vertical="center" wrapText="1"/>
    </xf>
    <xf numFmtId="166" fontId="14" fillId="0" borderId="17" xfId="581" applyNumberFormat="1" applyFont="1" applyBorder="1" applyAlignment="1">
      <alignment horizontal="center" vertical="center" wrapText="1"/>
    </xf>
    <xf numFmtId="0" fontId="14" fillId="0" borderId="6" xfId="581" applyFont="1" applyBorder="1" applyAlignment="1">
      <alignment horizontal="center" vertical="center"/>
    </xf>
    <xf numFmtId="0" fontId="14" fillId="0" borderId="10" xfId="581" applyFont="1" applyBorder="1" applyAlignment="1">
      <alignment horizontal="center" vertical="center"/>
    </xf>
    <xf numFmtId="0" fontId="14" fillId="0" borderId="8" xfId="581" applyFont="1" applyBorder="1" applyAlignment="1">
      <alignment horizontal="center" vertical="center"/>
    </xf>
    <xf numFmtId="43" fontId="14" fillId="0" borderId="7" xfId="581" applyNumberFormat="1" applyFont="1" applyBorder="1" applyAlignment="1">
      <alignment horizontal="center" vertical="center" wrapText="1"/>
    </xf>
    <xf numFmtId="43" fontId="14" fillId="0" borderId="11" xfId="581" applyNumberFormat="1" applyFont="1" applyBorder="1" applyAlignment="1">
      <alignment horizontal="center" vertical="center" wrapText="1"/>
    </xf>
    <xf numFmtId="43" fontId="14" fillId="0" borderId="9" xfId="581" applyNumberFormat="1" applyFont="1" applyBorder="1" applyAlignment="1">
      <alignment horizontal="center" vertical="center" wrapText="1"/>
    </xf>
    <xf numFmtId="0" fontId="14" fillId="0" borderId="0" xfId="586" applyFont="1" applyAlignment="1">
      <alignment horizontal="right"/>
    </xf>
    <xf numFmtId="166" fontId="14" fillId="0" borderId="3" xfId="581" applyNumberFormat="1" applyFont="1" applyBorder="1" applyAlignment="1">
      <alignment horizontal="center" vertical="center" wrapText="1"/>
    </xf>
    <xf numFmtId="166" fontId="14" fillId="0" borderId="4" xfId="581" applyNumberFormat="1" applyFont="1" applyBorder="1" applyAlignment="1">
      <alignment horizontal="center" vertical="center" wrapText="1"/>
    </xf>
    <xf numFmtId="0" fontId="14" fillId="0" borderId="0" xfId="0" applyFont="1" applyAlignment="1">
      <alignment horizontal="center"/>
    </xf>
    <xf numFmtId="0" fontId="16" fillId="0" borderId="0" xfId="586" applyFont="1" applyAlignment="1">
      <alignment horizontal="center"/>
    </xf>
    <xf numFmtId="0" fontId="16" fillId="0" borderId="0" xfId="0" applyFont="1" applyAlignment="1">
      <alignment horizontal="center"/>
    </xf>
    <xf numFmtId="0" fontId="0" fillId="0" borderId="3" xfId="0" applyFill="1" applyBorder="1" applyAlignment="1">
      <alignment horizontal="center" vertical="center" wrapText="1"/>
    </xf>
    <xf numFmtId="0" fontId="0" fillId="0" borderId="4" xfId="0" applyFill="1" applyBorder="1" applyAlignment="1">
      <alignment horizontal="center" vertical="center" wrapText="1"/>
    </xf>
    <xf numFmtId="0" fontId="0" fillId="0" borderId="14" xfId="0" applyFill="1" applyBorder="1" applyAlignment="1">
      <alignment horizontal="center" vertical="center" wrapText="1"/>
    </xf>
    <xf numFmtId="0" fontId="0" fillId="0" borderId="15" xfId="0" applyFill="1" applyBorder="1" applyAlignment="1">
      <alignment horizontal="center" vertical="center" wrapText="1"/>
    </xf>
  </cellXfs>
  <cellStyles count="589">
    <cellStyle name="Comma" xfId="20" builtinId="3"/>
    <cellStyle name="Comma 10" xfId="11" xr:uid="{00000000-0005-0000-0000-000001000000}"/>
    <cellStyle name="Comma 10 2" xfId="44" xr:uid="{00000000-0005-0000-0000-000002000000}"/>
    <cellStyle name="Comma 10 2 2" xfId="56" xr:uid="{00000000-0005-0000-0000-000003000000}"/>
    <cellStyle name="Comma 10 2 3" xfId="64" xr:uid="{00000000-0005-0000-0000-000004000000}"/>
    <cellStyle name="Comma 10 2 3 2" xfId="153" xr:uid="{00000000-0005-0000-0000-000005000000}"/>
    <cellStyle name="Comma 10 3" xfId="38" xr:uid="{00000000-0005-0000-0000-000006000000}"/>
    <cellStyle name="Comma 10 3 2" xfId="55" xr:uid="{00000000-0005-0000-0000-000007000000}"/>
    <cellStyle name="Comma 10 4" xfId="53" xr:uid="{00000000-0005-0000-0000-000008000000}"/>
    <cellStyle name="Comma 10 5" xfId="133" xr:uid="{00000000-0005-0000-0000-000009000000}"/>
    <cellStyle name="Comma 13" xfId="34" xr:uid="{00000000-0005-0000-0000-00000A000000}"/>
    <cellStyle name="Comma 13 2" xfId="54" xr:uid="{00000000-0005-0000-0000-00000B000000}"/>
    <cellStyle name="Comma 14 2" xfId="14" xr:uid="{00000000-0005-0000-0000-00000C000000}"/>
    <cellStyle name="Comma 14 2 2" xfId="134" xr:uid="{00000000-0005-0000-0000-00000D000000}"/>
    <cellStyle name="Comma 2" xfId="5" xr:uid="{00000000-0005-0000-0000-00000E000000}"/>
    <cellStyle name="Comma 2 10" xfId="232" xr:uid="{00000000-0005-0000-0000-00000F000000}"/>
    <cellStyle name="Comma 2 10 2" xfId="326" xr:uid="{00000000-0005-0000-0000-000010000000}"/>
    <cellStyle name="Comma 2 10 2 2" xfId="492" xr:uid="{00000000-0005-0000-0000-000011000000}"/>
    <cellStyle name="Comma 2 10 3" xfId="410" xr:uid="{00000000-0005-0000-0000-000012000000}"/>
    <cellStyle name="Comma 2 11" xfId="243" xr:uid="{00000000-0005-0000-0000-000013000000}"/>
    <cellStyle name="Comma 2 11 2" xfId="421" xr:uid="{00000000-0005-0000-0000-000014000000}"/>
    <cellStyle name="Comma 2 12" xfId="154" xr:uid="{00000000-0005-0000-0000-000015000000}"/>
    <cellStyle name="Comma 2 12 2" xfId="512" xr:uid="{00000000-0005-0000-0000-000016000000}"/>
    <cellStyle name="Comma 2 13" xfId="346" xr:uid="{00000000-0005-0000-0000-000017000000}"/>
    <cellStyle name="Comma 2 2" xfId="52" xr:uid="{00000000-0005-0000-0000-000018000000}"/>
    <cellStyle name="Comma 2 2 10" xfId="362" xr:uid="{00000000-0005-0000-0000-000019000000}"/>
    <cellStyle name="Comma 2 2 2" xfId="99" xr:uid="{00000000-0005-0000-0000-00001A000000}"/>
    <cellStyle name="Comma 2 2 2 2" xfId="278" xr:uid="{00000000-0005-0000-0000-00001B000000}"/>
    <cellStyle name="Comma 2 2 2 2 2" xfId="453" xr:uid="{00000000-0005-0000-0000-00001C000000}"/>
    <cellStyle name="Comma 2 2 2 3" xfId="159" xr:uid="{00000000-0005-0000-0000-00001D000000}"/>
    <cellStyle name="Comma 2 2 2 3 2" xfId="517" xr:uid="{00000000-0005-0000-0000-00001E000000}"/>
    <cellStyle name="Comma 2 2 2 4" xfId="351" xr:uid="{00000000-0005-0000-0000-00001F000000}"/>
    <cellStyle name="Comma 2 2 3" xfId="123" xr:uid="{00000000-0005-0000-0000-000020000000}"/>
    <cellStyle name="Comma 2 2 3 2" xfId="295" xr:uid="{00000000-0005-0000-0000-000021000000}"/>
    <cellStyle name="Comma 2 2 3 2 2" xfId="469" xr:uid="{00000000-0005-0000-0000-000022000000}"/>
    <cellStyle name="Comma 2 2 3 3" xfId="202" xr:uid="{00000000-0005-0000-0000-000023000000}"/>
    <cellStyle name="Comma 2 2 3 3 2" xfId="554" xr:uid="{00000000-0005-0000-0000-000024000000}"/>
    <cellStyle name="Comma 2 2 3 4" xfId="388" xr:uid="{00000000-0005-0000-0000-000025000000}"/>
    <cellStyle name="Comma 2 2 4" xfId="148" xr:uid="{00000000-0005-0000-0000-000026000000}"/>
    <cellStyle name="Comma 2 2 4 2" xfId="317" xr:uid="{00000000-0005-0000-0000-000027000000}"/>
    <cellStyle name="Comma 2 2 4 2 2" xfId="486" xr:uid="{00000000-0005-0000-0000-000028000000}"/>
    <cellStyle name="Comma 2 2 4 3" xfId="322" xr:uid="{00000000-0005-0000-0000-000029000000}"/>
    <cellStyle name="Comma 2 2 4 3 2" xfId="488" xr:uid="{00000000-0005-0000-0000-00002A000000}"/>
    <cellStyle name="Comma 2 2 4 4" xfId="176" xr:uid="{00000000-0005-0000-0000-00002B000000}"/>
    <cellStyle name="Comma 2 2 4 4 2" xfId="531" xr:uid="{00000000-0005-0000-0000-00002C000000}"/>
    <cellStyle name="Comma 2 2 4 5" xfId="365" xr:uid="{00000000-0005-0000-0000-00002D000000}"/>
    <cellStyle name="Comma 2 2 5" xfId="70" xr:uid="{00000000-0005-0000-0000-00002E000000}"/>
    <cellStyle name="Comma 2 2 5 2" xfId="259" xr:uid="{00000000-0005-0000-0000-00002F000000}"/>
    <cellStyle name="Comma 2 2 5 2 2" xfId="437" xr:uid="{00000000-0005-0000-0000-000030000000}"/>
    <cellStyle name="Comma 2 2 5 3" xfId="336" xr:uid="{00000000-0005-0000-0000-000031000000}"/>
    <cellStyle name="Comma 2 2 5 3 2" xfId="502" xr:uid="{00000000-0005-0000-0000-000032000000}"/>
    <cellStyle name="Comma 2 2 5 4" xfId="227" xr:uid="{00000000-0005-0000-0000-000033000000}"/>
    <cellStyle name="Comma 2 2 5 4 2" xfId="572" xr:uid="{00000000-0005-0000-0000-000034000000}"/>
    <cellStyle name="Comma 2 2 5 5" xfId="408" xr:uid="{00000000-0005-0000-0000-000035000000}"/>
    <cellStyle name="Comma 2 2 6" xfId="211" xr:uid="{00000000-0005-0000-0000-000036000000}"/>
    <cellStyle name="Comma 2 2 7" xfId="241" xr:uid="{00000000-0005-0000-0000-000037000000}"/>
    <cellStyle name="Comma 2 2 7 2" xfId="344" xr:uid="{00000000-0005-0000-0000-000038000000}"/>
    <cellStyle name="Comma 2 2 7 2 2" xfId="510" xr:uid="{00000000-0005-0000-0000-000039000000}"/>
    <cellStyle name="Comma 2 2 7 3" xfId="419" xr:uid="{00000000-0005-0000-0000-00003A000000}"/>
    <cellStyle name="Comma 2 2 8" xfId="252" xr:uid="{00000000-0005-0000-0000-00003B000000}"/>
    <cellStyle name="Comma 2 2 8 2" xfId="430" xr:uid="{00000000-0005-0000-0000-00003C000000}"/>
    <cellStyle name="Comma 2 2 9" xfId="173" xr:uid="{00000000-0005-0000-0000-00003D000000}"/>
    <cellStyle name="Comma 2 2 9 2" xfId="528" xr:uid="{00000000-0005-0000-0000-00003E000000}"/>
    <cellStyle name="Comma 2 3" xfId="48" xr:uid="{00000000-0005-0000-0000-00003F000000}"/>
    <cellStyle name="Comma 2 3 2" xfId="58" xr:uid="{00000000-0005-0000-0000-000040000000}"/>
    <cellStyle name="Comma 2 3 2 2" xfId="150" xr:uid="{00000000-0005-0000-0000-000041000000}"/>
    <cellStyle name="Comma 2 3 2 2 2" xfId="319" xr:uid="{00000000-0005-0000-0000-000042000000}"/>
    <cellStyle name="Comma 2 3 2 2 3" xfId="324" xr:uid="{00000000-0005-0000-0000-000043000000}"/>
    <cellStyle name="Comma 2 3 2 2 3 2" xfId="490" xr:uid="{00000000-0005-0000-0000-000044000000}"/>
    <cellStyle name="Comma 2 3 2 2 4" xfId="190" xr:uid="{00000000-0005-0000-0000-000045000000}"/>
    <cellStyle name="Comma 2 3 2 2 4 2" xfId="542" xr:uid="{00000000-0005-0000-0000-000046000000}"/>
    <cellStyle name="Comma 2 3 2 2 5" xfId="376" xr:uid="{00000000-0005-0000-0000-000047000000}"/>
    <cellStyle name="Comma 2 3 2 3" xfId="103" xr:uid="{00000000-0005-0000-0000-000048000000}"/>
    <cellStyle name="Comma 2 3 2 3 2" xfId="282" xr:uid="{00000000-0005-0000-0000-000049000000}"/>
    <cellStyle name="Comma 2 3 2 3 2 2" xfId="579" xr:uid="{00000000-0005-0000-0000-00004A000000}"/>
    <cellStyle name="Comma 2 3 2 3 3" xfId="457" xr:uid="{00000000-0005-0000-0000-00004B000000}"/>
    <cellStyle name="Comma 2 3 3" xfId="127" xr:uid="{00000000-0005-0000-0000-00004C000000}"/>
    <cellStyle name="Comma 2 3 3 2" xfId="299" xr:uid="{00000000-0005-0000-0000-00004D000000}"/>
    <cellStyle name="Comma 2 3 3 2 2" xfId="473" xr:uid="{00000000-0005-0000-0000-00004E000000}"/>
    <cellStyle name="Comma 2 3 3 3" xfId="206" xr:uid="{00000000-0005-0000-0000-00004F000000}"/>
    <cellStyle name="Comma 2 3 3 3 2" xfId="558" xr:uid="{00000000-0005-0000-0000-000050000000}"/>
    <cellStyle name="Comma 2 3 3 4" xfId="392" xr:uid="{00000000-0005-0000-0000-000051000000}"/>
    <cellStyle name="Comma 2 3 4" xfId="145" xr:uid="{00000000-0005-0000-0000-000052000000}"/>
    <cellStyle name="Comma 2 3 4 2" xfId="314" xr:uid="{00000000-0005-0000-0000-000053000000}"/>
    <cellStyle name="Comma 2 3 4 3" xfId="335" xr:uid="{00000000-0005-0000-0000-000054000000}"/>
    <cellStyle name="Comma 2 3 4 3 2" xfId="501" xr:uid="{00000000-0005-0000-0000-000055000000}"/>
    <cellStyle name="Comma 2 3 4 4" xfId="166" xr:uid="{00000000-0005-0000-0000-000056000000}"/>
    <cellStyle name="Comma 2 3 4 4 2" xfId="522" xr:uid="{00000000-0005-0000-0000-000057000000}"/>
    <cellStyle name="Comma 2 3 4 5" xfId="356" xr:uid="{00000000-0005-0000-0000-000058000000}"/>
    <cellStyle name="Comma 2 3 5" xfId="75" xr:uid="{00000000-0005-0000-0000-000059000000}"/>
    <cellStyle name="Comma 2 3 5 2" xfId="263" xr:uid="{00000000-0005-0000-0000-00005A000000}"/>
    <cellStyle name="Comma 2 3 5 2 2" xfId="576" xr:uid="{00000000-0005-0000-0000-00005B000000}"/>
    <cellStyle name="Comma 2 3 5 3" xfId="441" xr:uid="{00000000-0005-0000-0000-00005C000000}"/>
    <cellStyle name="Comma 2 4" xfId="86" xr:uid="{00000000-0005-0000-0000-00005D000000}"/>
    <cellStyle name="Comma 2 4 2" xfId="119" xr:uid="{00000000-0005-0000-0000-00005E000000}"/>
    <cellStyle name="Comma 2 4 2 2" xfId="291" xr:uid="{00000000-0005-0000-0000-00005F000000}"/>
    <cellStyle name="Comma 2 4 2 2 2" xfId="465" xr:uid="{00000000-0005-0000-0000-000060000000}"/>
    <cellStyle name="Comma 2 4 2 3" xfId="198" xr:uid="{00000000-0005-0000-0000-000061000000}"/>
    <cellStyle name="Comma 2 4 2 3 2" xfId="550" xr:uid="{00000000-0005-0000-0000-000062000000}"/>
    <cellStyle name="Comma 2 4 2 4" xfId="384" xr:uid="{00000000-0005-0000-0000-000063000000}"/>
    <cellStyle name="Comma 2 4 3" xfId="271" xr:uid="{00000000-0005-0000-0000-000064000000}"/>
    <cellStyle name="Comma 2 4 3 2" xfId="449" xr:uid="{00000000-0005-0000-0000-000065000000}"/>
    <cellStyle name="Comma 2 4 4" xfId="158" xr:uid="{00000000-0005-0000-0000-000066000000}"/>
    <cellStyle name="Comma 2 4 4 2" xfId="516" xr:uid="{00000000-0005-0000-0000-000067000000}"/>
    <cellStyle name="Comma 2 4 5" xfId="350" xr:uid="{00000000-0005-0000-0000-000068000000}"/>
    <cellStyle name="Comma 2 5" xfId="96" xr:uid="{00000000-0005-0000-0000-000069000000}"/>
    <cellStyle name="Comma 2 6" xfId="79" xr:uid="{00000000-0005-0000-0000-00006A000000}"/>
    <cellStyle name="Comma 2 6 2" xfId="267" xr:uid="{00000000-0005-0000-0000-00006B000000}"/>
    <cellStyle name="Comma 2 6 2 2" xfId="445" xr:uid="{00000000-0005-0000-0000-00006C000000}"/>
    <cellStyle name="Comma 2 6 3" xfId="178" xr:uid="{00000000-0005-0000-0000-00006D000000}"/>
    <cellStyle name="Comma 2 6 3 2" xfId="532" xr:uid="{00000000-0005-0000-0000-00006E000000}"/>
    <cellStyle name="Comma 2 6 4" xfId="366" xr:uid="{00000000-0005-0000-0000-00006F000000}"/>
    <cellStyle name="Comma 2 7" xfId="115" xr:uid="{00000000-0005-0000-0000-000070000000}"/>
    <cellStyle name="Comma 2 7 2" xfId="287" xr:uid="{00000000-0005-0000-0000-000071000000}"/>
    <cellStyle name="Comma 2 7 2 2" xfId="461" xr:uid="{00000000-0005-0000-0000-000072000000}"/>
    <cellStyle name="Comma 2 7 3" xfId="194" xr:uid="{00000000-0005-0000-0000-000073000000}"/>
    <cellStyle name="Comma 2 7 3 2" xfId="546" xr:uid="{00000000-0005-0000-0000-000074000000}"/>
    <cellStyle name="Comma 2 7 4" xfId="380" xr:uid="{00000000-0005-0000-0000-000075000000}"/>
    <cellStyle name="Comma 2 8" xfId="131" xr:uid="{00000000-0005-0000-0000-000076000000}"/>
    <cellStyle name="Comma 2 8 2" xfId="303" xr:uid="{00000000-0005-0000-0000-000077000000}"/>
    <cellStyle name="Comma 2 8 2 2" xfId="477" xr:uid="{00000000-0005-0000-0000-000078000000}"/>
    <cellStyle name="Comma 2 8 3" xfId="338" xr:uid="{00000000-0005-0000-0000-000079000000}"/>
    <cellStyle name="Comma 2 8 3 2" xfId="504" xr:uid="{00000000-0005-0000-0000-00007A000000}"/>
    <cellStyle name="Comma 2 8 4" xfId="210" xr:uid="{00000000-0005-0000-0000-00007B000000}"/>
    <cellStyle name="Comma 2 8 4 2" xfId="562" xr:uid="{00000000-0005-0000-0000-00007C000000}"/>
    <cellStyle name="Comma 2 8 5" xfId="396" xr:uid="{00000000-0005-0000-0000-00007D000000}"/>
    <cellStyle name="Comma 2 9" xfId="65" xr:uid="{00000000-0005-0000-0000-00007E000000}"/>
    <cellStyle name="Comma 2 9 2" xfId="255" xr:uid="{00000000-0005-0000-0000-00007F000000}"/>
    <cellStyle name="Comma 2 9 2 2" xfId="433" xr:uid="{00000000-0005-0000-0000-000080000000}"/>
    <cellStyle name="Comma 2 9 3" xfId="214" xr:uid="{00000000-0005-0000-0000-000081000000}"/>
    <cellStyle name="Comma 3" xfId="19" xr:uid="{00000000-0005-0000-0000-000082000000}"/>
    <cellStyle name="Comma 3 10" xfId="235" xr:uid="{00000000-0005-0000-0000-000083000000}"/>
    <cellStyle name="Comma 3 10 2" xfId="334" xr:uid="{00000000-0005-0000-0000-000084000000}"/>
    <cellStyle name="Comma 3 10 2 2" xfId="500" xr:uid="{00000000-0005-0000-0000-000085000000}"/>
    <cellStyle name="Comma 3 10 3" xfId="413" xr:uid="{00000000-0005-0000-0000-000086000000}"/>
    <cellStyle name="Comma 3 11" xfId="246" xr:uid="{00000000-0005-0000-0000-000087000000}"/>
    <cellStyle name="Comma 3 11 2" xfId="424" xr:uid="{00000000-0005-0000-0000-000088000000}"/>
    <cellStyle name="Comma 3 12" xfId="157" xr:uid="{00000000-0005-0000-0000-000089000000}"/>
    <cellStyle name="Comma 3 12 2" xfId="515" xr:uid="{00000000-0005-0000-0000-00008A000000}"/>
    <cellStyle name="Comma 3 13" xfId="349" xr:uid="{00000000-0005-0000-0000-00008B000000}"/>
    <cellStyle name="Comma 3 14" xfId="582" xr:uid="{00000000-0005-0000-0000-00008C000000}"/>
    <cellStyle name="Comma 3 2" xfId="57" xr:uid="{00000000-0005-0000-0000-00008D000000}"/>
    <cellStyle name="Comma 3 2 2" xfId="84" xr:uid="{00000000-0005-0000-0000-00008E000000}"/>
    <cellStyle name="Comma 3 2 3" xfId="102" xr:uid="{00000000-0005-0000-0000-00008F000000}"/>
    <cellStyle name="Comma 3 2 3 2" xfId="281" xr:uid="{00000000-0005-0000-0000-000090000000}"/>
    <cellStyle name="Comma 3 2 3 2 2" xfId="456" xr:uid="{00000000-0005-0000-0000-000091000000}"/>
    <cellStyle name="Comma 3 2 3 3" xfId="189" xr:uid="{00000000-0005-0000-0000-000092000000}"/>
    <cellStyle name="Comma 3 2 3 3 2" xfId="541" xr:uid="{00000000-0005-0000-0000-000093000000}"/>
    <cellStyle name="Comma 3 2 3 4" xfId="375" xr:uid="{00000000-0005-0000-0000-000094000000}"/>
    <cellStyle name="Comma 3 2 4" xfId="126" xr:uid="{00000000-0005-0000-0000-000095000000}"/>
    <cellStyle name="Comma 3 2 4 2" xfId="298" xr:uid="{00000000-0005-0000-0000-000096000000}"/>
    <cellStyle name="Comma 3 2 4 2 2" xfId="472" xr:uid="{00000000-0005-0000-0000-000097000000}"/>
    <cellStyle name="Comma 3 2 4 3" xfId="205" xr:uid="{00000000-0005-0000-0000-000098000000}"/>
    <cellStyle name="Comma 3 2 4 3 2" xfId="557" xr:uid="{00000000-0005-0000-0000-000099000000}"/>
    <cellStyle name="Comma 3 2 4 4" xfId="391" xr:uid="{00000000-0005-0000-0000-00009A000000}"/>
    <cellStyle name="Comma 3 2 5" xfId="149" xr:uid="{00000000-0005-0000-0000-00009B000000}"/>
    <cellStyle name="Comma 3 2 5 2" xfId="318" xr:uid="{00000000-0005-0000-0000-00009C000000}"/>
    <cellStyle name="Comma 3 2 5 3" xfId="328" xr:uid="{00000000-0005-0000-0000-00009D000000}"/>
    <cellStyle name="Comma 3 2 5 3 2" xfId="494" xr:uid="{00000000-0005-0000-0000-00009E000000}"/>
    <cellStyle name="Comma 3 2 5 4" xfId="175" xr:uid="{00000000-0005-0000-0000-00009F000000}"/>
    <cellStyle name="Comma 3 2 5 4 2" xfId="530" xr:uid="{00000000-0005-0000-0000-0000A0000000}"/>
    <cellStyle name="Comma 3 2 5 5" xfId="364" xr:uid="{00000000-0005-0000-0000-0000A1000000}"/>
    <cellStyle name="Comma 3 2 6" xfId="73" xr:uid="{00000000-0005-0000-0000-0000A2000000}"/>
    <cellStyle name="Comma 3 2 6 2" xfId="262" xr:uid="{00000000-0005-0000-0000-0000A3000000}"/>
    <cellStyle name="Comma 3 2 6 2 2" xfId="440" xr:uid="{00000000-0005-0000-0000-0000A4000000}"/>
    <cellStyle name="Comma 3 2 6 3" xfId="230" xr:uid="{00000000-0005-0000-0000-0000A5000000}"/>
    <cellStyle name="Comma 3 2 7" xfId="584" xr:uid="{00000000-0005-0000-0000-0000A6000000}"/>
    <cellStyle name="Comma 3 2 7 2" xfId="587" xr:uid="{00000000-0005-0000-0000-0000A7000000}"/>
    <cellStyle name="Comma 3 3" xfId="46" xr:uid="{00000000-0005-0000-0000-0000A8000000}"/>
    <cellStyle name="Comma 3 3 2" xfId="106" xr:uid="{00000000-0005-0000-0000-0000A9000000}"/>
    <cellStyle name="Comma 3 3 2 2" xfId="285" xr:uid="{00000000-0005-0000-0000-0000AA000000}"/>
    <cellStyle name="Comma 3 3 2 2 2" xfId="460" xr:uid="{00000000-0005-0000-0000-0000AB000000}"/>
    <cellStyle name="Comma 3 3 2 3" xfId="193" xr:uid="{00000000-0005-0000-0000-0000AC000000}"/>
    <cellStyle name="Comma 3 3 2 3 2" xfId="545" xr:uid="{00000000-0005-0000-0000-0000AD000000}"/>
    <cellStyle name="Comma 3 3 2 4" xfId="379" xr:uid="{00000000-0005-0000-0000-0000AE000000}"/>
    <cellStyle name="Comma 3 3 3" xfId="130" xr:uid="{00000000-0005-0000-0000-0000AF000000}"/>
    <cellStyle name="Comma 3 3 3 2" xfId="302" xr:uid="{00000000-0005-0000-0000-0000B0000000}"/>
    <cellStyle name="Comma 3 3 3 2 2" xfId="476" xr:uid="{00000000-0005-0000-0000-0000B1000000}"/>
    <cellStyle name="Comma 3 3 3 3" xfId="209" xr:uid="{00000000-0005-0000-0000-0000B2000000}"/>
    <cellStyle name="Comma 3 3 3 3 2" xfId="561" xr:uid="{00000000-0005-0000-0000-0000B3000000}"/>
    <cellStyle name="Comma 3 3 3 4" xfId="395" xr:uid="{00000000-0005-0000-0000-0000B4000000}"/>
    <cellStyle name="Comma 3 3 4" xfId="144" xr:uid="{00000000-0005-0000-0000-0000B5000000}"/>
    <cellStyle name="Comma 3 3 4 2" xfId="313" xr:uid="{00000000-0005-0000-0000-0000B6000000}"/>
    <cellStyle name="Comma 3 3 4 3" xfId="333" xr:uid="{00000000-0005-0000-0000-0000B7000000}"/>
    <cellStyle name="Comma 3 3 4 3 2" xfId="499" xr:uid="{00000000-0005-0000-0000-0000B8000000}"/>
    <cellStyle name="Comma 3 3 4 4" xfId="186" xr:uid="{00000000-0005-0000-0000-0000B9000000}"/>
    <cellStyle name="Comma 3 3 4 4 2" xfId="538" xr:uid="{00000000-0005-0000-0000-0000BA000000}"/>
    <cellStyle name="Comma 3 3 4 5" xfId="372" xr:uid="{00000000-0005-0000-0000-0000BB000000}"/>
    <cellStyle name="Comma 3 3 5" xfId="78" xr:uid="{00000000-0005-0000-0000-0000BC000000}"/>
    <cellStyle name="Comma 3 3 5 2" xfId="266" xr:uid="{00000000-0005-0000-0000-0000BD000000}"/>
    <cellStyle name="Comma 3 3 5 2 2" xfId="578" xr:uid="{00000000-0005-0000-0000-0000BE000000}"/>
    <cellStyle name="Comma 3 3 5 3" xfId="444" xr:uid="{00000000-0005-0000-0000-0000BF000000}"/>
    <cellStyle name="Comma 3 4" xfId="93" xr:uid="{00000000-0005-0000-0000-0000C0000000}"/>
    <cellStyle name="Comma 3 4 2" xfId="122" xr:uid="{00000000-0005-0000-0000-0000C1000000}"/>
    <cellStyle name="Comma 3 4 2 2" xfId="294" xr:uid="{00000000-0005-0000-0000-0000C2000000}"/>
    <cellStyle name="Comma 3 4 2 2 2" xfId="468" xr:uid="{00000000-0005-0000-0000-0000C3000000}"/>
    <cellStyle name="Comma 3 4 2 3" xfId="201" xr:uid="{00000000-0005-0000-0000-0000C4000000}"/>
    <cellStyle name="Comma 3 4 2 3 2" xfId="553" xr:uid="{00000000-0005-0000-0000-0000C5000000}"/>
    <cellStyle name="Comma 3 4 2 4" xfId="387" xr:uid="{00000000-0005-0000-0000-0000C6000000}"/>
    <cellStyle name="Comma 3 4 3" xfId="276" xr:uid="{00000000-0005-0000-0000-0000C7000000}"/>
    <cellStyle name="Comma 3 4 3 2" xfId="452" xr:uid="{00000000-0005-0000-0000-0000C8000000}"/>
    <cellStyle name="Comma 3 4 4" xfId="165" xr:uid="{00000000-0005-0000-0000-0000C9000000}"/>
    <cellStyle name="Comma 3 4 4 2" xfId="521" xr:uid="{00000000-0005-0000-0000-0000CA000000}"/>
    <cellStyle name="Comma 3 4 5" xfId="355" xr:uid="{00000000-0005-0000-0000-0000CB000000}"/>
    <cellStyle name="Comma 3 5" xfId="95" xr:uid="{00000000-0005-0000-0000-0000CC000000}"/>
    <cellStyle name="Comma 3 6" xfId="82" xr:uid="{00000000-0005-0000-0000-0000CD000000}"/>
    <cellStyle name="Comma 3 6 2" xfId="270" xr:uid="{00000000-0005-0000-0000-0000CE000000}"/>
    <cellStyle name="Comma 3 6 2 2" xfId="448" xr:uid="{00000000-0005-0000-0000-0000CF000000}"/>
    <cellStyle name="Comma 3 6 3" xfId="184" xr:uid="{00000000-0005-0000-0000-0000D0000000}"/>
    <cellStyle name="Comma 3 6 3 2" xfId="537" xr:uid="{00000000-0005-0000-0000-0000D1000000}"/>
    <cellStyle name="Comma 3 6 4" xfId="371" xr:uid="{00000000-0005-0000-0000-0000D2000000}"/>
    <cellStyle name="Comma 3 7" xfId="118" xr:uid="{00000000-0005-0000-0000-0000D3000000}"/>
    <cellStyle name="Comma 3 7 2" xfId="290" xr:uid="{00000000-0005-0000-0000-0000D4000000}"/>
    <cellStyle name="Comma 3 7 2 2" xfId="464" xr:uid="{00000000-0005-0000-0000-0000D5000000}"/>
    <cellStyle name="Comma 3 7 3" xfId="197" xr:uid="{00000000-0005-0000-0000-0000D6000000}"/>
    <cellStyle name="Comma 3 7 3 2" xfId="549" xr:uid="{00000000-0005-0000-0000-0000D7000000}"/>
    <cellStyle name="Comma 3 7 4" xfId="383" xr:uid="{00000000-0005-0000-0000-0000D8000000}"/>
    <cellStyle name="Comma 3 8" xfId="136" xr:uid="{00000000-0005-0000-0000-0000D9000000}"/>
    <cellStyle name="Comma 3 8 2" xfId="306" xr:uid="{00000000-0005-0000-0000-0000DA000000}"/>
    <cellStyle name="Comma 3 8 2 2" xfId="480" xr:uid="{00000000-0005-0000-0000-0000DB000000}"/>
    <cellStyle name="Comma 3 8 3" xfId="341" xr:uid="{00000000-0005-0000-0000-0000DC000000}"/>
    <cellStyle name="Comma 3 8 3 2" xfId="507" xr:uid="{00000000-0005-0000-0000-0000DD000000}"/>
    <cellStyle name="Comma 3 8 4" xfId="216" xr:uid="{00000000-0005-0000-0000-0000DE000000}"/>
    <cellStyle name="Comma 3 8 4 2" xfId="565" xr:uid="{00000000-0005-0000-0000-0000DF000000}"/>
    <cellStyle name="Comma 3 8 5" xfId="399" xr:uid="{00000000-0005-0000-0000-0000E0000000}"/>
    <cellStyle name="Comma 3 9" xfId="68" xr:uid="{00000000-0005-0000-0000-0000E1000000}"/>
    <cellStyle name="Comma 3 9 2" xfId="258" xr:uid="{00000000-0005-0000-0000-0000E2000000}"/>
    <cellStyle name="Comma 3 9 2 2" xfId="436" xr:uid="{00000000-0005-0000-0000-0000E3000000}"/>
    <cellStyle name="Comma 3 9 3" xfId="213" xr:uid="{00000000-0005-0000-0000-0000E4000000}"/>
    <cellStyle name="Comma 31" xfId="50" xr:uid="{00000000-0005-0000-0000-0000E5000000}"/>
    <cellStyle name="Comma 31 2" xfId="59" xr:uid="{00000000-0005-0000-0000-0000E6000000}"/>
    <cellStyle name="Comma 4" xfId="29" xr:uid="{00000000-0005-0000-0000-0000E7000000}"/>
    <cellStyle name="Comma 4 2" xfId="140" xr:uid="{00000000-0005-0000-0000-0000E8000000}"/>
    <cellStyle name="Comma 4 2 2" xfId="309" xr:uid="{00000000-0005-0000-0000-0000E9000000}"/>
    <cellStyle name="Comma 4 2 2 2" xfId="483" xr:uid="{00000000-0005-0000-0000-0000EA000000}"/>
    <cellStyle name="Comma 4 2 3" xfId="185" xr:uid="{00000000-0005-0000-0000-0000EB000000}"/>
    <cellStyle name="Comma 4 3" xfId="89" xr:uid="{00000000-0005-0000-0000-0000EC000000}"/>
    <cellStyle name="Comma 4 3 2" xfId="274" xr:uid="{00000000-0005-0000-0000-0000ED000000}"/>
    <cellStyle name="Comma 4 3 3" xfId="254" xr:uid="{00000000-0005-0000-0000-0000EE000000}"/>
    <cellStyle name="Comma 4 3 3 2" xfId="432" xr:uid="{00000000-0005-0000-0000-0000EF000000}"/>
    <cellStyle name="Comma 4 3 4" xfId="222" xr:uid="{00000000-0005-0000-0000-0000F0000000}"/>
    <cellStyle name="Comma 4 3 4 2" xfId="569" xr:uid="{00000000-0005-0000-0000-0000F1000000}"/>
    <cellStyle name="Comma 4 3 5" xfId="403" xr:uid="{00000000-0005-0000-0000-0000F2000000}"/>
    <cellStyle name="Comma 4 4" xfId="238" xr:uid="{00000000-0005-0000-0000-0000F3000000}"/>
    <cellStyle name="Comma 4 4 2" xfId="332" xr:uid="{00000000-0005-0000-0000-0000F4000000}"/>
    <cellStyle name="Comma 4 4 2 2" xfId="498" xr:uid="{00000000-0005-0000-0000-0000F5000000}"/>
    <cellStyle name="Comma 4 4 3" xfId="416" xr:uid="{00000000-0005-0000-0000-0000F6000000}"/>
    <cellStyle name="Comma 4 5" xfId="249" xr:uid="{00000000-0005-0000-0000-0000F7000000}"/>
    <cellStyle name="Comma 4 5 2" xfId="427" xr:uid="{00000000-0005-0000-0000-0000F8000000}"/>
    <cellStyle name="Comma 4 6" xfId="170" xr:uid="{00000000-0005-0000-0000-0000F9000000}"/>
    <cellStyle name="Comma 4 6 2" xfId="525" xr:uid="{00000000-0005-0000-0000-0000FA000000}"/>
    <cellStyle name="Comma 4 7" xfId="359" xr:uid="{00000000-0005-0000-0000-0000FB000000}"/>
    <cellStyle name="Comma 5" xfId="49" xr:uid="{00000000-0005-0000-0000-0000FC000000}"/>
    <cellStyle name="Comma 5 2" xfId="146" xr:uid="{00000000-0005-0000-0000-0000FD000000}"/>
    <cellStyle name="Comma 5 2 2" xfId="315" xr:uid="{00000000-0005-0000-0000-0000FE000000}"/>
    <cellStyle name="Comma 5 2 3" xfId="163" xr:uid="{00000000-0005-0000-0000-0000FF000000}"/>
    <cellStyle name="Comma 5 3" xfId="97" xr:uid="{00000000-0005-0000-0000-000000010000}"/>
    <cellStyle name="Comma 6" xfId="90" xr:uid="{00000000-0005-0000-0000-000001010000}"/>
    <cellStyle name="Comma 6 2" xfId="85" xr:uid="{00000000-0005-0000-0000-000002010000}"/>
    <cellStyle name="Comma 6 3" xfId="229" xr:uid="{00000000-0005-0000-0000-000003010000}"/>
    <cellStyle name="Comma 7" xfId="111" xr:uid="{00000000-0005-0000-0000-000004010000}"/>
    <cellStyle name="Comma 8" xfId="91" xr:uid="{00000000-0005-0000-0000-000005010000}"/>
    <cellStyle name="Comma 9" xfId="137" xr:uid="{00000000-0005-0000-0000-000006010000}"/>
    <cellStyle name="Normal" xfId="0" builtinId="0"/>
    <cellStyle name="Normal - Style1 2 2" xfId="17" xr:uid="{00000000-0005-0000-0000-000008010000}"/>
    <cellStyle name="Normal 10" xfId="2" xr:uid="{00000000-0005-0000-0000-000009010000}"/>
    <cellStyle name="Normal 10 2" xfId="3" xr:uid="{00000000-0005-0000-0000-00000A010000}"/>
    <cellStyle name="Normal 10 2 2" xfId="36" xr:uid="{00000000-0005-0000-0000-00000B010000}"/>
    <cellStyle name="Normal 10 2 3" xfId="13" xr:uid="{00000000-0005-0000-0000-00000C010000}"/>
    <cellStyle name="Normal 10 3" xfId="40" xr:uid="{00000000-0005-0000-0000-00000D010000}"/>
    <cellStyle name="Normal 11" xfId="37" xr:uid="{00000000-0005-0000-0000-00000E010000}"/>
    <cellStyle name="Normal 12" xfId="231" xr:uid="{00000000-0005-0000-0000-00000F010000}"/>
    <cellStyle name="Normal 13 2" xfId="588" xr:uid="{00000000-0005-0000-0000-000010010000}"/>
    <cellStyle name="Normal 17" xfId="22" xr:uid="{00000000-0005-0000-0000-000011010000}"/>
    <cellStyle name="Normal 17 2" xfId="74" xr:uid="{00000000-0005-0000-0000-000012010000}"/>
    <cellStyle name="Normal 17 3" xfId="94" xr:uid="{00000000-0005-0000-0000-000013010000}"/>
    <cellStyle name="Normal 17 4" xfId="69" xr:uid="{00000000-0005-0000-0000-000014010000}"/>
    <cellStyle name="Normal 2" xfId="6" xr:uid="{00000000-0005-0000-0000-000015010000}"/>
    <cellStyle name="Normal 2 18" xfId="47" xr:uid="{00000000-0005-0000-0000-000016010000}"/>
    <cellStyle name="Normal 2 2" xfId="107" xr:uid="{00000000-0005-0000-0000-000017010000}"/>
    <cellStyle name="Normal 2 2 2 4" xfId="62" xr:uid="{00000000-0005-0000-0000-000018010000}"/>
    <cellStyle name="Normal 2 2 4" xfId="61" xr:uid="{00000000-0005-0000-0000-000019010000}"/>
    <cellStyle name="Normal 3" xfId="1" xr:uid="{00000000-0005-0000-0000-00001A010000}"/>
    <cellStyle name="Normal 3 13" xfId="8" xr:uid="{00000000-0005-0000-0000-00001B010000}"/>
    <cellStyle name="Normal 3 15" xfId="30" xr:uid="{00000000-0005-0000-0000-00001C010000}"/>
    <cellStyle name="Normal 3 2" xfId="4" xr:uid="{00000000-0005-0000-0000-00001D010000}"/>
    <cellStyle name="Normal 3 2 2" xfId="7" xr:uid="{00000000-0005-0000-0000-00001E010000}"/>
    <cellStyle name="Normal 3 2 3" xfId="12" xr:uid="{00000000-0005-0000-0000-00001F010000}"/>
    <cellStyle name="Normal 3 2 4" xfId="41" xr:uid="{00000000-0005-0000-0000-000020010000}"/>
    <cellStyle name="Normal 3 3" xfId="9" xr:uid="{00000000-0005-0000-0000-000021010000}"/>
    <cellStyle name="Normal 3 3 2" xfId="33" xr:uid="{00000000-0005-0000-0000-000022010000}"/>
    <cellStyle name="Normal 3 3 2 2" xfId="142" xr:uid="{00000000-0005-0000-0000-000023010000}"/>
    <cellStyle name="Normal 3 3 2 2 2" xfId="311" xr:uid="{00000000-0005-0000-0000-000024010000}"/>
    <cellStyle name="Normal 3 3 2 2 2 2" xfId="484" xr:uid="{00000000-0005-0000-0000-000025010000}"/>
    <cellStyle name="Normal 3 3 2 2 3" xfId="223" xr:uid="{00000000-0005-0000-0000-000026010000}"/>
    <cellStyle name="Normal 3 3 2 2 3 2" xfId="570" xr:uid="{00000000-0005-0000-0000-000027010000}"/>
    <cellStyle name="Normal 3 3 2 2 4" xfId="404" xr:uid="{00000000-0005-0000-0000-000028010000}"/>
    <cellStyle name="Normal 3 3 2 3" xfId="239" xr:uid="{00000000-0005-0000-0000-000029010000}"/>
    <cellStyle name="Normal 3 3 2 3 2" xfId="342" xr:uid="{00000000-0005-0000-0000-00002A010000}"/>
    <cellStyle name="Normal 3 3 2 3 2 2" xfId="508" xr:uid="{00000000-0005-0000-0000-00002B010000}"/>
    <cellStyle name="Normal 3 3 2 3 3" xfId="417" xr:uid="{00000000-0005-0000-0000-00002C010000}"/>
    <cellStyle name="Normal 3 3 2 4" xfId="250" xr:uid="{00000000-0005-0000-0000-00002D010000}"/>
    <cellStyle name="Normal 3 3 2 4 2" xfId="428" xr:uid="{00000000-0005-0000-0000-00002E010000}"/>
    <cellStyle name="Normal 3 3 2 5" xfId="171" xr:uid="{00000000-0005-0000-0000-00002F010000}"/>
    <cellStyle name="Normal 3 3 2 5 2" xfId="526" xr:uid="{00000000-0005-0000-0000-000030010000}"/>
    <cellStyle name="Normal 3 3 2 6" xfId="360" xr:uid="{00000000-0005-0000-0000-000031010000}"/>
    <cellStyle name="Normal 3 3 3" xfId="31" xr:uid="{00000000-0005-0000-0000-000032010000}"/>
    <cellStyle name="Normal 3 4" xfId="21" xr:uid="{00000000-0005-0000-0000-000033010000}"/>
    <cellStyle name="Normal 3 4 2" xfId="39" xr:uid="{00000000-0005-0000-0000-000034010000}"/>
    <cellStyle name="Normal 3 5" xfId="35" xr:uid="{00000000-0005-0000-0000-000035010000}"/>
    <cellStyle name="Normal 3 5 2" xfId="143" xr:uid="{00000000-0005-0000-0000-000036010000}"/>
    <cellStyle name="Normal 3 5 2 2" xfId="312" xr:uid="{00000000-0005-0000-0000-000037010000}"/>
    <cellStyle name="Normal 3 5 2 3" xfId="162" xr:uid="{00000000-0005-0000-0000-000038010000}"/>
    <cellStyle name="Normal 3 5 3" xfId="110" xr:uid="{00000000-0005-0000-0000-000039010000}"/>
    <cellStyle name="Normal 3 6" xfId="581" xr:uid="{00000000-0005-0000-0000-00003A010000}"/>
    <cellStyle name="Normal 3_Bill No. 3 TH-1 4P Villa (rev)" xfId="219" xr:uid="{00000000-0005-0000-0000-00003B010000}"/>
    <cellStyle name="Normal 4" xfId="10" xr:uid="{00000000-0005-0000-0000-00003C010000}"/>
    <cellStyle name="Normal 4 10" xfId="244" xr:uid="{00000000-0005-0000-0000-00003D010000}"/>
    <cellStyle name="Normal 4 10 2" xfId="422" xr:uid="{00000000-0005-0000-0000-00003E010000}"/>
    <cellStyle name="Normal 4 11" xfId="155" xr:uid="{00000000-0005-0000-0000-00003F010000}"/>
    <cellStyle name="Normal 4 11 2" xfId="513" xr:uid="{00000000-0005-0000-0000-000040010000}"/>
    <cellStyle name="Normal 4 12" xfId="347" xr:uid="{00000000-0005-0000-0000-000041010000}"/>
    <cellStyle name="Normal 4 2" xfId="28" xr:uid="{00000000-0005-0000-0000-000042010000}"/>
    <cellStyle name="Normal 4 2 2" xfId="100" xr:uid="{00000000-0005-0000-0000-000043010000}"/>
    <cellStyle name="Normal 4 2 2 2" xfId="279" xr:uid="{00000000-0005-0000-0000-000044010000}"/>
    <cellStyle name="Normal 4 2 2 2 2" xfId="454" xr:uid="{00000000-0005-0000-0000-000045010000}"/>
    <cellStyle name="Normal 4 2 2 3" xfId="183" xr:uid="{00000000-0005-0000-0000-000046010000}"/>
    <cellStyle name="Normal 4 2 2 3 2" xfId="536" xr:uid="{00000000-0005-0000-0000-000047010000}"/>
    <cellStyle name="Normal 4 2 2 4" xfId="370" xr:uid="{00000000-0005-0000-0000-000048010000}"/>
    <cellStyle name="Normal 4 2 3" xfId="124" xr:uid="{00000000-0005-0000-0000-000049010000}"/>
    <cellStyle name="Normal 4 2 3 2" xfId="296" xr:uid="{00000000-0005-0000-0000-00004A010000}"/>
    <cellStyle name="Normal 4 2 3 2 2" xfId="470" xr:uid="{00000000-0005-0000-0000-00004B010000}"/>
    <cellStyle name="Normal 4 2 3 3" xfId="203" xr:uid="{00000000-0005-0000-0000-00004C010000}"/>
    <cellStyle name="Normal 4 2 3 3 2" xfId="555" xr:uid="{00000000-0005-0000-0000-00004D010000}"/>
    <cellStyle name="Normal 4 2 3 4" xfId="389" xr:uid="{00000000-0005-0000-0000-00004E010000}"/>
    <cellStyle name="Normal 4 2 4" xfId="139" xr:uid="{00000000-0005-0000-0000-00004F010000}"/>
    <cellStyle name="Normal 4 2 4 2" xfId="308" xr:uid="{00000000-0005-0000-0000-000050010000}"/>
    <cellStyle name="Normal 4 2 4 2 2" xfId="482" xr:uid="{00000000-0005-0000-0000-000051010000}"/>
    <cellStyle name="Normal 4 2 4 3" xfId="221" xr:uid="{00000000-0005-0000-0000-000052010000}"/>
    <cellStyle name="Normal 4 2 4 3 2" xfId="568" xr:uid="{00000000-0005-0000-0000-000053010000}"/>
    <cellStyle name="Normal 4 2 4 4" xfId="402" xr:uid="{00000000-0005-0000-0000-000054010000}"/>
    <cellStyle name="Normal 4 2 5" xfId="71" xr:uid="{00000000-0005-0000-0000-000055010000}"/>
    <cellStyle name="Normal 4 2 5 2" xfId="260" xr:uid="{00000000-0005-0000-0000-000056010000}"/>
    <cellStyle name="Normal 4 2 5 2 2" xfId="438" xr:uid="{00000000-0005-0000-0000-000057010000}"/>
    <cellStyle name="Normal 4 2 5 3" xfId="218" xr:uid="{00000000-0005-0000-0000-000058010000}"/>
    <cellStyle name="Normal 4 2 6" xfId="237" xr:uid="{00000000-0005-0000-0000-000059010000}"/>
    <cellStyle name="Normal 4 2 6 2" xfId="325" xr:uid="{00000000-0005-0000-0000-00005A010000}"/>
    <cellStyle name="Normal 4 2 6 2 2" xfId="491" xr:uid="{00000000-0005-0000-0000-00005B010000}"/>
    <cellStyle name="Normal 4 2 6 3" xfId="415" xr:uid="{00000000-0005-0000-0000-00005C010000}"/>
    <cellStyle name="Normal 4 2 7" xfId="248" xr:uid="{00000000-0005-0000-0000-00005D010000}"/>
    <cellStyle name="Normal 4 2 7 2" xfId="426" xr:uid="{00000000-0005-0000-0000-00005E010000}"/>
    <cellStyle name="Normal 4 2 8" xfId="169" xr:uid="{00000000-0005-0000-0000-00005F010000}"/>
    <cellStyle name="Normal 4 2 8 2" xfId="524" xr:uid="{00000000-0005-0000-0000-000060010000}"/>
    <cellStyle name="Normal 4 2 9" xfId="358" xr:uid="{00000000-0005-0000-0000-000061010000}"/>
    <cellStyle name="Normal 4 3" xfId="32" xr:uid="{00000000-0005-0000-0000-000062010000}"/>
    <cellStyle name="Normal 4 3 2" xfId="104" xr:uid="{00000000-0005-0000-0000-000063010000}"/>
    <cellStyle name="Normal 4 3 2 2" xfId="283" xr:uid="{00000000-0005-0000-0000-000064010000}"/>
    <cellStyle name="Normal 4 3 2 2 2" xfId="458" xr:uid="{00000000-0005-0000-0000-000065010000}"/>
    <cellStyle name="Normal 4 3 2 3" xfId="191" xr:uid="{00000000-0005-0000-0000-000066010000}"/>
    <cellStyle name="Normal 4 3 2 3 2" xfId="543" xr:uid="{00000000-0005-0000-0000-000067010000}"/>
    <cellStyle name="Normal 4 3 2 4" xfId="377" xr:uid="{00000000-0005-0000-0000-000068010000}"/>
    <cellStyle name="Normal 4 3 3" xfId="128" xr:uid="{00000000-0005-0000-0000-000069010000}"/>
    <cellStyle name="Normal 4 3 3 2" xfId="300" xr:uid="{00000000-0005-0000-0000-00006A010000}"/>
    <cellStyle name="Normal 4 3 3 2 2" xfId="474" xr:uid="{00000000-0005-0000-0000-00006B010000}"/>
    <cellStyle name="Normal 4 3 3 3" xfId="207" xr:uid="{00000000-0005-0000-0000-00006C010000}"/>
    <cellStyle name="Normal 4 3 3 3 2" xfId="559" xr:uid="{00000000-0005-0000-0000-00006D010000}"/>
    <cellStyle name="Normal 4 3 3 4" xfId="393" xr:uid="{00000000-0005-0000-0000-00006E010000}"/>
    <cellStyle name="Normal 4 3 4" xfId="141" xr:uid="{00000000-0005-0000-0000-00006F010000}"/>
    <cellStyle name="Normal 4 3 4 2" xfId="310" xr:uid="{00000000-0005-0000-0000-000070010000}"/>
    <cellStyle name="Normal 4 3 4 3" xfId="337" xr:uid="{00000000-0005-0000-0000-000071010000}"/>
    <cellStyle name="Normal 4 3 4 3 2" xfId="503" xr:uid="{00000000-0005-0000-0000-000072010000}"/>
    <cellStyle name="Normal 4 3 4 4" xfId="182" xr:uid="{00000000-0005-0000-0000-000073010000}"/>
    <cellStyle name="Normal 4 3 4 4 2" xfId="535" xr:uid="{00000000-0005-0000-0000-000074010000}"/>
    <cellStyle name="Normal 4 3 4 5" xfId="369" xr:uid="{00000000-0005-0000-0000-000075010000}"/>
    <cellStyle name="Normal 4 3 5" xfId="76" xr:uid="{00000000-0005-0000-0000-000076010000}"/>
    <cellStyle name="Normal 4 3 5 2" xfId="264" xr:uid="{00000000-0005-0000-0000-000077010000}"/>
    <cellStyle name="Normal 4 3 5 2 2" xfId="577" xr:uid="{00000000-0005-0000-0000-000078010000}"/>
    <cellStyle name="Normal 4 3 5 3" xfId="442" xr:uid="{00000000-0005-0000-0000-000079010000}"/>
    <cellStyle name="Normal 4 4" xfId="88" xr:uid="{00000000-0005-0000-0000-00007A010000}"/>
    <cellStyle name="Normal 4 4 2" xfId="120" xr:uid="{00000000-0005-0000-0000-00007B010000}"/>
    <cellStyle name="Normal 4 4 2 2" xfId="292" xr:uid="{00000000-0005-0000-0000-00007C010000}"/>
    <cellStyle name="Normal 4 4 2 2 2" xfId="466" xr:uid="{00000000-0005-0000-0000-00007D010000}"/>
    <cellStyle name="Normal 4 4 2 3" xfId="199" xr:uid="{00000000-0005-0000-0000-00007E010000}"/>
    <cellStyle name="Normal 4 4 2 3 2" xfId="551" xr:uid="{00000000-0005-0000-0000-00007F010000}"/>
    <cellStyle name="Normal 4 4 2 4" xfId="385" xr:uid="{00000000-0005-0000-0000-000080010000}"/>
    <cellStyle name="Normal 4 4 3" xfId="273" xr:uid="{00000000-0005-0000-0000-000081010000}"/>
    <cellStyle name="Normal 4 4 3 2" xfId="450" xr:uid="{00000000-0005-0000-0000-000082010000}"/>
    <cellStyle name="Normal 4 4 4" xfId="161" xr:uid="{00000000-0005-0000-0000-000083010000}"/>
    <cellStyle name="Normal 4 4 4 2" xfId="519" xr:uid="{00000000-0005-0000-0000-000084010000}"/>
    <cellStyle name="Normal 4 4 5" xfId="353" xr:uid="{00000000-0005-0000-0000-000085010000}"/>
    <cellStyle name="Normal 4 5" xfId="80" xr:uid="{00000000-0005-0000-0000-000086010000}"/>
    <cellStyle name="Normal 4 5 2" xfId="268" xr:uid="{00000000-0005-0000-0000-000087010000}"/>
    <cellStyle name="Normal 4 5 2 2" xfId="446" xr:uid="{00000000-0005-0000-0000-000088010000}"/>
    <cellStyle name="Normal 4 5 3" xfId="187" xr:uid="{00000000-0005-0000-0000-000089010000}"/>
    <cellStyle name="Normal 4 5 3 2" xfId="539" xr:uid="{00000000-0005-0000-0000-00008A010000}"/>
    <cellStyle name="Normal 4 5 4" xfId="373" xr:uid="{00000000-0005-0000-0000-00008B010000}"/>
    <cellStyle name="Normal 4 6" xfId="116" xr:uid="{00000000-0005-0000-0000-00008C010000}"/>
    <cellStyle name="Normal 4 6 2" xfId="288" xr:uid="{00000000-0005-0000-0000-00008D010000}"/>
    <cellStyle name="Normal 4 6 2 2" xfId="462" xr:uid="{00000000-0005-0000-0000-00008E010000}"/>
    <cellStyle name="Normal 4 6 3" xfId="195" xr:uid="{00000000-0005-0000-0000-00008F010000}"/>
    <cellStyle name="Normal 4 6 3 2" xfId="547" xr:uid="{00000000-0005-0000-0000-000090010000}"/>
    <cellStyle name="Normal 4 6 4" xfId="381" xr:uid="{00000000-0005-0000-0000-000091010000}"/>
    <cellStyle name="Normal 4 7" xfId="132" xr:uid="{00000000-0005-0000-0000-000092010000}"/>
    <cellStyle name="Normal 4 7 2" xfId="304" xr:uid="{00000000-0005-0000-0000-000093010000}"/>
    <cellStyle name="Normal 4 7 2 2" xfId="478" xr:uid="{00000000-0005-0000-0000-000094010000}"/>
    <cellStyle name="Normal 4 7 3" xfId="212" xr:uid="{00000000-0005-0000-0000-000095010000}"/>
    <cellStyle name="Normal 4 7 3 2" xfId="563" xr:uid="{00000000-0005-0000-0000-000096010000}"/>
    <cellStyle name="Normal 4 7 4" xfId="397" xr:uid="{00000000-0005-0000-0000-000097010000}"/>
    <cellStyle name="Normal 4 8" xfId="42" xr:uid="{00000000-0005-0000-0000-000098010000}"/>
    <cellStyle name="Normal 4 9" xfId="66" xr:uid="{00000000-0005-0000-0000-000099010000}"/>
    <cellStyle name="Normal 4 9 2" xfId="256" xr:uid="{00000000-0005-0000-0000-00009A010000}"/>
    <cellStyle name="Normal 4 9 2 2" xfId="434" xr:uid="{00000000-0005-0000-0000-00009B010000}"/>
    <cellStyle name="Normal 4 9 3" xfId="233" xr:uid="{00000000-0005-0000-0000-00009C010000}"/>
    <cellStyle name="Normal 4 9 3 2" xfId="574" xr:uid="{00000000-0005-0000-0000-00009D010000}"/>
    <cellStyle name="Normal 4 9 4" xfId="411" xr:uid="{00000000-0005-0000-0000-00009E010000}"/>
    <cellStyle name="Normal 42" xfId="24" xr:uid="{00000000-0005-0000-0000-00009F010000}"/>
    <cellStyle name="Normal 5" xfId="18" xr:uid="{00000000-0005-0000-0000-0000A0010000}"/>
    <cellStyle name="Normal 5 10" xfId="156" xr:uid="{00000000-0005-0000-0000-0000A1010000}"/>
    <cellStyle name="Normal 5 10 2" xfId="514" xr:uid="{00000000-0005-0000-0000-0000A2010000}"/>
    <cellStyle name="Normal 5 11" xfId="348" xr:uid="{00000000-0005-0000-0000-0000A3010000}"/>
    <cellStyle name="Normal 5 2" xfId="63" xr:uid="{00000000-0005-0000-0000-0000A4010000}"/>
    <cellStyle name="Normal 5 2 2" xfId="101" xr:uid="{00000000-0005-0000-0000-0000A5010000}"/>
    <cellStyle name="Normal 5 2 2 2" xfId="280" xr:uid="{00000000-0005-0000-0000-0000A6010000}"/>
    <cellStyle name="Normal 5 2 2 2 2" xfId="455" xr:uid="{00000000-0005-0000-0000-0000A7010000}"/>
    <cellStyle name="Normal 5 2 2 3" xfId="188" xr:uid="{00000000-0005-0000-0000-0000A8010000}"/>
    <cellStyle name="Normal 5 2 2 3 2" xfId="540" xr:uid="{00000000-0005-0000-0000-0000A9010000}"/>
    <cellStyle name="Normal 5 2 2 4" xfId="374" xr:uid="{00000000-0005-0000-0000-0000AA010000}"/>
    <cellStyle name="Normal 5 2 3" xfId="125" xr:uid="{00000000-0005-0000-0000-0000AB010000}"/>
    <cellStyle name="Normal 5 2 3 2" xfId="297" xr:uid="{00000000-0005-0000-0000-0000AC010000}"/>
    <cellStyle name="Normal 5 2 3 2 2" xfId="471" xr:uid="{00000000-0005-0000-0000-0000AD010000}"/>
    <cellStyle name="Normal 5 2 3 3" xfId="204" xr:uid="{00000000-0005-0000-0000-0000AE010000}"/>
    <cellStyle name="Normal 5 2 3 3 2" xfId="556" xr:uid="{00000000-0005-0000-0000-0000AF010000}"/>
    <cellStyle name="Normal 5 2 3 4" xfId="390" xr:uid="{00000000-0005-0000-0000-0000B0010000}"/>
    <cellStyle name="Normal 5 2 4" xfId="152" xr:uid="{00000000-0005-0000-0000-0000B1010000}"/>
    <cellStyle name="Normal 5 2 4 2" xfId="321" xr:uid="{00000000-0005-0000-0000-0000B2010000}"/>
    <cellStyle name="Normal 5 2 4 3" xfId="323" xr:uid="{00000000-0005-0000-0000-0000B3010000}"/>
    <cellStyle name="Normal 5 2 4 3 2" xfId="489" xr:uid="{00000000-0005-0000-0000-0000B4010000}"/>
    <cellStyle name="Normal 5 2 4 4" xfId="181" xr:uid="{00000000-0005-0000-0000-0000B5010000}"/>
    <cellStyle name="Normal 5 2 4 4 2" xfId="534" xr:uid="{00000000-0005-0000-0000-0000B6010000}"/>
    <cellStyle name="Normal 5 2 4 5" xfId="368" xr:uid="{00000000-0005-0000-0000-0000B7010000}"/>
    <cellStyle name="Normal 5 2 5" xfId="72" xr:uid="{00000000-0005-0000-0000-0000B8010000}"/>
    <cellStyle name="Normal 5 2 5 2" xfId="261" xr:uid="{00000000-0005-0000-0000-0000B9010000}"/>
    <cellStyle name="Normal 5 2 5 2 2" xfId="439" xr:uid="{00000000-0005-0000-0000-0000BA010000}"/>
    <cellStyle name="Normal 5 2 5 3" xfId="217" xr:uid="{00000000-0005-0000-0000-0000BB010000}"/>
    <cellStyle name="Normal 5 2 5 3 2" xfId="566" xr:uid="{00000000-0005-0000-0000-0000BC010000}"/>
    <cellStyle name="Normal 5 2 5 4" xfId="400" xr:uid="{00000000-0005-0000-0000-0000BD010000}"/>
    <cellStyle name="Normal 5 2 6" xfId="583" xr:uid="{00000000-0005-0000-0000-0000BE010000}"/>
    <cellStyle name="Normal 5 2 6 2" xfId="586" xr:uid="{00000000-0005-0000-0000-0000BF010000}"/>
    <cellStyle name="Normal 5 3" xfId="77" xr:uid="{00000000-0005-0000-0000-0000C0010000}"/>
    <cellStyle name="Normal 5 3 2" xfId="105" xr:uid="{00000000-0005-0000-0000-0000C1010000}"/>
    <cellStyle name="Normal 5 3 2 2" xfId="225" xr:uid="{00000000-0005-0000-0000-0000C2010000}"/>
    <cellStyle name="Normal 5 3 2 2 2" xfId="339" xr:uid="{00000000-0005-0000-0000-0000C3010000}"/>
    <cellStyle name="Normal 5 3 2 2 2 2" xfId="505" xr:uid="{00000000-0005-0000-0000-0000C4010000}"/>
    <cellStyle name="Normal 5 3 2 2 3" xfId="406" xr:uid="{00000000-0005-0000-0000-0000C5010000}"/>
    <cellStyle name="Normal 5 3 2 3" xfId="284" xr:uid="{00000000-0005-0000-0000-0000C6010000}"/>
    <cellStyle name="Normal 5 3 2 3 2" xfId="459" xr:uid="{00000000-0005-0000-0000-0000C7010000}"/>
    <cellStyle name="Normal 5 3 2 4" xfId="192" xr:uid="{00000000-0005-0000-0000-0000C8010000}"/>
    <cellStyle name="Normal 5 3 2 4 2" xfId="544" xr:uid="{00000000-0005-0000-0000-0000C9010000}"/>
    <cellStyle name="Normal 5 3 2 5" xfId="378" xr:uid="{00000000-0005-0000-0000-0000CA010000}"/>
    <cellStyle name="Normal 5 3 3" xfId="129" xr:uid="{00000000-0005-0000-0000-0000CB010000}"/>
    <cellStyle name="Normal 5 3 3 2" xfId="301" xr:uid="{00000000-0005-0000-0000-0000CC010000}"/>
    <cellStyle name="Normal 5 3 3 2 2" xfId="475" xr:uid="{00000000-0005-0000-0000-0000CD010000}"/>
    <cellStyle name="Normal 5 3 3 3" xfId="208" xr:uid="{00000000-0005-0000-0000-0000CE010000}"/>
    <cellStyle name="Normal 5 3 3 3 2" xfId="560" xr:uid="{00000000-0005-0000-0000-0000CF010000}"/>
    <cellStyle name="Normal 5 3 3 4" xfId="394" xr:uid="{00000000-0005-0000-0000-0000D0010000}"/>
    <cellStyle name="Normal 5 3 4" xfId="224" xr:uid="{00000000-0005-0000-0000-0000D1010000}"/>
    <cellStyle name="Normal 5 3 4 2" xfId="330" xr:uid="{00000000-0005-0000-0000-0000D2010000}"/>
    <cellStyle name="Normal 5 3 4 2 2" xfId="496" xr:uid="{00000000-0005-0000-0000-0000D3010000}"/>
    <cellStyle name="Normal 5 3 4 3" xfId="405" xr:uid="{00000000-0005-0000-0000-0000D4010000}"/>
    <cellStyle name="Normal 5 3 5" xfId="265" xr:uid="{00000000-0005-0000-0000-0000D5010000}"/>
    <cellStyle name="Normal 5 3 5 2" xfId="443" xr:uid="{00000000-0005-0000-0000-0000D6010000}"/>
    <cellStyle name="Normal 5 3 6" xfId="164" xr:uid="{00000000-0005-0000-0000-0000D7010000}"/>
    <cellStyle name="Normal 5 3 6 2" xfId="520" xr:uid="{00000000-0005-0000-0000-0000D8010000}"/>
    <cellStyle name="Normal 5 3 7" xfId="354" xr:uid="{00000000-0005-0000-0000-0000D9010000}"/>
    <cellStyle name="Normal 5 4" xfId="92" xr:uid="{00000000-0005-0000-0000-0000DA010000}"/>
    <cellStyle name="Normal 5 4 2" xfId="121" xr:uid="{00000000-0005-0000-0000-0000DB010000}"/>
    <cellStyle name="Normal 5 4 2 2" xfId="293" xr:uid="{00000000-0005-0000-0000-0000DC010000}"/>
    <cellStyle name="Normal 5 4 2 2 2" xfId="467" xr:uid="{00000000-0005-0000-0000-0000DD010000}"/>
    <cellStyle name="Normal 5 4 2 3" xfId="200" xr:uid="{00000000-0005-0000-0000-0000DE010000}"/>
    <cellStyle name="Normal 5 4 2 3 2" xfId="552" xr:uid="{00000000-0005-0000-0000-0000DF010000}"/>
    <cellStyle name="Normal 5 4 2 4" xfId="386" xr:uid="{00000000-0005-0000-0000-0000E0010000}"/>
    <cellStyle name="Normal 5 4 3" xfId="275" xr:uid="{00000000-0005-0000-0000-0000E1010000}"/>
    <cellStyle name="Normal 5 4 3 2" xfId="451" xr:uid="{00000000-0005-0000-0000-0000E2010000}"/>
    <cellStyle name="Normal 5 4 4" xfId="180" xr:uid="{00000000-0005-0000-0000-0000E3010000}"/>
    <cellStyle name="Normal 5 4 4 2" xfId="533" xr:uid="{00000000-0005-0000-0000-0000E4010000}"/>
    <cellStyle name="Normal 5 4 5" xfId="367" xr:uid="{00000000-0005-0000-0000-0000E5010000}"/>
    <cellStyle name="Normal 5 5" xfId="81" xr:uid="{00000000-0005-0000-0000-0000E6010000}"/>
    <cellStyle name="Normal 5 5 2" xfId="269" xr:uid="{00000000-0005-0000-0000-0000E7010000}"/>
    <cellStyle name="Normal 5 5 2 2" xfId="447" xr:uid="{00000000-0005-0000-0000-0000E8010000}"/>
    <cellStyle name="Normal 5 5 3" xfId="160" xr:uid="{00000000-0005-0000-0000-0000E9010000}"/>
    <cellStyle name="Normal 5 5 3 2" xfId="518" xr:uid="{00000000-0005-0000-0000-0000EA010000}"/>
    <cellStyle name="Normal 5 5 4" xfId="352" xr:uid="{00000000-0005-0000-0000-0000EB010000}"/>
    <cellStyle name="Normal 5 6" xfId="117" xr:uid="{00000000-0005-0000-0000-0000EC010000}"/>
    <cellStyle name="Normal 5 6 2" xfId="289" xr:uid="{00000000-0005-0000-0000-0000ED010000}"/>
    <cellStyle name="Normal 5 6 2 2" xfId="463" xr:uid="{00000000-0005-0000-0000-0000EE010000}"/>
    <cellStyle name="Normal 5 6 3" xfId="196" xr:uid="{00000000-0005-0000-0000-0000EF010000}"/>
    <cellStyle name="Normal 5 6 3 2" xfId="548" xr:uid="{00000000-0005-0000-0000-0000F0010000}"/>
    <cellStyle name="Normal 5 6 4" xfId="382" xr:uid="{00000000-0005-0000-0000-0000F1010000}"/>
    <cellStyle name="Normal 5 7" xfId="135" xr:uid="{00000000-0005-0000-0000-0000F2010000}"/>
    <cellStyle name="Normal 5 7 2" xfId="305" xr:uid="{00000000-0005-0000-0000-0000F3010000}"/>
    <cellStyle name="Normal 5 7 2 2" xfId="479" xr:uid="{00000000-0005-0000-0000-0000F4010000}"/>
    <cellStyle name="Normal 5 7 3" xfId="215" xr:uid="{00000000-0005-0000-0000-0000F5010000}"/>
    <cellStyle name="Normal 5 7 3 2" xfId="564" xr:uid="{00000000-0005-0000-0000-0000F6010000}"/>
    <cellStyle name="Normal 5 7 4" xfId="398" xr:uid="{00000000-0005-0000-0000-0000F7010000}"/>
    <cellStyle name="Normal 5 8" xfId="67" xr:uid="{00000000-0005-0000-0000-0000F8010000}"/>
    <cellStyle name="Normal 5 8 2" xfId="257" xr:uid="{00000000-0005-0000-0000-0000F9010000}"/>
    <cellStyle name="Normal 5 8 2 2" xfId="435" xr:uid="{00000000-0005-0000-0000-0000FA010000}"/>
    <cellStyle name="Normal 5 8 3" xfId="234" xr:uid="{00000000-0005-0000-0000-0000FB010000}"/>
    <cellStyle name="Normal 5 8 3 2" xfId="575" xr:uid="{00000000-0005-0000-0000-0000FC010000}"/>
    <cellStyle name="Normal 5 8 4" xfId="412" xr:uid="{00000000-0005-0000-0000-0000FD010000}"/>
    <cellStyle name="Normal 5 9" xfId="245" xr:uid="{00000000-0005-0000-0000-0000FE010000}"/>
    <cellStyle name="Normal 5 9 2" xfId="423" xr:uid="{00000000-0005-0000-0000-0000FF010000}"/>
    <cellStyle name="Normal 6" xfId="27" xr:uid="{00000000-0005-0000-0000-000000020000}"/>
    <cellStyle name="Normal 6 2" xfId="138" xr:uid="{00000000-0005-0000-0000-000001020000}"/>
    <cellStyle name="Normal 6 2 2" xfId="307" xr:uid="{00000000-0005-0000-0000-000002020000}"/>
    <cellStyle name="Normal 6 2 2 2" xfId="481" xr:uid="{00000000-0005-0000-0000-000003020000}"/>
    <cellStyle name="Normal 6 2 3" xfId="179" xr:uid="{00000000-0005-0000-0000-000004020000}"/>
    <cellStyle name="Normal 6 3" xfId="98" xr:uid="{00000000-0005-0000-0000-000005020000}"/>
    <cellStyle name="Normal 6 3 2" xfId="277" xr:uid="{00000000-0005-0000-0000-000006020000}"/>
    <cellStyle name="Normal 6 3 3" xfId="340" xr:uid="{00000000-0005-0000-0000-000007020000}"/>
    <cellStyle name="Normal 6 3 3 2" xfId="506" xr:uid="{00000000-0005-0000-0000-000008020000}"/>
    <cellStyle name="Normal 6 3 4" xfId="220" xr:uid="{00000000-0005-0000-0000-000009020000}"/>
    <cellStyle name="Normal 6 3 4 2" xfId="567" xr:uid="{00000000-0005-0000-0000-00000A020000}"/>
    <cellStyle name="Normal 6 3 5" xfId="401" xr:uid="{00000000-0005-0000-0000-00000B020000}"/>
    <cellStyle name="Normal 6 4" xfId="236" xr:uid="{00000000-0005-0000-0000-00000C020000}"/>
    <cellStyle name="Normal 6 4 2" xfId="327" xr:uid="{00000000-0005-0000-0000-00000D020000}"/>
    <cellStyle name="Normal 6 4 2 2" xfId="493" xr:uid="{00000000-0005-0000-0000-00000E020000}"/>
    <cellStyle name="Normal 6 4 3" xfId="414" xr:uid="{00000000-0005-0000-0000-00000F020000}"/>
    <cellStyle name="Normal 6 5" xfId="247" xr:uid="{00000000-0005-0000-0000-000010020000}"/>
    <cellStyle name="Normal 6 5 2" xfId="425" xr:uid="{00000000-0005-0000-0000-000011020000}"/>
    <cellStyle name="Normal 6 6" xfId="168" xr:uid="{00000000-0005-0000-0000-000012020000}"/>
    <cellStyle name="Normal 6 6 2" xfId="523" xr:uid="{00000000-0005-0000-0000-000013020000}"/>
    <cellStyle name="Normal 6 7" xfId="357" xr:uid="{00000000-0005-0000-0000-000014020000}"/>
    <cellStyle name="Normal 7" xfId="51" xr:uid="{00000000-0005-0000-0000-000015020000}"/>
    <cellStyle name="Normal 7 2" xfId="147" xr:uid="{00000000-0005-0000-0000-000016020000}"/>
    <cellStyle name="Normal 7 2 2" xfId="316" xr:uid="{00000000-0005-0000-0000-000017020000}"/>
    <cellStyle name="Normal 7 2 2 2" xfId="485" xr:uid="{00000000-0005-0000-0000-000018020000}"/>
    <cellStyle name="Normal 7 2 3" xfId="167" xr:uid="{00000000-0005-0000-0000-000019020000}"/>
    <cellStyle name="Normal 7 3" xfId="87" xr:uid="{00000000-0005-0000-0000-00001A020000}"/>
    <cellStyle name="Normal 7 3 2" xfId="272" xr:uid="{00000000-0005-0000-0000-00001B020000}"/>
    <cellStyle name="Normal 7 3 3" xfId="331" xr:uid="{00000000-0005-0000-0000-00001C020000}"/>
    <cellStyle name="Normal 7 3 3 2" xfId="497" xr:uid="{00000000-0005-0000-0000-00001D020000}"/>
    <cellStyle name="Normal 7 3 4" xfId="226" xr:uid="{00000000-0005-0000-0000-00001E020000}"/>
    <cellStyle name="Normal 7 3 4 2" xfId="571" xr:uid="{00000000-0005-0000-0000-00001F020000}"/>
    <cellStyle name="Normal 7 3 5" xfId="407" xr:uid="{00000000-0005-0000-0000-000020020000}"/>
    <cellStyle name="Normal 7 4" xfId="240" xr:uid="{00000000-0005-0000-0000-000021020000}"/>
    <cellStyle name="Normal 7 4 2" xfId="343" xr:uid="{00000000-0005-0000-0000-000022020000}"/>
    <cellStyle name="Normal 7 4 2 2" xfId="509" xr:uid="{00000000-0005-0000-0000-000023020000}"/>
    <cellStyle name="Normal 7 4 3" xfId="418" xr:uid="{00000000-0005-0000-0000-000024020000}"/>
    <cellStyle name="Normal 7 5" xfId="251" xr:uid="{00000000-0005-0000-0000-000025020000}"/>
    <cellStyle name="Normal 7 5 2" xfId="429" xr:uid="{00000000-0005-0000-0000-000026020000}"/>
    <cellStyle name="Normal 7 6" xfId="172" xr:uid="{00000000-0005-0000-0000-000027020000}"/>
    <cellStyle name="Normal 7 6 2" xfId="527" xr:uid="{00000000-0005-0000-0000-000028020000}"/>
    <cellStyle name="Normal 7 7" xfId="361" xr:uid="{00000000-0005-0000-0000-000029020000}"/>
    <cellStyle name="Normal 8" xfId="114" xr:uid="{00000000-0005-0000-0000-00002A020000}"/>
    <cellStyle name="Normal 9" xfId="43" xr:uid="{00000000-0005-0000-0000-00002B020000}"/>
    <cellStyle name="Normal_ALZEINA Electrical BOQ...23.05.08" xfId="23" xr:uid="{00000000-0005-0000-0000-00002C020000}"/>
    <cellStyle name="Normal_Bill No. 4 - Tower No. 2" xfId="16" xr:uid="{00000000-0005-0000-0000-00002D020000}"/>
    <cellStyle name="Normal_Kitchens and Bathrooms" xfId="15" xr:uid="{00000000-0005-0000-0000-00002E020000}"/>
    <cellStyle name="Percent 10" xfId="45" xr:uid="{00000000-0005-0000-0000-00002F020000}"/>
    <cellStyle name="Percent 2" xfId="60" xr:uid="{00000000-0005-0000-0000-000030020000}"/>
    <cellStyle name="Percent 2 2" xfId="151" xr:uid="{00000000-0005-0000-0000-000031020000}"/>
    <cellStyle name="Percent 2 2 2" xfId="320" xr:uid="{00000000-0005-0000-0000-000032020000}"/>
    <cellStyle name="Percent 2 2 2 2" xfId="487" xr:uid="{00000000-0005-0000-0000-000033020000}"/>
    <cellStyle name="Percent 2 2 3" xfId="177" xr:uid="{00000000-0005-0000-0000-000034020000}"/>
    <cellStyle name="Percent 2 3" xfId="108" xr:uid="{00000000-0005-0000-0000-000035020000}"/>
    <cellStyle name="Percent 2 3 2" xfId="286" xr:uid="{00000000-0005-0000-0000-000036020000}"/>
    <cellStyle name="Percent 2 3 3" xfId="329" xr:uid="{00000000-0005-0000-0000-000037020000}"/>
    <cellStyle name="Percent 2 3 3 2" xfId="495" xr:uid="{00000000-0005-0000-0000-000038020000}"/>
    <cellStyle name="Percent 2 3 4" xfId="228" xr:uid="{00000000-0005-0000-0000-000039020000}"/>
    <cellStyle name="Percent 2 3 4 2" xfId="573" xr:uid="{00000000-0005-0000-0000-00003A020000}"/>
    <cellStyle name="Percent 2 3 5" xfId="409" xr:uid="{00000000-0005-0000-0000-00003B020000}"/>
    <cellStyle name="Percent 2 4" xfId="242" xr:uid="{00000000-0005-0000-0000-00003C020000}"/>
    <cellStyle name="Percent 2 4 2" xfId="345" xr:uid="{00000000-0005-0000-0000-00003D020000}"/>
    <cellStyle name="Percent 2 4 2 2" xfId="511" xr:uid="{00000000-0005-0000-0000-00003E020000}"/>
    <cellStyle name="Percent 2 4 3" xfId="420" xr:uid="{00000000-0005-0000-0000-00003F020000}"/>
    <cellStyle name="Percent 2 5" xfId="253" xr:uid="{00000000-0005-0000-0000-000040020000}"/>
    <cellStyle name="Percent 2 5 2" xfId="431" xr:uid="{00000000-0005-0000-0000-000041020000}"/>
    <cellStyle name="Percent 2 6" xfId="174" xr:uid="{00000000-0005-0000-0000-000042020000}"/>
    <cellStyle name="Percent 2 6 2" xfId="529" xr:uid="{00000000-0005-0000-0000-000043020000}"/>
    <cellStyle name="Percent 2 7" xfId="363" xr:uid="{00000000-0005-0000-0000-000044020000}"/>
    <cellStyle name="Percent 3" xfId="113" xr:uid="{00000000-0005-0000-0000-000045020000}"/>
    <cellStyle name="Percent 4" xfId="112" xr:uid="{00000000-0005-0000-0000-000046020000}"/>
    <cellStyle name="Percent 4 2" xfId="109" xr:uid="{00000000-0005-0000-0000-000047020000}"/>
    <cellStyle name="Percent 5" xfId="83" xr:uid="{00000000-0005-0000-0000-000048020000}"/>
    <cellStyle name="S12" xfId="585" xr:uid="{00000000-0005-0000-0000-000049020000}"/>
    <cellStyle name="S18" xfId="580" xr:uid="{00000000-0005-0000-0000-00004A020000}"/>
    <cellStyle name="S4" xfId="25" xr:uid="{00000000-0005-0000-0000-00004B020000}"/>
    <cellStyle name="S7" xfId="26" xr:uid="{00000000-0005-0000-0000-00004C020000}"/>
  </cellStyles>
  <dxfs count="0"/>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5.xml"/><Relationship Id="rId26" Type="http://schemas.openxmlformats.org/officeDocument/2006/relationships/externalLink" Target="externalLinks/externalLink13.xml"/><Relationship Id="rId39" Type="http://schemas.openxmlformats.org/officeDocument/2006/relationships/calcChain" Target="calcChain.xml"/><Relationship Id="rId21" Type="http://schemas.openxmlformats.org/officeDocument/2006/relationships/externalLink" Target="externalLinks/externalLink8.xml"/><Relationship Id="rId34" Type="http://schemas.openxmlformats.org/officeDocument/2006/relationships/externalLink" Target="externalLinks/externalLink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externalLink" Target="externalLinks/externalLink12.xml"/><Relationship Id="rId33" Type="http://schemas.openxmlformats.org/officeDocument/2006/relationships/externalLink" Target="externalLinks/externalLink20.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externalLink" Target="externalLinks/externalLink7.xml"/><Relationship Id="rId29"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1.xml"/><Relationship Id="rId32" Type="http://schemas.openxmlformats.org/officeDocument/2006/relationships/externalLink" Target="externalLinks/externalLink19.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6.xml"/><Relationship Id="rId31"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30" Type="http://schemas.openxmlformats.org/officeDocument/2006/relationships/externalLink" Target="externalLinks/externalLink17.xml"/><Relationship Id="rId35" Type="http://schemas.openxmlformats.org/officeDocument/2006/relationships/externalLink" Target="externalLinks/externalLink22.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er\Etisalat\Project\Data\&#47568;&#47112;&#51060;&#49884;&#50500;\Ncc\AEc&#51077;&#52272;&#44204;&#51201;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ONDON-2\DATA\HVS\Consulting\Jobs\2000050014%20-%20Skopje\Report\Rn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YL3\DAT\ENGFORM\ENG1\99173-2\ENG1\SRC-B3U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OMNDXBW2K12DC\Data\Users\christian\Desktop\Area%20schedules\Area%20Schedule%20(Jo%20measure).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OMNDXBW2K12DC\Data\Stephen%20Johnson\Burj%20Vista\Pre%20Contract\Estimates%20&amp;%20Cost%20Plans\Schematic%20Cost%20Plan%20-%20Jan%202014\Measurements\Burj%20Vista%20-%20Internal%20fit%20out_erika_091213%20(TOWER%201)%20rev.%20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OMNDXBW2K12DC\Data\Stephen%20Johnson\Skyview%20-%204,5%20&amp;%206\Pre%20Contract\Estimates%20&amp;%20Cost%20Plans\Cost%20Plans\Schematic\Cost%20Plan%20No.1%20Rev5\Skyview%20(4,5%20&amp;%206)%20-%20Cost%20Plan%20No.1%20Rev5%20-%2013%20Nov%202013%20(inc%20benchmarking).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0.67.62.209\emrbrjexp\Documents%20and%20Settings\Sampath\Local%20Settings\Temporary%20Internet%20Files\Content.Outlook\5A6GEVW9\Cell%2031-Measurements%20(rev-01).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V:\07-XXX-QS-Arabian%20Ranches%20Villas\Output\Working\Shariq\Shariq%20Working\Final%20BQ's%20&amp;%20Working\Final%20working_A300%20-%20Andalusian.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omndxbw2k8fs\data\Projects\Emaar\06%20Downtown%20Dubai\Plot%2049%20(VIDA%20RESIDENCES)\Main%20Contract\Pre%20Contract\10%20Cost%20Plans\03%20Schematic\Cost%20Plan\Vida%20Residences%20-%20Schematic%20Cost%20Plan%20-%20AUG%202014.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G:\DMH\IP-013%20(Sample)\Sample_Floor%20Qty.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omndxbw2k8fs\data\Projects\Emaar\06%20Downtown%20Dubai\BD%2014-17%20(BURJ%20VISTA)\Main%20Works\Post%20Contract\20%20Bills%20of%20Quantities\20%20Main%20Contract\Burj%20Vista%20Pre%20Tender%20Estimate%20-%20Tender%20Review.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omndxbw2k8fs\data\Stephen%20Johnson\Cost%20Analysis\Omnium%20Project%20Portfolio%202014.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0.67.62.209\emrbrjexp\Armada%20Quantities\Projects\(14)%20Deerfields%20Town%20Square\Main%20Building\Main%20Building%20-%20Concrete%20Work,%20Thermal.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0.67.62.209\emrbrjexp\Documents%20and%20Settings\Sampath\Local%20Settings\Temporary%20Internet%20Files\Content.Outlook\5A6GEVW9\Cell%2037-Measurements%20(rev-01).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oni\soni\project\cvl\Electrical%20Boq\TEMP.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AEDXA1004\AEDXAOrganisation\data\ACCOUNT\W_SHEET\HK\MR0405\0405P&amp;L_Dubai.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rojects/TDIC/The%20Lagoons%20Saadiyat%20Island/1.%20Tender%20Documents/1.1%20BQ/C02%20-%20Phase%201%20Main%20Works/Tender%20Documents/Final%20Bill%20of%20Quantities/Section%202%20-%20TOWNHOUSE%20WORKS/BQ_Bill%20No.1%20TH-2BR%20DUPLEX.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charris.local\offices\Documents%20and%20Settings\BrunnA\Local%20Settings\Temporary%20Internet%20Files\OLKA1\Novotel%20Port%20Saeed\Novotel%20Port%20Saeed%20IT%20sheet.xl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ldarBD_DIT_v2_081027.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Users\erikabonnapalma\Downloads\10.67.62.209\emrbrjexp\Documents%20and%20Settings\Sampath\Local%20Settings\Temporary%20Internet%20Files\Content.Outlook\5A6GEVW9\Cell%2038-Measurements%20(rev-01).xlsx"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Cell%201-Raft-Measuremen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입찰내역 발주처 양식"/>
      <sheetName val="입찰내역 발주처 제출용"/>
      <sheetName val="입찰내역 내부용"/>
      <sheetName val="직접공사비 본사용"/>
      <sheetName val="입찰품의서(예비입찰)"/>
      <sheetName val="견적기준"/>
      <sheetName val="공통가설 (R1)"/>
      <sheetName val="현관비"/>
      <sheetName val="현장기구조직표 "/>
      <sheetName val="공사개요"/>
      <sheetName val="인건비(VOICE)"/>
      <sheetName val="sum"/>
      <sheetName val="PRL"/>
      <sheetName val="Sheet1"/>
      <sheetName val="HW-Sets_Option1"/>
      <sheetName val="SRC-B3U2"/>
      <sheetName val="Boq"/>
      <sheetName val="입찰내역_발주처_양식"/>
      <sheetName val="입찰내역_발주처_제출용"/>
      <sheetName val="입찰내역_내부용"/>
      <sheetName val="직접공사비_본사용"/>
      <sheetName val="공통가설_(R1)"/>
      <sheetName val="현장기구조직표_"/>
      <sheetName val="#REF"/>
      <sheetName val="安装费"/>
      <sheetName val="设计开办费"/>
      <sheetName val="北立面17层玻璃百叶"/>
      <sheetName val="内廷玻璃百叶"/>
      <sheetName val="栏杆"/>
      <sheetName val="顶部三层玻璃幕墙"/>
      <sheetName val="标准层玻璃幕墙3900"/>
      <sheetName val="标准层玻璃幕墙2500"/>
      <sheetName val="标准层玻璃幕墙3700 (350)"/>
      <sheetName val="标准层玻璃幕墙4500 (350)"/>
      <sheetName val="标准层玻璃幕墙3100(350)"/>
      <sheetName val="顶部三层包柱（西南面）"/>
      <sheetName val="西南面包柱（800x350）"/>
      <sheetName val="西南面包柱（1400x700）"/>
      <sheetName val="西南面包柱(800,1400)带层间"/>
      <sheetName val="西南面包梁（1400x350） "/>
      <sheetName val="西南面包梁（800x350）"/>
      <sheetName val="西南面包梁（800x350）楼板下"/>
      <sheetName val="西南面包梁（1400x700）"/>
      <sheetName val="西面三层吊顶"/>
      <sheetName val="复合板顶封修(西南面)"/>
      <sheetName val="天井玻璃幕墙(可视位置)"/>
      <sheetName val="天井玻璃幕墙(柱子不可视位置)"/>
      <sheetName val="天井玻璃幕墙(电梯处 两侧)"/>
      <sheetName val="天井顶部外周幕墙"/>
      <sheetName val="天井顶封修"/>
      <sheetName val="天井1、2层石材"/>
      <sheetName val="顶部三层包柱（东北面）"/>
      <sheetName val="复合板顶封修(东北面)"/>
      <sheetName val="东北面包柱（1400）"/>
      <sheetName val="东北面包柱（2800）"/>
      <sheetName val="东北面包梁（1400）"/>
      <sheetName val="1、2层包柱(西面)"/>
      <sheetName val="1、2层包柱(南面)"/>
      <sheetName val="1、2层包柱(东北面)"/>
      <sheetName val="二层玻璃框架(其他面)"/>
      <sheetName val="二层玻璃框架(西面)"/>
      <sheetName val="一层玻璃框架"/>
      <sheetName val="一层石材(西面)"/>
      <sheetName val="汽车通道侧壁"/>
      <sheetName val="汽车通道吊顶"/>
      <sheetName val="立面17层玻璃百叶"/>
      <sheetName val="BOQ-Rev.3"/>
      <sheetName val="Cost Summary"/>
      <sheetName val="材料单"/>
      <sheetName val="u_rates"/>
      <sheetName val="BOQ건축"/>
      <sheetName val="Site Expenses"/>
      <sheetName val="Architectural"/>
      <sheetName val="NPV"/>
      <sheetName val="Cash2"/>
      <sheetName val="기계내역서"/>
      <sheetName val="Customize Your Invoice"/>
      <sheetName val="PROJECT BRIEF(EX.NEW)"/>
      <sheetName val="POWER"/>
      <sheetName val="입찰내역_발주처_양식1"/>
      <sheetName val="입찰내역_발주처_제출용1"/>
      <sheetName val="입찰내역_내부용1"/>
      <sheetName val="직접공사비_본사용1"/>
      <sheetName val="공통가설_(R1)1"/>
      <sheetName val="현장기구조직표_1"/>
      <sheetName val="标准层玻璃幕墙3700_(350)"/>
      <sheetName val="标准层玻璃幕墙4500_(350)"/>
      <sheetName val="西南面包梁（1400x350）_"/>
      <sheetName val="天井玻璃幕墙(电梯处_两侧)"/>
      <sheetName val="BOQ-Rev_3"/>
      <sheetName val="Cost_Summary"/>
      <sheetName val="Site_Expenses"/>
      <sheetName val="Customize_Your_Invoice"/>
      <sheetName val="PROJECT_BRIEF(EX_NEW)"/>
      <sheetName val="입찰내역_발주처_양식2"/>
      <sheetName val="입찰내역_발주처_제출용2"/>
      <sheetName val="입찰내역_내부용2"/>
      <sheetName val="직접공사비_본사용2"/>
      <sheetName val="공통가설_(R1)2"/>
      <sheetName val="현장기구조직표_2"/>
      <sheetName val="标准层玻璃幕墙3700_(350)1"/>
      <sheetName val="标准层玻璃幕墙4500_(350)1"/>
      <sheetName val="西南面包梁（1400x350）_1"/>
      <sheetName val="天井玻璃幕墙(电梯处_两侧)1"/>
      <sheetName val="BOQ-Rev_31"/>
      <sheetName val="Cost_Summary1"/>
      <sheetName val="Site_Expenses1"/>
      <sheetName val="Customize_Your_Invoice1"/>
      <sheetName val="PROJECT_BRIEF(EX_NEW)1"/>
      <sheetName val="SHORT LIST"/>
      <sheetName val="Formulas"/>
      <sheetName val="HL8"/>
      <sheetName val="입찰내역_발주처_양식3"/>
      <sheetName val="입찰내역_발주처_제출용3"/>
      <sheetName val="입찰내역_내부용3"/>
      <sheetName val="직접공사비_본사용3"/>
      <sheetName val="공통가설_(R1)3"/>
      <sheetName val="현장기구조직표_3"/>
      <sheetName val="标准层玻璃幕墙3700_(350)2"/>
      <sheetName val="标准层玻璃幕墙4500_(350)2"/>
      <sheetName val="西南面包梁（1400x350）_2"/>
      <sheetName val="天井玻璃幕墙(电梯处_两侧)2"/>
      <sheetName val="BOQ-Rev_32"/>
      <sheetName val="Cost_Summary2"/>
      <sheetName val="Site_Expenses2"/>
      <sheetName val="Customize_Your_Invoice2"/>
      <sheetName val="PROJECT_BRIEF(EX_NEW)2"/>
      <sheetName val="SHORT_LIST"/>
      <sheetName val="ANA"/>
      <sheetName val="DI-ESTI"/>
      <sheetName val="Gia vat tu"/>
      <sheetName val="Raw Data"/>
      <sheetName val="Option"/>
      <sheetName val="시설물일위"/>
      <sheetName val="실행철강하도"/>
      <sheetName val="대비표"/>
      <sheetName val="PROJECT BRIEF"/>
      <sheetName val="집계"/>
      <sheetName val="Windows"/>
      <sheetName val="Glass Type"/>
      <sheetName val="PriceSummary"/>
      <sheetName val="공종별_집계금액"/>
      <sheetName val="AEc입찰견적01"/>
      <sheetName val="Site, Conc &amp; Thermal Fdn Lvl"/>
      <sheetName val="Conc Works B3 - T04"/>
      <sheetName val="Conc Works T05 - T14"/>
      <sheetName val="Metal Works"/>
      <sheetName val="Conc Works B3 - T04 (ok)"/>
      <sheetName val="Plaster B3-T66"/>
      <sheetName val="BMU (PS)"/>
      <sheetName val="Strl Steel (PS)"/>
      <sheetName val="Strl Steel"/>
      <sheetName val="Rate Analysis"/>
      <sheetName val="Gia_vat_tu"/>
      <sheetName val="Raw_Data"/>
      <sheetName val="Rate_Analysis"/>
      <sheetName val="finalj"/>
      <sheetName val="입찰내역_발주처_양식4"/>
      <sheetName val="입찰내역_발주처_제출용4"/>
      <sheetName val="입찰내역_내부용4"/>
      <sheetName val="직접공사비_본사용4"/>
      <sheetName val="공통가설_(R1)4"/>
      <sheetName val="현장기구조직표_4"/>
      <sheetName val="BOQ-Rev_33"/>
      <sheetName val="Cost_Summary3"/>
      <sheetName val="Site_Expenses3"/>
      <sheetName val="标准层玻璃幕墙3700_(350)3"/>
      <sheetName val="标准层玻璃幕墙4500_(350)3"/>
      <sheetName val="西南面包梁（1400x350）_3"/>
      <sheetName val="天井玻璃幕墙(电梯处_两侧)3"/>
      <sheetName val="Customize_Your_Invoice3"/>
      <sheetName val="PROJECT_BRIEF(EX_NEW)3"/>
      <sheetName val="SHORT_LIST1"/>
      <sheetName val="Gia_vat_tu1"/>
      <sheetName val="Raw_Data1"/>
      <sheetName val="Rate_Analysis1"/>
      <sheetName val="BASE"/>
      <sheetName val="F - Woodwork"/>
      <sheetName val="입찰내역_발주처_양식5"/>
      <sheetName val="입찰내역_발주처_제출용5"/>
      <sheetName val="입찰내역_내부용5"/>
      <sheetName val="직접공사비_본사용5"/>
      <sheetName val="공통가설_(R1)5"/>
      <sheetName val="현장기구조직표_5"/>
      <sheetName val="标准层玻璃幕墙3700_(350)4"/>
      <sheetName val="标准层玻璃幕墙4500_(350)4"/>
      <sheetName val="西南面包梁（1400x350）_4"/>
      <sheetName val="天井玻璃幕墙(电梯处_两侧)4"/>
      <sheetName val="BOQ-Rev_34"/>
      <sheetName val="Cost_Summary4"/>
      <sheetName val="Site_Expenses4"/>
      <sheetName val="Customize_Your_Invoice4"/>
      <sheetName val="PROJECT_BRIEF(EX_NEW)4"/>
      <sheetName val="SHORT_LIST2"/>
      <sheetName val="Gia_vat_tu2"/>
      <sheetName val="Raw_Data2"/>
      <sheetName val="PROJECT_BRIEF"/>
      <sheetName val="Glass_Type"/>
      <sheetName val="Site,_Conc_&amp;_Thermal_Fdn_Lvl"/>
      <sheetName val="Conc_Works_B3_-_T04"/>
      <sheetName val="Conc_Works_T05_-_T14"/>
      <sheetName val="Metal_Works"/>
      <sheetName val="Conc_Works_B3_-_T04_(ok)"/>
      <sheetName val="Plaster_B3-T66"/>
      <sheetName val="BMU_(PS)"/>
      <sheetName val="Strl_Steel_(PS)"/>
      <sheetName val="Strl_Steel"/>
      <sheetName val="Rate_Analysis2"/>
      <sheetName val="Plinthbeam"/>
      <sheetName val="BM"/>
      <sheetName val="Data"/>
      <sheetName val="_Data"/>
      <sheetName val="Variations"/>
      <sheetName val="FitOutConfCentre"/>
      <sheetName val="DETAIL"/>
      <sheetName val="list"/>
      <sheetName val="건내용"/>
      <sheetName val="jobhist"/>
      <sheetName val="변경집계표"/>
      <sheetName val="workscope변경"/>
      <sheetName val="금융비용"/>
      <sheetName val="기숙사_건축"/>
      <sheetName val="seletion"/>
      <sheetName val="Chiet tinh dz22"/>
      <sheetName val="1"/>
      <sheetName val="Day work"/>
      <sheetName val="HQ-TO"/>
      <sheetName val="PriceList"/>
      <sheetName val="CASHFLOWS"/>
      <sheetName val="토목주소"/>
      <sheetName val="프랜트면허"/>
      <sheetName val="Status List"/>
      <sheetName val="Material List "/>
      <sheetName val="SUMMARY"/>
      <sheetName val="Settings"/>
      <sheetName val="???? ??? ??"/>
      <sheetName val="MAIN Labour-Staff"/>
      <sheetName val="200205C"/>
      <sheetName val="Sià_x0004_6_x0000__x0000__x0000__x0000__x0000__x0001__x0000__x0000__x0008_"/>
      <sheetName val="PROJECT_BRé¬e&amp;_x0000__x0018_ú_x0008_w_x001c_e&amp;"/>
      <sheetName val="____ ___ __"/>
      <sheetName val="Sià_x0004_6"/>
      <sheetName val="PROJECT_BRé¬e&amp;"/>
      <sheetName val="Room Matrix"/>
      <sheetName val="PB- 1,3,5"/>
      <sheetName val="PB - 2,4"/>
      <sheetName val="PB -6"/>
      <sheetName val="RB - 4"/>
      <sheetName val="RB-5"/>
      <sheetName val="RB - OR"/>
      <sheetName val="RB - UR"/>
      <sheetName val="Labor abs-NMR"/>
      <sheetName val="Data&amp;Lists"/>
      <sheetName val="sheet6"/>
      <sheetName val="SPT vs PHI"/>
      <sheetName val="Intro"/>
      <sheetName val="Input"/>
      <sheetName val="ICO_budzet_97"/>
      <sheetName val="CCNs"/>
      <sheetName val="2Sum"/>
      <sheetName val="3Sum"/>
      <sheetName val="4Sum"/>
      <sheetName val="5Sum"/>
      <sheetName val="6Sum"/>
      <sheetName val="Gen Req "/>
      <sheetName val="MS"/>
      <sheetName val="GRSummary"/>
      <sheetName val="Z"/>
      <sheetName val="Architect"/>
      <sheetName val="3"/>
      <sheetName val="FORM5"/>
      <sheetName val="w't table"/>
      <sheetName val="Main Summary"/>
      <sheetName val="공사비 내역 (가)"/>
      <sheetName val="PROJ. DATA"/>
      <sheetName val=" Beams Sched "/>
      <sheetName val="Structure (2)"/>
      <sheetName val="PE"/>
      <sheetName val="General"/>
      <sheetName val="Demand"/>
      <sheetName val="Occ"/>
      <sheetName val="Debt overview (input)"/>
      <sheetName val="except wiring"/>
      <sheetName val="9"/>
      <sheetName val="????_???_??"/>
      <sheetName val="????_???_??1"/>
      <sheetName val="PROJECT_BRIEF1"/>
      <sheetName val="Site,_Conc_&amp;_Thermal_Fdn_Lvl1"/>
      <sheetName val="Conc_Works_B3_-_T041"/>
      <sheetName val="Conc_Works_T05_-_T141"/>
      <sheetName val="Metal_Works1"/>
      <sheetName val="Conc_Works_B3_-_T04_(ok)1"/>
      <sheetName val="Plaster_B3-T661"/>
      <sheetName val="BMU_(PS)1"/>
      <sheetName val="Strl_Steel_(PS)1"/>
      <sheetName val="Strl_Steel1"/>
      <sheetName val="Glass_Type1"/>
      <sheetName val="????_???_??3"/>
      <sheetName val="Gia_vat_tu3"/>
      <sheetName val="Raw_Data3"/>
      <sheetName val="PROJECT_BRIEF3"/>
      <sheetName val="Site,_Conc_&amp;_Thermal_Fdn_Lvl3"/>
      <sheetName val="Conc_Works_B3_-_T043"/>
      <sheetName val="Conc_Works_T05_-_T143"/>
      <sheetName val="Metal_Works3"/>
      <sheetName val="Conc_Works_B3_-_T04_(ok)3"/>
      <sheetName val="Plaster_B3-T663"/>
      <sheetName val="BMU_(PS)3"/>
      <sheetName val="Strl_Steel_(PS)3"/>
      <sheetName val="Strl_Steel3"/>
      <sheetName val="Glass_Type3"/>
      <sheetName val="????_???_??2"/>
      <sheetName val="PROJECT_BRIEF2"/>
      <sheetName val="Site,_Conc_&amp;_Thermal_Fdn_Lvl2"/>
      <sheetName val="Conc_Works_B3_-_T042"/>
      <sheetName val="Conc_Works_T05_-_T142"/>
      <sheetName val="Metal_Works2"/>
      <sheetName val="Conc_Works_B3_-_T04_(ok)2"/>
      <sheetName val="Plaster_B3-T662"/>
      <sheetName val="BMU_(PS)2"/>
      <sheetName val="Strl_Steel_(PS)2"/>
      <sheetName val="Strl_Steel2"/>
      <sheetName val="Glass_Type2"/>
      <sheetName val="입찰내역_발주처_양식6"/>
      <sheetName val="????_???_??4"/>
      <sheetName val="Gia_vat_tu4"/>
      <sheetName val="Raw_Data4"/>
      <sheetName val="PROJECT_BRIEF4"/>
      <sheetName val="Site,_Conc_&amp;_Thermal_Fdn_Lvl4"/>
      <sheetName val="Conc_Works_B3_-_T044"/>
      <sheetName val="Conc_Works_T05_-_T144"/>
      <sheetName val="Metal_Works4"/>
      <sheetName val="Conc_Works_B3_-_T04_(ok)4"/>
      <sheetName val="Plaster_B3-T664"/>
      <sheetName val="BMU_(PS)4"/>
      <sheetName val="Strl_Steel_(PS)4"/>
      <sheetName val="Strl_Steel4"/>
      <sheetName val="Glass_Type4"/>
      <sheetName val="MASTER_RATE ANALYSIS"/>
      <sheetName val="cover page"/>
      <sheetName val="SCE_LOG"/>
      <sheetName val="DVM Sizing Calculator- 10 ips "/>
      <sheetName val="upa"/>
      <sheetName val="beam-reinft"/>
      <sheetName val="Project Data Guide"/>
      <sheetName val="Design"/>
      <sheetName val="Dropdowns"/>
      <sheetName val="VE"/>
      <sheetName val="Dashboard (1)"/>
      <sheetName val="Remeasure"/>
      <sheetName val="VO Agreed to Unifier Sum"/>
      <sheetName val="VO Not yet Agreed to Unifier"/>
      <sheetName val="VO Anticipated to Unifier"/>
      <sheetName val="EW to Unifier"/>
      <sheetName val="Prov Sums"/>
      <sheetName val="Claims"/>
      <sheetName val="Other Amounts"/>
      <sheetName val="VO Not yet Agreed"/>
      <sheetName val="VO Anticipated"/>
      <sheetName val="EW"/>
      <sheetName val="Chiet_tinh_dz22"/>
      <sheetName val="标准层玻璃幕墙耳㫚⤂_x0000_鸀⁦_x0000__x0001__x0000__x0000_栀"/>
      <sheetName val="입찰내역_발주처_양식7"/>
      <sheetName val="입찰내역_발주처_제출용6"/>
      <sheetName val="입찰내역_내부용6"/>
      <sheetName val="직접공사비_본사용6"/>
      <sheetName val="공통가설_(R1)6"/>
      <sheetName val="현장기구조직표_6"/>
      <sheetName val="BOQ-Rev_35"/>
      <sheetName val="Cost_Summary5"/>
      <sheetName val="Site_Expenses5"/>
      <sheetName val="标准层玻璃幕墙3700_(350)5"/>
      <sheetName val="标准层玻璃幕墙4500_(350)5"/>
      <sheetName val="西南面包梁（1400x350）_5"/>
      <sheetName val="天井玻璃幕墙(电梯处_两侧)5"/>
      <sheetName val="Customize_Your_Invoice5"/>
      <sheetName val="PROJECT_BRIEF(EX_NEW)5"/>
      <sheetName val="Gia_vat_tu5"/>
      <sheetName val="Raw_Data5"/>
      <sheetName val="PROJECT_BRIEF5"/>
      <sheetName val="입찰내역_발주처_양식8"/>
      <sheetName val="입찰내역_발주처_제출용7"/>
      <sheetName val="입찰내역_내부용7"/>
      <sheetName val="직접공사비_본사용7"/>
      <sheetName val="공통가설_(R1)7"/>
      <sheetName val="현장기구조직표_7"/>
      <sheetName val="BOQ-Rev_36"/>
      <sheetName val="Cost_Summary6"/>
      <sheetName val="Site_Expenses6"/>
      <sheetName val="标准层玻璃幕墙3700_(350)6"/>
      <sheetName val="标准层玻璃幕墙4500_(350)6"/>
      <sheetName val="西南面包梁（1400x350）_6"/>
      <sheetName val="天井玻璃幕墙(电梯处_两侧)6"/>
      <sheetName val="Customize_Your_Invoice6"/>
      <sheetName val="PROJECT_BRIEF(EX_NEW)6"/>
      <sheetName val="Gia_vat_tu6"/>
      <sheetName val="Raw_Data6"/>
      <sheetName val="PROJECT_BRIEF6"/>
      <sheetName val="입찰내역_발주처_양식10"/>
      <sheetName val="입찰내역_발주처_제출용9"/>
      <sheetName val="입찰내역_내부용9"/>
      <sheetName val="직접공사비_본사용9"/>
      <sheetName val="공통가설_(R1)9"/>
      <sheetName val="현장기구조직표_9"/>
      <sheetName val="BOQ-Rev_38"/>
      <sheetName val="Cost_Summary8"/>
      <sheetName val="Site_Expenses8"/>
      <sheetName val="标准层玻璃幕墙3700_(350)8"/>
      <sheetName val="标准层玻璃幕墙4500_(350)8"/>
      <sheetName val="西南面包梁（1400x350）_8"/>
      <sheetName val="天井玻璃幕墙(电梯处_两侧)8"/>
      <sheetName val="Customize_Your_Invoice8"/>
      <sheetName val="PROJECT_BRIEF(EX_NEW)8"/>
      <sheetName val="Gia_vat_tu8"/>
      <sheetName val="Raw_Data8"/>
      <sheetName val="PROJECT_BRIEF8"/>
      <sheetName val="입찰내역_발주처_양식9"/>
      <sheetName val="입찰내역_발주처_제출용8"/>
      <sheetName val="입찰내역_내부용8"/>
      <sheetName val="직접공사비_본사용8"/>
      <sheetName val="공통가설_(R1)8"/>
      <sheetName val="현장기구조직표_8"/>
      <sheetName val="KPIs"/>
      <sheetName val="final abstract"/>
      <sheetName val="BOQ-Rev_37"/>
      <sheetName val="Cost_Summary7"/>
      <sheetName val="Site_Expenses7"/>
      <sheetName val="标准层玻璃幕墙3700_(350)7"/>
      <sheetName val="标准层玻璃幕墙4500_(350)7"/>
      <sheetName val="西南面包梁（1400x350）_7"/>
      <sheetName val="天井玻璃幕墙(电梯处_两侧)7"/>
      <sheetName val="Customize_Your_Invoice7"/>
      <sheetName val="PROJECT_BRIEF(EX_NEW)7"/>
      <sheetName val="Gia_vat_tu7"/>
      <sheetName val="Raw_Data7"/>
      <sheetName val="PROJECT_BRIEF7"/>
      <sheetName val="입찰내역_발주처_양식11"/>
      <sheetName val="입찰내역_발주처_제출용10"/>
      <sheetName val="입찰내역_내부용10"/>
      <sheetName val="직접공사비_본사용10"/>
      <sheetName val="공통가설_(R1)10"/>
      <sheetName val="현장기구조직표_10"/>
      <sheetName val="BOQ-Rev_39"/>
      <sheetName val="Cost_Summary9"/>
      <sheetName val="Site_Expenses9"/>
      <sheetName val="标准层玻璃幕墙3700_(350)9"/>
      <sheetName val="标准层玻璃幕墙4500_(350)9"/>
      <sheetName val="西南面包梁（1400x350）_9"/>
      <sheetName val="天井玻璃幕墙(电梯处_两侧)9"/>
      <sheetName val="Customize_Your_Invoice9"/>
      <sheetName val="PROJECT_BRIEF(EX_NEW)9"/>
      <sheetName val="Gia_vat_tu9"/>
      <sheetName val="Raw_Data9"/>
      <sheetName val="PROJECT_BRIEF9"/>
      <sheetName val="MOS"/>
      <sheetName val="Summ"/>
      <sheetName val="0.0 Reference"/>
      <sheetName val="Panels (DWG)"/>
      <sheetName val="③赤紙(日文)"/>
      <sheetName val="Data Ref"/>
      <sheetName val="Common Data"/>
      <sheetName val="Controls"/>
      <sheetName val="Data sheet"/>
      <sheetName val="ML"/>
      <sheetName val="DATI_CONS"/>
      <sheetName val="intr stool brkup"/>
      <sheetName val="금액내역서"/>
      <sheetName val="PNTEXT"/>
      <sheetName val="Vendors"/>
      <sheetName val="."/>
      <sheetName val="Sales &amp; Prod"/>
      <sheetName val="Internet"/>
      <sheetName val="SHORT_LIST3"/>
      <sheetName val="Rate_Analysis3"/>
      <sheetName val="F_-_Woodwork"/>
      <sheetName val="Day_work"/>
      <sheetName val="Status_List"/>
      <sheetName val="Material_List_"/>
      <sheetName val="MAIN_Labour-Staff"/>
      <sheetName val="Sià6"/>
      <sheetName val="PROJECT_BRé¬e&amp;úwe&amp;"/>
      <sheetName val="___________"/>
      <sheetName val="Room_Matrix"/>
      <sheetName val="PB-_1,3,5"/>
      <sheetName val="PB_-_2,4"/>
      <sheetName val="PB_-6"/>
      <sheetName val="RB_-_4"/>
      <sheetName val="RB_-_OR"/>
      <sheetName val="RB_-_UR"/>
      <sheetName val="Labor_abs-NMR"/>
      <sheetName val="SPT_vs_PHI"/>
      <sheetName val="Gen_Req_"/>
      <sheetName val="입찰내역_발주처_양식12"/>
      <sheetName val="입찰내역_발주처_제출용11"/>
      <sheetName val="입찰내역_내부용11"/>
      <sheetName val="직접공사비_본사용11"/>
      <sheetName val="공통가설_(R1)11"/>
      <sheetName val="현장기구조직표_11"/>
      <sheetName val="PROJECT_BRIEF10"/>
      <sheetName val="Site,_Conc_&amp;_Thermal_Fdn_Lvl5"/>
      <sheetName val="Conc_Works_B3_-_T045"/>
      <sheetName val="Conc_Works_T05_-_T145"/>
      <sheetName val="Metal_Works5"/>
      <sheetName val="Conc_Works_B3_-_T04_(ok)5"/>
      <sheetName val="Plaster_B3-T665"/>
      <sheetName val="BMU_(PS)5"/>
      <sheetName val="Strl_Steel_(PS)5"/>
      <sheetName val="Strl_Steel5"/>
      <sheetName val="Gia_vat_tu10"/>
      <sheetName val="Raw_Data10"/>
      <sheetName val="标准层玻璃幕墙3700_(350)10"/>
      <sheetName val="标准层玻璃幕墙4500_(350)10"/>
      <sheetName val="西南面包梁（1400x350）_10"/>
      <sheetName val="天井玻璃幕墙(电梯处_两侧)10"/>
      <sheetName val="BOQ-Rev_310"/>
      <sheetName val="Cost_Summary10"/>
      <sheetName val="Site_Expenses10"/>
      <sheetName val="Customize_Your_Invoice10"/>
      <sheetName val="PROJECT_BRIEF(EX_NEW)10"/>
      <sheetName val="Glass_Type5"/>
      <sheetName val="????_???_??5"/>
      <sheetName val="slipsumpR"/>
      <sheetName val="SHORT_LIST4"/>
      <sheetName val="Rate_Analysis4"/>
      <sheetName val="MAIN_Labour-Staff1"/>
      <sheetName val="Material_List_1"/>
      <sheetName val="Room_Matrix1"/>
      <sheetName val="PB-_1,3,51"/>
      <sheetName val="PB_-_2,41"/>
      <sheetName val="PB_-61"/>
      <sheetName val="RB_-_41"/>
      <sheetName val="RB_-_OR1"/>
      <sheetName val="RB_-_UR1"/>
      <sheetName val="F_-_Woodwork1"/>
      <sheetName val="Chiet_tinh_dz221"/>
      <sheetName val="Day_work1"/>
      <sheetName val="Status_List1"/>
      <sheetName val="___________1"/>
      <sheetName val="Structure_(2)1"/>
      <sheetName val="Structure_(2)"/>
      <sheetName val="sc"/>
      <sheetName val="Panels_(DWG)"/>
      <sheetName val="0_0_Reference"/>
      <sheetName val="_"/>
      <sheetName val="BAG-2"/>
      <sheetName val="개산공사비"/>
      <sheetName val="산근"/>
      <sheetName val="CIF COST ITEM"/>
      <sheetName val="Panels_(DWG)1"/>
      <sheetName val="0_0_Reference1"/>
      <sheetName val="_1"/>
      <sheetName val="ESTIMATE"/>
      <sheetName val="concrete"/>
      <sheetName val="beam-reinft-IIInd floor"/>
      <sheetName val="Ledger"/>
      <sheetName val="BAU"/>
      <sheetName val="#3E1_GCR"/>
      <sheetName val="입찰내역_발주처_양식13"/>
      <sheetName val="입찰내역_발주처_제출용12"/>
      <sheetName val="입찰내역_내부용12"/>
      <sheetName val="직접공사비_본사용12"/>
      <sheetName val="공통가설_(R1)12"/>
      <sheetName val="현장기구조직표_12"/>
      <sheetName val="BOQ-Rev_311"/>
      <sheetName val="Cost_Summary11"/>
      <sheetName val="Site_Expenses11"/>
      <sheetName val="标准层玻璃幕墙3700_(350)11"/>
      <sheetName val="标准层玻璃幕墙4500_(350)11"/>
      <sheetName val="西南面包梁（1400x350）_11"/>
      <sheetName val="天井玻璃幕墙(电梯处_两侧)11"/>
      <sheetName val="PROJECT_BRIEF11"/>
      <sheetName val="Customize_Your_Invoice11"/>
      <sheetName val="PROJECT_BRIEF(EX_NEW)11"/>
      <sheetName val="Glass_Type6"/>
      <sheetName val="Site,_Conc_&amp;_Thermal_Fdn_Lvl6"/>
      <sheetName val="Conc_Works_B3_-_T046"/>
      <sheetName val="Conc_Works_T05_-_T146"/>
      <sheetName val="Metal_Works6"/>
      <sheetName val="Conc_Works_B3_-_T04_(ok)6"/>
      <sheetName val="Plaster_B3-T666"/>
      <sheetName val="BMU_(PS)6"/>
      <sheetName val="Strl_Steel_(PS)6"/>
      <sheetName val="Strl_Steel6"/>
      <sheetName val="Gia_vat_tu11"/>
      <sheetName val="Raw_Data11"/>
      <sheetName val="????_???_??6"/>
      <sheetName val="cover_page"/>
      <sheetName val="DVM_Sizing_Calculator-_10_ips_"/>
      <sheetName val="LPO Register"/>
      <sheetName val="YN"/>
      <sheetName val="Chiet_tinh_dz225"/>
      <sheetName val="Chiet_tinh_dz222"/>
      <sheetName val="Chiet_tinh_dz224"/>
      <sheetName val="Material_List_2"/>
      <sheetName val="Chiet_tinh_dz223"/>
      <sheetName val="Chiet_tinh_dz226"/>
      <sheetName val="Material_List_3"/>
      <sheetName val="Chiet_tinh_dz228"/>
      <sheetName val="Chiet_tinh_dz227"/>
      <sheetName val="Chiet_tinh_dz229"/>
      <sheetName val="입찰내역_발주처_제출용13"/>
      <sheetName val="입찰내역_내부용13"/>
      <sheetName val="직접공사비_본사용13"/>
      <sheetName val="공통가설_(R1)13"/>
      <sheetName val="현장기구조직표_13"/>
      <sheetName val="BOQ-Rev_312"/>
      <sheetName val="Cost_Summary12"/>
      <sheetName val="Site_Expenses12"/>
      <sheetName val="标准层玻璃幕墙3700_(350)12"/>
      <sheetName val="标准层玻璃幕墙4500_(350)12"/>
      <sheetName val="西南面包梁（1400x350）_12"/>
      <sheetName val="天井玻璃幕墙(电梯处_两侧)12"/>
      <sheetName val="Material_List_4"/>
      <sheetName val="Customize_Your_Invoice12"/>
      <sheetName val="PROJECT_BRIEF(EX_NEW)12"/>
      <sheetName val="Chiet_tinh_dz2210"/>
      <sheetName val="Common_Data"/>
      <sheetName val="w't_table"/>
      <sheetName val="Main_Summary"/>
      <sheetName val="공사비_내역_(가)"/>
      <sheetName val="PROJ__DATA"/>
      <sheetName val="_Beams_Sched_"/>
      <sheetName val="Debt_overview_(input)"/>
      <sheetName val="except_wiring"/>
      <sheetName val="MASTER_RATE_ANALYSIS"/>
      <sheetName val="Project_Data_Guide"/>
      <sheetName val="Dashboard_(1)"/>
      <sheetName val="VO_Agreed_to_Unifier_Sum"/>
      <sheetName val="VO_Not_yet_Agreed_to_Unifier"/>
      <sheetName val="VO_Anticipated_to_Unifier"/>
      <sheetName val="EW_to_Unifier"/>
      <sheetName val="Prov_Sums"/>
      <sheetName val="Other_Amounts"/>
      <sheetName val="VO_Not_yet_Agreed"/>
      <sheetName val="VO_Anticipated"/>
      <sheetName val="Currency"/>
      <sheetName val="ACCOUNT"/>
      <sheetName val="Pick Lists"/>
      <sheetName val="※ 드롭다운 목록"/>
      <sheetName val="입찰기준"/>
      <sheetName val="드롭다운 목록"/>
      <sheetName val="DATA LIST"/>
      <sheetName val="CF_MEDP"/>
      <sheetName val="SC_CE11"/>
      <sheetName val="CF_C21B"/>
      <sheetName val="CF_BTC"/>
      <sheetName val="물량표"/>
      <sheetName val="냉천부속동"/>
      <sheetName val="General Schedule"/>
      <sheetName val="Rate"/>
      <sheetName val="TABLE"/>
      <sheetName val="0 Master"/>
      <sheetName val="총괄"/>
      <sheetName val="공사수행방안"/>
      <sheetName val="잡철물"/>
      <sheetName val="일위_파일"/>
      <sheetName val="Cost bd-&quot;A&quot;"/>
      <sheetName val="실행예산-변경분"/>
      <sheetName val="공문"/>
      <sheetName val="전기일위대가"/>
      <sheetName val="예정(3)"/>
      <sheetName val="Total"/>
      <sheetName val="Fee Rate Summary"/>
      <sheetName val="M-work"/>
      <sheetName val="WORK"/>
      <sheetName val="BD_BOQ_Items_CP1"/>
      <sheetName val="BD_SORs"/>
      <sheetName val="Basic_Prices"/>
      <sheetName val="Sum_BOQ Items_CP1"/>
      <sheetName val="L_Prices"/>
      <sheetName val="M_Prices"/>
      <sheetName val="Basic Conditions"/>
      <sheetName val="Bid Cooperation"/>
      <sheetName val="Code"/>
      <sheetName val="Data Validation"/>
      <sheetName val="45,46"/>
      <sheetName val="门窗表"/>
      <sheetName val="ESCON"/>
      <sheetName val="james's"/>
      <sheetName val="공통가설"/>
      <sheetName val="방배동내역(리라)"/>
      <sheetName val="현장경비"/>
      <sheetName val="방배동내역 (총괄)"/>
      <sheetName val="CSC"/>
      <sheetName val="opstat"/>
      <sheetName val="costs"/>
      <sheetName val="SPT_vs_PHI1"/>
      <sheetName val="Labor_abs-NMR1"/>
      <sheetName val="입찰내역_발주처_양식15"/>
      <sheetName val="입찰내역_발주처_제출용14"/>
      <sheetName val="입찰내역_내부용14"/>
      <sheetName val="직접공사비_본사용14"/>
      <sheetName val="공통가설_(R1)14"/>
      <sheetName val="현장기구조직표_14"/>
      <sheetName val="BOQ-Rev_313"/>
      <sheetName val="Cost_Summary13"/>
      <sheetName val="Site_Expenses13"/>
      <sheetName val="标准层玻璃幕墙3700_(350)13"/>
      <sheetName val="标准层玻璃幕墙4500_(350)13"/>
      <sheetName val="西南面包梁（1400x350）_13"/>
      <sheetName val="天井玻璃幕墙(电梯处_两侧)13"/>
      <sheetName val="Customize_Your_Invoice13"/>
      <sheetName val="PROJECT_BRIEF(EX_NEW)13"/>
      <sheetName val="Gia_vat_tu13"/>
      <sheetName val="Raw_Data13"/>
      <sheetName val="PROJECT_BRIEF13"/>
      <sheetName val="Glass_Type8"/>
      <sheetName val="Site,_Conc_&amp;_Thermal_Fdn_Lvl8"/>
      <sheetName val="Conc_Works_B3_-_T048"/>
      <sheetName val="Conc_Works_T05_-_T148"/>
      <sheetName val="Metal_Works8"/>
      <sheetName val="Conc_Works_B3_-_T04_(ok)8"/>
      <sheetName val="Plaster_B3-T668"/>
      <sheetName val="BMU_(PS)8"/>
      <sheetName val="Strl_Steel_(PS)8"/>
      <sheetName val="Strl_Steel8"/>
      <sheetName val="SHORT_LIST6"/>
      <sheetName val="Rate_Analysis6"/>
      <sheetName val="MAIN_Labour-Staff3"/>
      <sheetName val="Room_Matrix3"/>
      <sheetName val="PB-_1,3,53"/>
      <sheetName val="PB_-_2,43"/>
      <sheetName val="PB_-63"/>
      <sheetName val="RB_-_43"/>
      <sheetName val="RB_-_OR3"/>
      <sheetName val="RB_-_UR3"/>
      <sheetName val="????_???_??8"/>
      <sheetName val="F_-_Woodwork3"/>
      <sheetName val="Day_work3"/>
      <sheetName val="Status_List3"/>
      <sheetName val="___________3"/>
      <sheetName val="SPT_vs_PHI3"/>
      <sheetName val="Panels_(DWG)3"/>
      <sheetName val="0_0_Reference3"/>
      <sheetName val="Labor_abs-NMR3"/>
      <sheetName val="cover_page2"/>
      <sheetName val="입찰내역_발주처_양식14"/>
      <sheetName val="Gia_vat_tu12"/>
      <sheetName val="Raw_Data12"/>
      <sheetName val="PROJECT_BRIEF12"/>
      <sheetName val="Glass_Type7"/>
      <sheetName val="Site,_Conc_&amp;_Thermal_Fdn_Lvl7"/>
      <sheetName val="Conc_Works_B3_-_T047"/>
      <sheetName val="Conc_Works_T05_-_T147"/>
      <sheetName val="Metal_Works7"/>
      <sheetName val="Conc_Works_B3_-_T04_(ok)7"/>
      <sheetName val="Plaster_B3-T667"/>
      <sheetName val="BMU_(PS)7"/>
      <sheetName val="Strl_Steel_(PS)7"/>
      <sheetName val="Strl_Steel7"/>
      <sheetName val="SHORT_LIST5"/>
      <sheetName val="Rate_Analysis5"/>
      <sheetName val="MAIN_Labour-Staff2"/>
      <sheetName val="Room_Matrix2"/>
      <sheetName val="PB-_1,3,52"/>
      <sheetName val="PB_-_2,42"/>
      <sheetName val="PB_-62"/>
      <sheetName val="RB_-_42"/>
      <sheetName val="RB_-_OR2"/>
      <sheetName val="RB_-_UR2"/>
      <sheetName val="????_???_??7"/>
      <sheetName val="F_-_Woodwork2"/>
      <sheetName val="Day_work2"/>
      <sheetName val="Status_List2"/>
      <sheetName val="___________2"/>
      <sheetName val="SPT_vs_PHI2"/>
      <sheetName val="Panels_(DWG)2"/>
      <sheetName val="0_0_Reference2"/>
      <sheetName val="Labor_abs-NMR2"/>
      <sheetName val="cover_page1"/>
      <sheetName val="입찰내역_발주처_양식18"/>
      <sheetName val="입찰내역_발주처_제출용17"/>
      <sheetName val="입찰내역_내부용17"/>
      <sheetName val="직접공사비_본사용17"/>
      <sheetName val="공통가설_(R1)17"/>
      <sheetName val="현장기구조직표_17"/>
      <sheetName val="BOQ-Rev_316"/>
      <sheetName val="Cost_Summary16"/>
      <sheetName val="Site_Expenses16"/>
      <sheetName val="标准层玻璃幕墙3700_(350)16"/>
      <sheetName val="标准层玻璃幕墙4500_(350)16"/>
      <sheetName val="西南面包梁（1400x350）_16"/>
      <sheetName val="天井玻璃幕墙(电梯处_两侧)16"/>
      <sheetName val="Customize_Your_Invoice16"/>
      <sheetName val="PROJECT_BRIEF(EX_NEW)16"/>
      <sheetName val="Gia_vat_tu16"/>
      <sheetName val="Raw_Data16"/>
      <sheetName val="PROJECT_BRIEF16"/>
      <sheetName val="Glass_Type11"/>
      <sheetName val="Site,_Conc_&amp;_Thermal_Fdn_Lvl11"/>
      <sheetName val="Conc_Works_B3_-_T0411"/>
      <sheetName val="Conc_Works_T05_-_T1411"/>
      <sheetName val="Metal_Works11"/>
      <sheetName val="Conc_Works_B3_-_T04_(ok)11"/>
      <sheetName val="Plaster_B3-T6611"/>
      <sheetName val="BMU_(PS)11"/>
      <sheetName val="Strl_Steel_(PS)11"/>
      <sheetName val="Strl_Steel11"/>
      <sheetName val="SHORT_LIST9"/>
      <sheetName val="Rate_Analysis9"/>
      <sheetName val="MAIN_Labour-Staff6"/>
      <sheetName val="Material_List_6"/>
      <sheetName val="Room_Matrix6"/>
      <sheetName val="PB-_1,3,56"/>
      <sheetName val="PB_-_2,46"/>
      <sheetName val="PB_-66"/>
      <sheetName val="RB_-_46"/>
      <sheetName val="RB_-_OR6"/>
      <sheetName val="RB_-_UR6"/>
      <sheetName val="????_???_??11"/>
      <sheetName val="F_-_Woodwork6"/>
      <sheetName val="Day_work6"/>
      <sheetName val="Status_List6"/>
      <sheetName val="___________6"/>
      <sheetName val="SPT_vs_PHI6"/>
      <sheetName val="Panels_(DWG)6"/>
      <sheetName val="0_0_Reference6"/>
      <sheetName val="Labor_abs-NMR6"/>
      <sheetName val="cover_page5"/>
      <sheetName val="입찰내역_발주처_양식16"/>
      <sheetName val="입찰내역_발주처_제출용15"/>
      <sheetName val="입찰내역_내부용15"/>
      <sheetName val="직접공사비_본사용15"/>
      <sheetName val="공통가설_(R1)15"/>
      <sheetName val="현장기구조직표_15"/>
      <sheetName val="BOQ-Rev_314"/>
      <sheetName val="Cost_Summary14"/>
      <sheetName val="Site_Expenses14"/>
      <sheetName val="标准层玻璃幕墙3700_(350)14"/>
      <sheetName val="标准层玻璃幕墙4500_(350)14"/>
      <sheetName val="西南面包梁（1400x350）_14"/>
      <sheetName val="天井玻璃幕墙(电梯处_两侧)14"/>
      <sheetName val="Customize_Your_Invoice14"/>
      <sheetName val="PROJECT_BRIEF(EX_NEW)14"/>
      <sheetName val="Gia_vat_tu14"/>
      <sheetName val="Raw_Data14"/>
      <sheetName val="PROJECT_BRIEF14"/>
      <sheetName val="Glass_Type9"/>
      <sheetName val="Site,_Conc_&amp;_Thermal_Fdn_Lvl9"/>
      <sheetName val="Conc_Works_B3_-_T049"/>
      <sheetName val="Conc_Works_T05_-_T149"/>
      <sheetName val="Metal_Works9"/>
      <sheetName val="Conc_Works_B3_-_T04_(ok)9"/>
      <sheetName val="Plaster_B3-T669"/>
      <sheetName val="BMU_(PS)9"/>
      <sheetName val="Strl_Steel_(PS)9"/>
      <sheetName val="Strl_Steel9"/>
      <sheetName val="SHORT_LIST7"/>
      <sheetName val="Rate_Analysis7"/>
      <sheetName val="MAIN_Labour-Staff4"/>
      <sheetName val="Room_Matrix4"/>
      <sheetName val="PB-_1,3,54"/>
      <sheetName val="PB_-_2,44"/>
      <sheetName val="PB_-64"/>
      <sheetName val="RB_-_44"/>
      <sheetName val="RB_-_OR4"/>
      <sheetName val="RB_-_UR4"/>
      <sheetName val="????_???_??9"/>
      <sheetName val="F_-_Woodwork4"/>
      <sheetName val="Day_work4"/>
      <sheetName val="Status_List4"/>
      <sheetName val="___________4"/>
      <sheetName val="SPT_vs_PHI4"/>
      <sheetName val="Panels_(DWG)4"/>
      <sheetName val="0_0_Reference4"/>
      <sheetName val="Labor_abs-NMR4"/>
      <sheetName val="cover_page3"/>
      <sheetName val="입찰내역_발주처_양식17"/>
      <sheetName val="입찰내역_발주처_제출용16"/>
      <sheetName val="입찰내역_내부용16"/>
      <sheetName val="직접공사비_본사용16"/>
      <sheetName val="공통가설_(R1)16"/>
      <sheetName val="현장기구조직표_16"/>
      <sheetName val="BOQ-Rev_315"/>
      <sheetName val="Cost_Summary15"/>
      <sheetName val="Site_Expenses15"/>
      <sheetName val="标准层玻璃幕墙3700_(350)15"/>
      <sheetName val="标准层玻璃幕墙4500_(350)15"/>
      <sheetName val="西南面包梁（1400x350）_15"/>
      <sheetName val="天井玻璃幕墙(电梯处_两侧)15"/>
      <sheetName val="Customize_Your_Invoice15"/>
      <sheetName val="PROJECT_BRIEF(EX_NEW)15"/>
      <sheetName val="Gia_vat_tu15"/>
      <sheetName val="Raw_Data15"/>
      <sheetName val="PROJECT_BRIEF15"/>
      <sheetName val="Glass_Type10"/>
      <sheetName val="Site,_Conc_&amp;_Thermal_Fdn_Lvl10"/>
      <sheetName val="Conc_Works_B3_-_T0410"/>
      <sheetName val="Conc_Works_T05_-_T1410"/>
      <sheetName val="Metal_Works10"/>
      <sheetName val="Conc_Works_B3_-_T04_(ok)10"/>
      <sheetName val="Plaster_B3-T6610"/>
      <sheetName val="BMU_(PS)10"/>
      <sheetName val="Strl_Steel_(PS)10"/>
      <sheetName val="Strl_Steel10"/>
      <sheetName val="SHORT_LIST8"/>
      <sheetName val="Rate_Analysis8"/>
      <sheetName val="MAIN_Labour-Staff5"/>
      <sheetName val="Material_List_5"/>
      <sheetName val="Room_Matrix5"/>
      <sheetName val="PB-_1,3,55"/>
      <sheetName val="PB_-_2,45"/>
      <sheetName val="PB_-65"/>
      <sheetName val="RB_-_45"/>
      <sheetName val="RB_-_OR5"/>
      <sheetName val="RB_-_UR5"/>
      <sheetName val="????_???_??10"/>
      <sheetName val="F_-_Woodwork5"/>
      <sheetName val="Day_work5"/>
      <sheetName val="Status_List5"/>
      <sheetName val="___________5"/>
      <sheetName val="SPT_vs_PHI5"/>
      <sheetName val="Panels_(DWG)5"/>
      <sheetName val="0_0_Reference5"/>
      <sheetName val="Labor_abs-NMR5"/>
      <sheetName val="cover_page4"/>
      <sheetName val="입찰내역_발주처_양식19"/>
      <sheetName val="입찰내역_발주처_제출용18"/>
      <sheetName val="입찰내역_내부용18"/>
      <sheetName val="직접공사비_본사용18"/>
      <sheetName val="공통가설_(R1)18"/>
      <sheetName val="현장기구조직표_18"/>
      <sheetName val="BOQ-Rev_317"/>
      <sheetName val="Cost_Summary17"/>
      <sheetName val="Site_Expenses17"/>
      <sheetName val="标准层玻璃幕墙3700_(350)17"/>
      <sheetName val="标准层玻璃幕墙4500_(350)17"/>
      <sheetName val="西南面包梁（1400x350）_17"/>
      <sheetName val="天井玻璃幕墙(电梯处_两侧)17"/>
      <sheetName val="Customize_Your_Invoice17"/>
      <sheetName val="PROJECT_BRIEF(EX_NEW)17"/>
      <sheetName val="Gia_vat_tu17"/>
      <sheetName val="Raw_Data17"/>
      <sheetName val="PROJECT_BRIEF17"/>
      <sheetName val="Glass_Type12"/>
      <sheetName val="Site,_Conc_&amp;_Thermal_Fdn_Lvl12"/>
      <sheetName val="Conc_Works_B3_-_T0412"/>
      <sheetName val="Conc_Works_T05_-_T1412"/>
      <sheetName val="Metal_Works12"/>
      <sheetName val="Conc_Works_B3_-_T04_(ok)12"/>
      <sheetName val="Plaster_B3-T6612"/>
      <sheetName val="BMU_(PS)12"/>
      <sheetName val="Strl_Steel_(PS)12"/>
      <sheetName val="Strl_Steel12"/>
      <sheetName val="SHORT_LIST10"/>
      <sheetName val="Rate_Analysis10"/>
      <sheetName val="MAIN_Labour-Staff7"/>
      <sheetName val="Material_List_7"/>
      <sheetName val="Room_Matrix7"/>
      <sheetName val="PB-_1,3,57"/>
      <sheetName val="PB_-_2,47"/>
      <sheetName val="PB_-67"/>
      <sheetName val="RB_-_47"/>
      <sheetName val="RB_-_OR7"/>
      <sheetName val="RB_-_UR7"/>
      <sheetName val="????_???_??12"/>
      <sheetName val="F_-_Woodwork7"/>
      <sheetName val="Day_work7"/>
      <sheetName val="Status_List7"/>
      <sheetName val="___________7"/>
      <sheetName val="SPT_vs_PHI7"/>
      <sheetName val="Panels_(DWG)7"/>
      <sheetName val="0_0_Reference7"/>
      <sheetName val="Labor_abs-NMR7"/>
      <sheetName val="cover_page6"/>
      <sheetName val="입찰내역_발주처_양식20"/>
      <sheetName val="입찰내역_발주처_제출용19"/>
      <sheetName val="입찰내역_내부용19"/>
      <sheetName val="직접공사비_본사용19"/>
      <sheetName val="공통가설_(R1)19"/>
      <sheetName val="현장기구조직표_19"/>
      <sheetName val="BOQ-Rev_318"/>
      <sheetName val="Cost_Summary18"/>
      <sheetName val="Site_Expenses18"/>
      <sheetName val="标准层玻璃幕墙3700_(350)18"/>
      <sheetName val="标准层玻璃幕墙4500_(350)18"/>
      <sheetName val="西南面包梁（1400x350）_18"/>
      <sheetName val="天井玻璃幕墙(电梯处_两侧)18"/>
      <sheetName val="Customize_Your_Invoice18"/>
      <sheetName val="PROJECT_BRIEF(EX_NEW)18"/>
      <sheetName val="Gia_vat_tu18"/>
      <sheetName val="Raw_Data18"/>
      <sheetName val="PROJECT_BRIEF18"/>
      <sheetName val="Glass_Type13"/>
      <sheetName val="Site,_Conc_&amp;_Thermal_Fdn_Lvl13"/>
      <sheetName val="Conc_Works_B3_-_T0413"/>
      <sheetName val="Conc_Works_T05_-_T1413"/>
      <sheetName val="Metal_Works13"/>
      <sheetName val="Conc_Works_B3_-_T04_(ok)13"/>
      <sheetName val="Plaster_B3-T6613"/>
      <sheetName val="BMU_(PS)13"/>
      <sheetName val="Strl_Steel_(PS)13"/>
      <sheetName val="Strl_Steel13"/>
      <sheetName val="SHORT_LIST11"/>
      <sheetName val="Rate_Analysis11"/>
      <sheetName val="MAIN_Labour-Staff8"/>
      <sheetName val="Material_List_8"/>
      <sheetName val="Room_Matrix8"/>
      <sheetName val="PB-_1,3,58"/>
      <sheetName val="PB_-_2,48"/>
      <sheetName val="PB_-68"/>
      <sheetName val="RB_-_48"/>
      <sheetName val="RB_-_OR8"/>
      <sheetName val="RB_-_UR8"/>
      <sheetName val="????_???_??13"/>
      <sheetName val="F_-_Woodwork8"/>
      <sheetName val="Day_work8"/>
      <sheetName val="Status_List8"/>
      <sheetName val="___________8"/>
      <sheetName val="SPT_vs_PHI8"/>
      <sheetName val="Panels_(DWG)8"/>
      <sheetName val="0_0_Reference8"/>
      <sheetName val="Labor_abs-NMR8"/>
      <sheetName val="cover_page7"/>
      <sheetName val="입찰내역_발주처_양식21"/>
      <sheetName val="입찰내역_발주처_제출용20"/>
      <sheetName val="입찰내역_내부용20"/>
      <sheetName val="직접공사비_본사용20"/>
      <sheetName val="공통가설_(R1)20"/>
      <sheetName val="현장기구조직표_20"/>
      <sheetName val="BOQ-Rev_319"/>
      <sheetName val="Cost_Summary19"/>
      <sheetName val="Site_Expenses19"/>
      <sheetName val="标准层玻璃幕墙3700_(350)19"/>
      <sheetName val="标准层玻璃幕墙4500_(350)19"/>
      <sheetName val="西南面包梁（1400x350）_19"/>
      <sheetName val="天井玻璃幕墙(电梯处_两侧)19"/>
      <sheetName val="Customize_Your_Invoice19"/>
      <sheetName val="PROJECT_BRIEF(EX_NEW)19"/>
      <sheetName val="Gia_vat_tu19"/>
      <sheetName val="Raw_Data19"/>
      <sheetName val="PROJECT_BRIEF19"/>
      <sheetName val="Glass_Type14"/>
      <sheetName val="Site,_Conc_&amp;_Thermal_Fdn_Lvl14"/>
      <sheetName val="Conc_Works_B3_-_T0414"/>
      <sheetName val="Conc_Works_T05_-_T1414"/>
      <sheetName val="Metal_Works14"/>
      <sheetName val="Conc_Works_B3_-_T04_(ok)14"/>
      <sheetName val="Plaster_B3-T6614"/>
      <sheetName val="BMU_(PS)14"/>
      <sheetName val="Strl_Steel_(PS)14"/>
      <sheetName val="Strl_Steel14"/>
      <sheetName val="SHORT_LIST12"/>
      <sheetName val="Rate_Analysis12"/>
      <sheetName val="MAIN_Labour-Staff9"/>
      <sheetName val="Material_List_9"/>
      <sheetName val="Room_Matrix9"/>
      <sheetName val="PB-_1,3,59"/>
      <sheetName val="PB_-_2,49"/>
      <sheetName val="PB_-69"/>
      <sheetName val="RB_-_49"/>
      <sheetName val="RB_-_OR9"/>
      <sheetName val="RB_-_UR9"/>
      <sheetName val="????_???_??14"/>
      <sheetName val="F_-_Woodwork9"/>
      <sheetName val="Day_work9"/>
      <sheetName val="Status_List9"/>
      <sheetName val="___________9"/>
      <sheetName val="SPT_vs_PHI9"/>
      <sheetName val="Panels_(DWG)9"/>
      <sheetName val="0_0_Reference9"/>
      <sheetName val="Labor_abs-NMR9"/>
      <sheetName val="cover_page8"/>
      <sheetName val="입찰내역_발주처_양식22"/>
      <sheetName val="입찰내역_발주처_제출용21"/>
      <sheetName val="입찰내역_내부용21"/>
      <sheetName val="직접공사비_본사용21"/>
      <sheetName val="공통가설_(R1)21"/>
      <sheetName val="현장기구조직표_21"/>
      <sheetName val="BOQ-Rev_320"/>
      <sheetName val="Cost_Summary20"/>
      <sheetName val="Site_Expenses20"/>
      <sheetName val="标准层玻璃幕墙3700_(350)20"/>
      <sheetName val="标准层玻璃幕墙4500_(350)20"/>
      <sheetName val="西南面包梁（1400x350）_20"/>
      <sheetName val="天井玻璃幕墙(电梯处_两侧)20"/>
      <sheetName val="Customize_Your_Invoice20"/>
      <sheetName val="PROJECT_BRIEF(EX_NEW)20"/>
      <sheetName val="Gia_vat_tu20"/>
      <sheetName val="Raw_Data20"/>
      <sheetName val="PROJECT_BRIEF20"/>
      <sheetName val="Glass_Type15"/>
      <sheetName val="Site,_Conc_&amp;_Thermal_Fdn_Lvl15"/>
      <sheetName val="Conc_Works_B3_-_T0415"/>
      <sheetName val="Conc_Works_T05_-_T1415"/>
      <sheetName val="Metal_Works15"/>
      <sheetName val="Conc_Works_B3_-_T04_(ok)15"/>
      <sheetName val="Plaster_B3-T6615"/>
      <sheetName val="BMU_(PS)15"/>
      <sheetName val="Strl_Steel_(PS)15"/>
      <sheetName val="Strl_Steel15"/>
      <sheetName val="SHORT_LIST13"/>
      <sheetName val="Rate_Analysis13"/>
      <sheetName val="MAIN_Labour-Staff10"/>
      <sheetName val="Material_List_10"/>
      <sheetName val="Room_Matrix10"/>
      <sheetName val="PB-_1,3,510"/>
      <sheetName val="PB_-_2,410"/>
      <sheetName val="PB_-610"/>
      <sheetName val="RB_-_410"/>
      <sheetName val="RB_-_OR10"/>
      <sheetName val="RB_-_UR10"/>
      <sheetName val="????_???_??15"/>
      <sheetName val="F_-_Woodwork10"/>
      <sheetName val="Day_work10"/>
      <sheetName val="Status_List10"/>
      <sheetName val="___________10"/>
      <sheetName val="SPT_vs_PHI10"/>
      <sheetName val="Panels_(DWG)10"/>
      <sheetName val="0_0_Reference10"/>
      <sheetName val="Labor_abs-NMR10"/>
      <sheetName val="cover_page9"/>
      <sheetName val="입찰내역_발주처_양식23"/>
      <sheetName val="입찰내역_발주처_제출용22"/>
      <sheetName val="입찰내역_내부용22"/>
      <sheetName val="직접공사비_본사용22"/>
      <sheetName val="공통가설_(R1)22"/>
      <sheetName val="현장기구조직표_22"/>
      <sheetName val="BOQ-Rev_321"/>
      <sheetName val="Cost_Summary21"/>
      <sheetName val="Site_Expenses21"/>
      <sheetName val="标准层玻璃幕墙3700_(350)21"/>
      <sheetName val="标准层玻璃幕墙4500_(350)21"/>
      <sheetName val="西南面包梁（1400x350）_21"/>
      <sheetName val="天井玻璃幕墙(电梯处_两侧)21"/>
      <sheetName val="Customize_Your_Invoice21"/>
      <sheetName val="PROJECT_BRIEF(EX_NEW)21"/>
      <sheetName val="Gia_vat_tu21"/>
      <sheetName val="Raw_Data21"/>
      <sheetName val="PROJECT_BRIEF21"/>
      <sheetName val="Glass_Type16"/>
      <sheetName val="Site,_Conc_&amp;_Thermal_Fdn_Lvl16"/>
      <sheetName val="Conc_Works_B3_-_T0416"/>
      <sheetName val="Conc_Works_T05_-_T1416"/>
      <sheetName val="Metal_Works16"/>
      <sheetName val="Conc_Works_B3_-_T04_(ok)16"/>
      <sheetName val="Plaster_B3-T6616"/>
      <sheetName val="BMU_(PS)16"/>
      <sheetName val="Strl_Steel_(PS)16"/>
      <sheetName val="Strl_Steel16"/>
      <sheetName val="SHORT_LIST14"/>
      <sheetName val="Rate_Analysis14"/>
      <sheetName val="MAIN_Labour-Staff11"/>
      <sheetName val="Material_List_11"/>
      <sheetName val="Room_Matrix11"/>
      <sheetName val="PB-_1,3,511"/>
      <sheetName val="PB_-_2,411"/>
      <sheetName val="PB_-611"/>
      <sheetName val="RB_-_411"/>
      <sheetName val="RB_-_OR11"/>
      <sheetName val="RB_-_UR11"/>
      <sheetName val="????_???_??16"/>
      <sheetName val="F_-_Woodwork11"/>
      <sheetName val="Chiet_tinh_dz2211"/>
      <sheetName val="Day_work11"/>
      <sheetName val="Status_List11"/>
      <sheetName val="___________11"/>
      <sheetName val="SPT_vs_PHI11"/>
      <sheetName val="Panels_(DWG)11"/>
      <sheetName val="0_0_Reference11"/>
      <sheetName val="Labor_abs-NMR11"/>
      <sheetName val="cover_page10"/>
      <sheetName val="입찰내역_발주처_양식31"/>
      <sheetName val="입찰내역_발주처_제출용30"/>
      <sheetName val="입찰내역_내부용30"/>
      <sheetName val="직접공사비_본사용30"/>
      <sheetName val="공통가설_(R1)30"/>
      <sheetName val="현장기구조직표_30"/>
      <sheetName val="BOQ-Rev_329"/>
      <sheetName val="Cost_Summary29"/>
      <sheetName val="Site_Expenses29"/>
      <sheetName val="标准层玻璃幕墙3700_(350)29"/>
      <sheetName val="标准层玻璃幕墙4500_(350)29"/>
      <sheetName val="西南面包梁（1400x350）_29"/>
      <sheetName val="天井玻璃幕墙(电梯处_两侧)29"/>
      <sheetName val="Customize_Your_Invoice29"/>
      <sheetName val="PROJECT_BRIEF(EX_NEW)29"/>
      <sheetName val="Gia_vat_tu29"/>
      <sheetName val="Raw_Data29"/>
      <sheetName val="PROJECT_BRIEF29"/>
      <sheetName val="Glass_Type24"/>
      <sheetName val="Site,_Conc_&amp;_Thermal_Fdn_Lvl24"/>
      <sheetName val="Conc_Works_B3_-_T0424"/>
      <sheetName val="Conc_Works_T05_-_T1424"/>
      <sheetName val="Metal_Works24"/>
      <sheetName val="Conc_Works_B3_-_T04_(ok)24"/>
      <sheetName val="Plaster_B3-T6624"/>
      <sheetName val="BMU_(PS)24"/>
      <sheetName val="Strl_Steel_(PS)24"/>
      <sheetName val="Strl_Steel24"/>
      <sheetName val="SHORT_LIST22"/>
      <sheetName val="Rate_Analysis22"/>
      <sheetName val="MAIN_Labour-Staff19"/>
      <sheetName val="Material_List_19"/>
      <sheetName val="Room_Matrix19"/>
      <sheetName val="PB-_1,3,519"/>
      <sheetName val="PB_-_2,419"/>
      <sheetName val="PB_-619"/>
      <sheetName val="RB_-_419"/>
      <sheetName val="RB_-_OR19"/>
      <sheetName val="RB_-_UR19"/>
      <sheetName val="????_???_??24"/>
      <sheetName val="F_-_Woodwork19"/>
      <sheetName val="Chiet_tinh_dz2219"/>
      <sheetName val="Day_work19"/>
      <sheetName val="Status_List19"/>
      <sheetName val="___________19"/>
      <sheetName val="SPT_vs_PHI19"/>
      <sheetName val="Panels_(DWG)19"/>
      <sheetName val="0_0_Reference19"/>
      <sheetName val="Labor_abs-NMR19"/>
      <sheetName val="cover_page18"/>
      <sheetName val="DVM_Sizing_Calculator-_10_ips_7"/>
      <sheetName val="Data_Ref7"/>
      <sheetName val="Gen_Req_7"/>
      <sheetName val="LPO_Register7"/>
      <sheetName val="입찰내역_발주처_양식27"/>
      <sheetName val="입찰내역_발주처_제출용26"/>
      <sheetName val="입찰내역_내부용26"/>
      <sheetName val="직접공사비_본사용26"/>
      <sheetName val="공통가설_(R1)26"/>
      <sheetName val="현장기구조직표_26"/>
      <sheetName val="BOQ-Rev_325"/>
      <sheetName val="Cost_Summary25"/>
      <sheetName val="Site_Expenses25"/>
      <sheetName val="标准层玻璃幕墙3700_(350)25"/>
      <sheetName val="标准层玻璃幕墙4500_(350)25"/>
      <sheetName val="西南面包梁（1400x350）_25"/>
      <sheetName val="天井玻璃幕墙(电梯处_两侧)25"/>
      <sheetName val="Customize_Your_Invoice25"/>
      <sheetName val="PROJECT_BRIEF(EX_NEW)25"/>
      <sheetName val="Gia_vat_tu25"/>
      <sheetName val="Raw_Data25"/>
      <sheetName val="PROJECT_BRIEF25"/>
      <sheetName val="Glass_Type20"/>
      <sheetName val="Site,_Conc_&amp;_Thermal_Fdn_Lvl20"/>
      <sheetName val="Conc_Works_B3_-_T0420"/>
      <sheetName val="Conc_Works_T05_-_T1420"/>
      <sheetName val="Metal_Works20"/>
      <sheetName val="Conc_Works_B3_-_T04_(ok)20"/>
      <sheetName val="Plaster_B3-T6620"/>
      <sheetName val="BMU_(PS)20"/>
      <sheetName val="Strl_Steel_(PS)20"/>
      <sheetName val="Strl_Steel20"/>
      <sheetName val="SHORT_LIST18"/>
      <sheetName val="Rate_Analysis18"/>
      <sheetName val="MAIN_Labour-Staff15"/>
      <sheetName val="Material_List_15"/>
      <sheetName val="Room_Matrix15"/>
      <sheetName val="PB-_1,3,515"/>
      <sheetName val="PB_-_2,415"/>
      <sheetName val="PB_-615"/>
      <sheetName val="RB_-_415"/>
      <sheetName val="RB_-_OR15"/>
      <sheetName val="RB_-_UR15"/>
      <sheetName val="????_???_??20"/>
      <sheetName val="F_-_Woodwork15"/>
      <sheetName val="Chiet_tinh_dz2215"/>
      <sheetName val="Day_work15"/>
      <sheetName val="Status_List15"/>
      <sheetName val="___________15"/>
      <sheetName val="SPT_vs_PHI15"/>
      <sheetName val="Panels_(DWG)15"/>
      <sheetName val="0_0_Reference15"/>
      <sheetName val="Labor_abs-NMR15"/>
      <sheetName val="cover_page14"/>
      <sheetName val="DVM_Sizing_Calculator-_10_ips_3"/>
      <sheetName val="Data_Ref3"/>
      <sheetName val="Gen_Req_3"/>
      <sheetName val="LPO_Register3"/>
      <sheetName val="입찰내역_발주처_양식24"/>
      <sheetName val="입찰내역_발주처_제출용23"/>
      <sheetName val="입찰내역_내부용23"/>
      <sheetName val="직접공사비_본사용23"/>
      <sheetName val="공통가설_(R1)23"/>
      <sheetName val="현장기구조직표_23"/>
      <sheetName val="BOQ-Rev_322"/>
      <sheetName val="Cost_Summary22"/>
      <sheetName val="Site_Expenses22"/>
      <sheetName val="标准层玻璃幕墙3700_(350)22"/>
      <sheetName val="标准层玻璃幕墙4500_(350)22"/>
      <sheetName val="西南面包梁（1400x350）_22"/>
      <sheetName val="天井玻璃幕墙(电梯处_两侧)22"/>
      <sheetName val="Customize_Your_Invoice22"/>
      <sheetName val="PROJECT_BRIEF(EX_NEW)22"/>
      <sheetName val="Gia_vat_tu22"/>
      <sheetName val="Raw_Data22"/>
      <sheetName val="PROJECT_BRIEF22"/>
      <sheetName val="Glass_Type17"/>
      <sheetName val="Site,_Conc_&amp;_Thermal_Fdn_Lvl17"/>
      <sheetName val="Conc_Works_B3_-_T0417"/>
      <sheetName val="Conc_Works_T05_-_T1417"/>
      <sheetName val="Metal_Works17"/>
      <sheetName val="Conc_Works_B3_-_T04_(ok)17"/>
      <sheetName val="Plaster_B3-T6617"/>
      <sheetName val="BMU_(PS)17"/>
      <sheetName val="Strl_Steel_(PS)17"/>
      <sheetName val="Strl_Steel17"/>
      <sheetName val="SHORT_LIST15"/>
      <sheetName val="Rate_Analysis15"/>
      <sheetName val="MAIN_Labour-Staff12"/>
      <sheetName val="Material_List_12"/>
      <sheetName val="Room_Matrix12"/>
      <sheetName val="PB-_1,3,512"/>
      <sheetName val="PB_-_2,412"/>
      <sheetName val="PB_-612"/>
      <sheetName val="RB_-_412"/>
      <sheetName val="RB_-_OR12"/>
      <sheetName val="RB_-_UR12"/>
      <sheetName val="????_???_??17"/>
      <sheetName val="F_-_Woodwork12"/>
      <sheetName val="Chiet_tinh_dz2212"/>
      <sheetName val="Day_work12"/>
      <sheetName val="Status_List12"/>
      <sheetName val="___________12"/>
      <sheetName val="SPT_vs_PHI12"/>
      <sheetName val="Panels_(DWG)12"/>
      <sheetName val="0_0_Reference12"/>
      <sheetName val="Labor_abs-NMR12"/>
      <sheetName val="cover_page11"/>
      <sheetName val="Data_Ref"/>
      <sheetName val="LPO_Register"/>
      <sheetName val="입찰내역_발주처_양식25"/>
      <sheetName val="입찰내역_발주처_제출용24"/>
      <sheetName val="입찰내역_내부용24"/>
      <sheetName val="직접공사비_본사용24"/>
      <sheetName val="공통가설_(R1)24"/>
      <sheetName val="현장기구조직표_24"/>
      <sheetName val="BOQ-Rev_323"/>
      <sheetName val="Cost_Summary23"/>
      <sheetName val="Site_Expenses23"/>
      <sheetName val="标准层玻璃幕墙3700_(350)23"/>
      <sheetName val="标准层玻璃幕墙4500_(350)23"/>
      <sheetName val="西南面包梁（1400x350）_23"/>
      <sheetName val="天井玻璃幕墙(电梯处_两侧)23"/>
      <sheetName val="Customize_Your_Invoice23"/>
      <sheetName val="PROJECT_BRIEF(EX_NEW)23"/>
      <sheetName val="Gia_vat_tu23"/>
      <sheetName val="Raw_Data23"/>
      <sheetName val="PROJECT_BRIEF23"/>
      <sheetName val="Glass_Type18"/>
      <sheetName val="Site,_Conc_&amp;_Thermal_Fdn_Lvl18"/>
      <sheetName val="Conc_Works_B3_-_T0418"/>
      <sheetName val="Conc_Works_T05_-_T1418"/>
      <sheetName val="Metal_Works18"/>
      <sheetName val="Conc_Works_B3_-_T04_(ok)18"/>
      <sheetName val="Plaster_B3-T6618"/>
      <sheetName val="BMU_(PS)18"/>
      <sheetName val="Strl_Steel_(PS)18"/>
      <sheetName val="Strl_Steel18"/>
      <sheetName val="SHORT_LIST16"/>
      <sheetName val="Rate_Analysis16"/>
      <sheetName val="MAIN_Labour-Staff13"/>
      <sheetName val="Material_List_13"/>
      <sheetName val="Room_Matrix13"/>
      <sheetName val="PB-_1,3,513"/>
      <sheetName val="PB_-_2,413"/>
      <sheetName val="PB_-613"/>
      <sheetName val="RB_-_413"/>
      <sheetName val="RB_-_OR13"/>
      <sheetName val="RB_-_UR13"/>
      <sheetName val="????_???_??18"/>
      <sheetName val="F_-_Woodwork13"/>
      <sheetName val="Chiet_tinh_dz2213"/>
      <sheetName val="Day_work13"/>
      <sheetName val="Status_List13"/>
      <sheetName val="___________13"/>
      <sheetName val="SPT_vs_PHI13"/>
      <sheetName val="Panels_(DWG)13"/>
      <sheetName val="0_0_Reference13"/>
      <sheetName val="Labor_abs-NMR13"/>
      <sheetName val="cover_page12"/>
      <sheetName val="DVM_Sizing_Calculator-_10_ips_1"/>
      <sheetName val="Data_Ref1"/>
      <sheetName val="Gen_Req_1"/>
      <sheetName val="LPO_Register1"/>
      <sheetName val="입찰내역_발주처_양식26"/>
      <sheetName val="입찰내역_발주처_제출용25"/>
      <sheetName val="입찰내역_내부용25"/>
      <sheetName val="직접공사비_본사용25"/>
      <sheetName val="공통가설_(R1)25"/>
      <sheetName val="현장기구조직표_25"/>
      <sheetName val="BOQ-Rev_324"/>
      <sheetName val="Cost_Summary24"/>
      <sheetName val="Site_Expenses24"/>
      <sheetName val="标准层玻璃幕墙3700_(350)24"/>
      <sheetName val="标准层玻璃幕墙4500_(350)24"/>
      <sheetName val="西南面包梁（1400x350）_24"/>
      <sheetName val="天井玻璃幕墙(电梯处_两侧)24"/>
      <sheetName val="Customize_Your_Invoice24"/>
      <sheetName val="PROJECT_BRIEF(EX_NEW)24"/>
      <sheetName val="Gia_vat_tu24"/>
      <sheetName val="Raw_Data24"/>
      <sheetName val="PROJECT_BRIEF24"/>
      <sheetName val="Glass_Type19"/>
      <sheetName val="Site,_Conc_&amp;_Thermal_Fdn_Lvl19"/>
      <sheetName val="Conc_Works_B3_-_T0419"/>
      <sheetName val="Conc_Works_T05_-_T1419"/>
      <sheetName val="Metal_Works19"/>
      <sheetName val="Conc_Works_B3_-_T04_(ok)19"/>
      <sheetName val="Plaster_B3-T6619"/>
      <sheetName val="BMU_(PS)19"/>
      <sheetName val="Strl_Steel_(PS)19"/>
      <sheetName val="Strl_Steel19"/>
      <sheetName val="SHORT_LIST17"/>
      <sheetName val="Rate_Analysis17"/>
      <sheetName val="MAIN_Labour-Staff14"/>
      <sheetName val="Material_List_14"/>
      <sheetName val="Room_Matrix14"/>
      <sheetName val="PB-_1,3,514"/>
      <sheetName val="PB_-_2,414"/>
      <sheetName val="PB_-614"/>
      <sheetName val="RB_-_414"/>
      <sheetName val="RB_-_OR14"/>
      <sheetName val="RB_-_UR14"/>
      <sheetName val="????_???_??19"/>
      <sheetName val="F_-_Woodwork14"/>
      <sheetName val="Chiet_tinh_dz2214"/>
      <sheetName val="Day_work14"/>
      <sheetName val="Status_List14"/>
      <sheetName val="___________14"/>
      <sheetName val="SPT_vs_PHI14"/>
      <sheetName val="Panels_(DWG)14"/>
      <sheetName val="0_0_Reference14"/>
      <sheetName val="Labor_abs-NMR14"/>
      <sheetName val="cover_page13"/>
      <sheetName val="DVM_Sizing_Calculator-_10_ips_2"/>
      <sheetName val="Data_Ref2"/>
      <sheetName val="Gen_Req_2"/>
      <sheetName val="LPO_Register2"/>
      <sheetName val="입찰내역_발주처_양식30"/>
      <sheetName val="입찰내역_발주처_제출용29"/>
      <sheetName val="입찰내역_내부용29"/>
      <sheetName val="직접공사비_본사용29"/>
      <sheetName val="공통가설_(R1)29"/>
      <sheetName val="현장기구조직표_29"/>
      <sheetName val="BOQ-Rev_328"/>
      <sheetName val="Cost_Summary28"/>
      <sheetName val="Site_Expenses28"/>
      <sheetName val="标准层玻璃幕墙3700_(350)28"/>
      <sheetName val="标准层玻璃幕墙4500_(350)28"/>
      <sheetName val="西南面包梁（1400x350）_28"/>
      <sheetName val="天井玻璃幕墙(电梯处_两侧)28"/>
      <sheetName val="Customize_Your_Invoice28"/>
      <sheetName val="PROJECT_BRIEF(EX_NEW)28"/>
      <sheetName val="Gia_vat_tu28"/>
      <sheetName val="Raw_Data28"/>
      <sheetName val="PROJECT_BRIEF28"/>
      <sheetName val="Glass_Type23"/>
      <sheetName val="Site,_Conc_&amp;_Thermal_Fdn_Lvl23"/>
      <sheetName val="Conc_Works_B3_-_T0423"/>
      <sheetName val="Conc_Works_T05_-_T1423"/>
      <sheetName val="Metal_Works23"/>
      <sheetName val="Conc_Works_B3_-_T04_(ok)23"/>
      <sheetName val="Plaster_B3-T6623"/>
      <sheetName val="BMU_(PS)23"/>
      <sheetName val="Strl_Steel_(PS)23"/>
      <sheetName val="Strl_Steel23"/>
      <sheetName val="SHORT_LIST21"/>
      <sheetName val="Rate_Analysis21"/>
      <sheetName val="MAIN_Labour-Staff18"/>
      <sheetName val="Material_List_18"/>
      <sheetName val="Room_Matrix18"/>
      <sheetName val="PB-_1,3,518"/>
      <sheetName val="PB_-_2,418"/>
      <sheetName val="PB_-618"/>
      <sheetName val="RB_-_418"/>
      <sheetName val="RB_-_OR18"/>
      <sheetName val="RB_-_UR18"/>
      <sheetName val="????_???_??23"/>
      <sheetName val="F_-_Woodwork18"/>
      <sheetName val="Chiet_tinh_dz2218"/>
      <sheetName val="Day_work18"/>
      <sheetName val="Status_List18"/>
      <sheetName val="___________18"/>
      <sheetName val="SPT_vs_PHI18"/>
      <sheetName val="Panels_(DWG)18"/>
      <sheetName val="0_0_Reference18"/>
      <sheetName val="Labor_abs-NMR18"/>
      <sheetName val="cover_page17"/>
      <sheetName val="DVM_Sizing_Calculator-_10_ips_6"/>
      <sheetName val="Data_Ref6"/>
      <sheetName val="Gen_Req_6"/>
      <sheetName val="LPO_Register6"/>
      <sheetName val="입찰내역_발주처_양식28"/>
      <sheetName val="입찰내역_발주처_제출용27"/>
      <sheetName val="입찰내역_내부용27"/>
      <sheetName val="직접공사비_본사용27"/>
      <sheetName val="공통가설_(R1)27"/>
      <sheetName val="현장기구조직표_27"/>
      <sheetName val="BOQ-Rev_326"/>
      <sheetName val="Cost_Summary26"/>
      <sheetName val="Site_Expenses26"/>
      <sheetName val="标准层玻璃幕墙3700_(350)26"/>
      <sheetName val="标准层玻璃幕墙4500_(350)26"/>
      <sheetName val="西南面包梁（1400x350）_26"/>
      <sheetName val="天井玻璃幕墙(电梯处_两侧)26"/>
      <sheetName val="Customize_Your_Invoice26"/>
      <sheetName val="PROJECT_BRIEF(EX_NEW)26"/>
      <sheetName val="Gia_vat_tu26"/>
      <sheetName val="Raw_Data26"/>
      <sheetName val="PROJECT_BRIEF26"/>
      <sheetName val="Glass_Type21"/>
      <sheetName val="Site,_Conc_&amp;_Thermal_Fdn_Lvl21"/>
      <sheetName val="Conc_Works_B3_-_T0421"/>
      <sheetName val="Conc_Works_T05_-_T1421"/>
      <sheetName val="Metal_Works21"/>
      <sheetName val="Conc_Works_B3_-_T04_(ok)21"/>
      <sheetName val="Plaster_B3-T6621"/>
      <sheetName val="BMU_(PS)21"/>
      <sheetName val="Strl_Steel_(PS)21"/>
      <sheetName val="Strl_Steel21"/>
      <sheetName val="SHORT_LIST19"/>
      <sheetName val="Rate_Analysis19"/>
      <sheetName val="MAIN_Labour-Staff16"/>
      <sheetName val="Material_List_16"/>
      <sheetName val="Room_Matrix16"/>
      <sheetName val="PB-_1,3,516"/>
      <sheetName val="PB_-_2,416"/>
      <sheetName val="PB_-616"/>
      <sheetName val="RB_-_416"/>
      <sheetName val="RB_-_OR16"/>
      <sheetName val="RB_-_UR16"/>
      <sheetName val="????_???_??21"/>
      <sheetName val="F_-_Woodwork16"/>
      <sheetName val="Chiet_tinh_dz2216"/>
      <sheetName val="Day_work16"/>
      <sheetName val="Status_List16"/>
      <sheetName val="___________16"/>
      <sheetName val="SPT_vs_PHI16"/>
      <sheetName val="Panels_(DWG)16"/>
      <sheetName val="0_0_Reference16"/>
      <sheetName val="Labor_abs-NMR16"/>
      <sheetName val="cover_page15"/>
      <sheetName val="DVM_Sizing_Calculator-_10_ips_4"/>
      <sheetName val="Data_Ref4"/>
      <sheetName val="Gen_Req_4"/>
      <sheetName val="LPO_Register4"/>
      <sheetName val="입찰내역_발주처_양식29"/>
      <sheetName val="입찰내역_발주처_제출용28"/>
      <sheetName val="입찰내역_내부용28"/>
      <sheetName val="직접공사비_본사용28"/>
      <sheetName val="공통가설_(R1)28"/>
      <sheetName val="현장기구조직표_28"/>
      <sheetName val="BOQ-Rev_327"/>
      <sheetName val="Cost_Summary27"/>
      <sheetName val="Site_Expenses27"/>
      <sheetName val="标准层玻璃幕墙3700_(350)27"/>
      <sheetName val="标准层玻璃幕墙4500_(350)27"/>
      <sheetName val="西南面包梁（1400x350）_27"/>
      <sheetName val="天井玻璃幕墙(电梯处_两侧)27"/>
      <sheetName val="Customize_Your_Invoice27"/>
      <sheetName val="PROJECT_BRIEF(EX_NEW)27"/>
      <sheetName val="Gia_vat_tu27"/>
      <sheetName val="Raw_Data27"/>
      <sheetName val="PROJECT_BRIEF27"/>
      <sheetName val="Glass_Type22"/>
      <sheetName val="Site,_Conc_&amp;_Thermal_Fdn_Lvl22"/>
      <sheetName val="Conc_Works_B3_-_T0422"/>
      <sheetName val="Conc_Works_T05_-_T1422"/>
      <sheetName val="Metal_Works22"/>
      <sheetName val="Conc_Works_B3_-_T04_(ok)22"/>
      <sheetName val="Plaster_B3-T6622"/>
      <sheetName val="BMU_(PS)22"/>
      <sheetName val="Strl_Steel_(PS)22"/>
      <sheetName val="Strl_Steel22"/>
      <sheetName val="SHORT_LIST20"/>
      <sheetName val="Rate_Analysis20"/>
      <sheetName val="MAIN_Labour-Staff17"/>
      <sheetName val="Material_List_17"/>
      <sheetName val="Room_Matrix17"/>
      <sheetName val="PB-_1,3,517"/>
      <sheetName val="PB_-_2,417"/>
      <sheetName val="PB_-617"/>
      <sheetName val="RB_-_417"/>
      <sheetName val="RB_-_OR17"/>
      <sheetName val="RB_-_UR17"/>
      <sheetName val="????_???_??22"/>
      <sheetName val="F_-_Woodwork17"/>
      <sheetName val="Chiet_tinh_dz2217"/>
      <sheetName val="Day_work17"/>
      <sheetName val="Status_List17"/>
      <sheetName val="___________17"/>
      <sheetName val="SPT_vs_PHI17"/>
      <sheetName val="Panels_(DWG)17"/>
      <sheetName val="0_0_Reference17"/>
      <sheetName val="Labor_abs-NMR17"/>
      <sheetName val="cover_page16"/>
      <sheetName val="DVM_Sizing_Calculator-_10_ips_5"/>
      <sheetName val="Data_Ref5"/>
      <sheetName val="Gen_Req_5"/>
      <sheetName val="LPO_Register5"/>
      <sheetName val="입찰내역_발주처_양식32"/>
      <sheetName val="입찰내역_발주처_제출용31"/>
      <sheetName val="입찰내역_내부용31"/>
      <sheetName val="직접공사비_본사용31"/>
      <sheetName val="공통가설_(R1)31"/>
      <sheetName val="현장기구조직표_31"/>
      <sheetName val="BOQ-Rev_330"/>
      <sheetName val="Cost_Summary30"/>
      <sheetName val="Site_Expenses30"/>
      <sheetName val="标准层玻璃幕墙3700_(350)30"/>
      <sheetName val="标准层玻璃幕墙4500_(350)30"/>
      <sheetName val="西南面包梁（1400x350）_30"/>
      <sheetName val="天井玻璃幕墙(电梯处_两侧)30"/>
      <sheetName val="Customize_Your_Invoice30"/>
      <sheetName val="PROJECT_BRIEF(EX_NEW)30"/>
      <sheetName val="Gia_vat_tu30"/>
      <sheetName val="Raw_Data30"/>
      <sheetName val="PROJECT_BRIEF30"/>
      <sheetName val="Glass_Type25"/>
      <sheetName val="Site,_Conc_&amp;_Thermal_Fdn_Lvl25"/>
      <sheetName val="Conc_Works_B3_-_T0425"/>
      <sheetName val="Conc_Works_T05_-_T1425"/>
      <sheetName val="Metal_Works25"/>
      <sheetName val="Conc_Works_B3_-_T04_(ok)25"/>
      <sheetName val="Plaster_B3-T6625"/>
      <sheetName val="BMU_(PS)25"/>
      <sheetName val="Strl_Steel_(PS)25"/>
      <sheetName val="Strl_Steel25"/>
      <sheetName val="SHORT_LIST23"/>
      <sheetName val="Rate_Analysis23"/>
      <sheetName val="MAIN_Labour-Staff20"/>
      <sheetName val="Material_List_20"/>
      <sheetName val="Room_Matrix20"/>
      <sheetName val="PB-_1,3,520"/>
      <sheetName val="PB_-_2,420"/>
      <sheetName val="PB_-620"/>
      <sheetName val="RB_-_420"/>
      <sheetName val="RB_-_OR20"/>
      <sheetName val="RB_-_UR20"/>
      <sheetName val="????_???_??25"/>
      <sheetName val="F_-_Woodwork20"/>
      <sheetName val="Chiet_tinh_dz2220"/>
      <sheetName val="Day_work20"/>
      <sheetName val="Status_List20"/>
      <sheetName val="___________20"/>
      <sheetName val="SPT_vs_PHI20"/>
      <sheetName val="Panels_(DWG)20"/>
      <sheetName val="0_0_Reference20"/>
      <sheetName val="Labor_abs-NMR20"/>
      <sheetName val="cover_page19"/>
      <sheetName val="DVM_Sizing_Calculator-_10_ips_8"/>
      <sheetName val="Data_Ref8"/>
      <sheetName val="Gen_Req_8"/>
      <sheetName val="LPO_Register8"/>
      <sheetName val="입찰내역_발주처_양식33"/>
      <sheetName val="입찰내역_발주처_제출용32"/>
      <sheetName val="입찰내역_내부용32"/>
      <sheetName val="직접공사비_본사용32"/>
      <sheetName val="공통가설_(R1)32"/>
      <sheetName val="현장기구조직표_32"/>
      <sheetName val="BOQ-Rev_331"/>
      <sheetName val="Cost_Summary31"/>
      <sheetName val="Site_Expenses31"/>
      <sheetName val="标准层玻璃幕墙3700_(350)31"/>
      <sheetName val="标准层玻璃幕墙4500_(350)31"/>
      <sheetName val="西南面包梁（1400x350）_31"/>
      <sheetName val="天井玻璃幕墙(电梯处_两侧)31"/>
      <sheetName val="Customize_Your_Invoice31"/>
      <sheetName val="PROJECT_BRIEF(EX_NEW)31"/>
      <sheetName val="Gia_vat_tu31"/>
      <sheetName val="Raw_Data31"/>
      <sheetName val="PROJECT_BRIEF31"/>
      <sheetName val="Glass_Type26"/>
      <sheetName val="Site,_Conc_&amp;_Thermal_Fdn_Lvl26"/>
      <sheetName val="Conc_Works_B3_-_T0426"/>
      <sheetName val="Conc_Works_T05_-_T1426"/>
      <sheetName val="Metal_Works26"/>
      <sheetName val="Conc_Works_B3_-_T04_(ok)26"/>
      <sheetName val="Plaster_B3-T6626"/>
      <sheetName val="BMU_(PS)26"/>
      <sheetName val="Strl_Steel_(PS)26"/>
      <sheetName val="Strl_Steel26"/>
      <sheetName val="SHORT_LIST24"/>
      <sheetName val="Rate_Analysis24"/>
      <sheetName val="MAIN_Labour-Staff21"/>
      <sheetName val="Material_List_21"/>
      <sheetName val="Room_Matrix21"/>
      <sheetName val="PB-_1,3,521"/>
      <sheetName val="PB_-_2,421"/>
      <sheetName val="PB_-621"/>
      <sheetName val="RB_-_421"/>
      <sheetName val="RB_-_OR21"/>
      <sheetName val="RB_-_UR21"/>
      <sheetName val="????_???_??26"/>
      <sheetName val="F_-_Woodwork21"/>
      <sheetName val="Chiet_tinh_dz2221"/>
      <sheetName val="Day_work21"/>
      <sheetName val="Status_List21"/>
      <sheetName val="___________21"/>
      <sheetName val="SPT_vs_PHI21"/>
      <sheetName val="Panels_(DWG)21"/>
      <sheetName val="0_0_Reference21"/>
      <sheetName val="Labor_abs-NMR21"/>
      <sheetName val="cover_page20"/>
      <sheetName val="DVM_Sizing_Calculator-_10_ips_9"/>
      <sheetName val="Data_Ref9"/>
      <sheetName val="Gen_Req_9"/>
      <sheetName val="LPO_Register9"/>
      <sheetName val="입찰내역_발주처_양식34"/>
      <sheetName val="입찰내역_발주처_제출용33"/>
      <sheetName val="입찰내역_내부용33"/>
      <sheetName val="직접공사비_본사용33"/>
      <sheetName val="공통가설_(R1)33"/>
      <sheetName val="현장기구조직표_33"/>
      <sheetName val="BOQ-Rev_332"/>
      <sheetName val="Cost_Summary32"/>
      <sheetName val="Site_Expenses32"/>
      <sheetName val="标准层玻璃幕墙3700_(350)32"/>
      <sheetName val="标准层玻璃幕墙4500_(350)32"/>
      <sheetName val="西南面包梁（1400x350）_32"/>
      <sheetName val="天井玻璃幕墙(电梯处_两侧)32"/>
      <sheetName val="Customize_Your_Invoice32"/>
      <sheetName val="PROJECT_BRIEF(EX_NEW)32"/>
      <sheetName val="Gia_vat_tu32"/>
      <sheetName val="Raw_Data32"/>
      <sheetName val="PROJECT_BRIEF32"/>
      <sheetName val="Glass_Type27"/>
      <sheetName val="Site,_Conc_&amp;_Thermal_Fdn_Lvl27"/>
      <sheetName val="Conc_Works_B3_-_T0427"/>
      <sheetName val="Conc_Works_T05_-_T1427"/>
      <sheetName val="Metal_Works27"/>
      <sheetName val="Conc_Works_B3_-_T04_(ok)27"/>
      <sheetName val="Plaster_B3-T6627"/>
      <sheetName val="BMU_(PS)27"/>
      <sheetName val="Strl_Steel_(PS)27"/>
      <sheetName val="Strl_Steel27"/>
      <sheetName val="SHORT_LIST25"/>
      <sheetName val="Rate_Analysis25"/>
      <sheetName val="MAIN_Labour-Staff22"/>
      <sheetName val="Material_List_22"/>
      <sheetName val="Room_Matrix22"/>
      <sheetName val="PB-_1,3,522"/>
      <sheetName val="PB_-_2,422"/>
      <sheetName val="PB_-622"/>
      <sheetName val="RB_-_422"/>
      <sheetName val="RB_-_OR22"/>
      <sheetName val="RB_-_UR22"/>
      <sheetName val="????_???_??27"/>
      <sheetName val="F_-_Woodwork22"/>
      <sheetName val="Chiet_tinh_dz2222"/>
      <sheetName val="Day_work22"/>
      <sheetName val="Status_List22"/>
      <sheetName val="___________22"/>
      <sheetName val="SPT_vs_PHI22"/>
      <sheetName val="Panels_(DWG)22"/>
      <sheetName val="0_0_Reference22"/>
      <sheetName val="Labor_abs-NMR22"/>
      <sheetName val="cover_page21"/>
      <sheetName val="DVM_Sizing_Calculator-_10_ips10"/>
      <sheetName val="Data_Ref10"/>
      <sheetName val="Gen_Req_10"/>
      <sheetName val="LPO_Register10"/>
      <sheetName val="_2"/>
      <sheetName val="Common_Data1"/>
      <sheetName val="COLUMN"/>
      <sheetName val="% prog figs -u5 and total"/>
      <sheetName val="Projects"/>
      <sheetName val="6.1.7 Grand Summary"/>
      <sheetName val="PriorityList"/>
      <sheetName val="ffup"/>
      <sheetName val="标准层玻璃幕墙耳㫚⤂"/>
      <sheetName val="총괄표 (2)"/>
      <sheetName val="S3 Architectural"/>
      <sheetName val="Sch. Areas"/>
      <sheetName val="토목"/>
      <sheetName val="SI"/>
      <sheetName val="Definitions"/>
      <sheetName val="SI Sheet"/>
      <sheetName val="BM1"/>
      <sheetName val="Summary by WU"/>
      <sheetName val="HB CEC schd 6.2"/>
      <sheetName val="Summary_status(M+N)"/>
      <sheetName val="XLR_NoRangeSheet"/>
      <sheetName val="Fixed"/>
      <sheetName val="Sheet2"/>
      <sheetName val="할증 "/>
      <sheetName val="Sheet5"/>
      <sheetName val="11"/>
      <sheetName val="PROJ__DATA1"/>
      <sheetName val="_Beams_Sched_1"/>
      <sheetName val="CIF_COST_ITEM"/>
      <sheetName val="Measure"/>
      <sheetName val="EEV(Prilim)"/>
      <sheetName val="COL-SCH"/>
      <sheetName val="CLS"/>
      <sheetName val="slide#25,32"/>
      <sheetName val="Summary-Villanova"/>
      <sheetName val="Combined SC and Supplier"/>
      <sheetName val="SC - details"/>
      <sheetName val="Supplier - details"/>
      <sheetName val="02 Oct Allocation"/>
      <sheetName val="Supplier (not used)"/>
      <sheetName val="Key Info"/>
      <sheetName val="W"/>
      <sheetName val="office"/>
      <sheetName val="Lab"/>
      <sheetName val="Qty take-off IFCplans "/>
      <sheetName val="RTO5BASEref001"/>
      <sheetName val="D"/>
      <sheetName val="Bldg"/>
      <sheetName val="final_abstract"/>
      <sheetName val="标准层玻璃幕墙耳㫚⤂鸀⁦栀"/>
      <sheetName val="intr_stool_brkup"/>
      <sheetName val="Data_sheet"/>
      <sheetName val="Sales_&amp;_Prod"/>
      <sheetName val="Key_Info"/>
      <sheetName val="beam-reinft-IIInd_floor"/>
      <sheetName val="HWDG"/>
      <sheetName val="PB"/>
      <sheetName val="입찰내역_발주처_양식35"/>
      <sheetName val="입찰내역_발주처_제출용34"/>
      <sheetName val="입찰내역_내부용34"/>
      <sheetName val="직접공사비_본사용34"/>
      <sheetName val="공통가설_(R1)34"/>
      <sheetName val="현장기구조직표_34"/>
      <sheetName val="BOQ-Rev_333"/>
      <sheetName val="Cost_Summary33"/>
      <sheetName val="Site_Expenses33"/>
      <sheetName val="标准层玻璃幕墙3700_(350)33"/>
      <sheetName val="标准层玻璃幕墙4500_(350)33"/>
      <sheetName val="西南面包梁（1400x350）_33"/>
      <sheetName val="天井玻璃幕墙(电梯处_两侧)33"/>
      <sheetName val="Customize_Your_Invoice33"/>
      <sheetName val="PROJECT_BRIEF(EX_NEW)33"/>
      <sheetName val="Gia_vat_tu33"/>
      <sheetName val="Raw_Data33"/>
      <sheetName val="PROJECT_BRIEF33"/>
      <sheetName val="Glass_Type28"/>
      <sheetName val="Site,_Conc_&amp;_Thermal_Fdn_Lvl28"/>
      <sheetName val="Conc_Works_B3_-_T0428"/>
      <sheetName val="Conc_Works_T05_-_T1428"/>
      <sheetName val="Metal_Works28"/>
      <sheetName val="Conc_Works_B3_-_T04_(ok)28"/>
      <sheetName val="Plaster_B3-T6628"/>
      <sheetName val="BMU_(PS)28"/>
      <sheetName val="Strl_Steel_(PS)28"/>
      <sheetName val="Strl_Steel28"/>
      <sheetName val="SHORT_LIST26"/>
      <sheetName val="Rate_Analysis26"/>
      <sheetName val="MAIN_Labour-Staff23"/>
      <sheetName val="Material_List_23"/>
      <sheetName val="Room_Matrix23"/>
      <sheetName val="PB-_1,3,523"/>
      <sheetName val="PB_-_2,423"/>
      <sheetName val="PB_-623"/>
      <sheetName val="RB_-_423"/>
      <sheetName val="RB_-_OR23"/>
      <sheetName val="RB_-_UR23"/>
      <sheetName val="????_???_??28"/>
      <sheetName val="F_-_Woodwork23"/>
      <sheetName val="Chiet_tinh_dz2223"/>
      <sheetName val="Day_work23"/>
      <sheetName val="Status_List23"/>
      <sheetName val="___________23"/>
      <sheetName val="SPT_vs_PHI23"/>
      <sheetName val="Panels_(DWG)23"/>
      <sheetName val="0_0_Reference23"/>
      <sheetName val="Labor_abs-NMR23"/>
      <sheetName val="cover_page22"/>
      <sheetName val="DVM_Sizing_Calculator-_10_ips11"/>
      <sheetName val="Data_Ref11"/>
      <sheetName val="Gen_Req_11"/>
      <sheetName val="LPO_Register11"/>
      <sheetName val="_3"/>
      <sheetName val="Common_Data2"/>
      <sheetName val="입찰내역_발주처_양식36"/>
      <sheetName val="입찰내역_발주처_제출용35"/>
      <sheetName val="입찰내역_내부용35"/>
      <sheetName val="직접공사비_본사용35"/>
      <sheetName val="공통가설_(R1)35"/>
      <sheetName val="현장기구조직표_35"/>
      <sheetName val="BOQ-Rev_334"/>
      <sheetName val="Cost_Summary34"/>
      <sheetName val="Site_Expenses34"/>
      <sheetName val="标准层玻璃幕墙3700_(350)34"/>
      <sheetName val="标准层玻璃幕墙4500_(350)34"/>
      <sheetName val="西南面包梁（1400x350）_34"/>
      <sheetName val="天井玻璃幕墙(电梯处_两侧)34"/>
      <sheetName val="Customize_Your_Invoice34"/>
      <sheetName val="PROJECT_BRIEF(EX_NEW)34"/>
      <sheetName val="Gia_vat_tu34"/>
      <sheetName val="Raw_Data34"/>
      <sheetName val="PROJECT_BRIEF34"/>
      <sheetName val="Glass_Type29"/>
      <sheetName val="Site,_Conc_&amp;_Thermal_Fdn_Lvl29"/>
      <sheetName val="Conc_Works_B3_-_T0429"/>
      <sheetName val="Conc_Works_T05_-_T1429"/>
      <sheetName val="Metal_Works29"/>
      <sheetName val="Conc_Works_B3_-_T04_(ok)29"/>
      <sheetName val="Plaster_B3-T6629"/>
      <sheetName val="BMU_(PS)29"/>
      <sheetName val="Strl_Steel_(PS)29"/>
      <sheetName val="Strl_Steel29"/>
      <sheetName val="SHORT_LIST27"/>
      <sheetName val="Rate_Analysis27"/>
      <sheetName val="MAIN_Labour-Staff24"/>
      <sheetName val="Material_List_24"/>
      <sheetName val="Room_Matrix24"/>
      <sheetName val="PB-_1,3,524"/>
      <sheetName val="PB_-_2,424"/>
      <sheetName val="PB_-624"/>
      <sheetName val="RB_-_424"/>
      <sheetName val="RB_-_OR24"/>
      <sheetName val="RB_-_UR24"/>
      <sheetName val="????_???_??29"/>
      <sheetName val="F_-_Woodwork24"/>
      <sheetName val="Chiet_tinh_dz2224"/>
      <sheetName val="Day_work24"/>
      <sheetName val="Status_List24"/>
      <sheetName val="___________24"/>
      <sheetName val="SPT_vs_PHI24"/>
      <sheetName val="Panels_(DWG)24"/>
      <sheetName val="0_0_Reference24"/>
      <sheetName val="Labor_abs-NMR24"/>
      <sheetName val="cover_page23"/>
      <sheetName val="DVM_Sizing_Calculator-_10_ips12"/>
      <sheetName val="Data_Ref12"/>
      <sheetName val="Gen_Req_12"/>
      <sheetName val="LPO_Register12"/>
      <sheetName val="_4"/>
      <sheetName val="Common_Data3"/>
      <sheetName val="w't_table1"/>
      <sheetName val="Main_Summary1"/>
      <sheetName val="공사비_내역_(가)1"/>
      <sheetName val="Debt_overview_(input)1"/>
      <sheetName val="except_wiring1"/>
      <sheetName val="MASTER_RATE_ANALYSIS1"/>
      <sheetName val="Project_Data_Guide1"/>
      <sheetName val="Dashboard_(1)1"/>
      <sheetName val="VO_Agreed_to_Unifier_Sum1"/>
      <sheetName val="VO_Not_yet_Agreed_to_Unifier1"/>
      <sheetName val="VO_Anticipated_to_Unifier1"/>
      <sheetName val="EW_to_Unifier1"/>
      <sheetName val="Prov_Sums1"/>
      <sheetName val="Other_Amounts1"/>
      <sheetName val="VO_Not_yet_Agreed1"/>
      <sheetName val="VO_Anticipated1"/>
      <sheetName val="final_abstract1"/>
      <sheetName val="Data_sheet1"/>
      <sheetName val="intr_stool_brkup1"/>
      <sheetName val="Progress As Per BOQ"/>
      <sheetName val="01-D.PERS"/>
      <sheetName val="※_드롭다운_목록"/>
      <sheetName val="cables"/>
      <sheetName val="Electrical Works"/>
      <sheetName val="1-G1"/>
      <sheetName val="New Rates"/>
      <sheetName val="Co-ef"/>
      <sheetName val="Structure_(2)2"/>
      <sheetName val="intr_stool_brkup2"/>
      <sheetName val="Pick_Lists"/>
      <sheetName val="드롭다운_목록"/>
      <sheetName val="DATA_LIST"/>
      <sheetName val="General_Schedule"/>
      <sheetName val="0_Master"/>
      <sheetName val="Cost_bd-&quot;A&quot;"/>
      <sheetName val="Fee_Rate_Summary"/>
      <sheetName val="Sum_BOQ_Items_CP1"/>
      <sheetName val="Basic_Conditions"/>
      <sheetName val="Bid_Cooperation"/>
      <sheetName val="Data_Validation"/>
      <sheetName val="방배동내역_(총괄)"/>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sheetData sheetId="154"/>
      <sheetData sheetId="155"/>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refreshError="1"/>
      <sheetData sheetId="339"/>
      <sheetData sheetId="340" refreshError="1"/>
      <sheetData sheetId="341" refreshError="1"/>
      <sheetData sheetId="342" refreshError="1"/>
      <sheetData sheetId="343"/>
      <sheetData sheetId="344"/>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refreshError="1"/>
      <sheetData sheetId="423" refreshError="1"/>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sheetData sheetId="466" refreshError="1"/>
      <sheetData sheetId="467" refreshError="1"/>
      <sheetData sheetId="468" refreshError="1"/>
      <sheetData sheetId="469" refreshError="1"/>
      <sheetData sheetId="470" refreshError="1"/>
      <sheetData sheetId="471" refreshError="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refreshError="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sheetData sheetId="549"/>
      <sheetData sheetId="550"/>
      <sheetData sheetId="551" refreshError="1"/>
      <sheetData sheetId="552" refreshError="1"/>
      <sheetData sheetId="553" refreshError="1"/>
      <sheetData sheetId="554" refreshError="1"/>
      <sheetData sheetId="555" refreshError="1"/>
      <sheetData sheetId="556" refreshError="1"/>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refreshError="1"/>
      <sheetData sheetId="589" refreshError="1"/>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sheetData sheetId="1781"/>
      <sheetData sheetId="1782"/>
      <sheetData sheetId="1783"/>
      <sheetData sheetId="1784"/>
      <sheetData sheetId="1785"/>
      <sheetData sheetId="1786"/>
      <sheetData sheetId="1787"/>
      <sheetData sheetId="1788"/>
      <sheetData sheetId="1789"/>
      <sheetData sheetId="1790"/>
      <sheetData sheetId="1791" refreshError="1"/>
      <sheetData sheetId="1792" refreshError="1"/>
      <sheetData sheetId="1793" refreshError="1"/>
      <sheetData sheetId="1794" refreshError="1"/>
      <sheetData sheetId="1795" refreshError="1"/>
      <sheetData sheetId="1796" refreshError="1"/>
      <sheetData sheetId="1797"/>
      <sheetData sheetId="1798" refreshError="1"/>
      <sheetData sheetId="1799" refreshError="1"/>
      <sheetData sheetId="1800" refreshError="1"/>
      <sheetData sheetId="1801" refreshError="1"/>
      <sheetData sheetId="1802"/>
      <sheetData sheetId="1803"/>
      <sheetData sheetId="1804"/>
      <sheetData sheetId="1805"/>
      <sheetData sheetId="1806"/>
      <sheetData sheetId="1807"/>
      <sheetData sheetId="1808"/>
      <sheetData sheetId="1809" refreshError="1"/>
      <sheetData sheetId="1810" refreshError="1"/>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refreshError="1"/>
      <sheetData sheetId="1943" refreshError="1"/>
      <sheetData sheetId="1944"/>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
      <sheetName val="Supply"/>
      <sheetName val="Occ&amp;Rate"/>
      <sheetName val="Market Data-Occ"/>
      <sheetName val="Market Data-ADR"/>
      <sheetName val="Demand"/>
      <sheetName val="New Hotel Induced Demand"/>
      <sheetName val="Hotel Expansion Induced Demand"/>
      <sheetName val="Occ"/>
      <sheetName val="ADR"/>
      <sheetName val="Calculation"/>
      <sheetName val="Ref"/>
      <sheetName val="P088 Rev 2.0 Cash Flow"/>
      <sheetName val="Market_Data-Occ"/>
      <sheetName val="Market_Data-ADR"/>
      <sheetName val="New_Hotel_Induced_Demand"/>
      <sheetName val="Hotel_Expansion_Induced_Demand"/>
      <sheetName val="Market_Data-Occ1"/>
      <sheetName val="Market_Data-ADR1"/>
      <sheetName val="New_Hotel_Induced_Demand1"/>
      <sheetName val="Hotel_Expansion_Induced_Demand1"/>
      <sheetName val="P088_Rev_2_0_Cash_Flow"/>
      <sheetName val="Day work"/>
      <sheetName val="Market_Data-Occ2"/>
      <sheetName val="Market_Data-ADR2"/>
      <sheetName val="New_Hotel_Induced_Demand2"/>
      <sheetName val="Hotel_Expansion_Induced_Demand2"/>
      <sheetName val="P088_Rev_2_0_Cash_Flow1"/>
      <sheetName val="Market_Data-Occ3"/>
      <sheetName val="Market_Data-ADR3"/>
      <sheetName val="New_Hotel_Induced_Demand3"/>
      <sheetName val="Hotel_Expansion_Induced_Demand3"/>
      <sheetName val="P088_Rev_2_0_Cash_Flow2"/>
      <sheetName val="Day_work"/>
      <sheetName val="Market_Data-Occ4"/>
      <sheetName val="Market_Data-ADR4"/>
      <sheetName val="New_Hotel_Induced_Demand4"/>
      <sheetName val="Hotel_Expansion_Induced_Demand4"/>
      <sheetName val="P088_Rev_2_0_Cash_Flow3"/>
      <sheetName val="Day_work1"/>
      <sheetName val="Market_Data-Occ5"/>
      <sheetName val="Market_Data-ADR5"/>
      <sheetName val="New_Hotel_Induced_Demand5"/>
      <sheetName val="Hotel_Expansion_Induced_Demand5"/>
      <sheetName val="P088_Rev_2_0_Cash_Flow4"/>
      <sheetName val="Day_work2"/>
      <sheetName val="Market_Data-Occ6"/>
      <sheetName val="Market_Data-ADR6"/>
      <sheetName val="New_Hotel_Induced_Demand6"/>
      <sheetName val="Hotel_Expansion_Induced_Demand6"/>
      <sheetName val="P088_Rev_2_0_Cash_Flow5"/>
      <sheetName val="Day_work3"/>
      <sheetName val="MASTER_RATE ANALYSIS"/>
      <sheetName val="Rate Analysis"/>
      <sheetName val="BOQ Distribution"/>
      <sheetName val="Areas"/>
      <sheetName val="Ops"/>
      <sheetName val="Prattmodel"/>
      <sheetName val="Otismodel"/>
      <sheetName val="Flightmodel"/>
      <sheetName val="Sum of the Parts Valuation"/>
      <sheetName val="Imp Cost"/>
      <sheetName val="FitOutConfCentre"/>
      <sheetName val="Architect"/>
      <sheetName val="P1 SUM"/>
      <sheetName val="2.0 Section 2 Cover"/>
      <sheetName val="Cash2"/>
      <sheetName val="Z"/>
      <sheetName val="Market_Data-Occ7"/>
      <sheetName val="Market_Data-ADR7"/>
      <sheetName val="New_Hotel_Induced_Demand7"/>
      <sheetName val="Hotel_Expansion_Induced_Demand7"/>
      <sheetName val="P088_Rev_2_0_Cash_Flow6"/>
      <sheetName val="Day_work4"/>
      <sheetName val="Market_Data-Occ9"/>
      <sheetName val="Market_Data-ADR9"/>
      <sheetName val="New_Hotel_Induced_Demand9"/>
      <sheetName val="Hotel_Expansion_Induced_Demand9"/>
      <sheetName val="P088_Rev_2_0_Cash_Flow8"/>
      <sheetName val="Day_work6"/>
      <sheetName val="Market_Data-Occ8"/>
      <sheetName val="Market_Data-ADR8"/>
      <sheetName val="New_Hotel_Induced_Demand8"/>
      <sheetName val="Hotel_Expansion_Induced_Demand8"/>
      <sheetName val="P088_Rev_2_0_Cash_Flow7"/>
      <sheetName val="Day_work5"/>
      <sheetName val="Segmentation"/>
      <sheetName val="Demand &amp; Supply"/>
      <sheetName val="Sheet1"/>
      <sheetName val="Redevelopment cost "/>
      <sheetName val="Comparable developments "/>
      <sheetName val="Property Info"/>
      <sheetName val="OpHis"/>
      <sheetName val="FxVar"/>
      <sheetName val="ProForma"/>
      <sheetName val="SVF"/>
      <sheetName val="SVF2"/>
      <sheetName val="Sensitivity Matrix"/>
      <sheetName val="ancillary"/>
      <sheetName val="Cash Flow Working"/>
      <sheetName val="allowances"/>
      <sheetName val="입찰내역 발주처 양식"/>
      <sheetName val="COMPLEXALL"/>
      <sheetName val="BORDGC"/>
      <sheetName val="CIF COST ITEM"/>
      <sheetName val="Headings"/>
      <sheetName val="Data"/>
      <sheetName val="9011 EXPAT_MANP"/>
      <sheetName val="Measur"/>
      <sheetName val="Sheet7"/>
      <sheetName val="Data Sheet"/>
      <sheetName val="SPT vs PHI"/>
      <sheetName val="PE"/>
      <sheetName val="1"/>
      <sheetName val="Lookup data"/>
      <sheetName val="opstat"/>
      <sheetName val="costs"/>
      <sheetName val="#REF"/>
      <sheetName val="Kur"/>
      <sheetName val="Keşif-I"/>
      <sheetName val="HAKEDİŞ "/>
      <sheetName val="BUTCE+MANHOUR"/>
      <sheetName val="keşif özeti"/>
      <sheetName val="Katsayılar"/>
      <sheetName val="Induced demand- Hitec City"/>
      <sheetName val="Teritary Competition"/>
      <sheetName val="HotelInduced"/>
      <sheetName val="Induced demand Navi Mumbai"/>
      <sheetName val="Induced Demand"/>
      <sheetName val="Induced"/>
      <sheetName val="Induced demand due to Noida"/>
      <sheetName val="Rna"/>
      <sheetName val="Commercial Developments"/>
      <sheetName val="Induced Demand-Gugaon-build up"/>
      <sheetName val="Commercial development"/>
      <sheetName val="MktSeg"/>
      <sheetName val="B2"/>
      <sheetName val="SHORT LIST"/>
      <sheetName val="Chiet tinh dz22"/>
      <sheetName val="Est"/>
      <sheetName val="SEX"/>
      <sheetName val="Drop Down List"/>
      <sheetName val="RA-markate"/>
      <sheetName val="Permitted Drop Down Items"/>
      <sheetName val="REINF-WTM"/>
      <sheetName val="XREF"/>
      <sheetName val="CASHFLOWS"/>
      <sheetName val="B2-MAIN HOTEL"/>
      <sheetName val="CS Pipes,Fittings-Lay. &amp; Inst."/>
      <sheetName val="Datas"/>
      <sheetName val="steel total"/>
      <sheetName val="Sum_of_the_Parts_Valuation"/>
      <sheetName val="Imp_Cost"/>
      <sheetName val="Cover"/>
      <sheetName val="MOS"/>
      <sheetName val="Print Tables"/>
      <sheetName val="Stock Size &amp; Branding"/>
      <sheetName val="MicroMarket"/>
      <sheetName val="Other Hotels"/>
      <sheetName val="Other"/>
      <sheetName val="Rating 12 Point Index"/>
      <sheetName val="GDP-Inflation"/>
      <sheetName val="Facilities"/>
      <sheetName val="Required Occupancy Levels"/>
      <sheetName val="Madinah FA"/>
      <sheetName val="KPIs - Market 2"/>
      <sheetName val="date"/>
      <sheetName val="Positions"/>
      <sheetName val="Database"/>
      <sheetName val="BOQ"/>
      <sheetName val="PB"/>
      <sheetName val="Project Claims Report"/>
      <sheetName val="Contract Particulars"/>
      <sheetName val="Update &amp; Print"/>
      <sheetName val="Market_Data-Occ10"/>
      <sheetName val="Market_Data-ADR10"/>
      <sheetName val="New_Hotel_Induced_Demand10"/>
      <sheetName val="Hotel_Expansion_Induced_Deman10"/>
      <sheetName val="P088_Rev_2_0_Cash_Flow9"/>
      <sheetName val="Day_work7"/>
      <sheetName val="BOQ_Distribution"/>
      <sheetName val="MASTER_RATE_ANALYSIS"/>
      <sheetName val="Rate_Analysis"/>
      <sheetName val="9011_EXPAT_MANP"/>
      <sheetName val="Market_Data-Occ11"/>
      <sheetName val="Market_Data-ADR11"/>
      <sheetName val="New_Hotel_Induced_Demand11"/>
      <sheetName val="Hotel_Expansion_Induced_Deman11"/>
      <sheetName val="P088_Rev_2_0_Cash_Flow10"/>
      <sheetName val="Day_work8"/>
      <sheetName val="BOQ_Distribution1"/>
      <sheetName val="MASTER_RATE_ANALYSIS1"/>
      <sheetName val="Rate_Analysis1"/>
      <sheetName val="Sum_of_the_Parts_Valuation1"/>
      <sheetName val="Imp_Cost1"/>
      <sheetName val="9011_EXPAT_MANP1"/>
      <sheetName val="입찰내역_발주처_양식"/>
      <sheetName val="EEV(Prilim)"/>
      <sheetName val="SubmitCal"/>
      <sheetName val="SCH- % WT."/>
      <sheetName val="NPV"/>
      <sheetName val="Payment"/>
      <sheetName val="Input"/>
      <sheetName val="TB09"/>
      <sheetName val="P1_SUM"/>
      <sheetName val="2_0_Section_2_Cover"/>
      <sheetName val="Demand_&amp;_Supply"/>
      <sheetName val="Redevelopment_cost_"/>
      <sheetName val="Comparable_developments_"/>
      <sheetName val="Property_Info"/>
      <sheetName val="Sensitivity_Matrix"/>
      <sheetName val="Cash_Flow_Working"/>
      <sheetName val="CIF_COST_ITEM"/>
      <sheetName val="Data_Sheet"/>
      <sheetName val="SPT_vs_PHI"/>
      <sheetName val="Lookup_data"/>
      <sheetName val="HAKEDİŞ_"/>
      <sheetName val="keşif_özeti"/>
      <sheetName val="1. Summary Sheet (R01_OCT.2019)"/>
      <sheetName val="Listen"/>
      <sheetName val="Labor abs-NMR"/>
      <sheetName val="Budget Analysis"/>
      <sheetName val="Z- GENERAL PRICE SUMMARY"/>
      <sheetName val="WITHOUT C&amp;I PROFIT (3)"/>
      <sheetName val="B2-CTA"/>
      <sheetName val="B3-CTB"/>
      <sheetName val="B4-CUC"/>
      <sheetName val="B5-SBA"/>
      <sheetName val="B6-SBB"/>
      <sheetName val="B7-Walkway"/>
      <sheetName val="B8-External Works"/>
      <sheetName val="Final Summary"/>
      <sheetName val="Electrical VE"/>
      <sheetName val="CFTable2"/>
      <sheetName val="380KV GIS"/>
      <sheetName val="Actual"/>
      <sheetName val="HWDG"/>
      <sheetName val="E H Blinding"/>
      <sheetName val="E H Excavation"/>
      <sheetName val="Pc name"/>
      <sheetName val="DIV.3"/>
      <sheetName val="Raw Data"/>
      <sheetName val="Market_Data-Occ12"/>
      <sheetName val="Market_Data-ADR12"/>
      <sheetName val="New_Hotel_Induced_Demand12"/>
      <sheetName val="Hotel_Expansion_Induced_Deman12"/>
      <sheetName val="P088_Rev_2_0_Cash_Flow11"/>
      <sheetName val="Day_work9"/>
      <sheetName val="BOQ_Distribution2"/>
      <sheetName val="MASTER_RATE_ANALYSIS2"/>
      <sheetName val="Rate_Analysis2"/>
      <sheetName val="Sum_of_the_Parts_Valuation2"/>
      <sheetName val="Imp_Cost2"/>
      <sheetName val="9011_EXPAT_MANP2"/>
      <sheetName val="입찰내역_발주처_양식1"/>
      <sheetName val="Induced_demand-_Hitec_City"/>
      <sheetName val="Teritary_Competition"/>
      <sheetName val="Induced_demand_Navi_Mumbai"/>
      <sheetName val="Induced_Demand"/>
      <sheetName val="Induced_demand_due_to_Noida"/>
      <sheetName val="Commercial_Developments"/>
      <sheetName val="Induced_Demand-Gugaon-build_up"/>
      <sheetName val="Commercial_development"/>
      <sheetName val="E_H_Blinding"/>
      <sheetName val="E_H_Excavation"/>
      <sheetName val="Pc_name"/>
      <sheetName val="DIV_3"/>
      <sheetName val="Permitted_Drop_Down_Items"/>
      <sheetName val="CS_Pipes,Fittings-Lay__&amp;_Inst_"/>
      <sheetName val="SHORT_LIST"/>
      <sheetName val="Chiet_tinh_dz22"/>
      <sheetName val="B2-MAIN_HOTEL"/>
      <sheetName val="Raw_Data"/>
      <sheetName val="Est Summary"/>
      <sheetName val="Rates 2"/>
      <sheetName val="electrical"/>
      <sheetName val="GAE8'97"/>
      <sheetName val="Summary"/>
      <sheetName val="Overall"/>
      <sheetName val="New Rates"/>
      <sheetName val="FORM5"/>
      <sheetName val="vendor"/>
      <sheetName val="1.0 Section 1 Cover"/>
      <sheetName val="Key Info"/>
      <sheetName val="A"/>
      <sheetName val="KeyInformation"/>
      <sheetName val="Option"/>
      <sheetName val="steel_total"/>
      <sheetName val="Drop_Down_List"/>
      <sheetName val="Labor_abs-NMR"/>
      <sheetName val="380KV_GIS"/>
      <sheetName val="Basis"/>
      <sheetName val="C P A Blinding"/>
      <sheetName val="Market_Data-Occ13"/>
      <sheetName val="Market_Data-ADR13"/>
      <sheetName val="New_Hotel_Induced_Demand13"/>
      <sheetName val="Hotel_Expansion_Induced_Deman13"/>
      <sheetName val="P088_Rev_2_0_Cash_Flow12"/>
      <sheetName val="Day_work10"/>
      <sheetName val="Sum_of_the_Parts_Valuation3"/>
      <sheetName val="Imp_Cost3"/>
      <sheetName val="MASTER_RATE_ANALYSIS3"/>
      <sheetName val="Rate_Analysis3"/>
      <sheetName val="BOQ_Distribution3"/>
      <sheetName val="입찰내역_발주처_양식2"/>
      <sheetName val="9011_EXPAT_MANP3"/>
      <sheetName val="P1_SUM1"/>
      <sheetName val="Induced_demand-_Hitec_City1"/>
      <sheetName val="Teritary_Competition1"/>
      <sheetName val="Induced_demand_Navi_Mumbai1"/>
      <sheetName val="Induced_Demand1"/>
      <sheetName val="Induced_demand_due_to_Noida1"/>
      <sheetName val="Commercial_Developments1"/>
      <sheetName val="Induced_Demand-Gugaon-build_up1"/>
      <sheetName val="Commercial_development1"/>
      <sheetName val="SPT_vs_PHI1"/>
      <sheetName val="New_Rates"/>
      <sheetName val="T&amp;M"/>
      <sheetName val="ARC308-1"/>
      <sheetName val="Part-A"/>
      <sheetName val="Market_Data-Occ14"/>
      <sheetName val="Market_Data-ADR14"/>
      <sheetName val="New_Hotel_Induced_Demand14"/>
      <sheetName val="Hotel_Expansion_Induced_Deman14"/>
      <sheetName val="P088_Rev_2_0_Cash_Flow13"/>
      <sheetName val="Day_work11"/>
      <sheetName val="Sum_of_the_Parts_Valuation4"/>
      <sheetName val="Imp_Cost4"/>
      <sheetName val="MASTER_RATE_ANALYSIS4"/>
      <sheetName val="Rate_Analysis4"/>
      <sheetName val="BOQ_Distribution4"/>
      <sheetName val="입찰내역_발주처_양식3"/>
      <sheetName val="9011_EXPAT_MANP4"/>
      <sheetName val="P1_SUM2"/>
      <sheetName val="Induced_demand-_Hitec_City2"/>
      <sheetName val="Teritary_Competition2"/>
      <sheetName val="Induced_demand_Navi_Mumbai2"/>
      <sheetName val="Induced_Demand2"/>
      <sheetName val="Induced_demand_due_to_Noida2"/>
      <sheetName val="Commercial_Developments2"/>
      <sheetName val="Induced_Demand-Gugaon-build_up2"/>
      <sheetName val="Commercial_development2"/>
      <sheetName val="SPT_vs_PHI2"/>
      <sheetName val="Permitted_Drop_Down_Items1"/>
      <sheetName val="Data_Sheet1"/>
      <sheetName val="Drop_Down_List1"/>
      <sheetName val="E_H_Blinding1"/>
      <sheetName val="E_H_Excavation1"/>
      <sheetName val="Pc_name1"/>
      <sheetName val="New_Rates1"/>
      <sheetName val="Raw_Data1"/>
      <sheetName val="HAKEDİŞ_1"/>
      <sheetName val="keşif_özeti1"/>
      <sheetName val="SHORT_LIST1"/>
      <sheetName val="2_0_Section_2_Cover1"/>
      <sheetName val="Chiet_tinh_dz221"/>
      <sheetName val="B2-MAIN_HOTEL1"/>
      <sheetName val="CS_Pipes,Fittings-Lay__&amp;_Inst_1"/>
      <sheetName val="steel_total1"/>
      <sheetName val="Demand_&amp;_Supply1"/>
      <sheetName val="Redevelopment_cost_1"/>
      <sheetName val="Comparable_developments_1"/>
      <sheetName val="Property_Info1"/>
      <sheetName val="Sensitivity_Matrix1"/>
      <sheetName val="Cash_Flow_Working1"/>
      <sheetName val="CIF_COST_ITEM1"/>
      <sheetName val="Lookup_data1"/>
      <sheetName val="Z-_GENERAL_PRICE_SUMMARY"/>
      <sheetName val="WITHOUT_C&amp;I_PROFIT_(3)"/>
      <sheetName val="Market_Data-Occ15"/>
      <sheetName val="Market_Data-ADR15"/>
      <sheetName val="New_Hotel_Induced_Demand15"/>
      <sheetName val="Hotel_Expansion_Induced_Deman15"/>
      <sheetName val="P088_Rev_2_0_Cash_Flow14"/>
      <sheetName val="Day_work12"/>
      <sheetName val="Sum_of_the_Parts_Valuation5"/>
      <sheetName val="Imp_Cost5"/>
      <sheetName val="MASTER_RATE_ANALYSIS5"/>
      <sheetName val="Rate_Analysis5"/>
      <sheetName val="BOQ_Distribution5"/>
      <sheetName val="입찰내역_발주처_양식4"/>
      <sheetName val="9011_EXPAT_MANP5"/>
      <sheetName val="P1_SUM3"/>
      <sheetName val="Induced_demand-_Hitec_City3"/>
      <sheetName val="Teritary_Competition3"/>
      <sheetName val="Induced_demand_Navi_Mumbai3"/>
      <sheetName val="Induced_Demand3"/>
      <sheetName val="Induced_demand_due_to_Noida3"/>
      <sheetName val="Commercial_Developments3"/>
      <sheetName val="Induced_Demand-Gugaon-build_up3"/>
      <sheetName val="Commercial_development3"/>
      <sheetName val="SPT_vs_PHI3"/>
      <sheetName val="Permitted_Drop_Down_Items2"/>
      <sheetName val="Data_Sheet2"/>
      <sheetName val="Drop_Down_List2"/>
      <sheetName val="E_H_Blinding2"/>
      <sheetName val="E_H_Excavation2"/>
      <sheetName val="Pc_name2"/>
      <sheetName val="New_Rates2"/>
      <sheetName val="Raw_Data2"/>
      <sheetName val="HAKEDİŞ_2"/>
      <sheetName val="keşif_özeti2"/>
      <sheetName val="SHORT_LIST2"/>
      <sheetName val="2_0_Section_2_Cover2"/>
      <sheetName val="Chiet_tinh_dz222"/>
      <sheetName val="B2-MAIN_HOTEL2"/>
      <sheetName val="CS_Pipes,Fittings-Lay__&amp;_Inst_2"/>
      <sheetName val="steel_total2"/>
      <sheetName val="Demand_&amp;_Supply2"/>
      <sheetName val="Redevelopment_cost_2"/>
      <sheetName val="Comparable_developments_2"/>
      <sheetName val="Property_Info2"/>
      <sheetName val="Sensitivity_Matrix2"/>
      <sheetName val="Cash_Flow_Working2"/>
      <sheetName val="CIF_COST_ITEM2"/>
      <sheetName val="Lookup_data2"/>
      <sheetName val="Z-_GENERAL_PRICE_SUMMARY1"/>
      <sheetName val="WITHOUT_C&amp;I_PROFIT_(3)1"/>
      <sheetName val="cover page"/>
      <sheetName val="Equip"/>
      <sheetName val="Labor_abs-NMR1"/>
      <sheetName val="380KV_GIS1"/>
      <sheetName val="Salary Details"/>
      <sheetName val="Notes"/>
      <sheetName val="bkg"/>
      <sheetName val="cbrd460"/>
      <sheetName val="bcl"/>
      <sheetName val="upa"/>
      <sheetName val="Tables"/>
      <sheetName val="Data map"/>
      <sheetName val="SS MH"/>
      <sheetName val="RECAPITULATION"/>
      <sheetName val="DIV_31"/>
      <sheetName val="Project_Claims_Report"/>
      <sheetName val="Contract_Particulars"/>
      <sheetName val="Update_&amp;_Print"/>
      <sheetName val="Print_Tables"/>
      <sheetName val="Stock_Size_&amp;_Branding"/>
      <sheetName val="Other_Hotels"/>
      <sheetName val="Rating_12_Point_Index"/>
      <sheetName val="Required_Occupancy_Levels"/>
      <sheetName val="Madinah_FA"/>
      <sheetName val="KPIs_-_Market_2"/>
      <sheetName val="SCH-_%_WT_"/>
      <sheetName val="Market_Data-Occ16"/>
      <sheetName val="Market_Data-ADR16"/>
      <sheetName val="New_Hotel_Induced_Demand16"/>
      <sheetName val="Hotel_Expansion_Induced_Deman16"/>
      <sheetName val="P088_Rev_2_0_Cash_Flow15"/>
      <sheetName val="Sum_of_the_Parts_Valuation6"/>
      <sheetName val="Imp_Cost6"/>
      <sheetName val="Day_work13"/>
      <sheetName val="MASTER_RATE_ANALYSIS6"/>
      <sheetName val="Rate_Analysis6"/>
      <sheetName val="BOQ_Distribution6"/>
      <sheetName val="입찰내역_발주처_양식5"/>
      <sheetName val="9011_EXPAT_MANP6"/>
      <sheetName val="P1_SUM4"/>
      <sheetName val="Induced_demand-_Hitec_City4"/>
      <sheetName val="Teritary_Competition4"/>
      <sheetName val="Induced_demand_Navi_Mumbai4"/>
      <sheetName val="Induced_Demand4"/>
      <sheetName val="Induced_demand_due_to_Noida4"/>
      <sheetName val="Commercial_Developments4"/>
      <sheetName val="Induced_Demand-Gugaon-build_up4"/>
      <sheetName val="Commercial_development4"/>
      <sheetName val="Demand_&amp;_Supply3"/>
      <sheetName val="Redevelopment_cost_3"/>
      <sheetName val="Comparable_developments_3"/>
      <sheetName val="Property_Info3"/>
      <sheetName val="Sensitivity_Matrix3"/>
      <sheetName val="2_0_Section_2_Cover3"/>
      <sheetName val="Data_Sheet3"/>
      <sheetName val="SPT_vs_PHI4"/>
      <sheetName val="Cash_Flow_Working3"/>
      <sheetName val="CIF_COST_ITEM3"/>
      <sheetName val="Lookup_data3"/>
      <sheetName val="E_H_Blinding3"/>
      <sheetName val="E_H_Excavation3"/>
      <sheetName val="Pc_name3"/>
      <sheetName val="DIV_32"/>
      <sheetName val="Permitted_Drop_Down_Items3"/>
      <sheetName val="CS_Pipes,Fittings-Lay__&amp;_Inst_3"/>
      <sheetName val="HAKEDİŞ_3"/>
      <sheetName val="keşif_özeti3"/>
      <sheetName val="SHORT_LIST3"/>
      <sheetName val="Chiet_tinh_dz223"/>
      <sheetName val="B2-MAIN_HOTEL3"/>
      <sheetName val="Raw_Data3"/>
      <sheetName val="Project_Claims_Report1"/>
      <sheetName val="Contract_Particulars1"/>
      <sheetName val="Update_&amp;_Print1"/>
      <sheetName val="Drop_Down_List3"/>
      <sheetName val="steel_total3"/>
      <sheetName val="Print_Tables1"/>
      <sheetName val="Stock_Size_&amp;_Branding1"/>
      <sheetName val="Other_Hotels1"/>
      <sheetName val="Rating_12_Point_Index1"/>
      <sheetName val="Required_Occupancy_Levels1"/>
      <sheetName val="Madinah_FA1"/>
      <sheetName val="KPIs_-_Market_21"/>
      <sheetName val="SCH-_%_WT_1"/>
      <sheetName val="New_Rates3"/>
      <sheetName val="Budget_Analysis"/>
      <sheetName val="Z-_GENERAL_PRICE_SUMMARY2"/>
      <sheetName val="WITHOUT_C&amp;I_PROFIT_(3)2"/>
      <sheetName val="C_P_A_Blinding"/>
      <sheetName val="Est_Summary"/>
      <sheetName val="Rates_2"/>
      <sheetName val="cover_page"/>
      <sheetName val="DC3"/>
      <sheetName val="Armada Development "/>
      <sheetName val="Plumtree Aquisition "/>
      <sheetName val="Project 4"/>
      <sheetName val="Project 5"/>
      <sheetName val="Project 6"/>
      <sheetName val="Project 7"/>
      <sheetName val="B8-External_Works"/>
      <sheetName val="Final_Summary"/>
      <sheetName val="Electrical_VE"/>
      <sheetName val="Labor_abs-NMR2"/>
      <sheetName val="380KV_GIS2"/>
      <sheetName val="Salary_Details"/>
      <sheetName val="Data_map"/>
      <sheetName val="1__Summary_Sheet_(R01_OCT_2019)"/>
      <sheetName val="Rates"/>
      <sheetName val="AOR"/>
      <sheetName val="Market_Data-Occ17"/>
      <sheetName val="Market_Data-ADR17"/>
      <sheetName val="New_Hotel_Induced_Demand17"/>
      <sheetName val="Hotel_Expansion_Induced_Deman17"/>
      <sheetName val="P088_Rev_2_0_Cash_Flow16"/>
      <sheetName val="Day_work14"/>
      <sheetName val="Sum_of_the_Parts_Valuation7"/>
      <sheetName val="Imp_Cost7"/>
      <sheetName val="MASTER_RATE_ANALYSIS7"/>
      <sheetName val="Rate_Analysis7"/>
      <sheetName val="BOQ_Distribution7"/>
      <sheetName val="입찰내역_발주처_양식7"/>
      <sheetName val="9011_EXPAT_MANP7"/>
      <sheetName val="P1_SUM7"/>
      <sheetName val="Induced_demand-_Hitec_City7"/>
      <sheetName val="Teritary_Competition7"/>
      <sheetName val="Induced_demand_Navi_Mumbai7"/>
      <sheetName val="Induced_Demand7"/>
      <sheetName val="Induced_demand_due_to_Noida7"/>
      <sheetName val="Commercial_Developments7"/>
      <sheetName val="Induced_Demand-Gugaon-build_up7"/>
      <sheetName val="Commercial_development7"/>
      <sheetName val="Data_Sheet7"/>
      <sheetName val="Data_Sheet4"/>
      <sheetName val="P1_SUM5"/>
      <sheetName val="Induced_demand-_Hitec_City5"/>
      <sheetName val="Teritary_Competition5"/>
      <sheetName val="Induced_demand_Navi_Mumbai5"/>
      <sheetName val="Induced_Demand5"/>
      <sheetName val="Induced_demand_due_to_Noida5"/>
      <sheetName val="Commercial_Developments5"/>
      <sheetName val="Induced_Demand-Gugaon-build_up5"/>
      <sheetName val="Commercial_development5"/>
      <sheetName val="Data_Sheet5"/>
      <sheetName val="입찰내역_발주처_양식6"/>
      <sheetName val="P1_SUM6"/>
      <sheetName val="Induced_demand-_Hitec_City6"/>
      <sheetName val="Teritary_Competition6"/>
      <sheetName val="Induced_demand_Navi_Mumbai6"/>
      <sheetName val="Induced_Demand6"/>
      <sheetName val="Induced_demand_due_to_Noida6"/>
      <sheetName val="Commercial_Developments6"/>
      <sheetName val="Induced_Demand-Gugaon-build_up6"/>
      <sheetName val="Commercial_development6"/>
      <sheetName val="Data_Sheet6"/>
      <sheetName val="Market_Data-Occ18"/>
      <sheetName val="Market_Data-ADR18"/>
      <sheetName val="New_Hotel_Induced_Demand18"/>
      <sheetName val="Hotel_Expansion_Induced_Deman18"/>
      <sheetName val="P088_Rev_2_0_Cash_Flow17"/>
      <sheetName val="Day_work15"/>
      <sheetName val="Sum_of_the_Parts_Valuation8"/>
      <sheetName val="Imp_Cost8"/>
      <sheetName val="MASTER_RATE_ANALYSIS8"/>
      <sheetName val="Rate_Analysis8"/>
      <sheetName val="BOQ_Distribution8"/>
      <sheetName val="입찰내역_발주처_양식8"/>
      <sheetName val="9011_EXPAT_MANP8"/>
      <sheetName val="P1_SUM8"/>
      <sheetName val="Induced_demand-_Hitec_City8"/>
      <sheetName val="Teritary_Competition8"/>
      <sheetName val="Induced_demand_Navi_Mumbai8"/>
      <sheetName val="Induced_Demand8"/>
      <sheetName val="Induced_demand_due_to_Noida8"/>
      <sheetName val="Commercial_Developments8"/>
      <sheetName val="Induced_Demand-Gugaon-build_up8"/>
      <sheetName val="Commercial_development8"/>
      <sheetName val="Data_Sheet8"/>
      <sheetName val="Market_Data-Occ19"/>
      <sheetName val="Market_Data-ADR19"/>
      <sheetName val="New_Hotel_Induced_Demand19"/>
      <sheetName val="Hotel_Expansion_Induced_Deman19"/>
      <sheetName val="P088_Rev_2_0_Cash_Flow18"/>
      <sheetName val="Day_work16"/>
      <sheetName val="Sum_of_the_Parts_Valuation9"/>
      <sheetName val="Imp_Cost9"/>
      <sheetName val="MASTER_RATE_ANALYSIS9"/>
      <sheetName val="Rate_Analysis9"/>
      <sheetName val="BOQ_Distribution9"/>
      <sheetName val="입찰내역_발주처_양식9"/>
      <sheetName val="9011_EXPAT_MANP9"/>
      <sheetName val="P1_SUM9"/>
      <sheetName val="Induced_demand-_Hitec_City9"/>
      <sheetName val="Teritary_Competition9"/>
      <sheetName val="Induced_demand_Navi_Mumbai9"/>
      <sheetName val="Induced_Demand9"/>
      <sheetName val="Induced_demand_due_to_Noida9"/>
      <sheetName val="Commercial_Developments9"/>
      <sheetName val="Induced_Demand-Gugaon-build_up9"/>
      <sheetName val="Commercial_development9"/>
      <sheetName val="Data_Sheet9"/>
      <sheetName val="Market_Data-Occ20"/>
      <sheetName val="Market_Data-ADR20"/>
      <sheetName val="New_Hotel_Induced_Demand20"/>
      <sheetName val="Hotel_Expansion_Induced_Deman20"/>
      <sheetName val="P088_Rev_2_0_Cash_Flow19"/>
      <sheetName val="Day_work17"/>
      <sheetName val="Sum_of_the_Parts_Valuation10"/>
      <sheetName val="Imp_Cost10"/>
      <sheetName val="MASTER_RATE_ANALYSIS10"/>
      <sheetName val="Rate_Analysis10"/>
      <sheetName val="BOQ_Distribution10"/>
      <sheetName val="입찰내역_발주처_양식10"/>
      <sheetName val="9011_EXPAT_MANP10"/>
      <sheetName val="P1_SUM10"/>
      <sheetName val="Induced_demand-_Hitec_City10"/>
      <sheetName val="Teritary_Competition10"/>
      <sheetName val="Induced_demand_Navi_Mumbai10"/>
      <sheetName val="Induced_Demand10"/>
      <sheetName val="Induced_demand_due_to_Noida10"/>
      <sheetName val="Commercial_Developments10"/>
      <sheetName val="Induced_Demand-Gugaon-build_u10"/>
      <sheetName val="Commercial_development10"/>
      <sheetName val="Data_Sheet10"/>
      <sheetName val="Market_Data-Occ21"/>
      <sheetName val="Market_Data-ADR21"/>
      <sheetName val="New_Hotel_Induced_Demand21"/>
      <sheetName val="Hotel_Expansion_Induced_Deman21"/>
      <sheetName val="P088_Rev_2_0_Cash_Flow20"/>
      <sheetName val="Day_work18"/>
      <sheetName val="Sum_of_the_Parts_Valuation11"/>
      <sheetName val="Imp_Cost11"/>
      <sheetName val="MASTER_RATE_ANALYSIS11"/>
      <sheetName val="Rate_Analysis11"/>
      <sheetName val="BOQ_Distribution11"/>
      <sheetName val="입찰내역_발주처_양식11"/>
      <sheetName val="9011_EXPAT_MANP11"/>
      <sheetName val="P1_SUM11"/>
      <sheetName val="Induced_demand-_Hitec_City11"/>
      <sheetName val="Teritary_Competition11"/>
      <sheetName val="Induced_demand_Navi_Mumbai11"/>
      <sheetName val="Induced_Demand11"/>
      <sheetName val="Induced_demand_due_to_Noida11"/>
      <sheetName val="Commercial_Developments11"/>
      <sheetName val="Induced_Demand-Gugaon-build_u11"/>
      <sheetName val="Commercial_development11"/>
      <sheetName val="Data_Sheet11"/>
      <sheetName val="Market_Data-Occ22"/>
      <sheetName val="Market_Data-ADR22"/>
      <sheetName val="New_Hotel_Induced_Demand22"/>
      <sheetName val="Hotel_Expansion_Induced_Deman22"/>
      <sheetName val="P088_Rev_2_0_Cash_Flow21"/>
      <sheetName val="Day_work19"/>
      <sheetName val="Sum_of_the_Parts_Valuation12"/>
      <sheetName val="Imp_Cost12"/>
      <sheetName val="MASTER_RATE_ANALYSIS12"/>
      <sheetName val="Rate_Analysis12"/>
      <sheetName val="BOQ_Distribution12"/>
      <sheetName val="입찰내역_발주처_양식12"/>
      <sheetName val="9011_EXPAT_MANP12"/>
      <sheetName val="P1_SUM12"/>
      <sheetName val="Induced_demand-_Hitec_City12"/>
      <sheetName val="Teritary_Competition12"/>
      <sheetName val="Induced_demand_Navi_Mumbai12"/>
      <sheetName val="Induced_Demand12"/>
      <sheetName val="Induced_demand_due_to_Noida12"/>
      <sheetName val="Commercial_Developments12"/>
      <sheetName val="Induced_Demand-Gugaon-build_u12"/>
      <sheetName val="Commercial_development12"/>
      <sheetName val="Data_Sheet12"/>
      <sheetName val="2_0_Section_2_Cover4"/>
      <sheetName val="Demand_&amp;_Supply4"/>
      <sheetName val="Redevelopment_cost_4"/>
      <sheetName val="Comparable_developments_4"/>
      <sheetName val="Property_Info4"/>
      <sheetName val="Sensitivity_Matrix4"/>
      <sheetName val="SPT_vs_PHI5"/>
      <sheetName val="HAKEDİŞ_4"/>
      <sheetName val="keşif_özeti4"/>
      <sheetName val="SHORT_LIST4"/>
      <sheetName val="Chiet_tinh_dz224"/>
      <sheetName val="B2-MAIN_HOTEL4"/>
      <sheetName val="CS_Pipes,Fittings-Lay__&amp;_Inst_4"/>
      <sheetName val="steel_total4"/>
      <sheetName val="Cash_Flow_Working4"/>
      <sheetName val="Drop_Down_List4"/>
      <sheetName val="CIF_COST_ITEM4"/>
      <sheetName val="Lookup_data4"/>
      <sheetName val="Permitted_Drop_Down_Items4"/>
      <sheetName val="Z-_GENERAL_PRICE_SUMMARY3"/>
      <sheetName val="WITHOUT_C&amp;I_PROFIT_(3)3"/>
      <sheetName val="Raw_Data4"/>
      <sheetName val="E_H_Blinding4"/>
      <sheetName val="E_H_Excavation4"/>
      <sheetName val="Pc_name4"/>
      <sheetName val="Labor_abs-NMR3"/>
      <sheetName val="Budget_Analysis1"/>
      <sheetName val="Est_Summary1"/>
      <sheetName val="Rates_21"/>
      <sheetName val="Data_map1"/>
      <sheetName val="B8-External_Works1"/>
      <sheetName val="Final_Summary1"/>
      <sheetName val="Electrical_VE1"/>
      <sheetName val="380KV_GIS3"/>
      <sheetName val="New_Rates4"/>
      <sheetName val="Salary_Details1"/>
      <sheetName val="1__Summary_Sheet_(R01_OCT_20191"/>
      <sheetName val="C_P_A_Blinding1"/>
      <sheetName val="cover_page1"/>
      <sheetName val="Raw_Data5"/>
      <sheetName val="SPT_vs_PHI6"/>
      <sheetName val="2_0_Section_2_Cover5"/>
      <sheetName val="Demand_&amp;_Supply5"/>
      <sheetName val="Redevelopment_cost_5"/>
      <sheetName val="Comparable_developments_5"/>
      <sheetName val="Property_Info5"/>
      <sheetName val="Sensitivity_Matrix5"/>
      <sheetName val="Cash_Flow_Working5"/>
      <sheetName val="CIF_COST_ITEM5"/>
      <sheetName val="HAKEDİŞ_5"/>
      <sheetName val="keşif_özeti5"/>
      <sheetName val="SHORT_LIST5"/>
      <sheetName val="Chiet_tinh_dz225"/>
      <sheetName val="B2-MAIN_HOTEL5"/>
      <sheetName val="Lookup_data5"/>
      <sheetName val="Permitted_Drop_Down_Items5"/>
      <sheetName val="CS_Pipes,Fittings-Lay__&amp;_Inst_5"/>
      <sheetName val="DIV_33"/>
      <sheetName val="E_H_Blinding5"/>
      <sheetName val="E_H_Excavation5"/>
      <sheetName val="Pc_name5"/>
      <sheetName val="Drop_Down_List5"/>
      <sheetName val="steel_total5"/>
      <sheetName val="Print_Tables2"/>
      <sheetName val="Stock_Size_&amp;_Branding2"/>
      <sheetName val="Other_Hotels2"/>
      <sheetName val="Rating_12_Point_Index2"/>
      <sheetName val="Required_Occupancy_Levels2"/>
      <sheetName val="Madinah_FA2"/>
      <sheetName val="KPIs_-_Market_22"/>
      <sheetName val="Project_Claims_Report2"/>
      <sheetName val="Contract_Particulars2"/>
      <sheetName val="Update_&amp;_Print2"/>
      <sheetName val="SCH-_%_WT_2"/>
      <sheetName val="Est_Summary2"/>
      <sheetName val="Rates_22"/>
      <sheetName val="Z-_GENERAL_PRICE_SUMMARY4"/>
      <sheetName val="WITHOUT_C&amp;I_PROFIT_(3)4"/>
      <sheetName val="Labor_abs-NMR4"/>
      <sheetName val="Budget_Analysis2"/>
      <sheetName val="Data_map2"/>
      <sheetName val="B8-External_Works2"/>
      <sheetName val="Final_Summary2"/>
      <sheetName val="Electrical_VE2"/>
      <sheetName val="380KV_GIS4"/>
      <sheetName val="New_Rates5"/>
      <sheetName val="Salary_Details2"/>
      <sheetName val="1__Summary_Sheet_(R01_OCT_20192"/>
      <sheetName val="C_P_A_Blinding2"/>
      <sheetName val="cover_page2"/>
      <sheetName val="2_0_Section_2_Cover6"/>
      <sheetName val="Demand_&amp;_Supply6"/>
      <sheetName val="Redevelopment_cost_6"/>
      <sheetName val="Comparable_developments_6"/>
      <sheetName val="Property_Info6"/>
      <sheetName val="Sensitivity_Matrix6"/>
      <sheetName val="SPT_vs_PHI7"/>
      <sheetName val="HAKEDİŞ_6"/>
      <sheetName val="keşif_özeti6"/>
      <sheetName val="SHORT_LIST6"/>
      <sheetName val="Chiet_tinh_dz226"/>
      <sheetName val="B2-MAIN_HOTEL6"/>
      <sheetName val="CS_Pipes,Fittings-Lay__&amp;_Inst_6"/>
      <sheetName val="steel_total6"/>
      <sheetName val="Cash_Flow_Working6"/>
      <sheetName val="Drop_Down_List6"/>
      <sheetName val="CIF_COST_ITEM6"/>
      <sheetName val="Lookup_data6"/>
      <sheetName val="Permitted_Drop_Down_Items6"/>
      <sheetName val="Z-_GENERAL_PRICE_SUMMARY5"/>
      <sheetName val="WITHOUT_C&amp;I_PROFIT_(3)5"/>
      <sheetName val="Print_Tables3"/>
      <sheetName val="Stock_Size_&amp;_Branding3"/>
      <sheetName val="Other_Hotels3"/>
      <sheetName val="Rating_12_Point_Index3"/>
      <sheetName val="Required_Occupancy_Levels3"/>
      <sheetName val="Madinah_FA3"/>
      <sheetName val="KPIs_-_Market_23"/>
      <sheetName val="Project_Claims_Report3"/>
      <sheetName val="Contract_Particulars3"/>
      <sheetName val="Update_&amp;_Print3"/>
      <sheetName val="SCH-_%_WT_3"/>
      <sheetName val="Raw_Data6"/>
      <sheetName val="DIV_34"/>
      <sheetName val="E_H_Blinding6"/>
      <sheetName val="E_H_Excavation6"/>
      <sheetName val="Pc_name6"/>
      <sheetName val="Labor_abs-NMR5"/>
      <sheetName val="Budget_Analysis3"/>
      <sheetName val="Est_Summary3"/>
      <sheetName val="Rates_23"/>
      <sheetName val="Data_map3"/>
      <sheetName val="B8-External_Works3"/>
      <sheetName val="Final_Summary3"/>
      <sheetName val="Electrical_VE3"/>
      <sheetName val="380KV_GIS5"/>
      <sheetName val="New_Rates6"/>
      <sheetName val="Salary_Details3"/>
      <sheetName val="1__Summary_Sheet_(R01_OCT_20193"/>
      <sheetName val="C_P_A_Blinding3"/>
      <sheetName val="cover_page3"/>
      <sheetName val="2_0_Section_2_Cover7"/>
      <sheetName val="Demand_&amp;_Supply7"/>
      <sheetName val="Redevelopment_cost_7"/>
      <sheetName val="Comparable_developments_7"/>
      <sheetName val="Property_Info7"/>
      <sheetName val="Sensitivity_Matrix7"/>
      <sheetName val="SPT_vs_PHI8"/>
      <sheetName val="HAKEDİŞ_7"/>
      <sheetName val="keşif_özeti7"/>
      <sheetName val="SHORT_LIST7"/>
      <sheetName val="Chiet_tinh_dz227"/>
      <sheetName val="B2-MAIN_HOTEL7"/>
      <sheetName val="CS_Pipes,Fittings-Lay__&amp;_Inst_7"/>
      <sheetName val="steel_total7"/>
      <sheetName val="Cash_Flow_Working7"/>
      <sheetName val="Drop_Down_List7"/>
      <sheetName val="CIF_COST_ITEM7"/>
      <sheetName val="Lookup_data7"/>
      <sheetName val="Permitted_Drop_Down_Items7"/>
      <sheetName val="Z-_GENERAL_PRICE_SUMMARY6"/>
      <sheetName val="WITHOUT_C&amp;I_PROFIT_(3)6"/>
      <sheetName val="Print_Tables4"/>
      <sheetName val="Stock_Size_&amp;_Branding4"/>
      <sheetName val="Other_Hotels4"/>
      <sheetName val="Rating_12_Point_Index4"/>
      <sheetName val="Required_Occupancy_Levels4"/>
      <sheetName val="Madinah_FA4"/>
      <sheetName val="KPIs_-_Market_24"/>
      <sheetName val="Project_Claims_Report4"/>
      <sheetName val="Contract_Particulars4"/>
      <sheetName val="Update_&amp;_Print4"/>
      <sheetName val="SCH-_%_WT_4"/>
      <sheetName val="Raw_Data7"/>
      <sheetName val="DIV_35"/>
      <sheetName val="E_H_Blinding7"/>
      <sheetName val="E_H_Excavation7"/>
      <sheetName val="Pc_name7"/>
      <sheetName val="Labor_abs-NMR6"/>
      <sheetName val="Budget_Analysis4"/>
      <sheetName val="Est_Summary4"/>
      <sheetName val="Rates_24"/>
      <sheetName val="Data_map4"/>
      <sheetName val="B8-External_Works4"/>
      <sheetName val="Final_Summary4"/>
      <sheetName val="Electrical_VE4"/>
      <sheetName val="380KV_GIS6"/>
      <sheetName val="New_Rates7"/>
      <sheetName val="Salary_Details4"/>
      <sheetName val="1__Summary_Sheet_(R01_OCT_20194"/>
      <sheetName val="C_P_A_Blinding4"/>
      <sheetName val="cover_page4"/>
      <sheetName val="2_0_Section_2_Cover8"/>
      <sheetName val="Demand_&amp;_Supply8"/>
      <sheetName val="Redevelopment_cost_8"/>
      <sheetName val="Comparable_developments_8"/>
      <sheetName val="Property_Info8"/>
      <sheetName val="Sensitivity_Matrix8"/>
      <sheetName val="SPT_vs_PHI9"/>
      <sheetName val="HAKEDİŞ_8"/>
      <sheetName val="keşif_özeti8"/>
      <sheetName val="SHORT_LIST8"/>
      <sheetName val="Chiet_tinh_dz228"/>
      <sheetName val="B2-MAIN_HOTEL8"/>
      <sheetName val="CS_Pipes,Fittings-Lay__&amp;_Inst_8"/>
      <sheetName val="steel_total8"/>
      <sheetName val="Cash_Flow_Working8"/>
      <sheetName val="Drop_Down_List8"/>
      <sheetName val="CIF_COST_ITEM8"/>
      <sheetName val="Lookup_data8"/>
      <sheetName val="Permitted_Drop_Down_Items8"/>
      <sheetName val="Z-_GENERAL_PRICE_SUMMARY7"/>
      <sheetName val="WITHOUT_C&amp;I_PROFIT_(3)7"/>
      <sheetName val="Print_Tables5"/>
      <sheetName val="Stock_Size_&amp;_Branding5"/>
      <sheetName val="Other_Hotels5"/>
      <sheetName val="Rating_12_Point_Index5"/>
      <sheetName val="Required_Occupancy_Levels5"/>
      <sheetName val="Madinah_FA5"/>
      <sheetName val="KPIs_-_Market_25"/>
      <sheetName val="Project_Claims_Report5"/>
      <sheetName val="Contract_Particulars5"/>
      <sheetName val="Update_&amp;_Print5"/>
      <sheetName val="SCH-_%_WT_5"/>
      <sheetName val="Raw_Data8"/>
      <sheetName val="DIV_36"/>
      <sheetName val="E_H_Blinding8"/>
      <sheetName val="E_H_Excavation8"/>
      <sheetName val="Pc_name8"/>
      <sheetName val="Labor_abs-NMR7"/>
      <sheetName val="Budget_Analysis5"/>
      <sheetName val="Est_Summary5"/>
      <sheetName val="Rates_25"/>
      <sheetName val="Data_map5"/>
      <sheetName val="B8-External_Works5"/>
      <sheetName val="Final_Summary5"/>
      <sheetName val="Electrical_VE5"/>
      <sheetName val="380KV_GIS7"/>
      <sheetName val="New_Rates8"/>
      <sheetName val="Salary_Details5"/>
      <sheetName val="1__Summary_Sheet_(R01_OCT_20195"/>
      <sheetName val="C_P_A_Blinding5"/>
      <sheetName val="cover_page5"/>
      <sheetName val="2_0_Section_2_Cover9"/>
      <sheetName val="Demand_&amp;_Supply9"/>
      <sheetName val="Redevelopment_cost_9"/>
      <sheetName val="Comparable_developments_9"/>
      <sheetName val="Property_Info9"/>
      <sheetName val="Sensitivity_Matrix9"/>
      <sheetName val="SPT_vs_PHI10"/>
      <sheetName val="HAKEDİŞ_9"/>
      <sheetName val="keşif_özeti9"/>
      <sheetName val="SHORT_LIST9"/>
      <sheetName val="Chiet_tinh_dz229"/>
      <sheetName val="B2-MAIN_HOTEL9"/>
      <sheetName val="CS_Pipes,Fittings-Lay__&amp;_Inst_9"/>
      <sheetName val="steel_total9"/>
      <sheetName val="Cash_Flow_Working9"/>
      <sheetName val="Drop_Down_List9"/>
      <sheetName val="CIF_COST_ITEM9"/>
      <sheetName val="Lookup_data9"/>
      <sheetName val="Permitted_Drop_Down_Items9"/>
      <sheetName val="Z-_GENERAL_PRICE_SUMMARY8"/>
      <sheetName val="WITHOUT_C&amp;I_PROFIT_(3)8"/>
      <sheetName val="Print_Tables6"/>
      <sheetName val="Stock_Size_&amp;_Branding6"/>
      <sheetName val="Other_Hotels6"/>
      <sheetName val="Rating_12_Point_Index6"/>
      <sheetName val="Required_Occupancy_Levels6"/>
      <sheetName val="Madinah_FA6"/>
      <sheetName val="KPIs_-_Market_26"/>
      <sheetName val="Project_Claims_Report6"/>
      <sheetName val="Contract_Particulars6"/>
      <sheetName val="Update_&amp;_Print6"/>
      <sheetName val="SCH-_%_WT_6"/>
      <sheetName val="Raw_Data9"/>
      <sheetName val="DIV_37"/>
      <sheetName val="E_H_Blinding9"/>
      <sheetName val="E_H_Excavation9"/>
      <sheetName val="Pc_name9"/>
      <sheetName val="Labor_abs-NMR8"/>
      <sheetName val="Budget_Analysis6"/>
      <sheetName val="Est_Summary6"/>
      <sheetName val="Rates_26"/>
      <sheetName val="Data_map6"/>
      <sheetName val="B8-External_Works6"/>
      <sheetName val="Final_Summary6"/>
      <sheetName val="Electrical_VE6"/>
      <sheetName val="380KV_GIS8"/>
      <sheetName val="New_Rates9"/>
      <sheetName val="Salary_Details6"/>
      <sheetName val="1__Summary_Sheet_(R01_OCT_20196"/>
      <sheetName val="C_P_A_Blinding6"/>
      <sheetName val="cover_page6"/>
      <sheetName val="Key_Info"/>
      <sheetName val="1_0_Section_1_Cover"/>
      <sheetName val="rc01"/>
      <sheetName val="total all by trades highest 1st"/>
    </sheetNames>
    <sheetDataSet>
      <sheetData sheetId="0" refreshError="1"/>
      <sheetData sheetId="1">
        <row r="5">
          <cell r="C5" t="str">
            <v>Rosewood</v>
          </cell>
        </row>
      </sheetData>
      <sheetData sheetId="2">
        <row r="21">
          <cell r="E21" t="str">
            <v>Group Leisure</v>
          </cell>
        </row>
      </sheetData>
      <sheetData sheetId="3">
        <row r="5">
          <cell r="C5" t="str">
            <v>Rosewood</v>
          </cell>
        </row>
      </sheetData>
      <sheetData sheetId="4">
        <row r="21">
          <cell r="E21" t="str">
            <v>Group Leisure</v>
          </cell>
        </row>
      </sheetData>
      <sheetData sheetId="5" refreshError="1"/>
      <sheetData sheetId="6">
        <row r="21">
          <cell r="E21" t="str">
            <v>Group Leisure</v>
          </cell>
        </row>
      </sheetData>
      <sheetData sheetId="7">
        <row r="21">
          <cell r="E21" t="str">
            <v>Group Leisure</v>
          </cell>
        </row>
      </sheetData>
      <sheetData sheetId="8" refreshError="1"/>
      <sheetData sheetId="9"/>
      <sheetData sheetId="10">
        <row r="5">
          <cell r="C5" t="str">
            <v>Rosewood</v>
          </cell>
        </row>
      </sheetData>
      <sheetData sheetId="11">
        <row r="24">
          <cell r="F24">
            <v>1</v>
          </cell>
        </row>
      </sheetData>
      <sheetData sheetId="12" refreshError="1"/>
      <sheetData sheetId="13">
        <row r="21">
          <cell r="E21" t="str">
            <v>Group Leisure</v>
          </cell>
        </row>
      </sheetData>
      <sheetData sheetId="14"/>
      <sheetData sheetId="15">
        <row r="21">
          <cell r="E21" t="str">
            <v>Group Leisure</v>
          </cell>
        </row>
      </sheetData>
      <sheetData sheetId="16"/>
      <sheetData sheetId="17"/>
      <sheetData sheetId="18"/>
      <sheetData sheetId="19"/>
      <sheetData sheetId="20"/>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ow r="21">
          <cell r="E21" t="str">
            <v>Group Leisure</v>
          </cell>
        </row>
      </sheetData>
      <sheetData sheetId="152">
        <row r="21">
          <cell r="E21" t="str">
            <v>Group Leisure</v>
          </cell>
        </row>
      </sheetData>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ow r="21">
          <cell r="E21" t="str">
            <v>Group Leisure</v>
          </cell>
        </row>
      </sheetData>
      <sheetData sheetId="162">
        <row r="21">
          <cell r="E21" t="str">
            <v>Group Leisure</v>
          </cell>
        </row>
      </sheetData>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ow r="21">
          <cell r="E21" t="str">
            <v>Group Leisure</v>
          </cell>
        </row>
      </sheetData>
      <sheetData sheetId="175">
        <row r="21">
          <cell r="E21" t="str">
            <v>Group Leisure</v>
          </cell>
        </row>
      </sheetData>
      <sheetData sheetId="176">
        <row r="21">
          <cell r="E21" t="str">
            <v>Group Leisure</v>
          </cell>
        </row>
      </sheetData>
      <sheetData sheetId="177">
        <row r="21">
          <cell r="E21" t="str">
            <v>Group Leisure</v>
          </cell>
        </row>
      </sheetData>
      <sheetData sheetId="178">
        <row r="21">
          <cell r="E21" t="str">
            <v>Group Leisure</v>
          </cell>
        </row>
      </sheetData>
      <sheetData sheetId="179">
        <row r="21">
          <cell r="E21" t="str">
            <v>Group Leisure</v>
          </cell>
        </row>
      </sheetData>
      <sheetData sheetId="180">
        <row r="21">
          <cell r="E21" t="str">
            <v>Group Leisure</v>
          </cell>
        </row>
      </sheetData>
      <sheetData sheetId="181">
        <row r="21">
          <cell r="E21" t="str">
            <v>Group Leisure</v>
          </cell>
        </row>
      </sheetData>
      <sheetData sheetId="182">
        <row r="21">
          <cell r="E21" t="str">
            <v>Group Leisure</v>
          </cell>
        </row>
      </sheetData>
      <sheetData sheetId="183">
        <row r="21">
          <cell r="E21" t="str">
            <v>Group Leisure</v>
          </cell>
        </row>
      </sheetData>
      <sheetData sheetId="184">
        <row r="21">
          <cell r="E21" t="str">
            <v>Group Leisure</v>
          </cell>
        </row>
      </sheetData>
      <sheetData sheetId="185">
        <row r="21">
          <cell r="E21" t="str">
            <v>Group Leisure</v>
          </cell>
        </row>
      </sheetData>
      <sheetData sheetId="186">
        <row r="21">
          <cell r="E21" t="str">
            <v>Group Leisure</v>
          </cell>
        </row>
      </sheetData>
      <sheetData sheetId="187">
        <row r="21">
          <cell r="E21" t="str">
            <v>Group Leisure</v>
          </cell>
        </row>
      </sheetData>
      <sheetData sheetId="188">
        <row r="21">
          <cell r="E21" t="str">
            <v>Group Leisure</v>
          </cell>
        </row>
      </sheetData>
      <sheetData sheetId="189">
        <row r="21">
          <cell r="E21" t="str">
            <v>Group Leisure</v>
          </cell>
        </row>
      </sheetData>
      <sheetData sheetId="190">
        <row r="21">
          <cell r="E21" t="str">
            <v>Group Leisure</v>
          </cell>
        </row>
      </sheetData>
      <sheetData sheetId="191">
        <row r="21">
          <cell r="E21" t="str">
            <v>Group Leisure</v>
          </cell>
        </row>
      </sheetData>
      <sheetData sheetId="192">
        <row r="21">
          <cell r="E21" t="str">
            <v>Group Leisure</v>
          </cell>
        </row>
      </sheetData>
      <sheetData sheetId="193">
        <row r="21">
          <cell r="E21" t="str">
            <v>Group Leisure</v>
          </cell>
        </row>
      </sheetData>
      <sheetData sheetId="194">
        <row r="21">
          <cell r="E21" t="str">
            <v>Group Leisure</v>
          </cell>
        </row>
      </sheetData>
      <sheetData sheetId="195">
        <row r="21">
          <cell r="E21" t="str">
            <v>Group Leisure</v>
          </cell>
        </row>
      </sheetData>
      <sheetData sheetId="196">
        <row r="21">
          <cell r="E21" t="str">
            <v>Group Leisure</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ow r="21">
          <cell r="E21" t="str">
            <v>Group Leisure</v>
          </cell>
        </row>
      </sheetData>
      <sheetData sheetId="205">
        <row r="21">
          <cell r="E21" t="str">
            <v>Group Leisure</v>
          </cell>
        </row>
      </sheetData>
      <sheetData sheetId="206">
        <row r="21">
          <cell r="E21" t="str">
            <v>Group Leisure</v>
          </cell>
        </row>
      </sheetData>
      <sheetData sheetId="207">
        <row r="21">
          <cell r="E21" t="str">
            <v>Group Leisure</v>
          </cell>
        </row>
      </sheetData>
      <sheetData sheetId="208">
        <row r="21">
          <cell r="E21" t="str">
            <v>Group Leisure</v>
          </cell>
        </row>
      </sheetData>
      <sheetData sheetId="209">
        <row r="21">
          <cell r="E21" t="str">
            <v>Group Leisure</v>
          </cell>
        </row>
      </sheetData>
      <sheetData sheetId="210">
        <row r="21">
          <cell r="E21" t="str">
            <v>Group Leisure</v>
          </cell>
        </row>
      </sheetData>
      <sheetData sheetId="211">
        <row r="21">
          <cell r="E21" t="str">
            <v>Group Leisure</v>
          </cell>
        </row>
      </sheetData>
      <sheetData sheetId="212">
        <row r="21">
          <cell r="E21" t="str">
            <v>Group Leisure</v>
          </cell>
        </row>
      </sheetData>
      <sheetData sheetId="213">
        <row r="21">
          <cell r="E21" t="str">
            <v>Group Leisure</v>
          </cell>
        </row>
      </sheetData>
      <sheetData sheetId="214">
        <row r="21">
          <cell r="E21" t="str">
            <v>Group Leisure</v>
          </cell>
        </row>
      </sheetData>
      <sheetData sheetId="215">
        <row r="21">
          <cell r="E21" t="str">
            <v>Group Leisure</v>
          </cell>
        </row>
      </sheetData>
      <sheetData sheetId="216">
        <row r="21">
          <cell r="E21" t="str">
            <v>Group Leisure</v>
          </cell>
        </row>
      </sheetData>
      <sheetData sheetId="217">
        <row r="21">
          <cell r="E21" t="str">
            <v>Group Leisure</v>
          </cell>
        </row>
      </sheetData>
      <sheetData sheetId="218" refreshError="1"/>
      <sheetData sheetId="219" refreshError="1"/>
      <sheetData sheetId="220" refreshError="1"/>
      <sheetData sheetId="221" refreshError="1"/>
      <sheetData sheetId="222" refreshError="1"/>
      <sheetData sheetId="223" refreshError="1"/>
      <sheetData sheetId="224" refreshError="1"/>
      <sheetData sheetId="225">
        <row r="21">
          <cell r="E21" t="str">
            <v>Group Leisure</v>
          </cell>
        </row>
      </sheetData>
      <sheetData sheetId="226">
        <row r="21">
          <cell r="E21" t="str">
            <v>Group Leisure</v>
          </cell>
        </row>
      </sheetData>
      <sheetData sheetId="227">
        <row r="21">
          <cell r="E21" t="str">
            <v>Group Leisure</v>
          </cell>
        </row>
      </sheetData>
      <sheetData sheetId="228">
        <row r="21">
          <cell r="E21" t="str">
            <v>Group Leisure</v>
          </cell>
        </row>
      </sheetData>
      <sheetData sheetId="229">
        <row r="21">
          <cell r="E21" t="str">
            <v>Group Leisure</v>
          </cell>
        </row>
      </sheetData>
      <sheetData sheetId="230">
        <row r="21">
          <cell r="E21" t="str">
            <v>Group Leisure</v>
          </cell>
        </row>
      </sheetData>
      <sheetData sheetId="231">
        <row r="21">
          <cell r="E21" t="str">
            <v>Group Leisure</v>
          </cell>
        </row>
      </sheetData>
      <sheetData sheetId="232">
        <row r="21">
          <cell r="E21" t="str">
            <v>Group Leisure</v>
          </cell>
        </row>
      </sheetData>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ow r="21">
          <cell r="E21" t="str">
            <v>Group Leisure</v>
          </cell>
        </row>
      </sheetData>
      <sheetData sheetId="243">
        <row r="21">
          <cell r="E21" t="str">
            <v>Group Leisure</v>
          </cell>
        </row>
      </sheetData>
      <sheetData sheetId="244">
        <row r="21">
          <cell r="E21" t="str">
            <v>Group Leisure</v>
          </cell>
        </row>
      </sheetData>
      <sheetData sheetId="245">
        <row r="21">
          <cell r="E21" t="str">
            <v>Group Leisure</v>
          </cell>
        </row>
      </sheetData>
      <sheetData sheetId="246">
        <row r="21">
          <cell r="E21" t="str">
            <v>Group Leisure</v>
          </cell>
        </row>
      </sheetData>
      <sheetData sheetId="247">
        <row r="21">
          <cell r="E21" t="str">
            <v>Group Leisure</v>
          </cell>
        </row>
      </sheetData>
      <sheetData sheetId="248">
        <row r="21">
          <cell r="E21" t="str">
            <v>Group Leisure</v>
          </cell>
        </row>
      </sheetData>
      <sheetData sheetId="249">
        <row r="21">
          <cell r="E21" t="str">
            <v>Group Leisure</v>
          </cell>
        </row>
      </sheetData>
      <sheetData sheetId="250">
        <row r="21">
          <cell r="E21" t="str">
            <v>Group Leisure</v>
          </cell>
        </row>
      </sheetData>
      <sheetData sheetId="251">
        <row r="21">
          <cell r="E21" t="str">
            <v>Group Leisure</v>
          </cell>
        </row>
      </sheetData>
      <sheetData sheetId="252">
        <row r="21">
          <cell r="E21" t="str">
            <v>Group Leisure</v>
          </cell>
        </row>
      </sheetData>
      <sheetData sheetId="253">
        <row r="21">
          <cell r="E21" t="str">
            <v>Group Leisure</v>
          </cell>
        </row>
      </sheetData>
      <sheetData sheetId="254">
        <row r="21">
          <cell r="E21" t="str">
            <v>Group Leisure</v>
          </cell>
        </row>
      </sheetData>
      <sheetData sheetId="255">
        <row r="21">
          <cell r="E21" t="str">
            <v>Group Leisure</v>
          </cell>
        </row>
      </sheetData>
      <sheetData sheetId="256">
        <row r="21">
          <cell r="E21" t="str">
            <v>Group Leisure</v>
          </cell>
        </row>
      </sheetData>
      <sheetData sheetId="257">
        <row r="21">
          <cell r="E21" t="str">
            <v>Group Leisure</v>
          </cell>
        </row>
      </sheetData>
      <sheetData sheetId="258">
        <row r="21">
          <cell r="E21" t="str">
            <v>Group Leisure</v>
          </cell>
        </row>
      </sheetData>
      <sheetData sheetId="259">
        <row r="21">
          <cell r="E21" t="str">
            <v>Group Leisure</v>
          </cell>
        </row>
      </sheetData>
      <sheetData sheetId="260">
        <row r="21">
          <cell r="E21" t="str">
            <v>Group Leisure</v>
          </cell>
        </row>
      </sheetData>
      <sheetData sheetId="261">
        <row r="21">
          <cell r="E21" t="str">
            <v>Group Leisure</v>
          </cell>
        </row>
      </sheetData>
      <sheetData sheetId="262">
        <row r="21">
          <cell r="E21" t="str">
            <v>Group Leisure</v>
          </cell>
        </row>
      </sheetData>
      <sheetData sheetId="263">
        <row r="21">
          <cell r="E21" t="str">
            <v>Group Leisure</v>
          </cell>
        </row>
      </sheetData>
      <sheetData sheetId="264">
        <row r="21">
          <cell r="E21" t="str">
            <v>Group Leisure</v>
          </cell>
        </row>
      </sheetData>
      <sheetData sheetId="265">
        <row r="21">
          <cell r="E21" t="str">
            <v>Group Leisure</v>
          </cell>
        </row>
      </sheetData>
      <sheetData sheetId="266">
        <row r="21">
          <cell r="E21" t="str">
            <v>Group Leisure</v>
          </cell>
        </row>
      </sheetData>
      <sheetData sheetId="267">
        <row r="21">
          <cell r="E21" t="str">
            <v>Group Leisure</v>
          </cell>
        </row>
      </sheetData>
      <sheetData sheetId="268">
        <row r="21">
          <cell r="E21" t="str">
            <v>Group Leisure</v>
          </cell>
        </row>
      </sheetData>
      <sheetData sheetId="269">
        <row r="21">
          <cell r="E21" t="str">
            <v>Group Leisure</v>
          </cell>
        </row>
      </sheetData>
      <sheetData sheetId="270">
        <row r="21">
          <cell r="E21" t="str">
            <v>Group Leisure</v>
          </cell>
        </row>
      </sheetData>
      <sheetData sheetId="271">
        <row r="21">
          <cell r="E21" t="str">
            <v>Group Leisure</v>
          </cell>
        </row>
      </sheetData>
      <sheetData sheetId="272">
        <row r="21">
          <cell r="E21" t="str">
            <v>Group Leisure</v>
          </cell>
        </row>
      </sheetData>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ow r="21">
          <cell r="E21" t="str">
            <v>Group Leisure</v>
          </cell>
        </row>
      </sheetData>
      <sheetData sheetId="288">
        <row r="21">
          <cell r="E21" t="str">
            <v>Group Leisure</v>
          </cell>
        </row>
      </sheetData>
      <sheetData sheetId="289">
        <row r="21">
          <cell r="E21" t="str">
            <v>Group Leisure</v>
          </cell>
        </row>
      </sheetData>
      <sheetData sheetId="290">
        <row r="21">
          <cell r="E21" t="str">
            <v>Group Leisure</v>
          </cell>
        </row>
      </sheetData>
      <sheetData sheetId="291" refreshError="1"/>
      <sheetData sheetId="292" refreshError="1"/>
      <sheetData sheetId="293">
        <row r="21">
          <cell r="E21" t="str">
            <v>Group Leisure</v>
          </cell>
        </row>
      </sheetData>
      <sheetData sheetId="294">
        <row r="21">
          <cell r="E21" t="str">
            <v>Group Leisure</v>
          </cell>
        </row>
      </sheetData>
      <sheetData sheetId="295">
        <row r="21">
          <cell r="E21" t="str">
            <v>Group Leisure</v>
          </cell>
        </row>
      </sheetData>
      <sheetData sheetId="296">
        <row r="21">
          <cell r="E21" t="str">
            <v>Group Leisure</v>
          </cell>
        </row>
      </sheetData>
      <sheetData sheetId="297">
        <row r="21">
          <cell r="E21" t="str">
            <v>Group Leisure</v>
          </cell>
        </row>
      </sheetData>
      <sheetData sheetId="298">
        <row r="21">
          <cell r="E21" t="str">
            <v>Group Leisure</v>
          </cell>
        </row>
      </sheetData>
      <sheetData sheetId="299">
        <row r="21">
          <cell r="E21" t="str">
            <v>Group Leisure</v>
          </cell>
        </row>
      </sheetData>
      <sheetData sheetId="300">
        <row r="21">
          <cell r="E21" t="str">
            <v>Group Leisure</v>
          </cell>
        </row>
      </sheetData>
      <sheetData sheetId="301">
        <row r="21">
          <cell r="E21" t="str">
            <v>Group Leisure</v>
          </cell>
        </row>
      </sheetData>
      <sheetData sheetId="302">
        <row r="21">
          <cell r="E21" t="str">
            <v>Group Leisure</v>
          </cell>
        </row>
      </sheetData>
      <sheetData sheetId="303">
        <row r="21">
          <cell r="E21" t="str">
            <v>Group Leisure</v>
          </cell>
        </row>
      </sheetData>
      <sheetData sheetId="304">
        <row r="21">
          <cell r="E21" t="str">
            <v>Group Leisure</v>
          </cell>
        </row>
      </sheetData>
      <sheetData sheetId="305">
        <row r="21">
          <cell r="E21" t="str">
            <v>Group Leisure</v>
          </cell>
        </row>
      </sheetData>
      <sheetData sheetId="306">
        <row r="21">
          <cell r="E21" t="str">
            <v>Group Leisure</v>
          </cell>
        </row>
      </sheetData>
      <sheetData sheetId="307">
        <row r="21">
          <cell r="E21" t="str">
            <v>Group Leisure</v>
          </cell>
        </row>
      </sheetData>
      <sheetData sheetId="308">
        <row r="21">
          <cell r="E21" t="str">
            <v>Group Leisure</v>
          </cell>
        </row>
      </sheetData>
      <sheetData sheetId="309">
        <row r="21">
          <cell r="E21" t="str">
            <v>Group Leisure</v>
          </cell>
        </row>
      </sheetData>
      <sheetData sheetId="310">
        <row r="21">
          <cell r="E21" t="str">
            <v>Group Leisure</v>
          </cell>
        </row>
      </sheetData>
      <sheetData sheetId="311">
        <row r="21">
          <cell r="E21" t="str">
            <v>Group Leisure</v>
          </cell>
        </row>
      </sheetData>
      <sheetData sheetId="312">
        <row r="21">
          <cell r="E21" t="str">
            <v>Group Leisure</v>
          </cell>
        </row>
      </sheetData>
      <sheetData sheetId="313">
        <row r="21">
          <cell r="E21" t="str">
            <v>Group Leisure</v>
          </cell>
        </row>
      </sheetData>
      <sheetData sheetId="314">
        <row r="21">
          <cell r="E21" t="str">
            <v>Group Leisure</v>
          </cell>
        </row>
      </sheetData>
      <sheetData sheetId="315">
        <row r="21">
          <cell r="E21" t="str">
            <v>Group Leisure</v>
          </cell>
        </row>
      </sheetData>
      <sheetData sheetId="316">
        <row r="21">
          <cell r="E21" t="str">
            <v>Group Leisure</v>
          </cell>
        </row>
      </sheetData>
      <sheetData sheetId="317" refreshError="1"/>
      <sheetData sheetId="318" refreshError="1"/>
      <sheetData sheetId="319" refreshError="1"/>
      <sheetData sheetId="320">
        <row r="21">
          <cell r="E21" t="str">
            <v>Group Leisure</v>
          </cell>
        </row>
      </sheetData>
      <sheetData sheetId="321">
        <row r="21">
          <cell r="E21" t="str">
            <v>Group Leisure</v>
          </cell>
        </row>
      </sheetData>
      <sheetData sheetId="322">
        <row r="21">
          <cell r="E21" t="str">
            <v>Group Leisure</v>
          </cell>
        </row>
      </sheetData>
      <sheetData sheetId="323">
        <row r="21">
          <cell r="E21" t="str">
            <v>Group Leisure</v>
          </cell>
        </row>
      </sheetData>
      <sheetData sheetId="324">
        <row r="21">
          <cell r="E21" t="str">
            <v>Group Leisure</v>
          </cell>
        </row>
      </sheetData>
      <sheetData sheetId="325">
        <row r="21">
          <cell r="E21" t="str">
            <v>Group Leisure</v>
          </cell>
        </row>
      </sheetData>
      <sheetData sheetId="326">
        <row r="21">
          <cell r="E21" t="str">
            <v>Group Leisure</v>
          </cell>
        </row>
      </sheetData>
      <sheetData sheetId="327">
        <row r="21">
          <cell r="E21" t="str">
            <v>Group Leisure</v>
          </cell>
        </row>
      </sheetData>
      <sheetData sheetId="328">
        <row r="21">
          <cell r="E21" t="str">
            <v>Group Leisure</v>
          </cell>
        </row>
      </sheetData>
      <sheetData sheetId="329">
        <row r="21">
          <cell r="E21" t="str">
            <v>Group Leisure</v>
          </cell>
        </row>
      </sheetData>
      <sheetData sheetId="330">
        <row r="21">
          <cell r="E21" t="str">
            <v>Group Leisure</v>
          </cell>
        </row>
      </sheetData>
      <sheetData sheetId="331">
        <row r="21">
          <cell r="E21" t="str">
            <v>Group Leisure</v>
          </cell>
        </row>
      </sheetData>
      <sheetData sheetId="332">
        <row r="21">
          <cell r="E21" t="str">
            <v>Group Leisure</v>
          </cell>
        </row>
      </sheetData>
      <sheetData sheetId="333">
        <row r="21">
          <cell r="E21" t="str">
            <v>Group Leisure</v>
          </cell>
        </row>
      </sheetData>
      <sheetData sheetId="334">
        <row r="21">
          <cell r="E21" t="str">
            <v>Group Leisure</v>
          </cell>
        </row>
      </sheetData>
      <sheetData sheetId="335">
        <row r="21">
          <cell r="E21" t="str">
            <v>Group Leisure</v>
          </cell>
        </row>
      </sheetData>
      <sheetData sheetId="336">
        <row r="21">
          <cell r="E21" t="str">
            <v>Group Leisure</v>
          </cell>
        </row>
      </sheetData>
      <sheetData sheetId="337">
        <row r="21">
          <cell r="E21" t="str">
            <v>Group Leisure</v>
          </cell>
        </row>
      </sheetData>
      <sheetData sheetId="338">
        <row r="21">
          <cell r="E21" t="str">
            <v>Group Leisure</v>
          </cell>
        </row>
      </sheetData>
      <sheetData sheetId="339">
        <row r="21">
          <cell r="E21" t="str">
            <v>Group Leisure</v>
          </cell>
        </row>
      </sheetData>
      <sheetData sheetId="340">
        <row r="21">
          <cell r="E21" t="str">
            <v>Group Leisure</v>
          </cell>
        </row>
      </sheetData>
      <sheetData sheetId="341">
        <row r="21">
          <cell r="E21" t="str">
            <v>Group Leisure</v>
          </cell>
        </row>
      </sheetData>
      <sheetData sheetId="342">
        <row r="21">
          <cell r="E21" t="str">
            <v>Group Leisure</v>
          </cell>
        </row>
      </sheetData>
      <sheetData sheetId="343">
        <row r="21">
          <cell r="E21" t="str">
            <v>Group Leisure</v>
          </cell>
        </row>
      </sheetData>
      <sheetData sheetId="344">
        <row r="21">
          <cell r="E21" t="str">
            <v>Group Leisure</v>
          </cell>
        </row>
      </sheetData>
      <sheetData sheetId="345">
        <row r="21">
          <cell r="E21" t="str">
            <v>Group Leisure</v>
          </cell>
        </row>
      </sheetData>
      <sheetData sheetId="346">
        <row r="21">
          <cell r="E21" t="str">
            <v>Group Leisure</v>
          </cell>
        </row>
      </sheetData>
      <sheetData sheetId="347">
        <row r="21">
          <cell r="E21" t="str">
            <v>Group Leisure</v>
          </cell>
        </row>
      </sheetData>
      <sheetData sheetId="348">
        <row r="21">
          <cell r="E21" t="str">
            <v>Group Leisure</v>
          </cell>
        </row>
      </sheetData>
      <sheetData sheetId="349">
        <row r="21">
          <cell r="E21" t="str">
            <v>Group Leisure</v>
          </cell>
        </row>
      </sheetData>
      <sheetData sheetId="350">
        <row r="21">
          <cell r="E21" t="str">
            <v>Group Leisure</v>
          </cell>
        </row>
      </sheetData>
      <sheetData sheetId="351">
        <row r="21">
          <cell r="E21" t="str">
            <v>Group Leisure</v>
          </cell>
        </row>
      </sheetData>
      <sheetData sheetId="352">
        <row r="21">
          <cell r="E21" t="str">
            <v>Group Leisure</v>
          </cell>
        </row>
      </sheetData>
      <sheetData sheetId="353">
        <row r="21">
          <cell r="E21" t="str">
            <v>Group Leisure</v>
          </cell>
        </row>
      </sheetData>
      <sheetData sheetId="354">
        <row r="21">
          <cell r="E21" t="str">
            <v>Group Leisure</v>
          </cell>
        </row>
      </sheetData>
      <sheetData sheetId="355">
        <row r="21">
          <cell r="E21" t="str">
            <v>Group Leisure</v>
          </cell>
        </row>
      </sheetData>
      <sheetData sheetId="356">
        <row r="21">
          <cell r="E21" t="str">
            <v>Group Leisure</v>
          </cell>
        </row>
      </sheetData>
      <sheetData sheetId="357">
        <row r="21">
          <cell r="E21" t="str">
            <v>Group Leisure</v>
          </cell>
        </row>
      </sheetData>
      <sheetData sheetId="358">
        <row r="21">
          <cell r="E21" t="str">
            <v>Group Leisure</v>
          </cell>
        </row>
      </sheetData>
      <sheetData sheetId="359">
        <row r="21">
          <cell r="E21" t="str">
            <v>Group Leisure</v>
          </cell>
        </row>
      </sheetData>
      <sheetData sheetId="360">
        <row r="21">
          <cell r="E21" t="str">
            <v>Group Leisure</v>
          </cell>
        </row>
      </sheetData>
      <sheetData sheetId="361">
        <row r="21">
          <cell r="E21" t="str">
            <v>Group Leisure</v>
          </cell>
        </row>
      </sheetData>
      <sheetData sheetId="362">
        <row r="21">
          <cell r="E21" t="str">
            <v>Group Leisure</v>
          </cell>
        </row>
      </sheetData>
      <sheetData sheetId="363">
        <row r="21">
          <cell r="E21" t="str">
            <v>Group Leisure</v>
          </cell>
        </row>
      </sheetData>
      <sheetData sheetId="364">
        <row r="21">
          <cell r="E21" t="str">
            <v>Group Leisure</v>
          </cell>
        </row>
      </sheetData>
      <sheetData sheetId="365">
        <row r="21">
          <cell r="E21" t="str">
            <v>Group Leisure</v>
          </cell>
        </row>
      </sheetData>
      <sheetData sheetId="366">
        <row r="21">
          <cell r="E21" t="str">
            <v>Group Leisure</v>
          </cell>
        </row>
      </sheetData>
      <sheetData sheetId="367">
        <row r="21">
          <cell r="E21" t="str">
            <v>Group Leisure</v>
          </cell>
        </row>
      </sheetData>
      <sheetData sheetId="368">
        <row r="21">
          <cell r="E21" t="str">
            <v>Group Leisure</v>
          </cell>
        </row>
      </sheetData>
      <sheetData sheetId="369">
        <row r="21">
          <cell r="E21" t="str">
            <v>Group Leisure</v>
          </cell>
        </row>
      </sheetData>
      <sheetData sheetId="370">
        <row r="21">
          <cell r="E21" t="str">
            <v>Group Leisure</v>
          </cell>
        </row>
      </sheetData>
      <sheetData sheetId="371">
        <row r="21">
          <cell r="E21" t="str">
            <v>Group Leisure</v>
          </cell>
        </row>
      </sheetData>
      <sheetData sheetId="372">
        <row r="21">
          <cell r="E21" t="str">
            <v>Group Leisure</v>
          </cell>
        </row>
      </sheetData>
      <sheetData sheetId="373">
        <row r="21">
          <cell r="E21" t="str">
            <v>Group Leisure</v>
          </cell>
        </row>
      </sheetData>
      <sheetData sheetId="374">
        <row r="21">
          <cell r="E21" t="str">
            <v>Group Leisure</v>
          </cell>
        </row>
      </sheetData>
      <sheetData sheetId="375">
        <row r="21">
          <cell r="E21" t="str">
            <v>Group Leisure</v>
          </cell>
        </row>
      </sheetData>
      <sheetData sheetId="376">
        <row r="21">
          <cell r="E21" t="str">
            <v>Group Leisure</v>
          </cell>
        </row>
      </sheetData>
      <sheetData sheetId="377">
        <row r="21">
          <cell r="E21" t="str">
            <v>Group Leisure</v>
          </cell>
        </row>
      </sheetData>
      <sheetData sheetId="378">
        <row r="21">
          <cell r="E21" t="str">
            <v>Group Leisure</v>
          </cell>
        </row>
      </sheetData>
      <sheetData sheetId="379">
        <row r="21">
          <cell r="E21" t="str">
            <v>Group Leisure</v>
          </cell>
        </row>
      </sheetData>
      <sheetData sheetId="380">
        <row r="21">
          <cell r="E21" t="str">
            <v>Group Leisure</v>
          </cell>
        </row>
      </sheetData>
      <sheetData sheetId="381">
        <row r="21">
          <cell r="E21" t="str">
            <v>Group Leisure</v>
          </cell>
        </row>
      </sheetData>
      <sheetData sheetId="382">
        <row r="21">
          <cell r="E21" t="str">
            <v>Group Leisure</v>
          </cell>
        </row>
      </sheetData>
      <sheetData sheetId="383">
        <row r="21">
          <cell r="E21" t="str">
            <v>Group Leisure</v>
          </cell>
        </row>
      </sheetData>
      <sheetData sheetId="384">
        <row r="21">
          <cell r="E21" t="str">
            <v>Group Leisure</v>
          </cell>
        </row>
      </sheetData>
      <sheetData sheetId="385">
        <row r="21">
          <cell r="E21" t="str">
            <v>Group Leisure</v>
          </cell>
        </row>
      </sheetData>
      <sheetData sheetId="386">
        <row r="21">
          <cell r="E21" t="str">
            <v>Group Leisure</v>
          </cell>
        </row>
      </sheetData>
      <sheetData sheetId="387">
        <row r="21">
          <cell r="E21" t="str">
            <v>Group Leisure</v>
          </cell>
        </row>
      </sheetData>
      <sheetData sheetId="388">
        <row r="21">
          <cell r="E21" t="str">
            <v>Group Leisure</v>
          </cell>
        </row>
      </sheetData>
      <sheetData sheetId="389">
        <row r="21">
          <cell r="E21" t="str">
            <v>Group Leisure</v>
          </cell>
        </row>
      </sheetData>
      <sheetData sheetId="390">
        <row r="21">
          <cell r="E21" t="str">
            <v>Group Leisure</v>
          </cell>
        </row>
      </sheetData>
      <sheetData sheetId="391">
        <row r="21">
          <cell r="E21" t="str">
            <v>Group Leisure</v>
          </cell>
        </row>
      </sheetData>
      <sheetData sheetId="392">
        <row r="21">
          <cell r="E21" t="str">
            <v>Group Leisure</v>
          </cell>
        </row>
      </sheetData>
      <sheetData sheetId="393">
        <row r="21">
          <cell r="E21" t="str">
            <v>Group Leisure</v>
          </cell>
        </row>
      </sheetData>
      <sheetData sheetId="394">
        <row r="21">
          <cell r="E21" t="str">
            <v>Group Leisure</v>
          </cell>
        </row>
      </sheetData>
      <sheetData sheetId="395">
        <row r="21">
          <cell r="E21" t="str">
            <v>Group Leisure</v>
          </cell>
        </row>
      </sheetData>
      <sheetData sheetId="396">
        <row r="21">
          <cell r="E21" t="str">
            <v>Group Leisure</v>
          </cell>
        </row>
      </sheetData>
      <sheetData sheetId="397">
        <row r="21">
          <cell r="E21" t="str">
            <v>Group Leisure</v>
          </cell>
        </row>
      </sheetData>
      <sheetData sheetId="398">
        <row r="21">
          <cell r="E21" t="str">
            <v>Group Leisure</v>
          </cell>
        </row>
      </sheetData>
      <sheetData sheetId="399">
        <row r="21">
          <cell r="E21" t="str">
            <v>Group Leisure</v>
          </cell>
        </row>
      </sheetData>
      <sheetData sheetId="400">
        <row r="21">
          <cell r="E21" t="str">
            <v>Group Leisure</v>
          </cell>
        </row>
      </sheetData>
      <sheetData sheetId="401">
        <row r="21">
          <cell r="E21" t="str">
            <v>Group Leisure</v>
          </cell>
        </row>
      </sheetData>
      <sheetData sheetId="402">
        <row r="21">
          <cell r="E21" t="str">
            <v>Group Leisure</v>
          </cell>
        </row>
      </sheetData>
      <sheetData sheetId="403">
        <row r="21">
          <cell r="E21" t="str">
            <v>Group Leisure</v>
          </cell>
        </row>
      </sheetData>
      <sheetData sheetId="404">
        <row r="21">
          <cell r="E21" t="str">
            <v>Group Leisure</v>
          </cell>
        </row>
      </sheetData>
      <sheetData sheetId="405">
        <row r="21">
          <cell r="E21" t="str">
            <v>Group Leisure</v>
          </cell>
        </row>
      </sheetData>
      <sheetData sheetId="406">
        <row r="21">
          <cell r="E21" t="str">
            <v>Group Leisure</v>
          </cell>
        </row>
      </sheetData>
      <sheetData sheetId="407">
        <row r="21">
          <cell r="E21" t="str">
            <v>Group Leisure</v>
          </cell>
        </row>
      </sheetData>
      <sheetData sheetId="408">
        <row r="21">
          <cell r="E21" t="str">
            <v>Group Leisure</v>
          </cell>
        </row>
      </sheetData>
      <sheetData sheetId="409">
        <row r="21">
          <cell r="E21" t="str">
            <v>Group Leisure</v>
          </cell>
        </row>
      </sheetData>
      <sheetData sheetId="410">
        <row r="21">
          <cell r="E21" t="str">
            <v>Group Leisure</v>
          </cell>
        </row>
      </sheetData>
      <sheetData sheetId="411"/>
      <sheetData sheetId="412">
        <row r="21">
          <cell r="E21" t="str">
            <v>Group Leisure</v>
          </cell>
        </row>
      </sheetData>
      <sheetData sheetId="413">
        <row r="21">
          <cell r="E21" t="str">
            <v>Group Leisure</v>
          </cell>
        </row>
      </sheetData>
      <sheetData sheetId="414">
        <row r="21">
          <cell r="E21" t="str">
            <v>Group Leisure</v>
          </cell>
        </row>
      </sheetData>
      <sheetData sheetId="415">
        <row r="21">
          <cell r="E21" t="str">
            <v>Group Leisure</v>
          </cell>
        </row>
      </sheetData>
      <sheetData sheetId="416">
        <row r="21">
          <cell r="E21" t="str">
            <v>Group Leisure</v>
          </cell>
        </row>
      </sheetData>
      <sheetData sheetId="417">
        <row r="21">
          <cell r="E21" t="str">
            <v>Group Leisure</v>
          </cell>
        </row>
      </sheetData>
      <sheetData sheetId="418" refreshError="1"/>
      <sheetData sheetId="419" refreshError="1"/>
      <sheetData sheetId="420">
        <row r="21">
          <cell r="E21" t="str">
            <v>Group Leisure</v>
          </cell>
        </row>
      </sheetData>
      <sheetData sheetId="421">
        <row r="21">
          <cell r="E21" t="str">
            <v>Group Leisure</v>
          </cell>
        </row>
      </sheetData>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sheetData sheetId="433"/>
      <sheetData sheetId="434"/>
      <sheetData sheetId="435"/>
      <sheetData sheetId="436"/>
      <sheetData sheetId="437"/>
      <sheetData sheetId="438"/>
      <sheetData sheetId="439">
        <row r="21">
          <cell r="E21" t="str">
            <v>Group Leisure</v>
          </cell>
        </row>
      </sheetData>
      <sheetData sheetId="440">
        <row r="21">
          <cell r="E21" t="str">
            <v>Group Leisure</v>
          </cell>
        </row>
      </sheetData>
      <sheetData sheetId="441">
        <row r="21">
          <cell r="E21" t="str">
            <v>Group Leisure</v>
          </cell>
        </row>
      </sheetData>
      <sheetData sheetId="442">
        <row r="21">
          <cell r="E21" t="str">
            <v>Group Leisure</v>
          </cell>
        </row>
      </sheetData>
      <sheetData sheetId="443">
        <row r="21">
          <cell r="E21" t="str">
            <v>Group Leisure</v>
          </cell>
        </row>
      </sheetData>
      <sheetData sheetId="444">
        <row r="21">
          <cell r="E21" t="str">
            <v>Group Leisure</v>
          </cell>
        </row>
      </sheetData>
      <sheetData sheetId="445">
        <row r="21">
          <cell r="E21" t="str">
            <v>Group Leisure</v>
          </cell>
        </row>
      </sheetData>
      <sheetData sheetId="446">
        <row r="21">
          <cell r="E21" t="str">
            <v>Group Leisure</v>
          </cell>
        </row>
      </sheetData>
      <sheetData sheetId="447">
        <row r="21">
          <cell r="E21" t="str">
            <v>Group Leisure</v>
          </cell>
        </row>
      </sheetData>
      <sheetData sheetId="448">
        <row r="21">
          <cell r="E21" t="str">
            <v>Group Leisure</v>
          </cell>
        </row>
      </sheetData>
      <sheetData sheetId="449">
        <row r="21">
          <cell r="E21" t="str">
            <v>Group Leisure</v>
          </cell>
        </row>
      </sheetData>
      <sheetData sheetId="450">
        <row r="21">
          <cell r="E21" t="str">
            <v>Group Leisure</v>
          </cell>
        </row>
      </sheetData>
      <sheetData sheetId="451">
        <row r="21">
          <cell r="E21" t="str">
            <v>Group Leisure</v>
          </cell>
        </row>
      </sheetData>
      <sheetData sheetId="452">
        <row r="21">
          <cell r="E21" t="str">
            <v>Group Leisure</v>
          </cell>
        </row>
      </sheetData>
      <sheetData sheetId="453">
        <row r="21">
          <cell r="E21" t="str">
            <v>Group Leisure</v>
          </cell>
        </row>
      </sheetData>
      <sheetData sheetId="454">
        <row r="21">
          <cell r="E21" t="str">
            <v>Group Leisure</v>
          </cell>
        </row>
      </sheetData>
      <sheetData sheetId="455">
        <row r="21">
          <cell r="E21" t="str">
            <v>Group Leisure</v>
          </cell>
        </row>
      </sheetData>
      <sheetData sheetId="456">
        <row r="21">
          <cell r="E21" t="str">
            <v>Group Leisure</v>
          </cell>
        </row>
      </sheetData>
      <sheetData sheetId="457">
        <row r="21">
          <cell r="E21" t="str">
            <v>Group Leisure</v>
          </cell>
        </row>
      </sheetData>
      <sheetData sheetId="458">
        <row r="21">
          <cell r="E21" t="str">
            <v>Group Leisure</v>
          </cell>
        </row>
      </sheetData>
      <sheetData sheetId="459">
        <row r="21">
          <cell r="E21" t="str">
            <v>Group Leisure</v>
          </cell>
        </row>
      </sheetData>
      <sheetData sheetId="460">
        <row r="21">
          <cell r="E21" t="str">
            <v>Group Leisure</v>
          </cell>
        </row>
      </sheetData>
      <sheetData sheetId="461">
        <row r="21">
          <cell r="E21" t="str">
            <v>Group Leisure</v>
          </cell>
        </row>
      </sheetData>
      <sheetData sheetId="462">
        <row r="21">
          <cell r="E21" t="str">
            <v>Group Leisure</v>
          </cell>
        </row>
      </sheetData>
      <sheetData sheetId="463">
        <row r="21">
          <cell r="E21" t="str">
            <v>Group Leisure</v>
          </cell>
        </row>
      </sheetData>
      <sheetData sheetId="464">
        <row r="21">
          <cell r="E21" t="str">
            <v>Group Leisure</v>
          </cell>
        </row>
      </sheetData>
      <sheetData sheetId="465">
        <row r="21">
          <cell r="E21" t="str">
            <v>Group Leisure</v>
          </cell>
        </row>
      </sheetData>
      <sheetData sheetId="466">
        <row r="21">
          <cell r="E21" t="str">
            <v>Group Leisure</v>
          </cell>
        </row>
      </sheetData>
      <sheetData sheetId="467">
        <row r="21">
          <cell r="E21" t="str">
            <v>Group Leisure</v>
          </cell>
        </row>
      </sheetData>
      <sheetData sheetId="468">
        <row r="21">
          <cell r="E21" t="str">
            <v>Group Leisure</v>
          </cell>
        </row>
      </sheetData>
      <sheetData sheetId="469">
        <row r="21">
          <cell r="E21" t="str">
            <v>Group Leisure</v>
          </cell>
        </row>
      </sheetData>
      <sheetData sheetId="470">
        <row r="21">
          <cell r="E21" t="str">
            <v>Group Leisure</v>
          </cell>
        </row>
      </sheetData>
      <sheetData sheetId="471">
        <row r="21">
          <cell r="E21" t="str">
            <v>Group Leisure</v>
          </cell>
        </row>
      </sheetData>
      <sheetData sheetId="472">
        <row r="21">
          <cell r="E21" t="str">
            <v>Group Leisure</v>
          </cell>
        </row>
      </sheetData>
      <sheetData sheetId="473">
        <row r="21">
          <cell r="E21" t="str">
            <v>Group Leisure</v>
          </cell>
        </row>
      </sheetData>
      <sheetData sheetId="474"/>
      <sheetData sheetId="475">
        <row r="21">
          <cell r="E21" t="str">
            <v>Group Leisure</v>
          </cell>
        </row>
      </sheetData>
      <sheetData sheetId="476">
        <row r="21">
          <cell r="E21" t="str">
            <v>Group Leisure</v>
          </cell>
        </row>
      </sheetData>
      <sheetData sheetId="477">
        <row r="21">
          <cell r="E21" t="str">
            <v>Group Leisure</v>
          </cell>
        </row>
      </sheetData>
      <sheetData sheetId="478">
        <row r="21">
          <cell r="E21" t="str">
            <v>Group Leisure</v>
          </cell>
        </row>
      </sheetData>
      <sheetData sheetId="479">
        <row r="21">
          <cell r="E21" t="str">
            <v>Group Leisure</v>
          </cell>
        </row>
      </sheetData>
      <sheetData sheetId="480">
        <row r="21">
          <cell r="E21" t="str">
            <v>Group Leisure</v>
          </cell>
        </row>
      </sheetData>
      <sheetData sheetId="481">
        <row r="21">
          <cell r="E21" t="str">
            <v>Group Leisure</v>
          </cell>
        </row>
      </sheetData>
      <sheetData sheetId="482"/>
      <sheetData sheetId="483">
        <row r="21">
          <cell r="E21" t="str">
            <v>Group Leisure</v>
          </cell>
        </row>
      </sheetData>
      <sheetData sheetId="484">
        <row r="21">
          <cell r="E21" t="str">
            <v>Group Leisure</v>
          </cell>
        </row>
      </sheetData>
      <sheetData sheetId="485">
        <row r="21">
          <cell r="E21" t="str">
            <v>Group Leisure</v>
          </cell>
        </row>
      </sheetData>
      <sheetData sheetId="486"/>
      <sheetData sheetId="487"/>
      <sheetData sheetId="488"/>
      <sheetData sheetId="489">
        <row r="21">
          <cell r="E21" t="str">
            <v>Group Leisure</v>
          </cell>
        </row>
      </sheetData>
      <sheetData sheetId="490">
        <row r="21">
          <cell r="E21" t="str">
            <v>Group Leisure</v>
          </cell>
        </row>
      </sheetData>
      <sheetData sheetId="491">
        <row r="21">
          <cell r="E21" t="str">
            <v>Group Leisure</v>
          </cell>
        </row>
      </sheetData>
      <sheetData sheetId="492">
        <row r="21">
          <cell r="E21" t="str">
            <v>Group Leisure</v>
          </cell>
        </row>
      </sheetData>
      <sheetData sheetId="493"/>
      <sheetData sheetId="494">
        <row r="21">
          <cell r="E21" t="str">
            <v>Group Leisure</v>
          </cell>
        </row>
      </sheetData>
      <sheetData sheetId="495">
        <row r="21">
          <cell r="E21" t="str">
            <v>Group Leisure</v>
          </cell>
        </row>
      </sheetData>
      <sheetData sheetId="496">
        <row r="21">
          <cell r="E21" t="str">
            <v>Group Leisure</v>
          </cell>
        </row>
      </sheetData>
      <sheetData sheetId="497"/>
      <sheetData sheetId="498"/>
      <sheetData sheetId="499"/>
      <sheetData sheetId="500">
        <row r="21">
          <cell r="E21" t="str">
            <v>Group Leisure</v>
          </cell>
        </row>
      </sheetData>
      <sheetData sheetId="501">
        <row r="21">
          <cell r="E21" t="str">
            <v>Group Leisure</v>
          </cell>
        </row>
      </sheetData>
      <sheetData sheetId="502">
        <row r="21">
          <cell r="E21" t="str">
            <v>Group Leisure</v>
          </cell>
        </row>
      </sheetData>
      <sheetData sheetId="503">
        <row r="21">
          <cell r="E21" t="str">
            <v>Group Leisure</v>
          </cell>
        </row>
      </sheetData>
      <sheetData sheetId="504">
        <row r="21">
          <cell r="E21" t="str">
            <v>Group Leisure</v>
          </cell>
        </row>
      </sheetData>
      <sheetData sheetId="505">
        <row r="21">
          <cell r="E21" t="str">
            <v>Group Leisure</v>
          </cell>
        </row>
      </sheetData>
      <sheetData sheetId="506">
        <row r="21">
          <cell r="E21" t="str">
            <v>Group Leisure</v>
          </cell>
        </row>
      </sheetData>
      <sheetData sheetId="507"/>
      <sheetData sheetId="508"/>
      <sheetData sheetId="509"/>
      <sheetData sheetId="510" refreshError="1"/>
      <sheetData sheetId="511" refreshError="1"/>
      <sheetData sheetId="512" refreshError="1"/>
      <sheetData sheetId="513" refreshError="1"/>
      <sheetData sheetId="514" refreshError="1"/>
      <sheetData sheetId="515" refreshError="1"/>
      <sheetData sheetId="516" refreshError="1"/>
      <sheetData sheetId="517">
        <row r="21">
          <cell r="E21" t="str">
            <v>Group Leisure</v>
          </cell>
        </row>
      </sheetData>
      <sheetData sheetId="518">
        <row r="21">
          <cell r="E21" t="str">
            <v>Group Leisure</v>
          </cell>
        </row>
      </sheetData>
      <sheetData sheetId="519">
        <row r="21">
          <cell r="E21" t="str">
            <v>Group Leisure</v>
          </cell>
        </row>
      </sheetData>
      <sheetData sheetId="520"/>
      <sheetData sheetId="521"/>
      <sheetData sheetId="522"/>
      <sheetData sheetId="523"/>
      <sheetData sheetId="524"/>
      <sheetData sheetId="525" refreshError="1"/>
      <sheetData sheetId="526" refreshError="1"/>
      <sheetData sheetId="527"/>
      <sheetData sheetId="528">
        <row r="21">
          <cell r="E21" t="str">
            <v>Group Leisure</v>
          </cell>
        </row>
      </sheetData>
      <sheetData sheetId="529">
        <row r="21">
          <cell r="E21" t="str">
            <v>Group Leisure</v>
          </cell>
        </row>
      </sheetData>
      <sheetData sheetId="530">
        <row r="21">
          <cell r="E21" t="str">
            <v>Group Leisure</v>
          </cell>
        </row>
      </sheetData>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row r="21">
          <cell r="E21" t="str">
            <v>Group Leisure</v>
          </cell>
        </row>
      </sheetData>
      <sheetData sheetId="574">
        <row r="21">
          <cell r="E21" t="str">
            <v>Group Leisure</v>
          </cell>
        </row>
      </sheetData>
      <sheetData sheetId="575">
        <row r="21">
          <cell r="E21" t="str">
            <v>Group Leisure</v>
          </cell>
        </row>
      </sheetData>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row r="21">
          <cell r="E21" t="str">
            <v>Group Leisure</v>
          </cell>
        </row>
      </sheetData>
      <sheetData sheetId="597">
        <row r="21">
          <cell r="E21" t="str">
            <v>Group Leisure</v>
          </cell>
        </row>
      </sheetData>
      <sheetData sheetId="598">
        <row r="21">
          <cell r="E21" t="str">
            <v>Group Leisure</v>
          </cell>
        </row>
      </sheetData>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row r="21">
          <cell r="E21" t="str">
            <v>Group Leisure</v>
          </cell>
        </row>
      </sheetData>
      <sheetData sheetId="620">
        <row r="21">
          <cell r="E21" t="str">
            <v>Group Leisure</v>
          </cell>
        </row>
      </sheetData>
      <sheetData sheetId="621">
        <row r="21">
          <cell r="E21" t="str">
            <v>Group Leisure</v>
          </cell>
        </row>
      </sheetData>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21">
          <cell r="E21" t="str">
            <v>Group Leisure</v>
          </cell>
        </row>
      </sheetData>
      <sheetData sheetId="643">
        <row r="21">
          <cell r="E21" t="str">
            <v>Group Leisure</v>
          </cell>
        </row>
      </sheetData>
      <sheetData sheetId="644">
        <row r="21">
          <cell r="E21" t="str">
            <v>Group Leisure</v>
          </cell>
        </row>
      </sheetData>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row r="21">
          <cell r="E21" t="str">
            <v>Group Leisure</v>
          </cell>
        </row>
      </sheetData>
      <sheetData sheetId="666">
        <row r="21">
          <cell r="E21" t="str">
            <v>Group Leisure</v>
          </cell>
        </row>
      </sheetData>
      <sheetData sheetId="667">
        <row r="21">
          <cell r="E21" t="str">
            <v>Group Leisure</v>
          </cell>
        </row>
      </sheetData>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1">
          <cell r="E21" t="str">
            <v>Group Leisure</v>
          </cell>
        </row>
      </sheetData>
      <sheetData sheetId="718">
        <row r="21">
          <cell r="E21" t="str">
            <v>Group Leisure</v>
          </cell>
        </row>
      </sheetData>
      <sheetData sheetId="719">
        <row r="21">
          <cell r="E21" t="str">
            <v>Group Leisure</v>
          </cell>
        </row>
      </sheetData>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row r="21">
          <cell r="E21" t="str">
            <v>Group Leisure</v>
          </cell>
        </row>
      </sheetData>
      <sheetData sheetId="769">
        <row r="21">
          <cell r="E21" t="str">
            <v>Group Leisure</v>
          </cell>
        </row>
      </sheetData>
      <sheetData sheetId="770">
        <row r="21">
          <cell r="E21" t="str">
            <v>Group Leisure</v>
          </cell>
        </row>
      </sheetData>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row r="21">
          <cell r="E21" t="str">
            <v>Group Leisure</v>
          </cell>
        </row>
      </sheetData>
      <sheetData sheetId="820">
        <row r="21">
          <cell r="E21" t="str">
            <v>Group Leisure</v>
          </cell>
        </row>
      </sheetData>
      <sheetData sheetId="821">
        <row r="21">
          <cell r="E21" t="str">
            <v>Group Leisure</v>
          </cell>
        </row>
      </sheetData>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row r="21">
          <cell r="E21" t="str">
            <v>Group Leisure</v>
          </cell>
        </row>
      </sheetData>
      <sheetData sheetId="871">
        <row r="21">
          <cell r="E21" t="str">
            <v>Group Leisure</v>
          </cell>
        </row>
      </sheetData>
      <sheetData sheetId="872">
        <row r="21">
          <cell r="E21" t="str">
            <v>Group Leisure</v>
          </cell>
        </row>
      </sheetData>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row r="21">
          <cell r="E21" t="str">
            <v>Group Leisure</v>
          </cell>
        </row>
      </sheetData>
      <sheetData sheetId="922">
        <row r="21">
          <cell r="E21" t="str">
            <v>Group Leisure</v>
          </cell>
        </row>
      </sheetData>
      <sheetData sheetId="923">
        <row r="21">
          <cell r="E21" t="str">
            <v>Group Leisure</v>
          </cell>
        </row>
      </sheetData>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row r="21">
          <cell r="E21" t="str">
            <v>Group Leisure</v>
          </cell>
        </row>
      </sheetData>
      <sheetData sheetId="973">
        <row r="21">
          <cell r="E21" t="str">
            <v>Group Leisure</v>
          </cell>
        </row>
      </sheetData>
      <sheetData sheetId="974">
        <row r="21">
          <cell r="E21" t="str">
            <v>Group Leisure</v>
          </cell>
        </row>
      </sheetData>
      <sheetData sheetId="975"/>
      <sheetData sheetId="976"/>
      <sheetData sheetId="977"/>
      <sheetData sheetId="978"/>
      <sheetData sheetId="979"/>
      <sheetData sheetId="980"/>
      <sheetData sheetId="981"/>
      <sheetData sheetId="982"/>
      <sheetData sheetId="983" refreshError="1"/>
      <sheetData sheetId="98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RC_B3U2"/>
      <sheetName val="金融中心概估  (2)"/>
      <sheetName val="金融中心概估  (3)"/>
      <sheetName val="金融中心概估  (4)"/>
      <sheetName val="CT-1 (3)"/>
      <sheetName val="SRC-B3U2"/>
      <sheetName val="001"/>
      <sheetName val="BSD (2)"/>
      <sheetName val="정부노임단가"/>
      <sheetName val="특수선일위대가"/>
      <sheetName val="당초"/>
      <sheetName val="Bill 1"/>
      <sheetName val="Bill 2"/>
      <sheetName val="Bill 3"/>
      <sheetName val="Bill 4"/>
      <sheetName val="Bill 5"/>
      <sheetName val="Bill 6"/>
      <sheetName val="Bill 7"/>
      <sheetName val="Site Expenses"/>
      <sheetName val="dropdowns"/>
      <sheetName val="金融中心概估__(2)"/>
      <sheetName val="金融中心概估__(3)"/>
      <sheetName val="金融中心概估__(4)"/>
      <sheetName val="CT-1_(3)"/>
      <sheetName val="BSD_(2)"/>
      <sheetName val="Bill_1"/>
      <sheetName val="Bill_2"/>
      <sheetName val="Bill_3"/>
      <sheetName val="Bill_4"/>
      <sheetName val="Bill_5"/>
      <sheetName val="Bill_6"/>
      <sheetName val="Bill_7"/>
      <sheetName val="Site_Expenses"/>
      <sheetName val="SubmitCal"/>
      <sheetName val="입찰내역 발주처 양식"/>
      <sheetName val="材料单"/>
      <sheetName val="单价"/>
      <sheetName val="安装费测算"/>
      <sheetName val="境外安装费"/>
      <sheetName val="BOQ"/>
      <sheetName val="Summary"/>
      <sheetName val="POWER"/>
      <sheetName val="制造厂收费标准"/>
      <sheetName val="属性"/>
      <sheetName val="Project Brief"/>
      <sheetName val="4"/>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 val="MOTOR"/>
      <sheetName val="Customer Databas"/>
      <sheetName val="A-4"/>
      <sheetName val="FACTOR"/>
      <sheetName val="물량산출근거"/>
      <sheetName val="Tender Summary"/>
      <sheetName val="협조전"/>
      <sheetName val="BOQ건축"/>
      <sheetName val="BID"/>
      <sheetName val="총괄"/>
      <sheetName val="산출내역서"/>
      <sheetName val="PriceSummary"/>
      <sheetName val="BOQ-Rev.3"/>
      <sheetName val="Cost Summary"/>
      <sheetName val="u_rates"/>
      <sheetName val="beam"/>
      <sheetName val="james's"/>
      <sheetName val="Windows"/>
      <sheetName val="ACCOUNT"/>
      <sheetName val="finalj"/>
      <sheetName val="LAB"/>
      <sheetName val="金融中心概估__(2)1"/>
      <sheetName val="金融中心概估__(3)1"/>
      <sheetName val="金融中心概估__(4)1"/>
      <sheetName val="CT-1_(3)1"/>
      <sheetName val="BSD_(2)1"/>
      <sheetName val="Bill_11"/>
      <sheetName val="Bill_21"/>
      <sheetName val="Bill_31"/>
      <sheetName val="Bill_41"/>
      <sheetName val="Bill_51"/>
      <sheetName val="Bill_61"/>
      <sheetName val="Bill_71"/>
      <sheetName val="Site_Expenses1"/>
      <sheetName val="입찰내역_발주처_양식"/>
      <sheetName val="Project_Brief"/>
      <sheetName val="_Structural"/>
      <sheetName val="Travel_Cranes"/>
      <sheetName val="Recap_Architect"/>
      <sheetName val="Recap_External"/>
      <sheetName val="Recap_Struct"/>
      <sheetName val="Recap_Travel_Crane"/>
      <sheetName val="Package_1"/>
      <sheetName val="Recap_Lift"/>
      <sheetName val="Customer_Databas"/>
      <sheetName val="Tender_Summary"/>
      <sheetName val="BOQ-Rev_3"/>
      <sheetName val="Cost_Summary"/>
      <sheetName val="金融中心概估__(2)2"/>
      <sheetName val="金融中心概估__(3)2"/>
      <sheetName val="金融中心概估__(4)2"/>
      <sheetName val="CT-1_(3)2"/>
      <sheetName val="BSD_(2)2"/>
      <sheetName val="Bill_12"/>
      <sheetName val="Bill_22"/>
      <sheetName val="Bill_32"/>
      <sheetName val="Bill_42"/>
      <sheetName val="Bill_52"/>
      <sheetName val="Bill_62"/>
      <sheetName val="Bill_72"/>
      <sheetName val="Site_Expenses2"/>
      <sheetName val="입찰내역_발주처_양식1"/>
      <sheetName val="Project_Brief1"/>
      <sheetName val="_Structural1"/>
      <sheetName val="Travel_Cranes1"/>
      <sheetName val="Recap_Architect1"/>
      <sheetName val="Recap_External1"/>
      <sheetName val="Recap_Struct1"/>
      <sheetName val="Recap_Travel_Crane1"/>
      <sheetName val="Package_11"/>
      <sheetName val="Recap_Lift1"/>
      <sheetName val="Customer_Databas1"/>
      <sheetName val="Tender_Summary1"/>
      <sheetName val="BOQ-Rev_31"/>
      <sheetName val="Cost_Summary1"/>
      <sheetName val="金融中心概估__(2)3"/>
      <sheetName val="金融中心概估__(3)3"/>
      <sheetName val="金融中心概估__(4)3"/>
      <sheetName val="CT-1_(3)3"/>
      <sheetName val="BSD_(2)3"/>
      <sheetName val="Bill_13"/>
      <sheetName val="Bill_23"/>
      <sheetName val="Bill_33"/>
      <sheetName val="Bill_43"/>
      <sheetName val="Bill_53"/>
      <sheetName val="Bill_63"/>
      <sheetName val="Bill_73"/>
      <sheetName val="Site_Expenses3"/>
      <sheetName val="입찰내역_발주처_양식2"/>
      <sheetName val="Project_Brief2"/>
      <sheetName val="_Structural2"/>
      <sheetName val="Travel_Cranes2"/>
      <sheetName val="Recap_Architect2"/>
      <sheetName val="Recap_External2"/>
      <sheetName val="Recap_Struct2"/>
      <sheetName val="Recap_Travel_Crane2"/>
      <sheetName val="Package_12"/>
      <sheetName val="Recap_Lift2"/>
      <sheetName val="Customer_Databas2"/>
      <sheetName val="Tender_Summary2"/>
      <sheetName val="BOQ-Rev_32"/>
      <sheetName val="Cost_Summary2"/>
      <sheetName val="金融中心概估__(2)4"/>
      <sheetName val="金融中心概估__(3)4"/>
      <sheetName val="金融中心概估__(4)4"/>
      <sheetName val="CT-1_(3)4"/>
      <sheetName val="BSD_(2)4"/>
      <sheetName val="Bill_14"/>
      <sheetName val="Bill_24"/>
      <sheetName val="Bill_34"/>
      <sheetName val="Bill_44"/>
      <sheetName val="Bill_54"/>
      <sheetName val="Bill_64"/>
      <sheetName val="Bill_74"/>
      <sheetName val="Site_Expenses4"/>
      <sheetName val="입찰내역_발주처_양식3"/>
      <sheetName val="Project_Brief3"/>
      <sheetName val="_Structural3"/>
      <sheetName val="Travel_Cranes3"/>
      <sheetName val="Recap_Architect3"/>
      <sheetName val="Recap_External3"/>
      <sheetName val="Recap_Struct3"/>
      <sheetName val="Recap_Travel_Crane3"/>
      <sheetName val="Package_13"/>
      <sheetName val="Recap_Lift3"/>
      <sheetName val="Customer_Databas3"/>
      <sheetName val="Tender_Summary3"/>
      <sheetName val="BOQ-Rev_33"/>
      <sheetName val="Cost_Summary3"/>
      <sheetName val="金融中心概估__(2)5"/>
      <sheetName val="金融中心概估__(3)5"/>
      <sheetName val="金融中心概估__(4)5"/>
      <sheetName val="CT-1_(3)5"/>
      <sheetName val="BSD_(2)5"/>
      <sheetName val="Bill_15"/>
      <sheetName val="Bill_25"/>
      <sheetName val="Bill_35"/>
      <sheetName val="Bill_45"/>
      <sheetName val="Bill_55"/>
      <sheetName val="Bill_65"/>
      <sheetName val="Bill_75"/>
      <sheetName val="Site_Expenses5"/>
      <sheetName val="입찰내역_발주처_양식4"/>
      <sheetName val="Project_Brief4"/>
      <sheetName val="_Structural4"/>
      <sheetName val="Travel_Cranes4"/>
      <sheetName val="Recap_Architect4"/>
      <sheetName val="Recap_External4"/>
      <sheetName val="Recap_Struct4"/>
      <sheetName val="Recap_Travel_Crane4"/>
      <sheetName val="Package_14"/>
      <sheetName val="Recap_Lift4"/>
      <sheetName val="Customer_Databas4"/>
      <sheetName val="Tender_Summary4"/>
      <sheetName val="BOQ-Rev_34"/>
      <sheetName val="Cost_Summary4"/>
      <sheetName val="1"/>
      <sheetName val="ITEM"/>
      <sheetName val="분석"/>
      <sheetName val="단가표"/>
      <sheetName val="XZLC004_PART2"/>
      <sheetName val="공사비내역서"/>
      <sheetName val="환율change"/>
      <sheetName val="Summary Rates From Contract"/>
      <sheetName val="analysis"/>
      <sheetName val="Tender Analysis (Original)"/>
      <sheetName val="CIF COST ITEM"/>
      <sheetName val="Tank"/>
      <sheetName val="Data"/>
      <sheetName val="金融中心概估__(2)6"/>
      <sheetName val="金融中心概估__(3)6"/>
      <sheetName val="金融中心概估__(4)6"/>
      <sheetName val="CT-1_(3)6"/>
      <sheetName val="BSD_(2)6"/>
      <sheetName val="Bill_16"/>
      <sheetName val="Bill_26"/>
      <sheetName val="Bill_36"/>
      <sheetName val="Bill_46"/>
      <sheetName val="Bill_56"/>
      <sheetName val="Bill_66"/>
      <sheetName val="Bill_76"/>
      <sheetName val="Site_Expenses6"/>
      <sheetName val="입찰내역_발주처_양식5"/>
      <sheetName val="Project_Brief5"/>
      <sheetName val="_Structural5"/>
      <sheetName val="Travel_Cranes5"/>
      <sheetName val="Recap_Architect5"/>
      <sheetName val="Recap_External5"/>
      <sheetName val="Recap_Struct5"/>
      <sheetName val="Recap_Travel_Crane5"/>
      <sheetName val="Package_15"/>
      <sheetName val="Recap_Lift5"/>
      <sheetName val="Customer_Databas5"/>
      <sheetName val="Tender_Summary5"/>
      <sheetName val="BOQ-Rev_35"/>
      <sheetName val="Cost_Summary5"/>
      <sheetName val="DATA(BAC)"/>
      <sheetName val="실행품의서"/>
      <sheetName val="목록표"/>
      <sheetName val="을"/>
      <sheetName val="터널조도"/>
      <sheetName val="직원소요계획"/>
      <sheetName val="드롭다운 목록"/>
      <sheetName val="Summary_Rates_From_Contract"/>
      <sheetName val="Sheet2"/>
      <sheetName val="金融中心概估__(2)7"/>
      <sheetName val="金融中心概估__(3)7"/>
      <sheetName val="金融中心概估__(4)7"/>
      <sheetName val="CT-1_(3)7"/>
      <sheetName val="BSD_(2)7"/>
      <sheetName val="Bill_17"/>
      <sheetName val="Bill_27"/>
      <sheetName val="Bill_37"/>
      <sheetName val="Bill_47"/>
      <sheetName val="Bill_57"/>
      <sheetName val="Bill_67"/>
      <sheetName val="Bill_77"/>
      <sheetName val="Site_Expenses7"/>
      <sheetName val="입찰내역_발주처_양식6"/>
      <sheetName val="Project_Brief6"/>
      <sheetName val="_Structural6"/>
      <sheetName val="Travel_Cranes6"/>
      <sheetName val="Recap_Architect6"/>
      <sheetName val="Recap_External6"/>
      <sheetName val="Recap_Struct6"/>
      <sheetName val="Recap_Travel_Crane6"/>
      <sheetName val="Package_16"/>
      <sheetName val="Recap_Lift6"/>
      <sheetName val="Customer_Databas6"/>
      <sheetName val="Tender_Summary6"/>
      <sheetName val="BOQ-Rev_36"/>
      <sheetName val="Cost_Summary6"/>
      <sheetName val="CIF_COST_ITEM"/>
      <sheetName val="드롭다운_목록"/>
      <sheetName val="Summary_Rates_From_Contract1"/>
      <sheetName val="Rate Analysis"/>
      <sheetName val="BXLDL"/>
      <sheetName val="CAT_5"/>
      <sheetName val="노임단가"/>
      <sheetName val="※ 드롭다운 목록"/>
      <sheetName val="Sheet1"/>
      <sheetName val="Names"/>
      <sheetName val="Development"/>
      <sheetName val="Add2-om-mep"/>
      <sheetName val="Item정리"/>
      <sheetName val="XREF"/>
      <sheetName val="Contents"/>
      <sheetName val="T08-2102"/>
      <sheetName val="A.O.R."/>
      <sheetName val="Equipment"/>
      <sheetName val="Labor"/>
      <sheetName val="Materials"/>
      <sheetName val="FINA"/>
      <sheetName val="PE"/>
      <sheetName val="Demand"/>
      <sheetName val="Occ"/>
      <sheetName val="???? ??? ??"/>
      <sheetName val="FitOutConfCentre"/>
      <sheetName val="Measurements"/>
      <sheetName val="Tables"/>
      <sheetName val="Flooring"/>
      <sheetName val="Ceilings"/>
      <sheetName val="ACAD Finishes"/>
      <sheetName val="Site Details"/>
      <sheetName val="Chair"/>
      <sheetName val="Site Area Statement"/>
      <sheetName val="Doors"/>
      <sheetName val="Estimate"/>
      <sheetName val="Material Master"/>
      <sheetName val="Macro"/>
      <sheetName val="mw"/>
      <sheetName val="合成単価作成・-BLDG"/>
      <sheetName val="ancillary"/>
      <sheetName val="#REF"/>
      <sheetName val="Kur"/>
      <sheetName val="Keşif-I"/>
      <sheetName val="BUTCE+MANHOUR"/>
      <sheetName val="keşif özeti"/>
      <sheetName val="Katsayılar"/>
      <sheetName val="ESCON"/>
      <sheetName val="SEX"/>
      <sheetName val="BREAK UP SHEET"/>
      <sheetName val="Pipe-Weekly"/>
      <sheetName val="Gen Sum"/>
      <sheetName val="w't table"/>
      <sheetName val="Struct_Earth"/>
      <sheetName val="CASHFLOWS"/>
      <sheetName val="M-Book for Conc"/>
      <sheetName val="M-Book for FW"/>
      <sheetName val="PROJECT BRIEF(EX.NEW)"/>
      <sheetName val="Tender_Analysis_(Original)"/>
      <sheetName val="Tender_Analysis_(Original)1"/>
      <sheetName val="Summary_Rates_From_Contract3"/>
      <sheetName val="Tender_Analysis_(Original)3"/>
      <sheetName val="Summary_Rates_From_Contract2"/>
      <sheetName val="Tender_Analysis_(Original)2"/>
      <sheetName val="Summary_Rates_From_Contract4"/>
      <sheetName val="Tender_Analysis_(Original)4"/>
      <sheetName val="P"/>
      <sheetName val="Sensetivities"/>
      <sheetName val="Model"/>
      <sheetName val="Indiana Sensitivites"/>
      <sheetName val="Marina sensitivities"/>
      <sheetName val="공사비 내역 (가)"/>
      <sheetName val="except wiring"/>
      <sheetName val="Day work"/>
      <sheetName val="intr stool brkup"/>
      <sheetName val="7.조직표 (수정)"/>
      <sheetName val="Struktur KST, NL"/>
      <sheetName val="金融中心概估__(2)8"/>
      <sheetName val="金融中心概估__(3)8"/>
      <sheetName val="金融中心概估__(4)8"/>
      <sheetName val="CT-1_(3)8"/>
      <sheetName val="BSD_(2)8"/>
      <sheetName val="Bill_18"/>
      <sheetName val="Bill_28"/>
      <sheetName val="Bill_38"/>
      <sheetName val="Bill_48"/>
      <sheetName val="Bill_58"/>
      <sheetName val="Bill_68"/>
      <sheetName val="Bill_78"/>
      <sheetName val="Site_Expenses8"/>
      <sheetName val="입찰내역_발주처_양식7"/>
      <sheetName val="Project_Brief7"/>
      <sheetName val="_Structural7"/>
      <sheetName val="Travel_Cranes7"/>
      <sheetName val="Recap_Architect7"/>
      <sheetName val="Recap_External7"/>
      <sheetName val="Recap_Struct7"/>
      <sheetName val="Recap_Travel_Crane7"/>
      <sheetName val="Package_17"/>
      <sheetName val="Recap_Lift7"/>
      <sheetName val="Customer_Databas7"/>
      <sheetName val="Tender_Summary7"/>
      <sheetName val="BOQ-Rev_37"/>
      <sheetName val="Cost_Summary7"/>
      <sheetName val="CIF_COST_ITEM1"/>
      <sheetName val="Rate_Analysis"/>
      <sheetName val="드롭다운_목록1"/>
      <sheetName val="B1"/>
      <sheetName val="Publicbuilding"/>
      <sheetName val="Part-A"/>
      <sheetName val="ChiTietDZ"/>
      <sheetName val="VuaBT"/>
      <sheetName val="NOTE"/>
      <sheetName val="Summary_Rates_From_Contract5"/>
      <sheetName val="Tender_Analysis_(Original)5"/>
      <sheetName val="※_드롭다운_목록"/>
      <sheetName val="Gen_Sum"/>
      <sheetName val="COLUMN"/>
      <sheetName val="PL"/>
      <sheetName val="Cash2"/>
      <sheetName val="Z"/>
      <sheetName val="Summ"/>
      <sheetName val="train cash"/>
      <sheetName val="金融中心概估__(2)9"/>
      <sheetName val="金融中心概估__(3)9"/>
      <sheetName val="金融中心概估__(4)9"/>
      <sheetName val="CT-1_(3)9"/>
      <sheetName val="BSD_(2)9"/>
      <sheetName val="Bill_19"/>
      <sheetName val="Bill_29"/>
      <sheetName val="Bill_39"/>
      <sheetName val="Bill_49"/>
      <sheetName val="Bill_59"/>
      <sheetName val="Bill_69"/>
      <sheetName val="Bill_79"/>
      <sheetName val="Site_Expenses9"/>
      <sheetName val="입찰내역_발주처_양식8"/>
      <sheetName val="Customer_Databas8"/>
      <sheetName val="Tender_Summary8"/>
      <sheetName val="Project_Brief8"/>
      <sheetName val="_Structural8"/>
      <sheetName val="Travel_Cranes8"/>
      <sheetName val="Recap_Architect8"/>
      <sheetName val="Recap_External8"/>
      <sheetName val="Recap_Struct8"/>
      <sheetName val="Recap_Travel_Crane8"/>
      <sheetName val="Package_18"/>
      <sheetName val="Recap_Lift8"/>
      <sheetName val="BOQ-Rev_38"/>
      <sheetName val="Cost_Summary8"/>
      <sheetName val="CIF_COST_ITEM2"/>
      <sheetName val="Rate_Analysis1"/>
      <sheetName val="드롭다운_목록2"/>
      <sheetName val="Struktur_KST,_NL"/>
      <sheetName val="train_cash"/>
      <sheetName val="ASD Sum of Parts"/>
      <sheetName val="cover page"/>
      <sheetName val="Sheet3"/>
      <sheetName val="金融中心概估__(2)10"/>
      <sheetName val="金融中心概估__(3)10"/>
      <sheetName val="金融中心概估__(4)10"/>
      <sheetName val="CT-1_(3)10"/>
      <sheetName val="Bill_110"/>
      <sheetName val="Bill_210"/>
      <sheetName val="Bill_310"/>
      <sheetName val="Bill_410"/>
      <sheetName val="Bill_510"/>
      <sheetName val="Bill_610"/>
      <sheetName val="Bill_710"/>
      <sheetName val="BSD_(2)10"/>
      <sheetName val="입찰내역_발주처_양식9"/>
      <sheetName val="Site_Expenses10"/>
      <sheetName val="Customer_Databas9"/>
      <sheetName val="Tender_Summary9"/>
      <sheetName val="Project_Brief9"/>
      <sheetName val="_Structural9"/>
      <sheetName val="Travel_Cranes9"/>
      <sheetName val="Recap_Architect9"/>
      <sheetName val="Recap_External9"/>
      <sheetName val="Recap_Struct9"/>
      <sheetName val="Recap_Travel_Crane9"/>
      <sheetName val="Package_19"/>
      <sheetName val="Recap_Lift9"/>
      <sheetName val="BOQ-Rev_39"/>
      <sheetName val="Cost_Summary9"/>
      <sheetName val="CIF_COST_ITEM3"/>
      <sheetName val="7_조직표_(수정)1"/>
      <sheetName val="Rate_Analysis2"/>
      <sheetName val="드롭다운_목록3"/>
      <sheetName val="※_드롭다운_목록1"/>
      <sheetName val="Struktur_KST,_NL1"/>
      <sheetName val="7_조직표_(수정)"/>
      <sheetName val="Bill.10"/>
      <sheetName val="Labor abs-NMR"/>
      <sheetName val="NPV"/>
      <sheetName val="SP Break Up"/>
      <sheetName val="intr_stool_brkup"/>
      <sheetName val="A_O_R_"/>
      <sheetName val="PROJECT_BRIEF(EX_NEW)"/>
      <sheetName val="FORM7"/>
      <sheetName val="Precios"/>
      <sheetName val="New Bld"/>
      <sheetName val="MOS"/>
      <sheetName val="Data (adj."/>
      <sheetName val="Funding Drwdn"/>
      <sheetName val="Summary_Rates_From_Contract6"/>
      <sheetName val="Tender_Analysis_(Original)6"/>
      <sheetName val="w't_table1"/>
      <sheetName val="M-Book_for_Conc1"/>
      <sheetName val="M-Book_for_FW1"/>
      <sheetName val="cover_page"/>
      <sheetName val="w't_table"/>
      <sheetName val="M-Book_for_Conc"/>
      <sheetName val="M-Book_for_FW"/>
      <sheetName val="Data_(adj_"/>
      <sheetName val="Gen_Sum1"/>
      <sheetName val="????_???_??"/>
      <sheetName val="Funding_Drwdn"/>
      <sheetName val="金融中心概估__(2)11"/>
      <sheetName val="金融中心概估__(3)11"/>
      <sheetName val="金融中心概估__(4)11"/>
      <sheetName val="CT-1_(3)11"/>
      <sheetName val="BSD_(2)11"/>
      <sheetName val="Bill_111"/>
      <sheetName val="Bill_211"/>
      <sheetName val="Bill_311"/>
      <sheetName val="Bill_411"/>
      <sheetName val="Bill_511"/>
      <sheetName val="Bill_611"/>
      <sheetName val="Bill_711"/>
      <sheetName val="Site_Expenses11"/>
      <sheetName val="입찰내역_발주처_양식10"/>
      <sheetName val="Project_Brief10"/>
      <sheetName val="_Structural10"/>
      <sheetName val="Travel_Cranes10"/>
      <sheetName val="Recap_Architect10"/>
      <sheetName val="Recap_External10"/>
      <sheetName val="Recap_Struct10"/>
      <sheetName val="Recap_Travel_Crane10"/>
      <sheetName val="Package_110"/>
      <sheetName val="Recap_Lift10"/>
      <sheetName val="Customer_Databas10"/>
      <sheetName val="Tender_Summary10"/>
      <sheetName val="BOQ-Rev_310"/>
      <sheetName val="Cost_Summary10"/>
      <sheetName val="Summary_Rates_From_Contract8"/>
      <sheetName val="Tender_Analysis_(Original)8"/>
      <sheetName val="CIF_COST_ITEM4"/>
      <sheetName val="Rate_Analysis3"/>
      <sheetName val="드롭다운_목록4"/>
      <sheetName val="Struktur_KST,_NL3"/>
      <sheetName val="w't_table3"/>
      <sheetName val="※_드롭다운_목록3"/>
      <sheetName val="M-Book_for_Conc3"/>
      <sheetName val="M-Book_for_FW3"/>
      <sheetName val="cover_page2"/>
      <sheetName val="Data_(adj_2"/>
      <sheetName val="Gen_Sum3"/>
      <sheetName val="????_???_??2"/>
      <sheetName val="Funding_Drwdn2"/>
      <sheetName val="Summary_Rates_From_Contract7"/>
      <sheetName val="Tender_Analysis_(Original)7"/>
      <sheetName val="Struktur_KST,_NL2"/>
      <sheetName val="w't_table2"/>
      <sheetName val="※_드롭다운_목록2"/>
      <sheetName val="M-Book_for_Conc2"/>
      <sheetName val="M-Book_for_FW2"/>
      <sheetName val="cover_page1"/>
      <sheetName val="Data_(adj_1"/>
      <sheetName val="Gen_Sum2"/>
      <sheetName val="????_???_??1"/>
      <sheetName val="Funding_Drwdn1"/>
      <sheetName val="金融中心概估__(2)15"/>
      <sheetName val="金融中心概估__(3)15"/>
      <sheetName val="金融中心概估__(4)15"/>
      <sheetName val="CT-1_(3)15"/>
      <sheetName val="BSD_(2)15"/>
      <sheetName val="Bill_115"/>
      <sheetName val="Bill_215"/>
      <sheetName val="Bill_315"/>
      <sheetName val="Bill_415"/>
      <sheetName val="Bill_515"/>
      <sheetName val="Bill_615"/>
      <sheetName val="Bill_715"/>
      <sheetName val="Site_Expenses15"/>
      <sheetName val="입찰내역_발주처_양식14"/>
      <sheetName val="Project_Brief14"/>
      <sheetName val="_Structural14"/>
      <sheetName val="Travel_Cranes14"/>
      <sheetName val="Recap_Architect14"/>
      <sheetName val="Recap_External14"/>
      <sheetName val="Recap_Struct14"/>
      <sheetName val="Recap_Travel_Crane14"/>
      <sheetName val="Package_114"/>
      <sheetName val="Recap_Lift14"/>
      <sheetName val="Customer_Databas14"/>
      <sheetName val="Tender_Summary14"/>
      <sheetName val="BOQ-Rev_314"/>
      <sheetName val="Cost_Summary14"/>
      <sheetName val="Summary_Rates_From_Contract12"/>
      <sheetName val="Tender_Analysis_(Original)12"/>
      <sheetName val="CIF_COST_ITEM8"/>
      <sheetName val="Rate_Analysis7"/>
      <sheetName val="드롭다운_목록8"/>
      <sheetName val="Struktur_KST,_NL7"/>
      <sheetName val="w't_table7"/>
      <sheetName val="※_드롭다운_목록7"/>
      <sheetName val="M-Book_for_Conc7"/>
      <sheetName val="M-Book_for_FW7"/>
      <sheetName val="cover_page6"/>
      <sheetName val="Data_(adj_6"/>
      <sheetName val="Gen_Sum7"/>
      <sheetName val="????_???_??6"/>
      <sheetName val="Funding_Drwdn6"/>
      <sheetName val="金融中心概估__(2)12"/>
      <sheetName val="金融中心概估__(3)12"/>
      <sheetName val="金融中心概估__(4)12"/>
      <sheetName val="CT-1_(3)12"/>
      <sheetName val="BSD_(2)12"/>
      <sheetName val="Bill_112"/>
      <sheetName val="Bill_212"/>
      <sheetName val="Bill_312"/>
      <sheetName val="Bill_412"/>
      <sheetName val="Bill_512"/>
      <sheetName val="Bill_612"/>
      <sheetName val="Bill_712"/>
      <sheetName val="Site_Expenses12"/>
      <sheetName val="입찰내역_발주처_양식11"/>
      <sheetName val="Project_Brief11"/>
      <sheetName val="_Structural11"/>
      <sheetName val="Travel_Cranes11"/>
      <sheetName val="Recap_Architect11"/>
      <sheetName val="Recap_External11"/>
      <sheetName val="Recap_Struct11"/>
      <sheetName val="Recap_Travel_Crane11"/>
      <sheetName val="Package_111"/>
      <sheetName val="Recap_Lift11"/>
      <sheetName val="Customer_Databas11"/>
      <sheetName val="Tender_Summary11"/>
      <sheetName val="BOQ-Rev_311"/>
      <sheetName val="Cost_Summary11"/>
      <sheetName val="Summary_Rates_From_Contract9"/>
      <sheetName val="CIF_COST_ITEM5"/>
      <sheetName val="드롭다운_목록5"/>
      <sheetName val="Tender_Analysis_(Original)9"/>
      <sheetName val="Rate_Analysis4"/>
      <sheetName val="M-Book_for_Conc4"/>
      <sheetName val="M-Book_for_FW4"/>
      <sheetName val="※_드롭다운_목록4"/>
      <sheetName val="Struktur_KST,_NL4"/>
      <sheetName val="w't_table4"/>
      <sheetName val="cover_page3"/>
      <sheetName val="Data_(adj_3"/>
      <sheetName val="Gen_Sum4"/>
      <sheetName val="????_???_??3"/>
      <sheetName val="Funding_Drwdn3"/>
      <sheetName val="金融中心概估__(2)13"/>
      <sheetName val="金融中心概估__(3)13"/>
      <sheetName val="金融中心概估__(4)13"/>
      <sheetName val="CT-1_(3)13"/>
      <sheetName val="BSD_(2)13"/>
      <sheetName val="Bill_113"/>
      <sheetName val="Bill_213"/>
      <sheetName val="Bill_313"/>
      <sheetName val="Bill_413"/>
      <sheetName val="Bill_513"/>
      <sheetName val="Bill_613"/>
      <sheetName val="Bill_713"/>
      <sheetName val="Site_Expenses13"/>
      <sheetName val="입찰내역_발주처_양식12"/>
      <sheetName val="Project_Brief12"/>
      <sheetName val="_Structural12"/>
      <sheetName val="Travel_Cranes12"/>
      <sheetName val="Recap_Architect12"/>
      <sheetName val="Recap_External12"/>
      <sheetName val="Recap_Struct12"/>
      <sheetName val="Recap_Travel_Crane12"/>
      <sheetName val="Package_112"/>
      <sheetName val="Recap_Lift12"/>
      <sheetName val="Customer_Databas12"/>
      <sheetName val="Tender_Summary12"/>
      <sheetName val="BOQ-Rev_312"/>
      <sheetName val="Cost_Summary12"/>
      <sheetName val="Summary_Rates_From_Contract10"/>
      <sheetName val="Tender_Analysis_(Original)10"/>
      <sheetName val="CIF_COST_ITEM6"/>
      <sheetName val="Rate_Analysis5"/>
      <sheetName val="드롭다운_목록6"/>
      <sheetName val="Struktur_KST,_NL5"/>
      <sheetName val="w't_table5"/>
      <sheetName val="※_드롭다운_목록5"/>
      <sheetName val="M-Book_for_Conc5"/>
      <sheetName val="M-Book_for_FW5"/>
      <sheetName val="cover_page4"/>
      <sheetName val="Data_(adj_4"/>
      <sheetName val="Gen_Sum5"/>
      <sheetName val="????_???_??4"/>
      <sheetName val="Funding_Drwdn4"/>
      <sheetName val="金融中心概估__(2)14"/>
      <sheetName val="金融中心概估__(3)14"/>
      <sheetName val="金融中心概估__(4)14"/>
      <sheetName val="CT-1_(3)14"/>
      <sheetName val="BSD_(2)14"/>
      <sheetName val="Bill_114"/>
      <sheetName val="Bill_214"/>
      <sheetName val="Bill_314"/>
      <sheetName val="Bill_414"/>
      <sheetName val="Bill_514"/>
      <sheetName val="Bill_614"/>
      <sheetName val="Bill_714"/>
      <sheetName val="Site_Expenses14"/>
      <sheetName val="입찰내역_발주처_양식13"/>
      <sheetName val="Project_Brief13"/>
      <sheetName val="_Structural13"/>
      <sheetName val="Travel_Cranes13"/>
      <sheetName val="Recap_Architect13"/>
      <sheetName val="Recap_External13"/>
      <sheetName val="Recap_Struct13"/>
      <sheetName val="Recap_Travel_Crane13"/>
      <sheetName val="Package_113"/>
      <sheetName val="Recap_Lift13"/>
      <sheetName val="Customer_Databas13"/>
      <sheetName val="Tender_Summary13"/>
      <sheetName val="BOQ-Rev_313"/>
      <sheetName val="Cost_Summary13"/>
      <sheetName val="Summary_Rates_From_Contract11"/>
      <sheetName val="Tender_Analysis_(Original)11"/>
      <sheetName val="CIF_COST_ITEM7"/>
      <sheetName val="Rate_Analysis6"/>
      <sheetName val="드롭다운_목록7"/>
      <sheetName val="Struktur_KST,_NL6"/>
      <sheetName val="w't_table6"/>
      <sheetName val="※_드롭다운_목록6"/>
      <sheetName val="M-Book_for_Conc6"/>
      <sheetName val="M-Book_for_FW6"/>
      <sheetName val="cover_page5"/>
      <sheetName val="Data_(adj_5"/>
      <sheetName val="Gen_Sum6"/>
      <sheetName val="????_???_??5"/>
      <sheetName val="Funding_Drwdn5"/>
      <sheetName val="金融中心概估__(2)16"/>
      <sheetName val="金融中心概估__(3)16"/>
      <sheetName val="金融中心概估__(4)16"/>
      <sheetName val="CT-1_(3)16"/>
      <sheetName val="BSD_(2)16"/>
      <sheetName val="Bill_116"/>
      <sheetName val="Bill_216"/>
      <sheetName val="Bill_316"/>
      <sheetName val="Bill_416"/>
      <sheetName val="Bill_516"/>
      <sheetName val="Bill_616"/>
      <sheetName val="Bill_716"/>
      <sheetName val="Site_Expenses16"/>
      <sheetName val="입찰내역_발주처_양식15"/>
      <sheetName val="Project_Brief15"/>
      <sheetName val="_Structural15"/>
      <sheetName val="Travel_Cranes15"/>
      <sheetName val="Recap_Architect15"/>
      <sheetName val="Recap_External15"/>
      <sheetName val="Recap_Struct15"/>
      <sheetName val="Recap_Travel_Crane15"/>
      <sheetName val="Package_115"/>
      <sheetName val="Recap_Lift15"/>
      <sheetName val="Customer_Databas15"/>
      <sheetName val="Tender_Summary15"/>
      <sheetName val="BOQ-Rev_315"/>
      <sheetName val="Cost_Summary15"/>
      <sheetName val="Summary_Rates_From_Contract13"/>
      <sheetName val="Tender_Analysis_(Original)13"/>
      <sheetName val="CIF_COST_ITEM9"/>
      <sheetName val="Rate_Analysis8"/>
      <sheetName val="드롭다운_목록9"/>
      <sheetName val="w't_table8"/>
      <sheetName val="※_드롭다운_목록8"/>
      <sheetName val="Struktur_KST,_NL8"/>
      <sheetName val="M-Book_for_Conc8"/>
      <sheetName val="M-Book_for_FW8"/>
      <sheetName val="cover_page7"/>
      <sheetName val="Data_(adj_7"/>
      <sheetName val="Gen_Sum8"/>
      <sheetName val="????_???_??7"/>
      <sheetName val="Funding_Drwdn7"/>
      <sheetName val="Staircase-Conc"/>
      <sheetName val="train_cash1"/>
      <sheetName val="金融中心概估__(2)17"/>
      <sheetName val="金融中心概估__(3)17"/>
      <sheetName val="金融中心概估__(4)17"/>
      <sheetName val="CT-1_(3)17"/>
      <sheetName val="Bill_117"/>
      <sheetName val="Bill_217"/>
      <sheetName val="Bill_317"/>
      <sheetName val="Bill_417"/>
      <sheetName val="Bill_517"/>
      <sheetName val="Bill_617"/>
      <sheetName val="Bill_717"/>
      <sheetName val="BSD_(2)17"/>
      <sheetName val="입찰내역_발주처_양식16"/>
      <sheetName val="Site_Expenses17"/>
      <sheetName val="Customer_Databas16"/>
      <sheetName val="Tender_Summary16"/>
      <sheetName val="Project_Brief16"/>
      <sheetName val="_Structural16"/>
      <sheetName val="Travel_Cranes16"/>
      <sheetName val="Recap_Architect16"/>
      <sheetName val="Recap_External16"/>
      <sheetName val="Recap_Struct16"/>
      <sheetName val="Recap_Travel_Crane16"/>
      <sheetName val="Package_116"/>
      <sheetName val="Recap_Lift16"/>
      <sheetName val="BOQ-Rev_316"/>
      <sheetName val="Cost_Summary16"/>
      <sheetName val="CIF_COST_ITEM10"/>
      <sheetName val="드롭다운_목록10"/>
      <sheetName val="Summary_Rates_From_Contract14"/>
      <sheetName val="Tender_Analysis_(Original)14"/>
      <sheetName val="Struktur_KST,_NL9"/>
      <sheetName val="Rate_Analysis9"/>
      <sheetName val="※_드롭다운_목록9"/>
      <sheetName val="w't_table9"/>
      <sheetName val="M-Book_for_Conc9"/>
      <sheetName val="M-Book_for_FW9"/>
      <sheetName val="cover_page8"/>
      <sheetName val="Data_(adj_8"/>
      <sheetName val="Gen_Sum9"/>
      <sheetName val="????_???_??8"/>
      <sheetName val="Funding_Drwdn8"/>
      <sheetName val="kitc"/>
      <sheetName val="Bldg"/>
      <sheetName val="Cert"/>
      <sheetName val="DVM Sizing Calculator- 10 ips "/>
      <sheetName val="金融中心概估__(2)25"/>
      <sheetName val="金融中心概估__(3)25"/>
      <sheetName val="金融中心概估__(4)25"/>
      <sheetName val="CT-1_(3)25"/>
      <sheetName val="BSD_(2)25"/>
      <sheetName val="Bill_125"/>
      <sheetName val="Bill_225"/>
      <sheetName val="Bill_325"/>
      <sheetName val="Bill_425"/>
      <sheetName val="Bill_525"/>
      <sheetName val="Bill_625"/>
      <sheetName val="Bill_725"/>
      <sheetName val="Site_Expenses25"/>
      <sheetName val="입찰내역_발주처_양식24"/>
      <sheetName val="Project_Brief24"/>
      <sheetName val="_Structural24"/>
      <sheetName val="Travel_Cranes24"/>
      <sheetName val="Recap_Architect24"/>
      <sheetName val="Recap_External24"/>
      <sheetName val="Recap_Struct24"/>
      <sheetName val="Recap_Travel_Crane24"/>
      <sheetName val="Package_124"/>
      <sheetName val="Recap_Lift24"/>
      <sheetName val="Customer_Databas24"/>
      <sheetName val="Tender_Summary24"/>
      <sheetName val="BOQ-Rev_324"/>
      <sheetName val="Cost_Summary24"/>
      <sheetName val="Summary_Rates_From_Contract22"/>
      <sheetName val="Tender_Analysis_(Original)22"/>
      <sheetName val="CIF_COST_ITEM18"/>
      <sheetName val="Rate_Analysis17"/>
      <sheetName val="드롭다운_목록18"/>
      <sheetName val="Struktur_KST,_NL17"/>
      <sheetName val="w't_table17"/>
      <sheetName val="※_드롭다운_목록17"/>
      <sheetName val="M-Book_for_Conc17"/>
      <sheetName val="M-Book_for_FW17"/>
      <sheetName val="cover_page16"/>
      <sheetName val="Data_(adj_16"/>
      <sheetName val="Gen_Sum17"/>
      <sheetName val="????_???_??16"/>
      <sheetName val="Funding_Drwdn16"/>
      <sheetName val="A_O_R_1"/>
      <sheetName val="train_cash3"/>
      <sheetName val="ACAD_Finishes1"/>
      <sheetName val="Site_Details1"/>
      <sheetName val="Site_Area_Statement1"/>
      <sheetName val="Material_Master1"/>
      <sheetName val="keşif_özeti1"/>
      <sheetName val="Day_work1"/>
      <sheetName val="金融中心概估__(2)21"/>
      <sheetName val="金融中心概估__(3)21"/>
      <sheetName val="金融中心概估__(4)21"/>
      <sheetName val="CT-1_(3)21"/>
      <sheetName val="BSD_(2)21"/>
      <sheetName val="Bill_121"/>
      <sheetName val="Bill_221"/>
      <sheetName val="Bill_321"/>
      <sheetName val="Bill_421"/>
      <sheetName val="Bill_521"/>
      <sheetName val="Bill_621"/>
      <sheetName val="Bill_721"/>
      <sheetName val="Site_Expenses21"/>
      <sheetName val="입찰내역_발주처_양식20"/>
      <sheetName val="Project_Brief20"/>
      <sheetName val="_Structural20"/>
      <sheetName val="Travel_Cranes20"/>
      <sheetName val="Recap_Architect20"/>
      <sheetName val="Recap_External20"/>
      <sheetName val="Recap_Struct20"/>
      <sheetName val="Recap_Travel_Crane20"/>
      <sheetName val="Package_120"/>
      <sheetName val="Recap_Lift20"/>
      <sheetName val="Customer_Databas20"/>
      <sheetName val="Tender_Summary20"/>
      <sheetName val="BOQ-Rev_320"/>
      <sheetName val="Cost_Summary20"/>
      <sheetName val="Summary_Rates_From_Contract18"/>
      <sheetName val="Tender_Analysis_(Original)18"/>
      <sheetName val="CIF_COST_ITEM14"/>
      <sheetName val="Rate_Analysis13"/>
      <sheetName val="드롭다운_목록14"/>
      <sheetName val="Struktur_KST,_NL13"/>
      <sheetName val="w't_table13"/>
      <sheetName val="※_드롭다운_목록13"/>
      <sheetName val="M-Book_for_Conc13"/>
      <sheetName val="M-Book_for_FW13"/>
      <sheetName val="cover_page12"/>
      <sheetName val="Data_(adj_12"/>
      <sheetName val="Gen_Sum13"/>
      <sheetName val="????_???_??12"/>
      <sheetName val="Funding_Drwdn12"/>
      <sheetName val="金融中心概估__(2)18"/>
      <sheetName val="金融中心概估__(3)18"/>
      <sheetName val="金融中心概估__(4)18"/>
      <sheetName val="CT-1_(3)18"/>
      <sheetName val="BSD_(2)18"/>
      <sheetName val="Bill_118"/>
      <sheetName val="Bill_218"/>
      <sheetName val="Bill_318"/>
      <sheetName val="Bill_418"/>
      <sheetName val="Bill_518"/>
      <sheetName val="Bill_618"/>
      <sheetName val="Bill_718"/>
      <sheetName val="Site_Expenses18"/>
      <sheetName val="입찰내역_발주처_양식17"/>
      <sheetName val="Project_Brief17"/>
      <sheetName val="_Structural17"/>
      <sheetName val="Travel_Cranes17"/>
      <sheetName val="Recap_Architect17"/>
      <sheetName val="Recap_External17"/>
      <sheetName val="Recap_Struct17"/>
      <sheetName val="Recap_Travel_Crane17"/>
      <sheetName val="Package_117"/>
      <sheetName val="Recap_Lift17"/>
      <sheetName val="Customer_Databas17"/>
      <sheetName val="Tender_Summary17"/>
      <sheetName val="BOQ-Rev_317"/>
      <sheetName val="Cost_Summary17"/>
      <sheetName val="Summary_Rates_From_Contract15"/>
      <sheetName val="Tender_Analysis_(Original)15"/>
      <sheetName val="CIF_COST_ITEM11"/>
      <sheetName val="Rate_Analysis10"/>
      <sheetName val="드롭다운_목록11"/>
      <sheetName val="Struktur_KST,_NL10"/>
      <sheetName val="w't_table10"/>
      <sheetName val="※_드롭다운_목록10"/>
      <sheetName val="M-Book_for_Conc10"/>
      <sheetName val="M-Book_for_FW10"/>
      <sheetName val="cover_page9"/>
      <sheetName val="Data_(adj_9"/>
      <sheetName val="Gen_Sum10"/>
      <sheetName val="????_???_??9"/>
      <sheetName val="Funding_Drwdn9"/>
      <sheetName val="train_cash2"/>
      <sheetName val="ACAD_Finishes"/>
      <sheetName val="Site_Details"/>
      <sheetName val="Site_Area_Statement"/>
      <sheetName val="Material_Master"/>
      <sheetName val="keşif_özeti"/>
      <sheetName val="Day_work"/>
      <sheetName val="金融中心概估__(2)19"/>
      <sheetName val="金融中心概估__(3)19"/>
      <sheetName val="金融中心概估__(4)19"/>
      <sheetName val="CT-1_(3)19"/>
      <sheetName val="BSD_(2)19"/>
      <sheetName val="Bill_119"/>
      <sheetName val="Bill_219"/>
      <sheetName val="Bill_319"/>
      <sheetName val="Bill_419"/>
      <sheetName val="Bill_519"/>
      <sheetName val="Bill_619"/>
      <sheetName val="Bill_719"/>
      <sheetName val="Site_Expenses19"/>
      <sheetName val="입찰내역_발주처_양식18"/>
      <sheetName val="Project_Brief18"/>
      <sheetName val="_Structural18"/>
      <sheetName val="Travel_Cranes18"/>
      <sheetName val="Recap_Architect18"/>
      <sheetName val="Recap_External18"/>
      <sheetName val="Recap_Struct18"/>
      <sheetName val="Recap_Travel_Crane18"/>
      <sheetName val="Package_118"/>
      <sheetName val="Recap_Lift18"/>
      <sheetName val="Customer_Databas18"/>
      <sheetName val="Tender_Summary18"/>
      <sheetName val="BOQ-Rev_318"/>
      <sheetName val="Cost_Summary18"/>
      <sheetName val="Summary_Rates_From_Contract16"/>
      <sheetName val="Tender_Analysis_(Original)16"/>
      <sheetName val="CIF_COST_ITEM12"/>
      <sheetName val="Rate_Analysis11"/>
      <sheetName val="드롭다운_목록12"/>
      <sheetName val="Struktur_KST,_NL11"/>
      <sheetName val="w't_table11"/>
      <sheetName val="※_드롭다운_목록11"/>
      <sheetName val="M-Book_for_Conc11"/>
      <sheetName val="M-Book_for_FW11"/>
      <sheetName val="cover_page10"/>
      <sheetName val="Data_(adj_10"/>
      <sheetName val="Gen_Sum11"/>
      <sheetName val="????_???_??10"/>
      <sheetName val="Funding_Drwdn10"/>
      <sheetName val="金融中心概估__(2)20"/>
      <sheetName val="金融中心概估__(3)20"/>
      <sheetName val="金融中心概估__(4)20"/>
      <sheetName val="CT-1_(3)20"/>
      <sheetName val="BSD_(2)20"/>
      <sheetName val="Bill_120"/>
      <sheetName val="Bill_220"/>
      <sheetName val="Bill_320"/>
      <sheetName val="Bill_420"/>
      <sheetName val="Bill_520"/>
      <sheetName val="Bill_620"/>
      <sheetName val="Bill_720"/>
      <sheetName val="Site_Expenses20"/>
      <sheetName val="입찰내역_발주처_양식19"/>
      <sheetName val="Project_Brief19"/>
      <sheetName val="_Structural19"/>
      <sheetName val="Travel_Cranes19"/>
      <sheetName val="Recap_Architect19"/>
      <sheetName val="Recap_External19"/>
      <sheetName val="Recap_Struct19"/>
      <sheetName val="Recap_Travel_Crane19"/>
      <sheetName val="Package_119"/>
      <sheetName val="Recap_Lift19"/>
      <sheetName val="Customer_Databas19"/>
      <sheetName val="Tender_Summary19"/>
      <sheetName val="BOQ-Rev_319"/>
      <sheetName val="Cost_Summary19"/>
      <sheetName val="Summary_Rates_From_Contract17"/>
      <sheetName val="Tender_Analysis_(Original)17"/>
      <sheetName val="CIF_COST_ITEM13"/>
      <sheetName val="Rate_Analysis12"/>
      <sheetName val="드롭다운_목록13"/>
      <sheetName val="Struktur_KST,_NL12"/>
      <sheetName val="w't_table12"/>
      <sheetName val="※_드롭다운_목록12"/>
      <sheetName val="M-Book_for_Conc12"/>
      <sheetName val="M-Book_for_FW12"/>
      <sheetName val="cover_page11"/>
      <sheetName val="Data_(adj_11"/>
      <sheetName val="Gen_Sum12"/>
      <sheetName val="????_???_??11"/>
      <sheetName val="Funding_Drwdn11"/>
      <sheetName val="金融中心概估__(2)24"/>
      <sheetName val="金融中心概估__(3)24"/>
      <sheetName val="金融中心概估__(4)24"/>
      <sheetName val="CT-1_(3)24"/>
      <sheetName val="BSD_(2)24"/>
      <sheetName val="Bill_124"/>
      <sheetName val="Bill_224"/>
      <sheetName val="Bill_324"/>
      <sheetName val="Bill_424"/>
      <sheetName val="Bill_524"/>
      <sheetName val="Bill_624"/>
      <sheetName val="Bill_724"/>
      <sheetName val="Site_Expenses24"/>
      <sheetName val="입찰내역_발주처_양식23"/>
      <sheetName val="Project_Brief23"/>
      <sheetName val="_Structural23"/>
      <sheetName val="Travel_Cranes23"/>
      <sheetName val="Recap_Architect23"/>
      <sheetName val="Recap_External23"/>
      <sheetName val="Recap_Struct23"/>
      <sheetName val="Recap_Travel_Crane23"/>
      <sheetName val="Package_123"/>
      <sheetName val="Recap_Lift23"/>
      <sheetName val="Customer_Databas23"/>
      <sheetName val="Tender_Summary23"/>
      <sheetName val="BOQ-Rev_323"/>
      <sheetName val="Cost_Summary23"/>
      <sheetName val="Summary_Rates_From_Contract21"/>
      <sheetName val="Tender_Analysis_(Original)21"/>
      <sheetName val="CIF_COST_ITEM17"/>
      <sheetName val="Rate_Analysis16"/>
      <sheetName val="드롭다운_목록17"/>
      <sheetName val="Struktur_KST,_NL16"/>
      <sheetName val="w't_table16"/>
      <sheetName val="※_드롭다운_목록16"/>
      <sheetName val="M-Book_for_Conc16"/>
      <sheetName val="M-Book_for_FW16"/>
      <sheetName val="cover_page15"/>
      <sheetName val="Data_(adj_15"/>
      <sheetName val="Gen_Sum16"/>
      <sheetName val="????_???_??15"/>
      <sheetName val="Funding_Drwdn15"/>
      <sheetName val="金融中心概估__(2)22"/>
      <sheetName val="金融中心概估__(3)22"/>
      <sheetName val="金融中心概估__(4)22"/>
      <sheetName val="CT-1_(3)22"/>
      <sheetName val="BSD_(2)22"/>
      <sheetName val="Bill_122"/>
      <sheetName val="Bill_222"/>
      <sheetName val="Bill_322"/>
      <sheetName val="Bill_422"/>
      <sheetName val="Bill_522"/>
      <sheetName val="Bill_622"/>
      <sheetName val="Bill_722"/>
      <sheetName val="Site_Expenses22"/>
      <sheetName val="입찰내역_발주처_양식21"/>
      <sheetName val="Project_Brief21"/>
      <sheetName val="_Structural21"/>
      <sheetName val="Travel_Cranes21"/>
      <sheetName val="Recap_Architect21"/>
      <sheetName val="Recap_External21"/>
      <sheetName val="Recap_Struct21"/>
      <sheetName val="Recap_Travel_Crane21"/>
      <sheetName val="Package_121"/>
      <sheetName val="Recap_Lift21"/>
      <sheetName val="Customer_Databas21"/>
      <sheetName val="Tender_Summary21"/>
      <sheetName val="BOQ-Rev_321"/>
      <sheetName val="Cost_Summary21"/>
      <sheetName val="Summary_Rates_From_Contract19"/>
      <sheetName val="Tender_Analysis_(Original)19"/>
      <sheetName val="CIF_COST_ITEM15"/>
      <sheetName val="Rate_Analysis14"/>
      <sheetName val="드롭다운_목록15"/>
      <sheetName val="Struktur_KST,_NL14"/>
      <sheetName val="w't_table14"/>
      <sheetName val="※_드롭다운_목록14"/>
      <sheetName val="M-Book_for_Conc14"/>
      <sheetName val="M-Book_for_FW14"/>
      <sheetName val="cover_page13"/>
      <sheetName val="Data_(adj_13"/>
      <sheetName val="Gen_Sum14"/>
      <sheetName val="????_???_??13"/>
      <sheetName val="Funding_Drwdn13"/>
      <sheetName val="金融中心概估__(2)23"/>
      <sheetName val="金融中心概估__(3)23"/>
      <sheetName val="金融中心概估__(4)23"/>
      <sheetName val="CT-1_(3)23"/>
      <sheetName val="BSD_(2)23"/>
      <sheetName val="Bill_123"/>
      <sheetName val="Bill_223"/>
      <sheetName val="Bill_323"/>
      <sheetName val="Bill_423"/>
      <sheetName val="Bill_523"/>
      <sheetName val="Bill_623"/>
      <sheetName val="Bill_723"/>
      <sheetName val="Site_Expenses23"/>
      <sheetName val="입찰내역_발주처_양식22"/>
      <sheetName val="Project_Brief22"/>
      <sheetName val="_Structural22"/>
      <sheetName val="Travel_Cranes22"/>
      <sheetName val="Recap_Architect22"/>
      <sheetName val="Recap_External22"/>
      <sheetName val="Recap_Struct22"/>
      <sheetName val="Recap_Travel_Crane22"/>
      <sheetName val="Package_122"/>
      <sheetName val="Recap_Lift22"/>
      <sheetName val="Customer_Databas22"/>
      <sheetName val="Tender_Summary22"/>
      <sheetName val="BOQ-Rev_322"/>
      <sheetName val="Cost_Summary22"/>
      <sheetName val="Summary_Rates_From_Contract20"/>
      <sheetName val="Tender_Analysis_(Original)20"/>
      <sheetName val="CIF_COST_ITEM16"/>
      <sheetName val="Rate_Analysis15"/>
      <sheetName val="드롭다운_목록16"/>
      <sheetName val="Struktur_KST,_NL15"/>
      <sheetName val="w't_table15"/>
      <sheetName val="※_드롭다운_목록15"/>
      <sheetName val="M-Book_for_Conc15"/>
      <sheetName val="M-Book_for_FW15"/>
      <sheetName val="cover_page14"/>
      <sheetName val="Data_(adj_14"/>
      <sheetName val="Gen_Sum15"/>
      <sheetName val="????_???_??14"/>
      <sheetName val="Funding_Drwdn14"/>
      <sheetName val="金融中心概估__(2)26"/>
      <sheetName val="金融中心概估__(3)26"/>
      <sheetName val="金融中心概估__(4)26"/>
      <sheetName val="CT-1_(3)26"/>
      <sheetName val="BSD_(2)26"/>
      <sheetName val="Bill_126"/>
      <sheetName val="Bill_226"/>
      <sheetName val="Bill_326"/>
      <sheetName val="Bill_426"/>
      <sheetName val="Bill_526"/>
      <sheetName val="Bill_626"/>
      <sheetName val="Bill_726"/>
      <sheetName val="Site_Expenses26"/>
      <sheetName val="입찰내역_발주처_양식25"/>
      <sheetName val="Project_Brief25"/>
      <sheetName val="_Structural25"/>
      <sheetName val="Travel_Cranes25"/>
      <sheetName val="Recap_Architect25"/>
      <sheetName val="Recap_External25"/>
      <sheetName val="Recap_Struct25"/>
      <sheetName val="Recap_Travel_Crane25"/>
      <sheetName val="Package_125"/>
      <sheetName val="Recap_Lift25"/>
      <sheetName val="Customer_Databas25"/>
      <sheetName val="Tender_Summary25"/>
      <sheetName val="BOQ-Rev_325"/>
      <sheetName val="Cost_Summary25"/>
      <sheetName val="Summary_Rates_From_Contract23"/>
      <sheetName val="Tender_Analysis_(Original)23"/>
      <sheetName val="CIF_COST_ITEM19"/>
      <sheetName val="Rate_Analysis18"/>
      <sheetName val="드롭다운_목록19"/>
      <sheetName val="Struktur_KST,_NL18"/>
      <sheetName val="w't_table18"/>
      <sheetName val="※_드롭다운_목록18"/>
      <sheetName val="M-Book_for_Conc18"/>
      <sheetName val="M-Book_for_FW18"/>
      <sheetName val="cover_page17"/>
      <sheetName val="Data_(adj_17"/>
      <sheetName val="Gen_Sum18"/>
      <sheetName val="????_???_??17"/>
      <sheetName val="Funding_Drwdn17"/>
      <sheetName val="金融中心概估__(2)27"/>
      <sheetName val="金融中心概估__(3)27"/>
      <sheetName val="金融中心概估__(4)27"/>
      <sheetName val="CT-1_(3)27"/>
      <sheetName val="BSD_(2)27"/>
      <sheetName val="Bill_127"/>
      <sheetName val="Bill_227"/>
      <sheetName val="Bill_327"/>
      <sheetName val="Bill_427"/>
      <sheetName val="Bill_527"/>
      <sheetName val="Bill_627"/>
      <sheetName val="Bill_727"/>
      <sheetName val="Site_Expenses27"/>
      <sheetName val="입찰내역_발주처_양식26"/>
      <sheetName val="Project_Brief26"/>
      <sheetName val="_Structural26"/>
      <sheetName val="Travel_Cranes26"/>
      <sheetName val="Recap_Architect26"/>
      <sheetName val="Recap_External26"/>
      <sheetName val="Recap_Struct26"/>
      <sheetName val="Recap_Travel_Crane26"/>
      <sheetName val="Package_126"/>
      <sheetName val="Recap_Lift26"/>
      <sheetName val="Customer_Databas26"/>
      <sheetName val="Tender_Summary26"/>
      <sheetName val="BOQ-Rev_326"/>
      <sheetName val="Cost_Summary26"/>
      <sheetName val="Summary_Rates_From_Contract24"/>
      <sheetName val="Tender_Analysis_(Original)24"/>
      <sheetName val="CIF_COST_ITEM20"/>
      <sheetName val="Rate_Analysis19"/>
      <sheetName val="드롭다운_목록20"/>
      <sheetName val="Struktur_KST,_NL19"/>
      <sheetName val="w't_table19"/>
      <sheetName val="※_드롭다운_목록19"/>
      <sheetName val="M-Book_for_Conc19"/>
      <sheetName val="M-Book_for_FW19"/>
      <sheetName val="cover_page18"/>
      <sheetName val="Data_(adj_18"/>
      <sheetName val="Gen_Sum19"/>
      <sheetName val="????_???_??18"/>
      <sheetName val="Funding_Drwdn18"/>
      <sheetName val="A_O_R_2"/>
      <sheetName val="train_cash4"/>
      <sheetName val="ACAD_Finishes2"/>
      <sheetName val="Site_Details2"/>
      <sheetName val="Site_Area_Statement2"/>
      <sheetName val="Material_Master2"/>
      <sheetName val="keşif_özeti2"/>
      <sheetName val="Day_work2"/>
      <sheetName val="A_O_R_3"/>
      <sheetName val="train_cash5"/>
      <sheetName val="ACAD_Finishes3"/>
      <sheetName val="Site_Details3"/>
      <sheetName val="Site_Area_Statement3"/>
      <sheetName val="Material_Master3"/>
      <sheetName val="keşif_özeti3"/>
      <sheetName val="Day_work3"/>
      <sheetName val="BREAK_UP_SHEET"/>
      <sheetName val="VOP_June_07"/>
      <sheetName val="VOP_June_07 _rev1_"/>
      <sheetName val="VOP_Sept_07"/>
      <sheetName val="MEXICO-C"/>
      <sheetName val="입찰기준"/>
      <sheetName val="Ext. Stone-P"/>
      <sheetName val="PAINT"/>
      <sheetName val="금액내역서"/>
      <sheetName val="12용지"/>
      <sheetName val="입찰안"/>
      <sheetName val="공문"/>
      <sheetName val="차수"/>
      <sheetName val="물량표"/>
      <sheetName val="45,46"/>
      <sheetName val="Material Prices"/>
      <sheetName val="FREYSSINET"/>
      <sheetName val="내역서"/>
      <sheetName val="인원계획-미화"/>
      <sheetName val="예산변경사항"/>
      <sheetName val="giathanh1"/>
      <sheetName val="2.대외공문"/>
      <sheetName val="연돌일위집계"/>
      <sheetName val="TEL"/>
      <sheetName val="Sheet4"/>
      <sheetName val="물량표(신)"/>
      <sheetName val="총괄표"/>
      <sheetName val="수곡내역"/>
      <sheetName val="건축-물가변동"/>
      <sheetName val="기계설비-물가변동"/>
      <sheetName val="노임"/>
      <sheetName val="견적대비표"/>
      <sheetName val="내역"/>
      <sheetName val="차액보증"/>
      <sheetName val="일위대가"/>
      <sheetName val="AP1"/>
      <sheetName val="준공시전망_원본"/>
      <sheetName val="2"/>
      <sheetName val="Macro1"/>
      <sheetName val="Macro2"/>
      <sheetName val="동해title"/>
      <sheetName val="06매입만"/>
      <sheetName val="N賃率-職"/>
      <sheetName val="裝潢工程石材工程"/>
      <sheetName val="現金流量表"/>
      <sheetName val="LD_全-2.25"/>
      <sheetName val="BaseUT"/>
      <sheetName val="土地"/>
      <sheetName val="土地買賣比較法(東側停車場)"/>
      <sheetName val="土開法(東側停車場)"/>
      <sheetName val="1土地鑑定表"/>
      <sheetName val="5成本"/>
      <sheetName val="3建物鑑定表"/>
      <sheetName val="2面積整理"/>
      <sheetName val="土地同意比例(951004)"/>
      <sheetName val="合法拆補"/>
      <sheetName val="拆除計畫"/>
      <sheetName val="建設補修"/>
      <sheetName val="hvac(제어동)"/>
      <sheetName val="1공구(을)"/>
      <sheetName val="조도계산서 (도서)"/>
      <sheetName val="7IFS-5A"/>
      <sheetName val="KILB LANE FO Detail"/>
      <sheetName val="INDEX"/>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BLOCK-A (MEA.SHEET)"/>
      <sheetName val="GRSummary"/>
      <sheetName val="ACTUAL Construction"/>
      <sheetName val="Planned"/>
      <sheetName val="Assets"/>
      <sheetName val="UPA(Part C,D,E,G,H)"/>
      <sheetName val="UPA(Part F)"/>
      <sheetName val="New_Bld"/>
      <sheetName val="Equipment Ref."/>
      <sheetName val="GS"/>
      <sheetName val="공사비_내역_(가)"/>
      <sheetName val="except_wiring"/>
      <sheetName val="BoatTMP"/>
      <sheetName val="Hilti"/>
      <sheetName val="MAT.ATSITE"/>
      <sheetName val="Standard"/>
      <sheetName val="MN T.B."/>
      <sheetName val="Drivers"/>
      <sheetName val="金融中心概估__(2)28"/>
      <sheetName val="金融中心概估__(3)28"/>
      <sheetName val="金融中心概估__(4)28"/>
      <sheetName val="CT-1_(3)28"/>
      <sheetName val="Bill_128"/>
      <sheetName val="Bill_228"/>
      <sheetName val="Bill_328"/>
      <sheetName val="Bill_428"/>
      <sheetName val="Bill_528"/>
      <sheetName val="Bill_628"/>
      <sheetName val="Bill_728"/>
      <sheetName val="BSD_(2)28"/>
      <sheetName val="입찰내역_발주처_양식27"/>
      <sheetName val="Site_Expenses28"/>
      <sheetName val="Customer_Databas27"/>
      <sheetName val="Project_Brief27"/>
      <sheetName val="_Structural27"/>
      <sheetName val="Travel_Cranes27"/>
      <sheetName val="Recap_Architect27"/>
      <sheetName val="Recap_External27"/>
      <sheetName val="Recap_Struct27"/>
      <sheetName val="Recap_Travel_Crane27"/>
      <sheetName val="Package_127"/>
      <sheetName val="Recap_Lift27"/>
      <sheetName val="Tender_Summary27"/>
      <sheetName val="BOQ-Rev_327"/>
      <sheetName val="Cost_Summary27"/>
      <sheetName val="Summary_Rates_From_Contract25"/>
      <sheetName val="CIF_COST_ITEM21"/>
      <sheetName val="드롭다운_목록21"/>
      <sheetName val="Tender_Analysis_(Original)25"/>
      <sheetName val="Rate_Analysis20"/>
      <sheetName val="Struktur_KST,_NL20"/>
      <sheetName val="w't_table20"/>
      <sheetName val="M-Book_for_Conc20"/>
      <sheetName val="M-Book_for_FW20"/>
      <sheetName val="※_드롭다운_목록20"/>
      <sheetName val="cover_page19"/>
      <sheetName val="Day_work4"/>
      <sheetName val="A_O_R_4"/>
      <sheetName val="Data_(adj_19"/>
      <sheetName val="Gen_Sum20"/>
      <sheetName val="????_???_??19"/>
      <sheetName val="Funding_Drwdn19"/>
      <sheetName val="train_cash6"/>
      <sheetName val="ACAD_Finishes4"/>
      <sheetName val="Site_Details4"/>
      <sheetName val="Site_Area_Statement4"/>
      <sheetName val="Material_Master4"/>
      <sheetName val="keşif_özeti4"/>
      <sheetName val="PROJECT_BRIEF(EX_NEW)1"/>
      <sheetName val="BREAK_UP_SHEET1"/>
      <sheetName val="DVM_Sizing_Calculator-_10_ips_"/>
      <sheetName val="Indiana_Sensitivites"/>
      <sheetName val="Marina_sensitivities"/>
      <sheetName val="金融中心概估__(2)29"/>
      <sheetName val="金融中心概估__(3)29"/>
      <sheetName val="金融中心概估__(4)29"/>
      <sheetName val="CT-1_(3)29"/>
      <sheetName val="BSD_(2)29"/>
      <sheetName val="Bill_129"/>
      <sheetName val="Bill_229"/>
      <sheetName val="Bill_329"/>
      <sheetName val="Bill_429"/>
      <sheetName val="Bill_529"/>
      <sheetName val="Bill_629"/>
      <sheetName val="Bill_729"/>
      <sheetName val="Site_Expenses29"/>
      <sheetName val="입찰내역_발주처_양식28"/>
      <sheetName val="Project_Brief28"/>
      <sheetName val="_Structural28"/>
      <sheetName val="Travel_Cranes28"/>
      <sheetName val="Recap_Architect28"/>
      <sheetName val="Recap_External28"/>
      <sheetName val="Recap_Struct28"/>
      <sheetName val="Recap_Travel_Crane28"/>
      <sheetName val="Package_128"/>
      <sheetName val="Recap_Lift28"/>
      <sheetName val="Customer_Databas28"/>
      <sheetName val="Tender_Summary28"/>
      <sheetName val="BOQ-Rev_328"/>
      <sheetName val="Cost_Summary28"/>
      <sheetName val="Summary_Rates_From_Contract26"/>
      <sheetName val="Tender_Analysis_(Original)26"/>
      <sheetName val="CIF_COST_ITEM22"/>
      <sheetName val="Rate_Analysis21"/>
      <sheetName val="드롭다운_목록22"/>
      <sheetName val="w't_table21"/>
      <sheetName val="※_드롭다운_목록21"/>
      <sheetName val="Struktur_KST,_NL21"/>
      <sheetName val="M-Book_for_Conc21"/>
      <sheetName val="M-Book_for_FW21"/>
      <sheetName val="cover_page20"/>
      <sheetName val="Data_(adj_20"/>
      <sheetName val="Gen_Sum21"/>
      <sheetName val="????_???_??20"/>
      <sheetName val="Funding_Drwdn20"/>
      <sheetName val="A_O_R_5"/>
      <sheetName val="train_cash7"/>
      <sheetName val="ACAD_Finishes5"/>
      <sheetName val="Site_Details5"/>
      <sheetName val="Site_Area_Statement5"/>
      <sheetName val="Material_Master5"/>
      <sheetName val="keşif_özeti5"/>
      <sheetName val="Day_work5"/>
      <sheetName val="PROJECT_BRIEF(EX_NEW)2"/>
      <sheetName val="BREAK_UP_SHEET2"/>
      <sheetName val="intr_stool_brkup1"/>
      <sheetName val="공사비_내역_(가)1"/>
      <sheetName val="except_wiring1"/>
      <sheetName val="DVM_Sizing_Calculator-_10_ips_1"/>
      <sheetName val="Indiana_Sensitivites1"/>
      <sheetName val="Marina_sensitivities1"/>
      <sheetName val="金融中心概估__(2)30"/>
      <sheetName val="金融中心概估__(3)30"/>
      <sheetName val="金融中心概估__(4)30"/>
      <sheetName val="CT-1_(3)30"/>
      <sheetName val="Bill_130"/>
      <sheetName val="Bill_230"/>
      <sheetName val="Bill_330"/>
      <sheetName val="Bill_430"/>
      <sheetName val="Bill_530"/>
      <sheetName val="Bill_630"/>
      <sheetName val="Bill_730"/>
      <sheetName val="BSD_(2)30"/>
      <sheetName val="입찰내역_발주처_양식29"/>
      <sheetName val="Project_Brief29"/>
      <sheetName val="Site_Expenses30"/>
      <sheetName val="Customer_Databas29"/>
      <sheetName val="Tender_Summary29"/>
      <sheetName val="_Structural29"/>
      <sheetName val="Travel_Cranes29"/>
      <sheetName val="Recap_Architect29"/>
      <sheetName val="Recap_External29"/>
      <sheetName val="Recap_Struct29"/>
      <sheetName val="Recap_Travel_Crane29"/>
      <sheetName val="Package_129"/>
      <sheetName val="Recap_Lift29"/>
      <sheetName val="BOQ-Rev_329"/>
      <sheetName val="Cost_Summary29"/>
      <sheetName val="Summary_Rates_From_Contract27"/>
      <sheetName val="CIF_COST_ITEM23"/>
      <sheetName val="Rate_Analysis22"/>
      <sheetName val="드롭다운_목록23"/>
      <sheetName val="Tender_Analysis_(Original)27"/>
      <sheetName val="※_드롭다운_목록22"/>
      <sheetName val="M-Book_for_Conc22"/>
      <sheetName val="M-Book_for_FW22"/>
      <sheetName val="A_O_R_6"/>
      <sheetName val="????_???_??21"/>
      <sheetName val="ACAD_Finishes6"/>
      <sheetName val="Site_Details6"/>
      <sheetName val="Site_Area_Statement6"/>
      <sheetName val="PROJECT_BRIEF(EX_NEW)3"/>
      <sheetName val="Material_Master6"/>
      <sheetName val="keşif_özeti6"/>
      <sheetName val="BREAK_UP_SHEET3"/>
      <sheetName val="Indiana_Sensitivites2"/>
      <sheetName val="Marina_sensitivities2"/>
      <sheetName val="Day_work6"/>
      <sheetName val="intr_stool_brkup2"/>
      <sheetName val="7_조직표_(수정)2"/>
      <sheetName val="Struktur_KST,_NL22"/>
      <sheetName val="Gen_Sum22"/>
      <sheetName val="train_cash8"/>
      <sheetName val="w't_table22"/>
      <sheetName val="공사비_내역_(가)2"/>
      <sheetName val="except_wiring2"/>
      <sheetName val="cover_page21"/>
      <sheetName val="Data_(adj_21"/>
      <sheetName val="Funding_Drwdn21"/>
      <sheetName val="DVM_Sizing_Calculator-_10_ips_2"/>
      <sheetName val="Bill_10"/>
      <sheetName val="ASD_Sum_of_Parts"/>
      <sheetName val="VOP_June_07__rev1_"/>
      <sheetName val="BLOCK-A_(MEA_SHEET)"/>
      <sheetName val="ACTUAL_Construction"/>
      <sheetName val="UPA(Part_C,D,E,G,H)"/>
      <sheetName val="UPA(Part_F)"/>
      <sheetName val="SP_Break_Up"/>
      <sheetName val="MN_T_B_"/>
      <sheetName val="New_Bld1"/>
      <sheetName val="Equipment_Ref_"/>
      <sheetName val="Sec__A-PQ"/>
      <sheetName val="Preamble_B"/>
      <sheetName val="Sec__C-Dayworks"/>
      <sheetName val="d5_"/>
      <sheetName val="Tk off"/>
      <sheetName val="평균환율-USD"/>
      <sheetName val="Cash Flow Working"/>
      <sheetName val="BLOCK-A_(MEA_SHEET)1"/>
      <sheetName val="ACTUAL_Construction1"/>
      <sheetName val="UPA(Part_C,D,E,G,H)1"/>
      <sheetName val="UPA(Part_F)1"/>
      <sheetName val="Database"/>
      <sheetName val="schedule nos"/>
      <sheetName val="Labor_abs-NMR"/>
      <sheetName val="Ext__Stone-P"/>
      <sheetName val="Material_Prices"/>
      <sheetName val="2_대외공문"/>
      <sheetName val="LD_全-2_25"/>
      <sheetName val="조도계산서_(도서)"/>
      <sheetName val="KILB_LANE_FO_Detail"/>
      <sheetName val="BLOCK-A_(MEA_SHEET)2"/>
      <sheetName val="ACTUAL_Construction2"/>
      <sheetName val="UPA(Part_C,D,E,G,H)2"/>
      <sheetName val="UPA(Part_F)2"/>
      <sheetName val="Tk_off"/>
      <sheetName val="schedule_nos"/>
      <sheetName val="Room Finishes"/>
      <sheetName val="COEFF"/>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refreshError="1"/>
      <sheetData sheetId="221" refreshError="1"/>
      <sheetData sheetId="222" refreshError="1"/>
      <sheetData sheetId="223" refreshError="1"/>
      <sheetData sheetId="224" refreshError="1"/>
      <sheetData sheetId="225" refreshError="1"/>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refreshError="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sheetData sheetId="349"/>
      <sheetData sheetId="350"/>
      <sheetData sheetId="351"/>
      <sheetData sheetId="352"/>
      <sheetData sheetId="353"/>
      <sheetData sheetId="354"/>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refreshError="1"/>
      <sheetData sheetId="397" refreshError="1"/>
      <sheetData sheetId="398" refreshError="1"/>
      <sheetData sheetId="399" refreshError="1"/>
      <sheetData sheetId="400" refreshError="1"/>
      <sheetData sheetId="401" refreshError="1"/>
      <sheetData sheetId="402"/>
      <sheetData sheetId="403"/>
      <sheetData sheetId="404"/>
      <sheetData sheetId="405"/>
      <sheetData sheetId="406" refreshError="1"/>
      <sheetData sheetId="407" refreshError="1"/>
      <sheetData sheetId="408" refreshError="1"/>
      <sheetData sheetId="409" refreshError="1"/>
      <sheetData sheetId="410" refreshError="1"/>
      <sheetData sheetId="411" refreshError="1"/>
      <sheetData sheetId="412"/>
      <sheetData sheetId="413"/>
      <sheetData sheetId="414"/>
      <sheetData sheetId="415"/>
      <sheetData sheetId="416" refreshError="1"/>
      <sheetData sheetId="417"/>
      <sheetData sheetId="418"/>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sheetData sheetId="441" refreshError="1"/>
      <sheetData sheetId="442" refreshError="1"/>
      <sheetData sheetId="443" refreshError="1"/>
      <sheetData sheetId="444" refreshError="1"/>
      <sheetData sheetId="445" refreshError="1"/>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refreshError="1"/>
      <sheetData sheetId="482" refreshError="1"/>
      <sheetData sheetId="483" refreshError="1"/>
      <sheetData sheetId="484" refreshError="1"/>
      <sheetData sheetId="485"/>
      <sheetData sheetId="486"/>
      <sheetData sheetId="487"/>
      <sheetData sheetId="488"/>
      <sheetData sheetId="489" refreshError="1"/>
      <sheetData sheetId="490" refreshError="1"/>
      <sheetData sheetId="491" refreshError="1"/>
      <sheetData sheetId="492" refreshError="1"/>
      <sheetData sheetId="493" refreshError="1"/>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refreshError="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refreshError="1"/>
      <sheetData sheetId="816" refreshError="1"/>
      <sheetData sheetId="817" refreshError="1"/>
      <sheetData sheetId="818" refreshError="1"/>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efreshError="1"/>
      <sheetData sheetId="1373"/>
      <sheetData sheetId="1374" refreshError="1"/>
      <sheetData sheetId="1375" refreshError="1"/>
      <sheetData sheetId="1376"/>
      <sheetData sheetId="1377"/>
      <sheetData sheetId="1378" refreshError="1"/>
      <sheetData sheetId="1379" refreshError="1"/>
      <sheetData sheetId="1380" refreshError="1"/>
      <sheetData sheetId="1381" refreshError="1"/>
      <sheetData sheetId="1382" refreshError="1"/>
      <sheetData sheetId="1383" refreshError="1"/>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refreshError="1"/>
      <sheetData sheetId="1572" refreshError="1"/>
      <sheetData sheetId="1573" refreshError="1"/>
      <sheetData sheetId="1574"/>
      <sheetData sheetId="1575"/>
      <sheetData sheetId="1576"/>
      <sheetData sheetId="1577"/>
      <sheetData sheetId="1578" refreshError="1"/>
      <sheetData sheetId="1579" refreshError="1"/>
      <sheetData sheetId="1580"/>
      <sheetData sheetId="1581"/>
      <sheetData sheetId="1582"/>
      <sheetData sheetId="1583"/>
      <sheetData sheetId="1584"/>
      <sheetData sheetId="1585"/>
      <sheetData sheetId="1586"/>
      <sheetData sheetId="1587"/>
      <sheetData sheetId="1588"/>
      <sheetData sheetId="1589"/>
      <sheetData sheetId="1590"/>
      <sheetData sheetId="1591" refreshError="1"/>
      <sheetData sheetId="1592" refreshError="1"/>
      <sheetData sheetId="1593"/>
      <sheetData sheetId="159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isc Measure"/>
      <sheetName val="GIFA"/>
      <sheetName val="SOA"/>
      <sheetName val="DOOR Measure"/>
      <sheetName val="FINISHES Measure"/>
      <sheetName val="B3"/>
      <sheetName val="B2"/>
      <sheetName val="B1"/>
      <sheetName val="GF"/>
      <sheetName val="L1"/>
      <sheetName val="L2"/>
      <sheetName val="L3"/>
      <sheetName val="L3M"/>
      <sheetName val="L4-L15"/>
      <sheetName val="L16"/>
      <sheetName val="L16M"/>
      <sheetName val="L17-L42"/>
      <sheetName val="L43"/>
      <sheetName val="L44-L45"/>
      <sheetName val="L46"/>
      <sheetName val="L47"/>
      <sheetName val="L48"/>
      <sheetName val="L49-L50"/>
      <sheetName val="L50M"/>
      <sheetName val="L51"/>
      <sheetName val="L52"/>
      <sheetName val="L53"/>
      <sheetName val="L54"/>
      <sheetName val="L55"/>
      <sheetName val="L56"/>
      <sheetName val="L57"/>
      <sheetName val="L58"/>
      <sheetName val="RF"/>
      <sheetName val="Facade"/>
      <sheetName val="External Works"/>
      <sheetName val="Lifts"/>
      <sheetName val="Frame Measure"/>
      <sheetName val="Piling Measure"/>
      <sheetName val="(PILING)"/>
      <sheetName val="Misc_Measure"/>
      <sheetName val="DOOR_Measure"/>
      <sheetName val="FINISHES_Measure"/>
      <sheetName val="External_Works"/>
      <sheetName val="Frame_Measure"/>
      <sheetName val="Piling_Measure"/>
      <sheetName val="Misc_Measure1"/>
      <sheetName val="DOOR_Measure1"/>
      <sheetName val="FINISHES_Measure1"/>
      <sheetName val="External_Works1"/>
      <sheetName val="Frame_Measure1"/>
      <sheetName val="Piling_Measure1"/>
      <sheetName val="Misc_Measure2"/>
      <sheetName val="DOOR_Measure2"/>
      <sheetName val="FINISHES_Measure2"/>
      <sheetName val="External_Works2"/>
      <sheetName val="Frame_Measure2"/>
      <sheetName val="Piling_Measure2"/>
      <sheetName val="Misc_Measure3"/>
      <sheetName val="DOOR_Measure3"/>
      <sheetName val="FINISHES_Measure3"/>
      <sheetName val="External_Works3"/>
      <sheetName val="Frame_Measure3"/>
      <sheetName val="Piling_Measure3"/>
      <sheetName val="Cover"/>
      <sheetName val="Misc_Measure4"/>
      <sheetName val="DOOR_Measure4"/>
      <sheetName val="FINISHES_Measure4"/>
      <sheetName val="External_Works4"/>
      <sheetName val="Frame_Measure4"/>
      <sheetName val="Piling_Measure4"/>
      <sheetName val="Misc_Measure5"/>
      <sheetName val="DOOR_Measure5"/>
      <sheetName val="FINISHES_Measure5"/>
      <sheetName val="External_Works5"/>
      <sheetName val="Frame_Measure5"/>
      <sheetName val="Piling_Measure5"/>
      <sheetName val="Misc_Measure6"/>
      <sheetName val="DOOR_Measure6"/>
      <sheetName val="FINISHES_Measure6"/>
      <sheetName val="External_Works6"/>
      <sheetName val="Frame_Measure6"/>
      <sheetName val="Piling_Measure6"/>
      <sheetName val="Misc_Measure7"/>
      <sheetName val="DOOR_Measure7"/>
      <sheetName val="FINISHES_Measure7"/>
      <sheetName val="External_Works7"/>
      <sheetName val="Frame_Measure7"/>
      <sheetName val="Piling_Measure7"/>
      <sheetName val="Misc_Measure8"/>
      <sheetName val="DOOR_Measure8"/>
      <sheetName val="FINISHES_Measure8"/>
      <sheetName val="External_Works8"/>
      <sheetName val="Frame_Measure8"/>
      <sheetName val="Piling_Measure8"/>
      <sheetName val="Misc_Measure9"/>
      <sheetName val="DOOR_Measure9"/>
      <sheetName val="FINISHES_Measure9"/>
      <sheetName val="External_Works9"/>
      <sheetName val="Frame_Measure9"/>
      <sheetName val="Piling_Measure9"/>
      <sheetName val="Misc_Measure10"/>
      <sheetName val="DOOR_Measure10"/>
      <sheetName val="FINISHES_Measure10"/>
      <sheetName val="External_Works10"/>
      <sheetName val="Frame_Measure10"/>
      <sheetName val="Piling_Measure10"/>
      <sheetName val="Detail"/>
      <sheetName val="analysis"/>
      <sheetName val="% prog figs -u5 and total"/>
      <sheetName val="Input"/>
      <sheetName val="Controls"/>
      <sheetName val="CashFlow"/>
      <sheetName val="Consolidate"/>
      <sheetName val="Intro"/>
      <sheetName val="Summary"/>
      <sheetName val="Financials"/>
      <sheetName val="Calc"/>
      <sheetName val="Stage CF"/>
      <sheetName val="Areas_with_SF"/>
      <sheetName val="Area Breakdown PER LEVEL_LINK"/>
      <sheetName val="allowances"/>
      <sheetName val="FitOutConfCentre"/>
      <sheetName val="Rate analysis"/>
      <sheetName val="BLOCK-A (MEA.SHEET)"/>
      <sheetName val="2gii"/>
      <sheetName val="Architect"/>
      <sheetName val="BaseWeight"/>
    </sheetNames>
    <sheetDataSet>
      <sheetData sheetId="0"/>
      <sheetData sheetId="1"/>
      <sheetData sheetId="2"/>
      <sheetData sheetId="3"/>
      <sheetData sheetId="4">
        <row r="38">
          <cell r="BF38">
            <v>2182.1</v>
          </cell>
        </row>
      </sheetData>
      <sheetData sheetId="5"/>
      <sheetData sheetId="6"/>
      <sheetData sheetId="7"/>
      <sheetData sheetId="8"/>
      <sheetData sheetId="9"/>
      <sheetData sheetId="10"/>
      <sheetData sheetId="11"/>
      <sheetData sheetId="12"/>
      <sheetData sheetId="13">
        <row r="7">
          <cell r="M7" t="str">
            <v>SA / guestroom - living room</v>
          </cell>
        </row>
        <row r="8">
          <cell r="M8" t="str">
            <v>SA / guestroom - bathroom</v>
          </cell>
        </row>
        <row r="9">
          <cell r="M9" t="str">
            <v>SA / guestroom - bedroom</v>
          </cell>
        </row>
        <row r="10">
          <cell r="M10" t="str">
            <v>SA / guestroom - kitchen</v>
          </cell>
        </row>
        <row r="11">
          <cell r="M11" t="str">
            <v>SA / guestroom - powder room</v>
          </cell>
        </row>
        <row r="12">
          <cell r="M12" t="str">
            <v>SA / guestroom - hallway</v>
          </cell>
        </row>
        <row r="13">
          <cell r="M13" t="str">
            <v>SA / guestroom - maids room</v>
          </cell>
        </row>
        <row r="14">
          <cell r="M14" t="str">
            <v>SA / guestroom - balcony</v>
          </cell>
        </row>
        <row r="15">
          <cell r="M15" t="str">
            <v>SA / guestroom - storage</v>
          </cell>
        </row>
        <row r="16">
          <cell r="M16" t="str">
            <v>Circulation</v>
          </cell>
        </row>
        <row r="17">
          <cell r="M17" t="str">
            <v>Entrance lobbies</v>
          </cell>
        </row>
        <row r="18">
          <cell r="M18" t="str">
            <v>Lift lobbies</v>
          </cell>
        </row>
        <row r="19">
          <cell r="M19" t="str">
            <v>Food &amp; beverage</v>
          </cell>
        </row>
        <row r="20">
          <cell r="M20" t="str">
            <v>Business &amp; meeting (inc MICE)</v>
          </cell>
        </row>
        <row r="21">
          <cell r="M21" t="str">
            <v>Health &amp; Lesuire</v>
          </cell>
        </row>
        <row r="22">
          <cell r="M22" t="str">
            <v>Retail</v>
          </cell>
        </row>
        <row r="23">
          <cell r="M23" t="str">
            <v>Other FOH</v>
          </cell>
        </row>
        <row r="24">
          <cell r="M24" t="str">
            <v>BOH</v>
          </cell>
        </row>
        <row r="25">
          <cell r="M25" t="str">
            <v>MEP</v>
          </cell>
        </row>
        <row r="26">
          <cell r="M26" t="str">
            <v>Non Useable</v>
          </cell>
        </row>
      </sheetData>
      <sheetData sheetId="14"/>
      <sheetData sheetId="15"/>
      <sheetData sheetId="16"/>
      <sheetData sheetId="17"/>
      <sheetData sheetId="18"/>
      <sheetData sheetId="19"/>
      <sheetData sheetId="20"/>
      <sheetData sheetId="21"/>
      <sheetData sheetId="22"/>
      <sheetData sheetId="23"/>
      <sheetData sheetId="24"/>
      <sheetData sheetId="25">
        <row r="196">
          <cell r="I196">
            <v>87.6</v>
          </cell>
        </row>
      </sheetData>
      <sheetData sheetId="26">
        <row r="199">
          <cell r="I199">
            <v>41.2</v>
          </cell>
        </row>
      </sheetData>
      <sheetData sheetId="27">
        <row r="183">
          <cell r="I183">
            <v>41.2</v>
          </cell>
        </row>
      </sheetData>
      <sheetData sheetId="28">
        <row r="153">
          <cell r="I153">
            <v>55.9</v>
          </cell>
        </row>
      </sheetData>
      <sheetData sheetId="29">
        <row r="152">
          <cell r="I152">
            <v>64.5</v>
          </cell>
        </row>
      </sheetData>
      <sheetData sheetId="30">
        <row r="139">
          <cell r="I139">
            <v>108.9</v>
          </cell>
        </row>
      </sheetData>
      <sheetData sheetId="31">
        <row r="80">
          <cell r="I80">
            <v>106.7</v>
          </cell>
        </row>
      </sheetData>
      <sheetData sheetId="32">
        <row r="25">
          <cell r="G25">
            <v>214.60000000000002</v>
          </cell>
        </row>
      </sheetData>
      <sheetData sheetId="33">
        <row r="198">
          <cell r="H198">
            <v>681.20000000000016</v>
          </cell>
        </row>
      </sheetData>
      <sheetData sheetId="34"/>
      <sheetData sheetId="35"/>
      <sheetData sheetId="36">
        <row r="47">
          <cell r="H47">
            <v>352.46250000000003</v>
          </cell>
        </row>
      </sheetData>
      <sheetData sheetId="37"/>
      <sheetData sheetId="38">
        <row r="68">
          <cell r="J68">
            <v>62723225.25</v>
          </cell>
        </row>
      </sheetData>
      <sheetData sheetId="39"/>
      <sheetData sheetId="40"/>
      <sheetData sheetId="41">
        <row r="38">
          <cell r="BF38">
            <v>2182.1</v>
          </cell>
        </row>
      </sheetData>
      <sheetData sheetId="42"/>
      <sheetData sheetId="43">
        <row r="47">
          <cell r="H47">
            <v>352.46250000000003</v>
          </cell>
        </row>
      </sheetData>
      <sheetData sheetId="44"/>
      <sheetData sheetId="45"/>
      <sheetData sheetId="46"/>
      <sheetData sheetId="47">
        <row r="38">
          <cell r="BF38">
            <v>2182.1</v>
          </cell>
        </row>
      </sheetData>
      <sheetData sheetId="48"/>
      <sheetData sheetId="49">
        <row r="47">
          <cell r="H47">
            <v>352.46250000000003</v>
          </cell>
        </row>
      </sheetData>
      <sheetData sheetId="50"/>
      <sheetData sheetId="51"/>
      <sheetData sheetId="52"/>
      <sheetData sheetId="53">
        <row r="38">
          <cell r="BF38">
            <v>2182.1</v>
          </cell>
        </row>
      </sheetData>
      <sheetData sheetId="54"/>
      <sheetData sheetId="55">
        <row r="47">
          <cell r="H47">
            <v>352.46250000000003</v>
          </cell>
        </row>
      </sheetData>
      <sheetData sheetId="56"/>
      <sheetData sheetId="57"/>
      <sheetData sheetId="58"/>
      <sheetData sheetId="59">
        <row r="38">
          <cell r="BF38">
            <v>2182.1</v>
          </cell>
        </row>
      </sheetData>
      <sheetData sheetId="60"/>
      <sheetData sheetId="61">
        <row r="47">
          <cell r="H47">
            <v>352.46250000000003</v>
          </cell>
        </row>
      </sheetData>
      <sheetData sheetId="62"/>
      <sheetData sheetId="63" refreshError="1"/>
      <sheetData sheetId="64"/>
      <sheetData sheetId="65"/>
      <sheetData sheetId="66">
        <row r="38">
          <cell r="BF38">
            <v>2182.1</v>
          </cell>
        </row>
      </sheetData>
      <sheetData sheetId="67"/>
      <sheetData sheetId="68">
        <row r="47">
          <cell r="H47">
            <v>352.46250000000003</v>
          </cell>
        </row>
      </sheetData>
      <sheetData sheetId="69"/>
      <sheetData sheetId="70"/>
      <sheetData sheetId="71"/>
      <sheetData sheetId="72">
        <row r="38">
          <cell r="BF38">
            <v>2182.1</v>
          </cell>
        </row>
      </sheetData>
      <sheetData sheetId="73"/>
      <sheetData sheetId="74">
        <row r="47">
          <cell r="H47">
            <v>352.46250000000003</v>
          </cell>
        </row>
      </sheetData>
      <sheetData sheetId="75"/>
      <sheetData sheetId="76"/>
      <sheetData sheetId="77"/>
      <sheetData sheetId="78">
        <row r="38">
          <cell r="BF38">
            <v>2182.1</v>
          </cell>
        </row>
      </sheetData>
      <sheetData sheetId="79"/>
      <sheetData sheetId="80">
        <row r="47">
          <cell r="H47">
            <v>352.46250000000003</v>
          </cell>
        </row>
      </sheetData>
      <sheetData sheetId="81"/>
      <sheetData sheetId="82"/>
      <sheetData sheetId="83"/>
      <sheetData sheetId="84">
        <row r="38">
          <cell r="BF38">
            <v>2182.1</v>
          </cell>
        </row>
      </sheetData>
      <sheetData sheetId="85"/>
      <sheetData sheetId="86">
        <row r="47">
          <cell r="H47">
            <v>352.46250000000003</v>
          </cell>
        </row>
      </sheetData>
      <sheetData sheetId="87"/>
      <sheetData sheetId="88"/>
      <sheetData sheetId="89"/>
      <sheetData sheetId="90">
        <row r="38">
          <cell r="BF38">
            <v>2182.1</v>
          </cell>
        </row>
      </sheetData>
      <sheetData sheetId="91"/>
      <sheetData sheetId="92">
        <row r="47">
          <cell r="H47">
            <v>352.46250000000003</v>
          </cell>
        </row>
      </sheetData>
      <sheetData sheetId="93"/>
      <sheetData sheetId="94"/>
      <sheetData sheetId="95"/>
      <sheetData sheetId="96">
        <row r="38">
          <cell r="BF38">
            <v>2182.1</v>
          </cell>
        </row>
      </sheetData>
      <sheetData sheetId="97"/>
      <sheetData sheetId="98">
        <row r="47">
          <cell r="H47">
            <v>352.46250000000003</v>
          </cell>
        </row>
      </sheetData>
      <sheetData sheetId="99"/>
      <sheetData sheetId="100">
        <row r="38">
          <cell r="BF38">
            <v>2182.1</v>
          </cell>
        </row>
      </sheetData>
      <sheetData sheetId="101">
        <row r="38">
          <cell r="BF38">
            <v>2182.1</v>
          </cell>
        </row>
      </sheetData>
      <sheetData sheetId="102">
        <row r="38">
          <cell r="BF38">
            <v>2182.1</v>
          </cell>
        </row>
      </sheetData>
      <sheetData sheetId="103">
        <row r="38">
          <cell r="BF38">
            <v>2182.1</v>
          </cell>
        </row>
      </sheetData>
      <sheetData sheetId="104">
        <row r="47">
          <cell r="H47">
            <v>352.46250000000003</v>
          </cell>
        </row>
      </sheetData>
      <sheetData sheetId="105">
        <row r="47">
          <cell r="H47">
            <v>352.46250000000003</v>
          </cell>
        </row>
      </sheetData>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ernal Finishes (Unit types)"/>
      <sheetName val="Summary"/>
      <sheetName val="Units"/>
      <sheetName val="Int Fin_Units for L4-66"/>
      <sheetName val="Internal Finishes Common Areas"/>
      <sheetName val="Nr of bathrooms"/>
      <sheetName val="Doors"/>
      <sheetName val="Doors_Common Area"/>
      <sheetName val="Internal Walls (masonry)"/>
      <sheetName val="Facade"/>
      <sheetName val="Frame"/>
      <sheetName val="Crown"/>
      <sheetName val="Floor slabs"/>
      <sheetName val="Stairs"/>
      <sheetName val="Query 1"/>
      <sheetName val="Query 2"/>
      <sheetName val="Internal Walls"/>
      <sheetName val="Internal_Finishes_(Unit_types)"/>
      <sheetName val="Int_Fin_Units_for_L4-66"/>
      <sheetName val="Internal_Finishes_Common_Areas"/>
      <sheetName val="Nr_of_bathrooms"/>
      <sheetName val="Doors_Common_Area"/>
      <sheetName val="Internal_Walls_(masonry)"/>
      <sheetName val="Floor_slabs"/>
      <sheetName val="Query_1"/>
      <sheetName val="Query_2"/>
      <sheetName val="Internal_Walls"/>
      <sheetName val="Internal_Finishes_(Unit_types)1"/>
      <sheetName val="Int_Fin_Units_for_L4-661"/>
      <sheetName val="Internal_Finishes_Common_Areas1"/>
      <sheetName val="Nr_of_bathrooms1"/>
      <sheetName val="Doors_Common_Area1"/>
      <sheetName val="Internal_Walls_(masonry)1"/>
      <sheetName val="Floor_slabs1"/>
      <sheetName val="Query_11"/>
      <sheetName val="Query_21"/>
      <sheetName val="Internal_Walls1"/>
      <sheetName val="L4-L15"/>
      <sheetName val="Internal_Finishes_(Unit_types)2"/>
      <sheetName val="Int_Fin_Units_for_L4-662"/>
      <sheetName val="Internal_Finishes_Common_Areas2"/>
      <sheetName val="Nr_of_bathrooms2"/>
      <sheetName val="Doors_Common_Area2"/>
      <sheetName val="Internal_Walls_(masonry)2"/>
      <sheetName val="Floor_slabs2"/>
      <sheetName val="Query_12"/>
      <sheetName val="Query_22"/>
      <sheetName val="Internal_Walls2"/>
      <sheetName val="Internal_Finishes_(Unit_types)3"/>
      <sheetName val="Int_Fin_Units_for_L4-663"/>
      <sheetName val="Internal_Finishes_Common_Areas3"/>
      <sheetName val="Nr_of_bathrooms3"/>
      <sheetName val="Doors_Common_Area3"/>
      <sheetName val="Internal_Walls_(masonry)3"/>
      <sheetName val="Floor_slabs3"/>
      <sheetName val="Query_13"/>
      <sheetName val="Query_23"/>
      <sheetName val="Internal_Walls3"/>
      <sheetName val="Internal_Finishes_(Unit_types)4"/>
      <sheetName val="Int_Fin_Units_for_L4-664"/>
      <sheetName val="Internal_Finishes_Common_Areas4"/>
      <sheetName val="Nr_of_bathrooms4"/>
      <sheetName val="Doors_Common_Area4"/>
      <sheetName val="Internal_Walls_(masonry)4"/>
      <sheetName val="Floor_slabs4"/>
      <sheetName val="Query_14"/>
      <sheetName val="Query_24"/>
      <sheetName val="Internal_Walls4"/>
      <sheetName val="Internet"/>
      <sheetName val="Cover"/>
      <sheetName val="B1"/>
      <sheetName val="CERTIFICATE"/>
      <sheetName val="T&amp;M"/>
      <sheetName val="공사비 내역 (가)"/>
      <sheetName val="BOQ"/>
      <sheetName val="AN"/>
      <sheetName val="Allg. Angaben"/>
      <sheetName val="Mengengerüst Beheizung"/>
      <sheetName val="Liste"/>
      <sheetName val="Mengengerüst"/>
      <sheetName val="Daten"/>
      <sheetName val="Montageüberwachung"/>
      <sheetName val="Faktoren"/>
      <sheetName val="allowances"/>
      <sheetName val="analysis"/>
      <sheetName val="Dropdowns"/>
      <sheetName val="PriceSummary"/>
      <sheetName val="SRC-B3U2"/>
      <sheetName val="Rate Analysis"/>
      <sheetName val="3"/>
      <sheetName val="Division 3000"/>
      <sheetName val="% prog figs -u5 and total"/>
      <sheetName val="Base &amp; Pod (elec)"/>
      <sheetName val="Sheet1"/>
      <sheetName val="Maintenance Tasks"/>
      <sheetName val="Capital Asset Replacement"/>
      <sheetName val="Corrective Maintenance"/>
      <sheetName val="Overhaul"/>
      <sheetName val="rent &amp; value assumptions"/>
      <sheetName val="PSDA detailed cashflow for debt"/>
      <sheetName val="Financing Assumptions"/>
      <sheetName val="Equity shares analysis"/>
      <sheetName val="Loan B interest"/>
      <sheetName val="Loan covenant tests"/>
      <sheetName val="Net rent analysis"/>
      <sheetName val="Rents committed"/>
      <sheetName val="LCC profit share calculation"/>
      <sheetName val="Loan A interest guarantee"/>
      <sheetName val="VARNS"/>
      <sheetName val="STEEL STRUCTURE"/>
    </sheetNames>
    <sheetDataSet>
      <sheetData sheetId="0">
        <row r="598">
          <cell r="B598" t="str">
            <v>Apartment</v>
          </cell>
        </row>
        <row r="599">
          <cell r="B599" t="str">
            <v>Toilets</v>
          </cell>
        </row>
        <row r="600">
          <cell r="B600">
            <v>0</v>
          </cell>
        </row>
        <row r="601">
          <cell r="B601">
            <v>0</v>
          </cell>
        </row>
        <row r="602">
          <cell r="B602">
            <v>0</v>
          </cell>
        </row>
        <row r="603">
          <cell r="B603">
            <v>0</v>
          </cell>
        </row>
        <row r="604">
          <cell r="B604">
            <v>0</v>
          </cell>
        </row>
        <row r="605">
          <cell r="B605">
            <v>0</v>
          </cell>
        </row>
        <row r="606">
          <cell r="B606">
            <v>0</v>
          </cell>
        </row>
        <row r="607">
          <cell r="B607">
            <v>0</v>
          </cell>
        </row>
        <row r="608">
          <cell r="B608">
            <v>0</v>
          </cell>
        </row>
        <row r="609">
          <cell r="B609">
            <v>0</v>
          </cell>
        </row>
        <row r="610">
          <cell r="B610">
            <v>0</v>
          </cell>
        </row>
        <row r="611">
          <cell r="B611">
            <v>0</v>
          </cell>
        </row>
        <row r="612">
          <cell r="B612">
            <v>0</v>
          </cell>
        </row>
        <row r="618">
          <cell r="B618">
            <v>0</v>
          </cell>
        </row>
        <row r="619">
          <cell r="B619">
            <v>0</v>
          </cell>
        </row>
        <row r="620">
          <cell r="B620">
            <v>0</v>
          </cell>
        </row>
        <row r="621">
          <cell r="B621">
            <v>0</v>
          </cell>
        </row>
        <row r="622">
          <cell r="B622">
            <v>0</v>
          </cell>
        </row>
        <row r="623">
          <cell r="B623">
            <v>0</v>
          </cell>
        </row>
        <row r="624">
          <cell r="B624">
            <v>0</v>
          </cell>
        </row>
        <row r="625">
          <cell r="B625">
            <v>0</v>
          </cell>
        </row>
        <row r="632">
          <cell r="B632" t="str">
            <v>Basement</v>
          </cell>
        </row>
        <row r="633">
          <cell r="B633" t="str">
            <v>Retail</v>
          </cell>
        </row>
        <row r="634">
          <cell r="B634">
            <v>0</v>
          </cell>
        </row>
        <row r="635">
          <cell r="B635">
            <v>0</v>
          </cell>
        </row>
        <row r="636">
          <cell r="B636">
            <v>0</v>
          </cell>
        </row>
        <row r="637">
          <cell r="B637">
            <v>0</v>
          </cell>
        </row>
        <row r="638">
          <cell r="B638">
            <v>0</v>
          </cell>
        </row>
        <row r="645">
          <cell r="B645" t="str">
            <v>Parking</v>
          </cell>
        </row>
        <row r="646">
          <cell r="B646" t="str">
            <v>Retail</v>
          </cell>
        </row>
        <row r="647">
          <cell r="B647">
            <v>0</v>
          </cell>
        </row>
        <row r="648">
          <cell r="B648">
            <v>0</v>
          </cell>
        </row>
        <row r="649">
          <cell r="B649">
            <v>0</v>
          </cell>
        </row>
        <row r="650">
          <cell r="B650">
            <v>0</v>
          </cell>
        </row>
        <row r="651">
          <cell r="B651">
            <v>0</v>
          </cell>
        </row>
        <row r="652">
          <cell r="B652">
            <v>0</v>
          </cell>
        </row>
        <row r="659">
          <cell r="B659" t="str">
            <v>T1-Z1 (EV)</v>
          </cell>
        </row>
        <row r="660">
          <cell r="B660" t="str">
            <v>T1-Z1 (OD)</v>
          </cell>
        </row>
        <row r="661">
          <cell r="B661" t="str">
            <v>T1-Z2 (EV)</v>
          </cell>
        </row>
        <row r="662">
          <cell r="B662" t="str">
            <v>T1-Z2M (EV)</v>
          </cell>
        </row>
        <row r="663">
          <cell r="B663" t="str">
            <v>T1-Z2 (OD)</v>
          </cell>
        </row>
        <row r="664">
          <cell r="B664" t="str">
            <v>T1-Z3(EV)</v>
          </cell>
        </row>
        <row r="665">
          <cell r="B665" t="str">
            <v>T1-Z3M (EV)</v>
          </cell>
        </row>
        <row r="666">
          <cell r="B666" t="str">
            <v>T1-Z3 (OD)</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ow r="10">
          <cell r="G10" t="str">
            <v>100B</v>
          </cell>
        </row>
      </sheetData>
      <sheetData sheetId="17">
        <row r="10">
          <cell r="G10" t="str">
            <v>100B</v>
          </cell>
        </row>
      </sheetData>
      <sheetData sheetId="18">
        <row r="598">
          <cell r="B598" t="str">
            <v>Apartment</v>
          </cell>
        </row>
      </sheetData>
      <sheetData sheetId="19"/>
      <sheetData sheetId="20"/>
      <sheetData sheetId="21"/>
      <sheetData sheetId="22"/>
      <sheetData sheetId="23"/>
      <sheetData sheetId="24"/>
      <sheetData sheetId="25"/>
      <sheetData sheetId="26">
        <row r="10">
          <cell r="G10" t="str">
            <v>100B</v>
          </cell>
        </row>
      </sheetData>
      <sheetData sheetId="27">
        <row r="598">
          <cell r="B598" t="str">
            <v>Apartment</v>
          </cell>
        </row>
      </sheetData>
      <sheetData sheetId="28">
        <row r="598">
          <cell r="B598" t="str">
            <v>Apartment</v>
          </cell>
        </row>
      </sheetData>
      <sheetData sheetId="29">
        <row r="598">
          <cell r="B598" t="str">
            <v>Apartment</v>
          </cell>
        </row>
      </sheetData>
      <sheetData sheetId="30">
        <row r="10">
          <cell r="G10" t="str">
            <v>100B</v>
          </cell>
        </row>
      </sheetData>
      <sheetData sheetId="31">
        <row r="10">
          <cell r="G10" t="str">
            <v>100B</v>
          </cell>
        </row>
      </sheetData>
      <sheetData sheetId="32">
        <row r="10">
          <cell r="G10" t="str">
            <v>100B</v>
          </cell>
        </row>
      </sheetData>
      <sheetData sheetId="33">
        <row r="10">
          <cell r="G10" t="str">
            <v>100B</v>
          </cell>
        </row>
      </sheetData>
      <sheetData sheetId="34">
        <row r="10">
          <cell r="G10" t="str">
            <v>100B</v>
          </cell>
        </row>
      </sheetData>
      <sheetData sheetId="35">
        <row r="10">
          <cell r="G10" t="str">
            <v>100B</v>
          </cell>
        </row>
      </sheetData>
      <sheetData sheetId="36">
        <row r="10">
          <cell r="G10" t="str">
            <v>100B</v>
          </cell>
        </row>
      </sheetData>
      <sheetData sheetId="37" refreshError="1"/>
      <sheetData sheetId="38">
        <row r="10">
          <cell r="G10" t="str">
            <v>100B</v>
          </cell>
        </row>
      </sheetData>
      <sheetData sheetId="39">
        <row r="598">
          <cell r="B598" t="str">
            <v>Apartment</v>
          </cell>
        </row>
      </sheetData>
      <sheetData sheetId="40"/>
      <sheetData sheetId="41"/>
      <sheetData sheetId="42"/>
      <sheetData sheetId="43"/>
      <sheetData sheetId="44"/>
      <sheetData sheetId="45">
        <row r="10">
          <cell r="G10" t="str">
            <v>100B</v>
          </cell>
        </row>
      </sheetData>
      <sheetData sheetId="46">
        <row r="10">
          <cell r="G10" t="str">
            <v>100B</v>
          </cell>
        </row>
      </sheetData>
      <sheetData sheetId="47">
        <row r="10">
          <cell r="G10" t="str">
            <v>100B</v>
          </cell>
        </row>
      </sheetData>
      <sheetData sheetId="48">
        <row r="10">
          <cell r="G10" t="str">
            <v>100B</v>
          </cell>
        </row>
      </sheetData>
      <sheetData sheetId="49">
        <row r="598">
          <cell r="B598" t="str">
            <v>Apartment</v>
          </cell>
        </row>
      </sheetData>
      <sheetData sheetId="50"/>
      <sheetData sheetId="51"/>
      <sheetData sheetId="52"/>
      <sheetData sheetId="53"/>
      <sheetData sheetId="54"/>
      <sheetData sheetId="55">
        <row r="10">
          <cell r="G10" t="str">
            <v>100B</v>
          </cell>
        </row>
      </sheetData>
      <sheetData sheetId="56">
        <row r="10">
          <cell r="G10" t="str">
            <v>100B</v>
          </cell>
        </row>
      </sheetData>
      <sheetData sheetId="57">
        <row r="10">
          <cell r="G10" t="str">
            <v>100B</v>
          </cell>
        </row>
      </sheetData>
      <sheetData sheetId="58">
        <row r="598">
          <cell r="B598" t="str">
            <v>Apartment</v>
          </cell>
        </row>
      </sheetData>
      <sheetData sheetId="59">
        <row r="598">
          <cell r="B598" t="str">
            <v>Apartment</v>
          </cell>
        </row>
      </sheetData>
      <sheetData sheetId="60"/>
      <sheetData sheetId="61"/>
      <sheetData sheetId="62">
        <row r="10">
          <cell r="G10" t="str">
            <v>100B</v>
          </cell>
        </row>
      </sheetData>
      <sheetData sheetId="63">
        <row r="10">
          <cell r="G10" t="str">
            <v>100B</v>
          </cell>
        </row>
      </sheetData>
      <sheetData sheetId="64">
        <row r="10">
          <cell r="G10" t="str">
            <v>100B</v>
          </cell>
        </row>
      </sheetData>
      <sheetData sheetId="65">
        <row r="10">
          <cell r="G10" t="str">
            <v>100B</v>
          </cell>
        </row>
      </sheetData>
      <sheetData sheetId="66">
        <row r="10">
          <cell r="G10" t="str">
            <v>100B</v>
          </cell>
        </row>
      </sheetData>
      <sheetData sheetId="67">
        <row r="10">
          <cell r="G10" t="str">
            <v>100B</v>
          </cell>
        </row>
      </sheetData>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Cover"/>
      <sheetName val="Contents"/>
      <sheetName val="Fly sheet (1)"/>
      <sheetName val="Basis"/>
      <sheetName val="Fly sheet (2)"/>
      <sheetName val="Summary of Costs"/>
      <sheetName val="Fly sheet (3)"/>
      <sheetName val="SOC (ASSET summary)"/>
      <sheetName val="Fly sheet (4)"/>
      <sheetName val="1.1 (SITE PREP)"/>
      <sheetName val="1.2 (PILING)"/>
      <sheetName val="1.3 (BASEMENT)"/>
      <sheetName val="2.1 (FRAME)"/>
      <sheetName val="2.2 (UPPER FLOORS)"/>
      <sheetName val="2.3 (ROOF)"/>
      <sheetName val="2.4 (STAIRS &amp; RAMPS)"/>
      <sheetName val="2.5 (EXTERNAL WALLS)"/>
      <sheetName val="2.6 (EXTERNAL WINDOWS)"/>
      <sheetName val="2.7 (INTERNAL WALLS)"/>
      <sheetName val="2.8 (INTERNAL DOORS)"/>
      <sheetName val="3.1 (WALL FINISHES)"/>
      <sheetName val="3.2 (FLOOR FINISHES)"/>
      <sheetName val="3.3 (CEILING FINISHES)"/>
      <sheetName val="4.2 FF&amp;E &amp; OS&amp;E"/>
      <sheetName val="4.1 Fixed FF&amp;E"/>
      <sheetName val="5.0 (MEP)"/>
      <sheetName val="8.0 (EXTERNALS)"/>
      <sheetName val="Fly sheet (5)"/>
      <sheetName val="Schedule of Areas"/>
      <sheetName val="Fly sheet (6)"/>
      <sheetName val="- 50 Benchmark Data"/>
      <sheetName val="Benchmark Data"/>
      <sheetName val="SOC - Pre concept (R1)"/>
      <sheetName val="SOC - Pre concept (R1 - Adj)"/>
      <sheetName val="SOC - Pre concept (Amended)"/>
      <sheetName val="SOC Tracker (Recon)"/>
      <sheetName val="SOC (WORK STREAM summary)"/>
      <sheetName val="Additional floors"/>
      <sheetName val="Hotel room fit out"/>
      <sheetName val="(FF&amp;E)"/>
      <sheetName val="(OS&amp;E)"/>
      <sheetName val="m2 Analysis"/>
      <sheetName val="Key rate Analysis"/>
      <sheetName val="Key rate Analysis (ID)"/>
      <sheetName val="SOA"/>
      <sheetName val="GIFA"/>
      <sheetName val="Enhanced finishes"/>
      <sheetName val="ID ANALYSIS"/>
      <sheetName val="Sheet1"/>
      <sheetName val="Fly_sheet_(1)"/>
      <sheetName val="Fly_sheet_(2)"/>
      <sheetName val="Summary_of_Costs"/>
      <sheetName val="Fly_sheet_(3)"/>
      <sheetName val="SOC_(ASSET_summary)"/>
      <sheetName val="Fly_sheet_(4)"/>
      <sheetName val="1_1_(SITE_PREP)"/>
      <sheetName val="1_2_(PILING)"/>
      <sheetName val="1_3_(BASEMENT)"/>
      <sheetName val="2_1_(FRAME)"/>
      <sheetName val="2_2_(UPPER_FLOORS)"/>
      <sheetName val="2_3_(ROOF)"/>
      <sheetName val="2_4_(STAIRS_&amp;_RAMPS)"/>
      <sheetName val="2_5_(EXTERNAL_WALLS)"/>
      <sheetName val="2_6_(EXTERNAL_WINDOWS)"/>
      <sheetName val="2_7_(INTERNAL_WALLS)"/>
      <sheetName val="2_8_(INTERNAL_DOORS)"/>
      <sheetName val="3_1_(WALL_FINISHES)"/>
      <sheetName val="3_2_(FLOOR_FINISHES)"/>
      <sheetName val="3_3_(CEILING_FINISHES)"/>
      <sheetName val="4_2_FF&amp;E_&amp;_OS&amp;E"/>
      <sheetName val="4_1_Fixed_FF&amp;E"/>
      <sheetName val="5_0_(MEP)"/>
      <sheetName val="8_0_(EXTERNALS)"/>
      <sheetName val="Fly_sheet_(5)"/>
      <sheetName val="Schedule_of_Areas"/>
      <sheetName val="Fly_sheet_(6)"/>
      <sheetName val="-_50_Benchmark_Data"/>
      <sheetName val="Benchmark_Data"/>
      <sheetName val="SOC_-_Pre_concept_(R1)"/>
      <sheetName val="SOC_-_Pre_concept_(R1_-_Adj)"/>
      <sheetName val="SOC_-_Pre_concept_(Amended)"/>
      <sheetName val="SOC_Tracker_(Recon)"/>
      <sheetName val="SOC_(WORK_STREAM_summary)"/>
      <sheetName val="Additional_floors"/>
      <sheetName val="Hotel_room_fit_out"/>
      <sheetName val="m2_Analysis"/>
      <sheetName val="Key_rate_Analysis"/>
      <sheetName val="Key_rate_Analysis_(ID)"/>
      <sheetName val="Enhanced_finishes"/>
      <sheetName val="ID_ANALYSIS"/>
      <sheetName val="Internal Finishes (Unit types)"/>
      <sheetName val="Fly_sheet_(1)1"/>
      <sheetName val="Fly_sheet_(2)1"/>
      <sheetName val="Summary_of_Costs1"/>
      <sheetName val="Fly_sheet_(3)1"/>
      <sheetName val="SOC_(ASSET_summary)1"/>
      <sheetName val="Fly_sheet_(4)1"/>
      <sheetName val="1_1_(SITE_PREP)1"/>
      <sheetName val="1_2_(PILING)1"/>
      <sheetName val="1_3_(BASEMENT)1"/>
      <sheetName val="2_1_(FRAME)1"/>
      <sheetName val="2_2_(UPPER_FLOORS)1"/>
      <sheetName val="2_3_(ROOF)1"/>
      <sheetName val="2_4_(STAIRS_&amp;_RAMPS)1"/>
      <sheetName val="2_5_(EXTERNAL_WALLS)1"/>
      <sheetName val="2_6_(EXTERNAL_WINDOWS)1"/>
      <sheetName val="2_7_(INTERNAL_WALLS)1"/>
      <sheetName val="2_8_(INTERNAL_DOORS)1"/>
      <sheetName val="3_1_(WALL_FINISHES)1"/>
      <sheetName val="3_2_(FLOOR_FINISHES)1"/>
      <sheetName val="3_3_(CEILING_FINISHES)1"/>
      <sheetName val="4_2_FF&amp;E_&amp;_OS&amp;E1"/>
      <sheetName val="4_1_Fixed_FF&amp;E1"/>
      <sheetName val="5_0_(MEP)1"/>
      <sheetName val="8_0_(EXTERNALS)1"/>
      <sheetName val="Fly_sheet_(5)1"/>
      <sheetName val="Schedule_of_Areas1"/>
      <sheetName val="Fly_sheet_(6)1"/>
      <sheetName val="-_50_Benchmark_Data1"/>
      <sheetName val="Benchmark_Data1"/>
      <sheetName val="SOC_-_Pre_concept_(R1)1"/>
      <sheetName val="SOC_-_Pre_concept_(R1_-_Adj)1"/>
      <sheetName val="SOC_-_Pre_concept_(Amended)1"/>
      <sheetName val="SOC_Tracker_(Recon)1"/>
      <sheetName val="SOC_(WORK_STREAM_summary)1"/>
      <sheetName val="Additional_floors1"/>
      <sheetName val="Hotel_room_fit_out1"/>
      <sheetName val="m2_Analysis1"/>
      <sheetName val="Key_rate_Analysis1"/>
      <sheetName val="Key_rate_Analysis_(ID)1"/>
      <sheetName val="Enhanced_finishes1"/>
      <sheetName val="ID_ANALYSIS1"/>
      <sheetName val="Fly_sheet_(1)2"/>
      <sheetName val="Fly_sheet_(2)2"/>
      <sheetName val="Summary_of_Costs2"/>
      <sheetName val="Fly_sheet_(3)2"/>
      <sheetName val="SOC_(ASSET_summary)2"/>
      <sheetName val="Fly_sheet_(4)2"/>
      <sheetName val="1_1_(SITE_PREP)2"/>
      <sheetName val="1_2_(PILING)2"/>
      <sheetName val="1_3_(BASEMENT)2"/>
      <sheetName val="2_1_(FRAME)2"/>
      <sheetName val="2_2_(UPPER_FLOORS)2"/>
      <sheetName val="2_3_(ROOF)2"/>
      <sheetName val="2_4_(STAIRS_&amp;_RAMPS)2"/>
      <sheetName val="2_5_(EXTERNAL_WALLS)2"/>
      <sheetName val="2_6_(EXTERNAL_WINDOWS)2"/>
      <sheetName val="2_7_(INTERNAL_WALLS)2"/>
      <sheetName val="2_8_(INTERNAL_DOORS)2"/>
      <sheetName val="3_1_(WALL_FINISHES)2"/>
      <sheetName val="3_2_(FLOOR_FINISHES)2"/>
      <sheetName val="3_3_(CEILING_FINISHES)2"/>
      <sheetName val="4_1_Fixed_FF&amp;E2"/>
      <sheetName val="4_2_FF&amp;E_&amp;_OS&amp;E2"/>
      <sheetName val="5_0_(MEP)2"/>
      <sheetName val="8_0_(EXTERNALS)2"/>
      <sheetName val="Fly_sheet_(5)2"/>
      <sheetName val="Schedule_of_Areas2"/>
      <sheetName val="Fly_sheet_(6)2"/>
      <sheetName val="-_50_Benchmark_Data2"/>
      <sheetName val="Benchmark_Data2"/>
      <sheetName val="SOC_-_Pre_concept_(R1)2"/>
      <sheetName val="SOC_-_Pre_concept_(R1_-_Adj)2"/>
      <sheetName val="SOC_-_Pre_concept_(Amended)2"/>
      <sheetName val="SOC_Tracker_(Recon)2"/>
      <sheetName val="SOC_(WORK_STREAM_summary)2"/>
      <sheetName val="Additional_floors2"/>
      <sheetName val="m2_Analysis2"/>
      <sheetName val="Key_rate_Analysis2"/>
      <sheetName val="Key_rate_Analysis_(ID)2"/>
      <sheetName val="Enhanced_finishes2"/>
      <sheetName val="ID_ANALYSIS2"/>
      <sheetName val="Hotel_room_fit_out2"/>
      <sheetName val="Internal_Finishes_(Unit_types)"/>
      <sheetName val="Fly_sheet_(1)3"/>
      <sheetName val="Fly_sheet_(2)3"/>
      <sheetName val="Summary_of_Costs3"/>
      <sheetName val="Fly_sheet_(3)3"/>
      <sheetName val="SOC_(ASSET_summary)3"/>
      <sheetName val="Fly_sheet_(4)3"/>
      <sheetName val="1_1_(SITE_PREP)3"/>
      <sheetName val="1_2_(PILING)3"/>
      <sheetName val="1_3_(BASEMENT)3"/>
      <sheetName val="2_1_(FRAME)3"/>
      <sheetName val="2_2_(UPPER_FLOORS)3"/>
      <sheetName val="2_3_(ROOF)3"/>
      <sheetName val="2_4_(STAIRS_&amp;_RAMPS)3"/>
      <sheetName val="2_5_(EXTERNAL_WALLS)3"/>
      <sheetName val="2_6_(EXTERNAL_WINDOWS)3"/>
      <sheetName val="2_7_(INTERNAL_WALLS)3"/>
      <sheetName val="2_8_(INTERNAL_DOORS)3"/>
      <sheetName val="3_1_(WALL_FINISHES)3"/>
      <sheetName val="3_2_(FLOOR_FINISHES)3"/>
      <sheetName val="3_3_(CEILING_FINISHES)3"/>
      <sheetName val="4_2_FF&amp;E_&amp;_OS&amp;E3"/>
      <sheetName val="4_1_Fixed_FF&amp;E3"/>
      <sheetName val="5_0_(MEP)3"/>
      <sheetName val="8_0_(EXTERNALS)3"/>
      <sheetName val="Fly_sheet_(5)3"/>
      <sheetName val="Schedule_of_Areas3"/>
      <sheetName val="Fly_sheet_(6)3"/>
      <sheetName val="-_50_Benchmark_Data3"/>
      <sheetName val="Benchmark_Data3"/>
      <sheetName val="SOC_-_Pre_concept_(R1)3"/>
      <sheetName val="SOC_-_Pre_concept_(R1_-_Adj)3"/>
      <sheetName val="SOC_-_Pre_concept_(Amended)3"/>
      <sheetName val="SOC_Tracker_(Recon)3"/>
      <sheetName val="SOC_(WORK_STREAM_summary)3"/>
      <sheetName val="Additional_floors3"/>
      <sheetName val="Hotel_room_fit_out3"/>
      <sheetName val="m2_Analysis3"/>
      <sheetName val="Key_rate_Analysis3"/>
      <sheetName val="Key_rate_Analysis_(ID)3"/>
      <sheetName val="Enhanced_finishes3"/>
      <sheetName val="ID_ANALYSIS3"/>
      <sheetName val="Internal_Finishes_(Unit_types)1"/>
      <sheetName val="Fly_sheet_(1)4"/>
      <sheetName val="Fly_sheet_(2)4"/>
      <sheetName val="Summary_of_Costs4"/>
      <sheetName val="Fly_sheet_(3)4"/>
      <sheetName val="SOC_(ASSET_summary)4"/>
      <sheetName val="Fly_sheet_(4)4"/>
      <sheetName val="1_1_(SITE_PREP)4"/>
      <sheetName val="1_2_(PILING)4"/>
      <sheetName val="1_3_(BASEMENT)4"/>
      <sheetName val="2_1_(FRAME)4"/>
      <sheetName val="2_2_(UPPER_FLOORS)4"/>
      <sheetName val="2_3_(ROOF)4"/>
      <sheetName val="2_4_(STAIRS_&amp;_RAMPS)4"/>
      <sheetName val="2_5_(EXTERNAL_WALLS)4"/>
      <sheetName val="2_6_(EXTERNAL_WINDOWS)4"/>
      <sheetName val="2_7_(INTERNAL_WALLS)4"/>
      <sheetName val="2_8_(INTERNAL_DOORS)4"/>
      <sheetName val="3_1_(WALL_FINISHES)4"/>
      <sheetName val="3_2_(FLOOR_FINISHES)4"/>
      <sheetName val="3_3_(CEILING_FINISHES)4"/>
      <sheetName val="4_2_FF&amp;E_&amp;_OS&amp;E4"/>
      <sheetName val="4_1_Fixed_FF&amp;E4"/>
      <sheetName val="5_0_(MEP)4"/>
      <sheetName val="8_0_(EXTERNALS)4"/>
      <sheetName val="Fly_sheet_(5)4"/>
      <sheetName val="Schedule_of_Areas4"/>
      <sheetName val="Fly_sheet_(6)4"/>
      <sheetName val="-_50_Benchmark_Data4"/>
      <sheetName val="Benchmark_Data4"/>
      <sheetName val="SOC_-_Pre_concept_(R1)4"/>
      <sheetName val="SOC_-_Pre_concept_(R1_-_Adj)4"/>
      <sheetName val="SOC_-_Pre_concept_(Amended)4"/>
      <sheetName val="SOC_Tracker_(Recon)4"/>
      <sheetName val="SOC_(WORK_STREAM_summary)4"/>
      <sheetName val="Additional_floors4"/>
      <sheetName val="Hotel_room_fit_out4"/>
      <sheetName val="m2_Analysis4"/>
      <sheetName val="Key_rate_Analysis4"/>
      <sheetName val="Key_rate_Analysis_(ID)4"/>
      <sheetName val="Enhanced_finishes4"/>
      <sheetName val="ID_ANALYSIS4"/>
      <sheetName val="Internal_Finishes_(Unit_types)2"/>
      <sheetName val="Fly_sheet_(1)5"/>
      <sheetName val="Fly_sheet_(2)5"/>
      <sheetName val="Summary_of_Costs5"/>
      <sheetName val="Fly_sheet_(3)5"/>
      <sheetName val="SOC_(ASSET_summary)5"/>
      <sheetName val="Fly_sheet_(4)5"/>
      <sheetName val="1_1_(SITE_PREP)5"/>
      <sheetName val="1_2_(PILING)5"/>
      <sheetName val="1_3_(BASEMENT)5"/>
      <sheetName val="2_1_(FRAME)5"/>
      <sheetName val="2_2_(UPPER_FLOORS)5"/>
      <sheetName val="2_3_(ROOF)5"/>
      <sheetName val="2_4_(STAIRS_&amp;_RAMPS)5"/>
      <sheetName val="2_5_(EXTERNAL_WALLS)5"/>
      <sheetName val="2_6_(EXTERNAL_WINDOWS)5"/>
      <sheetName val="2_7_(INTERNAL_WALLS)5"/>
      <sheetName val="2_8_(INTERNAL_DOORS)5"/>
      <sheetName val="3_1_(WALL_FINISHES)5"/>
      <sheetName val="3_2_(FLOOR_FINISHES)5"/>
      <sheetName val="3_3_(CEILING_FINISHES)5"/>
      <sheetName val="4_1_Fixed_FF&amp;E5"/>
      <sheetName val="4_2_FF&amp;E_&amp;_OS&amp;E5"/>
      <sheetName val="5_0_(MEP)5"/>
      <sheetName val="8_0_(EXTERNALS)5"/>
      <sheetName val="Fly_sheet_(5)5"/>
      <sheetName val="Schedule_of_Areas5"/>
      <sheetName val="Fly_sheet_(6)5"/>
      <sheetName val="-_50_Benchmark_Data5"/>
      <sheetName val="Benchmark_Data5"/>
      <sheetName val="SOC_-_Pre_concept_(R1)5"/>
      <sheetName val="SOC_-_Pre_concept_(R1_-_Adj)5"/>
      <sheetName val="SOC_-_Pre_concept_(Amended)5"/>
      <sheetName val="SOC_Tracker_(Recon)5"/>
      <sheetName val="SOC_(WORK_STREAM_summary)5"/>
      <sheetName val="Additional_floors5"/>
      <sheetName val="m2_Analysis5"/>
      <sheetName val="Key_rate_Analysis5"/>
      <sheetName val="Key_rate_Analysis_(ID)5"/>
      <sheetName val="Enhanced_finishes5"/>
      <sheetName val="ID_ANALYSIS5"/>
      <sheetName val="Hotel_room_fit_out5"/>
      <sheetName val="Internal_Finishes_(Unit_types)3"/>
      <sheetName val="Dropdowns"/>
      <sheetName val="Summary"/>
      <sheetName val="CERTIFICATE"/>
      <sheetName val="L4-L15"/>
      <sheetName val="Allg. Angaben"/>
      <sheetName val="Mengengerüst Beheizung"/>
      <sheetName val="Liste"/>
      <sheetName val="Mengengerüst"/>
      <sheetName val="Daten"/>
      <sheetName val="Montageüberwachung"/>
      <sheetName val="Faktoren"/>
    </sheetNames>
    <sheetDataSet>
      <sheetData sheetId="0"/>
      <sheetData sheetId="1"/>
      <sheetData sheetId="2"/>
      <sheetData sheetId="3"/>
      <sheetData sheetId="4"/>
      <sheetData sheetId="5">
        <row r="1">
          <cell r="A1" t="str">
            <v>PLOTS 4, 5 AND 6</v>
          </cell>
        </row>
      </sheetData>
      <sheetData sheetId="6"/>
      <sheetData sheetId="7"/>
      <sheetData sheetId="8"/>
      <sheetData sheetId="9"/>
      <sheetData sheetId="10"/>
      <sheetData sheetId="11"/>
      <sheetData sheetId="12"/>
      <sheetData sheetId="13"/>
      <sheetData sheetId="14"/>
      <sheetData sheetId="15"/>
      <sheetData sheetId="16"/>
      <sheetData sheetId="17">
        <row r="11">
          <cell r="L11">
            <v>9553</v>
          </cell>
        </row>
      </sheetData>
      <sheetData sheetId="18"/>
      <sheetData sheetId="19"/>
      <sheetData sheetId="20">
        <row r="122">
          <cell r="W122">
            <v>1170000</v>
          </cell>
        </row>
      </sheetData>
      <sheetData sheetId="21">
        <row r="198">
          <cell r="Y198">
            <v>839430</v>
          </cell>
        </row>
      </sheetData>
      <sheetData sheetId="22">
        <row r="343">
          <cell r="Y343">
            <v>8268000</v>
          </cell>
        </row>
      </sheetData>
      <sheetData sheetId="23">
        <row r="166">
          <cell r="Y166">
            <v>2117520</v>
          </cell>
        </row>
      </sheetData>
      <sheetData sheetId="24"/>
      <sheetData sheetId="25"/>
      <sheetData sheetId="26"/>
      <sheetData sheetId="27"/>
      <sheetData sheetId="28"/>
      <sheetData sheetId="29"/>
      <sheetData sheetId="30"/>
      <sheetData sheetId="31"/>
      <sheetData sheetId="32">
        <row r="54">
          <cell r="D54" t="str">
            <v>Address Dubai Mall</v>
          </cell>
        </row>
      </sheetData>
      <sheetData sheetId="33"/>
      <sheetData sheetId="34"/>
      <sheetData sheetId="35">
        <row r="56">
          <cell r="F56">
            <v>1969103742</v>
          </cell>
        </row>
      </sheetData>
      <sheetData sheetId="36"/>
      <sheetData sheetId="37"/>
      <sheetData sheetId="38"/>
      <sheetData sheetId="39">
        <row r="23">
          <cell r="V23">
            <v>3960000</v>
          </cell>
        </row>
      </sheetData>
      <sheetData sheetId="40">
        <row r="23">
          <cell r="V23">
            <v>3960000</v>
          </cell>
        </row>
      </sheetData>
      <sheetData sheetId="41">
        <row r="23">
          <cell r="V23">
            <v>3960000</v>
          </cell>
        </row>
      </sheetData>
      <sheetData sheetId="42">
        <row r="23">
          <cell r="V23">
            <v>3960000</v>
          </cell>
        </row>
      </sheetData>
      <sheetData sheetId="43">
        <row r="23">
          <cell r="V23">
            <v>3960000</v>
          </cell>
        </row>
      </sheetData>
      <sheetData sheetId="44">
        <row r="23">
          <cell r="V23">
            <v>3960000</v>
          </cell>
        </row>
      </sheetData>
      <sheetData sheetId="45">
        <row r="23">
          <cell r="V23">
            <v>3960000</v>
          </cell>
        </row>
      </sheetData>
      <sheetData sheetId="46">
        <row r="23">
          <cell r="V23">
            <v>3960000</v>
          </cell>
        </row>
      </sheetData>
      <sheetData sheetId="47">
        <row r="23">
          <cell r="V23">
            <v>3960000</v>
          </cell>
        </row>
      </sheetData>
      <sheetData sheetId="48">
        <row r="23">
          <cell r="V23">
            <v>3960000</v>
          </cell>
        </row>
      </sheetData>
      <sheetData sheetId="49"/>
      <sheetData sheetId="50"/>
      <sheetData sheetId="51">
        <row r="1">
          <cell r="A1" t="str">
            <v>PLOTS 4, 5 AND 6</v>
          </cell>
        </row>
      </sheetData>
      <sheetData sheetId="52"/>
      <sheetData sheetId="53"/>
      <sheetData sheetId="54"/>
      <sheetData sheetId="55"/>
      <sheetData sheetId="56"/>
      <sheetData sheetId="57"/>
      <sheetData sheetId="58"/>
      <sheetData sheetId="59"/>
      <sheetData sheetId="60"/>
      <sheetData sheetId="61"/>
      <sheetData sheetId="62"/>
      <sheetData sheetId="63">
        <row r="11">
          <cell r="L11">
            <v>9553</v>
          </cell>
        </row>
      </sheetData>
      <sheetData sheetId="64"/>
      <sheetData sheetId="65"/>
      <sheetData sheetId="66">
        <row r="122">
          <cell r="W122">
            <v>1170000</v>
          </cell>
        </row>
      </sheetData>
      <sheetData sheetId="67">
        <row r="198">
          <cell r="Y198">
            <v>839430</v>
          </cell>
        </row>
      </sheetData>
      <sheetData sheetId="68">
        <row r="343">
          <cell r="Y343">
            <v>8268000</v>
          </cell>
        </row>
      </sheetData>
      <sheetData sheetId="69">
        <row r="166">
          <cell r="Y166">
            <v>2117520</v>
          </cell>
        </row>
      </sheetData>
      <sheetData sheetId="70"/>
      <sheetData sheetId="71"/>
      <sheetData sheetId="72"/>
      <sheetData sheetId="73"/>
      <sheetData sheetId="74"/>
      <sheetData sheetId="75"/>
      <sheetData sheetId="76"/>
      <sheetData sheetId="77"/>
      <sheetData sheetId="78">
        <row r="54">
          <cell r="D54" t="str">
            <v>Address Dubai Mall</v>
          </cell>
        </row>
      </sheetData>
      <sheetData sheetId="79"/>
      <sheetData sheetId="80"/>
      <sheetData sheetId="81">
        <row r="56">
          <cell r="F56">
            <v>1969103742</v>
          </cell>
        </row>
      </sheetData>
      <sheetData sheetId="82"/>
      <sheetData sheetId="83"/>
      <sheetData sheetId="84"/>
      <sheetData sheetId="85"/>
      <sheetData sheetId="86">
        <row r="23">
          <cell r="V23">
            <v>3960000</v>
          </cell>
        </row>
      </sheetData>
      <sheetData sheetId="87"/>
      <sheetData sheetId="88"/>
      <sheetData sheetId="89"/>
      <sheetData sheetId="90"/>
      <sheetData sheetId="91" refreshError="1"/>
      <sheetData sheetId="92">
        <row r="1">
          <cell r="A1" t="str">
            <v>PLOTS 4, 5 AND 6</v>
          </cell>
        </row>
      </sheetData>
      <sheetData sheetId="93">
        <row r="1">
          <cell r="A1" t="str">
            <v>PLOTS 4, 5 AND 6</v>
          </cell>
        </row>
      </sheetData>
      <sheetData sheetId="94">
        <row r="1">
          <cell r="A1" t="str">
            <v>PLOTS 4, 5 AND 6</v>
          </cell>
        </row>
      </sheetData>
      <sheetData sheetId="95"/>
      <sheetData sheetId="96"/>
      <sheetData sheetId="97"/>
      <sheetData sheetId="98"/>
      <sheetData sheetId="99"/>
      <sheetData sheetId="100"/>
      <sheetData sheetId="101"/>
      <sheetData sheetId="102">
        <row r="11">
          <cell r="L11">
            <v>9553</v>
          </cell>
        </row>
      </sheetData>
      <sheetData sheetId="103">
        <row r="11">
          <cell r="L11">
            <v>9553</v>
          </cell>
        </row>
      </sheetData>
      <sheetData sheetId="104">
        <row r="11">
          <cell r="L11">
            <v>9553</v>
          </cell>
        </row>
      </sheetData>
      <sheetData sheetId="105">
        <row r="11">
          <cell r="L11">
            <v>9553</v>
          </cell>
        </row>
      </sheetData>
      <sheetData sheetId="106">
        <row r="11">
          <cell r="L11">
            <v>9553</v>
          </cell>
        </row>
      </sheetData>
      <sheetData sheetId="107">
        <row r="122">
          <cell r="W122">
            <v>1170000</v>
          </cell>
        </row>
      </sheetData>
      <sheetData sheetId="108">
        <row r="122">
          <cell r="W122">
            <v>1170000</v>
          </cell>
        </row>
      </sheetData>
      <sheetData sheetId="109">
        <row r="122">
          <cell r="W122">
            <v>1170000</v>
          </cell>
        </row>
      </sheetData>
      <sheetData sheetId="110">
        <row r="166">
          <cell r="Y166">
            <v>2117520</v>
          </cell>
        </row>
      </sheetData>
      <sheetData sheetId="111">
        <row r="166">
          <cell r="Y166">
            <v>2117520</v>
          </cell>
        </row>
      </sheetData>
      <sheetData sheetId="112">
        <row r="166">
          <cell r="Y166">
            <v>2117520</v>
          </cell>
        </row>
      </sheetData>
      <sheetData sheetId="113"/>
      <sheetData sheetId="114"/>
      <sheetData sheetId="115"/>
      <sheetData sheetId="116"/>
      <sheetData sheetId="117">
        <row r="54">
          <cell r="D54" t="str">
            <v>Address Dubai Mall</v>
          </cell>
        </row>
      </sheetData>
      <sheetData sheetId="118">
        <row r="54">
          <cell r="D54" t="str">
            <v>Address Dubai Mall</v>
          </cell>
        </row>
      </sheetData>
      <sheetData sheetId="119">
        <row r="54">
          <cell r="D54" t="str">
            <v>Address Dubai Mall</v>
          </cell>
        </row>
      </sheetData>
      <sheetData sheetId="120">
        <row r="54">
          <cell r="D54" t="str">
            <v>Address Dubai Mall</v>
          </cell>
        </row>
      </sheetData>
      <sheetData sheetId="121">
        <row r="54">
          <cell r="D54" t="str">
            <v>Address Dubai Mall</v>
          </cell>
        </row>
      </sheetData>
      <sheetData sheetId="122">
        <row r="56">
          <cell r="F56">
            <v>1969103742</v>
          </cell>
        </row>
      </sheetData>
      <sheetData sheetId="123">
        <row r="56">
          <cell r="F56">
            <v>1969103742</v>
          </cell>
        </row>
      </sheetData>
      <sheetData sheetId="124">
        <row r="23">
          <cell r="V23">
            <v>3960000</v>
          </cell>
        </row>
      </sheetData>
      <sheetData sheetId="125">
        <row r="23">
          <cell r="V23">
            <v>3960000</v>
          </cell>
        </row>
      </sheetData>
      <sheetData sheetId="126">
        <row r="23">
          <cell r="V23">
            <v>3960000</v>
          </cell>
        </row>
      </sheetData>
      <sheetData sheetId="127">
        <row r="23">
          <cell r="V23">
            <v>3960000</v>
          </cell>
        </row>
      </sheetData>
      <sheetData sheetId="128">
        <row r="23">
          <cell r="V23">
            <v>3960000</v>
          </cell>
        </row>
      </sheetData>
      <sheetData sheetId="129">
        <row r="23">
          <cell r="V23">
            <v>3960000</v>
          </cell>
        </row>
      </sheetData>
      <sheetData sheetId="130"/>
      <sheetData sheetId="131"/>
      <sheetData sheetId="132"/>
      <sheetData sheetId="133"/>
      <sheetData sheetId="134">
        <row r="1">
          <cell r="A1" t="str">
            <v>PLOTS 4, 5 AND 6</v>
          </cell>
        </row>
      </sheetData>
      <sheetData sheetId="135"/>
      <sheetData sheetId="136"/>
      <sheetData sheetId="137"/>
      <sheetData sheetId="138"/>
      <sheetData sheetId="139"/>
      <sheetData sheetId="140"/>
      <sheetData sheetId="141"/>
      <sheetData sheetId="142"/>
      <sheetData sheetId="143"/>
      <sheetData sheetId="144"/>
      <sheetData sheetId="145"/>
      <sheetData sheetId="146">
        <row r="11">
          <cell r="L11">
            <v>9553</v>
          </cell>
        </row>
      </sheetData>
      <sheetData sheetId="147"/>
      <sheetData sheetId="148"/>
      <sheetData sheetId="149">
        <row r="122">
          <cell r="W122">
            <v>1170000</v>
          </cell>
        </row>
      </sheetData>
      <sheetData sheetId="150">
        <row r="198">
          <cell r="Y198">
            <v>839430</v>
          </cell>
        </row>
      </sheetData>
      <sheetData sheetId="151">
        <row r="343">
          <cell r="Y343">
            <v>8268000</v>
          </cell>
        </row>
      </sheetData>
      <sheetData sheetId="152">
        <row r="166">
          <cell r="Y166">
            <v>2117520</v>
          </cell>
        </row>
      </sheetData>
      <sheetData sheetId="153"/>
      <sheetData sheetId="154"/>
      <sheetData sheetId="155"/>
      <sheetData sheetId="156"/>
      <sheetData sheetId="157"/>
      <sheetData sheetId="158"/>
      <sheetData sheetId="159"/>
      <sheetData sheetId="160"/>
      <sheetData sheetId="161">
        <row r="54">
          <cell r="D54" t="str">
            <v>Address Dubai Mall</v>
          </cell>
        </row>
      </sheetData>
      <sheetData sheetId="162"/>
      <sheetData sheetId="163"/>
      <sheetData sheetId="164">
        <row r="56">
          <cell r="F56">
            <v>1969103742</v>
          </cell>
        </row>
      </sheetData>
      <sheetData sheetId="165"/>
      <sheetData sheetId="166"/>
      <sheetData sheetId="167"/>
      <sheetData sheetId="168">
        <row r="23">
          <cell r="V23">
            <v>3960000</v>
          </cell>
        </row>
      </sheetData>
      <sheetData sheetId="169"/>
      <sheetData sheetId="170"/>
      <sheetData sheetId="171"/>
      <sheetData sheetId="172"/>
      <sheetData sheetId="173">
        <row r="23">
          <cell r="V23">
            <v>3960000</v>
          </cell>
        </row>
      </sheetData>
      <sheetData sheetId="174"/>
      <sheetData sheetId="175"/>
      <sheetData sheetId="176">
        <row r="1">
          <cell r="A1" t="str">
            <v>PLOTS 4, 5 AND 6</v>
          </cell>
        </row>
      </sheetData>
      <sheetData sheetId="177"/>
      <sheetData sheetId="178"/>
      <sheetData sheetId="179"/>
      <sheetData sheetId="180"/>
      <sheetData sheetId="181"/>
      <sheetData sheetId="182"/>
      <sheetData sheetId="183"/>
      <sheetData sheetId="184"/>
      <sheetData sheetId="185"/>
      <sheetData sheetId="186"/>
      <sheetData sheetId="187"/>
      <sheetData sheetId="188">
        <row r="11">
          <cell r="L11">
            <v>9553</v>
          </cell>
        </row>
      </sheetData>
      <sheetData sheetId="189"/>
      <sheetData sheetId="190"/>
      <sheetData sheetId="191">
        <row r="122">
          <cell r="W122">
            <v>1170000</v>
          </cell>
        </row>
      </sheetData>
      <sheetData sheetId="192">
        <row r="198">
          <cell r="Y198">
            <v>839430</v>
          </cell>
        </row>
      </sheetData>
      <sheetData sheetId="193">
        <row r="343">
          <cell r="Y343">
            <v>8268000</v>
          </cell>
        </row>
      </sheetData>
      <sheetData sheetId="194">
        <row r="166">
          <cell r="Y166">
            <v>2117520</v>
          </cell>
        </row>
      </sheetData>
      <sheetData sheetId="195"/>
      <sheetData sheetId="196"/>
      <sheetData sheetId="197"/>
      <sheetData sheetId="198"/>
      <sheetData sheetId="199"/>
      <sheetData sheetId="200"/>
      <sheetData sheetId="201"/>
      <sheetData sheetId="202"/>
      <sheetData sheetId="203">
        <row r="54">
          <cell r="D54" t="str">
            <v>Address Dubai Mall</v>
          </cell>
        </row>
      </sheetData>
      <sheetData sheetId="204"/>
      <sheetData sheetId="205"/>
      <sheetData sheetId="206">
        <row r="56">
          <cell r="F56">
            <v>1969103742</v>
          </cell>
        </row>
      </sheetData>
      <sheetData sheetId="207"/>
      <sheetData sheetId="208"/>
      <sheetData sheetId="209"/>
      <sheetData sheetId="210">
        <row r="23">
          <cell r="V23">
            <v>3960000</v>
          </cell>
        </row>
      </sheetData>
      <sheetData sheetId="211">
        <row r="23">
          <cell r="V23">
            <v>3960000</v>
          </cell>
        </row>
      </sheetData>
      <sheetData sheetId="212"/>
      <sheetData sheetId="213"/>
      <sheetData sheetId="214"/>
      <sheetData sheetId="215"/>
      <sheetData sheetId="216"/>
      <sheetData sheetId="217"/>
      <sheetData sheetId="218">
        <row r="1">
          <cell r="A1" t="str">
            <v>PLOTS 4, 5 AND 6</v>
          </cell>
        </row>
      </sheetData>
      <sheetData sheetId="219"/>
      <sheetData sheetId="220"/>
      <sheetData sheetId="221"/>
      <sheetData sheetId="222"/>
      <sheetData sheetId="223"/>
      <sheetData sheetId="224"/>
      <sheetData sheetId="225"/>
      <sheetData sheetId="226"/>
      <sheetData sheetId="227"/>
      <sheetData sheetId="228"/>
      <sheetData sheetId="229"/>
      <sheetData sheetId="230">
        <row r="11">
          <cell r="L11">
            <v>9553</v>
          </cell>
        </row>
      </sheetData>
      <sheetData sheetId="231"/>
      <sheetData sheetId="232"/>
      <sheetData sheetId="233">
        <row r="122">
          <cell r="W122">
            <v>1170000</v>
          </cell>
        </row>
      </sheetData>
      <sheetData sheetId="234">
        <row r="198">
          <cell r="Y198">
            <v>839430</v>
          </cell>
        </row>
      </sheetData>
      <sheetData sheetId="235">
        <row r="343">
          <cell r="Y343">
            <v>8268000</v>
          </cell>
        </row>
      </sheetData>
      <sheetData sheetId="236">
        <row r="166">
          <cell r="Y166">
            <v>2117520</v>
          </cell>
        </row>
      </sheetData>
      <sheetData sheetId="237"/>
      <sheetData sheetId="238"/>
      <sheetData sheetId="239"/>
      <sheetData sheetId="240"/>
      <sheetData sheetId="241"/>
      <sheetData sheetId="242"/>
      <sheetData sheetId="243"/>
      <sheetData sheetId="244"/>
      <sheetData sheetId="245">
        <row r="54">
          <cell r="D54" t="str">
            <v>Address Dubai Mall</v>
          </cell>
        </row>
      </sheetData>
      <sheetData sheetId="246"/>
      <sheetData sheetId="247"/>
      <sheetData sheetId="248">
        <row r="56">
          <cell r="F56">
            <v>1969103742</v>
          </cell>
        </row>
      </sheetData>
      <sheetData sheetId="249"/>
      <sheetData sheetId="250"/>
      <sheetData sheetId="251"/>
      <sheetData sheetId="252">
        <row r="23">
          <cell r="V23">
            <v>3960000</v>
          </cell>
        </row>
      </sheetData>
      <sheetData sheetId="253">
        <row r="23">
          <cell r="V23">
            <v>3960000</v>
          </cell>
        </row>
      </sheetData>
      <sheetData sheetId="254"/>
      <sheetData sheetId="255"/>
      <sheetData sheetId="256"/>
      <sheetData sheetId="257"/>
      <sheetData sheetId="258"/>
      <sheetData sheetId="259"/>
      <sheetData sheetId="260">
        <row r="1">
          <cell r="A1" t="str">
            <v>PLOTS 4, 5 AND 6</v>
          </cell>
        </row>
      </sheetData>
      <sheetData sheetId="261"/>
      <sheetData sheetId="262"/>
      <sheetData sheetId="263"/>
      <sheetData sheetId="264"/>
      <sheetData sheetId="265"/>
      <sheetData sheetId="266"/>
      <sheetData sheetId="267"/>
      <sheetData sheetId="268"/>
      <sheetData sheetId="269"/>
      <sheetData sheetId="270"/>
      <sheetData sheetId="271"/>
      <sheetData sheetId="272">
        <row r="11">
          <cell r="L11">
            <v>9553</v>
          </cell>
        </row>
      </sheetData>
      <sheetData sheetId="273"/>
      <sheetData sheetId="274"/>
      <sheetData sheetId="275">
        <row r="122">
          <cell r="W122">
            <v>1170000</v>
          </cell>
        </row>
      </sheetData>
      <sheetData sheetId="276">
        <row r="198">
          <cell r="Y198">
            <v>839430</v>
          </cell>
        </row>
      </sheetData>
      <sheetData sheetId="277">
        <row r="343">
          <cell r="Y343">
            <v>8268000</v>
          </cell>
        </row>
      </sheetData>
      <sheetData sheetId="278">
        <row r="166">
          <cell r="Y166">
            <v>2117520</v>
          </cell>
        </row>
      </sheetData>
      <sheetData sheetId="279"/>
      <sheetData sheetId="280"/>
      <sheetData sheetId="281"/>
      <sheetData sheetId="282"/>
      <sheetData sheetId="283"/>
      <sheetData sheetId="284"/>
      <sheetData sheetId="285"/>
      <sheetData sheetId="286"/>
      <sheetData sheetId="287">
        <row r="54">
          <cell r="D54" t="str">
            <v>Address Dubai Mall</v>
          </cell>
        </row>
      </sheetData>
      <sheetData sheetId="288"/>
      <sheetData sheetId="289"/>
      <sheetData sheetId="290">
        <row r="56">
          <cell r="F56">
            <v>1969103742</v>
          </cell>
        </row>
      </sheetData>
      <sheetData sheetId="291"/>
      <sheetData sheetId="292"/>
      <sheetData sheetId="293"/>
      <sheetData sheetId="294">
        <row r="23">
          <cell r="V23">
            <v>3960000</v>
          </cell>
        </row>
      </sheetData>
      <sheetData sheetId="295"/>
      <sheetData sheetId="296"/>
      <sheetData sheetId="297"/>
      <sheetData sheetId="298"/>
      <sheetData sheetId="299">
        <row r="23">
          <cell r="V23">
            <v>3960000</v>
          </cell>
        </row>
      </sheetData>
      <sheetData sheetId="300"/>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3"/>
      <sheetName val="4"/>
      <sheetName val="5"/>
      <sheetName val="6"/>
      <sheetName val="7"/>
      <sheetName val="8"/>
      <sheetName val="9"/>
      <sheetName val="10"/>
      <sheetName val="11"/>
      <sheetName val="L4-L15"/>
      <sheetName val="SOA"/>
      <sheetName val="Labor abs-NMR"/>
      <sheetName val="List"/>
      <sheetName val="RA-markate"/>
      <sheetName val="Sheet2"/>
      <sheetName val="Basement Summary"/>
      <sheetName val="AreaPerM"/>
      <sheetName val="FIELD"/>
      <sheetName val="SHOP"/>
      <sheetName val="TESTING"/>
      <sheetName val="WEIGHT"/>
      <sheetName val="Basis"/>
      <sheetName val="Summary"/>
      <sheetName val="CCNs"/>
      <sheetName val="P-2002"/>
      <sheetName val="Internal Finishes (Unit types)"/>
      <sheetName val="MECHANICAL"/>
      <sheetName val="CERTIFICATE"/>
      <sheetName val="AROMIN"/>
      <sheetName val="Dropdowns"/>
      <sheetName val="Schedule C - Variations"/>
      <sheetName val="LTR-2"/>
      <sheetName val="Currency Rates"/>
      <sheetName val="Main"/>
      <sheetName val="Basement (2)"/>
      <sheetName val="Assumptions"/>
      <sheetName val="@risk rents and incentives"/>
      <sheetName val="Car park lease"/>
      <sheetName val="Net rent analysis"/>
      <sheetName val="Formulas"/>
      <sheetName val="Villa Tracker"/>
      <sheetName val="rc01"/>
      <sheetName val="Cell 31-Measurements (rev-01)"/>
      <sheetName val="Indirect"/>
      <sheetName val="Build-up"/>
      <sheetName val="Project Brief"/>
      <sheetName val="Intro"/>
      <sheetName val="PRECAST lightconc-II"/>
      <sheetName val="% prog figs -u5 and total"/>
      <sheetName val="AN"/>
      <sheetName val="Day work"/>
      <sheetName val="2gii"/>
      <sheetName val="Labor_abs-NMR"/>
      <sheetName val="Basement_Summary"/>
      <sheetName val="Internal_Finishes_(Unit_types)"/>
      <sheetName val="@risk_rents_and_incentives"/>
      <sheetName val="Car_park_lease"/>
      <sheetName val="Net_rent_analysis"/>
      <sheetName val="Schedule_C_-_Variations"/>
      <sheetName val="Basement_(2)"/>
      <sheetName val="Currency_Rates"/>
      <sheetName val="Day_work"/>
      <sheetName val="Villa_Tracker"/>
      <sheetName val="Named ranges"/>
    </sheetNames>
    <sheetDataSet>
      <sheetData sheetId="0"/>
      <sheetData sheetId="1">
        <row r="7">
          <cell r="D7">
            <v>2504.5225000000005</v>
          </cell>
        </row>
      </sheetData>
      <sheetData sheetId="2">
        <row r="41">
          <cell r="C41">
            <v>2504.5225000000005</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te Works"/>
      <sheetName val="Concrete"/>
      <sheetName val="Masonary"/>
      <sheetName val="Metal work"/>
      <sheetName val="working Woodwork"/>
      <sheetName val="T&amp;M"/>
      <sheetName val="Door &amp; Window"/>
      <sheetName val="working finishes"/>
      <sheetName val="working Accessories"/>
      <sheetName val="Sheet2"/>
      <sheetName val="finishes"/>
      <sheetName val="POWER"/>
      <sheetName val="RA-markate"/>
      <sheetName val="Summary"/>
      <sheetName val="L4-L15"/>
      <sheetName val="Data"/>
      <sheetName val="Site_Works"/>
      <sheetName val="Metal_work"/>
      <sheetName val="working_Woodwork"/>
      <sheetName val="Door_&amp;_Window"/>
      <sheetName val="working_finishes"/>
      <sheetName val="working_Accessories"/>
      <sheetName val="SRC-B3U2"/>
      <sheetName val="Register"/>
      <sheetName val="Site_Works1"/>
      <sheetName val="Metal_work1"/>
      <sheetName val="working_Woodwork1"/>
      <sheetName val="Door_&amp;_Window1"/>
      <sheetName val="working_finishes1"/>
      <sheetName val="working_Accessories1"/>
      <sheetName val="3"/>
      <sheetName val="Site_Works2"/>
      <sheetName val="Metal_work2"/>
      <sheetName val="working_Woodwork2"/>
      <sheetName val="Door_&amp;_Window2"/>
      <sheetName val="working_finishes2"/>
      <sheetName val="working_Accessories2"/>
      <sheetName val="Site_Works3"/>
      <sheetName val="Metal_work3"/>
      <sheetName val="working_Woodwork3"/>
      <sheetName val="Door_&amp;_Window3"/>
      <sheetName val="working_finishes3"/>
      <sheetName val="working_Accessories3"/>
      <sheetName val="Site_Works4"/>
      <sheetName val="Metal_work4"/>
      <sheetName val="working_Woodwork4"/>
      <sheetName val="Door_&amp;_Window4"/>
      <sheetName val="working_finishes4"/>
      <sheetName val="working_Accessories4"/>
      <sheetName val="Site_Works5"/>
      <sheetName val="Metal_work5"/>
      <sheetName val="working_Woodwork5"/>
      <sheetName val="Door_&amp;_Window5"/>
      <sheetName val="working_finishes5"/>
      <sheetName val="working_Accessories5"/>
      <sheetName val="Project Details"/>
      <sheetName val="Site_Works6"/>
      <sheetName val="Metal_work6"/>
      <sheetName val="working_Woodwork6"/>
      <sheetName val="Door_&amp;_Window6"/>
      <sheetName val="working_finishes6"/>
      <sheetName val="working_Accessories6"/>
      <sheetName val="Project_Details"/>
      <sheetName val="List"/>
      <sheetName val="Cover"/>
      <sheetName val="Pile cap"/>
      <sheetName val="Detail"/>
      <sheetName val="BILL 3R"/>
      <sheetName val="Rate"/>
      <sheetName val="UPA(Part C,D,E,G,H)"/>
      <sheetName val="UPA(Part F)"/>
      <sheetName val="Materials"/>
      <sheetName val="일위대가 (Part C,D,E,G,H)"/>
      <sheetName val="boq"/>
      <sheetName val="Finishes schedule"/>
      <sheetName val="SOA"/>
      <sheetName val="AÇIKLAMALAR"/>
      <sheetName val="KABLO A.T.K."/>
      <sheetName val="ŞALTERLER"/>
      <sheetName val="Projects"/>
      <sheetName val="DM-PA1"/>
      <sheetName val="P1 SUM"/>
      <sheetName val="Labor abs-NMR"/>
      <sheetName val="Allg. Angaben"/>
      <sheetName val="Mengengerüst Beheizung"/>
      <sheetName val="Liste"/>
      <sheetName val="Mengengerüst"/>
      <sheetName val="Daten"/>
      <sheetName val="Montageüberwachung"/>
      <sheetName val="Faktoren"/>
      <sheetName val="Basis"/>
      <sheetName val="Final working_A300 - Andalusian"/>
      <sheetName val="Site_Works7"/>
      <sheetName val="Metal_work7"/>
      <sheetName val="working_Woodwork7"/>
      <sheetName val="Door_&amp;_Window7"/>
      <sheetName val="working_finishes7"/>
      <sheetName val="working_Accessories7"/>
      <sheetName val="Project_Details1"/>
      <sheetName val="Site_Works9"/>
      <sheetName val="Metal_work9"/>
      <sheetName val="working_Woodwork9"/>
      <sheetName val="Door_&amp;_Window9"/>
      <sheetName val="working_finishes9"/>
      <sheetName val="working_Accessories9"/>
      <sheetName val="Project_Details3"/>
      <sheetName val="Site_Works8"/>
      <sheetName val="Metal_work8"/>
      <sheetName val="working_Woodwork8"/>
      <sheetName val="Door_&amp;_Window8"/>
      <sheetName val="working_finishes8"/>
      <sheetName val="working_Accessories8"/>
      <sheetName val="Project_Details2"/>
      <sheetName val="Lookups"/>
      <sheetName val="Project_Details4"/>
      <sheetName val="Internal Finishes (Unit types)"/>
      <sheetName val="SOF Alternative Offer"/>
      <sheetName val="Notes"/>
      <sheetName val="WorkBreakDown"/>
      <sheetName val="Det_Des"/>
      <sheetName val="Civil-Weekly"/>
      <sheetName val="Elec-Weekly"/>
      <sheetName val="Mech-Weekly"/>
      <sheetName val="Pipe-Weekly"/>
      <sheetName val="Datas"/>
      <sheetName val="Tank-Weekly"/>
      <sheetName val="Project-Weekly"/>
      <sheetName val="U5-Weekly"/>
      <sheetName val="Categories"/>
      <sheetName val="Infor"/>
      <sheetName val="Assumptions"/>
      <sheetName val="sept-plan"/>
      <sheetName val="Basement Summary"/>
      <sheetName val="Option"/>
      <sheetName val="SPT vs PHI"/>
      <sheetName val="JAN2002"/>
      <sheetName val="Rev. 00 - 20.07.04"/>
      <sheetName val="Permitted Drop Down Items"/>
      <sheetName val="BOQ fire proofing"/>
      <sheetName val="MATER._FUEL_SUB"/>
      <sheetName val="LookupTables"/>
      <sheetName val="Control"/>
      <sheetName val="macros"/>
      <sheetName val="SCHEDULE"/>
      <sheetName val="Database"/>
      <sheetName val="B9"/>
      <sheetName val="Category Lookup Table"/>
      <sheetName val="Netstatement"/>
      <sheetName val="SCHED"/>
      <sheetName val="ICO_budzet_97"/>
      <sheetName val="5"/>
      <sheetName val="Comments"/>
      <sheetName val="Cash2"/>
      <sheetName val="FitOutConfCentre"/>
      <sheetName val="Beamsked"/>
      <sheetName val="Columnsked"/>
      <sheetName val="Scenario Select"/>
      <sheetName val="FEVA"/>
      <sheetName val="HO Costs"/>
      <sheetName val="final abstract"/>
      <sheetName val="Monthly"/>
      <sheetName val="Supplier"/>
      <sheetName val="VCH-SLC"/>
      <sheetName val="POWER ASSUMPTIONS"/>
      <sheetName val="G.1R-Shou COP Gf"/>
      <sheetName val="Macro custom function"/>
      <sheetName val="Schedules"/>
      <sheetName val="EDGES"/>
      <sheetName val="JOINTS"/>
      <sheetName val="SUPERSTRUCTURE"/>
      <sheetName val="Codes,..."/>
      <sheetName val="MTO"/>
      <sheetName val="INNER TANK"/>
      <sheetName val="IPE"/>
      <sheetName val="RECAPITULATION"/>
      <sheetName val="Data.Project"/>
      <sheetName val="ETS"/>
      <sheetName val="Data Sheet"/>
      <sheetName val="PRICING"/>
      <sheetName val="Sales_and_Deposits"/>
      <sheetName val="LOCAL RATES"/>
      <sheetName val="Birim Fiyat"/>
      <sheetName val="Val1 Calculations"/>
      <sheetName val="BQ"/>
      <sheetName val="BQ External"/>
      <sheetName val="BOQ Distribution"/>
      <sheetName val="Sheet3"/>
      <sheetName val="Plumbing"/>
      <sheetName val="Pile_cap1"/>
      <sheetName val="BILL_3R1"/>
      <sheetName val="UPA(Part_C,D,E,G,H)1"/>
      <sheetName val="UPA(Part_F)1"/>
      <sheetName val="일위대가_(Part_C,D,E,G,H)1"/>
      <sheetName val="Finishes_schedule1"/>
      <sheetName val="KABLO_A_T_K_1"/>
      <sheetName val="Final_working_A300_-_Andalusia1"/>
      <sheetName val="P1_SUM1"/>
      <sheetName val="Pile_cap"/>
      <sheetName val="BILL_3R"/>
      <sheetName val="UPA(Part_C,D,E,G,H)"/>
      <sheetName val="UPA(Part_F)"/>
      <sheetName val="일위대가_(Part_C,D,E,G,H)"/>
      <sheetName val="Finishes_schedule"/>
      <sheetName val="KABLO_A_T_K_"/>
      <sheetName val="Final_working_A300_-_Andalusian"/>
      <sheetName val="P1_SUM"/>
      <sheetName val="Pile_cap2"/>
      <sheetName val="BILL_3R2"/>
      <sheetName val="UPA(Part_C,D,E,G,H)2"/>
      <sheetName val="UPA(Part_F)2"/>
      <sheetName val="일위대가_(Part_C,D,E,G,H)2"/>
      <sheetName val="Finishes_schedule2"/>
      <sheetName val="KABLO_A_T_K_2"/>
      <sheetName val="Final_working_A300_-_Andalusia2"/>
      <sheetName val="P1_SUM2"/>
      <sheetName val="1"/>
      <sheetName val="11"/>
      <sheetName val="12"/>
      <sheetName val="13"/>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0"/>
      <sheetName val="4"/>
      <sheetName val="6"/>
      <sheetName val="8"/>
      <sheetName val="9"/>
      <sheetName val="10"/>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Cover"/>
      <sheetName val="Contents"/>
      <sheetName val="Fly sheet (1)"/>
      <sheetName val="Basis"/>
      <sheetName val="Basis (3)"/>
      <sheetName val="Fly sheet (2)"/>
      <sheetName val="Summary of Costs"/>
      <sheetName val="Fly sheet (6)"/>
      <sheetName val="Basement"/>
      <sheetName val="Podium"/>
      <sheetName val="Towers"/>
      <sheetName val="Link Bridge"/>
      <sheetName val="Fly sheet (3)"/>
      <sheetName val="SOA"/>
      <sheetName val="Fly sheet (4)"/>
      <sheetName val="Plots 58 &amp; 59"/>
      <sheetName val="Plots 29 &amp; 30"/>
      <sheetName val="Plots 55 to 57"/>
      <sheetName val="Burj Vista"/>
      <sheetName val="Fly sheet (8)"/>
      <sheetName val="Metro Link Bridge"/>
      <sheetName val="Fly sheet (5)"/>
      <sheetName val="- 50 Benchmark Data"/>
      <sheetName val="Fly sheet (7)"/>
      <sheetName val="Cost Plan Tracker"/>
      <sheetName val="DO NOT PRINT-&gt;"/>
      <sheetName val="Benchmark Data"/>
      <sheetName val="Basement Areas"/>
      <sheetName val="Podium Areas"/>
      <sheetName val="P3 Amenities"/>
      <sheetName val="1 BED (A)"/>
      <sheetName val="1 BED (B)"/>
      <sheetName val="2 BED (A)"/>
      <sheetName val="2 BED (B)"/>
      <sheetName val="2 BED (C)"/>
      <sheetName val="3 BED (A)"/>
      <sheetName val="3 BED (B)"/>
      <sheetName val="3 BED (C)"/>
      <sheetName val="4 BED (A)"/>
      <sheetName val="4 BED (Duplex)"/>
      <sheetName val="5 BED (Duplex)"/>
      <sheetName val="Rates"/>
      <sheetName val="Contingency"/>
      <sheetName val="Queries"/>
      <sheetName val="ff&amp;E-OS&amp;E"/>
      <sheetName val="Sheet1"/>
      <sheetName val="Fly_sheet_(1)"/>
      <sheetName val="Basis_(3)"/>
      <sheetName val="Fly_sheet_(2)"/>
      <sheetName val="Summary_of_Costs"/>
      <sheetName val="Fly_sheet_(6)"/>
      <sheetName val="Link_Bridge"/>
      <sheetName val="Fly_sheet_(3)"/>
      <sheetName val="Fly_sheet_(4)"/>
      <sheetName val="Plots_58_&amp;_59"/>
      <sheetName val="Plots_29_&amp;_30"/>
      <sheetName val="Plots_55_to_57"/>
      <sheetName val="Burj_Vista"/>
      <sheetName val="Fly_sheet_(8)"/>
      <sheetName val="Metro_Link_Bridge"/>
      <sheetName val="Fly_sheet_(5)"/>
      <sheetName val="-_50_Benchmark_Data"/>
      <sheetName val="Fly_sheet_(7)"/>
      <sheetName val="Cost_Plan_Tracker"/>
      <sheetName val="DO_NOT_PRINT-&gt;"/>
      <sheetName val="Benchmark_Data"/>
      <sheetName val="Basement_Areas"/>
      <sheetName val="Podium_Areas"/>
      <sheetName val="P3_Amenities"/>
      <sheetName val="1_BED_(A)"/>
      <sheetName val="1_BED_(B)"/>
      <sheetName val="2_BED_(A)"/>
      <sheetName val="2_BED_(B)"/>
      <sheetName val="2_BED_(C)"/>
      <sheetName val="3_BED_(A)"/>
      <sheetName val="3_BED_(B)"/>
      <sheetName val="3_BED_(C)"/>
      <sheetName val="4_BED_(A)"/>
      <sheetName val="4_BED_(Duplex)"/>
      <sheetName val="5_BED_(Duplex)"/>
      <sheetName val="Fly_sheet_(1)1"/>
      <sheetName val="Basis_(3)1"/>
      <sheetName val="Fly_sheet_(2)1"/>
      <sheetName val="Summary_of_Costs1"/>
      <sheetName val="Fly_sheet_(6)1"/>
      <sheetName val="Link_Bridge1"/>
      <sheetName val="Fly_sheet_(3)1"/>
      <sheetName val="Fly_sheet_(4)1"/>
      <sheetName val="Plots_58_&amp;_591"/>
      <sheetName val="Plots_29_&amp;_301"/>
      <sheetName val="Plots_55_to_571"/>
      <sheetName val="Burj_Vista1"/>
      <sheetName val="Fly_sheet_(8)1"/>
      <sheetName val="Metro_Link_Bridge1"/>
      <sheetName val="Fly_sheet_(5)1"/>
      <sheetName val="-_50_Benchmark_Data1"/>
      <sheetName val="Fly_sheet_(7)1"/>
      <sheetName val="Cost_Plan_Tracker1"/>
      <sheetName val="DO_NOT_PRINT-&gt;1"/>
      <sheetName val="Benchmark_Data1"/>
      <sheetName val="Basement_Areas1"/>
      <sheetName val="Podium_Areas1"/>
      <sheetName val="P3_Amenities1"/>
      <sheetName val="1_BED_(A)1"/>
      <sheetName val="1_BED_(B)1"/>
      <sheetName val="2_BED_(A)1"/>
      <sheetName val="2_BED_(B)1"/>
      <sheetName val="2_BED_(C)1"/>
      <sheetName val="3_BED_(A)1"/>
      <sheetName val="3_BED_(B)1"/>
      <sheetName val="3_BED_(C)1"/>
      <sheetName val="4_BED_(A)1"/>
      <sheetName val="4_BED_(Duplex)1"/>
      <sheetName val="5_BED_(Duplex)1"/>
      <sheetName val="Fly_sheet_(1)2"/>
      <sheetName val="Basis_(3)2"/>
      <sheetName val="Fly_sheet_(2)2"/>
      <sheetName val="Summary_of_Costs2"/>
      <sheetName val="Fly_sheet_(6)2"/>
      <sheetName val="Link_Bridge2"/>
      <sheetName val="Fly_sheet_(3)2"/>
      <sheetName val="Fly_sheet_(4)2"/>
      <sheetName val="Plots_58_&amp;_592"/>
      <sheetName val="Plots_29_&amp;_302"/>
      <sheetName val="Plots_55_to_572"/>
      <sheetName val="Burj_Vista2"/>
      <sheetName val="Fly_sheet_(8)2"/>
      <sheetName val="Metro_Link_Bridge2"/>
      <sheetName val="Fly_sheet_(5)2"/>
      <sheetName val="-_50_Benchmark_Data2"/>
      <sheetName val="Fly_sheet_(7)2"/>
      <sheetName val="Cost_Plan_Tracker2"/>
      <sheetName val="DO_NOT_PRINT-&gt;2"/>
      <sheetName val="Benchmark_Data2"/>
      <sheetName val="Basement_Areas2"/>
      <sheetName val="Podium_Areas2"/>
      <sheetName val="P3_Amenities2"/>
      <sheetName val="1_BED_(A)2"/>
      <sheetName val="1_BED_(B)2"/>
      <sheetName val="2_BED_(A)2"/>
      <sheetName val="2_BED_(B)2"/>
      <sheetName val="2_BED_(C)2"/>
      <sheetName val="3_BED_(A)2"/>
      <sheetName val="3_BED_(B)2"/>
      <sheetName val="3_BED_(C)2"/>
      <sheetName val="4_BED_(A)2"/>
      <sheetName val="4_BED_(Duplex)2"/>
      <sheetName val="5_BED_(Duplex)2"/>
      <sheetName val="Fly_sheet_(1)3"/>
      <sheetName val="Basis_(3)3"/>
      <sheetName val="Fly_sheet_(2)3"/>
      <sheetName val="Summary_of_Costs3"/>
      <sheetName val="Fly_sheet_(6)3"/>
      <sheetName val="Link_Bridge3"/>
      <sheetName val="Fly_sheet_(3)3"/>
      <sheetName val="Fly_sheet_(4)3"/>
      <sheetName val="Plots_58_&amp;_593"/>
      <sheetName val="Plots_29_&amp;_303"/>
      <sheetName val="Plots_55_to_573"/>
      <sheetName val="Burj_Vista3"/>
      <sheetName val="Fly_sheet_(8)3"/>
      <sheetName val="Metro_Link_Bridge3"/>
      <sheetName val="Fly_sheet_(5)3"/>
      <sheetName val="-_50_Benchmark_Data3"/>
      <sheetName val="Fly_sheet_(7)3"/>
      <sheetName val="Cost_Plan_Tracker3"/>
      <sheetName val="DO_NOT_PRINT-&gt;3"/>
      <sheetName val="Benchmark_Data3"/>
      <sheetName val="Basement_Areas3"/>
      <sheetName val="Podium_Areas3"/>
      <sheetName val="P3_Amenities3"/>
      <sheetName val="1_BED_(A)3"/>
      <sheetName val="1_BED_(B)3"/>
      <sheetName val="2_BED_(A)3"/>
      <sheetName val="2_BED_(B)3"/>
      <sheetName val="2_BED_(C)3"/>
      <sheetName val="3_BED_(A)3"/>
      <sheetName val="3_BED_(B)3"/>
      <sheetName val="3_BED_(C)3"/>
      <sheetName val="4_BED_(A)3"/>
      <sheetName val="4_BED_(Duplex)3"/>
      <sheetName val="5_BED_(Duplex)3"/>
      <sheetName val="Fly_sheet_(1)4"/>
      <sheetName val="Basis_(3)4"/>
      <sheetName val="Fly_sheet_(2)4"/>
      <sheetName val="Summary_of_Costs4"/>
      <sheetName val="Fly_sheet_(6)4"/>
      <sheetName val="Link_Bridge4"/>
      <sheetName val="Fly_sheet_(3)4"/>
      <sheetName val="Fly_sheet_(4)4"/>
      <sheetName val="Plots_58_&amp;_594"/>
      <sheetName val="Plots_29_&amp;_304"/>
      <sheetName val="Plots_55_to_574"/>
      <sheetName val="Burj_Vista4"/>
      <sheetName val="Fly_sheet_(8)4"/>
      <sheetName val="Metro_Link_Bridge4"/>
      <sheetName val="Fly_sheet_(5)4"/>
      <sheetName val="-_50_Benchmark_Data4"/>
      <sheetName val="Fly_sheet_(7)4"/>
      <sheetName val="Cost_Plan_Tracker4"/>
      <sheetName val="DO_NOT_PRINT-&gt;4"/>
      <sheetName val="Benchmark_Data4"/>
      <sheetName val="Basement_Areas4"/>
      <sheetName val="Podium_Areas4"/>
      <sheetName val="P3_Amenities4"/>
      <sheetName val="1_BED_(A)4"/>
      <sheetName val="1_BED_(B)4"/>
      <sheetName val="2_BED_(A)4"/>
      <sheetName val="2_BED_(B)4"/>
      <sheetName val="2_BED_(C)4"/>
      <sheetName val="3_BED_(A)4"/>
      <sheetName val="3_BED_(B)4"/>
      <sheetName val="3_BED_(C)4"/>
      <sheetName val="4_BED_(A)4"/>
      <sheetName val="4_BED_(Duplex)4"/>
      <sheetName val="5_BED_(Duplex)4"/>
      <sheetName val="Fly_sheet_(1)5"/>
      <sheetName val="Basis_(3)5"/>
      <sheetName val="Fly_sheet_(2)5"/>
      <sheetName val="Summary_of_Costs5"/>
      <sheetName val="Fly_sheet_(6)5"/>
      <sheetName val="Link_Bridge5"/>
      <sheetName val="Fly_sheet_(3)5"/>
      <sheetName val="Fly_sheet_(4)5"/>
      <sheetName val="Plots_58_&amp;_595"/>
      <sheetName val="Plots_29_&amp;_305"/>
      <sheetName val="Plots_55_to_575"/>
      <sheetName val="Burj_Vista5"/>
      <sheetName val="Fly_sheet_(8)5"/>
      <sheetName val="Metro_Link_Bridge5"/>
      <sheetName val="Fly_sheet_(5)5"/>
      <sheetName val="-_50_Benchmark_Data5"/>
      <sheetName val="Fly_sheet_(7)5"/>
      <sheetName val="Cost_Plan_Tracker5"/>
      <sheetName val="DO_NOT_PRINT-&gt;5"/>
      <sheetName val="Benchmark_Data5"/>
      <sheetName val="Basement_Areas5"/>
      <sheetName val="Podium_Areas5"/>
      <sheetName val="P3_Amenities5"/>
      <sheetName val="1_BED_(A)5"/>
      <sheetName val="1_BED_(B)5"/>
      <sheetName val="2_BED_(A)5"/>
      <sheetName val="2_BED_(B)5"/>
      <sheetName val="2_BED_(C)5"/>
      <sheetName val="3_BED_(A)5"/>
      <sheetName val="3_BED_(B)5"/>
      <sheetName val="3_BED_(C)5"/>
      <sheetName val="4_BED_(A)5"/>
      <sheetName val="4_BED_(Duplex)5"/>
      <sheetName val="5_BED_(Duplex)5"/>
      <sheetName val="Bill 1"/>
      <sheetName val="Bill 2"/>
      <sheetName val="Bill 3"/>
      <sheetName val="Bill 4"/>
      <sheetName val="Bill 5"/>
      <sheetName val="Bill 6"/>
      <sheetName val="Bill 7"/>
      <sheetName val="Data"/>
      <sheetName val="Vida Residences - Schematic Cos"/>
      <sheetName val="Internal Finishes (Unit types)"/>
      <sheetName val="T&amp;M"/>
      <sheetName val="detail'02"/>
      <sheetName val="Rebar _Take off"/>
      <sheetName val="Allg. Angaben"/>
      <sheetName val="Auswahl"/>
      <sheetName val="Rebars"/>
      <sheetName val="Area Breakdown "/>
      <sheetName val="Project Benchmarking"/>
      <sheetName val="1 BED "/>
      <sheetName val="A.O.R r1Str"/>
      <sheetName val="A.O.R r1"/>
      <sheetName val="A.O.R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5">
          <cell r="AO5">
            <v>72</v>
          </cell>
        </row>
        <row r="7">
          <cell r="G7" t="str">
            <v>BOH</v>
          </cell>
          <cell r="H7" t="str">
            <v>MEP</v>
          </cell>
          <cell r="I7" t="str">
            <v>Circulation</v>
          </cell>
          <cell r="J7" t="str">
            <v>Car Parking</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ow r="150">
          <cell r="B150" t="str">
            <v>Retail</v>
          </cell>
        </row>
        <row r="151">
          <cell r="B151" t="str">
            <v>Amenities/ F&amp;B</v>
          </cell>
        </row>
        <row r="152">
          <cell r="B152" t="str">
            <v>BOH</v>
          </cell>
        </row>
        <row r="153">
          <cell r="B153" t="str">
            <v>BOH Offices</v>
          </cell>
        </row>
        <row r="154">
          <cell r="B154" t="str">
            <v>MEP</v>
          </cell>
        </row>
        <row r="155">
          <cell r="B155" t="str">
            <v>WCs</v>
          </cell>
        </row>
        <row r="156">
          <cell r="B156" t="str">
            <v>Reception &amp; Lobby</v>
          </cell>
        </row>
        <row r="157">
          <cell r="B157" t="str">
            <v>Circulation</v>
          </cell>
        </row>
      </sheetData>
      <sheetData sheetId="30"/>
      <sheetData sheetId="31">
        <row r="287">
          <cell r="B287">
            <v>0</v>
          </cell>
        </row>
      </sheetData>
      <sheetData sheetId="32"/>
      <sheetData sheetId="33"/>
      <sheetData sheetId="34"/>
      <sheetData sheetId="35"/>
      <sheetData sheetId="36"/>
      <sheetData sheetId="37"/>
      <sheetData sheetId="38"/>
      <sheetData sheetId="39"/>
      <sheetData sheetId="40"/>
      <sheetData sheetId="41"/>
      <sheetData sheetId="42">
        <row r="4">
          <cell r="B4">
            <v>5000</v>
          </cell>
        </row>
      </sheetData>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ow r="150">
          <cell r="B150" t="str">
            <v>Retail</v>
          </cell>
        </row>
      </sheetData>
      <sheetData sheetId="61">
        <row r="150">
          <cell r="B150" t="str">
            <v>Retail</v>
          </cell>
        </row>
      </sheetData>
      <sheetData sheetId="62">
        <row r="287">
          <cell r="B287">
            <v>0</v>
          </cell>
        </row>
      </sheetData>
      <sheetData sheetId="63">
        <row r="287">
          <cell r="B287">
            <v>0</v>
          </cell>
        </row>
      </sheetData>
      <sheetData sheetId="64"/>
      <sheetData sheetId="65"/>
      <sheetData sheetId="66"/>
      <sheetData sheetId="67">
        <row r="150">
          <cell r="B150" t="str">
            <v>Retail</v>
          </cell>
        </row>
      </sheetData>
      <sheetData sheetId="68">
        <row r="150">
          <cell r="B150" t="str">
            <v>Retail</v>
          </cell>
        </row>
      </sheetData>
      <sheetData sheetId="69">
        <row r="287">
          <cell r="B287">
            <v>0</v>
          </cell>
        </row>
      </sheetData>
      <sheetData sheetId="70">
        <row r="287">
          <cell r="B287">
            <v>0</v>
          </cell>
        </row>
      </sheetData>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row r="150">
          <cell r="B150" t="str">
            <v>Retail</v>
          </cell>
        </row>
      </sheetData>
      <sheetData sheetId="95">
        <row r="150">
          <cell r="B150" t="str">
            <v>Retail</v>
          </cell>
        </row>
      </sheetData>
      <sheetData sheetId="96">
        <row r="287">
          <cell r="B287">
            <v>0</v>
          </cell>
        </row>
      </sheetData>
      <sheetData sheetId="97">
        <row r="287">
          <cell r="B287">
            <v>0</v>
          </cell>
        </row>
      </sheetData>
      <sheetData sheetId="98"/>
      <sheetData sheetId="99"/>
      <sheetData sheetId="100"/>
      <sheetData sheetId="101">
        <row r="150">
          <cell r="B150" t="str">
            <v>Retail</v>
          </cell>
        </row>
      </sheetData>
      <sheetData sheetId="102">
        <row r="150">
          <cell r="B150" t="str">
            <v>Retail</v>
          </cell>
        </row>
      </sheetData>
      <sheetData sheetId="103">
        <row r="287">
          <cell r="B287">
            <v>0</v>
          </cell>
        </row>
      </sheetData>
      <sheetData sheetId="104">
        <row r="287">
          <cell r="B287">
            <v>0</v>
          </cell>
        </row>
      </sheetData>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ow r="150">
          <cell r="B150" t="str">
            <v>Retail</v>
          </cell>
        </row>
      </sheetData>
      <sheetData sheetId="129">
        <row r="150">
          <cell r="B150" t="str">
            <v>Retail</v>
          </cell>
        </row>
      </sheetData>
      <sheetData sheetId="130">
        <row r="287">
          <cell r="B287">
            <v>0</v>
          </cell>
        </row>
      </sheetData>
      <sheetData sheetId="131">
        <row r="287">
          <cell r="B287">
            <v>0</v>
          </cell>
        </row>
      </sheetData>
      <sheetData sheetId="132"/>
      <sheetData sheetId="133"/>
      <sheetData sheetId="134"/>
      <sheetData sheetId="135">
        <row r="150">
          <cell r="B150" t="str">
            <v>Retail</v>
          </cell>
        </row>
      </sheetData>
      <sheetData sheetId="136">
        <row r="150">
          <cell r="B150" t="str">
            <v>Retail</v>
          </cell>
        </row>
      </sheetData>
      <sheetData sheetId="137">
        <row r="287">
          <cell r="B287">
            <v>0</v>
          </cell>
        </row>
      </sheetData>
      <sheetData sheetId="138">
        <row r="287">
          <cell r="B287">
            <v>0</v>
          </cell>
        </row>
      </sheetData>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50">
          <cell r="B150" t="str">
            <v>Retail</v>
          </cell>
        </row>
      </sheetData>
      <sheetData sheetId="163">
        <row r="150">
          <cell r="B150" t="str">
            <v>Retail</v>
          </cell>
        </row>
      </sheetData>
      <sheetData sheetId="164">
        <row r="287">
          <cell r="B287">
            <v>0</v>
          </cell>
        </row>
      </sheetData>
      <sheetData sheetId="165">
        <row r="287">
          <cell r="B287">
            <v>0</v>
          </cell>
        </row>
      </sheetData>
      <sheetData sheetId="166"/>
      <sheetData sheetId="167"/>
      <sheetData sheetId="168"/>
      <sheetData sheetId="169">
        <row r="150">
          <cell r="B150" t="str">
            <v>Retail</v>
          </cell>
        </row>
      </sheetData>
      <sheetData sheetId="170">
        <row r="150">
          <cell r="B150" t="str">
            <v>Retail</v>
          </cell>
        </row>
      </sheetData>
      <sheetData sheetId="171">
        <row r="287">
          <cell r="B287">
            <v>0</v>
          </cell>
        </row>
      </sheetData>
      <sheetData sheetId="172">
        <row r="287">
          <cell r="B287">
            <v>0</v>
          </cell>
        </row>
      </sheetData>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ow r="150">
          <cell r="B150" t="str">
            <v>Retail</v>
          </cell>
        </row>
      </sheetData>
      <sheetData sheetId="197">
        <row r="150">
          <cell r="B150" t="str">
            <v>Retail</v>
          </cell>
        </row>
      </sheetData>
      <sheetData sheetId="198">
        <row r="287">
          <cell r="B287">
            <v>0</v>
          </cell>
        </row>
      </sheetData>
      <sheetData sheetId="199">
        <row r="287">
          <cell r="B287">
            <v>0</v>
          </cell>
        </row>
      </sheetData>
      <sheetData sheetId="200"/>
      <sheetData sheetId="201"/>
      <sheetData sheetId="202"/>
      <sheetData sheetId="203">
        <row r="150">
          <cell r="B150" t="str">
            <v>Retail</v>
          </cell>
        </row>
      </sheetData>
      <sheetData sheetId="204">
        <row r="150">
          <cell r="B150" t="str">
            <v>Retail</v>
          </cell>
        </row>
      </sheetData>
      <sheetData sheetId="205">
        <row r="287">
          <cell r="B287">
            <v>0</v>
          </cell>
        </row>
      </sheetData>
      <sheetData sheetId="206">
        <row r="287">
          <cell r="B287">
            <v>0</v>
          </cell>
        </row>
      </sheetData>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row r="150">
          <cell r="B150" t="str">
            <v>Retail</v>
          </cell>
        </row>
      </sheetData>
      <sheetData sheetId="225"/>
      <sheetData sheetId="226">
        <row r="287">
          <cell r="B287">
            <v>0</v>
          </cell>
        </row>
      </sheetData>
      <sheetData sheetId="227"/>
      <sheetData sheetId="228"/>
      <sheetData sheetId="229"/>
      <sheetData sheetId="230">
        <row r="150">
          <cell r="B150" t="str">
            <v>Retail</v>
          </cell>
        </row>
      </sheetData>
      <sheetData sheetId="231">
        <row r="150">
          <cell r="B150" t="str">
            <v>Retail</v>
          </cell>
        </row>
      </sheetData>
      <sheetData sheetId="232">
        <row r="287">
          <cell r="B287">
            <v>0</v>
          </cell>
        </row>
      </sheetData>
      <sheetData sheetId="233">
        <row r="287">
          <cell r="B287">
            <v>0</v>
          </cell>
        </row>
      </sheetData>
      <sheetData sheetId="234"/>
      <sheetData sheetId="235"/>
      <sheetData sheetId="236"/>
      <sheetData sheetId="237">
        <row r="150">
          <cell r="B150" t="str">
            <v>Retail</v>
          </cell>
        </row>
      </sheetData>
      <sheetData sheetId="238">
        <row r="150">
          <cell r="B150" t="str">
            <v>Retail</v>
          </cell>
        </row>
      </sheetData>
      <sheetData sheetId="239">
        <row r="287">
          <cell r="B287">
            <v>0</v>
          </cell>
        </row>
      </sheetData>
      <sheetData sheetId="240">
        <row r="287">
          <cell r="B287">
            <v>0</v>
          </cell>
        </row>
      </sheetData>
      <sheetData sheetId="241"/>
      <sheetData sheetId="242"/>
      <sheetData sheetId="243"/>
      <sheetData sheetId="244"/>
      <sheetData sheetId="245"/>
      <sheetData sheetId="246"/>
      <sheetData sheetId="247"/>
      <sheetData sheetId="248"/>
      <sheetData sheetId="249"/>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mple_Floor Qty"/>
      <sheetName val="#REF"/>
      <sheetName val="MASTER"/>
      <sheetName val="5F"/>
      <sheetName val="Sample_Floor_Qty"/>
      <sheetName val="Sample_Floor_Qty1"/>
      <sheetName val="SOA"/>
      <sheetName val="Podium Areas"/>
      <sheetName val="Sample_Floor_Qty2"/>
      <sheetName val="Podium_Areas"/>
      <sheetName val="Sample_Floor_Qty3"/>
      <sheetName val="Podium_Areas1"/>
      <sheetName val="Sample_Floor_Qty4"/>
      <sheetName val="Podium_Areas2"/>
      <sheetName val="Sample_Floor_Qty5"/>
      <sheetName val="Podium_Areas3"/>
      <sheetName val="Sample_Floor_Qty6"/>
      <sheetName val="Podium_Areas4"/>
      <sheetName val="Allg. Angaben"/>
      <sheetName val="Auswahl"/>
      <sheetName val="Bill 5"/>
      <sheetName val="Bill 6"/>
      <sheetName val="Bill 7"/>
      <sheetName val="T&amp;M"/>
      <sheetName val="Area Analysis"/>
      <sheetName val="Sensitivity"/>
      <sheetName val="1 BED "/>
      <sheetName val="Westin FOH &amp; BOH Split"/>
      <sheetName val="detail'02"/>
      <sheetName val="Bill 1"/>
      <sheetName val="Bill 2"/>
      <sheetName val="Bill 3"/>
      <sheetName val="Bill 4"/>
      <sheetName val="Introduction"/>
      <sheetName val="Old"/>
      <sheetName val="Sheet3"/>
      <sheetName val="Operating Statistics"/>
      <sheetName val="Financials"/>
      <sheetName val="C3"/>
      <sheetName val="Recon Template"/>
      <sheetName val="analysis"/>
      <sheetName val="Cover"/>
      <sheetName val="Site Clear"/>
      <sheetName val="Sample_Floor_Qty7"/>
      <sheetName val="Podium_Areas5"/>
      <sheetName val="Allg__Angaben"/>
      <sheetName val="Bill_5"/>
      <sheetName val="Bill_6"/>
      <sheetName val="Bill_7"/>
      <sheetName val="Area_Analysis"/>
      <sheetName val="1_BED_"/>
      <sheetName val="Westin_FOH_&amp;_BOH_Split"/>
      <sheetName val="Bill_1"/>
      <sheetName val="Bill_2"/>
      <sheetName val="Bill_3"/>
      <sheetName val="Bill_4"/>
      <sheetName val="Operating_Statistics"/>
      <sheetName val="Recon_Template"/>
      <sheetName val="Site_Clear"/>
      <sheetName val="BASIC"/>
      <sheetName val="Bechtel Norms"/>
      <sheetName val="Projects"/>
      <sheetName val="Data (adj."/>
      <sheetName val="SCHEDULE (3)"/>
      <sheetName val="Database"/>
      <sheetName val="schedule nos"/>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Cover"/>
      <sheetName val="Contents"/>
      <sheetName val="Fly sheet (1)"/>
      <sheetName val="Basis"/>
      <sheetName val="Fly sheet (6)"/>
      <sheetName val="Assumptions"/>
      <sheetName val="Fly sheet (2)"/>
      <sheetName val="SOC (Omnium)"/>
      <sheetName val="Fly sheet (3)"/>
      <sheetName val="SOA"/>
      <sheetName val="Fly sheet (7)"/>
      <sheetName val="Enabling"/>
      <sheetName val="Basement Car Park"/>
      <sheetName val="Base&amp;Pod"/>
      <sheetName val="B (2)"/>
      <sheetName val="C (2)"/>
      <sheetName val="D (2)"/>
      <sheetName val="E (2)"/>
      <sheetName val="G (2)"/>
      <sheetName val="H (2)"/>
      <sheetName val="J (2)"/>
      <sheetName val="K (2)"/>
      <sheetName val="L (2)"/>
      <sheetName val="P (2)"/>
      <sheetName val="Q (2)"/>
      <sheetName val="R (2)"/>
      <sheetName val="T1"/>
      <sheetName val="C (3)"/>
      <sheetName val="D (3)"/>
      <sheetName val="E (3)"/>
      <sheetName val="G (3)"/>
      <sheetName val="H (3)"/>
      <sheetName val="J (3)"/>
      <sheetName val="K (3)"/>
      <sheetName val="L (3)"/>
      <sheetName val="P (3)"/>
      <sheetName val="Q (3)"/>
      <sheetName val="R (3)"/>
      <sheetName val="T2"/>
      <sheetName val="C (4)"/>
      <sheetName val="D (4)"/>
      <sheetName val="E (4)"/>
      <sheetName val="G (4)"/>
      <sheetName val="H (4)"/>
      <sheetName val="J (4)"/>
      <sheetName val="K (4)"/>
      <sheetName val="L (4)"/>
      <sheetName val="P (4)"/>
      <sheetName val="Q (4)"/>
      <sheetName val="R (4)"/>
      <sheetName val="Prov Sums"/>
      <sheetName val="S - Page 1"/>
      <sheetName val="S - page 2 &amp; 3"/>
      <sheetName val="Fly sheet (4)"/>
      <sheetName val="Plots 58 &amp; 59"/>
      <sheetName val="Plots 29 &amp; 30"/>
      <sheetName val="Plots 55 to 57"/>
      <sheetName val="Fly sheet (5)"/>
      <sheetName val="Tender Graphs"/>
      <sheetName val="- 50 Benchmark Data"/>
      <sheetName val="PTE vs Returns"/>
      <sheetName val="DO NOT PRINT -&gt;"/>
      <sheetName val="Benchmark Data"/>
      <sheetName val="Enabling&amp;Piling"/>
      <sheetName val="Key rate Analysis"/>
      <sheetName val="29 Boulevard vs Vista"/>
      <sheetName val="Kitchen equipment"/>
      <sheetName val="Master bath (1 Bed)"/>
      <sheetName val="Master bath (2 &amp; 3 Bed)"/>
      <sheetName val="2nd bathroom"/>
      <sheetName val="Powder room"/>
      <sheetName val="Maids bath room"/>
      <sheetName val="Infra prov sum"/>
      <sheetName val="CCC Analysis"/>
      <sheetName val="ABM Analysis"/>
      <sheetName val="BM Analysis"/>
      <sheetName val="Fly_sheet_(1)"/>
      <sheetName val="Fly_sheet_(6)"/>
      <sheetName val="Fly_sheet_(2)"/>
      <sheetName val="SOC_(Omnium)"/>
      <sheetName val="Fly_sheet_(3)"/>
      <sheetName val="Fly_sheet_(7)"/>
      <sheetName val="Basement_Car_Park"/>
      <sheetName val="B_(2)"/>
      <sheetName val="C_(2)"/>
      <sheetName val="D_(2)"/>
      <sheetName val="E_(2)"/>
      <sheetName val="G_(2)"/>
      <sheetName val="H_(2)"/>
      <sheetName val="J_(2)"/>
      <sheetName val="K_(2)"/>
      <sheetName val="L_(2)"/>
      <sheetName val="P_(2)"/>
      <sheetName val="Q_(2)"/>
      <sheetName val="R_(2)"/>
      <sheetName val="C_(3)"/>
      <sheetName val="D_(3)"/>
      <sheetName val="E_(3)"/>
      <sheetName val="G_(3)"/>
      <sheetName val="H_(3)"/>
      <sheetName val="J_(3)"/>
      <sheetName val="K_(3)"/>
      <sheetName val="L_(3)"/>
      <sheetName val="P_(3)"/>
      <sheetName val="Q_(3)"/>
      <sheetName val="R_(3)"/>
      <sheetName val="C_(4)"/>
      <sheetName val="D_(4)"/>
      <sheetName val="E_(4)"/>
      <sheetName val="G_(4)"/>
      <sheetName val="H_(4)"/>
      <sheetName val="J_(4)"/>
      <sheetName val="K_(4)"/>
      <sheetName val="L_(4)"/>
      <sheetName val="P_(4)"/>
      <sheetName val="Q_(4)"/>
      <sheetName val="R_(4)"/>
      <sheetName val="Prov_Sums"/>
      <sheetName val="S_-_Page_1"/>
      <sheetName val="S_-_page_2_&amp;_3"/>
      <sheetName val="Fly_sheet_(4)"/>
      <sheetName val="Plots_58_&amp;_59"/>
      <sheetName val="Plots_29_&amp;_30"/>
      <sheetName val="Plots_55_to_57"/>
      <sheetName val="Fly_sheet_(5)"/>
      <sheetName val="Tender_Graphs"/>
      <sheetName val="-_50_Benchmark_Data"/>
      <sheetName val="PTE_vs_Returns"/>
      <sheetName val="DO_NOT_PRINT_-&gt;"/>
      <sheetName val="Benchmark_Data"/>
      <sheetName val="Key_rate_Analysis"/>
      <sheetName val="29_Boulevard_vs_Vista"/>
      <sheetName val="Kitchen_equipment"/>
      <sheetName val="Master_bath_(1_Bed)"/>
      <sheetName val="Master_bath_(2_&amp;_3_Bed)"/>
      <sheetName val="2nd_bathroom"/>
      <sheetName val="Powder_room"/>
      <sheetName val="Maids_bath_room"/>
      <sheetName val="Infra_prov_sum"/>
      <sheetName val="CCC_Analysis"/>
      <sheetName val="ABM_Analysis"/>
      <sheetName val="BM_Analysis"/>
      <sheetName val="Fly_sheet_(1)1"/>
      <sheetName val="Fly_sheet_(6)1"/>
      <sheetName val="Fly_sheet_(2)1"/>
      <sheetName val="SOC_(Omnium)1"/>
      <sheetName val="Fly_sheet_(3)1"/>
      <sheetName val="Fly_sheet_(7)1"/>
      <sheetName val="Basement_Car_Park1"/>
      <sheetName val="B_(2)1"/>
      <sheetName val="C_(2)1"/>
      <sheetName val="D_(2)1"/>
      <sheetName val="E_(2)1"/>
      <sheetName val="G_(2)1"/>
      <sheetName val="H_(2)1"/>
      <sheetName val="J_(2)1"/>
      <sheetName val="K_(2)1"/>
      <sheetName val="L_(2)1"/>
      <sheetName val="P_(2)1"/>
      <sheetName val="Q_(2)1"/>
      <sheetName val="R_(2)1"/>
      <sheetName val="C_(3)1"/>
      <sheetName val="D_(3)1"/>
      <sheetName val="E_(3)1"/>
      <sheetName val="G_(3)1"/>
      <sheetName val="H_(3)1"/>
      <sheetName val="J_(3)1"/>
      <sheetName val="K_(3)1"/>
      <sheetName val="L_(3)1"/>
      <sheetName val="P_(3)1"/>
      <sheetName val="Q_(3)1"/>
      <sheetName val="R_(3)1"/>
      <sheetName val="C_(4)1"/>
      <sheetName val="D_(4)1"/>
      <sheetName val="E_(4)1"/>
      <sheetName val="G_(4)1"/>
      <sheetName val="H_(4)1"/>
      <sheetName val="J_(4)1"/>
      <sheetName val="K_(4)1"/>
      <sheetName val="L_(4)1"/>
      <sheetName val="P_(4)1"/>
      <sheetName val="Q_(4)1"/>
      <sheetName val="R_(4)1"/>
      <sheetName val="Prov_Sums1"/>
      <sheetName val="S_-_Page_11"/>
      <sheetName val="S_-_page_2_&amp;_31"/>
      <sheetName val="Fly_sheet_(4)1"/>
      <sheetName val="Plots_58_&amp;_591"/>
      <sheetName val="Plots_29_&amp;_301"/>
      <sheetName val="Plots_55_to_571"/>
      <sheetName val="Fly_sheet_(5)1"/>
      <sheetName val="Tender_Graphs1"/>
      <sheetName val="-_50_Benchmark_Data1"/>
      <sheetName val="PTE_vs_Returns1"/>
      <sheetName val="DO_NOT_PRINT_-&gt;1"/>
      <sheetName val="Benchmark_Data1"/>
      <sheetName val="Key_rate_Analysis1"/>
      <sheetName val="29_Boulevard_vs_Vista1"/>
      <sheetName val="Kitchen_equipment1"/>
      <sheetName val="Master_bath_(1_Bed)1"/>
      <sheetName val="Master_bath_(2_&amp;_3_Bed)1"/>
      <sheetName val="2nd_bathroom1"/>
      <sheetName val="Powder_room1"/>
      <sheetName val="Maids_bath_room1"/>
      <sheetName val="Infra_prov_sum1"/>
      <sheetName val="CCC_Analysis1"/>
      <sheetName val="ABM_Analysis1"/>
      <sheetName val="BM_Analysis1"/>
      <sheetName val="Fly_sheet_(1)2"/>
      <sheetName val="Fly_sheet_(6)2"/>
      <sheetName val="Fly_sheet_(2)2"/>
      <sheetName val="SOC_(Omnium)2"/>
      <sheetName val="Fly_sheet_(3)2"/>
      <sheetName val="Fly_sheet_(7)2"/>
      <sheetName val="Basement_Car_Park2"/>
      <sheetName val="B_(2)2"/>
      <sheetName val="C_(2)2"/>
      <sheetName val="D_(2)2"/>
      <sheetName val="E_(2)2"/>
      <sheetName val="G_(2)2"/>
      <sheetName val="H_(2)2"/>
      <sheetName val="J_(2)2"/>
      <sheetName val="K_(2)2"/>
      <sheetName val="L_(2)2"/>
      <sheetName val="P_(2)2"/>
      <sheetName val="Q_(2)2"/>
      <sheetName val="R_(2)2"/>
      <sheetName val="C_(3)2"/>
      <sheetName val="D_(3)2"/>
      <sheetName val="E_(3)2"/>
      <sheetName val="G_(3)2"/>
      <sheetName val="H_(3)2"/>
      <sheetName val="J_(3)2"/>
      <sheetName val="K_(3)2"/>
      <sheetName val="L_(3)2"/>
      <sheetName val="P_(3)2"/>
      <sheetName val="Q_(3)2"/>
      <sheetName val="R_(3)2"/>
      <sheetName val="C_(4)2"/>
      <sheetName val="D_(4)2"/>
      <sheetName val="E_(4)2"/>
      <sheetName val="G_(4)2"/>
      <sheetName val="H_(4)2"/>
      <sheetName val="J_(4)2"/>
      <sheetName val="K_(4)2"/>
      <sheetName val="L_(4)2"/>
      <sheetName val="P_(4)2"/>
      <sheetName val="Q_(4)2"/>
      <sheetName val="R_(4)2"/>
      <sheetName val="Prov_Sums2"/>
      <sheetName val="S_-_Page_12"/>
      <sheetName val="S_-_page_2_&amp;_32"/>
      <sheetName val="Fly_sheet_(4)2"/>
      <sheetName val="Plots_58_&amp;_592"/>
      <sheetName val="Plots_29_&amp;_302"/>
      <sheetName val="Plots_55_to_572"/>
      <sheetName val="Fly_sheet_(5)2"/>
      <sheetName val="Tender_Graphs2"/>
      <sheetName val="-_50_Benchmark_Data2"/>
      <sheetName val="PTE_vs_Returns2"/>
      <sheetName val="DO_NOT_PRINT_-&gt;2"/>
      <sheetName val="Benchmark_Data2"/>
      <sheetName val="Key_rate_Analysis2"/>
      <sheetName val="29_Boulevard_vs_Vista2"/>
      <sheetName val="Kitchen_equipment2"/>
      <sheetName val="Master_bath_(1_Bed)2"/>
      <sheetName val="Master_bath_(2_&amp;_3_Bed)2"/>
      <sheetName val="2nd_bathroom2"/>
      <sheetName val="Powder_room2"/>
      <sheetName val="Maids_bath_room2"/>
      <sheetName val="Infra_prov_sum2"/>
      <sheetName val="CCC_Analysis2"/>
      <sheetName val="ABM_Analysis2"/>
      <sheetName val="BM_Analysis2"/>
      <sheetName val="Fly_sheet_(1)3"/>
      <sheetName val="Fly_sheet_(6)3"/>
      <sheetName val="Fly_sheet_(2)3"/>
      <sheetName val="SOC_(Omnium)3"/>
      <sheetName val="Fly_sheet_(3)3"/>
      <sheetName val="Fly_sheet_(7)3"/>
      <sheetName val="Basement_Car_Park3"/>
      <sheetName val="B_(2)3"/>
      <sheetName val="C_(2)3"/>
      <sheetName val="D_(2)3"/>
      <sheetName val="E_(2)3"/>
      <sheetName val="G_(2)3"/>
      <sheetName val="H_(2)3"/>
      <sheetName val="J_(2)3"/>
      <sheetName val="K_(2)3"/>
      <sheetName val="L_(2)3"/>
      <sheetName val="P_(2)3"/>
      <sheetName val="Q_(2)3"/>
      <sheetName val="R_(2)3"/>
      <sheetName val="C_(3)3"/>
      <sheetName val="D_(3)3"/>
      <sheetName val="E_(3)3"/>
      <sheetName val="G_(3)3"/>
      <sheetName val="H_(3)3"/>
      <sheetName val="J_(3)3"/>
      <sheetName val="K_(3)3"/>
      <sheetName val="L_(3)3"/>
      <sheetName val="P_(3)3"/>
      <sheetName val="Q_(3)3"/>
      <sheetName val="R_(3)3"/>
      <sheetName val="C_(4)3"/>
      <sheetName val="D_(4)3"/>
      <sheetName val="E_(4)3"/>
      <sheetName val="G_(4)3"/>
      <sheetName val="H_(4)3"/>
      <sheetName val="J_(4)3"/>
      <sheetName val="K_(4)3"/>
      <sheetName val="L_(4)3"/>
      <sheetName val="P_(4)3"/>
      <sheetName val="Q_(4)3"/>
      <sheetName val="R_(4)3"/>
      <sheetName val="Prov_Sums3"/>
      <sheetName val="S_-_Page_13"/>
      <sheetName val="S_-_page_2_&amp;_33"/>
      <sheetName val="Fly_sheet_(4)3"/>
      <sheetName val="Plots_58_&amp;_593"/>
      <sheetName val="Plots_29_&amp;_303"/>
      <sheetName val="Plots_55_to_573"/>
      <sheetName val="Fly_sheet_(5)3"/>
      <sheetName val="Tender_Graphs3"/>
      <sheetName val="-_50_Benchmark_Data3"/>
      <sheetName val="PTE_vs_Returns3"/>
      <sheetName val="DO_NOT_PRINT_-&gt;3"/>
      <sheetName val="Benchmark_Data3"/>
      <sheetName val="Key_rate_Analysis3"/>
      <sheetName val="29_Boulevard_vs_Vista3"/>
      <sheetName val="Kitchen_equipment3"/>
      <sheetName val="Master_bath_(1_Bed)3"/>
      <sheetName val="Master_bath_(2_&amp;_3_Bed)3"/>
      <sheetName val="2nd_bathroom3"/>
      <sheetName val="Powder_room3"/>
      <sheetName val="Maids_bath_room3"/>
      <sheetName val="Infra_prov_sum3"/>
      <sheetName val="CCC_Analysis3"/>
      <sheetName val="ABM_Analysis3"/>
      <sheetName val="BM_Analysis3"/>
      <sheetName val="analysis"/>
      <sheetName val="#REF"/>
      <sheetName val="Land Dev't. Ph-1"/>
      <sheetName val="Area Analysis"/>
      <sheetName val="Sensitivity"/>
      <sheetName val="1 BED "/>
      <sheetName val="AoR Finishing"/>
      <sheetName val="B&amp;C-REPORT"/>
      <sheetName val="B&amp;C-TILE QUANTITIES"/>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1">
          <cell r="A1" t="str">
            <v>BURJ VISTA</v>
          </cell>
        </row>
      </sheetData>
      <sheetData sheetId="8">
        <row r="4">
          <cell r="J4">
            <v>158955</v>
          </cell>
        </row>
      </sheetData>
      <sheetData sheetId="9" refreshError="1"/>
      <sheetData sheetId="10">
        <row r="3">
          <cell r="AQ3">
            <v>110521</v>
          </cell>
        </row>
      </sheetData>
      <sheetData sheetId="11" refreshError="1"/>
      <sheetData sheetId="12">
        <row r="82">
          <cell r="J82">
            <v>27127787</v>
          </cell>
        </row>
      </sheetData>
      <sheetData sheetId="13">
        <row r="53">
          <cell r="J53">
            <v>4010198</v>
          </cell>
        </row>
      </sheetData>
      <sheetData sheetId="14">
        <row r="71">
          <cell r="E71">
            <v>0</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42">
          <cell r="E42">
            <v>0</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ow r="42">
          <cell r="E42">
            <v>0</v>
          </cell>
        </row>
      </sheetData>
      <sheetData sheetId="40" refreshError="1"/>
      <sheetData sheetId="41" refreshError="1"/>
      <sheetData sheetId="42" refreshError="1"/>
      <sheetData sheetId="43" refreshError="1"/>
      <sheetData sheetId="44" refreshError="1"/>
      <sheetData sheetId="45" refreshError="1"/>
      <sheetData sheetId="46" refreshError="1"/>
      <sheetData sheetId="47">
        <row r="132">
          <cell r="B132" t="str">
            <v>Site Preparation</v>
          </cell>
        </row>
        <row r="133">
          <cell r="B133" t="str">
            <v>Piling Works</v>
          </cell>
        </row>
        <row r="134">
          <cell r="B134" t="str">
            <v>Basement construction</v>
          </cell>
        </row>
        <row r="135">
          <cell r="B135" t="str">
            <v>Frame</v>
          </cell>
        </row>
        <row r="136">
          <cell r="B136" t="str">
            <v>Upper Floors</v>
          </cell>
        </row>
        <row r="137">
          <cell r="B137" t="str">
            <v>Roof</v>
          </cell>
        </row>
        <row r="138">
          <cell r="B138" t="str">
            <v>Stairs and ramps</v>
          </cell>
        </row>
        <row r="139">
          <cell r="B139" t="str">
            <v>External Walls</v>
          </cell>
        </row>
        <row r="140">
          <cell r="B140" t="str">
            <v>Windows and external Doors</v>
          </cell>
        </row>
        <row r="141">
          <cell r="B141" t="str">
            <v>Internal walls and partitions</v>
          </cell>
        </row>
        <row r="142">
          <cell r="B142" t="str">
            <v>Internal doors</v>
          </cell>
        </row>
        <row r="143">
          <cell r="B143" t="str">
            <v>Wall finishes</v>
          </cell>
        </row>
        <row r="144">
          <cell r="B144" t="str">
            <v>Floor finishes.</v>
          </cell>
        </row>
        <row r="145">
          <cell r="B145" t="str">
            <v>Ceiling finishes</v>
          </cell>
        </row>
        <row r="146">
          <cell r="B146" t="str">
            <v>Fittings, furnishings and equipment</v>
          </cell>
        </row>
        <row r="147">
          <cell r="B147" t="str">
            <v>Sanitary installations</v>
          </cell>
        </row>
        <row r="148">
          <cell r="B148" t="str">
            <v>Services equipment</v>
          </cell>
        </row>
        <row r="149">
          <cell r="B149" t="str">
            <v>Disposal installations</v>
          </cell>
        </row>
        <row r="150">
          <cell r="B150" t="str">
            <v>Water installations</v>
          </cell>
        </row>
        <row r="151">
          <cell r="B151" t="str">
            <v>Heat source</v>
          </cell>
        </row>
        <row r="152">
          <cell r="B152" t="str">
            <v>Space heating and air conditioning</v>
          </cell>
        </row>
        <row r="153">
          <cell r="B153" t="str">
            <v>Ventilation</v>
          </cell>
        </row>
        <row r="154">
          <cell r="B154" t="str">
            <v>Electrical installations</v>
          </cell>
        </row>
        <row r="155">
          <cell r="B155" t="str">
            <v>Fuel installations</v>
          </cell>
        </row>
        <row r="156">
          <cell r="B156" t="str">
            <v>Lift and conveyor installations</v>
          </cell>
        </row>
        <row r="157">
          <cell r="B157" t="str">
            <v>Fire and lightning protection</v>
          </cell>
        </row>
        <row r="158">
          <cell r="B158" t="str">
            <v>Communication, security and control systems</v>
          </cell>
        </row>
        <row r="159">
          <cell r="B159" t="str">
            <v>Specialist installations</v>
          </cell>
        </row>
        <row r="160">
          <cell r="B160" t="str">
            <v>BWIC with services</v>
          </cell>
        </row>
        <row r="161">
          <cell r="B161" t="str">
            <v>Prefabricated buildings and units</v>
          </cell>
        </row>
        <row r="162">
          <cell r="B162" t="str">
            <v>Minor demolition works and alteration works</v>
          </cell>
        </row>
        <row r="163">
          <cell r="B163" t="str">
            <v>Site Preparation works</v>
          </cell>
        </row>
        <row r="164">
          <cell r="B164" t="str">
            <v>Roads, paths, pavings and surfacings</v>
          </cell>
        </row>
        <row r="165">
          <cell r="B165" t="str">
            <v>Soft landscaping, planting and irrigation systems</v>
          </cell>
        </row>
        <row r="166">
          <cell r="B166" t="str">
            <v>Fencing, railing and walls</v>
          </cell>
        </row>
        <row r="167">
          <cell r="B167" t="str">
            <v>External fixtures</v>
          </cell>
        </row>
        <row r="168">
          <cell r="B168" t="str">
            <v>External drainage</v>
          </cell>
        </row>
        <row r="169">
          <cell r="B169" t="str">
            <v>External services</v>
          </cell>
        </row>
        <row r="170">
          <cell r="B170" t="str">
            <v>Minor building works and ancillary buildings</v>
          </cell>
        </row>
        <row r="171">
          <cell r="B171" t="str">
            <v>MAIN CONTRACTORS PRELIMINARIES</v>
          </cell>
        </row>
      </sheetData>
      <sheetData sheetId="48" refreshError="1"/>
      <sheetData sheetId="49" refreshError="1"/>
      <sheetData sheetId="50" refreshError="1"/>
      <sheetData sheetId="51">
        <row r="42">
          <cell r="E42">
            <v>0</v>
          </cell>
        </row>
      </sheetData>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row r="1">
          <cell r="A1" t="str">
            <v>BURJ VISTA</v>
          </cell>
        </row>
      </sheetData>
      <sheetData sheetId="80">
        <row r="4">
          <cell r="J4">
            <v>158955</v>
          </cell>
        </row>
      </sheetData>
      <sheetData sheetId="81"/>
      <sheetData sheetId="82"/>
      <sheetData sheetId="83">
        <row r="53">
          <cell r="J53">
            <v>4010198</v>
          </cell>
        </row>
      </sheetData>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row r="132">
          <cell r="B132" t="str">
            <v>Site Preparation</v>
          </cell>
        </row>
      </sheetData>
      <sheetData sheetId="115"/>
      <sheetData sheetId="116"/>
      <sheetData sheetId="117"/>
      <sheetData sheetId="118">
        <row r="42">
          <cell r="E42">
            <v>0</v>
          </cell>
        </row>
      </sheetData>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ow r="1">
          <cell r="A1" t="str">
            <v>BURJ VISTA</v>
          </cell>
        </row>
      </sheetData>
      <sheetData sheetId="146">
        <row r="4">
          <cell r="J4">
            <v>158955</v>
          </cell>
        </row>
      </sheetData>
      <sheetData sheetId="147"/>
      <sheetData sheetId="148"/>
      <sheetData sheetId="149">
        <row r="53">
          <cell r="J53">
            <v>4010198</v>
          </cell>
        </row>
      </sheetData>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row r="132">
          <cell r="B132" t="str">
            <v>Site Preparation</v>
          </cell>
        </row>
      </sheetData>
      <sheetData sheetId="181"/>
      <sheetData sheetId="182"/>
      <sheetData sheetId="183"/>
      <sheetData sheetId="184">
        <row r="42">
          <cell r="E42">
            <v>0</v>
          </cell>
        </row>
      </sheetData>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row r="1">
          <cell r="A1" t="str">
            <v>BURJ VISTA</v>
          </cell>
        </row>
      </sheetData>
      <sheetData sheetId="212">
        <row r="4">
          <cell r="J4">
            <v>158955</v>
          </cell>
        </row>
      </sheetData>
      <sheetData sheetId="213"/>
      <sheetData sheetId="214"/>
      <sheetData sheetId="215">
        <row r="53">
          <cell r="J53">
            <v>4010198</v>
          </cell>
        </row>
      </sheetData>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row r="132">
          <cell r="B132" t="str">
            <v>Site Preparation</v>
          </cell>
        </row>
      </sheetData>
      <sheetData sheetId="247"/>
      <sheetData sheetId="248"/>
      <sheetData sheetId="249"/>
      <sheetData sheetId="250">
        <row r="42">
          <cell r="E42">
            <v>0</v>
          </cell>
        </row>
      </sheetData>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row r="1">
          <cell r="A1" t="str">
            <v>BURJ VISTA</v>
          </cell>
        </row>
      </sheetData>
      <sheetData sheetId="278">
        <row r="4">
          <cell r="J4">
            <v>158955</v>
          </cell>
        </row>
      </sheetData>
      <sheetData sheetId="279"/>
      <sheetData sheetId="280"/>
      <sheetData sheetId="281">
        <row r="53">
          <cell r="J53">
            <v>4010198</v>
          </cell>
        </row>
      </sheetData>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ow r="132">
          <cell r="B132" t="str">
            <v>Site Preparation</v>
          </cell>
        </row>
      </sheetData>
      <sheetData sheetId="313"/>
      <sheetData sheetId="314"/>
      <sheetData sheetId="315"/>
      <sheetData sheetId="316">
        <row r="42">
          <cell r="E42">
            <v>0</v>
          </cell>
        </row>
      </sheetData>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s"/>
      <sheetName val="AEDpersqft"/>
      <sheetName val="Sheet1"/>
      <sheetName val="Lstsub"/>
      <sheetName val="Asset Allocation (2)"/>
      <sheetName val="Overview sheet"/>
      <sheetName val="AEDpersqft (updated)"/>
      <sheetName val="AEDpersqft (Original)"/>
      <sheetName val="Ignore&gt;&gt;"/>
      <sheetName val="AEDpersqft (4)"/>
      <sheetName val="AEDpersqft (2)"/>
      <sheetName val="간접비내역-1"/>
      <sheetName val="Villas Sanitaryware"/>
      <sheetName val="Villas Doors rates"/>
      <sheetName val="Dropdown for Sanitary"/>
      <sheetName val="Concrete Work (2)"/>
      <sheetName val="Asset_Allocation_(2)"/>
      <sheetName val="Overview_sheet"/>
      <sheetName val="AEDpersqft_(updated)"/>
      <sheetName val="AEDpersqft_(Original)"/>
      <sheetName val="AEDpersqft_(4)"/>
      <sheetName val="AEDpersqft_(2)"/>
      <sheetName val="#REF"/>
      <sheetName val="Structure Bills Qty"/>
      <sheetName val="Cover"/>
      <sheetName val="final abstract"/>
      <sheetName val="L (4)"/>
      <sheetName val="contactor"/>
      <sheetName val="C (3)"/>
      <sheetName val="Cost Rates"/>
      <sheetName val="S Curve Calcs"/>
      <sheetName val="Criteria"/>
      <sheetName val="Schedules"/>
      <sheetName val="dBase"/>
      <sheetName val="LOOKUP(MM)"/>
      <sheetName val="SOA"/>
      <sheetName val="Cashflow projection"/>
      <sheetName val="Dropdowns"/>
      <sheetName val="Project Status Overview"/>
      <sheetName val="Cover Page"/>
    </sheetNames>
    <sheetDataSet>
      <sheetData sheetId="0">
        <row r="130">
          <cell r="F130" t="str">
            <v>Low Rise Resi</v>
          </cell>
          <cell r="J130" t="str">
            <v>Cost Plan</v>
          </cell>
        </row>
        <row r="131">
          <cell r="F131" t="str">
            <v>Mid Rise Resi</v>
          </cell>
          <cell r="J131" t="str">
            <v>Contract value</v>
          </cell>
        </row>
        <row r="132">
          <cell r="F132" t="str">
            <v>High Rise Resi</v>
          </cell>
          <cell r="J132" t="str">
            <v>Anticipated Final Account</v>
          </cell>
        </row>
        <row r="133">
          <cell r="F133" t="str">
            <v>Residential Villas</v>
          </cell>
          <cell r="J133" t="str">
            <v>Agreed Final Account</v>
          </cell>
        </row>
        <row r="134">
          <cell r="F134" t="str">
            <v>Townhouses</v>
          </cell>
        </row>
        <row r="135">
          <cell r="F135" t="str">
            <v>Serviced Aprts</v>
          </cell>
        </row>
        <row r="136">
          <cell r="F136" t="str">
            <v>Hotel</v>
          </cell>
        </row>
        <row r="137">
          <cell r="F137" t="str">
            <v>Hotel Resort</v>
          </cell>
        </row>
        <row r="138">
          <cell r="F138" t="str">
            <v>Retail (250,000ft2-)</v>
          </cell>
        </row>
        <row r="139">
          <cell r="F139" t="str">
            <v>Retail (250,000ft2+)</v>
          </cell>
        </row>
        <row r="140">
          <cell r="F140" t="str">
            <v>Low Rise Offices</v>
          </cell>
        </row>
        <row r="141">
          <cell r="F141" t="str">
            <v>High Rise Offices</v>
          </cell>
        </row>
        <row r="142">
          <cell r="F142" t="str">
            <v>Infrastructure</v>
          </cell>
        </row>
        <row r="143">
          <cell r="F143" t="str">
            <v>Mixed Use</v>
          </cell>
        </row>
        <row r="144">
          <cell r="F144" t="str">
            <v>Golf Course</v>
          </cell>
        </row>
        <row r="145">
          <cell r="F145" t="str">
            <v>Other</v>
          </cell>
        </row>
      </sheetData>
      <sheetData sheetId="1"/>
      <sheetData sheetId="2" refreshError="1"/>
      <sheetData sheetId="3" refreshError="1"/>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BQ"/>
      <sheetName val="BQ External"/>
      <sheetName val="SHOPLIST"/>
      <sheetName val="Notes"/>
      <sheetName val="icmal"/>
      <sheetName val="Projet, methodes &amp; couts"/>
      <sheetName val="Macro1"/>
      <sheetName val="Planning"/>
      <sheetName val="TAHRIR"/>
      <sheetName val="Bases"/>
      <sheetName val="Risques majeurs &amp; Frais Ind."/>
      <sheetName val="Bouclage"/>
      <sheetName val="AREG_05"/>
      <sheetName val="Basis"/>
      <sheetName val="TAS"/>
      <sheetName val="#REF"/>
      <sheetName val="SubmitCal"/>
      <sheetName val="Penthouse Apartment"/>
      <sheetName val="LABOUR HISTOGRAM"/>
      <sheetName val="StattCo yCharges"/>
      <sheetName val="GFA_HQ_Building"/>
      <sheetName val="GFA_Conference"/>
      <sheetName val="Su}}ary"/>
      <sheetName val="D-623D"/>
      <sheetName val="Option"/>
      <sheetName val="Chiet tinh dz22"/>
      <sheetName val="Chiet tinh dz35"/>
      <sheetName val="Raw Data"/>
      <sheetName val="Cash2"/>
      <sheetName val="Z"/>
      <sheetName val="CT Thang Mo"/>
      <sheetName val="1"/>
      <sheetName val="LEVEL SHEET"/>
      <sheetName val="SPT vs PHI"/>
      <sheetName val="CASHFLOWS"/>
      <sheetName val="_______"/>
      <sheetName val="核算项目余额表"/>
      <sheetName val="Criteria"/>
      <sheetName val="Assumptions"/>
      <sheetName val="@risk rents and incentives"/>
      <sheetName val="Car park lease"/>
      <sheetName val="Net rent analysis"/>
      <sheetName val="Poz-1 "/>
      <sheetName val="차액보증"/>
      <sheetName val="Lab Cum Hist"/>
      <sheetName val="ancillary"/>
      <sheetName val="Graph Data (DO NOT PRINT)"/>
      <sheetName val="Sheet2"/>
      <sheetName val="ANNEXURE-A"/>
      <sheetName val="BOQ"/>
      <sheetName val="Bill No. 2"/>
      <sheetName val="budget summary (2)"/>
      <sheetName val="Budget Analysis Summary"/>
      <sheetName val="Customize Your Invoice"/>
      <sheetName val="B"/>
      <sheetName val="HVAC BoQ"/>
      <sheetName val="PriceSummary"/>
      <sheetName val="企业表一"/>
      <sheetName val="M-5C"/>
      <sheetName val="M-5A"/>
      <sheetName val=""/>
      <sheetName val="改加胶玻璃、室外栏杆"/>
      <sheetName val="FOL - Bar"/>
      <sheetName val="Sheet1"/>
      <sheetName val="BQ_External"/>
      <sheetName val="Bill_1"/>
      <sheetName val="Bill_2"/>
      <sheetName val="Bill_3"/>
      <sheetName val="Bill_4"/>
      <sheetName val="Bill_5"/>
      <sheetName val="Bill_6"/>
      <sheetName val="Bill_7"/>
      <sheetName val="Data"/>
      <sheetName val="Tender Summary"/>
      <sheetName val="Insurance Ext"/>
      <sheetName val="Prelims"/>
      <sheetName val="CT  PL"/>
      <sheetName val="GFA_HQ_Building1"/>
      <sheetName val="Budget"/>
      <sheetName val="LABOUR_HISTOGRAM"/>
      <sheetName val="JAS"/>
      <sheetName val="COC"/>
      <sheetName val="intr stool brkup"/>
      <sheetName val="ConferenceCentre_x0000_옰ʒ䄂ʒ鵠ʐ䄂ʒ閐̐䄂ʒ蕈̐"/>
      <sheetName val="HQ-TO"/>
      <sheetName val="Top sheet"/>
      <sheetName val="Rate analysis"/>
      <sheetName val="MTP"/>
      <sheetName val="POWER"/>
      <sheetName val="PROJECT BRIEF"/>
      <sheetName val="Geneí¬_x0008_i_x0000__x0000__x0014__x0000_0."/>
      <sheetName val="70_x0000_,/0_x0000_s«_x0008_i_x0000_Æø_x0003_í¬_x0008_i_x0000_"/>
      <sheetName val="Body Sheet"/>
      <sheetName val="1.0 Executive Summary"/>
      <sheetName val="GFA_Conference1"/>
      <sheetName val="BQ_External1"/>
      <sheetName val="Penthouse_Apartment"/>
      <sheetName val="StattCo_yCharges"/>
      <sheetName val="Raw_Data"/>
      <sheetName val="@risk_rents_and_incentives"/>
      <sheetName val="Car_park_lease"/>
      <sheetName val="Net_rent_analysis"/>
      <sheetName val="Poz-1_"/>
      <sheetName val="Chiet_tinh_dz22"/>
      <sheetName val="Chiet_tinh_dz35"/>
      <sheetName val="Lab_Cum_Hist"/>
      <sheetName val="Graph_Data_(DO_NOT_PRINT)"/>
      <sheetName val="Projet,_methodes_&amp;_couts"/>
      <sheetName val="Risques_majeurs_&amp;_Frais_Ind_"/>
      <sheetName val="CT_Thang_Mo"/>
      <sheetName val="Bill_No__2"/>
      <sheetName val="SPT_vs_PHI"/>
      <sheetName val="budget_summary_(2)"/>
      <sheetName val="Budget_Analysis_Summary"/>
      <sheetName val="CT__PL"/>
      <sheetName val="LEVEL_SHEET"/>
      <sheetName val="FOL_-_Bar"/>
      <sheetName val="DATAS"/>
      <sheetName val="List"/>
      <sheetName val="Bill 2"/>
      <sheetName val="LABOUR_HISTOGRAM1"/>
      <sheetName val="Currencies"/>
      <sheetName val="C (3)"/>
      <sheetName val="Ap A"/>
      <sheetName val="2 Div 14 "/>
      <sheetName val="Bill 1"/>
      <sheetName val="Bill 3"/>
      <sheetName val="Bill 4"/>
      <sheetName val="Bill 5"/>
      <sheetName val="Bill 6"/>
      <sheetName val="Bill 7"/>
      <sheetName val="기계내역서"/>
      <sheetName val="Tender_Summary"/>
      <sheetName val="Insurance_Ext"/>
      <sheetName val="SAP"/>
      <sheetName val="Sheet3"/>
      <sheetName val="SHOPLIST.xls"/>
      <sheetName val="Inputs"/>
      <sheetName val="Dubai golf"/>
      <sheetName val="GFA_HQ_Building2"/>
      <sheetName val="Customize_Your_Invoice"/>
      <sheetName val="HVAC_BoQ"/>
      <sheetName val="intr_stool_brkup"/>
      <sheetName val="Top_sheet"/>
      <sheetName val="Rate_analysis"/>
      <sheetName val="ACT_SPS"/>
      <sheetName val="SPSF"/>
      <sheetName val="Invoice Summary"/>
      <sheetName val="_x0000__x0000__x0000__x0000__x0000__x0000__x0000__x0000_"/>
      <sheetName val="POWER ASSUMPTIONS"/>
      <sheetName val="concrete"/>
      <sheetName val="beam-reinft-IIInd floor"/>
      <sheetName val="beam-reinft-machine rm"/>
      <sheetName val="girder"/>
      <sheetName val="Rocker"/>
      <sheetName val="98Price"/>
      <sheetName val="Civil Boq"/>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udget_summary_(2)1"/>
      <sheetName val="Budget_Analysis_Summary1"/>
      <sheetName val="Body_Sheet1"/>
      <sheetName val="1_0_Executive_Summary1"/>
      <sheetName val="Projet,_methodes_&amp;_couts1"/>
      <sheetName val="Risques_majeurs_&amp;_Frais_Ind_1"/>
      <sheetName val="CT__PL1"/>
      <sheetName val="Top_sheet1"/>
      <sheetName val="intr_stool_brkup1"/>
      <sheetName val="Rate_analysis1"/>
      <sheetName val="GFA_Conference2"/>
      <sheetName val="StattCo_yCharges1"/>
      <sheetName val="BQ_External2"/>
      <sheetName val="Penthouse_Apartment1"/>
      <sheetName val="LABOUR_HISTOGRAM2"/>
      <sheetName val="Chiet_tinh_dz221"/>
      <sheetName val="Chiet_tinh_dz351"/>
      <sheetName val="CT_Thang_Mo1"/>
      <sheetName val="Raw_Data1"/>
      <sheetName val="@risk_rents_and_incentives1"/>
      <sheetName val="Car_park_lease1"/>
      <sheetName val="Net_rent_analysis1"/>
      <sheetName val="Poz-1_1"/>
      <sheetName val="Lab_Cum_Hist1"/>
      <sheetName val="Graph_Data_(DO_NOT_PRINT)1"/>
      <sheetName val="LEVEL_SHEET1"/>
      <sheetName val="Bill_No__21"/>
      <sheetName val="Tender_Summary1"/>
      <sheetName val="Insurance_Ext1"/>
      <sheetName val="FOL_-_Bar1"/>
      <sheetName val="SPT_vs_PHI1"/>
      <sheetName val="Customize_Your_Invoice1"/>
      <sheetName val="HVAC_BoQ1"/>
      <sheetName val="Body_Sheet"/>
      <sheetName val="1_0_Executive_Summary"/>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sal"/>
      <sheetName val="Wall"/>
      <sheetName val="공종별_집계금액"/>
      <sheetName val="PROJECT_BRIEF1"/>
      <sheetName val="Geneí¬i0_"/>
      <sheetName val="70,/0s«iÆøí¬i"/>
      <sheetName val="Bill_22"/>
      <sheetName val="C_(3)1"/>
      <sheetName val="Ap_A1"/>
      <sheetName val="2_Div_14_1"/>
      <sheetName val="Bill_11"/>
      <sheetName val="Bill_31"/>
      <sheetName val="Bill_41"/>
      <sheetName val="Bill_51"/>
      <sheetName val="Bill_61"/>
      <sheetName val="Bill_71"/>
      <sheetName val="SHOPLIST_xls"/>
      <sheetName val="Dubai_golf"/>
      <sheetName val="beam-reinft-IIInd_floor"/>
      <sheetName val="Invoice_Summary"/>
      <sheetName val="POWER_ASSUMPTIONS"/>
      <sheetName val="beam-reinft-machine_rm"/>
      <sheetName val="PROJECT_BRIEF"/>
      <sheetName val="Bill_21"/>
      <sheetName val="C_(3)"/>
      <sheetName val="Ap_A"/>
      <sheetName val="2_Div_14_"/>
      <sheetName val="WITHOUT C&amp;I PROFIT (3)"/>
      <sheetName val="Geneí¬_x0008_i"/>
      <sheetName val="70"/>
      <sheetName val="Activity List"/>
      <sheetName val="GFA_HQ_Building6"/>
      <sheetName val="Softscape Buildup"/>
      <sheetName val="Mat'l Rate"/>
      <sheetName val="GFA_HQ_Building7"/>
      <sheetName val="GFA_Conference6"/>
      <sheetName val="BQ_External6"/>
      <sheetName val="Projet,_methodes_&amp;_couts4"/>
      <sheetName val="Risques_majeurs_&amp;_Frais_Ind_4"/>
      <sheetName val="Penthouse_Apartment5"/>
      <sheetName val="LABOUR_HISTOGRAM6"/>
      <sheetName val="StattCo_yCharges5"/>
      <sheetName val="Chiet_tinh_dz225"/>
      <sheetName val="Chiet_tinh_dz355"/>
      <sheetName val="Raw_Data5"/>
      <sheetName val="CT_Thang_Mo5"/>
      <sheetName val="LEVEL_SHEET5"/>
      <sheetName val="SPT_vs_PHI5"/>
      <sheetName val="@risk_rents_and_incentives5"/>
      <sheetName val="Car_park_lease5"/>
      <sheetName val="Net_rent_analysis5"/>
      <sheetName val="Poz-1_5"/>
      <sheetName val="Lab_Cum_Hist5"/>
      <sheetName val="Graph_Data_(DO_NOT_PRINT)5"/>
      <sheetName val="Bill_No__25"/>
      <sheetName val="budget_summary_(2)4"/>
      <sheetName val="Budget_Analysis_Summary4"/>
      <sheetName val="Customize_Your_Invoice5"/>
      <sheetName val="HVAC_BoQ5"/>
      <sheetName val="FOL_-_Bar5"/>
      <sheetName val="Tender_Summary5"/>
      <sheetName val="Insurance_Ext5"/>
      <sheetName val="CT__PL4"/>
      <sheetName val="intr_stool_brkup4"/>
      <sheetName val="Top_sheet4"/>
      <sheetName val="Rate_analysis4"/>
      <sheetName val="PROJECT_BRIEF2"/>
      <sheetName val="Body_Sheet4"/>
      <sheetName val="1_0_Executive_Summary4"/>
      <sheetName val="Bill_23"/>
      <sheetName val="C_(3)2"/>
      <sheetName val="Ap_A2"/>
      <sheetName val="2_Div_14_2"/>
      <sheetName val="Bill_12"/>
      <sheetName val="Bill_32"/>
      <sheetName val="Bill_42"/>
      <sheetName val="Bill_52"/>
      <sheetName val="Bill_62"/>
      <sheetName val="Bill_72"/>
      <sheetName val="SHOPLIST_xls1"/>
      <sheetName val="Dubai_golf1"/>
      <sheetName val="Invoice_Summary1"/>
      <sheetName val="beam-reinft-IIInd_floor1"/>
      <sheetName val="POWER_ASSUMPTIONS1"/>
      <sheetName val="beam-reinft-machine_rm1"/>
      <sheetName val="Civil_Boq"/>
      <sheetName val="WITHOUT_C&amp;I_PROFIT_(3)"/>
      <sheetName val="Geneí¬i"/>
      <sheetName val="Activity_List"/>
      <sheetName val="Softscape_Buildup"/>
      <sheetName val="Mat'l_Rate"/>
      <sheetName val="GFA_HQ_Building8"/>
      <sheetName val="GFA_Conference7"/>
      <sheetName val="StattCo_yCharges6"/>
      <sheetName val="BQ_External7"/>
      <sheetName val="Penthouse_Apartment6"/>
      <sheetName val="LABOUR_HISTOGRAM7"/>
      <sheetName val="Chiet_tinh_dz226"/>
      <sheetName val="Chiet_tinh_dz356"/>
      <sheetName val="CT_Thang_Mo6"/>
      <sheetName val="Raw_Data6"/>
      <sheetName val="@risk_rents_and_incentives6"/>
      <sheetName val="Car_park_lease6"/>
      <sheetName val="Net_rent_analysis6"/>
      <sheetName val="Poz-1_6"/>
      <sheetName val="Lab_Cum_Hist6"/>
      <sheetName val="Graph_Data_(DO_NOT_PRINT)6"/>
      <sheetName val="LEVEL_SHEET6"/>
      <sheetName val="SPT_vs_PHI6"/>
      <sheetName val="Bill_No__26"/>
      <sheetName val="Tender_Summary6"/>
      <sheetName val="Insurance_Ext6"/>
      <sheetName val="FOL_-_Bar6"/>
      <sheetName val="Customize_Your_Invoice6"/>
      <sheetName val="HVAC_BoQ6"/>
      <sheetName val="budget_summary_(2)5"/>
      <sheetName val="Budget_Analysis_Summary5"/>
      <sheetName val="Projet,_methodes_&amp;_couts5"/>
      <sheetName val="Risques_majeurs_&amp;_Frais_Ind_5"/>
      <sheetName val="Body_Sheet5"/>
      <sheetName val="1_0_Executive_Summary5"/>
      <sheetName val="Top_sheet5"/>
      <sheetName val="Rate_analysis5"/>
      <sheetName val="intr_stool_brkup5"/>
      <sheetName val="CT__PL5"/>
      <sheetName val="Ap_A3"/>
      <sheetName val="2_Div_14_3"/>
      <sheetName val="SHOPLIST_xls2"/>
      <sheetName val="PROJECT_BRIEF3"/>
      <sheetName val="Bill_24"/>
      <sheetName val="C_(3)3"/>
      <sheetName val="Bill_13"/>
      <sheetName val="Bill_33"/>
      <sheetName val="Bill_43"/>
      <sheetName val="Bill_53"/>
      <sheetName val="Bill_63"/>
      <sheetName val="Bill_73"/>
      <sheetName val="Dubai_golf2"/>
      <sheetName val="beam-reinft-IIInd_floor2"/>
      <sheetName val="Invoice_Summary2"/>
      <sheetName val="POWER_ASSUMPTIONS2"/>
      <sheetName val="beam-reinft-machine_rm2"/>
      <sheetName val="Civil_Boq1"/>
      <sheetName val="WITHOUT_C&amp;I_PROFIT_(3)1"/>
      <sheetName val="Activity_List1"/>
      <sheetName val="Softscape_Buildup1"/>
      <sheetName val="Mat'l_Rate1"/>
      <sheetName val="마산월령동골조물량변경"/>
      <sheetName val="CODE"/>
      <sheetName val="HIRED LABOUR CODE"/>
      <sheetName val="PA- Consutant "/>
      <sheetName val="Design"/>
      <sheetName val="upa"/>
      <sheetName val="foot-slab reinft"/>
      <sheetName val="ABSTRACT"/>
      <sheetName val="DETAILED  BOQ"/>
      <sheetName val="M-Book for Conc"/>
      <sheetName val="M-Book for FW"/>
      <sheetName val="Vehicles"/>
      <sheetName val="MOS"/>
      <sheetName val="BILL COV"/>
      <sheetName val="Ra  stair"/>
      <sheetName val="GFA_HQ_Building9"/>
      <sheetName val="GFA_Conference8"/>
      <sheetName val="StattCo_yCharges7"/>
      <sheetName val="BQ_External8"/>
      <sheetName val="Penthouse_Apartment7"/>
      <sheetName val="LABOUR_HISTOGRAM8"/>
      <sheetName val="Chiet_tinh_dz227"/>
      <sheetName val="Chiet_tinh_dz357"/>
      <sheetName val="CT_Thang_Mo7"/>
      <sheetName val="Raw_Data7"/>
      <sheetName val="@risk_rents_and_incentives7"/>
      <sheetName val="Car_park_lease7"/>
      <sheetName val="Net_rent_analysis7"/>
      <sheetName val="Poz-1_7"/>
      <sheetName val="Lab_Cum_Hist7"/>
      <sheetName val="Graph_Data_(DO_NOT_PRINT)7"/>
      <sheetName val="LEVEL_SHEET7"/>
      <sheetName val="SPT_vs_PHI7"/>
      <sheetName val="Bill_No__27"/>
      <sheetName val="Tender_Summary7"/>
      <sheetName val="Insurance_Ext7"/>
      <sheetName val="FOL_-_Bar7"/>
      <sheetName val="Customize_Your_Invoice7"/>
      <sheetName val="HVAC_BoQ7"/>
      <sheetName val="budget_summary_(2)6"/>
      <sheetName val="CERTIFICATE"/>
      <sheetName val="250mm"/>
      <sheetName val="200mm"/>
      <sheetName val="160mm"/>
      <sheetName val="FITTINGS"/>
      <sheetName val="VALVE CHAMBERS"/>
      <sheetName val="Fire Hydrants"/>
      <sheetName val="B.GATE VALVE"/>
      <sheetName val="Sub G1 Fire"/>
      <sheetName val="Sub G12 Fire"/>
      <sheetName val="Data_Summary"/>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Index List"/>
      <sheetName val="Type List"/>
      <sheetName val="File Types"/>
      <sheetName val="Bill_14"/>
      <sheetName val="Bill_34"/>
      <sheetName val="Bill_44"/>
      <sheetName val="Bill_54"/>
      <sheetName val="Bill_64"/>
      <sheetName val="Bill_74"/>
      <sheetName val="POWER_ASSUMPTIONS3"/>
      <sheetName val="SHOPLIST_xls3"/>
      <sheetName val="INSTR"/>
      <sheetName val="Day work"/>
      <sheetName val="Materials Cost(PCC)"/>
      <sheetName val="India F&amp;S Template"/>
      <sheetName val="Annex"/>
      <sheetName val="factors"/>
      <sheetName val="P4-B"/>
      <sheetName val="Break_Up"/>
      <sheetName val="RESULT"/>
      <sheetName val="IO LIST"/>
      <sheetName val="Formulas"/>
      <sheetName val="Material "/>
      <sheetName val="Quote Sheet"/>
      <sheetName val="갑지"/>
      <sheetName val="15-MECH"/>
      <sheetName val="DETAILED__BOQ"/>
      <sheetName val="M-Book_for_Conc"/>
      <sheetName val="M-Book_for_FW"/>
      <sheetName val="HIRED_LABOUR_CODE"/>
      <sheetName val="PA-_Consutant_"/>
      <sheetName val="foot-slab_reinft"/>
      <sheetName val="Eq. Mobilization"/>
      <sheetName val="w't table"/>
      <sheetName val="cp-e1"/>
      <sheetName val="Toolbox"/>
      <sheetName val="COLUMN"/>
      <sheetName val="Dropdown"/>
      <sheetName val="Elemental Buildup"/>
      <sheetName val="B185-B-2"/>
      <sheetName val="B185-B-3"/>
      <sheetName val="B185-B-4"/>
      <sheetName val="B185-B-5"/>
      <sheetName val="B185-B-6"/>
      <sheetName val="B185-B-7"/>
      <sheetName val="B185-B-8"/>
      <sheetName val="B185-B-9.1"/>
      <sheetName val="B185-B-9.2"/>
      <sheetName val="Material List "/>
      <sheetName val="ConferenceCentre?옰ʒ䄂ʒ鵠ʐ䄂ʒ閐̐䄂ʒ蕈̐"/>
      <sheetName val="Working for RCC"/>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RA-markate"/>
      <sheetName val="BOQ_Direct_selling cost"/>
      <sheetName val="Budget_Analysis_Summary6"/>
      <sheetName val="Projet,_methodes_&amp;_couts6"/>
      <sheetName val="Risques_majeurs_&amp;_Frais_Ind_6"/>
      <sheetName val="Body_Sheet6"/>
      <sheetName val="1_0_Executive_Summary6"/>
      <sheetName val="Top_sheet6"/>
      <sheetName val="Rate_analysis6"/>
      <sheetName val="intr_stool_brkup6"/>
      <sheetName val="CT__PL6"/>
      <sheetName val="Ap_A4"/>
      <sheetName val="2_Div_14_4"/>
      <sheetName val="PROJECT_BRIEF4"/>
      <sheetName val="Bill_25"/>
      <sheetName val="C_(3)4"/>
      <sheetName val="Dubai_golf3"/>
      <sheetName val="beam-reinft-IIInd_floor3"/>
      <sheetName val="Invoice_Summary3"/>
      <sheetName val="beam-reinft-machine_rm3"/>
      <sheetName val="Civil_Boq2"/>
      <sheetName val="WITHOUT_C&amp;I_PROFIT_(3)2"/>
      <sheetName val="Activity_List2"/>
      <sheetName val="Softscape_Buildup2"/>
      <sheetName val="Mat'l_Rate2"/>
      <sheetName val="BILL_COV"/>
      <sheetName val="Ra__stair"/>
      <sheetName val="GFA_HQ_Building10"/>
      <sheetName val="GFA_Conference9"/>
      <sheetName val="StattCo_yCharges8"/>
      <sheetName val="BQ_External9"/>
      <sheetName val="Penthouse_Apartment8"/>
      <sheetName val="LABOUR_HISTOGRAM9"/>
      <sheetName val="Chiet_tinh_dz228"/>
      <sheetName val="Chiet_tinh_dz358"/>
      <sheetName val="CT_Thang_Mo8"/>
      <sheetName val="Raw_Data8"/>
      <sheetName val="@risk_rents_and_incentives8"/>
      <sheetName val="Car_park_lease8"/>
      <sheetName val="Net_rent_analysis8"/>
      <sheetName val="Poz-1_8"/>
      <sheetName val="Lab_Cum_Hist8"/>
      <sheetName val="Graph_Data_(DO_NOT_PRINT)8"/>
      <sheetName val="LEVEL_SHEET8"/>
      <sheetName val="SPT_vs_PHI8"/>
      <sheetName val="Bill_No__28"/>
      <sheetName val="Tender_Summary8"/>
      <sheetName val="Insurance_Ext8"/>
      <sheetName val="FOL_-_Bar8"/>
      <sheetName val="Customize_Your_Invoice8"/>
      <sheetName val="HVAC_BoQ8"/>
      <sheetName val="budget_summary_(2)7"/>
      <sheetName val="Budget_Analysis_Summary7"/>
      <sheetName val="Projet,_methodes_&amp;_couts7"/>
      <sheetName val="Risques_majeurs_&amp;_Frais_Ind_7"/>
      <sheetName val="Body_Sheet7"/>
      <sheetName val="1_0_Executive_Summary7"/>
      <sheetName val="Top_sheet7"/>
      <sheetName val="Rate_analysis7"/>
      <sheetName val="intr_stool_brkup7"/>
      <sheetName val="CT__PL7"/>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HIRED_LABOUR_CODE1"/>
      <sheetName val="PA-_Consutant_1"/>
      <sheetName val="foot-slab_reinft1"/>
      <sheetName val="DETAILED__BOQ1"/>
      <sheetName val="M-Book_for_Conc1"/>
      <sheetName val="M-Book_for_FW1"/>
      <sheetName val="BILL_COV1"/>
      <sheetName val="Ra__stair1"/>
      <sheetName val="房屋及建筑物"/>
      <sheetName val="XL4Poppy"/>
      <sheetName val="Day_work"/>
      <sheetName val="CHART OF ACCOUNTS"/>
      <sheetName val="E-Bill No.6 A-O"/>
      <sheetName val="B03"/>
      <sheetName val="B09.1"/>
      <sheetName val="VALVE_CHAMBERS"/>
      <sheetName val="Fire_Hydrants"/>
      <sheetName val="B_GATE_VALVE"/>
      <sheetName val="Sub_G1_Fire"/>
      <sheetName val="Sub_G12_Fire"/>
      <sheetName val="VALVE_CHAMBERS1"/>
      <sheetName val="Fire_Hydrants1"/>
      <sheetName val="B_GATE_VALVE1"/>
      <sheetName val="Sub_G1_Fire1"/>
      <sheetName val="Sub_G12_Fire1"/>
      <sheetName val="DETAILED__BOQ2"/>
      <sheetName val="M-Book_for_Conc2"/>
      <sheetName val="M-Book_for_FW2"/>
      <sheetName val="HIRED_LABOUR_CODE2"/>
      <sheetName val="PA-_Consutant_2"/>
      <sheetName val="foot-slab_reinft2"/>
      <sheetName val="col-reinft1"/>
      <sheetName val="Day_work1"/>
      <sheetName val="Gra¦_x0004_)_x0000__x0000__x0000_VW_x0000__x0000__x0000__x0000__x0000__x0000__x0000__x0000__x0000_ U"/>
      <sheetName val="/VW_x0000_VU_x0000_)_x0000__x0000__x0000_)_x0000__x0000__x0000__x0001__x0000__x0000__x0000_tÏØ0_x0009__x0008__x0000__x0000__x0009__x0008_"/>
      <sheetName val="Gra¦_x0004_)"/>
      <sheetName val="/VW"/>
      <sheetName val="2.2)Revised Cash Flow"/>
      <sheetName val="/VW_x0000_VU_x0000_)_x0000__x0000__x0000_)_x0000__x0000__x0000__x0001__x0000__x0000__x0000_tÏØ0 _x0008__x0000__x0000_ _x0008_"/>
      <sheetName val="PMWeb_data"/>
      <sheetName val="SS_MH"/>
      <sheetName val="PMWeb data"/>
      <sheetName val="SS MH"/>
      <sheetName val="Lists"/>
      <sheetName val="77S(O)"/>
      <sheetName val="PointNo.5"/>
      <sheetName val="11-hsd"/>
      <sheetName val="13-septic"/>
      <sheetName val="7-ug"/>
      <sheetName val="2-utility"/>
      <sheetName val="18-misc"/>
      <sheetName val="5-pipe"/>
      <sheetName val="ConferenceCentre_x005f_x0000_옰ʒ䄂ʒ鵠ʐ䄂ʒ"/>
      <sheetName val="Geneí¬_x005f_x0008_i_x005f_x0000__x005f_x0000__x0"/>
      <sheetName val="70_x005f_x0000_,_0_x005f_x0000_s«_x005f_x0008_i_x"/>
      <sheetName val="Geneí¬_x005f_x0008_i"/>
      <sheetName val="입찰내역 발주처 양식"/>
      <sheetName val="PRECAST lightconc-II"/>
      <sheetName val="P&amp;L-BDMC"/>
      <sheetName val="final abstract"/>
      <sheetName val="Detail"/>
      <sheetName val="p&amp;m"/>
      <sheetName val="Voucher"/>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Materials_Cost(PCC)"/>
      <sheetName val="India_F&amp;S_Template"/>
      <sheetName val="IO_LIST"/>
      <sheetName val="Material_"/>
      <sheetName val="Quote_Sheet"/>
      <sheetName val="Eq__Mobilization"/>
      <sheetName val="Working_for_RCC"/>
      <sheetName val="B185-B-9_1"/>
      <sheetName val="B185-B-9_2"/>
      <sheetName val="BOQ_Direct_selling_cost"/>
      <sheetName val="CHART_OF_ACCOUNTS"/>
      <sheetName val="E-Bill_No_6_A-O"/>
      <sheetName val="B09_1"/>
      <sheetName val="BS"/>
      <sheetName val="Summary of Work"/>
      <sheetName val="집계표(OPTION)"/>
      <sheetName val="SStaff-Sept2013"/>
      <sheetName val="LIST DO NOT REMOVE"/>
      <sheetName val="_x005f_x0000__x005f_x0000__x005f_x0000__x005f_x0000__x0"/>
      <sheetName val="Staff Acco."/>
      <sheetName val="TBAL9697 -group wise  sdpl"/>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2_2)Revised_Cash_Flow"/>
      <sheetName val="escalation"/>
      <sheetName val="ANAL"/>
      <sheetName val="Staffing and Rates IA"/>
      <sheetName val="Chiet t"/>
      <sheetName val="Employee List"/>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B6.2 "/>
      <sheetName val="PointNo_5"/>
      <sheetName val="w't_table"/>
      <sheetName val="Elemental_Buildup"/>
      <sheetName val="Quantity"/>
      <sheetName val="??-BLDG"/>
      <sheetName val="PNT-QUOT-#3"/>
      <sheetName val="COAT&amp;WRAP-QIOT-#3"/>
      <sheetName val="ml"/>
      <sheetName val="HIRED_LABOUR_CODE3"/>
      <sheetName val="PA-_Consutant_3"/>
      <sheetName val="foot-slab_reinft3"/>
      <sheetName val="DETAILED__BOQ3"/>
      <sheetName val="M-Book_for_Conc3"/>
      <sheetName val="M-Book_for_FW3"/>
      <sheetName val="VALVE_CHAMBERS2"/>
      <sheetName val="Fire_Hydrants2"/>
      <sheetName val="B_GATE_VALVE2"/>
      <sheetName val="Sub_G1_Fire2"/>
      <sheetName val="Sub_G12_Fire2"/>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Day_work2"/>
      <sheetName val="Gra¦)VW_U"/>
      <sheetName val="/VWVU))tÏØ0  "/>
      <sheetName val="/VWVU))tÏØ0__"/>
      <sheetName val="VCH-SLC"/>
      <sheetName val="Item- Compact"/>
      <sheetName val="Supplier"/>
      <sheetName val="BLK2"/>
      <sheetName val="BLK3"/>
      <sheetName val="E &amp; R"/>
      <sheetName val="radar"/>
      <sheetName val="UG"/>
      <sheetName val="SIEMENS"/>
      <sheetName val="[SHOPLIST.xls][SHOPLIST.xls]70_x0000_"/>
      <sheetName val="[SHOPLIST.xls][SHOPLIST.xls]70,"/>
      <sheetName val="Demand"/>
      <sheetName val="Occ"/>
      <sheetName val="Earthwork"/>
      <sheetName val="GIAVLIEU"/>
      <sheetName val="Project Cost Breakdown"/>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VALVE_CHAMBERS3"/>
      <sheetName val="Fire_Hydrants3"/>
      <sheetName val="B_GATE_VALVE3"/>
      <sheetName val="Sub_G1_Fire3"/>
      <sheetName val="Sub_G12_Fire3"/>
      <sheetName val="Materials_Cost(PCC)2"/>
      <sheetName val="India_F&amp;S_Template2"/>
      <sheetName val="IO_LIST2"/>
      <sheetName val="Material_2"/>
      <sheetName val="Quote_Sheet2"/>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PT 141- Site A Landscape"/>
      <sheetName val="Old"/>
      <sheetName val="Elemental_Buildup1"/>
      <sheetName val="PointNo_51"/>
      <sheetName val="B6_2_"/>
      <sheetName val="LIST_DO_NOT_REMOVE"/>
      <sheetName val="Рабочий лист"/>
      <sheetName val="ФМ"/>
      <sheetName val="Сравнение"/>
      <sheetName val="Table"/>
      <sheetName val="Annex 1 Sect 3a"/>
      <sheetName val="Annex 1 Sect 3a.1"/>
      <sheetName val="Annex 1 Sect 3b"/>
      <sheetName val="Annex 1 Sect 3c"/>
      <sheetName val="HOURLY RATES"/>
      <sheetName val="GRSummary"/>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Prices"/>
      <sheetName val="Rate summary"/>
      <sheetName val="#REF!"/>
      <sheetName val="SW-TEO"/>
      <sheetName val="科目余额表正式"/>
      <sheetName val="%"/>
      <sheetName val="BG"/>
      <sheetName val="RAB AR&amp;STR"/>
      <sheetName val="SITE WORK"/>
      <sheetName val="Sub_G1_Five"/>
      <sheetName val="Duct Accesories"/>
      <sheetName val="70,_0s«iÆøí¬i"/>
      <sheetName val="ConferenceCentre_옰ʒ䄂ʒ鵠ʐ䄂ʒ閐̐䄂ʒ蕈̐"/>
      <sheetName val="PRECAST_lightconc-II"/>
      <sheetName val="final_abstract"/>
      <sheetName val="GFA_HQ_Building13"/>
      <sheetName val="GFA_Conference12"/>
      <sheetName val="BQ_External12"/>
      <sheetName val="Raw_Data11"/>
      <sheetName val="Penthouse_Apartment11"/>
      <sheetName val="StattCo_yCharges11"/>
      <sheetName val="@risk_rents_and_incentives11"/>
      <sheetName val="Car_park_lease11"/>
      <sheetName val="Net_rent_analysis11"/>
      <sheetName val="Poz-1_11"/>
      <sheetName val="Chiet_tinh_dz2211"/>
      <sheetName val="Chiet_tinh_dz3511"/>
      <sheetName val="LEVEL_SHEET11"/>
      <sheetName val="LABOUR_HISTOGRAM12"/>
      <sheetName val="Lab_Cum_Hist11"/>
      <sheetName val="Graph_Data_(DO_NOT_PRINT)11"/>
      <sheetName val="Body_Sheet10"/>
      <sheetName val="1_0_Executive_Summary10"/>
      <sheetName val="CT_Thang_Mo11"/>
      <sheetName val="Customize_Your_Invoice11"/>
      <sheetName val="HVAC_BoQ11"/>
      <sheetName val="Bill_No__211"/>
      <sheetName val="budget_summary_(2)10"/>
      <sheetName val="Budget_Analysis_Summary10"/>
      <sheetName val="Projet,_methodes_&amp;_couts10"/>
      <sheetName val="Risques_majeurs_&amp;_Frais_Ind_10"/>
      <sheetName val="SPT_vs_PHI11"/>
      <sheetName val="CT__PL10"/>
      <sheetName val="FOL_-_Bar11"/>
      <sheetName val="Tender_Summary11"/>
      <sheetName val="Insurance_Ext11"/>
      <sheetName val="Top_sheet10"/>
      <sheetName val="intr_stool_brkup10"/>
      <sheetName val="2_Div_14_8"/>
      <sheetName val="SHOPLIST_xls7"/>
      <sheetName val="Bill_29"/>
      <sheetName val="Ap_A8"/>
      <sheetName val="Bill_18"/>
      <sheetName val="Bill_38"/>
      <sheetName val="Bill_48"/>
      <sheetName val="Bill_58"/>
      <sheetName val="Bill_68"/>
      <sheetName val="Bill_78"/>
      <sheetName val="Invoice_Summary7"/>
      <sheetName val="beam-reinft-IIInd_floor7"/>
      <sheetName val="beam-reinft-machine_rm7"/>
      <sheetName val="PROJECT_BRIEF8"/>
      <sheetName val="C_(3)8"/>
      <sheetName val="POWER_ASSUMPTIONS7"/>
      <sheetName val="Dubai_golf7"/>
      <sheetName val="WITHOUT_C&amp;I_PROFIT_(3)6"/>
      <sheetName val="Civil_Boq6"/>
      <sheetName val="Activity_List6"/>
      <sheetName val="BILL_COV4"/>
      <sheetName val="Ra__stair4"/>
      <sheetName val="Softscape_Buildup6"/>
      <sheetName val="Mat'l_Rate6"/>
      <sheetName val="Day_work3"/>
      <sheetName val="BOQ_Direct_selling_cost2"/>
      <sheetName val="Eq__Mobilization2"/>
      <sheetName val="Working_for_RCC2"/>
      <sheetName val="B185-B-9_12"/>
      <sheetName val="B185-B-9_22"/>
      <sheetName val="CHART_OF_ACCOUNTS2"/>
      <sheetName val="E-Bill_No_6_A-O2"/>
      <sheetName val="B09_12"/>
      <sheetName val="PMWeb_data2"/>
      <sheetName val="Index_List1"/>
      <sheetName val="Type_List1"/>
      <sheetName val="File_Types1"/>
      <sheetName val="Chiet_t1"/>
      <sheetName val="Staffing_and_Rates_IA1"/>
      <sheetName val="입찰내역_발주처_양식1"/>
      <sheetName val="Material_List_1"/>
      <sheetName val="SS_MH2"/>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2_2)Revised_Cash_Flow1"/>
      <sheetName val="/VWVU))tÏØ0__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HIRED_LABOUR_CODE5"/>
      <sheetName val="PA-_Consutant_5"/>
      <sheetName val="foot-slab_reinft5"/>
      <sheetName val="BILL_COV5"/>
      <sheetName val="Activity_List7"/>
      <sheetName val="DETAILED__BOQ5"/>
      <sheetName val="M-Book_for_Conc5"/>
      <sheetName val="M-Book_for_FW5"/>
      <sheetName val="Softscape_Buildup7"/>
      <sheetName val="Mat'l_Rate7"/>
      <sheetName val="VALVE_CHAMBERS4"/>
      <sheetName val="Fire_Hydrants4"/>
      <sheetName val="B_GATE_VALVE4"/>
      <sheetName val="Sub_G1_Fire4"/>
      <sheetName val="Sub_G12_Fire4"/>
      <sheetName val="Materials_Cost(PCC)3"/>
      <sheetName val="India_F&amp;S_Template3"/>
      <sheetName val="IO_LIST3"/>
      <sheetName val="Material_3"/>
      <sheetName val="Quote_Sheet3"/>
      <sheetName val="Day_work4"/>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CHART_OF_ACCOUNTS3"/>
      <sheetName val="E-Bill_No_6_A-O3"/>
      <sheetName val="Eq__Mobilization3"/>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BOQ_Direct_selling_cost3"/>
      <sheetName val="PointNo_52"/>
      <sheetName val="Elemental_Buildup2"/>
      <sheetName val="Working_for_RCC3"/>
      <sheetName val="B185-B-9_13"/>
      <sheetName val="B185-B-9_23"/>
      <sheetName val="B09_13"/>
      <sheetName val="w't_table2"/>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Geneí¬ i_x0000__x0000_ _x0000_0."/>
      <sheetName val="70_x0000_,/0_x0000_s« i_x0000_Æø í¬ i_x0000_"/>
      <sheetName val="Mall waterproofing"/>
      <sheetName val="MSCP waterproofing"/>
      <sheetName val="-----------------"/>
      <sheetName val="70_x005f_x0000_,/0_x005f_x0000_s«_x005f_x0008_i_x"/>
      <sheetName val="Back up"/>
      <sheetName val="Summary_of_Work"/>
      <sheetName val="Employee_List"/>
      <sheetName val="XV10017"/>
      <sheetName val="[SHOPLIST.xls]70_x0000_,/0_x0000_s«_x0008_i_x0000_Æø_x0003_í¬"/>
      <sheetName val="[SHOPLIST.xls]70,/0s«iÆøí¬i"/>
      <sheetName val="PRJDATA"/>
      <sheetName val="Master"/>
      <sheetName val="合成単価作成表-BLDG"/>
      <sheetName val="BASE_APR17_HISTOGRAMS"/>
      <sheetName val="Labour &amp; Plant"/>
      <sheetName val="MA"/>
      <sheetName val="Rebars"/>
      <sheetName val="d-safe DELUXE"/>
      <sheetName val="[SHOPLIST.xls]70_x0000_,/0_x0000_s« i_x0000_Æø í¬"/>
      <sheetName val="Selections"/>
      <sheetName val="INDIGINEOUS ITEMS "/>
      <sheetName val="office"/>
      <sheetName val="Lab"/>
      <sheetName val="???? ??? ??"/>
      <sheetName val="200205C"/>
      <sheetName val="Headings"/>
      <sheetName val="Common Variables"/>
      <sheetName val="GPL Revenu Update"/>
      <sheetName val="DO NOT TOUCH"/>
      <sheetName val="Work Type"/>
      <sheetName val="References"/>
      <sheetName val="train cash"/>
      <sheetName val="accom cash"/>
      <sheetName val="ConferenceCentre_x0000_옰ʒ䄂ʒ鵠ʐ䄂ʒ"/>
      <sheetName val="Geneí¬_x0008_i_x0000__x0000__x0"/>
      <sheetName val="70_x0000_,_0_x0000_s«_x0008_i_x"/>
      <sheetName val="_x0000__x0000__x0000__x0000__x0"/>
      <sheetName val="Rate_analysis10"/>
      <sheetName val="Staff_Acco_"/>
      <sheetName val="TBAL9697_-group_wise__sdpl"/>
      <sheetName val="UOM"/>
      <sheetName val="Definitions"/>
      <sheetName val="E_&amp;_R"/>
      <sheetName val="Geneí¬_x0008_i??_x0014_?0."/>
      <sheetName val="70?,/0?s«_x0008_i?Æø_x0003_í¬_x0008_i?"/>
      <sheetName val="????????"/>
      <sheetName val="Geneí¬_x0008_i___x0014__0."/>
      <sheetName val="70_,_0_s«_x0008_i_Æø_x0003_í¬_x0008_i_"/>
      <sheetName val="________"/>
      <sheetName val="Ave.wtd.rates"/>
      <sheetName val="Debits as on 12.04.08"/>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STAFFSCHED "/>
      <sheetName val="Progress"/>
      <sheetName val="R20_R30_work"/>
      <sheetName val="FORM7"/>
      <sheetName val="TRIAL BALANCE"/>
      <sheetName val="Intro"/>
      <sheetName val="E H - H. W.P."/>
      <sheetName val="E. H. Treatment for pile cap"/>
      <sheetName val="K"/>
      <sheetName val="instructions"/>
      <sheetName val="Source"/>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COSTING"/>
      <sheetName val="ConferenceCentre?옰ʒ䄂ʒ鵠ʐ䄂ʒ閐̐脭め_x0005__x0000_"/>
      <sheetName val="Map"/>
      <sheetName val="Lookup"/>
      <sheetName val="LIST_DO_NOT_REMOVE1"/>
      <sheetName val="Project_Cost_Breakdown"/>
      <sheetName val="B6_2_1"/>
      <sheetName val="Annex_1_Sect_3a"/>
      <sheetName val="Annex_1_Sect_3a_1"/>
      <sheetName val="Annex_1_Sect_3b"/>
      <sheetName val="Annex_1_Sect_3c"/>
      <sheetName val="HOURLY_RATES"/>
      <sheetName val="Item-_Compact"/>
      <sheetName val="TESİSAT"/>
      <sheetName val="Sheet7"/>
      <sheetName val="PTS-1"/>
      <sheetName val="MEP"/>
      <sheetName val="IRR"/>
      <sheetName val="INDEX"/>
      <sheetName val="PROJECT BRIEF(EX.NEW)"/>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PA-_Consutant_6"/>
      <sheetName val="BILL_COV6"/>
      <sheetName val="Ra__stair6"/>
      <sheetName val="WITHOUT_C&amp;I_PROFIT_(3)8"/>
      <sheetName val="Civil_Boq8"/>
      <sheetName val="Activity_List8"/>
      <sheetName val="HIRED_LABOUR_CODE6"/>
      <sheetName val="foot-slab_reinft6"/>
      <sheetName val="DETAILED__BOQ6"/>
      <sheetName val="M-Book_for_Conc6"/>
      <sheetName val="M-Book_for_FW6"/>
      <sheetName val="VALVE_CHAMBERS5"/>
      <sheetName val="Fire_Hydrants5"/>
      <sheetName val="B_GATE_VALVE5"/>
      <sheetName val="Sub_G1_Fire5"/>
      <sheetName val="Sub_G12_Fire5"/>
      <sheetName val="B185-B-9_14"/>
      <sheetName val="B185-B-9_24"/>
      <sheetName val="Day_work5"/>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orking_for_RCC4"/>
      <sheetName val="Elemental_Buildup3"/>
      <sheetName val="CHART_OF_ACCOUNTS4"/>
      <sheetName val="E-Bill_No_6_A-O4"/>
      <sheetName val="PMWeb_data4"/>
      <sheetName val="SS_MH4"/>
      <sheetName val="Eq__Mobilization4"/>
      <sheetName val="w't_table3"/>
      <sheetName val="B09_14"/>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PointNo_53"/>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Employee_List1"/>
      <sheetName val="입찰내역_발주처_양식3"/>
      <sheetName val="Chiet_t3"/>
      <sheetName val="Staffing_and_Rates_IA3"/>
      <sheetName val="Summary_of_Work1"/>
      <sheetName val="/VWVU))tÏØ0__3"/>
      <sheetName val="Рабочий_лист"/>
      <sheetName val="PT_141-_Site_A_Landscape"/>
      <sheetName val="Geneí¬_i_0_"/>
      <sheetName val="70,/0s«_iÆø_í¬_i"/>
      <sheetName val="d-safe_DELUXE"/>
      <sheetName val="Rate_summary"/>
      <sheetName val="SITE_WORK"/>
      <sheetName val="RAB_AR&amp;STR"/>
      <sheetName val="Back_up"/>
      <sheetName val="INDIGINEOUS_ITEMS_"/>
      <sheetName val="Mall_waterproofing"/>
      <sheetName val="MSCP_waterproofing"/>
      <sheetName val="Duct_Accesories"/>
      <sheetName val="????_???_??"/>
      <sheetName val="Geneí¬i???0_"/>
      <sheetName val="70?,/0?s«i?Æøí¬i?"/>
      <sheetName val="train_cash"/>
      <sheetName val="accom_cash"/>
      <sheetName val="Geneí¬i_x0"/>
      <sheetName val="70,_0s«i_x"/>
      <sheetName val="_x0"/>
      <sheetName val="Geneí¬ i"/>
      <sheetName val="Cashflow projection"/>
      <sheetName val="dv_info"/>
      <sheetName val="steel total"/>
      <sheetName val="ELE BOQ"/>
      <sheetName val="CostPlan"/>
      <sheetName val="Database"/>
      <sheetName val="Coding"/>
      <sheetName val="LIST_DO_NOT_REMOVE2"/>
      <sheetName val="B6_2_2"/>
      <sheetName val="Staff_Acco_1"/>
      <sheetName val="TBAL9697_-group_wise__sdpl1"/>
      <sheetName val="Item-_Compact1"/>
      <sheetName val="E_&amp;_R1"/>
      <sheetName val="Project_Cost_Breakdown1"/>
      <sheetName val="Annex_1_Sect_3a1"/>
      <sheetName val="Annex_1_Sect_3a_11"/>
      <sheetName val="Annex_1_Sect_3b1"/>
      <sheetName val="Annex_1_Sect_3c1"/>
      <sheetName val="HOURLY_RATES1"/>
      <sheetName val="Materials_Cost(PCC)5"/>
      <sheetName val="India_F&amp;S_Template5"/>
      <sheetName val="IO_LIST5"/>
      <sheetName val="Material_5"/>
      <sheetName val="Quote_Sheet5"/>
      <sheetName val="BOQ_Direct_selling_cost5"/>
      <sheetName val="PRECAST_lightconc-II5"/>
      <sheetName val="final_abstract5"/>
      <sheetName val="[SHOPLIST_xls]70,/0s«iÆøí¬"/>
      <sheetName val="[SHOPLIST_xls]70,/0s«iÆøí¬i"/>
      <sheetName val="GPL_Revenu_Update"/>
      <sheetName val="DO_NOT_TOUCH"/>
      <sheetName val="Work_Type"/>
      <sheetName val="Labour_&amp;_Plant"/>
      <sheetName val="[SHOPLIST_xls][SHOPLIST_xls]70"/>
      <sheetName val="[SHOPLIST_xls][SHOPLIST_xls]70,"/>
      <sheetName val="Common_Variables"/>
      <sheetName val="ConferenceCentre?옰ʒ䄂ʒ鵠ʐ䄂ʒ閐̐脭め"/>
      <sheetName val="Geneí¬i___0_"/>
      <sheetName val="70_,_0_s«i_Æøí¬i_"/>
      <sheetName val="Ave_wtd_rates"/>
      <sheetName val="Debits_as_on_12_04_08"/>
      <sheetName val="STAFFSCHED_"/>
      <sheetName val="TRIAL_BALANCE"/>
      <sheetName val="PROJECT_BRIEF(EX_NEW)"/>
      <sheetName val="PE"/>
      <sheetName val="PNTEXT"/>
      <sheetName val="Resumo Empreitadas"/>
      <sheetName val="Risk Breakdown Structure"/>
      <sheetName val="Home"/>
      <sheetName val="Header"/>
      <sheetName val="Steel"/>
      <sheetName val="[SHOPLIST.xls]70"/>
      <sheetName val="[SHOPLIST.xls]70,"/>
      <sheetName val="ConferenceCentre?옰ʒ䄂ʒ鵠ʐ䄂ʒ閐̐脭め_x0005_"/>
      <sheetName val="70,"/>
      <sheetName val="Base BM-rebar"/>
      <sheetName val="Z- GENERAL PRICE SUMMARY"/>
      <sheetName val="FORM5"/>
      <sheetName val="Floor Box "/>
      <sheetName val="AC"/>
      <sheetName val="analysis"/>
      <sheetName val="calculation_LC"/>
      <sheetName val="Internet"/>
      <sheetName val="Summ"/>
      <sheetName val="Risk_Breakdown_Structure"/>
      <sheetName val="Equipment Rates"/>
      <sheetName val="AREA OF APPLICATION"/>
      <sheetName val="Base_Data"/>
      <sheetName val="P-100.MRF.DB.R1"/>
      <sheetName val="1-G1"/>
      <sheetName val="Payment"/>
      <sheetName val="Input"/>
      <sheetName val="Form 6"/>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gen"/>
      <sheetName val="Bill 8 Doors &amp; Windows"/>
      <sheetName val="Bill 9 Finishes "/>
      <sheetName val="Bill 10 Specialities"/>
      <sheetName val="[SHOPLIST.xls][SHOPLIST.xls]70_"/>
      <sheetName val="SubS2"/>
      <sheetName val="LMP"/>
      <sheetName val="PC"/>
      <sheetName val="금융비용"/>
      <sheetName val="PRL"/>
      <sheetName val="Z-_GENERAL_PRICE_SUMMARY"/>
      <sheetName val="Rates"/>
      <sheetName val="PPA Summary"/>
      <sheetName val="superseded"/>
      <sheetName val="Confidential"/>
      <sheetName val="Vendors"/>
      <sheetName val="[SHOPLIST.xls]/VW"/>
      <sheetName val="[SHOPLIST.xls]/VWVU))tÏØ0  "/>
      <sheetName val="[SHOPLIST.xls]/VWVU))tÏØ0__"/>
      <sheetName val="[SHOPLIST.xls]/VW_x0000_VU_x0000_)_x0000__x0000__x0000_)_x0000__x0000__x0000_"/>
      <sheetName val="Materials "/>
      <sheetName val="Labour"/>
      <sheetName val="MAchinery(R1)"/>
      <sheetName val="Equip"/>
      <sheetName val="Rate_analysis11"/>
      <sheetName val="Geneí¬_i"/>
      <sheetName val="Architect"/>
      <sheetName val="[SHOPLIST.xls][SHOPLIST.xls][SH"/>
      <sheetName val="Contract Division"/>
      <sheetName val="SubContract Type"/>
      <sheetName val="Service Type"/>
      <sheetName val="Interior"/>
      <sheetName val="CSC"/>
      <sheetName val="Final"/>
      <sheetName val="opstat"/>
      <sheetName val="costs"/>
      <sheetName val="Auswahl"/>
      <sheetName val="Areas_with_SF"/>
      <sheetName val="Area Breakdown PER LEVEL_LINK"/>
      <sheetName val="Lagerhalle"/>
      <sheetName val="Basisdaten"/>
      <sheetName val="CF Input"/>
      <sheetName val="Certificates"/>
      <sheetName val="DATA INPUT"/>
      <sheetName val="Vordruck-Nr. 7.1.3_D"/>
      <sheetName val="Ersatzteile"/>
      <sheetName val="A"/>
      <sheetName val="C"/>
      <sheetName val="D"/>
      <sheetName val="E"/>
      <sheetName val="G"/>
      <sheetName val="H"/>
      <sheetName val="I"/>
      <sheetName val="L"/>
      <sheetName val="M"/>
      <sheetName val="N"/>
      <sheetName val="O"/>
      <sheetName val="T"/>
      <sheetName val="U"/>
      <sheetName val="M&amp;A D"/>
      <sheetName val="M&amp;A E"/>
      <sheetName val="M&amp;A G"/>
      <sheetName val="SO"/>
      <sheetName val="1.2 Staff Schedule"/>
      <sheetName val="BaseWeight"/>
      <sheetName val="ￒlￒmￒnￒaￒSￒmￒaￒy"/>
      <sheetName val="GFA_HQ_Building16"/>
      <sheetName val="GFA_Conference15"/>
      <sheetName val="BQ_External15"/>
      <sheetName val="StattCo_yCharges14"/>
      <sheetName val="Graph_Data_(DO_NOT_PRINT)14"/>
      <sheetName val="Penthouse_Apartment14"/>
      <sheetName val="Chiet_tinh_dz2214"/>
      <sheetName val="Chiet_tinh_dz3514"/>
      <sheetName val="@risk_rents_and_incentives14"/>
      <sheetName val="Car_park_lease14"/>
      <sheetName val="Net_rent_analysis14"/>
      <sheetName val="Poz-1_14"/>
      <sheetName val="Lab_Cum_Hist14"/>
      <sheetName val="Raw_Data14"/>
      <sheetName val="LABOUR_HISTOGRAM15"/>
      <sheetName val="Bill_No__214"/>
      <sheetName val="FOL_-_Bar14"/>
      <sheetName val="CT_Thang_Mo14"/>
      <sheetName val="LEVEL_SHEET14"/>
      <sheetName val="SPT_vs_PHI14"/>
      <sheetName val="budget_summary_(2)13"/>
      <sheetName val="Budget_Analysis_Summary13"/>
      <sheetName val="Projet,_methodes_&amp;_couts13"/>
      <sheetName val="Risques_majeurs_&amp;_Frais_Ind_13"/>
      <sheetName val="Customize_Your_Invoice14"/>
      <sheetName val="HVAC_BoQ14"/>
      <sheetName val="CT__PL13"/>
      <sheetName val="Tender_Summary14"/>
      <sheetName val="Insurance_Ext14"/>
      <sheetName val="Top_sheet13"/>
      <sheetName val="intr_stool_brkup13"/>
      <sheetName val="Body_Sheet13"/>
      <sheetName val="1_0_Executive_Summary13"/>
      <sheetName val="Bill_212"/>
      <sheetName val="Ap_A11"/>
      <sheetName val="SHOPLIST_xls10"/>
      <sheetName val="Invoice_Summary10"/>
      <sheetName val="Bill_111"/>
      <sheetName val="Bill_311"/>
      <sheetName val="Bill_411"/>
      <sheetName val="Bill_511"/>
      <sheetName val="Bill_611"/>
      <sheetName val="Bill_711"/>
      <sheetName val="POWER_ASSUMPTIONS10"/>
      <sheetName val="PROJECT_BRIEF11"/>
      <sheetName val="beam-reinft-IIInd_floor10"/>
      <sheetName val="C_(3)11"/>
      <sheetName val="2_Div_14_11"/>
      <sheetName val="Dubai_golf10"/>
      <sheetName val="Activity_List9"/>
      <sheetName val="beam-reinft-machine_rm10"/>
      <sheetName val="Civil_Boq9"/>
      <sheetName val="Softscape_Buildup9"/>
      <sheetName val="Mat'l_Rate9"/>
      <sheetName val="PA-_Consutant_7"/>
      <sheetName val="WITHOUT_C&amp;I_PROFIT_(3)9"/>
      <sheetName val="DETAILED__BOQ7"/>
      <sheetName val="M-Book_for_Conc7"/>
      <sheetName val="M-Book_for_FW7"/>
      <sheetName val="HIRED_LABOUR_CODE7"/>
      <sheetName val="foot-slab_reinft7"/>
      <sheetName val="BILL_COV7"/>
      <sheetName val="Ra__stair7"/>
      <sheetName val="Materials_Cost(PCC)6"/>
      <sheetName val="India_F&amp;S_Template6"/>
      <sheetName val="IO_LIST6"/>
      <sheetName val="Material_6"/>
      <sheetName val="Quote_Sheet6"/>
      <sheetName val="Day_work6"/>
      <sheetName val="VALVE_CHAMBERS6"/>
      <sheetName val="Fire_Hydrants6"/>
      <sheetName val="B_GATE_VALVE6"/>
      <sheetName val="Sub_G1_Fire6"/>
      <sheetName val="Sub_G12_Fire6"/>
      <sheetName val="CHART_OF_ACCOUNTS5"/>
      <sheetName val="E-Bill_No_6_A-O5"/>
      <sheetName val="B185-B-9_15"/>
      <sheetName val="B185-B-9_25"/>
      <sheetName val="B09_15"/>
      <sheetName val="BOQ_Direct_selling_cost6"/>
      <sheetName val="PMWeb_data5"/>
      <sheetName val="SS_MH5"/>
      <sheetName val="Eq__Mobilization5"/>
      <sheetName val="w't_table4"/>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Elemental_Buildup4"/>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Working_for_RCC5"/>
      <sheetName val="2_2)Revised_Cash_Flow4"/>
      <sheetName val="PointNo_5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입찰내역_발주처_양식4"/>
      <sheetName val="Material_List_4"/>
      <sheetName val="/VWVU))tÏØ0__4"/>
      <sheetName val="Index_List4"/>
      <sheetName val="Type_List4"/>
      <sheetName val="File_Types4"/>
      <sheetName val="Chiet_t4"/>
      <sheetName val="Staffing_and_Rates_IA4"/>
      <sheetName val="Summary_of_Work2"/>
      <sheetName val="PRECAST_lightconc-II6"/>
      <sheetName val="final_abstract6"/>
      <sheetName val="Staff_Acco_2"/>
      <sheetName val="TBAL9697_-group_wise__sdpl2"/>
      <sheetName val="SITE_WORK1"/>
      <sheetName val="Рабочий_лист1"/>
      <sheetName val="Employee_List2"/>
      <sheetName val="E_&amp;_R2"/>
      <sheetName val="Rate_summary1"/>
      <sheetName val="d-safe_DELUXE1"/>
      <sheetName val="Back_up1"/>
      <sheetName val="PT_141-_Site_A_Landscape1"/>
      <sheetName val="RAB_AR&amp;STR1"/>
      <sheetName val="INDIGINEOUS_ITEMS_1"/>
      <sheetName val="train_cash1"/>
      <sheetName val="accom_cash1"/>
      <sheetName val="Duct_Accesories1"/>
      <sheetName val="Mall_waterproofing1"/>
      <sheetName val="MSCP_waterproofing1"/>
      <sheetName val="????_???_??1"/>
      <sheetName val="Common_Variables1"/>
      <sheetName val="[SHOPLIST_xls]70,/0s«iÆøí¬i1"/>
      <sheetName val="GPL_Revenu_Update1"/>
      <sheetName val="DO_NOT_TOUCH1"/>
      <sheetName val="Work_Type1"/>
      <sheetName val="Labour_&amp;_Plant1"/>
      <sheetName val="Ave_wtd_rates1"/>
      <sheetName val="Debits_as_on_12_04_081"/>
      <sheetName val="STAFFSCHED_1"/>
      <sheetName val="TRIAL_BALANCE1"/>
      <sheetName val="[SHOPLIST_xls][SHOPLIST_xls]701"/>
      <sheetName val="PROJECT_BRIEF(EX_NEW)1"/>
      <sheetName val="[SHOPLIST_xls]70,/0s«_iÆø_í¬"/>
      <sheetName val="AREA_OF_APPLICATION"/>
      <sheetName val="PRJ_DATA"/>
      <sheetName val="% prog figs -u5 and total"/>
      <sheetName val="rc01"/>
      <sheetName val="ConferenceCentre_x005f_x0000_옰ʒ"/>
      <sheetName val="70_x005f_x0000_,_0_x005f_x0000_"/>
      <sheetName val="Gra¦_x0004_)_x0000__x0000__x0"/>
      <sheetName val="_VW_x0000_VU_x0000_)_x0000__x"/>
      <sheetName val="_VW"/>
      <sheetName val="_VWVU))tÏØ0  "/>
      <sheetName val="_VWVU))tÏØ0__"/>
      <sheetName val="__-BLDG"/>
      <sheetName val="_x005f_x0000__x005f_x0000__x005"/>
      <sheetName val="Geneí¬_x005f_x0008_i_x000"/>
      <sheetName val="VIABILITY"/>
      <sheetName val="steel_total"/>
      <sheetName val="ELE_BOQ"/>
      <sheetName val="ACC"/>
      <sheetName val="LIST_DO_NOT_REMOVE3"/>
      <sheetName val="B6_2_3"/>
      <sheetName val="Item-_Compact2"/>
      <sheetName val="Project_Cost_Breakdown2"/>
      <sheetName val="Annex_1_Sect_3a2"/>
      <sheetName val="Annex_1_Sect_3a_12"/>
      <sheetName val="Annex_1_Sect_3b2"/>
      <sheetName val="Annex_1_Sect_3c2"/>
      <sheetName val="HOURLY_RATES2"/>
      <sheetName val="Mix Design"/>
      <sheetName val="std-rates"/>
      <sheetName val="Food"/>
      <sheetName val="SRC-B3U2"/>
      <sheetName val="C1ㅇ"/>
      <sheetName val="1_2_Staff_Schedule"/>
      <sheetName val="Attach 4-18"/>
      <sheetName val="TTL"/>
      <sheetName val="Projects"/>
      <sheetName val="Div.07 Thermal &amp; Moisture"/>
      <sheetName val="[SHOPLIST.xls]/VWVU))tÏØ0__1"/>
      <sheetName val="[SHOPLIST.xls]/VWVU))tÏØ0__2"/>
      <sheetName val="hist&amp;proj"/>
      <sheetName val="Qtys ZamZam (Del. before)"/>
      <sheetName val="Qtys Relocation (Del before)"/>
      <sheetName val=" Qtys Sub &amp; Tents (Del. before)"/>
      <sheetName val="Qtys  Signages (Del. before)"/>
      <sheetName val="Qtys Temporary Passages (Del)"/>
      <sheetName val=" Qtys Ser. Rooms (Del before)"/>
      <sheetName val="Risk_Breakdown_Structure1"/>
      <sheetName val="Gra¦)_x0"/>
      <sheetName val="_VWVU)_x"/>
      <sheetName val="Equipment_Rates"/>
      <sheetName val="mw"/>
      <sheetName val="GFA_HQ_Building17"/>
      <sheetName val="GFA_Conference16"/>
      <sheetName val="BQ_External16"/>
      <sheetName val="Graph_Data_(DO_NOT_PRINT)15"/>
      <sheetName val="StattCo_yCharges15"/>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Raw_Data15"/>
      <sheetName val="Bill_No__215"/>
      <sheetName val="CT_Thang_Mo15"/>
      <sheetName val="budget_summary_(2)14"/>
      <sheetName val="Budget_Analysis_Summary14"/>
      <sheetName val="LEVEL_SHEET15"/>
      <sheetName val="SPT_vs_PHI15"/>
      <sheetName val="CT__PL14"/>
      <sheetName val="Projet,_methodes_&amp;_couts14"/>
      <sheetName val="Risques_majeurs_&amp;_Frais_Ind_14"/>
      <sheetName val="FOL_-_Bar15"/>
      <sheetName val="intr_stool_brkup14"/>
      <sheetName val="Tender_Summary15"/>
      <sheetName val="Insurance_Ext15"/>
      <sheetName val="Customize_Your_Invoice15"/>
      <sheetName val="HVAC_BoQ15"/>
      <sheetName val="Body_Sheet14"/>
      <sheetName val="1_0_Executive_Summary14"/>
      <sheetName val="Top_sheet14"/>
      <sheetName val="Ap_A12"/>
      <sheetName val="SHOPLIST_xls11"/>
      <sheetName val="Bill_213"/>
      <sheetName val="2_Div_14_12"/>
      <sheetName val="beam-reinft-IIInd_floor11"/>
      <sheetName val="beam-reinft-machine_rm11"/>
      <sheetName val="Bill_112"/>
      <sheetName val="Bill_312"/>
      <sheetName val="Bill_412"/>
      <sheetName val="Bill_512"/>
      <sheetName val="Bill_612"/>
      <sheetName val="Bill_712"/>
      <sheetName val="POWER_ASSUMPTIONS11"/>
      <sheetName val="Invoice_Summary11"/>
      <sheetName val="PROJECT_BRIEF12"/>
      <sheetName val="Civil_Boq10"/>
      <sheetName val="C_(3)12"/>
      <sheetName val="Dubai_golf11"/>
      <sheetName val="WITHOUT_C&amp;I_PROFIT_(3)10"/>
      <sheetName val="HIRED_LABOUR_CODE8"/>
      <sheetName val="PA-_Consutant_8"/>
      <sheetName val="foot-slab_reinft8"/>
      <sheetName val="Softscape_Buildup10"/>
      <sheetName val="Mat'l_Rate10"/>
      <sheetName val="VALVE_CHAMBERS7"/>
      <sheetName val="Fire_Hydrants7"/>
      <sheetName val="B_GATE_VALVE7"/>
      <sheetName val="Sub_G1_Fire7"/>
      <sheetName val="Sub_G12_Fire7"/>
      <sheetName val="Activity_List10"/>
      <sheetName val="BILL_COV8"/>
      <sheetName val="Ra__stair8"/>
      <sheetName val="DETAILED__BOQ8"/>
      <sheetName val="M-Book_for_Conc8"/>
      <sheetName val="M-Book_for_FW8"/>
      <sheetName val="Materials_Cost(PCC)7"/>
      <sheetName val="India_F&amp;S_Template7"/>
      <sheetName val="IO_LIST7"/>
      <sheetName val="Material_7"/>
      <sheetName val="Quote_Sheet7"/>
      <sheetName val="Day_work7"/>
      <sheetName val="Working_for_RCC6"/>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Eq__Mobilization6"/>
      <sheetName val="w't_table5"/>
      <sheetName val="B185-B-9_16"/>
      <sheetName val="B185-B-9_26"/>
      <sheetName val="CHART_OF_ACCOUNTS6"/>
      <sheetName val="BOQ_Direct_selling_cost7"/>
      <sheetName val="Elemental_Buildup5"/>
      <sheetName val="PointNo_55"/>
      <sheetName val="Index_List5"/>
      <sheetName val="Type_List5"/>
      <sheetName val="File_Types5"/>
      <sheetName val="E-Bill_No_6_A-O6"/>
      <sheetName val="PMWeb_data6"/>
      <sheetName val="SS_MH6"/>
      <sheetName val="Material_List_5"/>
      <sheetName val="2_2)Revised_Cash_Flow5"/>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B09_16"/>
      <sheetName val="Project_Cost_Breakdown3"/>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LIST_DO_NOT_REMOVE4"/>
      <sheetName val="PRECAST_lightconc-II7"/>
      <sheetName val="final_abstract7"/>
      <sheetName val="Staff_Acco_3"/>
      <sheetName val="TBAL9697_-group_wise__sdpl3"/>
      <sheetName val="/VWVU))tÏØ0__5"/>
      <sheetName val="Chiet_t5"/>
      <sheetName val="Staffing_and_Rates_IA5"/>
      <sheetName val="Summary_of_Work3"/>
      <sheetName val="Employee_List3"/>
      <sheetName val="Рабочий_лист2"/>
      <sheetName val="B6_2_4"/>
      <sheetName val="Item-_Compact3"/>
      <sheetName val="E_&amp;_R3"/>
      <sheetName val="Annex_1_Sect_3a3"/>
      <sheetName val="Annex_1_Sect_3a_13"/>
      <sheetName val="Annex_1_Sect_3b3"/>
      <sheetName val="Annex_1_Sect_3c3"/>
      <sheetName val="HOURLY_RATES3"/>
      <sheetName val="SITE_WORK2"/>
      <sheetName val="d-safe_DELUXE2"/>
      <sheetName val="PT_141-_Site_A_Landscape2"/>
      <sheetName val="Rate_summary2"/>
      <sheetName val="RAB_AR&amp;STR2"/>
      <sheetName val="Back_up2"/>
      <sheetName val="train_cash2"/>
      <sheetName val="accom_cash2"/>
      <sheetName val="INDIGINEOUS_ITEMS_2"/>
      <sheetName val="Duct_Accesories2"/>
      <sheetName val="Mall_waterproofing2"/>
      <sheetName val="MSCP_waterproofing2"/>
      <sheetName val="Common_Variables2"/>
      <sheetName val="????_???_??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AREA_OF_APPLICATION1"/>
      <sheetName val="Geneí¬_i1"/>
      <sheetName val="steel_total1"/>
      <sheetName val="ELE_BOQ1"/>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Data Sheet"/>
      <sheetName val="A1-Continuous"/>
      <sheetName val="precast RC element"/>
      <sheetName val="pile Fabrication"/>
      <sheetName val="BHANDUP"/>
      <sheetName val="Floor_Box_"/>
      <sheetName val="Floor_Box_1"/>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Resumo_Empreitadas"/>
      <sheetName val="PPA_Summary"/>
      <sheetName val="Mix_Design"/>
      <sheetName val="%_prog_figs_-u5_and_total"/>
      <sheetName val="_VWVU))tÏØ0__1"/>
      <sheetName val="Dash board"/>
      <sheetName val="Site Dev BOQ"/>
      <sheetName val="door"/>
      <sheetName val="window"/>
      <sheetName val="Dropdowns"/>
      <sheetName val="Bill.10"/>
      <sheetName val="Labour Costs"/>
      <sheetName val="Flight-1"/>
      <sheetName val="LANGUAGE"/>
      <sheetName val="RMOPS"/>
      <sheetName val="Finansal tamamlanma Eğrisi"/>
      <sheetName val="Estimation"/>
      <sheetName val="Tables"/>
      <sheetName val="BQLIST"/>
      <sheetName val="CIF COST ITEM"/>
      <sheetName val="공문"/>
      <sheetName val="anti-termite"/>
      <sheetName val="slipsumpR"/>
      <sheetName val="Dropdown List"/>
      <sheetName val="做法表"/>
      <sheetName val="_SHOPLIST.xls_70"/>
      <sheetName val="_SHOPLIST.xls_70,_0s«iÆøí¬i"/>
      <sheetName val="工程量"/>
      <sheetName val="Data Validation"/>
      <sheetName val="TOSHIBA-Structure"/>
      <sheetName val="NKC6"/>
      <sheetName val="Div26 - Elect"/>
      <sheetName val="CHUNG CU CARRILON"/>
      <sheetName val="Project"/>
      <sheetName val="PRICE INFO"/>
      <sheetName val="RC SUMMARY"/>
      <sheetName val="LABOUR PRODUCTIVITY-TAV"/>
      <sheetName val="MATERIAL PRICES"/>
      <sheetName val="PDT(L)1"/>
      <sheetName val="BLOCK-A (MEA.SHEET)"/>
      <sheetName val="GFA_HQ_Building20"/>
      <sheetName val="GFA_Conference19"/>
      <sheetName val="BQ_External19"/>
      <sheetName val="Graph_Data_(DO_NOT_PRINT)18"/>
      <sheetName val="StattCo_yCharges18"/>
      <sheetName val="Penthouse_Apartment18"/>
      <sheetName val="LABOUR_HISTOGRAM19"/>
      <sheetName val="Chiet_tinh_dz2218"/>
      <sheetName val="Chiet_tinh_dz3518"/>
      <sheetName val="@risk_rents_and_incentives18"/>
      <sheetName val="Car_park_lease18"/>
      <sheetName val="Net_rent_analysis18"/>
      <sheetName val="Poz-1_18"/>
      <sheetName val="Lab_Cum_Hist18"/>
      <sheetName val="Raw_Data18"/>
      <sheetName val="Bill_No__218"/>
      <sheetName val="CT_Thang_Mo18"/>
      <sheetName val="budget_summary_(2)17"/>
      <sheetName val="Budget_Analysis_Summary17"/>
      <sheetName val="LEVEL_SHEET18"/>
      <sheetName val="SPT_vs_PHI18"/>
      <sheetName val="CT__PL17"/>
      <sheetName val="Projet,_methodes_&amp;_couts17"/>
      <sheetName val="Risques_majeurs_&amp;_Frais_Ind_17"/>
      <sheetName val="FOL_-_Bar18"/>
      <sheetName val="intr_stool_brkup17"/>
      <sheetName val="Tender_Summary18"/>
      <sheetName val="Insurance_Ext18"/>
      <sheetName val="Customize_Your_Invoice18"/>
      <sheetName val="HVAC_BoQ18"/>
      <sheetName val="Body_Sheet17"/>
      <sheetName val="1_0_Executive_Summary17"/>
      <sheetName val="Top_sheet17"/>
      <sheetName val="Ap_A15"/>
      <sheetName val="SHOPLIST_xls14"/>
      <sheetName val="Bill_216"/>
      <sheetName val="2_Div_14_15"/>
      <sheetName val="beam-reinft-IIInd_floor14"/>
      <sheetName val="beam-reinft-machine_rm14"/>
      <sheetName val="Bill_115"/>
      <sheetName val="Bill_315"/>
      <sheetName val="Bill_415"/>
      <sheetName val="Bill_515"/>
      <sheetName val="Bill_615"/>
      <sheetName val="Bill_715"/>
      <sheetName val="POWER_ASSUMPTIONS14"/>
      <sheetName val="Invoice_Summary14"/>
      <sheetName val="PROJECT_BRIEF15"/>
      <sheetName val="Civil_Boq13"/>
      <sheetName val="C_(3)15"/>
      <sheetName val="Dubai_golf14"/>
      <sheetName val="WITHOUT_C&amp;I_PROFIT_(3)13"/>
      <sheetName val="HIRED_LABOUR_CODE11"/>
      <sheetName val="PA-_Consutant_11"/>
      <sheetName val="foot-slab_reinft11"/>
      <sheetName val="Softscape_Buildup13"/>
      <sheetName val="Mat'l_Rate13"/>
      <sheetName val="VALVE_CHAMBERS10"/>
      <sheetName val="Fire_Hydrants10"/>
      <sheetName val="B_GATE_VALVE10"/>
      <sheetName val="Sub_G1_Fire10"/>
      <sheetName val="Sub_G12_Fire10"/>
      <sheetName val="Activity_List13"/>
      <sheetName val="BILL_COV11"/>
      <sheetName val="Ra__stair11"/>
      <sheetName val="DETAILED__BOQ11"/>
      <sheetName val="M-Book_for_Conc11"/>
      <sheetName val="M-Book_for_FW11"/>
      <sheetName val="Materials_Cost(PCC)10"/>
      <sheetName val="India_F&amp;S_Template10"/>
      <sheetName val="IO_LIST10"/>
      <sheetName val="Material_10"/>
      <sheetName val="Quote_Sheet10"/>
      <sheetName val="Day_work10"/>
      <sheetName val="Working_for_RCC9"/>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Elemental_Buildup8"/>
      <sheetName val="Eq__Mobilization9"/>
      <sheetName val="w't_table8"/>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BOQ_Direct_selling_cost10"/>
      <sheetName val="CHART_OF_ACCOUNTS9"/>
      <sheetName val="B185-B-9_19"/>
      <sheetName val="B185-B-9_29"/>
      <sheetName val="Material_List_8"/>
      <sheetName val="E-Bill_No_6_A-O9"/>
      <sheetName val="B09_1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PMWeb_data9"/>
      <sheetName val="PointNo_58"/>
      <sheetName val="SS_MH9"/>
      <sheetName val="2_2)Revised_Cash_Flow8"/>
      <sheetName val="입찰내역_발주처_양식8"/>
      <sheetName val="/VWVU))tÏØ0__8"/>
      <sheetName val="LIST_DO_NOT_REMOVE7"/>
      <sheetName val="Index_List8"/>
      <sheetName val="Type_List8"/>
      <sheetName val="File_Types8"/>
      <sheetName val="Chiet_t8"/>
      <sheetName val="Staffing_and_Rates_IA8"/>
      <sheetName val="B6_2_7"/>
      <sheetName val="PRECAST_lightconc-II10"/>
      <sheetName val="final_abstract10"/>
      <sheetName val="Summary_of_Work6"/>
      <sheetName val="Staff_Acco_6"/>
      <sheetName val="TBAL9697_-group_wise__sdpl6"/>
      <sheetName val="Employee_List6"/>
      <sheetName val="Project_Cost_Breakdown6"/>
      <sheetName val="Item-_Compact6"/>
      <sheetName val="E_&amp;_R6"/>
      <sheetName val="Рабочий_лист5"/>
      <sheetName val="SITE_WORK5"/>
      <sheetName val="Rate_summary5"/>
      <sheetName val="d-safe_DELUXE5"/>
      <sheetName val="Back_up5"/>
      <sheetName val="PT_141-_Site_A_Landscape5"/>
      <sheetName val="Annex_1_Sect_3a6"/>
      <sheetName val="Annex_1_Sect_3a_16"/>
      <sheetName val="Annex_1_Sect_3b6"/>
      <sheetName val="Annex_1_Sect_3c6"/>
      <sheetName val="HOURLY_RATES6"/>
      <sheetName val="RAB_AR&amp;STR5"/>
      <sheetName val="INDIGINEOUS_ITEMS_5"/>
      <sheetName val="train_cash5"/>
      <sheetName val="accom_cash5"/>
      <sheetName val="Duct_Accesories5"/>
      <sheetName val="Mall_waterproofing5"/>
      <sheetName val="MSCP_waterproofing5"/>
      <sheetName val="????_???_??5"/>
      <sheetName val="Common_Variables5"/>
      <sheetName val="[SHOPLIST_xls]70,/0s«iÆøí¬i5"/>
      <sheetName val="GPL_Revenu_Update5"/>
      <sheetName val="DO_NOT_TOUCH5"/>
      <sheetName val="Work_Type5"/>
      <sheetName val="Labour_&amp;_Plant5"/>
      <sheetName val="Ave_wtd_rates5"/>
      <sheetName val="Debits_as_on_12_04_085"/>
      <sheetName val="STAFFSCHED_5"/>
      <sheetName val="TRIAL_BALANCE5"/>
      <sheetName val="[SHOPLIST_xls][SHOPLIST_xls]705"/>
      <sheetName val="PROJECT_BRIEF(EX_NEW)5"/>
      <sheetName val="Risk_Breakdown_Structure4"/>
      <sheetName val="AREA_OF_APPLICATION4"/>
      <sheetName val="Geneí¬_i4"/>
      <sheetName val="steel_total4"/>
      <sheetName val="ELE_BOQ4"/>
      <sheetName val="Z-_GENERAL_PRICE_SUMMARY1"/>
      <sheetName val="Resumo_Empreitadas1"/>
      <sheetName val="PPA_Summary1"/>
      <sheetName val="Mix_Design1"/>
      <sheetName val="%_prog_figs_-u5_and_total1"/>
      <sheetName val="_VWVU))tÏØ0__2"/>
      <sheetName val="Floor_Box_2"/>
      <sheetName val="[SHOPLIST_xls]/VW"/>
      <sheetName val="[SHOPLIST_xls]/VWVU))tÏØ0__"/>
      <sheetName val="[SHOPLIST_xls]/VWVU))tÏØ0__1"/>
      <sheetName val="Cashflow_projection"/>
      <sheetName val="[SHOPLIST_xls][SHOPLIST_xls]70_"/>
      <sheetName val="[SHOPLIST_xls]/VWVU))"/>
      <sheetName val="E_H_-_H__W_P_"/>
      <sheetName val="E__H__Treatment_for_pile_cap"/>
      <sheetName val="[SHOPLIST_xls][SHOPLIST_xls][SH"/>
      <sheetName val="Site_Dev_BOQ"/>
      <sheetName val="allowances"/>
      <sheetName val="tender allowances"/>
      <sheetName val=" Summary BKG 034"/>
      <sheetName val="BILL 3R"/>
      <sheetName val="[SHOPLIST.xls]/VWVU))tÏØ0__3"/>
      <sheetName val="[SHOPLIST.xls]70,/0s«_iÆø_í¬_i"/>
      <sheetName val="[SHOPLIST.xls]70?,/0?s«i?Æøí¬i?"/>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Dash_board"/>
      <sheetName val="[SHOPLIST_xls]70"/>
      <sheetName val="[SHOPLIST_xls]70,"/>
      <sheetName val="Base_BM-rebar"/>
      <sheetName val="Materials_"/>
      <sheetName val="Data_Sheet"/>
      <sheetName val="tender_allowances"/>
      <sheetName val="_Summary_BKG_034"/>
      <sheetName val="BILL_3R"/>
      <sheetName val="Area_Breakdown_PER_LEVEL_LINK"/>
      <sheetName val="CF_Input"/>
      <sheetName val="DATA_INPUT"/>
      <sheetName val="Vordruck-Nr__7_1_3_D"/>
      <sheetName val="M&amp;A_D"/>
      <sheetName val="M&amp;A_E"/>
      <sheetName val="M&amp;A_G"/>
      <sheetName val="1_2_Staff_Schedule1"/>
      <sheetName val="Bill_10"/>
      <sheetName val="[SHOPLIST_xls]/VWVU))tÏØ0__11"/>
      <sheetName val="[SHOPLIST_xls]/VWVU))tÏØ0__2"/>
      <sheetName val="[SHOPLIST_xls]/VWVU))tÏØ0__3"/>
      <sheetName val="[SHOPLIST_xls]70,/0s«_iÆø_í¬_i"/>
      <sheetName val="[SHOPLIST_xls]70?,/0?s«i?Æøí¬i?"/>
      <sheetName val="Labour_Costs"/>
      <sheetName val="BLOCK-A_(MEA_SHEET)"/>
      <sheetName val="/VWVU))tÏØ0__9"/>
      <sheetName val="Cost Heading"/>
      <sheetName val="D &amp; W sizes"/>
      <sheetName val="DetEst"/>
      <sheetName val="SOPMA DD"/>
      <sheetName val="Material&amp;equipment"/>
      <sheetName val="sheet6"/>
      <sheetName val="Ewaan Show Kitchen (2)"/>
      <sheetName val="Cash Flow Working"/>
      <sheetName val="MN T.B."/>
      <sheetName val="COMPLEXALL"/>
      <sheetName val="AREAS"/>
      <sheetName val="Labour Rate "/>
      <sheetName val="(M+L)"/>
      <sheetName val="Names&amp;Cases"/>
      <sheetName val="Hic_150EOffice"/>
      <sheetName val="Results"/>
      <sheetName val="GFA_HQ_Building21"/>
      <sheetName val="GFA_Conference20"/>
      <sheetName val="BQ_External20"/>
      <sheetName val="Graph_Data_(DO_NOT_PRINT)19"/>
      <sheetName val="StattCo_yCharges19"/>
      <sheetName val="Penthouse_Apartment19"/>
      <sheetName val="LABOUR_HISTOGRAM20"/>
      <sheetName val="Chiet_tinh_dz2219"/>
      <sheetName val="Chiet_tinh_dz3519"/>
      <sheetName val="@risk_rents_and_incentives19"/>
      <sheetName val="Car_park_lease19"/>
      <sheetName val="Net_rent_analysis19"/>
      <sheetName val="Poz-1_19"/>
      <sheetName val="Lab_Cum_Hist19"/>
      <sheetName val="Raw_Data19"/>
      <sheetName val="Bill_No__219"/>
      <sheetName val="CT_Thang_Mo19"/>
      <sheetName val="budget_summary_(2)18"/>
      <sheetName val="Budget_Analysis_Summary18"/>
      <sheetName val="LEVEL_SHEET19"/>
      <sheetName val="SPT_vs_PHI19"/>
      <sheetName val="CT__PL18"/>
      <sheetName val="Projet,_methodes_&amp;_couts18"/>
      <sheetName val="Risques_majeurs_&amp;_Frais_Ind_18"/>
      <sheetName val="FOL_-_Bar19"/>
      <sheetName val="intr_stool_brkup18"/>
      <sheetName val="Tender_Summary19"/>
      <sheetName val="Insurance_Ext19"/>
      <sheetName val="Customize_Your_Invoice19"/>
      <sheetName val="HVAC_BoQ19"/>
      <sheetName val="Body_Sheet18"/>
      <sheetName val="1_0_Executive_Summary18"/>
      <sheetName val="Top_sheet18"/>
      <sheetName val="Ap_A16"/>
      <sheetName val="SHOPLIST_xls15"/>
      <sheetName val="Bill_217"/>
      <sheetName val="2_Div_14_16"/>
      <sheetName val="beam-reinft-IIInd_floor15"/>
      <sheetName val="beam-reinft-machine_rm15"/>
      <sheetName val="Bill_116"/>
      <sheetName val="Bill_316"/>
      <sheetName val="Bill_416"/>
      <sheetName val="Bill_516"/>
      <sheetName val="Bill_616"/>
      <sheetName val="Bill_716"/>
      <sheetName val="POWER_ASSUMPTIONS15"/>
      <sheetName val="Invoice_Summary15"/>
      <sheetName val="PROJECT_BRIEF16"/>
      <sheetName val="Civil_Boq14"/>
      <sheetName val="C_(3)16"/>
      <sheetName val="Dubai_golf15"/>
      <sheetName val="WITHOUT_C&amp;I_PROFIT_(3)14"/>
      <sheetName val="HIRED_LABOUR_CODE12"/>
      <sheetName val="PA-_Consutant_12"/>
      <sheetName val="foot-slab_reinft12"/>
      <sheetName val="Softscape_Buildup14"/>
      <sheetName val="Mat'l_Rate14"/>
      <sheetName val="VALVE_CHAMBERS11"/>
      <sheetName val="Fire_Hydrants11"/>
      <sheetName val="B_GATE_VALVE11"/>
      <sheetName val="Sub_G1_Fire11"/>
      <sheetName val="Sub_G12_Fire11"/>
      <sheetName val="Activity_List14"/>
      <sheetName val="BILL_COV12"/>
      <sheetName val="Ra__stair12"/>
      <sheetName val="DETAILED__BOQ12"/>
      <sheetName val="M-Book_for_Conc12"/>
      <sheetName val="M-Book_for_FW12"/>
      <sheetName val="Materials_Cost(PCC)11"/>
      <sheetName val="India_F&amp;S_Template11"/>
      <sheetName val="IO_LIST11"/>
      <sheetName val="Material_11"/>
      <sheetName val="Quote_Sheet11"/>
      <sheetName val="Day_work11"/>
      <sheetName val="Working_for_RCC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OQ_Direct_selling_cost11"/>
      <sheetName val="Eq__Mobilization10"/>
      <sheetName val="PointNo_59"/>
      <sheetName val="w't_table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B185-B-9_110"/>
      <sheetName val="B185-B-9_210"/>
      <sheetName val="CHART_OF_ACCOUNTS10"/>
      <sheetName val="Index_List9"/>
      <sheetName val="Type_List9"/>
      <sheetName val="File_Types9"/>
      <sheetName val="E-Bill_No_6_A-O10"/>
      <sheetName val="PMWeb_data10"/>
      <sheetName val="SS_MH10"/>
      <sheetName val="Material_List_9"/>
      <sheetName val="2_2)Revised_Cash_Flow9"/>
      <sheetName val="B09_110"/>
      <sheetName val="Project_Cost_Breakdown7"/>
      <sheetName val="입찰내역_발주처_양식9"/>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LIST_DO_NOT_REMOVE8"/>
      <sheetName val="PRECAST_lightconc-II11"/>
      <sheetName val="final_abstract11"/>
      <sheetName val="Staff_Acco_7"/>
      <sheetName val="TBAL9697_-group_wise__sdpl7"/>
      <sheetName val="Chiet_t9"/>
      <sheetName val="Staffing_and_Rates_IA9"/>
      <sheetName val="B6_2_8"/>
      <sheetName val="Summary_of_Work7"/>
      <sheetName val="Employee_List7"/>
      <sheetName val="Item-_Compact7"/>
      <sheetName val="E_&amp;_R7"/>
      <sheetName val="Рабочий_лист6"/>
      <sheetName val="SITE_WORK6"/>
      <sheetName val="Rate_summary6"/>
      <sheetName val="RAB_AR&amp;STR6"/>
      <sheetName val="d-safe_DELUXE6"/>
      <sheetName val="Back_up6"/>
      <sheetName val="PT_141-_Site_A_Landscape6"/>
      <sheetName val="Annex_1_Sect_3a7"/>
      <sheetName val="Annex_1_Sect_3a_17"/>
      <sheetName val="Annex_1_Sect_3b7"/>
      <sheetName val="Annex_1_Sect_3c7"/>
      <sheetName val="HOURLY_RATES7"/>
      <sheetName val="train_cash6"/>
      <sheetName val="accom_cash6"/>
      <sheetName val="INDIGINEOUS_ITEMS_6"/>
      <sheetName val="Duct_Accesories6"/>
      <sheetName val="Mall_waterproofing6"/>
      <sheetName val="MSCP_waterproofing6"/>
      <sheetName val="????_???_??6"/>
      <sheetName val="Common_Variables6"/>
      <sheetName val="[SHOPLIST_xls]70,/0s«iÆøí¬i6"/>
      <sheetName val="GPL_Revenu_Update6"/>
      <sheetName val="DO_NOT_TOUCH6"/>
      <sheetName val="Work_Type6"/>
      <sheetName val="Labour_&amp;_Plant6"/>
      <sheetName val="Ave_wtd_rates6"/>
      <sheetName val="Debits_as_on_12_04_086"/>
      <sheetName val="STAFFSCHED_6"/>
      <sheetName val="TRIAL_BALANCE6"/>
      <sheetName val="[SHOPLIST_xls][SHOPLIST_xls]706"/>
      <sheetName val="PROJECT_BRIEF(EX_NEW)6"/>
      <sheetName val="AREA_OF_APPLICATION5"/>
      <sheetName val="Risk_Breakdown_Structure5"/>
      <sheetName val="Geneí¬_i5"/>
      <sheetName val="steel_total5"/>
      <sheetName val="ELE_BOQ5"/>
      <sheetName val="Z-_GENERAL_PRICE_SUMMARY2"/>
      <sheetName val="Resumo_Empreitadas2"/>
      <sheetName val="PPA_Summary2"/>
      <sheetName val="Mix_Design2"/>
      <sheetName val="%_prog_figs_-u5_and_total2"/>
      <sheetName val="_VWVU))tÏØ0__3"/>
      <sheetName val="Floor_Box_3"/>
      <sheetName val="[SHOPLIST_xls]/VW1"/>
      <sheetName val="Equipment_Rates1"/>
      <sheetName val="Cashflow_projection1"/>
      <sheetName val="[SHOPLIST_xls][SHOPLIST_xls][S1"/>
      <sheetName val="E_H_-_H__W_P_1"/>
      <sheetName val="E__H__Treatment_for_pile_cap1"/>
      <sheetName val="[SHOPLIST_xls][SHOPLIST_xls]707"/>
      <sheetName val="Materials_1"/>
      <sheetName val="New Bld"/>
      <sheetName val="Status Summary"/>
      <sheetName val="Report"/>
      <sheetName val="DATI_CONS"/>
      <sheetName val="PROCTOR"/>
      <sheetName val="11"/>
      <sheetName val="Calculations"/>
      <sheetName val="Bill-1"/>
      <sheetName val="AOP Summary-2"/>
      <sheetName val="May 05"/>
      <sheetName val="April 05"/>
      <sheetName val="Aug 05"/>
      <sheetName val="July 05"/>
      <sheetName val="June 05"/>
      <sheetName val="Nov 05"/>
      <sheetName val="Oct 05"/>
      <sheetName val="Sep 05"/>
      <sheetName val="[SHOPLIST.xls][SHOPLIST.xls]/VW"/>
      <sheetName val="Config-C"/>
      <sheetName val="Service"/>
      <sheetName val="Data I (2)"/>
      <sheetName val="rEFERENCES "/>
      <sheetName val="DIV2"/>
      <sheetName val="DIV3"/>
      <sheetName val="DIV4"/>
      <sheetName val="DIV7"/>
      <sheetName val="DIV9"/>
      <sheetName val="KAP-2_C1_ALBAHA_GRID_POINT_NGL"/>
      <sheetName val="Detbal"/>
      <sheetName val="Harewood"/>
      <sheetName val="BOQ (2)"/>
      <sheetName val="Names"/>
      <sheetName val="LABOUR RATE"/>
      <sheetName val="Material Rate"/>
      <sheetName val="Labor abs-PW"/>
      <sheetName val="Labor abs-NMR"/>
      <sheetName val="grid"/>
      <sheetName val="para"/>
      <sheetName val="kppl pl"/>
      <sheetName val="Basic Rate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Package-2"/>
      <sheetName val="Combined Results "/>
      <sheetName val="Cashflow"/>
      <sheetName val="RA"/>
      <sheetName val="BOQp4"/>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SHOPLIST_xls][SHOPLIST_xls]708"/>
      <sheetName val="PROJECT_BRIEF(EX_NEW)7"/>
      <sheetName val="AREA_OF_APPLICATION6"/>
      <sheetName val="Risk_Breakdown_Structure6"/>
      <sheetName val="Geneí¬_i6"/>
      <sheetName val="steel_total6"/>
      <sheetName val="ELE_BOQ6"/>
      <sheetName val="Z-_GENERAL_PRICE_SUMMARY3"/>
      <sheetName val="Resumo_Empreitadas3"/>
      <sheetName val="PPA_Summary3"/>
      <sheetName val="Mix_Design3"/>
      <sheetName val="%_prog_figs_-u5_and_total3"/>
      <sheetName val="_VWVU))tÏØ0__4"/>
      <sheetName val="Floor_Box_4"/>
      <sheetName val="[SHOPLIST_xls]/VW2"/>
      <sheetName val="[SHOPLIST_xls]/VWVU))tÏØ0__4"/>
      <sheetName val="[SHOPLIST_xls]/VWVU))tÏØ0__5"/>
      <sheetName val="Equipment_Rates2"/>
      <sheetName val="Cashflow_projection2"/>
      <sheetName val="[SHOPLIST_xls][SHOPLIST_xls][S2"/>
      <sheetName val="E_H_-_H__W_P_2"/>
      <sheetName val="E__H__Treatment_for_pile_cap2"/>
      <sheetName val="[SHOPLIST_xls][SHOPLIST_xls]709"/>
      <sheetName val="Materials_2"/>
      <sheetName val="BLOCK-A_(MEA_SHEET)1"/>
      <sheetName val="1_2_Staff_Schedule2"/>
      <sheetName val="Site_Dev_BOQ1"/>
      <sheetName val="[SHOPLIST_xls]701"/>
      <sheetName val="[SHOPLIST_xls]70,1"/>
      <sheetName val="Labour_Costs1"/>
      <sheetName val="Form_61"/>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Dash_board1"/>
      <sheetName val="Base_BM-rebar1"/>
      <sheetName val="Data_Sheet1"/>
      <sheetName val="tender_allowances1"/>
      <sheetName val="_Summary_BKG_0341"/>
      <sheetName val="BILL_3R1"/>
      <sheetName val="Area_Breakdown_PER_LEVEL_LINK1"/>
      <sheetName val="CF_Input1"/>
      <sheetName val="DATA_INPUT1"/>
      <sheetName val="Vordruck-Nr__7_1_3_D1"/>
      <sheetName val="M&amp;A_D1"/>
      <sheetName val="M&amp;A_E1"/>
      <sheetName val="M&amp;A_G1"/>
      <sheetName val="Bill_101"/>
      <sheetName val="[SHOPLIST_xls]/VWVU))tÏØ0__12"/>
      <sheetName val="[SHOPLIST_xls]/VWVU))tÏØ0__21"/>
      <sheetName val="[SHOPLIST_xls]/VWVU))tÏØ0__31"/>
      <sheetName val="[SHOPLIST_xls]70,/0s«_iÆø_í¬_i1"/>
      <sheetName val="[SHOPLIST_xls]70?,/0?s«i?Æøí¬i1"/>
      <sheetName val="Contract_Division"/>
      <sheetName val="SubContract_Type"/>
      <sheetName val="Service_Type"/>
      <sheetName val="2F 회의실견적(5_14 일대)"/>
      <sheetName val=" HIT-&gt;HMC 견적(3900)"/>
      <sheetName val="STAIR-A"/>
      <sheetName val="B1"/>
      <sheetName val="Appendix B"/>
      <sheetName val="/VWVU))tÏØ0__11"/>
      <sheetName val="[SHOPLIST_xls]/VWVU))tÏØ0__6"/>
      <sheetName val="[SHOPLIST_xls]/VWVU))tÏØ0__7"/>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Dash_board2"/>
      <sheetName val="[SHOPLIST_xls]702"/>
      <sheetName val="[SHOPLIST_xls]70,2"/>
      <sheetName val="Base_BM-rebar2"/>
      <sheetName val="Site_Dev_BOQ2"/>
      <sheetName val="Data_Sheet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Balance Sheet"/>
      <sheetName val="2 Plex"/>
      <sheetName val="Sheet1 (2)"/>
      <sheetName val="4 Plex"/>
      <sheetName val="6 Plex "/>
      <sheetName val="Detailed Summary"/>
      <sheetName val="Sheet1 (3)"/>
      <sheetName val="Sheet1 (4)"/>
      <sheetName val="Print"/>
      <sheetName val="/VWVU))tÏØ0__12"/>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Rate_analysis12"/>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B09_112"/>
      <sheetName val="BOQ_Direct_selling_cost13"/>
      <sheetName val="CHART_OF_ACCOUNTS12"/>
      <sheetName val="Working_for_RCC12"/>
      <sheetName val="B185-B-9_112"/>
      <sheetName val="B185-B-9_212"/>
      <sheetName val="E-Bill_No_6_A-O12"/>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Elemental_Buildup11"/>
      <sheetName val="PointNo_511"/>
      <sheetName val="2_2)Revised_Cash_Flow11"/>
      <sheetName val="SS_MH12"/>
      <sheetName val="입찰내역_발주처_양식11"/>
      <sheetName val="Material_List_11"/>
      <sheetName val="LIST_DO_NOT_REMOVE10"/>
      <sheetName val="Index_List11"/>
      <sheetName val="Type_List11"/>
      <sheetName val="File_Types11"/>
      <sheetName val="Chiet_t11"/>
      <sheetName val="Staffing_and_Rates_IA11"/>
      <sheetName val="Project_Cost_Breakdown9"/>
      <sheetName val="PRECAST_lightconc-II13"/>
      <sheetName val="final_abstract13"/>
      <sheetName val="Staff_Acco_9"/>
      <sheetName val="TBAL9697_-group_wise__sdpl9"/>
      <sheetName val="Summary_of_Work9"/>
      <sheetName val="Employee_List9"/>
      <sheetName val="Рабочий_лист8"/>
      <sheetName val="B6_2_10"/>
      <sheetName val="Item-_Compact9"/>
      <sheetName val="E_&amp;_R9"/>
      <sheetName val="Annex_1_Sect_3a9"/>
      <sheetName val="Annex_1_Sect_3a_19"/>
      <sheetName val="Annex_1_Sect_3b9"/>
      <sheetName val="Annex_1_Sect_3c9"/>
      <sheetName val="HOURLY_RATES9"/>
      <sheetName val="SITE_WORK8"/>
      <sheetName val="d-safe_DELUXE8"/>
      <sheetName val="PT_141-_Site_A_Landscape8"/>
      <sheetName val="Rate_summary8"/>
      <sheetName val="RAB_AR&amp;STR8"/>
      <sheetName val="Back_up8"/>
      <sheetName val="train_cash8"/>
      <sheetName val="accom_cash8"/>
      <sheetName val="INDIGINEOUS_ITEMS_8"/>
      <sheetName val="Duct_Accesories8"/>
      <sheetName val="Mall_waterproofing8"/>
      <sheetName val="MSCP_waterproofing8"/>
      <sheetName val="????_???_??8"/>
      <sheetName val="Labour_&amp;_Plant8"/>
      <sheetName val="Ave_wtd_rates8"/>
      <sheetName val="Debits_as_on_12_04_088"/>
      <sheetName val="STAFFSCHED_8"/>
      <sheetName val="TRIAL_BALANCE8"/>
      <sheetName val="[SHOPLIST_xls][SHOPLIST_xls]710"/>
      <sheetName val="[SHOPLIST_xls]70,/0s«iÆøí¬i8"/>
      <sheetName val="Common_Variables8"/>
      <sheetName val="GPL_Revenu_Update8"/>
      <sheetName val="DO_NOT_TOUCH8"/>
      <sheetName val="Work_Type8"/>
      <sheetName val="PROJECT_BRIEF(EX_NEW)8"/>
      <sheetName val="AREA_OF_APPLICATION7"/>
      <sheetName val="Risk_Breakdown_Structure7"/>
      <sheetName val="Geneí¬_i7"/>
      <sheetName val="steel_total7"/>
      <sheetName val="ELE_BOQ7"/>
      <sheetName val="Z-_GENERAL_PRICE_SUMMARY4"/>
      <sheetName val="Resumo_Empreitadas4"/>
      <sheetName val="PPA_Summary4"/>
      <sheetName val="Mix_Design4"/>
      <sheetName val="%_prog_figs_-u5_and_total4"/>
      <sheetName val="_VWVU))tÏØ0__5"/>
      <sheetName val="Floor_Box_5"/>
      <sheetName val="Equipment_Rates3"/>
      <sheetName val="[SHOPLIST_xls]/VW3"/>
      <sheetName val="[SHOPLIST_xls]/VWVU))tÏØ0__8"/>
      <sheetName val="[SHOPLIST_xls]/VWVU))tÏØ0__9"/>
      <sheetName val="Cashflow_projection3"/>
      <sheetName val="[SHOPLIST_xls][SHOPLIST_xls]711"/>
      <sheetName val="E_H_-_H__W_P_3"/>
      <sheetName val="E__H__Treatment_for_pile_cap3"/>
      <sheetName val="[SHOPLIST_xls][SHOPLIST_xls][S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Dash_board3"/>
      <sheetName val="[SHOPLIST_xls]703"/>
      <sheetName val="[SHOPLIST_xls]70,3"/>
      <sheetName val="Base_BM-rebar3"/>
      <sheetName val="Materials_3"/>
      <sheetName val="Site_Dev_BOQ3"/>
      <sheetName val="Data_Sheet3"/>
      <sheetName val="tender_allowances3"/>
      <sheetName val="_Summary_BKG_0343"/>
      <sheetName val="BILL_3R3"/>
      <sheetName val="Area_Breakdown_PER_LEVEL_LINK3"/>
      <sheetName val="CF_Input3"/>
      <sheetName val="DATA_INPUT3"/>
      <sheetName val="Vordruck-Nr__7_1_3_D3"/>
      <sheetName val="M&amp;A_D3"/>
      <sheetName val="M&amp;A_E3"/>
      <sheetName val="M&amp;A_G3"/>
      <sheetName val="1_2_Staff_Schedule4"/>
      <sheetName val="Bill_103"/>
      <sheetName val="[SHOPLIST_xls]/VWVU))tÏØ0__14"/>
      <sheetName val="[SHOPLIST_xls]/VWVU))tÏØ0__23"/>
      <sheetName val="[SHOPLIST_xls]/VWVU))tÏØ0__33"/>
      <sheetName val="[SHOPLIST_xls]70,/0s«_iÆø_í¬_i3"/>
      <sheetName val="[SHOPLIST_xls]70?,/0?s«i?Æøí¬i3"/>
      <sheetName val="Labour_Costs3"/>
      <sheetName val="BLOCK-A_(MEA_SHEET)3"/>
      <sheetName val="Contract_Division1"/>
      <sheetName val="SubContract_Type1"/>
      <sheetName val="Service_Type1"/>
      <sheetName val="Cost_Heading"/>
      <sheetName val="D_&amp;_W_sizes"/>
      <sheetName val="SOPMA_DD"/>
      <sheetName val="PRICE_INFO"/>
      <sheetName val="RC_SUMMARY"/>
      <sheetName val="LABOUR_PRODUCTIVITY-TAV"/>
      <sheetName val="MATERIAL_PRICES"/>
      <sheetName val="P-100_MRF_DB_R1"/>
      <sheetName val="Attach_4-18"/>
      <sheetName val="_SHOPLIST_xls_70"/>
      <sheetName val="_SHOPLIST_xls_70,_0s«iÆøí¬i"/>
      <sheetName val="Ewaan_Show_Kitchen_(2)"/>
      <sheetName val="Cash_Flow_Working"/>
      <sheetName val="MN_T_B_"/>
      <sheetName val="Data_I_(2)"/>
      <sheetName val="rEFERENCES_"/>
      <sheetName val="Qtys_ZamZam_(Del__before)"/>
      <sheetName val="Qtys_Relocation_(Del_before)"/>
      <sheetName val="_Qtys_Sub_&amp;_Tents_(Del__before)"/>
      <sheetName val="Qtys__Signages_(Del__before)"/>
      <sheetName val="Qtys_Temporary_Passages_(Del)"/>
      <sheetName val="_Qtys_Ser__Rooms_(Del_before)"/>
      <sheetName val="Labour_Rate_"/>
      <sheetName val="2F_회의실견적(5_14_일대)"/>
      <sheetName val="_HIT-&gt;HMC_견적(3900)"/>
      <sheetName val="Appendix_B"/>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Rate_analysis14"/>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Contract_Division3"/>
      <sheetName val="SubContract_Type3"/>
      <sheetName val="Service_Type3"/>
      <sheetName val="Attach_4-182"/>
      <sheetName val="Area_Breakdown_PER_LEVEL_LINK5"/>
      <sheetName val="CF_Input5"/>
      <sheetName val="DATA_INPUT5"/>
      <sheetName val="Vordruck-Nr__7_1_3_D5"/>
      <sheetName val="M&amp;A_D5"/>
      <sheetName val="M&amp;A_E5"/>
      <sheetName val="M&amp;A_G5"/>
      <sheetName val="_SHOPLIST_xls_702"/>
      <sheetName val="_SHOPLIST_xls_70,_0s«iÆøí¬i2"/>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Contract_Division2"/>
      <sheetName val="SubContract_Type2"/>
      <sheetName val="Service_Type2"/>
      <sheetName val="Attach_4-181"/>
      <sheetName val="Area_Breakdown_PER_LEVEL_LINK4"/>
      <sheetName val="CF_Input4"/>
      <sheetName val="DATA_INPUT4"/>
      <sheetName val="Vordruck-Nr__7_1_3_D4"/>
      <sheetName val="M&amp;A_D4"/>
      <sheetName val="M&amp;A_E4"/>
      <sheetName val="M&amp;A_G4"/>
      <sheetName val="_SHOPLIST_xls_701"/>
      <sheetName val="_SHOPLIST_xls_70,_0s«iÆøí¬i1"/>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Rate_analysis13"/>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_SHOPLIST_xls_703"/>
      <sheetName val="_SHOPLIST_xls_70,_0s«iÆøí¬i3"/>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Sheet Index"/>
      <sheetName val="4"/>
      <sheetName val="Core Data"/>
      <sheetName val="Qty-UG"/>
      <sheetName val="PB"/>
      <sheetName val="02"/>
      <sheetName val="03"/>
      <sheetName val="04"/>
      <sheetName val="01"/>
      <sheetName val="钢筋"/>
      <sheetName val="PLT-SUM"/>
      <sheetName val="Summary "/>
      <sheetName val="B04-A - DIA SUDEER"/>
      <sheetName val="04D - Tanmyat"/>
      <sheetName val="13- B04-B &amp; C"/>
      <sheetName val=" SITE 09 B04-B&amp;C-AFAQ"/>
      <sheetName val="[SHOPLIST.xls]/VWVU))tÏØ0__4"/>
      <sheetName val="70_x0000_,/0_x0000_s«_x0008_i_x"/>
      <sheetName val="ConferenceCentre_x005f_x005f_x0"/>
      <sheetName val="Geneí¬_x005f_x005f_x005f_x0008_"/>
      <sheetName val="70_x005f_x005f_x005f_x0000_,_0_"/>
      <sheetName val="[SHOPLIST.xls][SHOPLIST.xls]70"/>
      <sheetName val="B-3.2 EB"/>
      <sheetName val="Ragama"/>
      <sheetName val="B-3"/>
      <sheetName val="GS"/>
      <sheetName val="1 - Main Building"/>
      <sheetName val="1 - Summary"/>
      <sheetName val="2 - Landscaping Works"/>
      <sheetName val="2 - Summary"/>
      <sheetName val="4 - Bldg Infra"/>
      <sheetName val="4 - Summary"/>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BOQ_(2)"/>
      <sheetName val="LABOUR_RATE"/>
      <sheetName val="Material_Rate"/>
      <sheetName val="Labor_abs-PW"/>
      <sheetName val="Labor_abs-NMR"/>
      <sheetName val="kppl_pl"/>
      <sheetName val="Basic_Rates"/>
      <sheetName val="Combined_Results_"/>
      <sheetName val="Div_07_Thermal_&amp;_Moisture"/>
      <sheetName val="precast_RC_element"/>
      <sheetName val="pile_Fabrication"/>
      <sheetName val="AOP_Summary-2"/>
      <sheetName val="May_05"/>
      <sheetName val="April_05"/>
      <sheetName val="Aug_05"/>
      <sheetName val="July_05"/>
      <sheetName val="June_05"/>
      <sheetName val="Nov_05"/>
      <sheetName val="Oct_05"/>
      <sheetName val="Sep_05"/>
      <sheetName val="Data_Validation"/>
      <sheetName val="Div26_-_Elect"/>
      <sheetName val="CHUNG_CU_CARRILON"/>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Data_Validation1"/>
      <sheetName val="Div26_-_Elect1"/>
      <sheetName val="CHUNG_CU_CARRILON1"/>
      <sheetName val="Trade Summary"/>
      <sheetName val="Asset Allocation (CR)"/>
      <sheetName val="Project Benchmarking"/>
      <sheetName val="Dashboard (1)"/>
      <sheetName val="Remeasure"/>
      <sheetName val="VO Agreed to Unifier Sum"/>
      <sheetName val="VO Not yet Agreed to Unifier"/>
      <sheetName val="VO Anticipated to Unifier"/>
      <sheetName val="EW to Unifier"/>
      <sheetName val="Prov Sums"/>
      <sheetName val="Claims"/>
      <sheetName val="Other Amounts"/>
      <sheetName val="Drop Down Data"/>
      <sheetName val="Rules "/>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_SHOPLIST.xls_70_x0000_,_0_x000"/>
      <sheetName val="_SHOPLIST.xls__SHOPLIST.xls_70_"/>
      <sheetName val="_SHOPLIST.xls__SHOPLIST.xls_70,"/>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Model"/>
      <sheetName val="CONSTRUCTION COMPONENT"/>
      <sheetName val="HB CEC schd 4.2"/>
      <sheetName val="HB CEC schd 4.3"/>
      <sheetName val="HB CEC schd 5.2"/>
      <sheetName val="HB CEC schd 6.2"/>
      <sheetName val="HB CEC schd 7.2"/>
      <sheetName val="HB CEC schd 9.2"/>
      <sheetName val="Doha Farm"/>
      <sheetName val="Cost_any"/>
      <sheetName val="Set"/>
      <sheetName val="L3-WBS Mapping"/>
      <sheetName val="BAFO CCL Submission"/>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SHOPLIST.xls]/VWVU))tÏØ0__5"/>
      <sheetName val="[SHOPLIST.xls]/VWVU))tÏØ0__6"/>
      <sheetName val="[SHOPLIST.xls]/VWVU))tÏØ0__7"/>
      <sheetName val="70,/0s«iÆøí¬"/>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ce"/>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Estimate for approval"/>
      <sheetName val="HWDG"/>
      <sheetName val="ARBQ"/>
      <sheetName val="P-Sum-Cab"/>
      <sheetName val="Other Cost Norms"/>
      <sheetName val="[SHOPLIST.xls]70_x0000_,/0_x0000_s«_x0008_i_x"/>
      <sheetName val="Rates for public areas"/>
      <sheetName val="Laundry"/>
      <sheetName val="[SHOPLIST.xls]/VWVU))tÏØ0__8"/>
      <sheetName val="[SHOPLIST.xls]/VWVU))tÏØ0__9"/>
      <sheetName val="MAIN SUMMARY"/>
      <sheetName val="DDL"/>
      <sheetName val="S"/>
      <sheetName val="EE-PROP"/>
      <sheetName val="Section_by_layers_old"/>
      <sheetName val="Steel-Circular"/>
      <sheetName val="Backup"/>
      <sheetName val="Det_Des"/>
      <sheetName val="Quotation FM administration"/>
      <sheetName val="Quotation"/>
      <sheetName val="Quotation Visitor and Sec"/>
      <sheetName val="Service Charge"/>
      <sheetName val="Edwards"/>
      <sheetName val="CABLES "/>
      <sheetName val="Quotation Offices 108,9,10,11)"/>
      <sheetName val="Quotation modification"/>
      <sheetName val="factor"/>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T&amp;M"/>
      <sheetName val="70_,_0_s«_x0008_i_Æø_x0003_í¬_x"/>
      <sheetName val="Geneí¬ i_x0000__x0000_ _x0000_0"/>
      <sheetName val="70_x0000_,_0_x0000_s« i_x0000_Æ"/>
      <sheetName val="____ ___ __"/>
      <sheetName val="ConferenceCentre_옰ʒ䄂ʒ鵠ʐ䄂ʒ閐̐脭め_x"/>
      <sheetName val="_SHOPLIST.xls__VW_x0000_VU_x0"/>
      <sheetName val="_SHOPLIST_xls__SHOPLIST_xls_70"/>
      <sheetName val="_SHOPLIST_xls__SHOPLIST_xls_70,"/>
      <sheetName val="Geneí¬_x005f_x005f_x005f_x005f_"/>
      <sheetName val="70_x005f_x005f_x005f_x005f_x005"/>
      <sheetName val="70,_0s«_iÆø_í¬_i"/>
      <sheetName val="___________"/>
      <sheetName val="_SHOPLIST_xls_70,_0s«iÆøí¬"/>
      <sheetName val="___________1"/>
      <sheetName val="ConferenceCentre_옰ʒ䄂ʒ鵠ʐ䄂ʒ閐̐脭め"/>
      <sheetName val="_SHOPLIST.xls_70,"/>
      <sheetName val="_SHOPLIST_xls_70,_0s«_iÆø_í¬"/>
      <sheetName val="_SHOPLIST_xls__SHOPLIST_xls_70_"/>
      <sheetName val="_SHOPLIST.xls__VW"/>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KP1590_E"/>
      <sheetName val="SCHEDULE"/>
      <sheetName val="Recon Template"/>
      <sheetName val="Build-up"/>
      <sheetName val="Estimate_for_approval"/>
      <sheetName val="Specialist"/>
      <sheetName val="Manpower"/>
      <sheetName val="Deliverables"/>
      <sheetName val="税费"/>
      <sheetName val="electrical"/>
      <sheetName val="Finansal_tamamlanma_Eğrisi"/>
      <sheetName val="New_Bld"/>
      <sheetName val="Rate_analysis15"/>
      <sheetName val="Balance_Sheet"/>
      <sheetName val="2_Plex"/>
      <sheetName val="Sheet1_(2)"/>
      <sheetName val="4_Plex"/>
      <sheetName val="6_Plex_"/>
      <sheetName val="Detailed_Summary"/>
      <sheetName val="Sheet1_(3)"/>
      <sheetName val="Sheet1_(4)"/>
      <sheetName val="P1926-H2B Pkg 2A&amp;2B"/>
      <sheetName val="P1940-H2B Pkg 1 Guestrooms"/>
      <sheetName val="P1929-DHCT"/>
      <sheetName val="1_-_Main_Building"/>
      <sheetName val="1_-_Summary"/>
      <sheetName val="2_-_Landscaping_Works"/>
      <sheetName val="2_-_Summary"/>
      <sheetName val="4_-_Bldg_Infra"/>
      <sheetName val="4_-_Summary"/>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70,/0s«i_x"/>
      <sheetName val="B-3_2_EB"/>
      <sheetName val="Dropdown_List"/>
      <sheetName val="Trade_Summary"/>
      <sheetName val="Summary_"/>
      <sheetName val="B04-A_-_DIA_SUDEER"/>
      <sheetName val="04D_-_Tanmyat"/>
      <sheetName val="13-_B04-B_&amp;_C"/>
      <sheetName val="_SITE_09_B04-B&amp;C-AFAQ"/>
      <sheetName val="[SHOPLIST_xls]/VWVU))tÏØ0__61"/>
      <sheetName val="[SHOPLIST_xls]/VWVU))tÏØ0__71"/>
      <sheetName val="Sheet_Index"/>
      <sheetName val="HB_CEC_schd_4_2"/>
      <sheetName val="HB_CEC_schd_4_3"/>
      <sheetName val="HB_CEC_schd_5_2"/>
      <sheetName val="HB_CEC_schd_6_2"/>
      <sheetName val="HB_CEC_schd_7_2"/>
      <sheetName val="HB_CEC_schd_9_2"/>
      <sheetName val="Doha_Farm"/>
      <sheetName val="Sec__A-PQ"/>
      <sheetName val="Preamble_B"/>
      <sheetName val="Sec__C-Dayworks"/>
      <sheetName val="d5_"/>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CONSTRUCTION_COMPONENT"/>
      <sheetName val="Status_Summary"/>
      <sheetName val="Dashboard_(1)"/>
      <sheetName val="VO_Agreed_to_Unifier_Sum"/>
      <sheetName val="VO_Not_yet_Agreed_to_Unifier"/>
      <sheetName val="VO_Anticipated_to_Unifier"/>
      <sheetName val="EW_to_Unifier"/>
      <sheetName val="Prov_Sums"/>
      <sheetName val="Other_Amounts"/>
      <sheetName val="Asset_Allocation_(CR)"/>
      <sheetName val="Project_Benchmarking"/>
      <sheetName val="6.2 Floor Finishes"/>
      <sheetName val="piedathot"/>
      <sheetName val="projcasflo"/>
      <sheetName val="supdata"/>
      <sheetName val="devbud"/>
      <sheetName val="Pivots"/>
      <sheetName val="Basic Rate"/>
      <sheetName val="MASTER_RATE ANALYSIS"/>
      <sheetName val="L (4)"/>
      <sheetName val="ICM"/>
      <sheetName val="B2-DV No.02"/>
      <sheetName val="主材价格"/>
      <sheetName val="_SHOPLIST.xls__SHOPLIST.xls_70"/>
      <sheetName val="ConferenceCentre_x0000_옰ʒ"/>
      <sheetName val="70_x0000_,_0_x0000_"/>
      <sheetName val="_x0000__x0000__x005"/>
      <sheetName val="Geneí¬_x0008_i_x000"/>
      <sheetName val="各楼量单项组价及与DAR单价对比"/>
      <sheetName val="Ref Arch"/>
      <sheetName val="[SHOPLIST.xls][SH"/>
      <sheetName val="[SHOPLIST.xls]70_"/>
      <sheetName val="70,/0s«iÆøí¬i1"/>
      <sheetName val="70,/0s«_iÆø_í¬"/>
      <sheetName val="70,/0s«iÆøí¬i2"/>
      <sheetName val="70,/0s«iÆøí¬i3"/>
      <sheetName val="المعادلات"/>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Bill No.1"/>
      <sheetName val="[SHOPLIST.xls]70,/0s«iÆøí¬"/>
      <sheetName val="DRUM"/>
      <sheetName val="GENERAL SUMMARY"/>
      <sheetName val="PRELIMINARIES"/>
      <sheetName val="SITE WORKS"/>
      <sheetName val="MASONRY"/>
      <sheetName val="METAL"/>
      <sheetName val="WOOD WORK"/>
      <sheetName val="THERMAL &amp; MOISTURE "/>
      <sheetName val="DOORS &amp; WINDOWS"/>
      <sheetName val="FINISHES"/>
      <sheetName val="SPECIALITIES"/>
      <sheetName val="MECHANICAL"/>
      <sheetName val="Additional Items"/>
      <sheetName val="집계표"/>
      <sheetName val="개시대사 (2)"/>
      <sheetName val="Div Summary"/>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Abs PMRL"/>
      <sheetName val="70,_0"/>
      <sheetName val="_x005"/>
      <sheetName val="Geneí¬i_x000"/>
      <sheetName val="70_,_0_s«i_Æøí¬_x"/>
      <sheetName val="Master data"/>
      <sheetName val="[SHOPLIST.xls]/VWVU))tÏØ0__10"/>
      <sheetName val="[SHOPLIST.xls]/VWVU))tÏØ0__11"/>
      <sheetName val="BOQ.1.92"/>
      <sheetName val="[SHOPLIST_xls]70_"/>
      <sheetName val="Comp equip"/>
      <sheetName val="[SHOPLIST_xls][SH"/>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May_052"/>
      <sheetName val="April_052"/>
      <sheetName val="Aug_052"/>
      <sheetName val="July_052"/>
      <sheetName val="June_052"/>
      <sheetName val="Nov_052"/>
      <sheetName val="Oct_052"/>
      <sheetName val="Sep_052"/>
      <sheetName val="New_Bld1"/>
      <sheetName val="Finansal_tamamlanma_Eğrisi1"/>
      <sheetName val="Sec__A-PQ1"/>
      <sheetName val="Preamble_B1"/>
      <sheetName val="Sec__C-Dayworks1"/>
      <sheetName val="d5_1"/>
      <sheetName val="2_Plex1"/>
      <sheetName val="Sheet1_(2)1"/>
      <sheetName val="4_Plex1"/>
      <sheetName val="6_Plex_1"/>
      <sheetName val="Detailed_Summary1"/>
      <sheetName val="Sheet1_(3)1"/>
      <sheetName val="Sheet1_(4)1"/>
      <sheetName val="HB_CEC_schd_4_21"/>
      <sheetName val="HB_CEC_schd_4_31"/>
      <sheetName val="HB_CEC_schd_5_21"/>
      <sheetName val="HB_CEC_schd_6_21"/>
      <sheetName val="HB_CEC_schd_7_21"/>
      <sheetName val="HB_CEC_schd_9_21"/>
      <sheetName val="Doha_Farm1"/>
      <sheetName val="Dropdown_List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_SHOPLIST_xls__SHOPLIST_xls_701"/>
      <sheetName val="_SHOPLIST_xls__SHOPLIST_xls_702"/>
      <sheetName val="_SHOPLIST_xls__SHOPLIST_xls_703"/>
      <sheetName val="BUAs and Sales Forecast"/>
      <sheetName val="Lagoons Breakdown Prices"/>
      <sheetName val="Cover HW Z2 "/>
      <sheetName val="TOTAL WORK"/>
      <sheetName val="part 3"/>
      <sheetName val="pile Length for Easter fence"/>
      <sheetName val="Div 10-Specialities "/>
      <sheetName val="MALE &amp; FEMALE "/>
      <sheetName val="STAFF"/>
      <sheetName val="DISABLE"/>
      <sheetName val="VIP"/>
      <sheetName val="ABLUTION"/>
      <sheetName val="JANITOR"/>
      <sheetName val="TBEAM"/>
      <sheetName val="2gii"/>
      <sheetName val="CPA33-34"/>
      <sheetName val="Indices"/>
      <sheetName val="conc-foot-gradeslab"/>
      <sheetName val=" Estimate  "/>
      <sheetName val="Equip."/>
      <sheetName val="Book1"/>
      <sheetName val="Cumulative Rail "/>
      <sheetName val="Initial Data"/>
      <sheetName val="Package Status"/>
      <sheetName val="3"/>
      <sheetName val="Appendix-A -GRAND SUMMARY"/>
      <sheetName val="D9 (New Rate)"/>
      <sheetName val="Validation"/>
      <sheetName val="Portfolio List"/>
      <sheetName val="[SHOPLIST_xls]/VWVU))tÏØ0  "/>
      <sheetName val="Staff OLD "/>
      <sheetName val="Core_Data"/>
      <sheetName val="CIF_COST_ITEM"/>
      <sheetName val="Rates_for_public_areas"/>
      <sheetName val="P1926-H2B_Pkg_2A&amp;2B"/>
      <sheetName val="P1940-H2B_Pkg_1_Guestrooms"/>
      <sheetName val="Recon_Template"/>
      <sheetName val="BoQ-22-8-2019"/>
      <sheetName val="Tech"/>
      <sheetName val="Process"/>
      <sheetName val="Refinery"/>
      <sheetName val="Fructose"/>
      <sheetName val="Utilities"/>
      <sheetName val="Pipesizes"/>
      <sheetName val="Grand Summary "/>
      <sheetName val="Bill No.01 - GI "/>
      <sheetName val="combined "/>
      <sheetName val="summary-Optional "/>
      <sheetName val="B14.02 "/>
      <sheetName val="B21"/>
      <sheetName val="B22"/>
      <sheetName val="B27"/>
      <sheetName val="Prov.Sum "/>
      <sheetName val="Contractor Application"/>
      <sheetName val="08 MEP Summary"/>
      <sheetName val="03B1"/>
      <sheetName val="03B2"/>
      <sheetName val="Addnl works"/>
      <sheetName val="VARIATIONS"/>
      <sheetName val="B3. Material on Site-Detail"/>
      <sheetName val="TABLO-3"/>
      <sheetName val="Transport"/>
      <sheetName val="Indirect"/>
      <sheetName val="Micro"/>
      <sheetName val="Wordsdata"/>
      <sheetName val="Weekly"/>
      <sheetName val="S-Curve Update"/>
      <sheetName val="Gene��_x0008_i_x0000__x0000__x0014__x0000_0."/>
      <sheetName val="intr_stool_brkup_x0000_"/>
      <sheetName val="Ledger"/>
      <sheetName val="Data "/>
      <sheetName val="WIP"/>
      <sheetName val="WATER DUCT - IC 21"/>
      <sheetName val="Asset Desc"/>
      <sheetName val="[SHOPLIST.xls]70,/0s«i_x"/>
      <sheetName val="/VWVU))"/>
      <sheetName val="701"/>
      <sheetName val="70,1"/>
      <sheetName val="[SHOPLIST_xls][S1"/>
      <sheetName val="702"/>
      <sheetName val="70,2"/>
      <sheetName val="[SHOPLIST_xls][S2"/>
      <sheetName val="Detail Page"/>
      <sheetName val="70_x0000_,/0_x0000_s�_x0008_i_x0000_��_x0003_��_x0008_i_x0000_"/>
      <sheetName val="Top_sh_x0000__x0000__x0001_Ԁ"/>
      <sheetName val="FLOOR AND CEILING"/>
      <sheetName val="area comp 2011 01 18 (2)"/>
      <sheetName val="Bill3-Basement"/>
      <sheetName val="drop down lists"/>
      <sheetName val="PH 5"/>
      <sheetName val="BM"/>
      <sheetName val="[SHOPLIST_xls][SHOPLIST_xls]/VW"/>
      <sheetName val="ورقة2"/>
      <sheetName val="LTR-2"/>
      <sheetName val="Démol."/>
      <sheetName val="Ravalement"/>
      <sheetName val="GAE8'97"/>
      <sheetName val="Overall"/>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GFA_HQ_Building31"/>
      <sheetName val="GFA_Conference30"/>
      <sheetName val="BQ_External30"/>
      <sheetName val="Penthouse_Apartment29"/>
      <sheetName val="Raw_Data29"/>
      <sheetName val="LABOUR_HISTOGRAM30"/>
      <sheetName val="StattCo_yCharges29"/>
      <sheetName val="Chiet_tinh_dz2229"/>
      <sheetName val="Chiet_tinh_dz3529"/>
      <sheetName val="CT_Thang_Mo29"/>
      <sheetName val="Graph_Data_(DO_NOT_PRINT)29"/>
      <sheetName val="@risk_rents_and_incentives29"/>
      <sheetName val="Car_park_lease29"/>
      <sheetName val="Net_rent_analysis29"/>
      <sheetName val="Poz-1_29"/>
      <sheetName val="Lab_Cum_Hist29"/>
      <sheetName val="LEVEL_SHEET29"/>
      <sheetName val="FOL_-_Bar29"/>
      <sheetName val="SPT_vs_PHI29"/>
      <sheetName val="Bill_No__229"/>
      <sheetName val="budget_summary_(2)28"/>
      <sheetName val="Budget_Analysis_Summary28"/>
      <sheetName val="Tender_Summary29"/>
      <sheetName val="Insurance_Ext29"/>
      <sheetName val="CT__PL28"/>
      <sheetName val="intr_stool_brkup28"/>
      <sheetName val="Body_Sheet28"/>
      <sheetName val="1_0_Executive_Summary28"/>
      <sheetName val="Customize_Your_Invoice29"/>
      <sheetName val="HVAC_BoQ29"/>
      <sheetName val="Projet,_methodes_&amp;_couts28"/>
      <sheetName val="Risques_majeurs_&amp;_Frais_Ind_28"/>
      <sheetName val="Top_sheet28"/>
      <sheetName val="Bill_227"/>
      <sheetName val="Bill_126"/>
      <sheetName val="Bill_326"/>
      <sheetName val="Bill_426"/>
      <sheetName val="Bill_526"/>
      <sheetName val="Bill_626"/>
      <sheetName val="Bill_726"/>
      <sheetName val="POWER_ASSUMPTIONS25"/>
      <sheetName val="Ap_A26"/>
      <sheetName val="SHOPLIST_xls25"/>
      <sheetName val="2_Div_14_26"/>
      <sheetName val="Softscape_Buildup24"/>
      <sheetName val="Mat'l_Rate24"/>
      <sheetName val="Dubai_golf25"/>
      <sheetName val="beam-reinft-IIInd_floor25"/>
      <sheetName val="beam-reinft-machine_rm25"/>
      <sheetName val="Invoice_Summary25"/>
      <sheetName val="PROJECT_BRIEF26"/>
      <sheetName val="Civil_Boq24"/>
      <sheetName val="C_(3)26"/>
      <sheetName val="HIRED_LABOUR_CODE22"/>
      <sheetName val="PA-_Consutant_22"/>
      <sheetName val="foot-slab_reinft22"/>
      <sheetName val="WITHOUT_C&amp;I_PROFIT_(3)24"/>
      <sheetName val="Activity_List24"/>
      <sheetName val="VALVE_CHAMBERS21"/>
      <sheetName val="Fire_Hydrants21"/>
      <sheetName val="B_GATE_VALVE21"/>
      <sheetName val="Sub_G1_Fire21"/>
      <sheetName val="Sub_G12_Fire21"/>
      <sheetName val="BILL_COV22"/>
      <sheetName val="Ra__stair22"/>
      <sheetName val="DETAILED__BOQ22"/>
      <sheetName val="M-Book_for_Conc22"/>
      <sheetName val="M-Book_for_FW22"/>
      <sheetName val="Materials_Cost(PCC)21"/>
      <sheetName val="India_F&amp;S_Template21"/>
      <sheetName val="IO_LIST21"/>
      <sheetName val="Material_21"/>
      <sheetName val="Quote_Sheet21"/>
      <sheetName val="Day_work21"/>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Eq__Mobilization20"/>
      <sheetName val="w't_table19"/>
      <sheetName val="BOQ_Direct_selling_cost21"/>
      <sheetName val="Elemental_Buildup19"/>
      <sheetName val="B09_120"/>
      <sheetName val="B185-B-9_120"/>
      <sheetName val="B185-B-9_220"/>
      <sheetName val="2_2)Revised_Cash_Flow19"/>
      <sheetName val="PMWeb_data20"/>
      <sheetName val="/VWVU))tÏØ0__20"/>
      <sheetName val="PointNo_519"/>
      <sheetName val="CHART_OF_ACCOUNTS20"/>
      <sheetName val="E-Bill_No_6_A-O20"/>
      <sheetName val="Working_for_RCC20"/>
      <sheetName val="Material_List_19"/>
      <sheetName val="Project_Cost_Breakdown17"/>
      <sheetName val="Index_List19"/>
      <sheetName val="Type_List19"/>
      <sheetName val="File_Types19"/>
      <sheetName val="SS_MH20"/>
      <sheetName val="입찰내역_발주처_양식19"/>
      <sheetName val="LIST_DO_NOT_REMOVE18"/>
      <sheetName val="B6_2_18"/>
      <sheetName val="PRECAST_lightconc-II21"/>
      <sheetName val="final_abstract21"/>
      <sheetName val="Summary_of_Work17"/>
      <sheetName val="Employee_List17"/>
      <sheetName val="Chiet_t19"/>
      <sheetName val="Staffing_and_Rates_IA19"/>
      <sheetName val="Item-_Compact17"/>
      <sheetName val="E_&amp;_R17"/>
      <sheetName val="Staff_Acco_17"/>
      <sheetName val="TBAL9697_-group_wise__sdpl17"/>
      <sheetName val="SITE_WORK16"/>
      <sheetName val="Рабочий_лист16"/>
      <sheetName val="Annex_1_Sect_3a17"/>
      <sheetName val="Annex_1_Sect_3a_117"/>
      <sheetName val="Annex_1_Sect_3b17"/>
      <sheetName val="Annex_1_Sect_3c17"/>
      <sheetName val="HOURLY_RATES17"/>
      <sheetName val="RAB_AR&amp;STR16"/>
      <sheetName val="Rate_summary16"/>
      <sheetName val="PT_141-_Site_A_Landscape16"/>
      <sheetName val="Labour_&amp;_Plant16"/>
      <sheetName val="Back_up16"/>
      <sheetName val="[SHOPLIST_xls][SHOPLIST_xls]726"/>
      <sheetName val="INDIGINEOUS_ITEMS_16"/>
      <sheetName val="TRIAL_BALANCE16"/>
      <sheetName val="Ave_wtd_rates16"/>
      <sheetName val="Debits_as_on_12_04_0816"/>
      <sheetName val="STAFFSCHED_16"/>
      <sheetName val="Common_Variables16"/>
      <sheetName val="d-safe_DELUXE16"/>
      <sheetName val="Mall_waterproofing16"/>
      <sheetName val="MSCP_waterproofing16"/>
      <sheetName val="Duct_Accesories16"/>
      <sheetName val="????_???_??16"/>
      <sheetName val="[SHOPLIST_xls]70,/0s«iÆøí¬i16"/>
      <sheetName val="train_cash16"/>
      <sheetName val="accom_cash16"/>
      <sheetName val="GPL_Revenu_Update16"/>
      <sheetName val="DO_NOT_TOUCH16"/>
      <sheetName val="Work_Type16"/>
      <sheetName val="Resumo_Empreitadas12"/>
      <sheetName val="PROJECT_BRIEF(EX_NEW)16"/>
      <sheetName val="Geneí¬_i15"/>
      <sheetName val="[SHOPLIST_xls]/VW11"/>
      <sheetName val="[SHOPLIST_xls]/VWVU))tÏØ0__55"/>
      <sheetName val="[SHOPLIST_xls]/VWVU))tÏØ0__56"/>
      <sheetName val="Floor_Box_13"/>
      <sheetName val="PPA_Summary12"/>
      <sheetName val="Risk_Breakdown_Structure15"/>
      <sheetName val="[SHOPLIST_xls][SHOPLIST_xls]727"/>
      <sheetName val="Equipment_Rates11"/>
      <sheetName val="Z-_GENERAL_PRICE_SUMMARY12"/>
      <sheetName val="steel_total15"/>
      <sheetName val="ELE_BOQ15"/>
      <sheetName val="Cashflow_projection11"/>
      <sheetName val="Area_Breakdown_PER_LEVEL_LINK11"/>
      <sheetName val="CF_Input11"/>
      <sheetName val="DATA_INPUT11"/>
      <sheetName val="Vordruck-Nr__7_1_3_D11"/>
      <sheetName val="M&amp;A_D11"/>
      <sheetName val="M&amp;A_E11"/>
      <sheetName val="M&amp;A_G11"/>
      <sheetName val="AREA_OF_APPLICATION15"/>
      <sheetName val="[SHOPLIST_xls]7011"/>
      <sheetName val="[SHOPLIST_xls]70,11"/>
      <sheetName val="Base_BM-rebar11"/>
      <sheetName val="Materials_11"/>
      <sheetName val="1_2_Staff_Schedule12"/>
      <sheetName val="Mix_Design12"/>
      <sheetName val="%_prog_figs_-u5_and_total12"/>
      <sheetName val="_VWVU))tÏØ0__13"/>
      <sheetName val="Service_Type9"/>
      <sheetName val="Contract_Division9"/>
      <sheetName val="SubContract_Type9"/>
      <sheetName val="_SHOPLIST_xls_708"/>
      <sheetName val="_SHOPLIST_xls_70,_0s«iÆøí¬i8"/>
      <sheetName val="E_H_-_H__W_P_11"/>
      <sheetName val="E__H__Treatment_for_pile_cap11"/>
      <sheetName val="Form_611"/>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SHOPLIST_xls][SHOPLIST_xls][11"/>
      <sheetName val="Bill_1011"/>
      <sheetName val="Cost_Heading8"/>
      <sheetName val="D_&amp;_W_sizes8"/>
      <sheetName val="SOPMA_DD8"/>
      <sheetName val="Data_Sheet11"/>
      <sheetName val="Labour_Rate_8"/>
      <sheetName val="Qtys_ZamZam_(Del__before)8"/>
      <sheetName val="Qtys_Relocation_(Del_before)8"/>
      <sheetName val="_Qtys_Sub_&amp;_Tents_(Del__before8"/>
      <sheetName val="Qtys__Signages_(Del__before)8"/>
      <sheetName val="Qtys_Temporary_Passages_(Del)8"/>
      <sheetName val="_Qtys_Ser__Rooms_(Del_before)8"/>
      <sheetName val="Data_I_(2)8"/>
      <sheetName val="rEFERENCES_8"/>
      <sheetName val="Attach_4-188"/>
      <sheetName val="Site_Dev_BOQ11"/>
      <sheetName val="Labour_Costs11"/>
      <sheetName val="[SHOPLIST_xls]/VWVU))tÏØ0__57"/>
      <sheetName val="[SHOPLIST_xls]/VWVU))tÏØ0__58"/>
      <sheetName val="[SHOPLIST_xls]/VWVU))tÏØ0__59"/>
      <sheetName val="[SHOPLIST_xls]70,/0s«_iÆø_í¬_11"/>
      <sheetName val="[SHOPLIST_xls]70?,/0?s«i?Æøí¬11"/>
      <sheetName val="PRICE_INFO8"/>
      <sheetName val="RC_SUMMARY8"/>
      <sheetName val="LABOUR_PRODUCTIVITY-TAV8"/>
      <sheetName val="MATERIAL_PRICES8"/>
      <sheetName val="P-100_MRF_DB_R18"/>
      <sheetName val="tender_allowances11"/>
      <sheetName val="_Summary_BKG_03411"/>
      <sheetName val="BILL_3R11"/>
      <sheetName val="BLOCK-A_(MEA_SHEET)11"/>
      <sheetName val="Ewaan_Show_Kitchen_(2)8"/>
      <sheetName val="Cash_Flow_Working8"/>
      <sheetName val="MN_T_B_8"/>
      <sheetName val="BOQ_(2)2"/>
      <sheetName val="LABOUR_RATE2"/>
      <sheetName val="Material_Rate2"/>
      <sheetName val="Labor_abs-PW2"/>
      <sheetName val="Labor_abs-NMR2"/>
      <sheetName val="kppl_pl2"/>
      <sheetName val="Basic_Rates2"/>
      <sheetName val="Combined_Results_2"/>
      <sheetName val="Dash_board11"/>
      <sheetName val="2F_회의실견적(5_14_일대)4"/>
      <sheetName val="_HIT-&gt;HMC_견적(3900)4"/>
      <sheetName val="Appendix_B4"/>
      <sheetName val="[SHOPLIST_xls][SHOPLIST_xls]728"/>
      <sheetName val="precast_RC_element2"/>
      <sheetName val="pile_Fabrication2"/>
      <sheetName val="Trade_Summary1"/>
      <sheetName val="Sheet_Index1"/>
      <sheetName val="[SHOPLIST_xls]/VWVU))tÏØ0__60"/>
      <sheetName val="Div_07_Thermal_&amp;_Moisture2"/>
      <sheetName val="Data_Validation2"/>
      <sheetName val="Div26_-_Elect2"/>
      <sheetName val="CHUNG_CU_CARRILON2"/>
      <sheetName val="Summary_1"/>
      <sheetName val="B04-A_-_DIA_SUDEER1"/>
      <sheetName val="04D_-_Tanmyat1"/>
      <sheetName val="13-_B04-B_&amp;_C1"/>
      <sheetName val="_SITE_09_B04-B&amp;C-AFAQ1"/>
      <sheetName val="New_Rates1"/>
      <sheetName val="[SHOPLIST_xls]/VWVU))tÏØ0__62"/>
      <sheetName val="[SHOPLIST_xls]/VWVU))tÏØ0__63"/>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B-3_2_EB1"/>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Balance_Sheet1"/>
      <sheetName val="Estimate_for_approval1"/>
      <sheetName val="CONSTRUCTION_COMPONENT1"/>
      <sheetName val="[SHOPLIST_xls]/VWVU))tÏØ0__72"/>
      <sheetName val="[SHOPLIST_xls][SHOPLIST_xls]/V1"/>
      <sheetName val="[SHOPLIST_xls][SH1"/>
      <sheetName val="___________2"/>
      <sheetName val="[SHOPLIST_xls]70_1"/>
      <sheetName val="BOQ_1_92"/>
      <sheetName val="[SHOPLIST_xls]70,/0s«i_x"/>
      <sheetName val="Drop_Down_Data"/>
      <sheetName val="Rules_"/>
      <sheetName val="Update_list"/>
      <sheetName val="Sinh_Nam_systems"/>
      <sheetName val="DIE_profile"/>
      <sheetName val="Import_tax"/>
      <sheetName val="TONG_HOP_VL-NC"/>
      <sheetName val="TONGKE3p_"/>
      <sheetName val="TH_VL,_NC,_DDHT_Thanhphuoc"/>
      <sheetName val="DON_GIA"/>
      <sheetName val="CHITIET_VL-NC"/>
      <sheetName val="TH_kinh_phi"/>
      <sheetName val="KLDT_DIEN"/>
      <sheetName val="Dinh_muc_CP_KTCB_khac"/>
      <sheetName val="_SHOPLIST_xls_70,_0_x000"/>
      <sheetName val="quotation_"/>
      <sheetName val="Bill_5_-_Carpark"/>
      <sheetName val="BOQ_-_summary__3"/>
      <sheetName val="NKSC_thue"/>
      <sheetName val="05__Data_Cash_Flow"/>
      <sheetName val="MTO_REV_2(ARMOR)"/>
      <sheetName val="Geneí¬_i_0"/>
      <sheetName val="70,_0s«_iÆ"/>
      <sheetName val="_SHOPLIST_xls__VWVU_x0"/>
      <sheetName val="_SHOPLIST_xls_70,"/>
      <sheetName val="_SHOPLIST_xls__VW"/>
      <sheetName val="_SHOPLIST_xls__VWVU))tÏØ0__"/>
      <sheetName val="_SHOPLIST_xls__VWVU))tÏØ0__1"/>
      <sheetName val="_SHOPLIST_xls__SHOPLIST_xls__SH"/>
      <sheetName val="_SHOPLIST_xls__VWVU))tÏØ0__11"/>
      <sheetName val="_SHOPLIST_xls__VWVU))tÏØ0__2"/>
      <sheetName val="_SHOPLIST_xls__VWVU))tÏØ0__3"/>
      <sheetName val="_SHOPLIST_xls_70,_0s«_iÆø_í¬_i"/>
      <sheetName val="_SHOPLIST_xls_70_,_0_s«i_Æøí¬i_"/>
      <sheetName val="_SHOPLIST_xls__VWVU))tÏØ0__4"/>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B2-DV_No_02"/>
      <sheetName val="Comp_equip"/>
      <sheetName val="L3-WBS_Mapping"/>
      <sheetName val="BAFO_CCL_Submission"/>
      <sheetName val="Abs_PMRL"/>
      <sheetName val="Other_Cost_Norms"/>
      <sheetName val="TB_ALJADA"/>
      <sheetName val="Plot_Area"/>
      <sheetName val="Closing_entries"/>
      <sheetName val="Executive_Summary"/>
      <sheetName val="Sales_Tracking_Report_(STR)"/>
      <sheetName val="Blocking_Tracking_Report_(BTR)"/>
      <sheetName val="Bill_No_1"/>
      <sheetName val="[SHOPLIST_xls]70,/0s«iÆøí¬1"/>
      <sheetName val="BORDGC"/>
      <sheetName val="d-7"/>
      <sheetName val="rate"/>
      <sheetName val="Bldg"/>
      <sheetName val="COST"/>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Account Codes"/>
      <sheetName val="[SHOPLIST.xls]/VWVU))tÏØ0__17"/>
      <sheetName val="[SHOPLIST.xls]/VWVU))tÏØ0__16"/>
      <sheetName val="[SHOPLIST.xls]/VWVU))tÏØ0__14"/>
      <sheetName val="[SHOPLIST.xls]/VWVU))tÏØ0__12"/>
      <sheetName val="[SHOPLIST.xls]/VWVU))tÏØ0__13"/>
      <sheetName val="[SHOPLIST.xls]/VWVU))tÏØ0__15"/>
      <sheetName val="[SHOPLIST.xls]/VWVU))tÏØ0__18"/>
      <sheetName val="[SHOPLIST.xls]/VWVU))tÏØ0__19"/>
      <sheetName val="[SHOPLIST.xls]70_x005f_x0000_,/0_x000"/>
      <sheetName val="SI 22"/>
      <sheetName val="TO List"/>
      <sheetName val="Qualifications"/>
      <sheetName val="CCTV DATA"/>
      <sheetName val="Contractor_Application"/>
      <sheetName val="General_Summary"/>
      <sheetName val="08_MEP_Summary"/>
      <sheetName val="Addnl_works"/>
      <sheetName val="B3__Material_on_Site-Detail"/>
      <sheetName val="SLHW"/>
      <sheetName val="ConferenceCentre_옰ʒ䄂ʒ鵠ʐ䄂ʒ閐̐脭め_x0005_"/>
      <sheetName val="_board7"/>
      <sheetName val="_boaboard (1)"/>
      <sheetName val="BULD.3"/>
      <sheetName val="BLOCK K"/>
      <sheetName val="예가표"/>
      <sheetName val="BREAKDOWN"/>
      <sheetName val="Bill 3 Boutique"/>
      <sheetName val="[SHOPLIST.xls]70___0_s__i_____2"/>
      <sheetName val="[SHOPLIST.xls]_VW__VU_________2"/>
      <sheetName val="[SHOPLIST.xls]_VW__VU_________3"/>
      <sheetName val="Drop down"/>
      <sheetName val="[SHOPLIST.xls]70___0_s__i_____3"/>
      <sheetName val="[SHOPLIST.xls][SHOPLIST.xls]7_2"/>
      <sheetName val="[SHOPLIST.xls][SHOPLIST.xls]__2"/>
      <sheetName val="[SHOPLIST.xls][SHOPLIST.xls]__3"/>
      <sheetName val="[SHOPLIST.xls][SHOPLIST.xls]__4"/>
      <sheetName val="[SHOPLIST.xls][SHOPLIST.xls]__5"/>
      <sheetName val="[SHOPLIST.xls][SHOPLIST.xls]__6"/>
      <sheetName val="[SHOPLIST.xls][SHOPLIST.xls]__7"/>
      <sheetName val="[SHOPLIST.xls][SHOPLIST.xls]7_3"/>
      <sheetName val="[SHOPLIST.xls][SHOPLIST.xls]7_4"/>
      <sheetName val="[SHOPLIST.xls][SHOPLIST.xls]__8"/>
      <sheetName val="[SHOPLIST.xls][SHOPLIST.xls]__9"/>
      <sheetName val="[SHOPLIST.xls][SHOPLIST.xls]_10"/>
      <sheetName val="[SHOPLIST.xls][SHOPLIST.xls]7_5"/>
      <sheetName val="[SHOPLIST.xls][SHOPLIST.xls]_11"/>
      <sheetName val="[SHOPLIST.xls][SHOPLIST.xls]_12"/>
      <sheetName val="[SHOPLIST.xls][SHOPLIST.xls]7_6"/>
      <sheetName val="[SHOPLIST.xls][SHOPLIST.xls]_13"/>
      <sheetName val="[SHOPLIST.xls][SHOPLIST.xls]7_7"/>
      <sheetName val="[SHOPLIST.xls][SHOPLIST.xls]_14"/>
      <sheetName val="[SHOPLIST.xls][SHOPLIST.xls]_15"/>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IO"/>
      <sheetName val="FAL intern"/>
      <sheetName val="Electrical_database"/>
      <sheetName val="MATERIALS"/>
      <sheetName val="/VWVU))tÏØ0__21"/>
      <sheetName val="Finansal_tamamlanma_Eğrisi2"/>
      <sheetName val="AOP_Summary-23"/>
      <sheetName val="2_Plex2"/>
      <sheetName val="Sheet1_(2)2"/>
      <sheetName val="4_Plex2"/>
      <sheetName val="6_Plex_2"/>
      <sheetName val="Detailed_Summary2"/>
      <sheetName val="Sheet1_(3)2"/>
      <sheetName val="Sheet1_(4)2"/>
      <sheetName val="May_053"/>
      <sheetName val="April_053"/>
      <sheetName val="Aug_053"/>
      <sheetName val="July_053"/>
      <sheetName val="June_053"/>
      <sheetName val="Nov_053"/>
      <sheetName val="Oct_053"/>
      <sheetName val="Sep_053"/>
      <sheetName val="HB_CEC_schd_4_22"/>
      <sheetName val="HB_CEC_schd_4_32"/>
      <sheetName val="HB_CEC_schd_5_22"/>
      <sheetName val="HB_CEC_schd_6_22"/>
      <sheetName val="HB_CEC_schd_7_22"/>
      <sheetName val="HB_CEC_schd_9_22"/>
      <sheetName val="Doha_Farm2"/>
      <sheetName val="Dropdown_List2"/>
      <sheetName val="New_Bld2"/>
      <sheetName val="Status_Summary2"/>
      <sheetName val="Sec__A-PQ2"/>
      <sheetName val="Preamble_B2"/>
      <sheetName val="Sec__C-Dayworks2"/>
      <sheetName val="d5_2"/>
      <sheetName val="Asset_Allocation_(CR)2"/>
      <sheetName val="Project_Benchmarking2"/>
      <sheetName val="1_-_Main_Building2"/>
      <sheetName val="1_-_Summary2"/>
      <sheetName val="2_-_Landscaping_Works2"/>
      <sheetName val="2_-_Summary2"/>
      <sheetName val="4_-_Bldg_Infra2"/>
      <sheetName val="4_-_Summary2"/>
      <sheetName val="Dashboard_(1)2"/>
      <sheetName val="VO_Agreed_to_Unifier_Sum2"/>
      <sheetName val="VO_Not_yet_Agreed_to_Unifier2"/>
      <sheetName val="VO_Anticipated_to_Unifier2"/>
      <sheetName val="EW_to_Unifier2"/>
      <sheetName val="Prov_Sums2"/>
      <sheetName val="Other_Amounts2"/>
      <sheetName val="_SHOPLIST_xls__SHOPLIST_xls_704"/>
      <sheetName val="_SHOPLIST_xls__SHOPLIST_xls_705"/>
      <sheetName val="[SHOPLIST_xls]/VWVU))tÏØ0__81"/>
      <sheetName val="[SHOPLIST_xls]/VWVU))tÏØ0__91"/>
      <sheetName val="_SHOPLIST_xls__SHOPLIST_xls_706"/>
      <sheetName val="Ref_Arch"/>
      <sheetName val="Data_"/>
      <sheetName val="SITE_WORKS"/>
      <sheetName val="WOOD_WORK"/>
      <sheetName val="THERMAL_&amp;_MOISTURE_"/>
      <sheetName val="DOORS_&amp;_WINDOWS"/>
      <sheetName val="Additional_Items"/>
      <sheetName val="L_(4)"/>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Landscape No.1"/>
      <sheetName val="MEP No.3"/>
      <sheetName val="Joseph Record"/>
      <sheetName val="Gene��_x0008_i"/>
      <sheetName val="Top_sh"/>
      <sheetName val="[SHOPLIST.xls]70,/0s«iÆøí¬i1"/>
      <sheetName val="[SHOPLIST.xls]70,/0s«_iÆø_í¬"/>
      <sheetName val="[SHOPLIST.xls]70,/0s«iÆøí¬i2"/>
      <sheetName val="[SHOPLIST.xls]70,/0s«iÆøí¬i3"/>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ummary_2"/>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National"/>
      <sheetName val="[SH"/>
      <sheetName val="70_"/>
      <sheetName val="703"/>
      <sheetName val="70,/0s«iÆøí¬i4"/>
      <sheetName val="[SHOPLIST.xls]/VW"/>
      <sheetName val="70,/0s«iÆøí¬i5"/>
      <sheetName val="Rate_analysis16"/>
      <sheetName val="Master_data"/>
      <sheetName val="Basic_Rate"/>
      <sheetName val="MASTER_RATE_ANALYSIS"/>
      <sheetName val="MAIN_SUMMARY"/>
      <sheetName val="[SHOPLIST_xls]/VWVU))tÏØ0__64"/>
      <sheetName val="[SHOPLIST_xls]/VWVU))tÏØ0__65"/>
      <sheetName val="개시대사_(2)"/>
      <sheetName val="6_2_Floor_Finishes"/>
      <sheetName val="Cumulative_Rail_"/>
      <sheetName val="[SHOPLIST_xls]/VWVU))tÏØ0__66"/>
      <sheetName val="Staff_OLD_"/>
      <sheetName val="[SHOPLIST.xls]70_x005f_x0000___0_x0_2"/>
      <sheetName val="Top_s灨ὔ밀ὔ턀"/>
      <sheetName val="Top_s๨ꫝ_x0000__x0000_퀀"/>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BQMPALOC"/>
      <sheetName val="COLUMNS"/>
      <sheetName val="VESSELS "/>
      <sheetName val="[SHOPLIST.xls][SHOPLIST.xls]70?"/>
      <sheetName val="Item List OLD"/>
      <sheetName val="KEYFIGURES"/>
      <sheetName val="CIF_COST_ITEM1"/>
      <sheetName val="Rates_for_public_areas1"/>
      <sheetName val="Comp_equip1"/>
      <sheetName val="Contractor_Application1"/>
      <sheetName val="08_MEP_Summary1"/>
      <sheetName val="Addnl_works1"/>
      <sheetName val="B3__Material_on_Site-Detail1"/>
      <sheetName val="[SHOPLIST_xls]70_x005f_x0000_,/0_x000"/>
      <sheetName val="Grand_Summary_"/>
      <sheetName val="Bill_No_01_-_GI_"/>
      <sheetName val="combined_"/>
      <sheetName val="summary-Optional_"/>
      <sheetName val="B14_02_"/>
      <sheetName val="Prov_Sum_"/>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SI_22"/>
      <sheetName val="TO_List"/>
      <sheetName val="CCTV_DATA"/>
      <sheetName val="Initial_Data"/>
      <sheetName val="Package_Status"/>
      <sheetName val="Appendix-A_-GRAND_SUMMARY"/>
      <sheetName val="D9_(New_Rate)"/>
      <sheetName val="_boaboard_(1)"/>
      <sheetName val="Gene��i0_"/>
      <sheetName val="70,/0s�i����i"/>
      <sheetName val="Top_shԀ"/>
      <sheetName val="Portfolio_List"/>
      <sheetName val="_Estimate__"/>
      <sheetName val="Equip_"/>
      <sheetName val="Div_Summary"/>
      <sheetName val="Detail_Page"/>
      <sheetName val="MI"/>
      <sheetName val="GFA_HQ_Building32"/>
      <sheetName val="GFA_Conference31"/>
      <sheetName val="BQ_External31"/>
      <sheetName val="Graph_Data_(DO_NOT_PRINT)30"/>
      <sheetName val="StattCo_yCharges30"/>
      <sheetName val="Penthouse_Apartment30"/>
      <sheetName val="LABOUR_HISTOGRAM31"/>
      <sheetName val="Chiet_tinh_dz2230"/>
      <sheetName val="Chiet_tinh_dz3530"/>
      <sheetName val="@risk_rents_and_incentives30"/>
      <sheetName val="Car_park_lease30"/>
      <sheetName val="Net_rent_analysis30"/>
      <sheetName val="Poz-1_30"/>
      <sheetName val="Lab_Cum_Hist30"/>
      <sheetName val="Raw_Data30"/>
      <sheetName val="Bill_No__230"/>
      <sheetName val="CT_Thang_Mo30"/>
      <sheetName val="budget_summary_(2)29"/>
      <sheetName val="Budget_Analysis_Summary29"/>
      <sheetName val="LEVEL_SHEET30"/>
      <sheetName val="SPT_vs_PHI30"/>
      <sheetName val="CT__PL29"/>
      <sheetName val="Projet,_methodes_&amp;_couts29"/>
      <sheetName val="Risques_majeurs_&amp;_Frais_Ind_29"/>
      <sheetName val="FOL_-_Bar30"/>
      <sheetName val="intr_stool_brkup29"/>
      <sheetName val="Tender_Summary30"/>
      <sheetName val="Insurance_Ext30"/>
      <sheetName val="Customize_Your_Invoice30"/>
      <sheetName val="HVAC_BoQ30"/>
      <sheetName val="Body_Sheet29"/>
      <sheetName val="1_0_Executive_Summary29"/>
      <sheetName val="Top_sheet29"/>
      <sheetName val="Ap_A27"/>
      <sheetName val="SHOPLIST_xls26"/>
      <sheetName val="Bill_228"/>
      <sheetName val="2_Div_14_27"/>
      <sheetName val="beam-reinft-IIInd_floor26"/>
      <sheetName val="beam-reinft-machine_rm26"/>
      <sheetName val="Bill_127"/>
      <sheetName val="Bill_327"/>
      <sheetName val="Bill_427"/>
      <sheetName val="Bill_527"/>
      <sheetName val="Bill_627"/>
      <sheetName val="Bill_727"/>
      <sheetName val="POWER_ASSUMPTIONS26"/>
      <sheetName val="Invoice_Summary26"/>
      <sheetName val="PROJECT_BRIEF27"/>
      <sheetName val="Civil_Boq25"/>
      <sheetName val="C_(3)27"/>
      <sheetName val="Dubai_golf26"/>
      <sheetName val="WITHOUT_C&amp;I_PROFIT_(3)25"/>
      <sheetName val="HIRED_LABOUR_CODE23"/>
      <sheetName val="PA-_Consutant_23"/>
      <sheetName val="foot-slab_reinft23"/>
      <sheetName val="Softscape_Buildup25"/>
      <sheetName val="Mat'l_Rate25"/>
      <sheetName val="VALVE_CHAMBERS22"/>
      <sheetName val="Fire_Hydrants22"/>
      <sheetName val="B_GATE_VALVE22"/>
      <sheetName val="Sub_G1_Fire22"/>
      <sheetName val="Sub_G12_Fire22"/>
      <sheetName val="Activity_List25"/>
      <sheetName val="BILL_COV23"/>
      <sheetName val="Ra__stair23"/>
      <sheetName val="DETAILED__BOQ23"/>
      <sheetName val="M-Book_for_Conc23"/>
      <sheetName val="M-Book_for_FW23"/>
      <sheetName val="Materials_Cost(PCC)22"/>
      <sheetName val="India_F&amp;S_Template22"/>
      <sheetName val="IO_LIST22"/>
      <sheetName val="Material_22"/>
      <sheetName val="Quote_Sheet22"/>
      <sheetName val="Day_work22"/>
      <sheetName val="Working_for_RCC21"/>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Elemental_Buildup20"/>
      <sheetName val="Eq__Mobilization21"/>
      <sheetName val="w't_table20"/>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BOQ_Direct_selling_cost22"/>
      <sheetName val="CHART_OF_ACCOUNTS21"/>
      <sheetName val="B185-B-9_121"/>
      <sheetName val="B185-B-9_221"/>
      <sheetName val="Material_List_20"/>
      <sheetName val="E-Bill_No_6_A-O21"/>
      <sheetName val="/VWVU))tÏØ0__23"/>
      <sheetName val="B09_121"/>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PMWeb_data21"/>
      <sheetName val="PointNo_520"/>
      <sheetName val="SS_MH21"/>
      <sheetName val="2_2)Revised_Cash_Flow20"/>
      <sheetName val="입찰내역_발주처_양식20"/>
      <sheetName val="/VWVU))tÏØ0__22"/>
      <sheetName val="LIST_DO_NOT_REMOVE19"/>
      <sheetName val="Index_List20"/>
      <sheetName val="Type_List20"/>
      <sheetName val="File_Types20"/>
      <sheetName val="Chiet_t20"/>
      <sheetName val="Staffing_and_Rates_IA20"/>
      <sheetName val="Employee_List18"/>
      <sheetName val="PRECAST_lightconc-II22"/>
      <sheetName val="final_abstract22"/>
      <sheetName val="B6_2_19"/>
      <sheetName val="Project_Cost_Breakdown18"/>
      <sheetName val="Summary_of_Work18"/>
      <sheetName val="Item-_Compact18"/>
      <sheetName val="E_&amp;_R18"/>
      <sheetName val="Staff_Acco_18"/>
      <sheetName val="TBAL9697_-group_wise__sdpl18"/>
      <sheetName val="SITE_WORK17"/>
      <sheetName val="Рабочий_лист17"/>
      <sheetName val="PT_141-_Site_A_Landscape17"/>
      <sheetName val="Rate_summary17"/>
      <sheetName val="Annex_1_Sect_3a18"/>
      <sheetName val="Annex_1_Sect_3a_118"/>
      <sheetName val="Annex_1_Sect_3b18"/>
      <sheetName val="Annex_1_Sect_3c18"/>
      <sheetName val="HOURLY_RATES18"/>
      <sheetName val="RAB_AR&amp;STR17"/>
      <sheetName val="d-safe_DELUXE17"/>
      <sheetName val="Back_up17"/>
      <sheetName val="INDIGINEOUS_ITEMS_17"/>
      <sheetName val="train_cash17"/>
      <sheetName val="accom_cash17"/>
      <sheetName val="Mall_waterproofing17"/>
      <sheetName val="MSCP_waterproofing17"/>
      <sheetName val="Duct_Accesories17"/>
      <sheetName val="????_???_??17"/>
      <sheetName val="Labour_&amp;_Plant17"/>
      <sheetName val="Ave_wtd_rates17"/>
      <sheetName val="Debits_as_on_12_04_0817"/>
      <sheetName val="STAFFSCHED_17"/>
      <sheetName val="TRIAL_BALANCE17"/>
      <sheetName val="[SHOPLIST_xls][SHOPLIST_xls]729"/>
      <sheetName val="Common_Variables17"/>
      <sheetName val="[SHOPLIST_xls]70,/0s«iÆøí¬i17"/>
      <sheetName val="GPL_Revenu_Update17"/>
      <sheetName val="DO_NOT_TOUCH17"/>
      <sheetName val="Work_Type17"/>
      <sheetName val="PROJECT_BRIEF(EX_NEW)17"/>
      <sheetName val="AREA_OF_APPLICATION16"/>
      <sheetName val="Risk_Breakdown_Structure16"/>
      <sheetName val="Geneí¬_i16"/>
      <sheetName val="steel_total16"/>
      <sheetName val="ELE_BOQ16"/>
      <sheetName val="Z-_GENERAL_PRICE_SUMMARY13"/>
      <sheetName val="PPA_Summary13"/>
      <sheetName val="Mix_Design13"/>
      <sheetName val="Resumo_Empreitadas13"/>
      <sheetName val="%_prog_figs_-u5_and_total13"/>
      <sheetName val="_VWVU))tÏØ0__14"/>
      <sheetName val="Floor_Box_14"/>
      <sheetName val="Equipment_Rates12"/>
      <sheetName val="[SHOPLIST_xls]/VW12"/>
      <sheetName val="Cashflow_projection12"/>
      <sheetName val="[SHOPLIST_xls][SHOPLIST_xls]730"/>
      <sheetName val="E_H_-_H__W_P_12"/>
      <sheetName val="E__H__Treatment_for_pile_cap12"/>
      <sheetName val="[SHOPLIST_xls][SHOPLIST_xls][12"/>
      <sheetName val="Materials_12"/>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Dash_board12"/>
      <sheetName val="[SHOPLIST_xls]7012"/>
      <sheetName val="[SHOPLIST_xls]70,12"/>
      <sheetName val="Base_BM-rebar12"/>
      <sheetName val="Site_Dev_BOQ12"/>
      <sheetName val="Data_Sheet12"/>
      <sheetName val="tender_allowances12"/>
      <sheetName val="_Summary_BKG_03412"/>
      <sheetName val="BILL_3R12"/>
      <sheetName val="Area_Breakdown_PER_LEVEL_LINK12"/>
      <sheetName val="CF_Input12"/>
      <sheetName val="DATA_INPUT12"/>
      <sheetName val="Vordruck-Nr__7_1_3_D12"/>
      <sheetName val="M&amp;A_D12"/>
      <sheetName val="M&amp;A_E12"/>
      <sheetName val="M&amp;A_G12"/>
      <sheetName val="1_2_Staff_Schedule13"/>
      <sheetName val="Bill_1012"/>
      <sheetName val="[SHOPLIST_xls]/VWVU))tÏØ0__67"/>
      <sheetName val="[SHOPLIST_xls]70,/0s«_iÆø_í¬_12"/>
      <sheetName val="[SHOPLIST_xls]70?,/0?s«i?Æøí¬12"/>
      <sheetName val="Labour_Costs12"/>
      <sheetName val="BLOCK-A_(MEA_SHEET)12"/>
      <sheetName val="Cost_Heading9"/>
      <sheetName val="Labour_Rate_9"/>
      <sheetName val="D_&amp;_W_sizes9"/>
      <sheetName val="SOPMA_DD9"/>
      <sheetName val="PRICE_INFO9"/>
      <sheetName val="RC_SUMMARY9"/>
      <sheetName val="LABOUR_PRODUCTIVITY-TAV9"/>
      <sheetName val="MATERIAL_PRICES9"/>
      <sheetName val="P-100_MRF_DB_R19"/>
      <sheetName val="Contract_Division10"/>
      <sheetName val="SubContract_Type10"/>
      <sheetName val="Service_Type10"/>
      <sheetName val="Attach_4-189"/>
      <sheetName val="_SHOPLIST_xls_709"/>
      <sheetName val="_SHOPLIST_xls_70,_0s«iÆøí¬i9"/>
      <sheetName val="Ewaan_Show_Kitchen_(2)9"/>
      <sheetName val="Cash_Flow_Working9"/>
      <sheetName val="MN_T_B_9"/>
      <sheetName val="Data_I_(2)9"/>
      <sheetName val="rEFERENCES_9"/>
      <sheetName val="Qtys_ZamZam_(Del__before)9"/>
      <sheetName val="Qtys_Relocation_(Del_before)9"/>
      <sheetName val="_Qtys_Sub_&amp;_Tents_(Del__before9"/>
      <sheetName val="Qtys__Signages_(Del__before)9"/>
      <sheetName val="Qtys_Temporary_Passages_(Del)9"/>
      <sheetName val="_Qtys_Ser__Rooms_(Del_before)9"/>
      <sheetName val="2F_회의실견적(5_14_일대)5"/>
      <sheetName val="_HIT-&gt;HMC_견적(3900)5"/>
      <sheetName val="Appendix_B5"/>
      <sheetName val="Div_07_Thermal_&amp;_Moisture3"/>
      <sheetName val="BOQ_(2)3"/>
      <sheetName val="LABOUR_RATE3"/>
      <sheetName val="Material_Rate3"/>
      <sheetName val="Labor_abs-PW3"/>
      <sheetName val="Labor_abs-NMR3"/>
      <sheetName val="kppl_pl3"/>
      <sheetName val="Basic_Rates3"/>
      <sheetName val="Combined_Results_3"/>
      <sheetName val="precast_RC_element3"/>
      <sheetName val="pile_Fabrication3"/>
      <sheetName val="Data_Validation3"/>
      <sheetName val="Div26_-_Elect3"/>
      <sheetName val="CHUNG_CU_CARRILON3"/>
      <sheetName val="[SHOPLIST_xls][SHOPLIST_xls]731"/>
      <sheetName val="[SHOPLIST_xls]/VWVU))tÏØ0__68"/>
      <sheetName val="Core_Data1"/>
      <sheetName val="[SHOPLIST_xls]/VWVU))tÏØ0__69"/>
      <sheetName val="[SHOPLIST_xls]/VWVU))tÏØ0__70"/>
      <sheetName val="Abs_PMRL1"/>
      <sheetName val="Recon_Template1"/>
      <sheetName val="Finansal_tamamlanma_Eğrisi3"/>
      <sheetName val="New_Bld3"/>
      <sheetName val="HB_CEC_schd_4_23"/>
      <sheetName val="HB_CEC_schd_4_33"/>
      <sheetName val="HB_CEC_schd_5_23"/>
      <sheetName val="HB_CEC_schd_6_23"/>
      <sheetName val="HB_CEC_schd_7_23"/>
      <sheetName val="HB_CEC_schd_9_23"/>
      <sheetName val="Doha_Farm3"/>
      <sheetName val="Dropdown_List3"/>
      <sheetName val="Drop_Down_Data1"/>
      <sheetName val="Rules_1"/>
      <sheetName val="Update_list1"/>
      <sheetName val="Sinh_Nam_systems1"/>
      <sheetName val="DIE_profile1"/>
      <sheetName val="Import_tax1"/>
      <sheetName val="TONG_HOP_VL-NC1"/>
      <sheetName val="TONGKE3p_1"/>
      <sheetName val="TH_VL,_NC,_DDHT_Thanhphuoc1"/>
      <sheetName val="DON_GIA1"/>
      <sheetName val="CHITIET_VL-NC1"/>
      <sheetName val="TH_kinh_phi1"/>
      <sheetName val="KLDT_DIEN1"/>
      <sheetName val="Dinh_muc_CP_KTCB_khac1"/>
      <sheetName val="quotation_1"/>
      <sheetName val="Bill_5_-_Carpark1"/>
      <sheetName val="BOQ_-_summary__31"/>
      <sheetName val="NKSC_thue1"/>
      <sheetName val="05__Data_Cash_Flow1"/>
      <sheetName val="MTO_REV_2(ARMOR)1"/>
      <sheetName val="L3-WBS_Mapping1"/>
      <sheetName val="BAFO_CCL_Submission1"/>
      <sheetName val="[SHOPLIST_xls]/VWVU))tÏØ0__82"/>
      <sheetName val="[SHOPLIST_xls]/VWVU))tÏØ0__92"/>
      <sheetName val="P1926-H2B_Pkg_2A&amp;2B1"/>
      <sheetName val="P1940-H2B_Pkg_1_Guestrooms1"/>
      <sheetName val="BOQ_1_921"/>
      <sheetName val="[SHOPLIST_xls]/VWVU))tÏØ0__73"/>
      <sheetName val="[SHOPLIST_xls]/VWVU))tÏØ0__74"/>
      <sheetName val="[SHOPLIST_xls]/VWVU))tÏØ0__75"/>
      <sheetName val="Joseph_Record"/>
      <sheetName val="[SHOPLIST.xls]70___0_s__i_____4"/>
      <sheetName val="[SHOPLIST.xls][SHOPLIST_xls]7_2"/>
      <sheetName val="[SHOPLIST.xls][SHOPLIST_xls]7_3"/>
      <sheetName val="[SHOPLIST.xls][SHOPLIST_xls]7_4"/>
      <sheetName val="[SHOPLIST.xls][SHOPLIST_xls]7_5"/>
      <sheetName val="[SHOPLIST.xls][SHOPLIST_xls]7_6"/>
      <sheetName val="[SHOPLIST.xls][SHOPLIST_xls]7_7"/>
      <sheetName val="[SHOPLIST.xls][SHOPLIST_xls]7_8"/>
      <sheetName val="[SHOPLIST.xls][SHOPLIST_xls]7_9"/>
      <sheetName val="[SHOPLIST.xls][SHOPLIST_xls]__2"/>
      <sheetName val="[SHOPLIST.xls][SHOPLIST_xls]__3"/>
      <sheetName val="[SHOPLIST.xls][SHOPLIST_xls]__4"/>
      <sheetName val="[SHOPLIST.xls][SHOPLIST_xls]__5"/>
      <sheetName val="[SHOPLIST.xls][SHOPLIST_xls]__6"/>
      <sheetName val="[SHOPLIST.xls][SHOPLIST_xls]__7"/>
      <sheetName val="[SHOPLIST.xls][SHOPLIST_xls]__8"/>
      <sheetName val="[SHOPLIST.xls][SHOPLIST_xls]_10"/>
      <sheetName val="[SHOPLIST.xls][SHOPLIST_xls]_11"/>
      <sheetName val="[SHOPLIST.xls][SHOPLIST_xls]_12"/>
      <sheetName val="[SHOPLIST.xls][SHOPLIST_xls]__9"/>
      <sheetName val="[SHOPLIST.xls][SHOPLIST_xls]_13"/>
      <sheetName val="[SHOPLIST.xls][SHOPLIST_xls]_14"/>
      <sheetName val="[SHOPLIST.xls][SHOPLIST_xls]_15"/>
      <sheetName val="[SHOPLIST.xls][SHOPLIST_xls]_16"/>
      <sheetName val="[SHOPLIST.xls][SHOPLIST_xls]_17"/>
      <sheetName val="[SHOPLIST.xls][SHOPLIST_xls]_18"/>
      <sheetName val="[SHOPLIST.xls][SHOPLIST_xls]_19"/>
      <sheetName val="[SHOPLIST.xls][SHOPLIST_xls]_20"/>
      <sheetName val="[SHOPLIST.xls][SHOPLIST_xls]_21"/>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xls]_16"/>
      <sheetName val="[SHOPLIST.xls][SHOPLIST.xls]_17"/>
      <sheetName val="[SHOPLIST.xls][SHOPLIST_xls]_29"/>
      <sheetName val="[SHOPLIST.xls][SHOPLIST_xls]_30"/>
      <sheetName val="[SHOPLIST.xls][SHOPLIST_xls]_31"/>
      <sheetName val="[SHOPLIST.xls][SHOPLIST_xls]_32"/>
      <sheetName val="[SHOPLIST.xls][SHOPLIST_xls]_33"/>
      <sheetName val="[SHOPLIST.xls][SHOPLIST_xls]_34"/>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SHOPLIST_xls]_83"/>
      <sheetName val="[SHOPLIST.xls][SHOPLIST_xls]_84"/>
      <sheetName val="[SHOPLIST.xls][SHOPLIST_xls]_85"/>
      <sheetName val="[SHOPLIST.xls][SHOPLIST_xls]_86"/>
      <sheetName val="[SHOPLIST.xls][SHOPLIST_xls]_87"/>
      <sheetName val="[SHOPLIST.xls][SHOPLIST_xls]_88"/>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_SHOPLIST.xls__VWVU))tÏØ0__5"/>
      <sheetName val="_SHOPLIST.xls__VWVU))tÏØ0__6"/>
      <sheetName val="___________3"/>
      <sheetName val="_SHOPLIST.xls__VWVU))tÏØ0__7"/>
      <sheetName val="___________4"/>
      <sheetName val="Geneí¬_x005f_x0008_"/>
      <sheetName val="70_x005f_x0000_,_0_"/>
      <sheetName val="___________5"/>
      <sheetName val="_SHOPLIST_xls__VWVU))"/>
      <sheetName val="___________6"/>
      <sheetName val="_SHOPLIST_xls__VW1"/>
      <sheetName val="_SHOPLIST_xls__SHOPLIST_xls__S1"/>
      <sheetName val="_SHOPLIST_xls__SHOPLIST_xls_707"/>
      <sheetName val="___________7"/>
      <sheetName val="_SHOPLIST_xls__SHOPLIST_xls_708"/>
      <sheetName val="_SHOPLIST_xls__VW2"/>
      <sheetName val="_SHOPLIST_xls__VWVU))tÏØ0__5"/>
      <sheetName val="_SHOPLIST_xls__SHOPLIST_xls__S2"/>
      <sheetName val="_SHOPLIST_xls__SHOPLIST_xls_709"/>
      <sheetName val="_SHOPLIST_xls_70,1"/>
      <sheetName val="_SHOPLIST_xls__VWVU))tÏØ0__12"/>
      <sheetName val="_SHOPLIST_xls__VWVU))tÏØ0__21"/>
      <sheetName val="_SHOPLIST_xls__VWVU))tÏØ0__31"/>
      <sheetName val="_SHOPLIST_xls_70,_0s«_iÆø_í¬_i1"/>
      <sheetName val="_SHOPLIST_xls_70_,_0_s«i_Æøí¬i1"/>
      <sheetName val="_SHOPLIST_xls__VWVU))tÏØ0__6"/>
      <sheetName val="_SHOPLIST_xls__VWVU))tÏØ0__7"/>
      <sheetName val="_SHOPLIST_xls_70,2"/>
      <sheetName val="_SHOPLIST_xls__VWVU))tÏØ0__13"/>
      <sheetName val="_SHOPLIST_xls__VWVU))tÏØ0__22"/>
      <sheetName val="_SHOPLIST_xls__VWVU))tÏØ0__32"/>
      <sheetName val="_SHOPLIST_xls_70,_0s«_iÆø_í¬_i2"/>
      <sheetName val="_SHOPLIST_xls_70_,_0_s«i_Æøí¬i2"/>
      <sheetName val="___________8"/>
      <sheetName val="_SHOPLIST_xls__SHOPLIST_xls_710"/>
      <sheetName val="_SHOPLIST_xls__VW3"/>
      <sheetName val="_SHOPLIST_xls__VWVU))tÏØ0__8"/>
      <sheetName val="_SHOPLIST_xls__VWVU))tÏØ0__9"/>
      <sheetName val="_SHOPLIST_xls__SHOPLIST_xls_711"/>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VWVU))tÏØ0__41"/>
      <sheetName val="_SHOPLIST_xls__SHOPLIST_xls_721"/>
      <sheetName val="_SHOPLIST_xls__SHOPLIST_xls__S8"/>
      <sheetName val="_SHOPLIST_xls_70,8"/>
      <sheetName val="_SHOPLIST_xls__VWVU))tÏØ0__42"/>
      <sheetName val="_SHOPLIST_xls__VWVU))tÏØ0__43"/>
      <sheetName val="_SHOPLIST_xls__VWVU))tÏØ0__44"/>
      <sheetName val="_SHOPLIST_xls_70,_0s«_iÆø_í¬_i8"/>
      <sheetName val="_SHOPLIST_xls_70_,_0_s«i_Æøí¬i8"/>
      <sheetName val="_VWVU))tÏØ0__16"/>
      <sheetName val="_SHOPLIST_xls_70,_0s«iÆøí¬i10"/>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__________9"/>
      <sheetName val="_SHOPLIST_xls__SHOPLIST_xls_712"/>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VWVU))tÏØ0__15"/>
      <sheetName val="_SHOPLIST_xls_70,_0s«iÆøí¬i11"/>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70,_0s«iÆøí¬"/>
      <sheetName val="_SHOPLIST.xls__SHOPLIST.xls__VW"/>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VWVU))tÏØ0__51"/>
      <sheetName val="_SHOPLIST_xls__SHOPLIST_xls_725"/>
      <sheetName val="_SHOPLIST_xls__SHOPLIST_xls__10"/>
      <sheetName val="_SHOPLIST_xls_7010"/>
      <sheetName val="_SHOPLIST_xls_70,10"/>
      <sheetName val="_SHOPLIST_xls__VWVU))tÏØ0__52"/>
      <sheetName val="_SHOPLIST_xls__VWVU))tÏØ0__53"/>
      <sheetName val="_SHOPLIST_xls__VWVU))tÏØ0__54"/>
      <sheetName val="_SHOPLIST_xls_70,_0s«_iÆø_í¬_10"/>
      <sheetName val="_SHOPLIST_xls_70_,_0_s«i_Æøí¬10"/>
      <sheetName val="Geneí¬_x005f_x005f_"/>
      <sheetName val="70_x005f_x005f_x005"/>
      <sheetName val="_SHOPLIST.xls__VWVU))tÏØ0__8"/>
      <sheetName val="_SHOPLIST.xls__VWVU))tÏØ0__9"/>
      <sheetName val="_SHOPLIST_xls__VWVU))tÏØ0__61"/>
      <sheetName val="_SHOPLIST_xls__VWVU))tÏØ0__71"/>
      <sheetName val="ConferenceCentre_x0"/>
      <sheetName val="ASD Sum of Parts"/>
      <sheetName val="제출내역 (2)"/>
      <sheetName val="5"/>
      <sheetName val="[SHOPLIST.xls][SHOPLIST.xls]7_8"/>
      <sheetName val="[SHOPLIST.xls]/VWVU))"/>
      <sheetName val="[SHOPLIST.xls]70_x005f_x005f_x005f_x0000__2"/>
      <sheetName val="[SHOPLIST.xls]_SHOPLIST_xls_101"/>
      <sheetName val="[SHOPLIST.xls]_SHOPLIST_xls_102"/>
      <sheetName val="[SHOPLIST.xls]_SHOPLIST_xls_103"/>
      <sheetName val="Spacing of Delineators"/>
      <sheetName val="P-Ins &amp; Bonds"/>
      <sheetName val="Surbhi"/>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70,/0s«iÆøí¬i6"/>
      <sheetName val="/VW1"/>
      <sheetName val="70,/0s«iÆøí¬i7"/>
      <sheetName val="/VW2"/>
      <sheetName val="/VWVU))tÏØ0__31"/>
      <sheetName val="70,/0s«_iÆø_í¬_i1"/>
      <sheetName val="70?,/0?s«i?Æøí¬i1"/>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8.0 Programme"/>
      <sheetName val="May_054"/>
      <sheetName val="April_054"/>
      <sheetName val="Aug_054"/>
      <sheetName val="July_054"/>
      <sheetName val="June_054"/>
      <sheetName val="Nov_054"/>
      <sheetName val="Oct_054"/>
      <sheetName val="Sep_054"/>
      <sheetName val="B-3_2_EB2"/>
      <sheetName val="1_-_Main_Building3"/>
      <sheetName val="1_-_Summary3"/>
      <sheetName val="2_-_Landscaping_Works3"/>
      <sheetName val="2_-_Summary3"/>
      <sheetName val="4_-_Bldg_Infra3"/>
      <sheetName val="4_-_Summary3"/>
      <sheetName val="Trade_Summary2"/>
      <sheetName val="2_Plex3"/>
      <sheetName val="Sheet1_(2)3"/>
      <sheetName val="4_Plex3"/>
      <sheetName val="6_Plex_3"/>
      <sheetName val="Detailed_Summary3"/>
      <sheetName val="Sheet1_(3)3"/>
      <sheetName val="Sheet1_(4)3"/>
      <sheetName val="B04-A_-_DIA_SUDEER2"/>
      <sheetName val="04D_-_Tanmyat2"/>
      <sheetName val="13-_B04-B_&amp;_C2"/>
      <sheetName val="_SITE_09_B04-B&amp;C-AFAQ2"/>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Sheet_Index2"/>
      <sheetName val="Status_Summary3"/>
      <sheetName val="Balance_Sheet2"/>
      <sheetName val="[SHOPLIST_xls]/VWVU))tÏØ0__76"/>
      <sheetName val="[SHOPLIST_xls]/VWVU))tÏØ0__77"/>
      <sheetName val="Sec__A-PQ3"/>
      <sheetName val="Preamble_B3"/>
      <sheetName val="Sec__C-Dayworks3"/>
      <sheetName val="d5_3"/>
      <sheetName val="AOP_Summary-24"/>
      <sheetName val="CONSTRUCTION_COMPONENT2"/>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Dashboard_(1)3"/>
      <sheetName val="VO_Agreed_to_Unifier_Sum3"/>
      <sheetName val="VO_Not_yet_Agreed_to_Unifier3"/>
      <sheetName val="VO_Anticipated_to_Unifier3"/>
      <sheetName val="EW_to_Unifier3"/>
      <sheetName val="Prov_Sums3"/>
      <sheetName val="Other_Amounts3"/>
      <sheetName val="Asset_Allocation_(CR)3"/>
      <sheetName val="Project_Benchmarking3"/>
      <sheetName val="Estimate_for_approval2"/>
      <sheetName val="[SHOPLIST_xls][SH2"/>
      <sheetName val="[SHOPLIST_xls]70_2"/>
      <sheetName val="Master_data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Basic_Rate1"/>
      <sheetName val="MASTER_RATE_ANALYSIS1"/>
      <sheetName val="MAIN_SUMMARY1"/>
      <sheetName val="[SHOPLIST_xls]/VWVU))tÏØ0__78"/>
      <sheetName val="[SHOPLIST_xls]/VWVU))tÏØ0__79"/>
      <sheetName val="B2-DV_No_021"/>
      <sheetName val="Other_Cost_Norms1"/>
      <sheetName val="개시대사_(2)1"/>
      <sheetName val="TB_ALJADA1"/>
      <sheetName val="Plot_Area1"/>
      <sheetName val="Closing_entries1"/>
      <sheetName val="Executive_Summary1"/>
      <sheetName val="Sales_Tracking_Report_(STR)1"/>
      <sheetName val="Blocking_Tracking_Report_(BTR)1"/>
      <sheetName val="Bill_No_11"/>
      <sheetName val="GENERAL_SUMMARY1"/>
      <sheetName val="SITE_WORKS1"/>
      <sheetName val="WOOD_WORK1"/>
      <sheetName val="THERMAL_&amp;_MOISTURE_1"/>
      <sheetName val="DOORS_&amp;_WINDOWS1"/>
      <sheetName val="Additional_Items1"/>
      <sheetName val="L_(4)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Ref_Arch1"/>
      <sheetName val="6_2_Floor_Finishes1"/>
      <sheetName val="Data_1"/>
      <sheetName val="Cumulative_Rail_1"/>
      <sheetName val="[SHOPLIST_xls]/VWVU))tÏØ0__80"/>
      <sheetName val="Staff_OLD_1"/>
      <sheetName val="Account_Codes"/>
      <sheetName val="[SHOPLIST_xls]/VW"/>
      <sheetName val="[SHOPLIST.xls][SHOPLIST.xls]7_9"/>
      <sheetName val="[SHOPLIST.xls][SHOPLIST.xls]_18"/>
      <sheetName val="[SHOPLIST.xls][SHOPLIST.xls]_19"/>
      <sheetName val="[SHOPLIST.xls][SHOPLIST.xls]_20"/>
      <sheetName val="[SHOPLIST.xls][SHOPLIST.xls]_21"/>
      <sheetName val="[SHOPLIST.xls][SHOPLIST.xls]_22"/>
      <sheetName val="[SHOPLIST.xls][SHOPLIST.xls]_23"/>
      <sheetName val="[SHOPLIST.xls][SHOPLIST.xls]_24"/>
      <sheetName val="[SHOPLIST.xls][SHOPLIST.xls]_25"/>
      <sheetName val="[SHOPLIST.xls][SHOPLIST.xls]_26"/>
      <sheetName val="[SHOPLIST.xls][SHOPLIST.xls]_27"/>
      <sheetName val="[SHOPLIST.xls][SHOPLIST.xls]_28"/>
      <sheetName val="[SHOPLIST.xls][SHOPLIST.xls]_29"/>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Service_Type11"/>
      <sheetName val="Contract_Division11"/>
      <sheetName val="SubContract_Type11"/>
      <sheetName val="Resumo_Empreitadas14"/>
      <sheetName val="Data_Sheet13"/>
      <sheetName val="tender_allowances13"/>
      <sheetName val="_Summary_BKG_03413"/>
      <sheetName val="BILL_3R13"/>
      <sheetName val="1_2_Staff_Schedule14"/>
      <sheetName val="[SHOPLIST_xls]/VW13"/>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D_&amp;_W_sizes10"/>
      <sheetName val="SOPMA_DD10"/>
      <sheetName val="Finansal_tamamlanma_Eğrisi4"/>
      <sheetName val="BOQ_(2)4"/>
      <sheetName val="LABOUR_RATE4"/>
      <sheetName val="Material_Rate4"/>
      <sheetName val="Labor_abs-PW4"/>
      <sheetName val="Labor_abs-NMR4"/>
      <sheetName val="kppl_pl4"/>
      <sheetName val="Basic_Rates4"/>
      <sheetName val="Combined_Results_4"/>
      <sheetName val="Labour_Rate_10"/>
      <sheetName val="[SHOPLIST_xls]70,/0s«_iÆø_í¬_13"/>
      <sheetName val="[SHOPLIST_xls]70?,/0?s«i?Æøí¬13"/>
      <sheetName val="Data_I_(2)10"/>
      <sheetName val="rEFERENCES_10"/>
      <sheetName val="Qtys_ZamZam_(Del__before)10"/>
      <sheetName val="Qtys_Relocation_(Del_before)10"/>
      <sheetName val="_Qtys_Sub_&amp;_Tents_(Del__befor10"/>
      <sheetName val="Qtys__Signages_(Del__before)10"/>
      <sheetName val="Qtys_Temporary_Passages_(Del)10"/>
      <sheetName val="_Qtys_Ser__Rooms_(Del_before)10"/>
      <sheetName val="Div_07_Thermal_&amp;_Moisture4"/>
      <sheetName val="Data_Validation4"/>
      <sheetName val="Div26_-_Elect4"/>
      <sheetName val="CHUNG_CU_CARRILON4"/>
      <sheetName val="precast_RC_element4"/>
      <sheetName val="pile_Fabrication4"/>
      <sheetName val="New_Bld4"/>
      <sheetName val="[SHOPLIST_xls]/VWVU))tÏØ0__83"/>
      <sheetName val="Dash_board13"/>
      <sheetName val="HB_CEC_schd_4_24"/>
      <sheetName val="HB_CEC_schd_4_34"/>
      <sheetName val="HB_CEC_schd_5_24"/>
      <sheetName val="HB_CEC_schd_6_24"/>
      <sheetName val="HB_CEC_schd_7_24"/>
      <sheetName val="HB_CEC_schd_9_24"/>
      <sheetName val="Doha_Farm4"/>
      <sheetName val="Dropdown_List4"/>
      <sheetName val="CIF_COST_ITEM2"/>
      <sheetName val="Rates_for_public_areas2"/>
      <sheetName val="[SHOPLIST_xls][SHOPLIST_xls]734"/>
      <sheetName val="Recon_Template2"/>
      <sheetName val="[SHOPLIST_xls]/VWVU))tÏØ0__84"/>
      <sheetName val="[SHOPLIST_xls]/VWVU))tÏØ0__85"/>
      <sheetName val="[SHOPLIST_xls]/VWVU))tÏØ0__86"/>
      <sheetName val="Drop_Down_Data2"/>
      <sheetName val="Rules_2"/>
      <sheetName val="Update_list2"/>
      <sheetName val="Sinh_Nam_systems2"/>
      <sheetName val="DIE_profile2"/>
      <sheetName val="Import_tax2"/>
      <sheetName val="TONG_HOP_VL-NC2"/>
      <sheetName val="TONGKE3p_2"/>
      <sheetName val="TH_VL,_NC,_DDHT_Thanhphuoc2"/>
      <sheetName val="DON_GIA2"/>
      <sheetName val="CHITIET_VL-NC2"/>
      <sheetName val="TH_kinh_phi2"/>
      <sheetName val="KLDT_DIEN2"/>
      <sheetName val="Dinh_muc_CP_KTCB_khac2"/>
      <sheetName val="quotation_2"/>
      <sheetName val="Bill_5_-_Carpark2"/>
      <sheetName val="BOQ_-_summary__32"/>
      <sheetName val="NKSC_thue2"/>
      <sheetName val="05__Data_Cash_Flow2"/>
      <sheetName val="MTO_REV_2(ARMOR)2"/>
      <sheetName val="L3-WBS_Mapping2"/>
      <sheetName val="BAFO_CCL_Submission2"/>
      <sheetName val="[SHOPLIST_xls][SHOPLIST_xls]/V2"/>
      <sheetName val="Core_Data2"/>
      <sheetName val="[SHOPLIST_xls]/VWVU))tÏØ0__87"/>
      <sheetName val="[SHOPLIST_xls]/VWVU))tÏØ0__93"/>
      <sheetName val="P1926-H2B_Pkg_2A&amp;2B2"/>
      <sheetName val="P1940-H2B_Pkg_1_Guestrooms2"/>
      <sheetName val="BOQ_1_922"/>
      <sheetName val="Abs_PMRL2"/>
      <sheetName val="[SHOPLIST_xls]/VWVU))tÏØ0__88"/>
      <sheetName val="[SHOPLIST_xls]/VWVU))tÏØ0__89"/>
      <sheetName val="[SHOPLIST_xls]/VWVU))tÏØ0__90"/>
      <sheetName val="Appendix-A_-GRAND_SUMMARY1"/>
      <sheetName val="D9_(New_Rate)1"/>
      <sheetName val="Grand_Summary_1"/>
      <sheetName val="Bill_No_01_-_GI_1"/>
      <sheetName val="combined_1"/>
      <sheetName val="summary-Optional_1"/>
      <sheetName val="B14_02_1"/>
      <sheetName val="Prov_Sum_1"/>
      <sheetName val="Joseph_Record1"/>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SHOPLIST_xls]70,/0s«iÆøí¬2"/>
      <sheetName val="Portfolio_List1"/>
      <sheetName val="Initial_Data1"/>
      <sheetName val="Package_Status1"/>
      <sheetName val="WATER_DUCT_-_IC_21"/>
      <sheetName val="Asset_Desc"/>
      <sheetName val="BUAs_and_Sales_Forecast"/>
      <sheetName val="Lagoons_Breakdown_Prices"/>
      <sheetName val="Cover_HW_Z2_"/>
      <sheetName val="TOTAL_WORK"/>
      <sheetName val="part_3"/>
      <sheetName val="pile_Length_for_Easter_fence"/>
      <sheetName val="Div_10-Specialities_"/>
      <sheetName val="MALE_&amp;_FEMALE_"/>
      <sheetName val="Drop_down"/>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Service_Type12"/>
      <sheetName val="Contract_Division12"/>
      <sheetName val="SubContract_Type12"/>
      <sheetName val="_SHOPLIST_xls_70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Finansal_tamamlanma_Eğrisi5"/>
      <sheetName val="May_055"/>
      <sheetName val="April_055"/>
      <sheetName val="Aug_055"/>
      <sheetName val="July_055"/>
      <sheetName val="June_055"/>
      <sheetName val="Nov_055"/>
      <sheetName val="Oct_055"/>
      <sheetName val="Sep_055"/>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precast_RC_element5"/>
      <sheetName val="pile_Fabrication5"/>
      <sheetName val="New_Bld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HB_CEC_schd_4_25"/>
      <sheetName val="HB_CEC_schd_4_35"/>
      <sheetName val="HB_CEC_schd_5_25"/>
      <sheetName val="HB_CEC_schd_6_25"/>
      <sheetName val="HB_CEC_schd_7_25"/>
      <sheetName val="HB_CEC_schd_9_25"/>
      <sheetName val="Doha_Farm5"/>
      <sheetName val="Dropdown_List5"/>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quotation_3"/>
      <sheetName val="Bill_5_-_Carpark3"/>
      <sheetName val="BOQ_-_summary__33"/>
      <sheetName val="NKSC_thue3"/>
      <sheetName val="05__Data_Cash_Flow3"/>
      <sheetName val="MTO_REV_2(ARMOR)3"/>
      <sheetName val="L3-WBS_Mapping3"/>
      <sheetName val="BAFO_CCL_Submission3"/>
      <sheetName val="[SHOPLIST_xls][SHOPLIST_xls]/V3"/>
      <sheetName val="Core_Data3"/>
      <sheetName val="[SHOPLIST_xls]/VWVU))tÏØ0_103"/>
      <sheetName val="[SHOPLIST_xls]/VWVU))tÏØ0_104"/>
      <sheetName val="[SHOPLIST_xls][SH3"/>
      <sheetName val="[SHOPLIST_xls]70_3"/>
      <sheetName val="P1926-H2B_Pkg_2A&amp;2B3"/>
      <sheetName val="P1940-H2B_Pkg_1_Guestrooms3"/>
      <sheetName val="BOQ_1_923"/>
      <sheetName val="Abs_PMRL3"/>
      <sheetName val="B2-DV_No_022"/>
      <sheetName val="GENERAL_SUMMARY2"/>
      <sheetName val="SITE_WORKS2"/>
      <sheetName val="WOOD_WORK2"/>
      <sheetName val="THERMAL_&amp;_MOISTURE_2"/>
      <sheetName val="DOORS_&amp;_WINDOWS2"/>
      <sheetName val="Additional_Items2"/>
      <sheetName val="Master_data2"/>
      <sheetName val="[SHOPLIST_xls]/VWVU))tÏØ0_105"/>
      <sheetName val="Staff_OLD_2"/>
      <sheetName val="Comp_equip2"/>
      <sheetName val="Basic_Rate2"/>
      <sheetName val="MASTER_RATE_ANALYSIS2"/>
      <sheetName val="MAIN_SUMMARY2"/>
      <sheetName val="[SHOPLIST_xls]/VWVU))tÏØ0_106"/>
      <sheetName val="[SHOPLIST_xls]/VWVU))tÏØ0_107"/>
      <sheetName val="Appendix-A_-GRAND_SUMMARY2"/>
      <sheetName val="D9_(New_Rate)2"/>
      <sheetName val="Grand_Summary_2"/>
      <sheetName val="Bill_No_01_-_GI_2"/>
      <sheetName val="combined_2"/>
      <sheetName val="summary-Optional_2"/>
      <sheetName val="B14_02_2"/>
      <sheetName val="Prov_Sum_2"/>
      <sheetName val="Contractor_Application2"/>
      <sheetName val="08_MEP_Summary2"/>
      <sheetName val="Addnl_works2"/>
      <sheetName val="B3__Material_on_Site-Detail2"/>
      <sheetName val="Joseph_Record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_Estimate__1"/>
      <sheetName val="Equip_1"/>
      <sheetName val="Account_Codes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SHOPLIST.xls]70___0_s__i_____5"/>
      <sheetName val="[SHOPLIST.xls]_VW__VU_________4"/>
      <sheetName val="[SHOPLIST.xls]_VW__VU_________5"/>
      <sheetName val="[SHOPLIST.xls]70___0_s__i_____6"/>
      <sheetName val="[SHOPLIST.xls]70_x005f_x0000___0_x0_3"/>
      <sheetName val="[SHOPLIST.xls]70___0_s__i_____7"/>
      <sheetName val="[SHOPLIST.xls][SHOPLIST.xls]_30"/>
      <sheetName val="[SHOPLIST.xls][SHOPLIST.xls]_31"/>
      <sheetName val="[SHOPLIST.xls][SHOPLIST.xls]_32"/>
      <sheetName val="[SHOPLIST.xls][SHOPLIST.xls]_33"/>
      <sheetName val="[SHOPLIST.xls][SHOPLIST.xls]_34"/>
      <sheetName val="[SHOPLIST.xls][SHOPLIST.xls]_35"/>
      <sheetName val="[SHOPLIST.xls][SHOPLIST.xls]_36"/>
      <sheetName val="[SHOPLIST.xls][SHOPLIST.xls]_37"/>
      <sheetName val="[SHOPLIST.xls]_SHOPLIST_xls_104"/>
      <sheetName val="[SHOPLIST.xls]_SHOPLIST_xls_105"/>
      <sheetName val="[SHOPLIST.xls]_SHOPLIST_xls_106"/>
      <sheetName val="[SHOPLIST.xls]_SHOPLIST_xls_107"/>
      <sheetName val="[SHOPLIST.xls][SHOPLIST.xls]_38"/>
      <sheetName val="[SHOPLIST.xls][SHOPLIST.xls]_39"/>
      <sheetName val="[SHOPLIST.xls][SHOPLIST.xls]_40"/>
      <sheetName val="[SHOPLIST.xls]_SHOPLIST_xls_108"/>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_SHOPLIST_xls_116"/>
      <sheetName val="[SHOPLIST.xls]_SHOPLIST_xls_117"/>
      <sheetName val="[SHOPLIST.xls]_SHOPLIST_xls_118"/>
      <sheetName val="[SHOPLIST.xls][SHOPLIST.xls]_41"/>
      <sheetName val="[SHOPLIST.xls][SHOPLIST.xls]_42"/>
      <sheetName val="[SHOPLIST.xls][SHOPLIST.xls]_43"/>
      <sheetName val="[SHOPLIST.xls][SHOPLIST.xls]_44"/>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SHOPLIST.xls]_45"/>
      <sheetName val="[SHOPLIST.xls]_SHOPLIST_xls_130"/>
      <sheetName val="[SHOPLIST.xls]_SHOPLIST_xls_131"/>
      <sheetName val="[SHOPLIST.xls]_SHOPLIST_xls_132"/>
      <sheetName val="[SHOPLIST.xls]_SHOPLIST_xls_133"/>
      <sheetName val="[SHOPLIST.xls]_SHOPLIST_xls_134"/>
      <sheetName val="[SHOPLIST.xls]_SHOPLIST_xls_135"/>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SHOPLIST.xls]_46"/>
      <sheetName val="[SHOPLIST.xls][SHOPLIST.xls]_47"/>
      <sheetName val="[SHOPLIST.xls][SHOPLIST.xls]_48"/>
      <sheetName val="[SHOPLIST.xls][SHOPLIST.xls]_49"/>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_SHOPLIST_xls_208"/>
      <sheetName val="[SHOPLIST.xls]_SHOPLIST_xls_20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SHOPLIST.xls]_60"/>
      <sheetName val="[SHOPLIST.xls][SHOPLIST.xls]_61"/>
      <sheetName val="MFG"/>
      <sheetName val="XL4Test5"/>
      <sheetName val="P-Ins_&amp;_Bonds"/>
      <sheetName val="BFS"/>
      <sheetName val="Closing"/>
      <sheetName val="djfx"/>
      <sheetName val="Calendar"/>
      <sheetName val="Sheet9"/>
      <sheetName val="Materials Cost"/>
      <sheetName val="FEVA"/>
      <sheetName val="HO Costs"/>
      <sheetName val="C-1"/>
      <sheetName val="PC "/>
      <sheetName val="Val"/>
      <sheetName val="App - A "/>
      <sheetName val="App- B "/>
      <sheetName val="App - C "/>
      <sheetName val="App - D "/>
      <sheetName val="App - E "/>
      <sheetName val="App - F"/>
      <sheetName val="App - G "/>
      <sheetName val="App - H"/>
      <sheetName val="2"/>
      <sheetName val="7"/>
      <sheetName val="8"/>
      <sheetName val="9"/>
      <sheetName val="10"/>
      <sheetName val="13"/>
      <sheetName val="14"/>
      <sheetName val="15"/>
      <sheetName val="16"/>
      <sheetName val="17"/>
      <sheetName val="18"/>
      <sheetName val="C-2"/>
      <sheetName val="Concrete Breakdown"/>
      <sheetName val="Masonry Breakdown"/>
      <sheetName val="6"/>
      <sheetName val="Cost Heaࡤing"/>
      <sheetName val="Reference"/>
      <sheetName val="beam-reinft"/>
      <sheetName val="[SHOPLIST.xls]/VWVU))tÏØ0__20"/>
      <sheetName val="FLOOR_AND_CEILING"/>
      <sheetName val="area_comp_2011_01_18_(2)"/>
      <sheetName val="drop_down_lists"/>
      <sheetName val="PH_5"/>
      <sheetName val="[SHOPLIST_xls]70___0_s__i_____2"/>
      <sheetName val="[SHOPLIST_xls]_VW__VU_________2"/>
      <sheetName val="[SHOPLIST_xls]_VW__VU_________3"/>
      <sheetName val="[SHOPLIST_xls]70_x005f_x0000___0_x0_2"/>
      <sheetName val="Milestone"/>
      <sheetName val="Top_s๨ꫝ"/>
      <sheetName val="GFA_HQ_Building36"/>
      <sheetName val="GFA_Conference35"/>
      <sheetName val="BQ_External35"/>
      <sheetName val="Graph_Data_(DO_NOT_PRINT)34"/>
      <sheetName val="StattCo_yCharges34"/>
      <sheetName val="Penthouse_Apartment34"/>
      <sheetName val="LABOUR_HISTOGRAM35"/>
      <sheetName val="Chiet_tinh_dz2234"/>
      <sheetName val="Chiet_tinh_dz3534"/>
      <sheetName val="@risk_rents_and_incentives34"/>
      <sheetName val="Car_park_lease34"/>
      <sheetName val="Net_rent_analysis34"/>
      <sheetName val="Poz-1_34"/>
      <sheetName val="Lab_Cum_Hist34"/>
      <sheetName val="Raw_Data34"/>
      <sheetName val="Bill_No__234"/>
      <sheetName val="CT_Thang_Mo34"/>
      <sheetName val="budget_summary_(2)33"/>
      <sheetName val="Budget_Analysis_Summary33"/>
      <sheetName val="LEVEL_SHEET34"/>
      <sheetName val="SPT_vs_PHI34"/>
      <sheetName val="CT__PL33"/>
      <sheetName val="Projet,_methodes_&amp;_couts33"/>
      <sheetName val="Risques_majeurs_&amp;_Frais_Ind_33"/>
      <sheetName val="FOL_-_Bar34"/>
      <sheetName val="intr_stool_brkup33"/>
      <sheetName val="Tender_Summary34"/>
      <sheetName val="Insurance_Ext34"/>
      <sheetName val="Customize_Your_Invoice34"/>
      <sheetName val="HVAC_BoQ34"/>
      <sheetName val="Body_Sheet33"/>
      <sheetName val="1_0_Executive_Summary33"/>
      <sheetName val="Top_sheet33"/>
      <sheetName val="Ap_A31"/>
      <sheetName val="SHOPLIST_xls30"/>
      <sheetName val="Bill_232"/>
      <sheetName val="2_Div_14_31"/>
      <sheetName val="beam-reinft-IIInd_floor30"/>
      <sheetName val="beam-reinft-machine_rm30"/>
      <sheetName val="Bill_131"/>
      <sheetName val="Bill_331"/>
      <sheetName val="Bill_431"/>
      <sheetName val="Bill_531"/>
      <sheetName val="Bill_631"/>
      <sheetName val="Bill_731"/>
      <sheetName val="POWER_ASSUMPTIONS30"/>
      <sheetName val="Invoice_Summary30"/>
      <sheetName val="PROJECT_BRIEF31"/>
      <sheetName val="Civil_Boq29"/>
      <sheetName val="C_(3)31"/>
      <sheetName val="Dubai_golf30"/>
      <sheetName val="WITHOUT_C&amp;I_PROFIT_(3)29"/>
      <sheetName val="HIRED_LABOUR_CODE27"/>
      <sheetName val="PA-_Consutant_27"/>
      <sheetName val="foot-slab_reinft27"/>
      <sheetName val="Softscape_Buildup29"/>
      <sheetName val="Mat'l_Rate29"/>
      <sheetName val="VALVE_CHAMBERS26"/>
      <sheetName val="Fire_Hydrants26"/>
      <sheetName val="B_GATE_VALVE26"/>
      <sheetName val="Sub_G1_Fire26"/>
      <sheetName val="Sub_G12_Fire26"/>
      <sheetName val="Activity_List29"/>
      <sheetName val="BILL_COV27"/>
      <sheetName val="Ra__stair27"/>
      <sheetName val="DETAILED__BOQ27"/>
      <sheetName val="M-Book_for_Conc27"/>
      <sheetName val="M-Book_for_FW27"/>
      <sheetName val="Materials_Cost(PCC)26"/>
      <sheetName val="India_F&amp;S_Template26"/>
      <sheetName val="IO_LIST26"/>
      <sheetName val="Material_26"/>
      <sheetName val="Quote_Sheet26"/>
      <sheetName val="Day_work26"/>
      <sheetName val="Working_for_RCC25"/>
      <sheetName val="Div__0225"/>
      <sheetName val="Div__0325"/>
      <sheetName val="Div__0425"/>
      <sheetName val="Div__0525"/>
      <sheetName val="Div__0625"/>
      <sheetName val="Div__0725"/>
      <sheetName val="GFA_HQ_Building35"/>
      <sheetName val="GFA_Conference34"/>
      <sheetName val="BQ_External34"/>
      <sheetName val="Graph_Data_(DO_NOT_PRINT)33"/>
      <sheetName val="StattCo_yCharges33"/>
      <sheetName val="Penthouse_Apartment33"/>
      <sheetName val="LABOUR_HISTOGRAM34"/>
      <sheetName val="Chiet_tinh_dz2233"/>
      <sheetName val="Chiet_tinh_dz3533"/>
      <sheetName val="@risk_rents_and_incentives33"/>
      <sheetName val="Car_park_lease33"/>
      <sheetName val="Net_rent_analysis33"/>
      <sheetName val="Poz-1_33"/>
      <sheetName val="Lab_Cum_Hist33"/>
      <sheetName val="Raw_Data33"/>
      <sheetName val="Bill_No__233"/>
      <sheetName val="CT_Thang_Mo33"/>
      <sheetName val="budget_summary_(2)32"/>
      <sheetName val="Budget_Analysis_Summary32"/>
      <sheetName val="LEVEL_SHEET33"/>
      <sheetName val="SPT_vs_PHI33"/>
      <sheetName val="CT__PL32"/>
      <sheetName val="Projet,_methodes_&amp;_couts32"/>
      <sheetName val="Risques_majeurs_&amp;_Frais_Ind_32"/>
      <sheetName val="FOL_-_Bar33"/>
      <sheetName val="intr_stool_brkup32"/>
      <sheetName val="Tender_Summary33"/>
      <sheetName val="Insurance_Ext33"/>
      <sheetName val="Customize_Your_Invoice33"/>
      <sheetName val="HVAC_BoQ33"/>
      <sheetName val="Body_Sheet32"/>
      <sheetName val="1_0_Executive_Summary32"/>
      <sheetName val="Top_sheet32"/>
      <sheetName val="Ap_A30"/>
      <sheetName val="SHOPLIST_xls29"/>
      <sheetName val="Bill_231"/>
      <sheetName val="2_Div_14_30"/>
      <sheetName val="beam-reinft-IIInd_floor29"/>
      <sheetName val="beam-reinft-machine_rm29"/>
      <sheetName val="Bill_130"/>
      <sheetName val="Bill_330"/>
      <sheetName val="Bill_430"/>
      <sheetName val="Bill_530"/>
      <sheetName val="Bill_630"/>
      <sheetName val="Bill_730"/>
      <sheetName val="POWER_ASSUMPTIONS29"/>
      <sheetName val="Invoice_Summary29"/>
      <sheetName val="PROJECT_BRIEF30"/>
      <sheetName val="Civil_Boq28"/>
      <sheetName val="C_(3)30"/>
      <sheetName val="Dubai_golf29"/>
      <sheetName val="WITHOUT_C&amp;I_PROFIT_(3)28"/>
      <sheetName val="HIRED_LABOUR_CODE26"/>
      <sheetName val="PA-_Consutant_26"/>
      <sheetName val="foot-slab_reinft26"/>
      <sheetName val="Softscape_Buildup28"/>
      <sheetName val="Mat'l_Rate28"/>
      <sheetName val="VALVE_CHAMBERS25"/>
      <sheetName val="Fire_Hydrants25"/>
      <sheetName val="B_GATE_VALVE25"/>
      <sheetName val="Sub_G1_Fire25"/>
      <sheetName val="Sub_G12_Fire25"/>
      <sheetName val="Activity_List28"/>
      <sheetName val="BILL_COV26"/>
      <sheetName val="Ra__stair26"/>
      <sheetName val="DETAILED__BOQ26"/>
      <sheetName val="M-Book_for_Conc26"/>
      <sheetName val="M-Book_for_FW26"/>
      <sheetName val="Materials_Cost(PCC)25"/>
      <sheetName val="India_F&amp;S_Template25"/>
      <sheetName val="IO_LIST25"/>
      <sheetName val="Material_25"/>
      <sheetName val="Quote_Sheet25"/>
      <sheetName val="Day_work25"/>
      <sheetName val="Working_for_RCC24"/>
      <sheetName val="Div__0224"/>
      <sheetName val="Div__0324"/>
      <sheetName val="Div__0424"/>
      <sheetName val="Div__0524"/>
      <sheetName val="Div__0624"/>
      <sheetName val="Div__0724"/>
      <sheetName val="Div__0824"/>
      <sheetName val="Div__0924"/>
      <sheetName val="Div__1024"/>
      <sheetName val="Div__1124"/>
      <sheetName val="Div__1224"/>
      <sheetName val="Div_1324"/>
      <sheetName val="EXTERNAL_WORKS24"/>
      <sheetName val="PRODUCTIVITY_RATE24"/>
      <sheetName val="U_R_A_-_MASONRY24"/>
      <sheetName val="U_R_A_-_PLASTERING24"/>
      <sheetName val="U_R_A_-_TILING24"/>
      <sheetName val="U_R_A_-_GRANITE24"/>
      <sheetName val="V_C_2_-_EARTHWORK24"/>
      <sheetName val="V_C_9_-_CERAMIC24"/>
      <sheetName val="V_C_9_-_FINISHES24"/>
      <sheetName val="Elemental_Buildup23"/>
      <sheetName val="Eq__Mobilization24"/>
      <sheetName val="w't_table23"/>
      <sheetName val="bill_nb2-Plumbing_&amp;_Drainag23"/>
      <sheetName val="Pl_&amp;_Dr_B23"/>
      <sheetName val="Pl_&amp;_Dr_G23"/>
      <sheetName val="Pl_&amp;_Dr_M23"/>
      <sheetName val="Pl_&amp;_Dr_123"/>
      <sheetName val="Pl_&amp;_Dr_223"/>
      <sheetName val="Pl_&amp;_Dr_323"/>
      <sheetName val="Pl_&amp;_Dr_423"/>
      <sheetName val="Pl_&amp;_Dr_523"/>
      <sheetName val="Pl_&amp;_Dr_623"/>
      <sheetName val="Pl_&amp;_Dr_723"/>
      <sheetName val="Pl_&amp;_Dr_823"/>
      <sheetName val="Pl_&amp;_Dr_R23"/>
      <sheetName val="FF_B23"/>
      <sheetName val="FF_G23"/>
      <sheetName val="FF_M23"/>
      <sheetName val="FF_123"/>
      <sheetName val="FF_2_23"/>
      <sheetName val="FF_323"/>
      <sheetName val="FF_423"/>
      <sheetName val="FF_523"/>
      <sheetName val="FF_6_23"/>
      <sheetName val="FF_723"/>
      <sheetName val="FF_823"/>
      <sheetName val="FF_R23"/>
      <sheetName val="bill_nb3-FF23"/>
      <sheetName val="HVAC_B23"/>
      <sheetName val="HVAC_G23"/>
      <sheetName val="HVAC_M23"/>
      <sheetName val="HVAC_123"/>
      <sheetName val="HVAC_223"/>
      <sheetName val="HVAC_323"/>
      <sheetName val="HVAC_423"/>
      <sheetName val="HVAC_523"/>
      <sheetName val="HVAC_623"/>
      <sheetName val="HVAC_723"/>
      <sheetName val="HVAC_823"/>
      <sheetName val="HVAC_R23"/>
      <sheetName val="bill_nb4-HVAC23"/>
      <sheetName val="SC_B23"/>
      <sheetName val="SC_G23"/>
      <sheetName val="SC_M23"/>
      <sheetName val="SC_123"/>
      <sheetName val="SC_223"/>
      <sheetName val="SC_323"/>
      <sheetName val="SC_423"/>
      <sheetName val="SC_523"/>
      <sheetName val="SC_623"/>
      <sheetName val="SC_723"/>
      <sheetName val="SC_823"/>
      <sheetName val="SC_R23"/>
      <sheetName val="AV_B23"/>
      <sheetName val="AV_G23"/>
      <sheetName val="AV_M23"/>
      <sheetName val="AV_123"/>
      <sheetName val="AV_223"/>
      <sheetName val="AV_323"/>
      <sheetName val="AV_423"/>
      <sheetName val="AV_523"/>
      <sheetName val="AV_623"/>
      <sheetName val="AV_723"/>
      <sheetName val="AV_823"/>
      <sheetName val="EL_B23"/>
      <sheetName val="EL_M23"/>
      <sheetName val="EL_123"/>
      <sheetName val="EL_223"/>
      <sheetName val="EL_323"/>
      <sheetName val="EL_423"/>
      <sheetName val="EL_523"/>
      <sheetName val="EL_623"/>
      <sheetName val="EL_723"/>
      <sheetName val="EL_823"/>
      <sheetName val="EL_R23"/>
      <sheetName val="EL_TR23"/>
      <sheetName val="8-_EL23"/>
      <sheetName val="FA_B23"/>
      <sheetName val="FA_G23"/>
      <sheetName val="FA_M23"/>
      <sheetName val="FA_123"/>
      <sheetName val="FA_223"/>
      <sheetName val="FA_323"/>
      <sheetName val="FA_423"/>
      <sheetName val="FA_523"/>
      <sheetName val="FA_623"/>
      <sheetName val="FA_723"/>
      <sheetName val="FA_823"/>
      <sheetName val="FA_R23"/>
      <sheetName val="9-_FA23"/>
      <sheetName val="BOQ_Direct_selling_cost25"/>
      <sheetName val="CHART_OF_ACCOUNTS24"/>
      <sheetName val="B185-B-9_124"/>
      <sheetName val="B185-B-9_224"/>
      <sheetName val="Material_List_23"/>
      <sheetName val="E-Bill_No_6_A-O24"/>
      <sheetName val="B09_124"/>
      <sheetName val="Division_252"/>
      <sheetName val="Division_423"/>
      <sheetName val="Division_523"/>
      <sheetName val="Division_623"/>
      <sheetName val="Division_723"/>
      <sheetName val="Division_823"/>
      <sheetName val="Division_923"/>
      <sheetName val="Division_1023"/>
      <sheetName val="Division_1223"/>
      <sheetName val="Division_1423"/>
      <sheetName val="Division_2126"/>
      <sheetName val="Division_2224"/>
      <sheetName val="Division_2323"/>
      <sheetName val="Division_2623"/>
      <sheetName val="Division_2723"/>
      <sheetName val="Division_2823"/>
      <sheetName val="Division_3123"/>
      <sheetName val="Division_3223"/>
      <sheetName val="Division_3323"/>
      <sheetName val="PMWeb_data24"/>
      <sheetName val="PointNo_523"/>
      <sheetName val="SS_MH24"/>
      <sheetName val="2_2)Revised_Cash_Flow23"/>
      <sheetName val="입찰내역_발주처_양식23"/>
      <sheetName val="LIST_DO_NOT_REMOVE22"/>
      <sheetName val="Index_List23"/>
      <sheetName val="Type_List23"/>
      <sheetName val="File_Types23"/>
      <sheetName val="Chiet_t23"/>
      <sheetName val="Staffing_and_Rates_IA23"/>
      <sheetName val="Employee_List21"/>
      <sheetName val="PRECAST_lightconc-II25"/>
      <sheetName val="final_abstract25"/>
      <sheetName val="B6_2_22"/>
      <sheetName val="Project_Cost_Breakdown21"/>
      <sheetName val="Summary_of_Work21"/>
      <sheetName val="Item-_Compact21"/>
      <sheetName val="E_&amp;_R21"/>
      <sheetName val="Staff_Acco_21"/>
      <sheetName val="TBAL9697_-group_wise__sdpl21"/>
      <sheetName val="SITE_WORK20"/>
      <sheetName val="Рабочий_лист20"/>
      <sheetName val="PT_141-_Site_A_Landscape20"/>
      <sheetName val="Rate_summary20"/>
      <sheetName val="Annex_1_Sect_3a21"/>
      <sheetName val="Annex_1_Sect_3a_121"/>
      <sheetName val="Annex_1_Sect_3b21"/>
      <sheetName val="Annex_1_Sect_3c21"/>
      <sheetName val="HOURLY_RATES21"/>
      <sheetName val="RAB_AR&amp;STR20"/>
      <sheetName val="d-safe_DELUXE20"/>
      <sheetName val="Back_up20"/>
      <sheetName val="INDIGINEOUS_ITEMS_20"/>
      <sheetName val="train_cash20"/>
      <sheetName val="accom_cash20"/>
      <sheetName val="Mall_waterproofing20"/>
      <sheetName val="MSCP_waterproofing20"/>
      <sheetName val="Duct_Accesories20"/>
      <sheetName val="????_???_??20"/>
      <sheetName val="Labour_&amp;_Plant20"/>
      <sheetName val="Ave_wtd_rates20"/>
      <sheetName val="Debits_as_on_12_04_0820"/>
      <sheetName val="STAFFSCHED_20"/>
      <sheetName val="TRIAL_BALANCE20"/>
      <sheetName val="[SHOPLIST_xls][SHOPLIST_xls]738"/>
      <sheetName val="Common_Variables20"/>
      <sheetName val="[SHOPLIST_xls]70,/0s«iÆøí¬i20"/>
      <sheetName val="GPL_Revenu_Update20"/>
      <sheetName val="DO_NOT_TOUCH20"/>
      <sheetName val="Work_Type20"/>
      <sheetName val="PROJECT_BRIEF(EX_NEW)20"/>
      <sheetName val="AREA_OF_APPLICATION19"/>
      <sheetName val="Risk_Breakdown_Structure19"/>
      <sheetName val="Geneí¬_i19"/>
      <sheetName val="steel_total19"/>
      <sheetName val="ELE_BOQ19"/>
      <sheetName val="Z-_GENERAL_PRICE_SUMMARY16"/>
      <sheetName val="PPA_Summary16"/>
      <sheetName val="Mix_Design16"/>
      <sheetName val="Resumo_Empreitadas16"/>
      <sheetName val="%_prog_figs_-u5_and_total16"/>
      <sheetName val="Floor_Box_17"/>
      <sheetName val="Equipment_Rates15"/>
      <sheetName val="[SHOPLIST_xls]/VW15"/>
      <sheetName val="Cashflow_projection15"/>
      <sheetName val="[SHOPLIST_xls][SHOPLIST_xls]739"/>
      <sheetName val="E_H_-_H__W_P_15"/>
      <sheetName val="E__H__Treatment_for_pile_cap15"/>
      <sheetName val="[SHOPLIST_xls][SHOPLIST_xls][15"/>
      <sheetName val="Materials_15"/>
      <sheetName val="Form_615"/>
      <sheetName val="Risk_Register15"/>
      <sheetName val="Revised_Front_Page15"/>
      <sheetName val="Diff_Run01&amp;Run0215"/>
      <sheetName val="CCS_Summary15"/>
      <sheetName val="1_Carillion_Staff15"/>
      <sheetName val="_2_Staff_&amp;_Gen_labour15"/>
      <sheetName val="3_Offices15"/>
      <sheetName val="4_TempServ15"/>
      <sheetName val="__5_Temp_Wks15"/>
      <sheetName val="_6_Addn_Plant15"/>
      <sheetName val="_7__Transport15"/>
      <sheetName val="_8_Testing15"/>
      <sheetName val="9__Miscellaneous15"/>
      <sheetName val="10__Design15"/>
      <sheetName val="_11_Insurances15"/>
      <sheetName val="_12_Client_Req_15"/>
      <sheetName val="Risk_List15"/>
      <sheetName val="Track_of_Changes15"/>
      <sheetName val="Bill_8_Doors_&amp;_Windows15"/>
      <sheetName val="Bill_9_Finishes_15"/>
      <sheetName val="Bill_10_Specialities15"/>
      <sheetName val="Dash_board15"/>
      <sheetName val="[SHOPLIST_xls]7015"/>
      <sheetName val="[SHOPLIST_xls]70,15"/>
      <sheetName val="Base_BM-rebar15"/>
      <sheetName val="Site_Dev_BOQ15"/>
      <sheetName val="Data_Sheet15"/>
      <sheetName val="tender_allowances15"/>
      <sheetName val="_Summary_BKG_03415"/>
      <sheetName val="BILL_3R15"/>
      <sheetName val="Area_Breakdown_PER_LEVEL_LINK15"/>
      <sheetName val="CF_Input15"/>
      <sheetName val="DATA_INPUT15"/>
      <sheetName val="Vordruck-Nr__7_1_3_D15"/>
      <sheetName val="M&amp;A_D15"/>
      <sheetName val="M&amp;A_E15"/>
      <sheetName val="M&amp;A_G15"/>
      <sheetName val="1_2_Staff_Schedule16"/>
      <sheetName val="Bill_1015"/>
      <sheetName val="[SHOPLIST_xls]70,/0s«_iÆø_í¬_15"/>
      <sheetName val="[SHOPLIST_xls]70?,/0?s«i?Æøí¬15"/>
      <sheetName val="Labour_Costs15"/>
      <sheetName val="BLOCK-A_(MEA_SHEET)15"/>
      <sheetName val="Cost_Heading12"/>
      <sheetName val="Labour_Rate_12"/>
      <sheetName val="D_&amp;_W_sizes12"/>
      <sheetName val="SOPMA_DD12"/>
      <sheetName val="PRICE_INFO12"/>
      <sheetName val="RC_SUMMARY12"/>
      <sheetName val="LABOUR_PRODUCTIVITY-TAV12"/>
      <sheetName val="MATERIAL_PRICES12"/>
      <sheetName val="P-100_MRF_DB_R112"/>
      <sheetName val="Contract_Division13"/>
      <sheetName val="SubContract_Type13"/>
      <sheetName val="Service_Type13"/>
      <sheetName val="Attach_4-1812"/>
      <sheetName val="_SHOPLIST_xls_7012"/>
      <sheetName val="Ewaan_Show_Kitchen_(2)12"/>
      <sheetName val="Cash_Flow_Working12"/>
      <sheetName val="MN_T_B_12"/>
      <sheetName val="Data_I_(2)12"/>
      <sheetName val="rEFERENCES_12"/>
      <sheetName val="Qtys_ZamZam_(Del__before)12"/>
      <sheetName val="Qtys_Relocation_(Del_before)12"/>
      <sheetName val="_Qtys_Sub_&amp;_Tents_(Del__befor12"/>
      <sheetName val="Qtys__Signages_(Del__before)12"/>
      <sheetName val="Qtys_Temporary_Passages_(Del)12"/>
      <sheetName val="_Qtys_Ser__Rooms_(Del_before)12"/>
      <sheetName val="2F_회의실견적(5_14_일대)8"/>
      <sheetName val="_HIT-&gt;HMC_견적(3900)8"/>
      <sheetName val="Appendix_B8"/>
      <sheetName val="Div_07_Thermal_&amp;_Moisture6"/>
      <sheetName val="BOQ_(2)6"/>
      <sheetName val="LABOUR_RATE6"/>
      <sheetName val="Material_Rate6"/>
      <sheetName val="Labor_abs-PW6"/>
      <sheetName val="Labor_abs-NMR6"/>
      <sheetName val="kppl_pl6"/>
      <sheetName val="Basic_Rates6"/>
      <sheetName val="Combined_Results_6"/>
      <sheetName val="Balance_Sheet4"/>
      <sheetName val="May_056"/>
      <sheetName val="April_056"/>
      <sheetName val="Aug_056"/>
      <sheetName val="July_056"/>
      <sheetName val="June_056"/>
      <sheetName val="Nov_056"/>
      <sheetName val="Oct_056"/>
      <sheetName val="Sep_056"/>
      <sheetName val="[SHOPLIST_xls][SHOPLIST_xls]/V4"/>
      <sheetName val="precast_RC_element6"/>
      <sheetName val="pile_Fabrication6"/>
      <sheetName val="AOP_Summary-26"/>
      <sheetName val="Data_Validation6"/>
      <sheetName val="Div26_-_Elect6"/>
      <sheetName val="CHUNG_CU_CARRILON6"/>
      <sheetName val="[SHOPLIST_xls][SHOPLIST_xls]740"/>
      <sheetName val="B-3_2_EB4"/>
      <sheetName val="Sheet_Index4"/>
      <sheetName val="Core_Data4"/>
      <sheetName val="GFA_HQ_Building37"/>
      <sheetName val="GFA_Conference36"/>
      <sheetName val="BQ_External36"/>
      <sheetName val="Penthouse_Apartment35"/>
      <sheetName val="Raw_Data35"/>
      <sheetName val="StattCo_yCharges35"/>
      <sheetName val="LEVEL_SHEET35"/>
      <sheetName val="SPT_vs_PHI35"/>
      <sheetName val="LABOUR_HISTOGRAM36"/>
      <sheetName val="Chiet_tinh_dz2235"/>
      <sheetName val="Chiet_tinh_dz3535"/>
      <sheetName val="@risk_rents_and_incentives35"/>
      <sheetName val="Car_park_lease35"/>
      <sheetName val="Net_rent_analysis35"/>
      <sheetName val="Poz-1_35"/>
      <sheetName val="Graph_Data_(DO_NOT_PRINT)35"/>
      <sheetName val="Bill_No__235"/>
      <sheetName val="CT_Thang_Mo35"/>
      <sheetName val="Lab_Cum_Hist35"/>
      <sheetName val="CT__PL34"/>
      <sheetName val="Projet,_methodes_&amp;_couts34"/>
      <sheetName val="Risques_majeurs_&amp;_Frais_Ind_34"/>
      <sheetName val="FOL_-_Bar35"/>
      <sheetName val="budget_summary_(2)34"/>
      <sheetName val="Budget_Analysis_Summary34"/>
      <sheetName val="intr_stool_brkup34"/>
      <sheetName val="Tender_Summary35"/>
      <sheetName val="Insurance_Ext35"/>
      <sheetName val="Customize_Your_Invoice35"/>
      <sheetName val="HVAC_BoQ35"/>
      <sheetName val="Body_Sheet34"/>
      <sheetName val="1_0_Executive_Summary34"/>
      <sheetName val="Rate_analysis19"/>
      <sheetName val="Top_sheet34"/>
      <sheetName val="Bill_233"/>
      <sheetName val="Ap_A32"/>
      <sheetName val="2_Div_14_32"/>
      <sheetName val="SHOPLIST_xls31"/>
      <sheetName val="beam-reinft-IIInd_floor31"/>
      <sheetName val="beam-reinft-machine_rm31"/>
      <sheetName val="Bill_132"/>
      <sheetName val="Bill_332"/>
      <sheetName val="Bill_432"/>
      <sheetName val="Bill_532"/>
      <sheetName val="Bill_632"/>
      <sheetName val="Bill_732"/>
      <sheetName val="POWER_ASSUMPTIONS31"/>
      <sheetName val="Civil_Boq30"/>
      <sheetName val="PROJECT_BRIEF32"/>
      <sheetName val="Invoice_Summary31"/>
      <sheetName val="C_(3)32"/>
      <sheetName val="Dubai_golf31"/>
      <sheetName val="Softscape_Buildup30"/>
      <sheetName val="Mat'l_Rate30"/>
      <sheetName val="WITHOUT_C&amp;I_PROFIT_(3)30"/>
      <sheetName val="Activity_List30"/>
      <sheetName val="HIRED_LABOUR_CODE28"/>
      <sheetName val="PA-_Consutant_28"/>
      <sheetName val="foot-slab_reinft28"/>
      <sheetName val="DETAILED__BOQ28"/>
      <sheetName val="M-Book_for_Conc28"/>
      <sheetName val="M-Book_for_FW28"/>
      <sheetName val="BILL_COV28"/>
      <sheetName val="Ra__stair28"/>
      <sheetName val="VALVE_CHAMBERS27"/>
      <sheetName val="Fire_Hydrants27"/>
      <sheetName val="B_GATE_VALVE27"/>
      <sheetName val="Sub_G1_Fire27"/>
      <sheetName val="Sub_G12_Fire27"/>
      <sheetName val="Eq__Mobilization25"/>
      <sheetName val="w't_table24"/>
      <sheetName val="Materials_Cost(PCC)27"/>
      <sheetName val="India_F&amp;S_Template27"/>
      <sheetName val="IO_LIST27"/>
      <sheetName val="Material_27"/>
      <sheetName val="Quote_Sheet27"/>
      <sheetName val="Day_work27"/>
      <sheetName val="bill_nb2-Plumbing_&amp;_Drainag24"/>
      <sheetName val="Pl_&amp;_Dr_B24"/>
      <sheetName val="Pl_&amp;_Dr_G24"/>
      <sheetName val="Pl_&amp;_Dr_M24"/>
      <sheetName val="Pl_&amp;_Dr_124"/>
      <sheetName val="Pl_&amp;_Dr_224"/>
      <sheetName val="Pl_&amp;_Dr_324"/>
      <sheetName val="Pl_&amp;_Dr_424"/>
      <sheetName val="Pl_&amp;_Dr_524"/>
      <sheetName val="Pl_&amp;_Dr_624"/>
      <sheetName val="Pl_&amp;_Dr_724"/>
      <sheetName val="Pl_&amp;_Dr_824"/>
      <sheetName val="Pl_&amp;_Dr_R24"/>
      <sheetName val="FF_B24"/>
      <sheetName val="FF_G24"/>
      <sheetName val="FF_M24"/>
      <sheetName val="FF_124"/>
      <sheetName val="FF_2_24"/>
      <sheetName val="FF_324"/>
      <sheetName val="FF_424"/>
      <sheetName val="FF_524"/>
      <sheetName val="FF_6_24"/>
      <sheetName val="FF_724"/>
      <sheetName val="FF_824"/>
      <sheetName val="FF_R24"/>
      <sheetName val="bill_nb3-FF24"/>
      <sheetName val="HVAC_B24"/>
      <sheetName val="HVAC_G24"/>
      <sheetName val="HVAC_M24"/>
      <sheetName val="HVAC_124"/>
      <sheetName val="HVAC_224"/>
      <sheetName val="HVAC_324"/>
      <sheetName val="HVAC_424"/>
      <sheetName val="HVAC_524"/>
      <sheetName val="HVAC_624"/>
      <sheetName val="HVAC_724"/>
      <sheetName val="HVAC_824"/>
      <sheetName val="HVAC_R24"/>
      <sheetName val="bill_nb4-HVAC24"/>
      <sheetName val="SC_B24"/>
      <sheetName val="SC_G24"/>
      <sheetName val="SC_M24"/>
      <sheetName val="SC_124"/>
      <sheetName val="SC_224"/>
      <sheetName val="SC_324"/>
      <sheetName val="SC_424"/>
      <sheetName val="SC_524"/>
      <sheetName val="SC_624"/>
      <sheetName val="SC_724"/>
      <sheetName val="SC_824"/>
      <sheetName val="SC_R24"/>
      <sheetName val="AV_B24"/>
      <sheetName val="AV_G24"/>
      <sheetName val="AV_M24"/>
      <sheetName val="AV_124"/>
      <sheetName val="AV_224"/>
      <sheetName val="AV_324"/>
      <sheetName val="AV_424"/>
      <sheetName val="AV_524"/>
      <sheetName val="AV_624"/>
      <sheetName val="AV_724"/>
      <sheetName val="AV_824"/>
      <sheetName val="EL_B24"/>
      <sheetName val="EL_M24"/>
      <sheetName val="EL_124"/>
      <sheetName val="EL_224"/>
      <sheetName val="EL_324"/>
      <sheetName val="EL_424"/>
      <sheetName val="EL_524"/>
      <sheetName val="EL_624"/>
      <sheetName val="EL_724"/>
      <sheetName val="EL_824"/>
      <sheetName val="EL_R24"/>
      <sheetName val="EL_TR24"/>
      <sheetName val="8-_EL24"/>
      <sheetName val="FA_B24"/>
      <sheetName val="FA_G24"/>
      <sheetName val="FA_M24"/>
      <sheetName val="FA_124"/>
      <sheetName val="FA_224"/>
      <sheetName val="FA_324"/>
      <sheetName val="FA_424"/>
      <sheetName val="FA_524"/>
      <sheetName val="FA_624"/>
      <sheetName val="FA_724"/>
      <sheetName val="FA_824"/>
      <sheetName val="FA_R24"/>
      <sheetName val="9-_FA24"/>
      <sheetName val="B09_125"/>
      <sheetName val="BOQ_Direct_selling_cost26"/>
      <sheetName val="CHART_OF_ACCOUNTS25"/>
      <sheetName val="Working_for_RCC26"/>
      <sheetName val="B185-B-9_125"/>
      <sheetName val="B185-B-9_225"/>
      <sheetName val="E-Bill_No_6_A-O25"/>
      <sheetName val="Div__0226"/>
      <sheetName val="Div__0326"/>
      <sheetName val="Div__0426"/>
      <sheetName val="Div__0526"/>
      <sheetName val="Div__0626"/>
      <sheetName val="Div__0726"/>
      <sheetName val="Div__0825"/>
      <sheetName val="Div__0925"/>
      <sheetName val="Div__1025"/>
      <sheetName val="Div__1125"/>
      <sheetName val="Div__1225"/>
      <sheetName val="Div_1325"/>
      <sheetName val="EXTERNAL_WORKS25"/>
      <sheetName val="PRODUCTIVITY_RATE25"/>
      <sheetName val="U_R_A_-_MASONRY25"/>
      <sheetName val="U_R_A_-_PLASTERING25"/>
      <sheetName val="U_R_A_-_TILING25"/>
      <sheetName val="U_R_A_-_GRANITE25"/>
      <sheetName val="V_C_2_-_EARTHWORK25"/>
      <sheetName val="V_C_9_-_CERAMIC25"/>
      <sheetName val="V_C_9_-_FINISHES25"/>
      <sheetName val="Division_253"/>
      <sheetName val="Division_424"/>
      <sheetName val="Division_524"/>
      <sheetName val="Division_624"/>
      <sheetName val="Division_724"/>
      <sheetName val="Division_824"/>
      <sheetName val="Division_924"/>
      <sheetName val="Division_1024"/>
      <sheetName val="Division_1224"/>
      <sheetName val="Division_1424"/>
      <sheetName val="Division_2127"/>
      <sheetName val="Division_2225"/>
      <sheetName val="Division_2324"/>
      <sheetName val="Division_2624"/>
      <sheetName val="Division_2724"/>
      <sheetName val="Division_2824"/>
      <sheetName val="Division_3124"/>
      <sheetName val="Division_3224"/>
      <sheetName val="Division_3324"/>
      <sheetName val="PMWeb_data25"/>
      <sheetName val="Elemental_Buildup24"/>
      <sheetName val="PointNo_524"/>
      <sheetName val="2_2)Revised_Cash_Flow24"/>
      <sheetName val="SS_MH25"/>
      <sheetName val="입찰내역_발주처_양식24"/>
      <sheetName val="Material_List_24"/>
      <sheetName val="LIST_DO_NOT_REMOVE23"/>
      <sheetName val="Index_List24"/>
      <sheetName val="Type_List24"/>
      <sheetName val="File_Types24"/>
      <sheetName val="Chiet_t24"/>
      <sheetName val="Staffing_and_Rates_IA24"/>
      <sheetName val="Project_Cost_Breakdown22"/>
      <sheetName val="PRECAST_lightconc-II26"/>
      <sheetName val="final_abstract26"/>
      <sheetName val="Staff_Acco_22"/>
      <sheetName val="TBAL9697_-group_wise__sdpl22"/>
      <sheetName val="Summary_of_Work22"/>
      <sheetName val="Employee_List22"/>
      <sheetName val="Рабочий_лист21"/>
      <sheetName val="B6_2_23"/>
      <sheetName val="Item-_Compact22"/>
      <sheetName val="E_&amp;_R22"/>
      <sheetName val="Annex_1_Sect_3a22"/>
      <sheetName val="Annex_1_Sect_3a_122"/>
      <sheetName val="Annex_1_Sect_3b22"/>
      <sheetName val="Annex_1_Sect_3c22"/>
      <sheetName val="HOURLY_RATES22"/>
      <sheetName val="SITE_WORK21"/>
      <sheetName val="d-safe_DELUXE21"/>
      <sheetName val="PT_141-_Site_A_Landscape21"/>
      <sheetName val="Rate_summary21"/>
      <sheetName val="RAB_AR&amp;STR21"/>
      <sheetName val="Back_up21"/>
      <sheetName val="train_cash21"/>
      <sheetName val="accom_cash21"/>
      <sheetName val="INDIGINEOUS_ITEMS_21"/>
      <sheetName val="Duct_Accesories21"/>
      <sheetName val="Mall_waterproofing21"/>
      <sheetName val="MSCP_waterproofing21"/>
      <sheetName val="????_???_??21"/>
      <sheetName val="Labour_&amp;_Plant21"/>
      <sheetName val="Ave_wtd_rates21"/>
      <sheetName val="Debits_as_on_12_04_0821"/>
      <sheetName val="STAFFSCHED_21"/>
      <sheetName val="TRIAL_BALANCE21"/>
      <sheetName val="[SHOPLIST_xls][SHOPLIST_xls]741"/>
      <sheetName val="[SHOPLIST_xls]70,/0s«iÆøí¬i21"/>
      <sheetName val="Common_Variables21"/>
      <sheetName val="GPL_Revenu_Update21"/>
      <sheetName val="DO_NOT_TOUCH21"/>
      <sheetName val="Work_Type21"/>
      <sheetName val="PROJECT_BRIEF(EX_NEW)21"/>
      <sheetName val="AREA_OF_APPLICATION20"/>
      <sheetName val="Risk_Breakdown_Structure20"/>
      <sheetName val="Geneí¬_i20"/>
      <sheetName val="steel_total20"/>
      <sheetName val="ELE_BOQ20"/>
      <sheetName val="Z-_GENERAL_PRICE_SUMMARY17"/>
      <sheetName val="Resumo_Empreitadas17"/>
      <sheetName val="PPA_Summary17"/>
      <sheetName val="Mix_Design17"/>
      <sheetName val="%_prog_figs_-u5_and_total17"/>
      <sheetName val="Floor_Box_18"/>
      <sheetName val="Equipment_Rates16"/>
      <sheetName val="[SHOPLIST_xls]/VW16"/>
      <sheetName val="Cashflow_projection16"/>
      <sheetName val="[SHOPLIST_xls][SHOPLIST_xls]742"/>
      <sheetName val="E_H_-_H__W_P_16"/>
      <sheetName val="E__H__Treatment_for_pile_cap16"/>
      <sheetName val="[SHOPLIST_xls][SHOPLIST_xls][16"/>
      <sheetName val="Form_616"/>
      <sheetName val="Risk_Register16"/>
      <sheetName val="Revised_Front_Page16"/>
      <sheetName val="Diff_Run01&amp;Run0216"/>
      <sheetName val="CCS_Summary16"/>
      <sheetName val="1_Carillion_Staff16"/>
      <sheetName val="_2_Staff_&amp;_Gen_labour16"/>
      <sheetName val="3_Offices16"/>
      <sheetName val="4_TempServ16"/>
      <sheetName val="__5_Temp_Wks16"/>
      <sheetName val="_6_Addn_Plant16"/>
      <sheetName val="_7__Transport16"/>
      <sheetName val="_8_Testing16"/>
      <sheetName val="9__Miscellaneous16"/>
      <sheetName val="10__Design16"/>
      <sheetName val="_11_Insurances16"/>
      <sheetName val="_12_Client_Req_16"/>
      <sheetName val="Risk_List16"/>
      <sheetName val="Track_of_Changes16"/>
      <sheetName val="Bill_8_Doors_&amp;_Windows16"/>
      <sheetName val="Bill_9_Finishes_16"/>
      <sheetName val="Bill_10_Specialities16"/>
      <sheetName val="Dash_board16"/>
      <sheetName val="[SHOPLIST_xls]7016"/>
      <sheetName val="[SHOPLIST_xls]70,16"/>
      <sheetName val="Base_BM-rebar16"/>
      <sheetName val="Materials_16"/>
      <sheetName val="Site_Dev_BOQ16"/>
      <sheetName val="Data_Sheet16"/>
      <sheetName val="tender_allowances16"/>
      <sheetName val="_Summary_BKG_03416"/>
      <sheetName val="BILL_3R16"/>
      <sheetName val="Area_Breakdown_PER_LEVEL_LINK16"/>
      <sheetName val="CF_Input16"/>
      <sheetName val="DATA_INPUT16"/>
      <sheetName val="Vordruck-Nr__7_1_3_D16"/>
      <sheetName val="M&amp;A_D16"/>
      <sheetName val="M&amp;A_E16"/>
      <sheetName val="M&amp;A_G16"/>
      <sheetName val="1_2_Staff_Schedule17"/>
      <sheetName val="Bill_1016"/>
      <sheetName val="[SHOPLIST_xls]70,/0s«_iÆø_í¬_16"/>
      <sheetName val="[SHOPLIST_xls]70?,/0?s«i?Æøí¬16"/>
      <sheetName val="Labour_Costs16"/>
      <sheetName val="BLOCK-A_(MEA_SHEET)16"/>
      <sheetName val="Cost_Heading13"/>
      <sheetName val="Labour_Rate_13"/>
      <sheetName val="D_&amp;_W_sizes13"/>
      <sheetName val="SOPMA_DD13"/>
      <sheetName val="PRICE_INFO13"/>
      <sheetName val="RC_SUMMARY13"/>
      <sheetName val="LABOUR_PRODUCTIVITY-TAV13"/>
      <sheetName val="MATERIAL_PRICES13"/>
      <sheetName val="P-100_MRF_DB_R113"/>
      <sheetName val="Contract_Division14"/>
      <sheetName val="SubContract_Type14"/>
      <sheetName val="Service_Type14"/>
      <sheetName val="Attach_4-1813"/>
      <sheetName val="_SHOPLIST_xls_7013"/>
      <sheetName val="Ewaan_Show_Kitchen_(2)13"/>
      <sheetName val="Cash_Flow_Working13"/>
      <sheetName val="MN_T_B_13"/>
      <sheetName val="Data_I_(2)13"/>
      <sheetName val="rEFERENCES_13"/>
      <sheetName val="Qtys_ZamZam_(Del__before)13"/>
      <sheetName val="Qtys_Relocation_(Del_before)13"/>
      <sheetName val="_Qtys_Sub_&amp;_Tents_(Del__befor13"/>
      <sheetName val="Qtys__Signages_(Del__before)13"/>
      <sheetName val="Qtys_Temporary_Passages_(Del)13"/>
      <sheetName val="_Qtys_Ser__Rooms_(Del_before)13"/>
      <sheetName val="2F_회의실견적(5_14_일대)9"/>
      <sheetName val="_HIT-&gt;HMC_견적(3900)9"/>
      <sheetName val="Appendix_B9"/>
      <sheetName val="Div_07_Thermal_&amp;_Moisture7"/>
      <sheetName val="BOQ_(2)7"/>
      <sheetName val="LABOUR_RATE7"/>
      <sheetName val="Material_Rate7"/>
      <sheetName val="Labor_abs-PW7"/>
      <sheetName val="Labor_abs-NMR7"/>
      <sheetName val="kppl_pl7"/>
      <sheetName val="Basic_Rates7"/>
      <sheetName val="Combined_Results_7"/>
      <sheetName val="precast_RC_element7"/>
      <sheetName val="pile_Fabrication7"/>
      <sheetName val="AOP_Summary-27"/>
      <sheetName val="May_057"/>
      <sheetName val="April_057"/>
      <sheetName val="Aug_057"/>
      <sheetName val="July_057"/>
      <sheetName val="June_057"/>
      <sheetName val="Nov_057"/>
      <sheetName val="Oct_057"/>
      <sheetName val="Sep_057"/>
      <sheetName val="Data_Validation7"/>
      <sheetName val="Div26_-_Elect7"/>
      <sheetName val="CHUNG_CU_CARRILON7"/>
      <sheetName val="Balance_Sheet5"/>
      <sheetName val="2_Plex5"/>
      <sheetName val="Sheet1_(2)5"/>
      <sheetName val="4_Plex5"/>
      <sheetName val="6_Plex_5"/>
      <sheetName val="Detailed_Summary5"/>
      <sheetName val="Sheet1_(3)5"/>
      <sheetName val="Sheet1_(4)5"/>
      <sheetName val="[SHOPLIST_xls][SHOPLIST_xls]743"/>
      <sheetName val="B-3_2_EB5"/>
      <sheetName val="[SHOPLIST_xls][SHOPLIST_xls]/V5"/>
      <sheetName val="Asset_Allocation_(CR)5"/>
      <sheetName val="Project_Benchmarking5"/>
      <sheetName val="1_-_Main_Building5"/>
      <sheetName val="1_-_Summary5"/>
      <sheetName val="2_-_Landscaping_Works5"/>
      <sheetName val="2_-_Summary5"/>
      <sheetName val="4_-_Bldg_Infra5"/>
      <sheetName val="4_-_Summary5"/>
      <sheetName val="Dashboard_(1)5"/>
      <sheetName val="VO_Agreed_to_Unifier_Sum5"/>
      <sheetName val="VO_Not_yet_Agreed_to_Unifier5"/>
      <sheetName val="VO_Anticipated_to_Unifier5"/>
      <sheetName val="EW_to_Unifier5"/>
      <sheetName val="Prov_Sums5"/>
      <sheetName val="Other_Amounts5"/>
      <sheetName val="Sheet_Index5"/>
      <sheetName val="Core_Data5"/>
      <sheetName val="Estimate_for_approval4"/>
      <sheetName val="New_Rates4"/>
      <sheetName val="Labour_Rates4"/>
      <sheetName val="Status_4"/>
      <sheetName val="CLIENT_BUDGET4"/>
      <sheetName val="Reco-June_20194"/>
      <sheetName val="REMINING_PROGRESS4"/>
      <sheetName val="OS&amp;E__IT4"/>
      <sheetName val="PAID_AMOUNT4"/>
      <sheetName val="IPA_214"/>
      <sheetName val="Order_by_owner4"/>
      <sheetName val="PERLIM__Sammary4"/>
      <sheetName val="RECOVER_OF_DOUBLE_PAYMENT4"/>
      <sheetName val="rathath_al_matar4"/>
      <sheetName val="INTERNAL_LINE_4"/>
      <sheetName val="MINOVA_AL_DEYAR4"/>
      <sheetName val="BLUE_RHINE4"/>
      <sheetName val="NATIONAL_PAINT4"/>
      <sheetName val="FIRE_RATED4"/>
      <sheetName val="Summary_4"/>
      <sheetName val="B04-A_-_DIA_SUDEER4"/>
      <sheetName val="04D_-_Tanmyat4"/>
      <sheetName val="13-_B04-B_&amp;_C4"/>
      <sheetName val="_SITE_09_B04-B&amp;C-AFAQ4"/>
      <sheetName val="Bill No. 3"/>
      <sheetName val="BoQ(2)"/>
      <sheetName val="tower and monopoles "/>
      <sheetName val="Rectangular Duct"/>
      <sheetName val="S-Curve_Update"/>
      <sheetName val="VESSELS_"/>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70___0_s__i_____8"/>
      <sheetName val="[SHOPLIST.xls]_VW__VU_________6"/>
      <sheetName val="[SHOPLIST.xls]_VW__VU_________7"/>
      <sheetName val="[SHOPLIST.xls]70___0_s__i_____9"/>
      <sheetName val="[SHOPLIST.xls]70_x005f_x0000___0_x0_4"/>
      <sheetName val="[SHOPLIST.xls][SHOPLIST.xls]_94"/>
      <sheetName val="[SHOPLIST.xls]70___0_s__i____10"/>
      <sheetName val="[SHOPLIST.xls]_SHOPLIST_xls_210"/>
      <sheetName val="[SHOPLIST.xls]_SHOPLIST_xls_211"/>
      <sheetName val="[SHOPLIST.xls][SHOPLIST.xls]_95"/>
      <sheetName val="[SHOPLIST.xls][SHOPLIST.xls]_96"/>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SHOPLIST.xls]_97"/>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_SHOPLIST_xls_268"/>
      <sheetName val="[SHOPLIST.xls]_SHOPLIST_xls_269"/>
      <sheetName val="[SHOPLIST.xls]_SHOPLIST_xls_270"/>
      <sheetName val="[SHOPLIST.xls]_SHOPLIST_xls_271"/>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SHOPLIST.xls]_98"/>
      <sheetName val="[SHOPLIST.xls][SHOPLIST.xls]_9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70___0_s__i____11"/>
      <sheetName val="[SHOPLIST.xls]_VW__VU_________8"/>
      <sheetName val="[SHOPLIST.xls]_VW__VU_________9"/>
      <sheetName val="[SHOPLIST.xls]70___0_s__i____12"/>
      <sheetName val="[SHOPLIST.xls]70_x005f_x0000___0_x0_5"/>
      <sheetName val="[SHOPLIST.xls]_SHOPLIST_xls_350"/>
      <sheetName val="[SHOPLIST.xls]70___0_s__i____13"/>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_SHOPLIST_xls_408"/>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70_x005f_x005f_x005f_x0000__4"/>
      <sheetName val="[SHOPLIST.xls]_SHOPLIST_xls_462"/>
      <sheetName val="[SHOPLIST.xls]_SHOPLIST_xls_463"/>
      <sheetName val="[SHOPLIST.xls]70_x005f_x005f_x005f_x0000__3"/>
      <sheetName val="[SHOPLIST.xls]_SHOPLIST_xls_318"/>
      <sheetName val="[SHOPLIST.xls]_SHOPLIST_xls_319"/>
      <sheetName val="[SHOPLIST.xls]70___0_s__i____14"/>
      <sheetName val="[SHOPLIST.xls]_VW__VU________10"/>
      <sheetName val="[SHOPLIST.xls]70___0_s__i____15"/>
      <sheetName val="[SHOPLIST.xls]70_x005f_x0000___0_x0_6"/>
      <sheetName val="[SHOPLIST.xls]70___0_s__i____16"/>
      <sheetName val="[SHOPLIST.xls]_VW__VU________11"/>
      <sheetName val="[SHOPLIST.xls]70___0_s__i____17"/>
      <sheetName val="[SHOPLIST.xls]_VW__VU________12"/>
      <sheetName val="[SHOPLIST.xls]70___0_s__i____18"/>
      <sheetName val="[SHOPLIST.xls]70_x005f_x0000___0_x0_7"/>
      <sheetName val="[SHOPLIST.xls]70___0_s__i____19"/>
      <sheetName val="[SHOPLIST.xls]_VW__VU________13"/>
      <sheetName val="[SHOPLIST.xls]_SHOPLIST_xls_464"/>
      <sheetName val="[SHOPLIST.xls]_SHOPLIST_xls_465"/>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70_x005f_x005f_x005f_x0000__5"/>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70___0_s__i____20"/>
      <sheetName val="[SHOPLIST.xls]_VW__VU________14"/>
      <sheetName val="[SHOPLIST.xls]70___0_s__i____21"/>
      <sheetName val="[SHOPLIST.xls]70_x005f_x0000___0_x0_8"/>
      <sheetName val="[SHOPLIST.xls]70___0_s__i____22"/>
      <sheetName val="[SHOPLIST.xls]_SHOPLIST_xls_583"/>
      <sheetName val="[SHOPLIST.xls]_VW__VU________15"/>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_SHOPLIST_xls_604"/>
      <sheetName val="[SHOPLIST.xls]_SHOPLIST_xls_605"/>
      <sheetName val="[SHOPLIST.xls]_SHOPLIST_xls_606"/>
      <sheetName val="[SHOPLIST.xls]_SHOPLIST_xls_607"/>
      <sheetName val="[SHOPLIST.xls]_SHOPLIST_xls_608"/>
      <sheetName val="[SHOPLIST.xls]_SHOPLIST_xls_609"/>
      <sheetName val="[SHOPLIST.xls]_SHOPLIST_xls_610"/>
      <sheetName val="[SHOPLIST.xls]_SHOPLIST_xls_611"/>
      <sheetName val="[SHOPLIST.xls]_SHOPLIST_xls_612"/>
      <sheetName val="[SHOPLIST.xls]_SHOPLIST_xls_613"/>
      <sheetName val="[SHOPLIST.xls]_SHOPLIST_xls_614"/>
      <sheetName val="[SHOPLIST.xls]_SHOPLIST_xls_615"/>
      <sheetName val="[SHOPLIST.xls]_SHOPLIST_xls_616"/>
      <sheetName val="[SHOPLIST.xls]_SHOPLIST_xls_617"/>
      <sheetName val="[SHOPLIST.xls]_SHOPLIST_xls_618"/>
      <sheetName val="[SHOPLIST.xls]_SHOPLIST_xls_619"/>
      <sheetName val="[SHOPLIST.xls]_SHOPLIST_xls_620"/>
      <sheetName val="[SHOPLIST.xls]_SHOPLIST_xls_621"/>
      <sheetName val="[SHOPLIST.xls]_SHOPLIST_xls_622"/>
      <sheetName val="[SHOPLIST.xls]_SHOPLIST_xls_623"/>
      <sheetName val="[SHOPLIST.xls]_SHOPLIST_xls_624"/>
      <sheetName val="[SHOPLIST.xls]_SHOPLIST_xls_625"/>
      <sheetName val="[SHOPLIST.xls]_SHOPLIST_xls_626"/>
      <sheetName val="[SHOPLIST.xls]_SHOPLIST_xls_627"/>
      <sheetName val="[SHOPLIST.xls]_SHOPLIST_xls_628"/>
      <sheetName val="[SHOPLIST.xls]_SHOPLIST_xls_629"/>
      <sheetName val="[SHOPLIST.xls]_SHOPLIST_xls_630"/>
      <sheetName val="[SHOPLIST.xls]_SHOPLIST_xls_631"/>
      <sheetName val="[SHOPLIST.xls]_SHOPLIST_xls_632"/>
      <sheetName val="[SHOPLIST.xls]_SHOPLIST_xls_633"/>
      <sheetName val="[SHOPLIST.xls]_SHOPLIST_xls_634"/>
      <sheetName val="[SHOPLIST.xls]_SHOPLIST_xls_635"/>
      <sheetName val="[SHOPLIST.xls]_SHOPLIST_xls_636"/>
      <sheetName val="[SHOPLIST.xls]_SHOPLIST_xls_637"/>
      <sheetName val="[SHOPLIST.xls]_SHOPLIST_xls_638"/>
      <sheetName val="[SHOPLIST.xls]_SHOPLIST_xls_639"/>
      <sheetName val="[SHOPLIST.xls]_SHOPLIST_xls_640"/>
      <sheetName val="[SHOPLIST.xls]_SHOPLIST_xls_641"/>
      <sheetName val="[SHOPLIST.xls]_SHOPLIST_xls_642"/>
      <sheetName val="[SHOPLIST.xls]_SHOPLIST_xls_643"/>
      <sheetName val="[SHOPLIST.xls]_SHOPLIST_xls_644"/>
      <sheetName val="[SHOPLIST.xls]_SHOPLIST_xls_645"/>
      <sheetName val="[SHOPLIST.xls]_SHOPLIST_xls_646"/>
      <sheetName val="[SHOPLIST.xls]_SHOPLIST_xls_647"/>
      <sheetName val="[SHOPLIST.xls]_SHOPLIST_xls_648"/>
      <sheetName val="[SHOPLIST.xls]_SHOPLIST_xls_649"/>
      <sheetName val="[SHOPLIST.xls]_SHOPLIST_xls_650"/>
      <sheetName val="[SHOPLIST.xls]_SHOPLIST_xls_651"/>
      <sheetName val="[SHOPLIST.xls]_SHOPLIST_xls_652"/>
      <sheetName val="[SHOPLIST.xls]_SHOPLIST_xls_653"/>
      <sheetName val="[SHOPLIST.xls]_SHOPLIST_xls_654"/>
      <sheetName val="[SHOPLIST.xls]_SHOPLIST_xls_655"/>
      <sheetName val="[SHOPLIST.xls]_SHOPLIST_xls_656"/>
      <sheetName val="[SHOPLIST.xls]_SHOPLIST_xls_657"/>
      <sheetName val="[SHOPLIST.xls]_SHOPLIST_xls_658"/>
      <sheetName val="[SHOPLIST.xls]_SHOPLIST_xls_659"/>
      <sheetName val="[SHOPLIST.xls]_SHOPLIST_xls_660"/>
      <sheetName val="[SHOPLIST.xls]_SHOPLIST_xls_661"/>
      <sheetName val="[SHOPLIST.xls]_SHOPLIST_xls_662"/>
      <sheetName val="[SHOPLIST.xls]_SHOPLIST_xls_663"/>
      <sheetName val="[SHOPLIST.xls]_SHOPLIST_xls_664"/>
      <sheetName val="[SHOPLIST.xls]_SHOPLIST_xls_665"/>
      <sheetName val="[SHOPLIST.xls]_SHOPLIST_xls_666"/>
      <sheetName val="[SHOPLIST.xls]_SHOPLIST_xls_667"/>
      <sheetName val="[SHOPLIST.xls]_SHOPLIST_xls_668"/>
      <sheetName val="[SHOPLIST.xls]_SHOPLIST_xls_669"/>
      <sheetName val="[SHOPLIST.xls]_SHOPLIST_xls_670"/>
      <sheetName val="[SHOPLIST.xls]_SHOPLIST_xls_671"/>
      <sheetName val="[SHOPLIST.xls]_SHOPLIST_xls_672"/>
      <sheetName val="[SHOPLIST.xls]_SHOPLIST_xls_673"/>
      <sheetName val="[SHOPLIST.xls]_SHOPLIST_xls_674"/>
      <sheetName val="[SHOPLIST.xls]_SHOPLIST_xls_675"/>
      <sheetName val="[SHOPLIST.xls]_SHOPLIST_xls_676"/>
      <sheetName val="[SHOPLIST.xls]_SHOPLIST_xls_677"/>
      <sheetName val="[SHOPLIST.xls]_SHOPLIST_xls_678"/>
      <sheetName val="[SHOPLIST.xls]_SHOPLIST_xls_679"/>
      <sheetName val="[SHOPLIST.xls]_SHOPLIST_xls_680"/>
      <sheetName val="[SHOPLIST.xls]_SHOPLIST_xls_681"/>
      <sheetName val="[SHOPLIST.xls]_SHOPLIST_xls_682"/>
      <sheetName val="[SHOPLIST.xls]_SHOPLIST_xls_683"/>
      <sheetName val="[SHOPLIST.xls]_SHOPLIST_xls_684"/>
      <sheetName val="[SHOPLIST.xls]_SHOPLIST_xls_685"/>
      <sheetName val="[SHOPLIST.xls]_SHOPLIST_xls_686"/>
      <sheetName val="[SHOPLIST.xls]_SHOPLIST_xls_687"/>
      <sheetName val="[SHOPLIST.xls]_SHOPLIST_xls_688"/>
      <sheetName val="[SHOPLIST.xls]_SHOPLIST_xls_689"/>
      <sheetName val="[SHOPLIST.xls]_SHOPLIST_xls_690"/>
      <sheetName val="[SHOPLIST.xls]_SHOPLIST_xls_691"/>
      <sheetName val="[SHOPLIST.xls]_SHOPLIST_xls_692"/>
      <sheetName val="[SHOPLIST.xls]_SHOPLIST_xls_693"/>
      <sheetName val="[SHOPLIST.xls]_SHOPLIST_xls_694"/>
      <sheetName val="[SHOPLIST.xls]70_x005f_x005f_x005f_x0000__6"/>
      <sheetName val="[SHOPLIST.xls]_SHOPLIST_xls_695"/>
      <sheetName val="[SHOPLIST.xls]_SHOPLIST_xls_696"/>
      <sheetName val="[SHOPLIST.xls]_SHOPLIST_xls_697"/>
      <sheetName val="[SHOPLIST.xls]_SHOPLIST_xls_698"/>
      <sheetName val="[SHOPLIST.xls]_SHOPLIST_xls_699"/>
      <sheetName val="[SHOPLIST.xls]_SHOPLIST_xls_700"/>
      <sheetName val="[SHOPLIST.xls]_SHOPLIST_xls_701"/>
      <sheetName val="[SHOPLIST.xls]_SHOPLIST_xls_702"/>
      <sheetName val="[SHOPLIST.xls]_SHOPLIST_xls_703"/>
      <sheetName val="[SHOPLIST.xls]_SHOPLIST_xls_704"/>
      <sheetName val="[SHOPLIST.xls]_SHOPLIST_xls_705"/>
      <sheetName val="[SHOPLIST.xls]_SHOPLIST_xls_706"/>
      <sheetName val="[SHOPLIST.xls]_SHOPLIST_xls_707"/>
      <sheetName val="[SHOPLIST.xls]_SHOPLIST_xls_708"/>
      <sheetName val="[SHOPLIST.xls]_SHOPLIST_xls_709"/>
      <sheetName val="[SHOPLIST.xls]_SHOPLIST_xls_710"/>
      <sheetName val="[SHOPLIST.xls]_SHOPLIST_xls_711"/>
      <sheetName val="[SHOPLIST.xls]_SHOPLIST_xls_712"/>
      <sheetName val="[SHOPLIST.xls]_SHOPLIST_xls_713"/>
      <sheetName val="[SHOPLIST.xls]_SHOPLIST_xls_714"/>
      <sheetName val="[SHOPLIST.xls]_SHOPLIST_xls_715"/>
      <sheetName val="[SHOPLIST.xls]_SHOPLIST_xls_716"/>
      <sheetName val="[SHOPLIST.xls]_SHOPLIST_xls_717"/>
      <sheetName val="[SHOPLIST.xls]_SHOPLIST_xls_718"/>
      <sheetName val="[SHOPLIST.xls]_SHOPLIST_xls_719"/>
      <sheetName val="[SHOPLIST.xls]_SHOPLIST_xls_720"/>
      <sheetName val="[SHOPLIST.xls]_SHOPLIST_xls_721"/>
      <sheetName val="[SHOPLIST.xls]_SHOPLIST_xls_722"/>
      <sheetName val="[SHOPLIST.xls]_SHOPLIST_xls_723"/>
      <sheetName val="[SHOPLIST.xls]_SHOPLIST_xls_724"/>
      <sheetName val="[SHOPLIST.xls]_SHOPLIST_xls_725"/>
      <sheetName val="[SHOPLIST.xls]_SHOPLIST_xls_726"/>
      <sheetName val="[SHOPLIST.xls]70___0_s__i____23"/>
      <sheetName val="[SHOPLIST.xls]_VW__VU________16"/>
      <sheetName val="[SHOPLIST.xls]70___0_s__i____24"/>
      <sheetName val="[SHOPLIST.xls]70_x005f_x0000___0_x0_9"/>
      <sheetName val="[SHOPLIST.xls]70___0_s__i____25"/>
      <sheetName val="[SHOPLIST.xls]_SHOPLIST_xls_727"/>
      <sheetName val="[SHOPLIST.xls]_VW__VU________17"/>
      <sheetName val="[SHOPLIST.xls]_SHOPLIST_xls_728"/>
      <sheetName val="[SHOPLIST.xls]_SHOPLIST_xls_729"/>
      <sheetName val="[SHOPLIST.xls]_SHOPLIST_xls_730"/>
      <sheetName val="[SHOPLIST.xls]_SHOPLIST_xls_731"/>
      <sheetName val="[SHOPLIST.xls]_SHOPLIST_xls_732"/>
      <sheetName val="[SHOPLIST.xls]_SHOPLIST_xls_733"/>
      <sheetName val="[SHOPLIST.xls]_SHOPLIST_xls_734"/>
      <sheetName val="[SHOPLIST.xls]_SHOPLIST_xls_735"/>
      <sheetName val="[SHOPLIST.xls]_SHOPLIST_xls_736"/>
      <sheetName val="[SHOPLIST.xls]_SHOPLIST_xls_737"/>
      <sheetName val="[SHOPLIST.xls]_SHOPLIST_xls_738"/>
      <sheetName val="[SHOPLIST.xls]_SHOPLIST_xls_739"/>
      <sheetName val="[SHOPLIST.xls]_SHOPLIST_xls_740"/>
      <sheetName val="[SHOPLIST.xls]_SHOPLIST_xls_741"/>
      <sheetName val="[SHOPLIST.xls]_SHOPLIST_xls_742"/>
      <sheetName val="[SHOPLIST.xls]_SHOPLIST_xls_743"/>
      <sheetName val="[SHOPLIST.xls]_SHOPLIST_xls_744"/>
      <sheetName val="[SHOPLIST.xls]_SHOPLIST_xls_745"/>
      <sheetName val="[SHOPLIST.xls]_SHOPLIST_xls_746"/>
      <sheetName val="[SHOPLIST.xls]_SHOPLIST_xls_747"/>
      <sheetName val="[SHOPLIST.xls]_SHOPLIST_xls_748"/>
      <sheetName val="[SHOPLIST.xls]_SHOPLIST_xls_749"/>
      <sheetName val="[SHOPLIST.xls]_SHOPLIST_xls_750"/>
      <sheetName val="[SHOPLIST.xls]_SHOPLIST_xls_751"/>
      <sheetName val="[SHOPLIST.xls]_SHOPLIST_xls_752"/>
      <sheetName val="[SHOPLIST.xls]_SHOPLIST_xls_753"/>
      <sheetName val="[SHOPLIST.xls]_SHOPLIST_xls_754"/>
      <sheetName val="[SHOPLIST.xls]_SHOPLIST_xls_755"/>
      <sheetName val="[SHOPLIST.xls]_SHOPLIST_xls_756"/>
      <sheetName val="[SHOPLIST.xls]_SHOPLIST_xls_757"/>
      <sheetName val="[SHOPLIST.xls]_SHOPLIST_xls_758"/>
      <sheetName val="[SHOPLIST.xls]_SHOPLIST_xls_759"/>
      <sheetName val="[SHOPLIST.xls]_SHOPLIST_xls_760"/>
      <sheetName val="[SHOPLIST.xls]_SHOPLIST_xls_761"/>
      <sheetName val="[SHOPLIST.xls]_SHOPLIST_xls_762"/>
      <sheetName val="[SHOPLIST.xls]_SHOPLIST_xls_763"/>
      <sheetName val="[SHOPLIST.xls]_SHOPLIST_xls_764"/>
      <sheetName val="[SHOPLIST.xls]_SHOPLIST_xls_765"/>
      <sheetName val="[SHOPLIST.xls]_SHOPLIST_xls_766"/>
      <sheetName val="[SHOPLIST.xls]_SHOPLIST_xls_767"/>
      <sheetName val="[SHOPLIST.xls]_SHOPLIST_xls_768"/>
      <sheetName val="[SHOPLIST.xls]_SHOPLIST_xls_769"/>
      <sheetName val="[SHOPLIST.xls]_SHOPLIST_xls_770"/>
      <sheetName val="[SHOPLIST.xls]_SHOPLIST_xls_771"/>
      <sheetName val="[SHOPLIST.xls]_SHOPLIST_xls_772"/>
      <sheetName val="[SHOPLIST.xls]_SHOPLIST_xls_773"/>
      <sheetName val="[SHOPLIST.xls]_SHOPLIST_xls_774"/>
      <sheetName val="[SHOPLIST.xls]_SHOPLIST_xls_775"/>
      <sheetName val="[SHOPLIST.xls]_SHOPLIST_xls_776"/>
      <sheetName val="[SHOPLIST.xls]_SHOPLIST_xls_777"/>
      <sheetName val="[SHOPLIST.xls]_SHOPLIST_xls_778"/>
      <sheetName val="[SHOPLIST.xls]_SHOPLIST_xls_779"/>
      <sheetName val="[SHOPLIST.xls]_SHOPLIST_xls_780"/>
      <sheetName val="[SHOPLIST.xls]_SHOPLIST_xls_781"/>
      <sheetName val="[SHOPLIST.xls]_SHOPLIST_xls_782"/>
      <sheetName val="[SHOPLIST.xls]_SHOPLIST_xls_783"/>
      <sheetName val="[SHOPLIST.xls]_SHOPLIST_xls_784"/>
      <sheetName val="[SHOPLIST.xls]_SHOPLIST_xls_785"/>
      <sheetName val="[SHOPLIST.xls]_SHOPLIST_xls_786"/>
      <sheetName val="[SHOPLIST.xls]_SHOPLIST_xls_787"/>
      <sheetName val="[SHOPLIST.xls]_SHOPLIST_xls_788"/>
      <sheetName val="[SHOPLIST.xls]_SHOPLIST_xls_789"/>
      <sheetName val="[SHOPLIST.xls]_SHOPLIST_xls_790"/>
      <sheetName val="[SHOPLIST.xls]_SHOPLIST_xls_791"/>
      <sheetName val="[SHOPLIST.xls]_SHOPLIST_xls_792"/>
      <sheetName val="[SHOPLIST.xls]_SHOPLIST_xls_793"/>
      <sheetName val="[SHOPLIST.xls]_SHOPLIST_xls_794"/>
      <sheetName val="[SHOPLIST.xls]_SHOPLIST_xls_795"/>
      <sheetName val="[SHOPLIST.xls]_SHOPLIST_xls_796"/>
      <sheetName val="[SHOPLIST.xls]_SHOPLIST_xls_797"/>
      <sheetName val="[SHOPLIST.xls]_SHOPLIST_xls_798"/>
      <sheetName val="[SHOPLIST.xls]_SHOPLIST_xls_799"/>
      <sheetName val="[SHOPLIST.xls]_SHOPLIST_xls_800"/>
      <sheetName val="[SHOPLIST.xls]_SHOPLIST_xls_801"/>
      <sheetName val="[SHOPLIST.xls]_SHOPLIST_xls_802"/>
      <sheetName val="[SHOPLIST.xls]_SHOPLIST_xls_803"/>
      <sheetName val="[SHOPLIST.xls]_SHOPLIST_xls_804"/>
      <sheetName val="[SHOPLIST.xls]_SHOPLIST_xls_805"/>
      <sheetName val="[SHOPLIST.xls]_SHOPLIST_xls_806"/>
      <sheetName val="[SHOPLIST.xls]_SHOPLIST_xls_807"/>
      <sheetName val="[SHOPLIST.xls]_SHOPLIST_xls_808"/>
      <sheetName val="[SHOPLIST.xls]_SHOPLIST_xls_809"/>
      <sheetName val="[SHOPLIST.xls]_SHOPLIST_xls_810"/>
      <sheetName val="[SHOPLIST.xls]_SHOPLIST_xls_811"/>
      <sheetName val="[SHOPLIST.xls]_SHOPLIST_xls_812"/>
      <sheetName val="[SHOPLIST.xls]_SHOPLIST_xls_813"/>
      <sheetName val="[SHOPLIST.xls]_SHOPLIST_xls_814"/>
      <sheetName val="[SHOPLIST.xls]_SHOPLIST_xls_815"/>
      <sheetName val="[SHOPLIST.xls]_SHOPLIST_xls_816"/>
      <sheetName val="[SHOPLIST.xls]_SHOPLIST_xls_817"/>
      <sheetName val="[SHOPLIST.xls]_SHOPLIST_xls_818"/>
      <sheetName val="[SHOPLIST.xls]_SHOPLIST_xls_819"/>
      <sheetName val="[SHOPLIST.xls]_SHOPLIST_xls_820"/>
      <sheetName val="[SHOPLIST.xls]_SHOPLIST_xls_821"/>
      <sheetName val="[SHOPLIST.xls]_SHOPLIST_xls_822"/>
      <sheetName val="[SHOPLIST.xls]_SHOPLIST_xls_823"/>
      <sheetName val="[SHOPLIST.xls]_SHOPLIST_xls_824"/>
      <sheetName val="[SHOPLIST.xls]_SHOPLIST_xls_825"/>
      <sheetName val="[SHOPLIST.xls]_SHOPLIST_xls_826"/>
      <sheetName val="[SHOPLIST.xls]_SHOPLIST_xls_827"/>
      <sheetName val="[SHOPLIST.xls]_SHOPLIST_xls_828"/>
      <sheetName val="[SHOPLIST.xls]_SHOPLIST_xls_829"/>
      <sheetName val="[SHOPLIST.xls]_SHOPLIST_xls_830"/>
      <sheetName val="[SHOPLIST.xls]_SHOPLIST_xls_831"/>
      <sheetName val="[SHOPLIST.xls]_SHOPLIST_xls_832"/>
      <sheetName val="[SHOPLIST.xls]_SHOPLIST_xls_833"/>
      <sheetName val="[SHOPLIST.xls]_SHOPLIST_xls_834"/>
      <sheetName val="[SHOPLIST.xls]_SHOPLIST_xls_835"/>
      <sheetName val="[SHOPLIST.xls]_SHOPLIST_xls_836"/>
      <sheetName val="[SHOPLIST.xls]_SHOPLIST_xls_837"/>
      <sheetName val="[SHOPLIST.xls]_SHOPLIST_xls_838"/>
      <sheetName val="[SHOPLIST.xls]70_x005f_x005f_x005f_x0000__7"/>
      <sheetName val="Income Statement"/>
      <sheetName val="[SHOPLIST.xls]70,/0s«iÆøí¬i4"/>
      <sheetName val="[SHOPLIST.xls]70,/0s«iÆøí¬i5"/>
      <sheetName val="Product Sheet40"/>
      <sheetName val="HVAC"/>
      <sheetName val="HVAC-Qty"/>
      <sheetName val="RBD-AHU"/>
      <sheetName val="RBD ENG"/>
      <sheetName val="RBD-EX-RF-01"/>
      <sheetName val="RBD SLD.RLD"/>
      <sheetName val="RBD-VAV"/>
      <sheetName val="V.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refreshError="1"/>
      <sheetData sheetId="183" refreshError="1"/>
      <sheetData sheetId="184"/>
      <sheetData sheetId="185"/>
      <sheetData sheetId="186"/>
      <sheetData sheetId="187"/>
      <sheetData sheetId="188" refreshError="1"/>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refreshError="1"/>
      <sheetData sheetId="254" refreshError="1"/>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sheetData sheetId="306"/>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sheetData sheetId="323"/>
      <sheetData sheetId="324"/>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sheetData sheetId="349"/>
      <sheetData sheetId="350"/>
      <sheetData sheetId="351"/>
      <sheetData sheetId="352"/>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sheetData sheetId="413" refreshError="1"/>
      <sheetData sheetId="414" refreshError="1"/>
      <sheetData sheetId="415" refreshError="1"/>
      <sheetData sheetId="416" refreshError="1"/>
      <sheetData sheetId="417"/>
      <sheetData sheetId="418"/>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refreshError="1"/>
      <sheetData sheetId="559" refreshError="1"/>
      <sheetData sheetId="560" refreshError="1"/>
      <sheetData sheetId="561"/>
      <sheetData sheetId="562"/>
      <sheetData sheetId="563"/>
      <sheetData sheetId="564"/>
      <sheetData sheetId="565"/>
      <sheetData sheetId="566"/>
      <sheetData sheetId="567" refreshError="1"/>
      <sheetData sheetId="568"/>
      <sheetData sheetId="569"/>
      <sheetData sheetId="570"/>
      <sheetData sheetId="571"/>
      <sheetData sheetId="572"/>
      <sheetData sheetId="573" refreshError="1"/>
      <sheetData sheetId="574"/>
      <sheetData sheetId="575"/>
      <sheetData sheetId="576"/>
      <sheetData sheetId="577" refreshError="1"/>
      <sheetData sheetId="578"/>
      <sheetData sheetId="579"/>
      <sheetData sheetId="580"/>
      <sheetData sheetId="58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sheetData sheetId="598"/>
      <sheetData sheetId="599"/>
      <sheetData sheetId="600"/>
      <sheetData sheetId="601"/>
      <sheetData sheetId="602"/>
      <sheetData sheetId="603"/>
      <sheetData sheetId="604"/>
      <sheetData sheetId="605"/>
      <sheetData sheetId="606" refreshError="1"/>
      <sheetData sheetId="607"/>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refreshError="1"/>
      <sheetData sheetId="793" refreshError="1"/>
      <sheetData sheetId="794" refreshError="1"/>
      <sheetData sheetId="795" refreshError="1"/>
      <sheetData sheetId="796" refreshError="1"/>
      <sheetData sheetId="797" refreshError="1"/>
      <sheetData sheetId="798" refreshError="1"/>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refreshError="1"/>
      <sheetData sheetId="818" refreshError="1"/>
      <sheetData sheetId="819" refreshError="1"/>
      <sheetData sheetId="820" refreshError="1"/>
      <sheetData sheetId="821" refreshError="1"/>
      <sheetData sheetId="822" refreshError="1"/>
      <sheetData sheetId="823"/>
      <sheetData sheetId="824"/>
      <sheetData sheetId="825" refreshError="1"/>
      <sheetData sheetId="826" refreshError="1"/>
      <sheetData sheetId="827"/>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sheetData sheetId="841"/>
      <sheetData sheetId="842"/>
      <sheetData sheetId="843"/>
      <sheetData sheetId="844" refreshError="1"/>
      <sheetData sheetId="845" refreshError="1"/>
      <sheetData sheetId="846" refreshError="1"/>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refreshError="1"/>
      <sheetData sheetId="919" refreshError="1"/>
      <sheetData sheetId="920" refreshError="1"/>
      <sheetData sheetId="921" refreshError="1"/>
      <sheetData sheetId="922"/>
      <sheetData sheetId="923"/>
      <sheetData sheetId="924"/>
      <sheetData sheetId="925"/>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sheetData sheetId="948" refreshError="1"/>
      <sheetData sheetId="949" refreshError="1"/>
      <sheetData sheetId="950"/>
      <sheetData sheetId="951"/>
      <sheetData sheetId="952"/>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refreshError="1"/>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refreshError="1"/>
      <sheetData sheetId="1076" refreshError="1"/>
      <sheetData sheetId="1077" refreshError="1"/>
      <sheetData sheetId="1078" refreshError="1"/>
      <sheetData sheetId="1079" refreshError="1"/>
      <sheetData sheetId="1080" refreshError="1"/>
      <sheetData sheetId="1081" refreshError="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refreshError="1"/>
      <sheetData sheetId="1101"/>
      <sheetData sheetId="1102" refreshError="1"/>
      <sheetData sheetId="1103" refreshError="1"/>
      <sheetData sheetId="1104" refreshError="1"/>
      <sheetData sheetId="1105" refreshError="1"/>
      <sheetData sheetId="1106" refreshError="1"/>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refreshError="1"/>
      <sheetData sheetId="1306" refreshError="1"/>
      <sheetData sheetId="1307" refreshError="1"/>
      <sheetData sheetId="1308" refreshError="1"/>
      <sheetData sheetId="1309" refreshError="1"/>
      <sheetData sheetId="1310"/>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sheetData sheetId="1320"/>
      <sheetData sheetId="1321"/>
      <sheetData sheetId="1322"/>
      <sheetData sheetId="1323"/>
      <sheetData sheetId="1324" refreshError="1"/>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sheetData sheetId="1354" refreshError="1"/>
      <sheetData sheetId="1355" refreshError="1"/>
      <sheetData sheetId="1356" refreshError="1"/>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refreshError="1"/>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refreshError="1"/>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refreshError="1"/>
      <sheetData sheetId="1662" refreshError="1"/>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refreshError="1"/>
      <sheetData sheetId="1689" refreshError="1"/>
      <sheetData sheetId="1690"/>
      <sheetData sheetId="169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sheetData sheetId="1723" refreshError="1"/>
      <sheetData sheetId="1724" refreshError="1"/>
      <sheetData sheetId="1725" refreshError="1"/>
      <sheetData sheetId="1726"/>
      <sheetData sheetId="1727"/>
      <sheetData sheetId="1728"/>
      <sheetData sheetId="1729"/>
      <sheetData sheetId="1730"/>
      <sheetData sheetId="1731"/>
      <sheetData sheetId="1732"/>
      <sheetData sheetId="1733"/>
      <sheetData sheetId="1734" refreshError="1"/>
      <sheetData sheetId="1735"/>
      <sheetData sheetId="1736" refreshError="1"/>
      <sheetData sheetId="1737" refreshError="1"/>
      <sheetData sheetId="1738" refreshError="1"/>
      <sheetData sheetId="1739" refreshError="1"/>
      <sheetData sheetId="1740" refreshError="1"/>
      <sheetData sheetId="1741" refreshError="1"/>
      <sheetData sheetId="1742" refreshError="1"/>
      <sheetData sheetId="1743"/>
      <sheetData sheetId="1744"/>
      <sheetData sheetId="1745"/>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refreshError="1"/>
      <sheetData sheetId="2072" refreshError="1"/>
      <sheetData sheetId="2073" refreshError="1"/>
      <sheetData sheetId="2074" refreshError="1"/>
      <sheetData sheetId="2075" refreshError="1"/>
      <sheetData sheetId="2076" refreshError="1"/>
      <sheetData sheetId="2077"/>
      <sheetData sheetId="2078"/>
      <sheetData sheetId="2079"/>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sheetData sheetId="2089"/>
      <sheetData sheetId="2090"/>
      <sheetData sheetId="2091"/>
      <sheetData sheetId="2092"/>
      <sheetData sheetId="2093"/>
      <sheetData sheetId="2094" refreshError="1"/>
      <sheetData sheetId="2095" refreshError="1"/>
      <sheetData sheetId="2096"/>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sheetData sheetId="2140"/>
      <sheetData sheetId="2141"/>
      <sheetData sheetId="2142" refreshError="1"/>
      <sheetData sheetId="2143" refreshError="1"/>
      <sheetData sheetId="2144" refreshError="1"/>
      <sheetData sheetId="2145" refreshError="1"/>
      <sheetData sheetId="2146" refreshError="1"/>
      <sheetData sheetId="2147" refreshError="1"/>
      <sheetData sheetId="2148"/>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sheetData sheetId="2187" refreshError="1"/>
      <sheetData sheetId="2188" refreshError="1"/>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sheetData sheetId="2463"/>
      <sheetData sheetId="2464" refreshError="1"/>
      <sheetData sheetId="2465"/>
      <sheetData sheetId="2466"/>
      <sheetData sheetId="2467"/>
      <sheetData sheetId="2468"/>
      <sheetData sheetId="2469"/>
      <sheetData sheetId="2470"/>
      <sheetData sheetId="2471"/>
      <sheetData sheetId="2472"/>
      <sheetData sheetId="2473"/>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sheetData sheetId="2485"/>
      <sheetData sheetId="2486" refreshError="1"/>
      <sheetData sheetId="2487" refreshError="1"/>
      <sheetData sheetId="2488" refreshError="1"/>
      <sheetData sheetId="2489" refreshError="1"/>
      <sheetData sheetId="2490" refreshError="1"/>
      <sheetData sheetId="2491" refreshError="1"/>
      <sheetData sheetId="2492" refreshError="1"/>
      <sheetData sheetId="2493"/>
      <sheetData sheetId="2494"/>
      <sheetData sheetId="2495"/>
      <sheetData sheetId="2496"/>
      <sheetData sheetId="2497" refreshError="1"/>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refreshError="1"/>
      <sheetData sheetId="3040" refreshError="1"/>
      <sheetData sheetId="3041" refreshError="1"/>
      <sheetData sheetId="3042" refreshError="1"/>
      <sheetData sheetId="3043" refreshError="1"/>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sheetData sheetId="3346"/>
      <sheetData sheetId="3347"/>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refreshError="1"/>
      <sheetData sheetId="3646" refreshError="1"/>
      <sheetData sheetId="3647" refreshError="1"/>
      <sheetData sheetId="3648" refreshError="1"/>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sheetData sheetId="4011"/>
      <sheetData sheetId="4012" refreshError="1"/>
      <sheetData sheetId="4013" refreshError="1"/>
      <sheetData sheetId="4014" refreshError="1"/>
      <sheetData sheetId="4015" refreshError="1"/>
      <sheetData sheetId="4016" refreshError="1"/>
      <sheetData sheetId="4017" refreshError="1"/>
      <sheetData sheetId="4018" refreshError="1"/>
      <sheetData sheetId="4019"/>
      <sheetData sheetId="4020"/>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refreshError="1"/>
      <sheetData sheetId="4405" refreshError="1"/>
      <sheetData sheetId="4406" refreshError="1"/>
      <sheetData sheetId="4407" refreshError="1"/>
      <sheetData sheetId="4408" refreshError="1"/>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refreshError="1"/>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refreshError="1"/>
      <sheetData sheetId="6644" refreshError="1"/>
      <sheetData sheetId="6645" refreshError="1"/>
      <sheetData sheetId="6646"/>
      <sheetData sheetId="6647" refreshError="1"/>
      <sheetData sheetId="6648" refreshError="1"/>
      <sheetData sheetId="6649" refreshError="1"/>
      <sheetData sheetId="6650" refreshError="1"/>
      <sheetData sheetId="6651" refreshError="1"/>
      <sheetData sheetId="6652" refreshError="1"/>
      <sheetData sheetId="6653" refreshError="1"/>
      <sheetData sheetId="6654"/>
      <sheetData sheetId="6655"/>
      <sheetData sheetId="6656"/>
      <sheetData sheetId="6657"/>
      <sheetData sheetId="6658" refreshError="1"/>
      <sheetData sheetId="6659"/>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sheetData sheetId="7521"/>
      <sheetData sheetId="7522" refreshError="1"/>
      <sheetData sheetId="7523" refreshError="1"/>
      <sheetData sheetId="7524" refreshError="1"/>
      <sheetData sheetId="7525"/>
      <sheetData sheetId="7526"/>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refreshError="1"/>
      <sheetData sheetId="7568" refreshError="1"/>
      <sheetData sheetId="7569" refreshError="1"/>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refreshError="1"/>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refreshError="1"/>
      <sheetData sheetId="7617" refreshError="1"/>
      <sheetData sheetId="7618" refreshError="1"/>
      <sheetData sheetId="7619" refreshError="1"/>
      <sheetData sheetId="7620" refreshError="1"/>
      <sheetData sheetId="7621"/>
      <sheetData sheetId="7622" refreshError="1"/>
      <sheetData sheetId="7623" refreshError="1"/>
      <sheetData sheetId="7624"/>
      <sheetData sheetId="7625"/>
      <sheetData sheetId="7626"/>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sheetData sheetId="7697"/>
      <sheetData sheetId="7698"/>
      <sheetData sheetId="7699"/>
      <sheetData sheetId="7700" refreshError="1"/>
      <sheetData sheetId="7701" refreshError="1"/>
      <sheetData sheetId="7702" refreshError="1"/>
      <sheetData sheetId="7703" refreshError="1"/>
      <sheetData sheetId="7704"/>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sheetData sheetId="7714"/>
      <sheetData sheetId="7715"/>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sheetData sheetId="7805"/>
      <sheetData sheetId="7806"/>
      <sheetData sheetId="7807"/>
      <sheetData sheetId="7808"/>
      <sheetData sheetId="7809" refreshError="1"/>
      <sheetData sheetId="7810" refreshError="1"/>
      <sheetData sheetId="7811" refreshError="1"/>
      <sheetData sheetId="7812" refreshError="1"/>
      <sheetData sheetId="7813" refreshError="1"/>
      <sheetData sheetId="7814"/>
      <sheetData sheetId="7815"/>
      <sheetData sheetId="7816" refreshError="1"/>
      <sheetData sheetId="7817"/>
      <sheetData sheetId="7818"/>
      <sheetData sheetId="7819"/>
      <sheetData sheetId="7820"/>
      <sheetData sheetId="7821"/>
      <sheetData sheetId="7822"/>
      <sheetData sheetId="7823" refreshError="1"/>
      <sheetData sheetId="7824" refreshError="1"/>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refreshError="1"/>
      <sheetData sheetId="7838" refreshError="1"/>
      <sheetData sheetId="7839"/>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sheetData sheetId="7872"/>
      <sheetData sheetId="7873"/>
      <sheetData sheetId="7874"/>
      <sheetData sheetId="7875" refreshError="1"/>
      <sheetData sheetId="7876" refreshError="1"/>
      <sheetData sheetId="7877" refreshError="1"/>
      <sheetData sheetId="7878"/>
      <sheetData sheetId="7879" refreshError="1"/>
      <sheetData sheetId="7880" refreshError="1"/>
      <sheetData sheetId="788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sheetData sheetId="7905"/>
      <sheetData sheetId="7906"/>
      <sheetData sheetId="7907"/>
      <sheetData sheetId="7908"/>
      <sheetData sheetId="7909"/>
      <sheetData sheetId="7910" refreshError="1"/>
      <sheetData sheetId="7911"/>
      <sheetData sheetId="7912" refreshError="1"/>
      <sheetData sheetId="7913" refreshError="1"/>
      <sheetData sheetId="7914" refreshError="1"/>
      <sheetData sheetId="7915" refreshError="1"/>
      <sheetData sheetId="7916" refreshError="1"/>
      <sheetData sheetId="7917"/>
      <sheetData sheetId="7918"/>
      <sheetData sheetId="7919"/>
      <sheetData sheetId="7920"/>
      <sheetData sheetId="7921"/>
      <sheetData sheetId="7922"/>
      <sheetData sheetId="7923"/>
      <sheetData sheetId="7924"/>
      <sheetData sheetId="7925"/>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sheetData sheetId="7940" refreshError="1"/>
      <sheetData sheetId="7941"/>
      <sheetData sheetId="7942" refreshError="1"/>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refreshError="1"/>
      <sheetData sheetId="7956" refreshError="1"/>
      <sheetData sheetId="7957" refreshError="1"/>
      <sheetData sheetId="7958" refreshError="1"/>
      <sheetData sheetId="7959" refreshError="1"/>
      <sheetData sheetId="7960"/>
      <sheetData sheetId="7961"/>
      <sheetData sheetId="7962"/>
      <sheetData sheetId="7963"/>
      <sheetData sheetId="7964"/>
      <sheetData sheetId="7965"/>
      <sheetData sheetId="7966"/>
      <sheetData sheetId="7967"/>
      <sheetData sheetId="7968"/>
      <sheetData sheetId="7969"/>
      <sheetData sheetId="7970"/>
      <sheetData sheetId="7971" refreshError="1"/>
      <sheetData sheetId="7972" refreshError="1"/>
      <sheetData sheetId="7973" refreshError="1"/>
      <sheetData sheetId="7974"/>
      <sheetData sheetId="7975"/>
      <sheetData sheetId="7976"/>
      <sheetData sheetId="7977" refreshError="1"/>
      <sheetData sheetId="7978" refreshError="1"/>
      <sheetData sheetId="7979" refreshError="1"/>
      <sheetData sheetId="7980" refreshError="1"/>
      <sheetData sheetId="7981"/>
      <sheetData sheetId="7982"/>
      <sheetData sheetId="7983" refreshError="1"/>
      <sheetData sheetId="7984" refreshError="1"/>
      <sheetData sheetId="7985" refreshError="1"/>
      <sheetData sheetId="7986" refreshError="1"/>
      <sheetData sheetId="7987" refreshError="1"/>
      <sheetData sheetId="7988"/>
      <sheetData sheetId="7989"/>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sheetData sheetId="8019"/>
      <sheetData sheetId="8020"/>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sheetData sheetId="8038" refreshError="1"/>
      <sheetData sheetId="8039" refreshError="1"/>
      <sheetData sheetId="8040" refreshError="1"/>
      <sheetData sheetId="8041" refreshError="1"/>
      <sheetData sheetId="8042" refreshError="1"/>
      <sheetData sheetId="8043" refreshError="1"/>
      <sheetData sheetId="8044"/>
      <sheetData sheetId="8045"/>
      <sheetData sheetId="8046" refreshError="1"/>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refreshError="1"/>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refreshError="1"/>
      <sheetData sheetId="8551" refreshError="1"/>
      <sheetData sheetId="8552" refreshError="1"/>
      <sheetData sheetId="8553" refreshError="1"/>
      <sheetData sheetId="8554" refreshError="1"/>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refreshError="1"/>
      <sheetData sheetId="8573"/>
      <sheetData sheetId="8574"/>
      <sheetData sheetId="8575"/>
      <sheetData sheetId="8576"/>
      <sheetData sheetId="8577"/>
      <sheetData sheetId="8578"/>
      <sheetData sheetId="8579"/>
      <sheetData sheetId="8580"/>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sheetData sheetId="8600" refreshError="1"/>
      <sheetData sheetId="8601" refreshError="1"/>
      <sheetData sheetId="8602" refreshError="1"/>
      <sheetData sheetId="8603" refreshError="1"/>
      <sheetData sheetId="8604" refreshError="1"/>
      <sheetData sheetId="8605"/>
      <sheetData sheetId="8606"/>
      <sheetData sheetId="8607"/>
      <sheetData sheetId="8608" refreshError="1"/>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refreshError="1"/>
      <sheetData sheetId="8626" refreshError="1"/>
      <sheetData sheetId="8627" refreshError="1"/>
      <sheetData sheetId="8628"/>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sheetData sheetId="8650" refreshError="1"/>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refreshError="1"/>
      <sheetData sheetId="8781" refreshError="1"/>
      <sheetData sheetId="8782" refreshError="1"/>
      <sheetData sheetId="8783" refreshError="1"/>
      <sheetData sheetId="8784" refreshError="1"/>
      <sheetData sheetId="8785" refreshError="1"/>
      <sheetData sheetId="8786" refreshError="1"/>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refreshError="1"/>
      <sheetData sheetId="8800" refreshError="1"/>
      <sheetData sheetId="8801" refreshError="1"/>
      <sheetData sheetId="8802"/>
      <sheetData sheetId="8803"/>
      <sheetData sheetId="8804"/>
      <sheetData sheetId="8805"/>
      <sheetData sheetId="8806"/>
      <sheetData sheetId="8807"/>
      <sheetData sheetId="8808"/>
      <sheetData sheetId="8809"/>
      <sheetData sheetId="8810"/>
      <sheetData sheetId="8811"/>
      <sheetData sheetId="8812" refreshError="1"/>
      <sheetData sheetId="8813" refreshError="1"/>
      <sheetData sheetId="8814" refreshError="1"/>
      <sheetData sheetId="8815" refreshError="1"/>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refreshError="1"/>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refreshError="1"/>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refreshError="1"/>
      <sheetData sheetId="9206" refreshError="1"/>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refreshError="1"/>
      <sheetData sheetId="9290"/>
      <sheetData sheetId="9291"/>
      <sheetData sheetId="9292"/>
      <sheetData sheetId="9293"/>
      <sheetData sheetId="9294"/>
      <sheetData sheetId="9295"/>
      <sheetData sheetId="9296"/>
      <sheetData sheetId="9297"/>
      <sheetData sheetId="9298"/>
      <sheetData sheetId="9299"/>
      <sheetData sheetId="9300"/>
      <sheetData sheetId="9301" refreshError="1"/>
      <sheetData sheetId="9302" refreshError="1"/>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refreshError="1"/>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sheetData sheetId="9555" refreshError="1"/>
      <sheetData sheetId="9556" refreshError="1"/>
      <sheetData sheetId="9557"/>
      <sheetData sheetId="9558" refreshError="1"/>
      <sheetData sheetId="9559"/>
      <sheetData sheetId="9560" refreshError="1"/>
      <sheetData sheetId="9561" refreshError="1"/>
      <sheetData sheetId="9562" refreshError="1"/>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refreshError="1"/>
      <sheetData sheetId="9830" refreshError="1"/>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sheetData sheetId="10913"/>
      <sheetData sheetId="10914"/>
      <sheetData sheetId="10915"/>
      <sheetData sheetId="10916" refreshError="1"/>
      <sheetData sheetId="10917" refreshError="1"/>
      <sheetData sheetId="10918" refreshError="1"/>
      <sheetData sheetId="10919" refreshError="1"/>
      <sheetData sheetId="10920"/>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refreshError="1"/>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refreshError="1"/>
      <sheetData sheetId="11037" refreshError="1"/>
      <sheetData sheetId="11038"/>
      <sheetData sheetId="11039"/>
      <sheetData sheetId="11040"/>
      <sheetData sheetId="1104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refreshError="1"/>
      <sheetData sheetId="11080" refreshError="1"/>
      <sheetData sheetId="11081" refreshError="1"/>
      <sheetData sheetId="11082"/>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refreshError="1"/>
      <sheetData sheetId="11992" refreshError="1"/>
      <sheetData sheetId="11993" refreshError="1"/>
      <sheetData sheetId="11994" refreshError="1"/>
      <sheetData sheetId="11995"/>
      <sheetData sheetId="11996"/>
      <sheetData sheetId="11997" refreshError="1"/>
      <sheetData sheetId="11998"/>
      <sheetData sheetId="11999"/>
      <sheetData sheetId="12000"/>
      <sheetData sheetId="12001"/>
      <sheetData sheetId="12002"/>
      <sheetData sheetId="12003"/>
      <sheetData sheetId="12004"/>
      <sheetData sheetId="12005"/>
      <sheetData sheetId="12006" refreshError="1"/>
      <sheetData sheetId="12007" refreshError="1"/>
      <sheetData sheetId="12008" refreshError="1"/>
      <sheetData sheetId="12009" refreshError="1"/>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refreshError="1"/>
      <sheetData sheetId="12031" refreshError="1"/>
      <sheetData sheetId="12032" refreshError="1"/>
      <sheetData sheetId="12033" refreshError="1"/>
      <sheetData sheetId="12034" refreshError="1"/>
      <sheetData sheetId="12035" refreshError="1"/>
      <sheetData sheetId="12036"/>
      <sheetData sheetId="12037"/>
      <sheetData sheetId="12038" refreshError="1"/>
      <sheetData sheetId="12039" refreshError="1"/>
      <sheetData sheetId="12040"/>
      <sheetData sheetId="12041"/>
      <sheetData sheetId="12042"/>
      <sheetData sheetId="12043"/>
      <sheetData sheetId="12044" refreshError="1"/>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refreshError="1"/>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refreshError="1"/>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refreshError="1"/>
      <sheetData sheetId="12148" refreshError="1"/>
      <sheetData sheetId="12149"/>
      <sheetData sheetId="12150"/>
      <sheetData sheetId="12151"/>
      <sheetData sheetId="12152"/>
      <sheetData sheetId="12153"/>
      <sheetData sheetId="12154" refreshError="1"/>
      <sheetData sheetId="12155"/>
      <sheetData sheetId="12156"/>
      <sheetData sheetId="12157"/>
      <sheetData sheetId="12158"/>
      <sheetData sheetId="12159" refreshError="1"/>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refreshError="1"/>
      <sheetData sheetId="12180" refreshError="1"/>
      <sheetData sheetId="12181" refreshError="1"/>
      <sheetData sheetId="12182" refreshError="1"/>
      <sheetData sheetId="12183" refreshError="1"/>
      <sheetData sheetId="12184"/>
      <sheetData sheetId="12185" refreshError="1"/>
      <sheetData sheetId="12186"/>
      <sheetData sheetId="12187"/>
      <sheetData sheetId="12188" refreshError="1"/>
      <sheetData sheetId="12189" refreshError="1"/>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sheetData sheetId="12216"/>
      <sheetData sheetId="12217"/>
      <sheetData sheetId="12218"/>
      <sheetData sheetId="12219"/>
      <sheetData sheetId="12220"/>
      <sheetData sheetId="12221"/>
      <sheetData sheetId="12222"/>
      <sheetData sheetId="12223"/>
      <sheetData sheetId="12224"/>
      <sheetData sheetId="12225"/>
      <sheetData sheetId="12226"/>
      <sheetData sheetId="12227"/>
      <sheetData sheetId="12228"/>
      <sheetData sheetId="12229" refreshError="1"/>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sheetData sheetId="12295"/>
      <sheetData sheetId="12296"/>
      <sheetData sheetId="12297" refreshError="1"/>
      <sheetData sheetId="12298" refreshError="1"/>
      <sheetData sheetId="12299"/>
      <sheetData sheetId="12300" refreshError="1"/>
      <sheetData sheetId="12301" refreshError="1"/>
      <sheetData sheetId="12302"/>
      <sheetData sheetId="12303"/>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sheetData sheetId="12316"/>
      <sheetData sheetId="12317"/>
      <sheetData sheetId="12318"/>
      <sheetData sheetId="12319"/>
      <sheetData sheetId="12320"/>
      <sheetData sheetId="12321" refreshError="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refreshError="1"/>
      <sheetData sheetId="12389"/>
      <sheetData sheetId="12390"/>
      <sheetData sheetId="12391" refreshError="1"/>
      <sheetData sheetId="12392" refreshError="1"/>
      <sheetData sheetId="12393" refreshError="1"/>
      <sheetData sheetId="12394" refreshError="1"/>
      <sheetData sheetId="12395"/>
      <sheetData sheetId="12396"/>
      <sheetData sheetId="12397"/>
      <sheetData sheetId="12398"/>
      <sheetData sheetId="12399"/>
      <sheetData sheetId="12400"/>
      <sheetData sheetId="12401"/>
      <sheetData sheetId="12402"/>
      <sheetData sheetId="12403"/>
      <sheetData sheetId="12404"/>
      <sheetData sheetId="12405"/>
      <sheetData sheetId="12406"/>
      <sheetData sheetId="12407" refreshError="1"/>
      <sheetData sheetId="12408"/>
      <sheetData sheetId="12409"/>
      <sheetData sheetId="12410"/>
      <sheetData sheetId="12411"/>
      <sheetData sheetId="12412"/>
      <sheetData sheetId="12413"/>
      <sheetData sheetId="12414"/>
      <sheetData sheetId="12415"/>
      <sheetData sheetId="12416"/>
      <sheetData sheetId="12417"/>
      <sheetData sheetId="12418" refreshError="1"/>
      <sheetData sheetId="12419"/>
      <sheetData sheetId="12420"/>
      <sheetData sheetId="12421" refreshError="1"/>
      <sheetData sheetId="12422"/>
      <sheetData sheetId="12423" refreshError="1"/>
      <sheetData sheetId="12424" refreshError="1"/>
      <sheetData sheetId="12425" refreshError="1"/>
      <sheetData sheetId="12426" refreshError="1"/>
      <sheetData sheetId="12427"/>
      <sheetData sheetId="12428"/>
      <sheetData sheetId="12429"/>
      <sheetData sheetId="12430"/>
      <sheetData sheetId="12431"/>
      <sheetData sheetId="12432"/>
      <sheetData sheetId="12433"/>
      <sheetData sheetId="12434"/>
      <sheetData sheetId="12435" refreshError="1"/>
      <sheetData sheetId="12436" refreshError="1"/>
      <sheetData sheetId="12437" refreshError="1"/>
      <sheetData sheetId="12438" refreshError="1"/>
      <sheetData sheetId="12439" refreshError="1"/>
      <sheetData sheetId="12440" refreshError="1"/>
      <sheetData sheetId="12441"/>
      <sheetData sheetId="12442" refreshError="1"/>
      <sheetData sheetId="12443" refreshError="1"/>
      <sheetData sheetId="12444" refreshError="1"/>
      <sheetData sheetId="12445" refreshError="1"/>
      <sheetData sheetId="12446"/>
      <sheetData sheetId="12447"/>
      <sheetData sheetId="12448"/>
      <sheetData sheetId="12449"/>
      <sheetData sheetId="12450"/>
      <sheetData sheetId="12451"/>
      <sheetData sheetId="12452"/>
      <sheetData sheetId="12453"/>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sheetData sheetId="12477"/>
      <sheetData sheetId="12478"/>
      <sheetData sheetId="12479"/>
      <sheetData sheetId="12480"/>
      <sheetData sheetId="12481"/>
      <sheetData sheetId="12482"/>
      <sheetData sheetId="12483"/>
      <sheetData sheetId="12484"/>
      <sheetData sheetId="12485"/>
      <sheetData sheetId="12486" refreshError="1"/>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sheetData sheetId="12526"/>
      <sheetData sheetId="12527"/>
      <sheetData sheetId="12528"/>
      <sheetData sheetId="12529"/>
      <sheetData sheetId="12530"/>
      <sheetData sheetId="12531"/>
      <sheetData sheetId="12532"/>
      <sheetData sheetId="12533"/>
      <sheetData sheetId="12534"/>
      <sheetData sheetId="12535"/>
      <sheetData sheetId="12536"/>
      <sheetData sheetId="12537"/>
      <sheetData sheetId="12538"/>
      <sheetData sheetId="12539"/>
      <sheetData sheetId="12540"/>
      <sheetData sheetId="12541"/>
      <sheetData sheetId="12542"/>
      <sheetData sheetId="12543"/>
      <sheetData sheetId="12544"/>
      <sheetData sheetId="12545"/>
      <sheetData sheetId="12546"/>
      <sheetData sheetId="12547"/>
      <sheetData sheetId="12548"/>
      <sheetData sheetId="12549"/>
      <sheetData sheetId="12550"/>
      <sheetData sheetId="12551"/>
      <sheetData sheetId="12552"/>
      <sheetData sheetId="12553" refreshError="1"/>
      <sheetData sheetId="12554" refreshError="1"/>
      <sheetData sheetId="12555" refreshError="1"/>
      <sheetData sheetId="12556" refreshError="1"/>
      <sheetData sheetId="12557" refreshError="1"/>
      <sheetData sheetId="12558"/>
      <sheetData sheetId="12559"/>
      <sheetData sheetId="12560"/>
      <sheetData sheetId="12561"/>
      <sheetData sheetId="12562"/>
      <sheetData sheetId="12563"/>
      <sheetData sheetId="12564"/>
      <sheetData sheetId="12565"/>
      <sheetData sheetId="12566"/>
      <sheetData sheetId="12567"/>
      <sheetData sheetId="12568"/>
      <sheetData sheetId="12569"/>
      <sheetData sheetId="12570"/>
      <sheetData sheetId="12571"/>
      <sheetData sheetId="12572"/>
      <sheetData sheetId="12573"/>
      <sheetData sheetId="12574" refreshError="1"/>
      <sheetData sheetId="12575" refreshError="1"/>
      <sheetData sheetId="12576" refreshError="1"/>
      <sheetData sheetId="12577" refreshError="1"/>
      <sheetData sheetId="12578"/>
      <sheetData sheetId="12579"/>
      <sheetData sheetId="12580"/>
      <sheetData sheetId="12581"/>
      <sheetData sheetId="12582"/>
      <sheetData sheetId="12583"/>
      <sheetData sheetId="12584"/>
      <sheetData sheetId="12585"/>
      <sheetData sheetId="12586"/>
      <sheetData sheetId="12587" refreshError="1"/>
      <sheetData sheetId="12588" refreshError="1"/>
      <sheetData sheetId="12589" refreshError="1"/>
      <sheetData sheetId="12590" refreshError="1"/>
      <sheetData sheetId="12591" refreshError="1"/>
      <sheetData sheetId="12592" refreshError="1"/>
      <sheetData sheetId="12593"/>
      <sheetData sheetId="12594"/>
      <sheetData sheetId="12595" refreshError="1"/>
      <sheetData sheetId="12596" refreshError="1"/>
      <sheetData sheetId="12597"/>
      <sheetData sheetId="12598"/>
      <sheetData sheetId="12599"/>
      <sheetData sheetId="12600"/>
      <sheetData sheetId="12601"/>
      <sheetData sheetId="12602"/>
      <sheetData sheetId="12603"/>
      <sheetData sheetId="12604"/>
      <sheetData sheetId="12605"/>
      <sheetData sheetId="12606"/>
      <sheetData sheetId="12607"/>
      <sheetData sheetId="12608"/>
      <sheetData sheetId="12609"/>
      <sheetData sheetId="12610"/>
      <sheetData sheetId="12611"/>
      <sheetData sheetId="12612"/>
      <sheetData sheetId="12613"/>
      <sheetData sheetId="12614"/>
      <sheetData sheetId="12615"/>
      <sheetData sheetId="12616"/>
      <sheetData sheetId="12617"/>
      <sheetData sheetId="12618"/>
      <sheetData sheetId="12619"/>
      <sheetData sheetId="12620"/>
      <sheetData sheetId="12621"/>
      <sheetData sheetId="12622"/>
      <sheetData sheetId="12623"/>
      <sheetData sheetId="12624"/>
      <sheetData sheetId="12625"/>
      <sheetData sheetId="12626"/>
      <sheetData sheetId="12627"/>
      <sheetData sheetId="12628"/>
      <sheetData sheetId="12629"/>
      <sheetData sheetId="12630"/>
      <sheetData sheetId="12631"/>
      <sheetData sheetId="12632"/>
      <sheetData sheetId="12633"/>
      <sheetData sheetId="12634"/>
      <sheetData sheetId="12635"/>
      <sheetData sheetId="12636"/>
      <sheetData sheetId="12637" refreshError="1"/>
      <sheetData sheetId="12638"/>
      <sheetData sheetId="12639"/>
      <sheetData sheetId="12640"/>
      <sheetData sheetId="12641"/>
      <sheetData sheetId="12642"/>
      <sheetData sheetId="12643"/>
      <sheetData sheetId="12644"/>
      <sheetData sheetId="12645"/>
      <sheetData sheetId="12646"/>
      <sheetData sheetId="12647"/>
      <sheetData sheetId="12648"/>
      <sheetData sheetId="12649"/>
      <sheetData sheetId="12650"/>
      <sheetData sheetId="12651"/>
      <sheetData sheetId="12652"/>
      <sheetData sheetId="12653"/>
      <sheetData sheetId="12654"/>
      <sheetData sheetId="12655"/>
      <sheetData sheetId="12656"/>
      <sheetData sheetId="12657"/>
      <sheetData sheetId="12658"/>
      <sheetData sheetId="12659"/>
      <sheetData sheetId="12660"/>
      <sheetData sheetId="12661"/>
      <sheetData sheetId="12662"/>
      <sheetData sheetId="12663"/>
      <sheetData sheetId="12664"/>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bstract"/>
      <sheetName val="Measurments"/>
      <sheetName val="RF Sub"/>
      <sheetName val="RF Sub Factors"/>
      <sheetName val="Sheet2"/>
      <sheetName val="Initial Data"/>
      <sheetName val="RF_Sub"/>
      <sheetName val="RF_Sub_Factors"/>
      <sheetName val="Initial_Data"/>
      <sheetName val="RF_Sub1"/>
      <sheetName val="RF_Sub_Factors1"/>
      <sheetName val="Bill 9 -Sitewrk"/>
      <sheetName val="4C (R2)"/>
      <sheetName val="Dropdowns"/>
      <sheetName val="RF_Sub2"/>
      <sheetName val="RF_Sub_Factors2"/>
      <sheetName val="Initial_Data1"/>
      <sheetName val="RF_Sub3"/>
      <sheetName val="RF_Sub_Factors3"/>
      <sheetName val="Initial_Data2"/>
      <sheetName val="Bill_9_-Sitewrk"/>
      <sheetName val="4C_(R2)"/>
      <sheetName val="RF_Sub4"/>
      <sheetName val="RF_Sub_Factors4"/>
      <sheetName val="Initial_Data3"/>
      <sheetName val="Bill_9_-Sitewrk1"/>
      <sheetName val="4C_(R2)1"/>
      <sheetName val="RF_Sub5"/>
      <sheetName val="RF_Sub_Factors5"/>
      <sheetName val="Initial_Data4"/>
      <sheetName val="Bill_9_-Sitewrk2"/>
      <sheetName val="4C_(R2)2"/>
      <sheetName val="RF_Sub6"/>
      <sheetName val="RF_Sub_Factors6"/>
      <sheetName val="Initial_Data5"/>
      <sheetName val="Bill_9_-Sitewrk3"/>
      <sheetName val="4C_(R2)3"/>
      <sheetName val="RF_Sub7"/>
      <sheetName val="RF_Sub_Factors7"/>
      <sheetName val="Initial_Data6"/>
      <sheetName val="Bill_9_-Sitewrk4"/>
      <sheetName val="4C_(R2)4"/>
      <sheetName val="RF_Sub8"/>
      <sheetName val="RF_Sub_Factors8"/>
      <sheetName val="Initial_Data7"/>
      <sheetName val="Bill_9_-Sitewrk5"/>
      <sheetName val="4C_(R2)5"/>
      <sheetName val="RF_Sub9"/>
      <sheetName val="RF_Sub_Factors9"/>
      <sheetName val="Initial_Data8"/>
      <sheetName val="Bill_9_-Sitewrk6"/>
      <sheetName val="4C_(R2)6"/>
      <sheetName val="SubmitCal"/>
      <sheetName val="Cost summary"/>
      <sheetName val="Data (adj."/>
      <sheetName val="B2.B_Site "/>
      <sheetName val="CW"/>
      <sheetName val="Intro"/>
      <sheetName val="Input"/>
      <sheetName val="Summary"/>
      <sheetName val="Controls"/>
      <sheetName val="2B - SiteWork"/>
      <sheetName val="Main Building - Concrete Work, "/>
      <sheetName val="Mp-team 1"/>
      <sheetName val="Projects"/>
      <sheetName val="2B. Site works"/>
      <sheetName val="Internal"/>
      <sheetName val="PLANT"/>
      <sheetName val="SpecITEM"/>
      <sheetName val="LINE_Sc"/>
      <sheetName val="MOTOR"/>
      <sheetName val="Financials"/>
      <sheetName val="CashFlow"/>
      <sheetName val="Calc"/>
      <sheetName val="Stage CF"/>
      <sheetName val="INSTRUMENT"/>
      <sheetName val="2B_-_SiteWork5"/>
      <sheetName val="DATA"/>
      <sheetName val="INDIGINEOUS ITEMS "/>
      <sheetName val="WORKING boq"/>
      <sheetName val="Data sheet"/>
      <sheetName val="Analysis"/>
      <sheetName val="EA Sum"/>
      <sheetName val="BQ"/>
      <sheetName val="BQ External"/>
      <sheetName val="EXRATES"/>
      <sheetName val="Day work"/>
      <sheetName val="ANALIZ"/>
      <sheetName val="Details"/>
      <sheetName val="TOTAL"/>
      <sheetName val="F4.13"/>
      <sheetName val="Criteria"/>
      <sheetName val="Bill 4"/>
      <sheetName val="DT"/>
      <sheetName val="RF_Sub10"/>
      <sheetName val="RF_Sub_Factors10"/>
      <sheetName val="Initial_Data9"/>
      <sheetName val="Bill_9_-Sitewrk7"/>
      <sheetName val="4C_(R2)7"/>
      <sheetName val="Cost_summary"/>
      <sheetName val="Data_(adj_"/>
      <sheetName val="B2_B_Site_"/>
      <sheetName val="Main_Building_-_Concrete_Work,_"/>
      <sheetName val="2B_-_SiteWork"/>
      <sheetName val="Mp-team_1"/>
      <sheetName val="2B__Site_works"/>
      <sheetName val="Stage_CF"/>
      <sheetName val="INDIGINEOUS_ITEMS_"/>
      <sheetName val="WORKING_boq"/>
      <sheetName val="Data_sheet"/>
      <sheetName val="EA_Sum"/>
      <sheetName val="Preliminary"/>
      <sheetName val="rec temp"/>
      <sheetName val="Sheet1"/>
      <sheetName val="monscurve"/>
      <sheetName val="Add2-om-mep"/>
    </sheetNames>
    <sheetDataSet>
      <sheetData sheetId="0"/>
      <sheetData sheetId="1"/>
      <sheetData sheetId="2"/>
      <sheetData sheetId="3"/>
      <sheetData sheetId="4"/>
      <sheetData sheetId="5" refreshError="1"/>
      <sheetData sheetId="6"/>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3"/>
      <sheetName val="4"/>
      <sheetName val="5"/>
      <sheetName val="6"/>
      <sheetName val="7"/>
      <sheetName val="8"/>
      <sheetName val="9"/>
      <sheetName val="10"/>
      <sheetName val="11"/>
      <sheetName val="2B - SiteWork"/>
      <sheetName val="2B_-_SiteWork"/>
      <sheetName val="Overview (OAD)"/>
      <sheetName val="Design Changes"/>
      <sheetName val="Detailed"/>
      <sheetName val="Abstract"/>
      <sheetName val="2B_-_SiteWork1"/>
      <sheetName val="Overview_(OAD)"/>
      <sheetName val="Design_Changes"/>
      <sheetName val="2B_-_SiteWork2"/>
      <sheetName val="Overview_(OAD)1"/>
      <sheetName val="Design_Changes1"/>
      <sheetName val="2B_-_SiteWork3"/>
      <sheetName val="Overview_(OAD)2"/>
      <sheetName val="Design_Changes2"/>
      <sheetName val="2B_-_SiteWork4"/>
      <sheetName val="Overview_(OAD)3"/>
      <sheetName val="Design_Changes3"/>
      <sheetName val="BQ"/>
      <sheetName val="BQ External"/>
      <sheetName val="Fin Sum"/>
      <sheetName val="3. Elemental Summary"/>
      <sheetName val="4C (R2)"/>
      <sheetName val="Dropdowns"/>
      <sheetName val="1 Summary"/>
      <sheetName val="Set"/>
      <sheetName val="BOQ"/>
      <sheetName val="Summary"/>
      <sheetName val="Data (adj."/>
      <sheetName val="P-Sum-Cab"/>
      <sheetName val="Internal Finishes (per unit)"/>
      <sheetName val="except wiring"/>
      <sheetName val="Site Dev BOQ"/>
      <sheetName val="B32-12"/>
      <sheetName val="StructEarth 3"/>
      <sheetName val="rc01"/>
      <sheetName val="Break up Sheet"/>
      <sheetName val="Balustrade"/>
      <sheetName val="PRI-LS"/>
      <sheetName val="COL-SCH"/>
      <sheetName val="Beam at Ground flr lvl(Steel)"/>
      <sheetName val="Cell 37-Measurements (rev-01)"/>
      <sheetName val="Datas"/>
      <sheetName val="final abstract"/>
      <sheetName val="Sum"/>
      <sheetName val="Sheet3 (2)"/>
      <sheetName val="HVAC"/>
      <sheetName val="Sheet3"/>
      <sheetName val="Sheet1"/>
      <sheetName val="Area buildup"/>
      <sheetName val="Col-Schedule"/>
      <sheetName val="APPX_A Summary Comparison"/>
      <sheetName val="App A - LED"/>
      <sheetName val="APP B - UPDOWN"/>
      <sheetName val="APP C - SUMMARY"/>
      <sheetName val="MEP"/>
      <sheetName val="Footing"/>
      <sheetName val="Construction"/>
      <sheetName val="anti-termite"/>
      <sheetName val="Specs"/>
      <sheetName val="FitOutConfCentre"/>
      <sheetName val="ancillary"/>
      <sheetName val="SCHEDULE"/>
      <sheetName val="SOA"/>
      <sheetName val="Database"/>
      <sheetName val="Podium Areas"/>
      <sheetName val="schedule nos"/>
      <sheetName val="2B_-_SiteWork5"/>
      <sheetName val="Overview_(OAD)4"/>
      <sheetName val="Design_Changes4"/>
      <sheetName val="BQ_External"/>
      <sheetName val="Fin_Sum"/>
      <sheetName val="3__Elemental_Summary"/>
      <sheetName val="4C_(R2)"/>
      <sheetName val="except_wiring"/>
      <sheetName val="1_Summary"/>
      <sheetName val="Data_(adj_"/>
      <sheetName val="Internal_Finishes_(per_unit)"/>
      <sheetName val="Site_Dev_BOQ"/>
      <sheetName val="Break_up_Sheet"/>
      <sheetName val="StructEarth_3"/>
      <sheetName val="Beam_at_Ground_flr_lvl(Steel)"/>
      <sheetName val="Cell_37-Measurements_(rev-01)"/>
      <sheetName val="final_abstract"/>
      <sheetName val="Sheet3_(2)"/>
      <sheetName val="Area_buildup"/>
      <sheetName val="Section 2-SCHEDULE OF DAYWORK"/>
      <sheetName val="concrete"/>
      <sheetName val="PROG_DATA"/>
    </sheetNames>
    <sheetDataSet>
      <sheetData sheetId="0" refreshError="1"/>
      <sheetData sheetId="1">
        <row r="7">
          <cell r="D7">
            <v>2345.4799999999996</v>
          </cell>
        </row>
      </sheetData>
      <sheetData sheetId="2">
        <row r="41">
          <cell r="C41">
            <v>2345.4799999999996</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41">
          <cell r="C41" t="str">
            <v>PO002988</v>
          </cell>
        </row>
      </sheetData>
      <sheetData sheetId="57">
        <row r="41">
          <cell r="C41" t="str">
            <v>PO002988</v>
          </cell>
        </row>
      </sheetData>
      <sheetData sheetId="58"/>
      <sheetData sheetId="59"/>
      <sheetData sheetId="60" refreshError="1"/>
      <sheetData sheetId="61" refreshError="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cillary"/>
      <sheetName val="공사비 내역 (가)"/>
      <sheetName val="Raw Data"/>
      <sheetName val="Option"/>
      <sheetName val="PRECAST lightconc-II"/>
      <sheetName val="PRECAST-conc-II"/>
      <sheetName val="Miscellaneous-civil"/>
      <sheetName val="basic"/>
      <sheetName val="GN-ST-10"/>
      <sheetName val="PRECAST lightconc_II"/>
      <sheetName val="CF-det"/>
      <sheetName val="Cleaning &amp; Grubbing"/>
      <sheetName val="Friends"/>
      <sheetName val="College Details"/>
      <sheetName val="Personal "/>
      <sheetName val="Office"/>
      <sheetName val="GN_ST_10"/>
      <sheetName val="IHC"/>
      <sheetName val="bhilai"/>
      <sheetName val="jidal dam"/>
      <sheetName val="delo"/>
      <sheetName val="fran temp"/>
      <sheetName val="gagan"/>
      <sheetName val="hsbc"/>
      <sheetName val="jeedi"/>
      <sheetName val="kona swit"/>
      <sheetName val="template (8)"/>
      <sheetName val="template (9)"/>
      <sheetName val="OVER HEADS"/>
      <sheetName val="Cover Sheet"/>
      <sheetName val="BOQ REV A"/>
      <sheetName val="BOQ"/>
      <sheetName val="PTB (IO)"/>
      <sheetName val="BMS "/>
      <sheetName val="SPT vs PHI"/>
      <sheetName val="TBAL9697 -group wise  sdpl"/>
      <sheetName val="PIPING"/>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OVER_HEADS"/>
      <sheetName val="Cover_Sheet"/>
      <sheetName val="BOQ_REV_A"/>
      <sheetName val="PTB_(IO)"/>
      <sheetName val="BMS_"/>
      <sheetName val="SPT_vs_PHI"/>
      <sheetName val="TBAL9697_-group_wise__sdpl"/>
      <sheetName val="八幡"/>
      <sheetName val="zone-8"/>
      <sheetName val="MHNO_LEV"/>
      <sheetName val="concrete"/>
      <sheetName val="beam-reinft-IIInd floor"/>
      <sheetName val="M-Book for Conc"/>
      <sheetName val="M-Book for FW"/>
      <sheetName val="SITE OVERHEADS"/>
      <sheetName val="labour coeff"/>
      <sheetName val="Site Dev BOQ"/>
      <sheetName val="Sheet3"/>
      <sheetName val="VCH-SLC"/>
      <sheetName val="Supplier"/>
      <sheetName val="upa"/>
      <sheetName val="Expenditure plan"/>
      <sheetName val="ORDER BOOKING"/>
      <sheetName val="Design"/>
      <sheetName val="SILICATE"/>
      <sheetName val="Costing Upto Mar'11 (2)"/>
      <sheetName val="Tender Summary"/>
      <sheetName val="p&amp;m"/>
      <sheetName val="#REF!"/>
      <sheetName val="A"/>
      <sheetName val="Boq Block A"/>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List"/>
      <sheetName val="dBase"/>
      <sheetName val="Meas.-Hotel Part"/>
      <sheetName val="Contract Night Staff"/>
      <sheetName val="Contract Day Staff"/>
      <sheetName val="Day Shift"/>
      <sheetName val="Night Shift"/>
      <sheetName val="External Doors"/>
      <sheetName val="T&amp;M"/>
      <sheetName val="BOQ_Direct_selling cost"/>
      <sheetName val="Sheet2"/>
      <sheetName val="scurve calc (2)"/>
      <sheetName val="factors"/>
      <sheetName val="Headings"/>
      <sheetName val="Direct cost shed A-2 "/>
      <sheetName val="22.12.2011"/>
      <sheetName val="Fee Rate Summary"/>
      <sheetName val="Civil Boq"/>
      <sheetName val="9"/>
      <sheetName val="TEMP"/>
      <sheetName val="CIF COST ITEM"/>
      <sheetName val="Meas__Hotel Part"/>
      <sheetName val="BOQ (2)"/>
      <sheetName val="2gii"/>
      <sheetName val="공장별판관비배부"/>
      <sheetName val="Build-up"/>
      <sheetName val="final abstract"/>
      <sheetName val="Detail"/>
      <sheetName val="Data"/>
      <sheetName val="Lead"/>
      <sheetName val="INPUT SHEET"/>
      <sheetName val="Fill this out first..."/>
      <sheetName val="GBW"/>
      <sheetName val="MN T.B."/>
      <sheetName val=" 09.07.10 M顅ᎆ뤀ᨇ԰_x0000_缀_x0000_"/>
      <sheetName val="beam-reinft"/>
      <sheetName val=" 09.07.10 M顅ᎆ뤀ᨇ԰?缀?"/>
      <sheetName val="master"/>
      <sheetName val="DataInput"/>
      <sheetName val="DataInput-1"/>
      <sheetName val="DI Rate Analysis"/>
      <sheetName val="Economic RisingMain  Ph-I"/>
      <sheetName val="inWords"/>
      <sheetName val="Abstract"/>
      <sheetName val="공사비_내역_(가)"/>
      <sheetName val="Raw_Data"/>
      <sheetName val="PRECAST_lightconc-II2"/>
      <sheetName val="PRECAST_lightconc_II2"/>
      <sheetName val="Cleaning_&amp;_Grubbing2"/>
      <sheetName val="College_Details2"/>
      <sheetName val="Personal_2"/>
      <sheetName val="jidal_dam2"/>
      <sheetName val="fran_temp2"/>
      <sheetName val="kona_swit2"/>
      <sheetName val="template_(8)2"/>
      <sheetName val="template_(9)2"/>
      <sheetName val="OVER_HEADS2"/>
      <sheetName val="Cover_Sheet2"/>
      <sheetName val="BOQ_REV_A2"/>
      <sheetName val="PTB_(IO)2"/>
      <sheetName val="BMS_2"/>
      <sheetName val="SPT_vs_PHI2"/>
      <sheetName val="TBAL9697_-group_wise__sdpl2"/>
      <sheetName val="Quantity_Schedule1"/>
      <sheetName val="Revenue__Schedule_1"/>
      <sheetName val="Balance_works_-_Direct_Cost1"/>
      <sheetName val="Balance_works_-_Indirect_Cost1"/>
      <sheetName val="Fund_Plan1"/>
      <sheetName val="Bill_of_Resources1"/>
      <sheetName val="beam-reinft-IIInd_floor"/>
      <sheetName val="M-Book_for_Conc"/>
      <sheetName val="M-Book_for_FW"/>
      <sheetName val="SITE_OVERHEADS"/>
      <sheetName val="labour_coeff"/>
      <sheetName val="Site_Dev_BOQ"/>
      <sheetName val="Expenditure_plan"/>
      <sheetName val="ORDER_BOOKING"/>
      <sheetName val="Costing_Upto_Mar'11_(2)"/>
      <sheetName val="Tender_Summary"/>
      <sheetName val="Boq_Block_A"/>
      <sheetName val="_24_07_10_RS_&amp;_SECURITY"/>
      <sheetName val="24_07_10_CIVIL_WET"/>
      <sheetName val="_24_07_10_CIVIL"/>
      <sheetName val="_24_07_10_MECH-FAB"/>
      <sheetName val="_24_07_10_MECH-TANK"/>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Construction"/>
      <sheetName val="#REF"/>
      <sheetName val="Revised_2_fc4a"/>
      <sheetName val="CPA33-34"/>
      <sheetName val="P&amp;L"/>
      <sheetName val="Paramètres"/>
      <sheetName val="Divers"/>
      <sheetName val="WORKOUT"/>
      <sheetName val="COST SHEET"/>
      <sheetName val="Staff"/>
      <sheetName val="COMP"/>
      <sheetName val="Cable Rate 10.05.15"/>
      <sheetName val="LF"/>
      <sheetName val="WIRING ACCS"/>
      <sheetName val="EARTHING"/>
      <sheetName val="GLANDS"/>
      <sheetName val="Cabletray "/>
      <sheetName val="DG COMP"/>
      <sheetName val="İşin Adı"/>
      <sheetName val="Forecast"/>
      <sheetName val="FORM7"/>
      <sheetName val="2A"/>
      <sheetName val="Testing"/>
      <sheetName val="Softscape Buildup"/>
      <sheetName val="Mat'l Rate"/>
      <sheetName val="currency"/>
      <sheetName val="payment type"/>
      <sheetName val="BQ"/>
      <sheetName val="BQ External"/>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TAX_BILLS"/>
      <sheetName val="CASH_BILLS"/>
      <sheetName val="LABOUR_BILLS"/>
      <sheetName val="puch_order"/>
      <sheetName val="Sheet1_(2)"/>
      <sheetName val="Meas_-Hotel_Part"/>
      <sheetName val="Contract_Night_Staff"/>
      <sheetName val="Contract_Day_Staff"/>
      <sheetName val="Day_Shift"/>
      <sheetName val="Night_Shift"/>
      <sheetName val="External_Doors"/>
      <sheetName val="BOQ_Direct_selling_cost"/>
      <sheetName val="scurve_calc_(2)"/>
      <sheetName val="Direct_cost_shed_A-2_"/>
      <sheetName val="22_12_2011"/>
      <sheetName val="Fee_Rate_Summary"/>
      <sheetName val="Civil_Boq"/>
      <sheetName val="CIF_COST_ITEM"/>
      <sheetName val="Meas__Hotel_Part"/>
      <sheetName val="BOQ_(2)"/>
      <sheetName val="final_abstract"/>
      <sheetName val="INPUT_SHEET"/>
      <sheetName val="Fill_this_out_first___"/>
      <sheetName val="MN_T_B_"/>
      <sheetName val="_09_07_10_M顅ᎆ뤀ᨇ԰缀"/>
      <sheetName val="_09_07_10_M顅ᎆ뤀ᨇ԰?缀?"/>
      <sheetName val="DI_Rate_Analysis"/>
      <sheetName val="Economic_RisingMain__Ph-I"/>
      <sheetName val="공사비_내역_(가)1"/>
      <sheetName val="Raw_Data1"/>
      <sheetName val="PRECAST_lightconc-II3"/>
      <sheetName val="PRECAST_lightconc_II3"/>
      <sheetName val="Cleaning_&amp;_Grubbing3"/>
      <sheetName val="College_Details3"/>
      <sheetName val="Personal_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M-Book_for_Conc1"/>
      <sheetName val="M-Book_for_FW1"/>
      <sheetName val="SITE_OVERHEADS1"/>
      <sheetName val="labour_coeff1"/>
      <sheetName val="Site_Dev_BOQ1"/>
      <sheetName val="Expenditure_plan1"/>
      <sheetName val="ORDER_BOOKING1"/>
      <sheetName val="Costing_Upto_Mar'11_(2)1"/>
      <sheetName val="Tender_Summary1"/>
      <sheetName val="Boq_Block_A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TAX_BILLS1"/>
      <sheetName val="CASH_BILLS1"/>
      <sheetName val="LABOUR_BILLS1"/>
      <sheetName val="puch_order1"/>
      <sheetName val="Sheet1_(2)1"/>
      <sheetName val="Meas_-Hotel_Part1"/>
      <sheetName val="Contract_Night_Staff1"/>
      <sheetName val="Contract_Day_Staff1"/>
      <sheetName val="Day_Shift1"/>
      <sheetName val="Night_Shift1"/>
      <sheetName val="External_Doors1"/>
      <sheetName val="BOQ_Direct_selling_cost1"/>
      <sheetName val="scurve_calc_(2)1"/>
      <sheetName val="Direct_cost_shed_A-2_1"/>
      <sheetName val="22_12_20111"/>
      <sheetName val="Fee_Rate_Summary1"/>
      <sheetName val="Civil_Boq1"/>
      <sheetName val="CIF_COST_ITEM1"/>
      <sheetName val="Meas__Hotel_Part1"/>
      <sheetName val="BOQ_(2)1"/>
      <sheetName val="final_abstract1"/>
      <sheetName val="INPUT_SHEET1"/>
      <sheetName val="Fill_this_out_first___1"/>
      <sheetName val="MN_T_B_1"/>
      <sheetName val="_09_07_10_M顅ᎆ뤀ᨇ԰?缀?1"/>
      <sheetName val="DI_Rate_Analysis1"/>
      <sheetName val="Economic_RisingMain__Ph-I1"/>
      <sheetName val="공사비_내역_(가)2"/>
      <sheetName val="Raw_Data2"/>
      <sheetName val="PRECAST_lightconc-II4"/>
      <sheetName val="PRECAST_lightconc_II4"/>
      <sheetName val="Cleaning_&amp;_Grubbing4"/>
      <sheetName val="College_Details4"/>
      <sheetName val="Personal_4"/>
      <sheetName val="jidal_dam4"/>
      <sheetName val="fran_temp4"/>
      <sheetName val="kona_swit4"/>
      <sheetName val="template_(8)4"/>
      <sheetName val="template_(9)4"/>
      <sheetName val="OVER_HEADS4"/>
      <sheetName val="Cover_Sheet4"/>
      <sheetName val="BOQ_REV_A4"/>
      <sheetName val="PTB_(IO)4"/>
      <sheetName val="BMS_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beam-reinft-IIInd_floor2"/>
      <sheetName val="M-Book_for_Conc2"/>
      <sheetName val="M-Book_for_FW2"/>
      <sheetName val="SITE_OVERHEADS2"/>
      <sheetName val="labour_coeff2"/>
      <sheetName val="Site_Dev_BOQ2"/>
      <sheetName val="Expenditure_plan2"/>
      <sheetName val="ORDER_BOOKING2"/>
      <sheetName val="Costing_Upto_Mar'11_(2)2"/>
      <sheetName val="Tender_Summary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2"/>
      <sheetName val="CASH_BILLS2"/>
      <sheetName val="LABOUR_BILLS2"/>
      <sheetName val="puch_order2"/>
      <sheetName val="Sheet1_(2)2"/>
      <sheetName val="Meas_-Hotel_Part2"/>
      <sheetName val="Contract_Night_Staff2"/>
      <sheetName val="Contract_Day_Staff2"/>
      <sheetName val="Day_Shift2"/>
      <sheetName val="Night_Shift2"/>
      <sheetName val="External_Doors2"/>
      <sheetName val="BOQ_Direct_selling_cost2"/>
      <sheetName val="scurve_calc_(2)2"/>
      <sheetName val="Direct_cost_shed_A-2_2"/>
      <sheetName val="22_12_20112"/>
      <sheetName val="Fee_Rate_Summary2"/>
      <sheetName val="Civil_Boq2"/>
      <sheetName val="CIF_COST_ITEM2"/>
      <sheetName val="Meas__Hotel_Part2"/>
      <sheetName val="BOQ_(2)2"/>
      <sheetName val="final_abstract2"/>
      <sheetName val="INPUT_SHEET2"/>
      <sheetName val="Fill_this_out_first___2"/>
      <sheetName val="MN_T_B_2"/>
      <sheetName val="_09_07_10_M顅ᎆ뤀ᨇ԰?缀?2"/>
      <sheetName val="DI_Rate_Analysis2"/>
      <sheetName val="Economic_RisingMain__Ph-I2"/>
      <sheetName val="Jafiliya"/>
      <sheetName val="Oud Metha"/>
      <sheetName val="Port Saeed"/>
      <sheetName val="Al Wasl"/>
      <sheetName val="Zabeel"/>
      <sheetName val="공사비_내역_(가)3"/>
      <sheetName val="Raw_Data3"/>
      <sheetName val="PRECAST_lightconc-II5"/>
      <sheetName val="PRECAST_lightconc_II5"/>
      <sheetName val="Cleaning_&amp;_Grubbing5"/>
      <sheetName val="College_Details5"/>
      <sheetName val="Personal_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beam-reinft-IIInd_floor3"/>
      <sheetName val="M-Book_for_Conc3"/>
      <sheetName val="M-Book_for_FW3"/>
      <sheetName val="SITE_OVERHEADS3"/>
      <sheetName val="labour_coeff3"/>
      <sheetName val="Site_Dev_BOQ3"/>
      <sheetName val="Expenditure_plan3"/>
      <sheetName val="ORDER_BOOKING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TAX_BILLS3"/>
      <sheetName val="CASH_BILLS3"/>
      <sheetName val="LABOUR_BILLS3"/>
      <sheetName val="puch_order3"/>
      <sheetName val="Sheet1_(2)3"/>
      <sheetName val="Meas_-Hotel_Part3"/>
      <sheetName val="Contract_Night_Staff3"/>
      <sheetName val="Contract_Day_Staff3"/>
      <sheetName val="Day_Shift3"/>
      <sheetName val="Night_Shift3"/>
      <sheetName val="External_Doors3"/>
      <sheetName val="BOQ_Direct_selling_cost3"/>
      <sheetName val="scurve_calc_(2)3"/>
      <sheetName val="Direct_cost_shed_A-2_3"/>
      <sheetName val="22_12_20113"/>
      <sheetName val="Fee_Rate_Summary3"/>
      <sheetName val="Civil_Boq3"/>
      <sheetName val="CIF_COST_ITEM3"/>
      <sheetName val="Meas__Hotel_Part3"/>
      <sheetName val="BOQ_(2)3"/>
      <sheetName val="final_abstract3"/>
      <sheetName val="INPUT_SHEET3"/>
      <sheetName val="Fill_this_out_first___3"/>
      <sheetName val="MN_T_B_3"/>
      <sheetName val="_09_07_10_M顅ᎆ뤀ᨇ԰?缀?3"/>
      <sheetName val="DI_Rate_Analysis3"/>
      <sheetName val="Economic_RisingMain__Ph-I3"/>
      <sheetName val="Oud_Metha"/>
      <sheetName val="Port_Saeed"/>
      <sheetName val="Al_Wasl"/>
      <sheetName val="Basement Budget"/>
      <sheetName val="Initial Data"/>
      <sheetName val="Sum6Jun99"/>
      <sheetName val="공사비_내역_(가)4"/>
      <sheetName val="Raw_Data4"/>
      <sheetName val="PRECAST_lightconc-II6"/>
      <sheetName val="PRECAST_lightconc_II6"/>
      <sheetName val="Cleaning_&amp;_Grubbing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beam-reinft-IIInd_floor4"/>
      <sheetName val="M-Book_for_Conc4"/>
      <sheetName val="M-Book_for_FW4"/>
      <sheetName val="SITE_OVERHEADS4"/>
      <sheetName val="labour_coeff4"/>
      <sheetName val="Site_Dev_BOQ4"/>
      <sheetName val="Expenditure_plan4"/>
      <sheetName val="ORDER_BOOKING4"/>
      <sheetName val="Costing_Upto_Mar'11_(2)4"/>
      <sheetName val="Tender_Summary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TAX_BILLS4"/>
      <sheetName val="CASH_BILLS4"/>
      <sheetName val="LABOUR_BILLS4"/>
      <sheetName val="puch_order4"/>
      <sheetName val="Sheet1_(2)4"/>
      <sheetName val="Meas_-Hotel_Part4"/>
      <sheetName val="Contract_Night_Staff4"/>
      <sheetName val="Contract_Day_Staff4"/>
      <sheetName val="Day_Shift4"/>
      <sheetName val="Night_Shift4"/>
      <sheetName val="External_Doors4"/>
      <sheetName val="BOQ_Direct_selling_cost4"/>
      <sheetName val="scurve_calc_(2)4"/>
      <sheetName val="Direct_cost_shed_A-2_4"/>
      <sheetName val="22_12_20114"/>
      <sheetName val="Fee_Rate_Summary4"/>
      <sheetName val="Civil_Boq4"/>
      <sheetName val="CIF_COST_ITEM4"/>
      <sheetName val="Meas__Hotel_Part4"/>
      <sheetName val="BOQ_(2)4"/>
      <sheetName val="final_abstract4"/>
      <sheetName val="INPUT_SHEET4"/>
      <sheetName val="Fill_this_out_first___4"/>
      <sheetName val="MN_T_B_4"/>
      <sheetName val="_09_07_10_M顅ᎆ뤀ᨇ԰?缀?4"/>
      <sheetName val="DI_Rate_Analysis4"/>
      <sheetName val="Economic_RisingMain__Ph-I4"/>
      <sheetName val="Oud_Metha1"/>
      <sheetName val="Port_Saeed1"/>
      <sheetName val="Al_Wasl1"/>
      <sheetName val="Basement_Budget"/>
      <sheetName val="Initial_Data"/>
      <sheetName val="공사비_내역_(가)5"/>
      <sheetName val="Raw_Data5"/>
      <sheetName val="PRECAST_lightconc-II7"/>
      <sheetName val="PRECAST_lightconc_II7"/>
      <sheetName val="Cleaning_&amp;_Grubbing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beam-reinft-IIInd_floor5"/>
      <sheetName val="M-Book_for_Conc5"/>
      <sheetName val="M-Book_for_FW5"/>
      <sheetName val="SITE_OVERHEADS5"/>
      <sheetName val="labour_coeff5"/>
      <sheetName val="Site_Dev_BOQ5"/>
      <sheetName val="Expenditure_plan5"/>
      <sheetName val="ORDER_BOOKING5"/>
      <sheetName val="Costing_Upto_Mar'11_(2)5"/>
      <sheetName val="Tender_Summary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TAX_BILLS5"/>
      <sheetName val="CASH_BILLS5"/>
      <sheetName val="LABOUR_BILLS5"/>
      <sheetName val="puch_order5"/>
      <sheetName val="Sheet1_(2)5"/>
      <sheetName val="Meas_-Hotel_Part5"/>
      <sheetName val="Contract_Night_Staff5"/>
      <sheetName val="Contract_Day_Staff5"/>
      <sheetName val="Day_Shift5"/>
      <sheetName val="Night_Shift5"/>
      <sheetName val="External_Doors5"/>
      <sheetName val="BOQ_Direct_selling_cost5"/>
      <sheetName val="scurve_calc_(2)5"/>
      <sheetName val="Direct_cost_shed_A-2_5"/>
      <sheetName val="22_12_20115"/>
      <sheetName val="Fee_Rate_Summary5"/>
      <sheetName val="Civil_Boq5"/>
      <sheetName val="CIF_COST_ITEM5"/>
      <sheetName val="Meas__Hotel_Part5"/>
      <sheetName val="BOQ_(2)5"/>
      <sheetName val="final_abstract5"/>
      <sheetName val="INPUT_SHEET5"/>
      <sheetName val="Fill_this_out_first___5"/>
      <sheetName val="MN_T_B_5"/>
      <sheetName val="_09_07_10_M顅ᎆ뤀ᨇ԰?缀?5"/>
      <sheetName val="DI_Rate_Analysis5"/>
      <sheetName val="Economic_RisingMain__Ph-I5"/>
      <sheetName val="Oud_Metha2"/>
      <sheetName val="Port_Saeed2"/>
      <sheetName val="Al_Wasl2"/>
      <sheetName val="Initial_Data1"/>
      <sheetName val="Basement_Budget1"/>
      <sheetName val="공사비_내역_(가)6"/>
      <sheetName val="Raw_Data6"/>
      <sheetName val="PRECAST_lightconc-II8"/>
      <sheetName val="PRECAST_lightconc_II8"/>
      <sheetName val="Cleaning_&amp;_Grubbing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beam-reinft-IIInd_floor6"/>
      <sheetName val="M-Book_for_Conc6"/>
      <sheetName val="M-Book_for_FW6"/>
      <sheetName val="SITE_OVERHEADS6"/>
      <sheetName val="labour_coeff6"/>
      <sheetName val="Site_Dev_BOQ6"/>
      <sheetName val="Expenditure_plan6"/>
      <sheetName val="ORDER_BOOKING6"/>
      <sheetName val="Costing_Upto_Mar'11_(2)6"/>
      <sheetName val="Tender_Summary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TAX_BILLS6"/>
      <sheetName val="CASH_BILLS6"/>
      <sheetName val="LABOUR_BILLS6"/>
      <sheetName val="puch_order6"/>
      <sheetName val="Sheet1_(2)6"/>
      <sheetName val="Meas_-Hotel_Part6"/>
      <sheetName val="Contract_Night_Staff6"/>
      <sheetName val="Contract_Day_Staff6"/>
      <sheetName val="Day_Shift6"/>
      <sheetName val="Night_Shift6"/>
      <sheetName val="External_Doors6"/>
      <sheetName val="BOQ_Direct_selling_cost6"/>
      <sheetName val="scurve_calc_(2)6"/>
      <sheetName val="Direct_cost_shed_A-2_6"/>
      <sheetName val="22_12_20116"/>
      <sheetName val="Fee_Rate_Summary6"/>
      <sheetName val="Civil_Boq6"/>
      <sheetName val="CIF_COST_ITEM6"/>
      <sheetName val="Meas__Hotel_Part6"/>
      <sheetName val="BOQ_(2)6"/>
      <sheetName val="final_abstract6"/>
      <sheetName val="INPUT_SHEET6"/>
      <sheetName val="Fill_this_out_first___6"/>
      <sheetName val="MN_T_B_6"/>
      <sheetName val="_09_07_10_M顅ᎆ뤀ᨇ԰?缀?6"/>
      <sheetName val="DI_Rate_Analysis6"/>
      <sheetName val="Economic_RisingMain__Ph-I6"/>
      <sheetName val="Oud_Metha3"/>
      <sheetName val="Port_Saeed3"/>
      <sheetName val="Al_Wasl3"/>
      <sheetName val="Initial_Data2"/>
      <sheetName val="Basement_Budget2"/>
      <sheetName val="공사비_내역_(가)7"/>
      <sheetName val="Raw_Data7"/>
      <sheetName val="PRECAST_lightconc-II9"/>
      <sheetName val="PRECAST_lightconc_II9"/>
      <sheetName val="Cleaning_&amp;_Grubbing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beam-reinft-IIInd_floor7"/>
      <sheetName val="M-Book_for_Conc7"/>
      <sheetName val="M-Book_for_FW7"/>
      <sheetName val="SITE_OVERHEADS7"/>
      <sheetName val="labour_coeff7"/>
      <sheetName val="Site_Dev_BOQ7"/>
      <sheetName val="Expenditure_plan7"/>
      <sheetName val="ORDER_BOOKING7"/>
      <sheetName val="Costing_Upto_Mar'11_(2)7"/>
      <sheetName val="Tender_Summary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TAX_BILLS7"/>
      <sheetName val="CASH_BILLS7"/>
      <sheetName val="LABOUR_BILLS7"/>
      <sheetName val="puch_order7"/>
      <sheetName val="Sheet1_(2)7"/>
      <sheetName val="Meas_-Hotel_Part7"/>
      <sheetName val="Contract_Night_Staff7"/>
      <sheetName val="Contract_Day_Staff7"/>
      <sheetName val="Day_Shift7"/>
      <sheetName val="Night_Shift7"/>
      <sheetName val="External_Doors7"/>
      <sheetName val="BOQ_Direct_selling_cost7"/>
      <sheetName val="scurve_calc_(2)7"/>
      <sheetName val="Direct_cost_shed_A-2_7"/>
      <sheetName val="22_12_20117"/>
      <sheetName val="Fee_Rate_Summary7"/>
      <sheetName val="Civil_Boq7"/>
      <sheetName val="CIF_COST_ITEM7"/>
      <sheetName val="Meas__Hotel_Part7"/>
      <sheetName val="BOQ_(2)7"/>
      <sheetName val="final_abstract7"/>
      <sheetName val="INPUT_SHEET7"/>
      <sheetName val="Fill_this_out_first___7"/>
      <sheetName val="MN_T_B_7"/>
      <sheetName val="_09_07_10_M顅ᎆ뤀ᨇ԰?缀?7"/>
      <sheetName val="DI_Rate_Analysis7"/>
      <sheetName val="Economic_RisingMain__Ph-I7"/>
      <sheetName val="Oud_Metha4"/>
      <sheetName val="Port_Saeed4"/>
      <sheetName val="Al_Wasl4"/>
      <sheetName val="Initial_Data3"/>
      <sheetName val="Basement_Budget3"/>
      <sheetName val="B2"/>
      <sheetName val="B3"/>
      <sheetName val="B4"/>
      <sheetName val="B5"/>
      <sheetName val="B6"/>
      <sheetName val="B7"/>
      <sheetName val="B8"/>
      <sheetName val="B9"/>
      <sheetName val="B10"/>
      <sheetName val="공사비_내역_(가)8"/>
      <sheetName val="Raw_Data8"/>
      <sheetName val="PRECAST_lightconc-II10"/>
      <sheetName val="PRECAST_lightconc_II10"/>
      <sheetName val="Cleaning_&amp;_Grubbing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beam-reinft-IIInd_floor8"/>
      <sheetName val="M-Book_for_Conc8"/>
      <sheetName val="M-Book_for_FW8"/>
      <sheetName val="SITE_OVERHEADS8"/>
      <sheetName val="labour_coeff8"/>
      <sheetName val="Site_Dev_BOQ8"/>
      <sheetName val="Expenditure_plan8"/>
      <sheetName val="ORDER_BOOKING8"/>
      <sheetName val="Costing_Upto_Mar'11_(2)8"/>
      <sheetName val="Tender_Summary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TAX_BILLS8"/>
      <sheetName val="CASH_BILLS8"/>
      <sheetName val="LABOUR_BILLS8"/>
      <sheetName val="puch_order8"/>
      <sheetName val="Sheet1_(2)8"/>
      <sheetName val="Meas_-Hotel_Part8"/>
      <sheetName val="Contract_Night_Staff8"/>
      <sheetName val="Contract_Day_Staff8"/>
      <sheetName val="Day_Shift8"/>
      <sheetName val="Night_Shift8"/>
      <sheetName val="External_Doors8"/>
      <sheetName val="BOQ_Direct_selling_cost8"/>
      <sheetName val="scurve_calc_(2)8"/>
      <sheetName val="Direct_cost_shed_A-2_8"/>
      <sheetName val="22_12_20118"/>
      <sheetName val="Fee_Rate_Summary8"/>
      <sheetName val="Civil_Boq8"/>
      <sheetName val="CIF_COST_ITEM8"/>
      <sheetName val="Meas__Hotel_Part8"/>
      <sheetName val="BOQ_(2)8"/>
      <sheetName val="final_abstract8"/>
      <sheetName val="INPUT_SHEET8"/>
      <sheetName val="Fill_this_out_first___8"/>
      <sheetName val="MN_T_B_8"/>
      <sheetName val="_09_07_10_M顅ᎆ뤀ᨇ԰?缀?8"/>
      <sheetName val="DI_Rate_Analysis8"/>
      <sheetName val="Economic_RisingMain__Ph-I8"/>
      <sheetName val="Oud_Metha5"/>
      <sheetName val="Port_Saeed5"/>
      <sheetName val="Al_Wasl5"/>
      <sheetName val="Basement_Budget4"/>
      <sheetName val="Initial_Data4"/>
      <sheetName val="Database"/>
      <sheetName val="HK"/>
      <sheetName val="Calendar"/>
      <sheetName val="PriceSummary"/>
      <sheetName val="St.co.91.5lvl"/>
      <sheetName val="Ave.wtd.rates"/>
      <sheetName val="Material "/>
      <sheetName val="Labour &amp; Plant"/>
      <sheetName val="Cashflow projection"/>
      <sheetName val="Item- Compact"/>
      <sheetName val="PA- Consutant "/>
      <sheetName val="HVAC"/>
      <sheetName val="Costing"/>
      <sheetName val="TBAL9697 _group wise  sdpl"/>
      <sheetName val="Intake"/>
      <sheetName val="BS8007"/>
      <sheetName val="Civil Works"/>
      <sheetName val="IO List"/>
      <sheetName val="Sales &amp; Prod"/>
      <sheetName val="Assumptions"/>
      <sheetName val="cash in flow Summary JV "/>
      <sheetName val="water prop."/>
      <sheetName val="GR.slab-reinft"/>
      <sheetName val="Cost Index"/>
      <sheetName val="HEAD"/>
      <sheetName val="SP Break Up"/>
      <sheetName val="Labour productivity"/>
      <sheetName val="08.07.10헾】_x0005__x0000__x0000__x0000__x0000_ꎋ"/>
      <sheetName val="section"/>
      <sheetName val="F20 Risk Analysis"/>
      <sheetName val="Change Order Log"/>
      <sheetName val="lookups"/>
      <sheetName val="ref"/>
      <sheetName val="Bin"/>
      <sheetName val="2000 MOR"/>
      <sheetName val="Rate Analysis"/>
      <sheetName val="Prelims Breakup"/>
      <sheetName val=" _x000a_¢_x0002_&amp;_x0000__x0000__x0000_ú5#_x0000__x0000__x0000__x0000__x0000__x0000__x0000_"/>
      <sheetName val=""/>
      <sheetName val="AOR"/>
      <sheetName val="dlvoid"/>
      <sheetName val="Staff Acco."/>
      <sheetName val="Cover"/>
      <sheetName val="Data Sheet"/>
      <sheetName val="est"/>
      <sheetName val="box-12"/>
      <sheetName val="Rate analysis- BOQ 1 "/>
      <sheetName val="Voucher"/>
      <sheetName val="Project Details.."/>
      <sheetName val="col-reinft1"/>
      <sheetName val="Driveway Beams"/>
      <sheetName val="Analy_7-10"/>
      <sheetName val="INDIGINEOUS ITEMS "/>
      <sheetName val="Fin. Assumpt. - Sensitivities"/>
      <sheetName val="Bill 1"/>
      <sheetName val="Bill 2"/>
      <sheetName val="Bill 3"/>
      <sheetName val="Bill 4"/>
      <sheetName val="Bill 5"/>
      <sheetName val="Bill 6"/>
      <sheetName val="Bill 7"/>
      <sheetName val="estm_mech"/>
      <sheetName val="1.Civil-RA"/>
      <sheetName val="3cd Annexure"/>
      <sheetName val=" 09.07.10 M顅ᎆ뤀ᨇ԰"/>
      <sheetName val=" 09.07.10 M顅ᎆ뤀ᨇ԰_缀_"/>
      <sheetName val="PRELIM5"/>
      <sheetName val="Labour"/>
      <sheetName val="COLUMN"/>
      <sheetName val="08.07.10헾】_x0005_????ꎋ"/>
      <sheetName val="SUMMARY(E)"/>
      <sheetName val="Structure Bills Qty"/>
      <sheetName val="B3-B4-B5-B6"/>
      <sheetName val="Theo Cons-June'10"/>
      <sheetName val="T-P1, FINISHES WORKING "/>
      <sheetName val="Assumption &amp; Exclusion"/>
      <sheetName val="querries"/>
      <sheetName val="gen"/>
      <sheetName val="Prelims_Breakup"/>
      <sheetName val="wordsdata"/>
      <sheetName val="Eqpmnt Plng"/>
      <sheetName val="LABOUR RATE"/>
      <sheetName val="Material Rate"/>
      <sheetName val="Admin"/>
      <sheetName val=" _x000a_¢_x0002_&amp;???ú5#???????"/>
      <sheetName val="AFAS "/>
      <sheetName val="RDS &amp; WLD"/>
      <sheetName val="PA System"/>
      <sheetName val="ACC"/>
      <sheetName val="CCTV"/>
      <sheetName val="Server &amp; PAC Room"/>
      <sheetName val="BMS"/>
      <sheetName val="HVAC BOQ"/>
      <sheetName val="Assumption Inputs"/>
      <sheetName val="DEINKING(ANNEX 1)"/>
      <sheetName val="RA-markate"/>
      <sheetName val="COST"/>
      <sheetName val="Grade Slab -1"/>
      <sheetName val="Grade Slab -2"/>
      <sheetName val="Grade slab-3"/>
      <sheetName val="Grade slab -4"/>
      <sheetName val="Grade slab -5"/>
      <sheetName val="Grade slab -6"/>
      <sheetName val="08.07.10헾】_x0005_????菈_x0013_"/>
      <sheetName val="sheeet7"/>
      <sheetName val="ACS(1)"/>
      <sheetName val="FAS-C(4)"/>
      <sheetName val="CCTV(old)"/>
      <sheetName val="Makro1"/>
      <sheetName val="Final"/>
      <sheetName val="Summary-Price_New"/>
      <sheetName val="AN-2K"/>
      <sheetName val="Switch V16"/>
      <sheetName val="08.07.10헾】_x0005__x0000__x0000"/>
      <sheetName val="08.07.10헾】_x0005_____ꎋ"/>
      <sheetName val="FT-05-02IsoBOM"/>
      <sheetName val="Background"/>
      <sheetName val="Summary WG"/>
      <sheetName val="L+M"/>
      <sheetName val="Debits as on 12.04.08"/>
      <sheetName val="detail'02"/>
      <sheetName val="Cal"/>
      <sheetName val="Phase 1"/>
      <sheetName val="Pacakges split"/>
      <sheetName val="run"/>
      <sheetName val="AutoOpen Stub Data"/>
      <sheetName val="Code"/>
      <sheetName val="환율"/>
      <sheetName val="Wire"/>
      <sheetName val="analysis"/>
      <sheetName val="pol-60"/>
      <sheetName val="STAFFSCHED "/>
      <sheetName val="InputPO_Del"/>
      <sheetName val="Deduction of assets"/>
      <sheetName val="India F&amp;S Template"/>
      <sheetName val=" bus bay"/>
      <sheetName val="doq-10"/>
      <sheetName val="doq-I"/>
      <sheetName val="doq 4"/>
      <sheetName val="doq 2"/>
      <sheetName val="Cat A Change Control"/>
      <sheetName val="d-safe specs"/>
      <sheetName val="  ¢_x0002_&amp;_x0000__x0000__x0000_ú5#_x0000__x0000__x0000__x0000__x0000__x0000__x0000_"/>
      <sheetName val="  ¢_x0002_&amp;???ú5#???????"/>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Variables"/>
      <sheetName val="08.07.10헾】_x0005_"/>
      <sheetName val="Factor Sheet"/>
      <sheetName val="ST CODE"/>
      <sheetName val="공사비_내역_(가)9"/>
      <sheetName val="Raw_Data9"/>
      <sheetName val="PRECAST_lightconc-II11"/>
      <sheetName val="PRECAST_lightconc_II11"/>
      <sheetName val="Cleaning_&amp;_Grubbing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beam-reinft-IIInd_floor9"/>
      <sheetName val="M-Book_for_Conc9"/>
      <sheetName val="M-Book_for_FW9"/>
      <sheetName val="SITE_OVERHEADS9"/>
      <sheetName val="labour_coeff9"/>
      <sheetName val="Site_Dev_BOQ9"/>
      <sheetName val="Expenditure_plan9"/>
      <sheetName val="ORDER_BOOKING9"/>
      <sheetName val="Costing_Upto_Mar'11_(2)9"/>
      <sheetName val="Tender_Summary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TAX_BILLS9"/>
      <sheetName val="CASH_BILLS9"/>
      <sheetName val="LABOUR_BILLS9"/>
      <sheetName val="puch_order9"/>
      <sheetName val="Sheet1_(2)9"/>
      <sheetName val="Meas_-Hotel_Part9"/>
      <sheetName val="Contract_Night_Staff9"/>
      <sheetName val="Contract_Day_Staff9"/>
      <sheetName val="Day_Shift9"/>
      <sheetName val="Night_Shift9"/>
      <sheetName val="External_Doors9"/>
      <sheetName val="BOQ_Direct_selling_cost9"/>
      <sheetName val="scurve_calc_(2)9"/>
      <sheetName val="Direct_cost_shed_A-2_9"/>
      <sheetName val="22_12_20119"/>
      <sheetName val="Fee_Rate_Summary9"/>
      <sheetName val="Civil_Boq9"/>
      <sheetName val="CIF_COST_ITEM9"/>
      <sheetName val="Meas__Hotel_Part9"/>
      <sheetName val="BOQ_(2)9"/>
      <sheetName val="final_abstract9"/>
      <sheetName val="INPUT_SHEET9"/>
      <sheetName val="Fill_this_out_first___9"/>
      <sheetName val="MN_T_B_9"/>
      <sheetName val="_09_07_10_M顅ᎆ뤀ᨇ԰?缀?9"/>
      <sheetName val="DI_Rate_Analysis9"/>
      <sheetName val="Economic_RisingMain__Ph-I9"/>
      <sheetName val="Oud_Metha6"/>
      <sheetName val="Port_Saeed6"/>
      <sheetName val="Al_Wasl6"/>
      <sheetName val="Basement_Budget5"/>
      <sheetName val="Initial_Data5"/>
      <sheetName val=" _x000a_¢_x0002_&amp;"/>
      <sheetName val="FEVA"/>
      <sheetName val="HO Costs"/>
      <sheetName val="FitOutConfCentre"/>
      <sheetName val="10"/>
      <sheetName val="Control"/>
      <sheetName val="11A"/>
      <sheetName val="11B "/>
      <sheetName val="12A"/>
      <sheetName val="12B"/>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CABLERET"/>
      <sheetName val="Contents"/>
      <sheetName val="Invoice Tracker"/>
      <sheetName val="Index"/>
      <sheetName val="OPENINGS"/>
      <sheetName val="Base_Data"/>
      <sheetName val="Det_Des"/>
      <sheetName val="Measurements"/>
      <sheetName val="Tables"/>
      <sheetName val="Flooring"/>
      <sheetName val="Ceilings"/>
      <sheetName val="ACAD Finishes"/>
      <sheetName val="Site Details"/>
      <sheetName val="Chair"/>
      <sheetName val="Site Area Statement"/>
      <sheetName val="Doors"/>
      <sheetName val="Estimate"/>
      <sheetName val="BOQ LT"/>
      <sheetName val="14.07.10 CIVIL W ["/>
      <sheetName val="Ave_wtd_rates"/>
      <sheetName val="Material_"/>
      <sheetName val="Labour_&amp;_Plant"/>
      <sheetName val="Cashflow_projection"/>
      <sheetName val="Item-_Compact"/>
      <sheetName val="St_co_91_5lvl"/>
      <sheetName val="cash_in_flow_Summary_JV_"/>
      <sheetName val="water_prop_"/>
      <sheetName val="GR_slab-reinft"/>
      <sheetName val="Cost_Index"/>
      <sheetName val="Sales_&amp;_Prod"/>
      <sheetName val="IO_List"/>
      <sheetName val="Staff_Acco_"/>
      <sheetName val="08_07_10헾】ꎋ"/>
      <sheetName val="PA-_Consutant_"/>
      <sheetName val="3cd_Annexure"/>
      <sheetName val="Civil_Works"/>
      <sheetName val="TBAL9697__group_wise__sdpl"/>
      <sheetName val="SP_Break_Up"/>
      <sheetName val="Labour_productivity"/>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Project_Details_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Grade_Slab_-1"/>
      <sheetName val="Grade_Slab_-2"/>
      <sheetName val="Grade_slab-3"/>
      <sheetName val="Grade_slab_-4"/>
      <sheetName val="Grade_slab_-5"/>
      <sheetName val="Grade_slab_-6"/>
      <sheetName val="Factor_Sheet"/>
      <sheetName val="AutoOpen_Stub_Data"/>
      <sheetName val="Cat_A_Change_Control"/>
      <sheetName val="_21_07_10_N_SHIFT_MECH-FA"/>
      <sheetName val="Report"/>
      <sheetName val="08.07.10헾】_x0005_??_x0005__x0000__x0000_"/>
      <sheetName val="14.07.10@^\_x0001_&amp;_x0000__x0000__x0000__x0012_8"/>
      <sheetName val="_x0000__x0000__x0000__x0000__x0000__x0000__x0000_Ü5)_x0000__x001e_bÝ/_x0012_8)_x0000__x0012_6)_x0000_&amp;_x0000__x0000__x0000_&amp;_x0000__x0000__x0000_"/>
      <sheetName val="_x0001__x0000__x0000__x0000_"/>
      <sheetName val="08.07.10헾】_x0005_??壀&quot;夌&quot;"/>
      <sheetName val="girder"/>
      <sheetName val="Rocker"/>
      <sheetName val="MG"/>
      <sheetName val="VALIDATIONS"/>
      <sheetName val="Mat_Cost"/>
      <sheetName val="B'Sheet"/>
      <sheetName val="Asmp"/>
      <sheetName val="DP"/>
      <sheetName val="Income Statement"/>
      <sheetName val="MASTER_RATE ANALYSIS"/>
      <sheetName val="Inputs"/>
      <sheetName val="B3-B4-B5-_x0006__x0000_"/>
      <sheetName val="_x0000__x0017__x0000__x0012__x0000__x000f__x0000__x0012__x0000__x0013__x0000__x000a__x0000__x001a__x0000__x001b__x0000__x0017__x0000_"/>
      <sheetName val="ᬀᜀሀༀሀ_x0000__x0000__x0000__x0000__x0000__x0000__x0000__x0000__x0000__x0000__x0000__x0000__x0000_"/>
      <sheetName val="CON"/>
      <sheetName val="Main-Material"/>
      <sheetName val="Form-B"/>
      <sheetName val="Blr hire"/>
      <sheetName val="PRECAST-conc-AI"/>
      <sheetName val="Miscellan%ous_x0008_civil"/>
      <sheetName val="b`sic"/>
      <sheetName val="PRECAST lig(tconc_II"/>
      <sheetName val="Quote Sheet"/>
      <sheetName val="RCC,Ret. Wall"/>
      <sheetName val="MENSUAL"/>
      <sheetName val="Gym AV"/>
      <sheetName val="3"/>
      <sheetName val="_Data"/>
      <sheetName val="공사비_내역_(가)10"/>
      <sheetName val="Raw_Data10"/>
      <sheetName val="PRECAST_lightconc-II12"/>
      <sheetName val="PRECAST_lightconc_II12"/>
      <sheetName val="Cleaning_&amp;_Grubbing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beam-reinft-IIInd_floor10"/>
      <sheetName val="M-Book_for_Conc10"/>
      <sheetName val="M-Book_for_FW10"/>
      <sheetName val="SITE_OVERHEADS10"/>
      <sheetName val="labour_coeff10"/>
      <sheetName val="Site_Dev_BOQ10"/>
      <sheetName val="Expenditure_plan10"/>
      <sheetName val="ORDER_BOOKING10"/>
      <sheetName val="Costing_Upto_Mar'11_(2)10"/>
      <sheetName val="Tender_Summary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TAX_BILLS10"/>
      <sheetName val="CASH_BILLS10"/>
      <sheetName val="LABOUR_BILLS10"/>
      <sheetName val="puch_order10"/>
      <sheetName val="Sheet1_(2)10"/>
      <sheetName val="Meas_-Hotel_Part10"/>
      <sheetName val="Contract_Night_Staff10"/>
      <sheetName val="Contract_Day_Staff10"/>
      <sheetName val="Day_Shift10"/>
      <sheetName val="Night_Shift10"/>
      <sheetName val="External_Doors10"/>
      <sheetName val="BOQ_Direct_selling_cost10"/>
      <sheetName val="scurve_calc_(2)10"/>
      <sheetName val="Direct_cost_shed_A-2_10"/>
      <sheetName val="22_12_201110"/>
      <sheetName val="Fee_Rate_Summary10"/>
      <sheetName val="Civil_Boq10"/>
      <sheetName val="CIF_COST_ITEM10"/>
      <sheetName val="Meas__Hotel_Part10"/>
      <sheetName val="BOQ_(2)10"/>
      <sheetName val="final_abstract10"/>
      <sheetName val="INPUT_SHEET10"/>
      <sheetName val="Fill_this_out_first___10"/>
      <sheetName val="MN_T_B_10"/>
      <sheetName val="_09_07_10_M顅ᎆ뤀ᨇ԰?缀?10"/>
      <sheetName val="DI_Rate_Analysis10"/>
      <sheetName val="Economic_RisingMain__Ph-I10"/>
      <sheetName val="Oud_Metha7"/>
      <sheetName val="Port_Saeed7"/>
      <sheetName val="Al_Wasl7"/>
      <sheetName val="Basement_Budget6"/>
      <sheetName val="Initial_Data6"/>
      <sheetName val="St_co_91_5lvl1"/>
      <sheetName val="Ave_wtd_rates1"/>
      <sheetName val="Material_1"/>
      <sheetName val="Labour_&amp;_Plant1"/>
      <sheetName val="Cashflow_projection1"/>
      <sheetName val="Item-_Compact1"/>
      <sheetName val="PA-_Consutant_1"/>
      <sheetName val="TBAL9697__group_wise__sdpl1"/>
      <sheetName val="Civil_Works1"/>
      <sheetName val="IO_List1"/>
      <sheetName val="Sales_&amp;_Prod1"/>
      <sheetName val="cash_in_flow_Summary_JV_1"/>
      <sheetName val="water_prop_1"/>
      <sheetName val="GR_slab-reinft1"/>
      <sheetName val="Cost_Index1"/>
      <sheetName val="SP_Break_Up1"/>
      <sheetName val="Labour_productivity1"/>
      <sheetName val="F20_Risk_Analysis1"/>
      <sheetName val="Change_Order_Log1"/>
      <sheetName val="2000_MOR1"/>
      <sheetName val="Rate_Analysis1"/>
      <sheetName val="Prelims_Breakup2"/>
      <sheetName val="Staff_Acco_1"/>
      <sheetName val="Data_Sheet"/>
      <sheetName val="Rate_analysis-_BOQ_1_1"/>
      <sheetName val="Project_Details__1"/>
      <sheetName val="Driveway_Beams1"/>
      <sheetName val="INDIGINEOUS_ITEMS_1"/>
      <sheetName val="Fin__Assumpt__-_Sensitivities1"/>
      <sheetName val="Bill_11"/>
      <sheetName val="Bill_21"/>
      <sheetName val="Bill_31"/>
      <sheetName val="Bill_41"/>
      <sheetName val="Bill_51"/>
      <sheetName val="Bill_61"/>
      <sheetName val="Bill_71"/>
      <sheetName val="1_Civil-RA1"/>
      <sheetName val="3cd_Annexure1"/>
      <sheetName val="_09_07_10_M顅ᎆ뤀ᨇ԰1"/>
      <sheetName val="_09_07_10_M顅ᎆ뤀ᨇ԰_缀_1"/>
      <sheetName val="Structure_Bills_Qty1"/>
      <sheetName val="Theo_Cons-June'10"/>
      <sheetName val="T-P1,_FINISHES_WORKING_1"/>
      <sheetName val="Assumption_&amp;_Exclusion1"/>
      <sheetName val="Eqpmnt_Plng1"/>
      <sheetName val="LABOUR_RATE1"/>
      <sheetName val="Material_Rate1"/>
      <sheetName val="AFAS_"/>
      <sheetName val="RDS_&amp;_WLD"/>
      <sheetName val="PA_System"/>
      <sheetName val="Server_&amp;_PAC_Room"/>
      <sheetName val="HVAC_BOQ"/>
      <sheetName val="Assumption_Inputs1"/>
      <sheetName val="DEINKING(ANNEX_1)1"/>
      <sheetName val="Grade_Slab_-11"/>
      <sheetName val="Grade_Slab_-21"/>
      <sheetName val="Grade_slab-31"/>
      <sheetName val="Grade_slab_-41"/>
      <sheetName val="Grade_slab_-51"/>
      <sheetName val="Grade_slab_-61"/>
      <sheetName val="08_07_10헾】????菈"/>
      <sheetName val="Switch_V161"/>
      <sheetName val="08_07_10헾】_x0000"/>
      <sheetName val="08_07_10헾】____ꎋ"/>
      <sheetName val="Summary_WG"/>
      <sheetName val="Debits_as_on_12_04_08"/>
      <sheetName val="Phase_11"/>
      <sheetName val="Pacakges_split1"/>
      <sheetName val="AutoOpen_Stub_Data1"/>
      <sheetName val="STAFFSCHED_"/>
      <sheetName val="Deduction_of_assets"/>
      <sheetName val="India_F&amp;S_Template"/>
      <sheetName val="_bus_bay"/>
      <sheetName val="doq_4"/>
      <sheetName val="doq_2"/>
      <sheetName val="Cat_A_Change_Control1"/>
      <sheetName val="d-safe_specs"/>
      <sheetName val="__¢&amp;ú5#"/>
      <sheetName val="__¢&amp;???ú5#???????"/>
      <sheetName val="14_07_10@&amp;Ò:"/>
      <sheetName val="14_07_10Á&amp;î&lt;"/>
      <sheetName val="¸:;b+/î&lt;î:&amp;&amp;"/>
      <sheetName val="08_07_10헾】"/>
      <sheetName val="Factor_Sheet1"/>
      <sheetName val="ST_CODE"/>
      <sheetName val="11B_"/>
      <sheetName val="Invoice_Tracker"/>
      <sheetName val="ACAD_Finishes"/>
      <sheetName val="Site_Details"/>
      <sheetName val="Site_Area_Statement"/>
      <sheetName val="BOQ_LT"/>
      <sheetName val="14_07_10_CIVIL_W ["/>
      <sheetName val="F4.13"/>
      <sheetName val="TOTAL"/>
      <sheetName val="Break up Sheet"/>
      <sheetName val="budget"/>
      <sheetName val="Basis"/>
      <sheetName val="Bill.10"/>
      <sheetName val="Criteria"/>
      <sheetName val="cover page"/>
      <sheetName val="rc01"/>
      <sheetName val="CPA7-31"/>
      <sheetName val="SDH BOM"/>
      <sheetName val="RECAP DEVIS"/>
      <sheetName val="Drn"/>
      <sheetName val="info"/>
      <sheetName val="1-G1"/>
      <sheetName val="BQLIST"/>
      <sheetName val="schedule nos"/>
      <sheetName val="268"/>
      <sheetName val="Cash Flow Working"/>
      <sheetName val="  ¢_x0002_&amp;"/>
      <sheetName val="14.07.10@"/>
      <sheetName val="14.07.10Á_x000c__x0003_&amp;"/>
      <sheetName val="간접비내역-1"/>
      <sheetName val="Division 16"/>
      <sheetName val="COEFF"/>
      <sheetName val="CCTV KAMERE (2)"/>
      <sheetName val="Area"/>
      <sheetName val="Area II"/>
      <sheetName val="Intro"/>
      <sheetName val="Input"/>
      <sheetName val="SEX"/>
      <sheetName val="細目"/>
      <sheetName val="DSLP"/>
      <sheetName val="Load Details(B2)"/>
      <sheetName val="Works - Quote Sheet"/>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Cost Basis"/>
      <sheetName val="segment_topsheet"/>
      <sheetName val="sc-mar2000"/>
      <sheetName val="Intro."/>
      <sheetName val="Gate 2"/>
      <sheetName val="Lab"/>
      <sheetName val="Name List"/>
      <sheetName val="starter"/>
      <sheetName val="08.07.10헾】_x0005_??헾⿂_x0005__x0000_"/>
      <sheetName val="08.07.10헾】_x0005_????懇"/>
      <sheetName val="08.07.10헾】_x0005_??ꮸ⽚_x0005__x0000_"/>
      <sheetName val="08.07.10헾】_x0005_??丵⼽_x0005__x0000_"/>
      <sheetName val="08.07.10헾】_x0005_????癠'"/>
      <sheetName val="Sqn_Abs"/>
      <sheetName val="calcul"/>
      <sheetName val="08.07.10헾】_x0005_??헾⽀_x0005__x0000_"/>
      <sheetName val=" _¢_x0002_&amp;"/>
      <sheetName val=" _¢_x0002_&amp;___ú5#_______"/>
      <sheetName val="08.07.10헾】_x0005_??헾⾑_x0005__x0000_"/>
      <sheetName val="98Price"/>
      <sheetName val="LMP"/>
      <sheetName val="BLOCK-A (MEA.SHEET)"/>
      <sheetName val="UNIT"/>
      <sheetName val="CCY"/>
      <sheetName val="BHANDUP"/>
      <sheetName val="预算"/>
      <sheetName val="電気設備表"/>
      <sheetName val="Projects"/>
      <sheetName val="Project Ignite"/>
      <sheetName val="08.07.10헾】_x0005_??壀$夌$"/>
      <sheetName val="eq"/>
      <sheetName val=" _x000d_¢_x0002_&amp;_x0000__x0000__x0000_ú5#_x0000__x0000__x0000__x0000__x0000__x0000__x0000_"/>
      <sheetName val=" _x000d_¢_x0002_&amp;???ú5#???????"/>
      <sheetName val="Misc. Data"/>
      <sheetName val="目录"/>
      <sheetName val="F&amp;B"/>
      <sheetName val="Kitchen"/>
      <sheetName val="Customize Your Invoice"/>
      <sheetName val="08_07_10헾】??"/>
      <sheetName val="14_07_10@^\&amp;8"/>
      <sheetName val="Ü5)bÝ/8)6)&amp;&amp;"/>
      <sheetName val="08_07_10헾】??壀&quot;夌&quot;"/>
      <sheetName val="Cost_Basis"/>
      <sheetName val="08_07_10헾】??헾⿂"/>
      <sheetName val="08_07_10헾】????懇"/>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Income_Statemen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B3-B4-B5-"/>
      <sheetName val="_x000a_"/>
      <sheetName val="ᬀᜀሀༀሀ"/>
      <sheetName val="Misc__Data"/>
      <sheetName val="Load_Details(B2)"/>
      <sheetName val="Works_-_Quote_Sheet"/>
      <sheetName val="Intro_"/>
      <sheetName val="Gate_2"/>
      <sheetName val="MASTER_RATE_ANALYSIS"/>
      <sheetName val="Name_List"/>
      <sheetName val="Project_Ignite"/>
      <sheetName val="BLOCK-A_(MEA_SHEET)"/>
      <sheetName val="Customize_Your_Invoice"/>
      <sheetName val="08_07_10헾】??壀$夌$"/>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VF Full Recon"/>
      <sheetName val="PITP3 COPY"/>
      <sheetName val="Meas."/>
      <sheetName val="Expenses Actual Vs. Budgeted"/>
      <sheetName val="Col up to plinth"/>
      <sheetName val="Footing"/>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Publicbuilding"/>
      <sheetName val="2.civil-RA"/>
      <sheetName val="General Input"/>
      <sheetName val="Fin. Assumpt. - SensitivitieH"/>
      <sheetName val="C-12"/>
      <sheetName val="SEW4"/>
      <sheetName val="Fin. Assumpt. - Sensitivitie"/>
      <sheetName val="Form 6"/>
      <sheetName val="08.07.10_x0000__x0000_ⴠ_x0000__x0000__x0000_㭮㢝輜_x0018_"/>
      <sheetName val="DOOR-WIND"/>
      <sheetName val="경비공통"/>
      <sheetName val="CT"/>
      <sheetName val="PT"/>
      <sheetName val="grid"/>
      <sheetName val="7 Other Costs"/>
      <sheetName val="Vind - BtB"/>
      <sheetName val="Codes"/>
      <sheetName val="CCTV_EST1"/>
      <sheetName val="KSt - Analysis "/>
      <sheetName val="Section Catalogue"/>
      <sheetName val="beam-reinft-machine rm"/>
      <sheetName val="Cash Flow Input Data_ISC"/>
      <sheetName val="Interface_SC"/>
      <sheetName val="Calc_ISC"/>
      <sheetName val="Calc_SC"/>
      <sheetName val="Interface_ISC"/>
      <sheetName val="GD"/>
      <sheetName val="Civil-BOQ"/>
      <sheetName val="Elec-BOQ"/>
      <sheetName val="Plumb-BOQ"/>
      <sheetName val="Lifts &amp; Escal-BOQ"/>
      <sheetName val="FIRE BOQ"/>
      <sheetName val="Costcal"/>
      <sheetName val="Eqpmnt Pln_x0000_"/>
      <sheetName val="Eqpmnt PlnH"/>
      <sheetName val="Eqpmnt PlnÄ"/>
      <sheetName val="SOR"/>
      <sheetName val="_x0000__x0017__x0000__x0012__x0000__x000f__x0000__x0012__x0000__x0013__x0000_ _x0000__x001a__x0000__x001b__x0000__x0017__x0000_"/>
      <sheetName val="_ ¢&amp;ú5#"/>
      <sheetName val="_ ¢&amp;???ú5#???????"/>
      <sheetName val="BLK2"/>
      <sheetName val="BLK3"/>
      <sheetName val="E &amp; R"/>
      <sheetName val="radar"/>
      <sheetName val="UG"/>
      <sheetName val="Zuschläge"/>
      <sheetName val="precast RC element"/>
      <sheetName val="08.07.10헾】_x0005_??헾　_x0005__x0000_"/>
      <sheetName val="08.07.10헾】_x0005_??苈ô헾⼤"/>
      <sheetName val="Deprec."/>
      <sheetName val="RA BILL - 1"/>
      <sheetName val="Tax Inv"/>
      <sheetName val="Tax Inv (Client)"/>
      <sheetName val="Guide"/>
      <sheetName val="SC Cost MAR 02"/>
      <sheetName val="VF_Full_Recon"/>
      <sheetName val="PITP3_COPY"/>
      <sheetName val="Meas_"/>
      <sheetName val="Expenses_Actual_Vs__Budgeted"/>
      <sheetName val="Col_up_to_plinth"/>
      <sheetName val="TEXT"/>
      <sheetName val="sept-plan"/>
      <sheetName val="St_co_91_5lvl2"/>
      <sheetName val="PA-_Consutant_2"/>
      <sheetName val="Ave_wtd_rates2"/>
      <sheetName val="Material_2"/>
      <sheetName val="Labour_&amp;_Plant2"/>
      <sheetName val="Cashflow_projection2"/>
      <sheetName val="Item-_Compact2"/>
      <sheetName val="TBAL9697__group_wise__sdpl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St_co_91_5lvl3"/>
      <sheetName val="Ave_wtd_rates3"/>
      <sheetName val="Material_3"/>
      <sheetName val="Labour_&amp;_Plant3"/>
      <sheetName val="Cashflow_projection3"/>
      <sheetName val="PA-_Consutant_3"/>
      <sheetName val="TBAL9697__group_wise__sdpl3"/>
      <sheetName val="Item-_Compact3"/>
      <sheetName val="Civil_Works3"/>
      <sheetName val="IO_List3"/>
      <sheetName val="Project_Details__3"/>
      <sheetName val="SP_Break_Up3"/>
      <sheetName val="cash_in_flow_Summary_JV_3"/>
      <sheetName val="water_prop_3"/>
      <sheetName val="GR_slab-reinft3"/>
      <sheetName val="Cost_Index3"/>
      <sheetName val="Sales_&amp;_Prod3"/>
      <sheetName val="Staff_Acco_3"/>
      <sheetName val="3cd_Annexure3"/>
      <sheetName val="Fin__Assumpt__-_Sensitivities3"/>
      <sheetName val="Bill_13"/>
      <sheetName val="Bill_23"/>
      <sheetName val="Bill_33"/>
      <sheetName val="Bill_43"/>
      <sheetName val="Bill_53"/>
      <sheetName val="Bill_63"/>
      <sheetName val="Bill_73"/>
      <sheetName val="1_Civil-RA3"/>
      <sheetName val="F20_Risk_Analysis3"/>
      <sheetName val="Change_Order_Log3"/>
      <sheetName val="2000_MOR3"/>
      <sheetName val="Labour_productivity3"/>
      <sheetName val="Structure_Bills_Qty3"/>
      <sheetName val="Prelims_Breakup4"/>
      <sheetName val="Rate_analysis-_BOQ_1_3"/>
      <sheetName val="Driveway_Beams3"/>
      <sheetName val="INDIGINEOUS_ITEMS_3"/>
      <sheetName val="_09_07_10_M顅ᎆ뤀ᨇ԰3"/>
      <sheetName val="_09_07_10_M顅ᎆ뤀ᨇ԰_缀_3"/>
      <sheetName val="Eqpmnt_Plng3"/>
      <sheetName val="LABOUR_RATE3"/>
      <sheetName val="Material_Rate3"/>
      <sheetName val="Switch_V163"/>
      <sheetName val="Assumption_Inputs3"/>
      <sheetName val="Debits_as_on_12_04_082"/>
      <sheetName val="Cat_A_Change_Control3"/>
      <sheetName val="Rate_Analysis3"/>
      <sheetName val="Phase_13"/>
      <sheetName val="Pacakges_split3"/>
      <sheetName val="AutoOpen_Stub_Data3"/>
      <sheetName val="T-P1,_FINISHES_WORKING_3"/>
      <sheetName val="Assumption_&amp;_Exclusion3"/>
      <sheetName val="DEINKING(ANNEX_1)3"/>
      <sheetName val="Theo_Cons-June'102"/>
      <sheetName val="Invoice_Tracker2"/>
      <sheetName val="Income_Statement2"/>
      <sheetName val="STAFFSCHED_2"/>
      <sheetName val="Data_Sheet2"/>
      <sheetName val="India_F&amp;S_Template2"/>
      <sheetName val="_bus_bay2"/>
      <sheetName val="doq_42"/>
      <sheetName val="doq_22"/>
      <sheetName val="Grade_Slab_-13"/>
      <sheetName val="Grade_Slab_-23"/>
      <sheetName val="Grade_slab-33"/>
      <sheetName val="Grade_slab_-43"/>
      <sheetName val="Grade_slab_-53"/>
      <sheetName val="Grade_slab_-63"/>
      <sheetName val="Factor_Sheet3"/>
      <sheetName val="11B_2"/>
      <sheetName val="ACAD_Finishes2"/>
      <sheetName val="Site_Details2"/>
      <sheetName val="Site_Area_Statement2"/>
      <sheetName val="Summary_WG2"/>
      <sheetName val="BOQ_LT2"/>
      <sheetName val="14_07_10_CIVIL_W [2"/>
      <sheetName val="Deduction_of_assets2"/>
      <sheetName val="AFAS_2"/>
      <sheetName val="RDS_&amp;_WLD2"/>
      <sheetName val="PA_System2"/>
      <sheetName val="Server_&amp;_PAC_Room2"/>
      <sheetName val="HVAC_BOQ2"/>
      <sheetName val="VF_Full_Recon2"/>
      <sheetName val="PITP3_COPY2"/>
      <sheetName val="Meas_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Cost_Basis2"/>
      <sheetName val="BLOCK-A_(MEA_SHEET)2"/>
      <sheetName val="Expenses_Actual_Vs__Budgeted2"/>
      <sheetName val="Col_up_to_plinth2"/>
      <sheetName val="MASTER_RATE_ANALYSIS2"/>
      <sheetName val="Load_Details(B2)2"/>
      <sheetName val="Works_-_Quote_Sheet2"/>
      <sheetName val="Form_6"/>
      <sheetName val="Lifts_&amp;_Escal-BOQ"/>
      <sheetName val="FIRE_BOQ"/>
      <sheetName val="Rate analysis civil"/>
      <sheetName val="Conc&amp;steel-assets"/>
      <sheetName val="STP"/>
      <sheetName val="Material&amp;equipment"/>
      <sheetName val="RCC,Ret__Wall"/>
      <sheetName val="R.A."/>
      <sheetName val="08.07.10 CIVIՌ_x0000_缀_x0000__x0000_"/>
      <sheetName val="_22_07_10_MECH-FþÕ"/>
      <sheetName val=" _¢_x0002_&amp;_x0000__x0000__x0000"/>
      <sheetName val="PROCTOR"/>
      <sheetName val="PROG_DATA"/>
      <sheetName val="LEVEL SHEET"/>
      <sheetName val="CPIPE2"/>
      <sheetName val="Footing "/>
      <sheetName val="St_co_91_5lvl4"/>
      <sheetName val="Ave_wtd_rates4"/>
      <sheetName val="Material_4"/>
      <sheetName val="Labour_&amp;_Plant4"/>
      <sheetName val="Cashflow_projection4"/>
      <sheetName val="PA-_Consutant_4"/>
      <sheetName val="TBAL9697__group_wise__sdpl4"/>
      <sheetName val="Item-_Compact4"/>
      <sheetName val="Civil_Works4"/>
      <sheetName val="IO_List4"/>
      <sheetName val="Project_Details__4"/>
      <sheetName val="SP_Break_Up4"/>
      <sheetName val="cash_in_flow_Summary_JV_4"/>
      <sheetName val="water_prop_4"/>
      <sheetName val="GR_slab-reinft4"/>
      <sheetName val="Cost_Index4"/>
      <sheetName val="Sales_&amp;_Prod4"/>
      <sheetName val="Staff_Acco_4"/>
      <sheetName val="3cd_Annexure4"/>
      <sheetName val="Fin__Assumpt__-_Sensitivities4"/>
      <sheetName val="Bill_14"/>
      <sheetName val="Bill_24"/>
      <sheetName val="Bill_34"/>
      <sheetName val="Bill_44"/>
      <sheetName val="Bill_54"/>
      <sheetName val="Bill_64"/>
      <sheetName val="Bill_74"/>
      <sheetName val="1_Civil-RA4"/>
      <sheetName val="F20_Risk_Analysis4"/>
      <sheetName val="Change_Order_Log4"/>
      <sheetName val="2000_MOR4"/>
      <sheetName val="Labour_productivity4"/>
      <sheetName val="Structure_Bills_Qty4"/>
      <sheetName val="Prelims_Breakup5"/>
      <sheetName val="Rate_analysis-_BOQ_1_4"/>
      <sheetName val="Driveway_Beams4"/>
      <sheetName val="INDIGINEOUS_ITEMS_4"/>
      <sheetName val="_09_07_10_M顅ᎆ뤀ᨇ԰4"/>
      <sheetName val="_09_07_10_M顅ᎆ뤀ᨇ԰_缀_4"/>
      <sheetName val="Eqpmnt_Plng4"/>
      <sheetName val="LABOUR_RATE4"/>
      <sheetName val="Material_Rate4"/>
      <sheetName val="Switch_V164"/>
      <sheetName val="Assumption_Inputs4"/>
      <sheetName val="Debits_as_on_12_04_083"/>
      <sheetName val="Cat_A_Change_Control4"/>
      <sheetName val="Rate_Analysis4"/>
      <sheetName val="Phase_14"/>
      <sheetName val="Pacakges_split4"/>
      <sheetName val="AutoOpen_Stub_Data4"/>
      <sheetName val="T-P1,_FINISHES_WORKING_4"/>
      <sheetName val="Assumption_&amp;_Exclusion4"/>
      <sheetName val="DEINKING(ANNEX_1)4"/>
      <sheetName val="Theo_Cons-June'103"/>
      <sheetName val="Invoice_Tracker3"/>
      <sheetName val="Income_Statement3"/>
      <sheetName val="STAFFSCHED_3"/>
      <sheetName val="Data_Sheet3"/>
      <sheetName val="India_F&amp;S_Template3"/>
      <sheetName val="_bus_bay3"/>
      <sheetName val="doq_43"/>
      <sheetName val="doq_23"/>
      <sheetName val="Grade_Slab_-14"/>
      <sheetName val="Grade_Slab_-24"/>
      <sheetName val="Grade_slab-34"/>
      <sheetName val="Grade_slab_-44"/>
      <sheetName val="Grade_slab_-54"/>
      <sheetName val="Grade_slab_-64"/>
      <sheetName val="Factor_Sheet4"/>
      <sheetName val="11B_3"/>
      <sheetName val="ACAD_Finishes3"/>
      <sheetName val="Site_Details3"/>
      <sheetName val="Site_Area_Statement3"/>
      <sheetName val="Summary_WG3"/>
      <sheetName val="BOQ_LT3"/>
      <sheetName val="14_07_10_CIVIL_W [3"/>
      <sheetName val="Deduction_of_assets3"/>
      <sheetName val="AFAS_3"/>
      <sheetName val="RDS_&amp;_WLD3"/>
      <sheetName val="PA_System3"/>
      <sheetName val="Server_&amp;_PAC_Room3"/>
      <sheetName val="HVAC_BOQ3"/>
      <sheetName val="VF_Full_Recon3"/>
      <sheetName val="PITP3_COPY3"/>
      <sheetName val="Meas_3"/>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Cost_Basis3"/>
      <sheetName val="BLOCK-A_(MEA_SHEET)3"/>
      <sheetName val="Expenses_Actual_Vs__Budgeted3"/>
      <sheetName val="Col_up_to_plinth3"/>
      <sheetName val="MASTER_RATE_ANALYSIS3"/>
      <sheetName val="Load_Details(B2)3"/>
      <sheetName val="Works_-_Quote_Sheet3"/>
      <sheetName val="Quote_Sheet1"/>
      <sheetName val="d-safe_specs1"/>
      <sheetName val="Blr_hire1"/>
      <sheetName val="PRECAST_lig(tconc_II1"/>
      <sheetName val="Misc__Data1"/>
      <sheetName val="Form_61"/>
      <sheetName val="Lifts_&amp;_Escal-BOQ1"/>
      <sheetName val="FIRE_BOQ1"/>
      <sheetName val="Rate_analysis_civil"/>
      <sheetName val="Fin__Assumpt__-_SensitivitieH"/>
      <sheetName val="Fin__Assumpt__-_Sensitivitie"/>
      <sheetName val="KSt_-_Analysis_"/>
      <sheetName val="Section_Catalogue"/>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basdat"/>
      <sheetName val="maing1"/>
      <sheetName val="월선수금"/>
      <sheetName val="foot-slab reinft"/>
      <sheetName val="E_&amp;_R"/>
      <sheetName val="beam-reinft-machine_rm"/>
      <sheetName val="Cash_Flow_Input_Data_ISC"/>
      <sheetName val="d-safe_specs2"/>
      <sheetName val="Blr_hire2"/>
      <sheetName val="PRECAST_lig(tconc_II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RCC,Ret__Wall1"/>
      <sheetName val="Name_List1"/>
      <sheetName val="Intro_1"/>
      <sheetName val="Gate_21"/>
      <sheetName val="Project_Ignite1"/>
      <sheetName val="E_&amp;_R1"/>
      <sheetName val="Customize_Your_Invoice1"/>
      <sheetName val="beam-reinft-machine_rm1"/>
      <sheetName val="Cash_Flow_Input_Data_ISC1"/>
      <sheetName val="Fin__Assumpt__-_SensitivitieH1"/>
      <sheetName val="Ave_wtd_rates5"/>
      <sheetName val="Material_5"/>
      <sheetName val="Labour_&amp;_Plant5"/>
      <sheetName val="Cashflow_projection5"/>
      <sheetName val="PA-_Consutant_5"/>
      <sheetName val="Item-_Compact5"/>
      <sheetName val="TBAL9697__group_wise__sdpl5"/>
      <sheetName val="St_co_91_5lvl5"/>
      <sheetName val="Civil_Works5"/>
      <sheetName val="IO_List5"/>
      <sheetName val="SP_Break_Up5"/>
      <sheetName val="Labour_productivity5"/>
      <sheetName val="Sales_&amp;_Prod5"/>
      <sheetName val="Cost_Index5"/>
      <sheetName val="cash_in_flow_Summary_JV_5"/>
      <sheetName val="water_prop_5"/>
      <sheetName val="GR_slab-reinft5"/>
      <sheetName val="Staff_Acco_5"/>
      <sheetName val="Rate_analysis-_BOQ_1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Blr_hire3"/>
      <sheetName val="PRECAST_lig(tconc_II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Ave_wtd_rates6"/>
      <sheetName val="Material_6"/>
      <sheetName val="Labour_&amp;_Plant6"/>
      <sheetName val="Cashflow_projection6"/>
      <sheetName val="PA-_Consutant_6"/>
      <sheetName val="Item-_Compact6"/>
      <sheetName val="TBAL9697__group_wise__sdpl6"/>
      <sheetName val="St_co_91_5lvl6"/>
      <sheetName val="Civil_Works6"/>
      <sheetName val="IO_List6"/>
      <sheetName val="SP_Break_Up6"/>
      <sheetName val="Labour_productivity6"/>
      <sheetName val="Sales_&amp;_Prod6"/>
      <sheetName val="Cost_Index6"/>
      <sheetName val="cash_in_flow_Summary_JV_6"/>
      <sheetName val="water_prop_6"/>
      <sheetName val="GR_slab-reinft6"/>
      <sheetName val="Staff_Acco_6"/>
      <sheetName val="Rate_analysis-_BOQ_1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Ave_wtd_rates7"/>
      <sheetName val="Material_7"/>
      <sheetName val="Labour_&amp;_Plant7"/>
      <sheetName val="Cashflow_projection7"/>
      <sheetName val="PA-_Consutant_7"/>
      <sheetName val="Item-_Compact7"/>
      <sheetName val="TBAL9697__group_wise__sdpl7"/>
      <sheetName val="St_co_91_5lvl7"/>
      <sheetName val="Civil_Works7"/>
      <sheetName val="IO_List7"/>
      <sheetName val="SP_Break_Up7"/>
      <sheetName val="Labour_productivity7"/>
      <sheetName val="Sales_&amp;_Prod7"/>
      <sheetName val="Cost_Index7"/>
      <sheetName val="cash_in_flow_Summary_JV_7"/>
      <sheetName val="water_prop_7"/>
      <sheetName val="GR_slab-reinft7"/>
      <sheetName val="Staff_Acco_7"/>
      <sheetName val="Rate_analysis-_BOQ_1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Ave_wtd_rates8"/>
      <sheetName val="Material_8"/>
      <sheetName val="Labour_&amp;_Plant8"/>
      <sheetName val="Cashflow_projection8"/>
      <sheetName val="PA-_Consutant_8"/>
      <sheetName val="Item-_Compact8"/>
      <sheetName val="TBAL9697__group_wise__sdpl8"/>
      <sheetName val="St_co_91_5lvl8"/>
      <sheetName val="Civil_Works8"/>
      <sheetName val="IO_List8"/>
      <sheetName val="SP_Break_Up8"/>
      <sheetName val="Labour_productivity8"/>
      <sheetName val="Sales_&amp;_Prod8"/>
      <sheetName val="Cost_Index8"/>
      <sheetName val="cash_in_flow_Summary_JV_8"/>
      <sheetName val="water_prop_8"/>
      <sheetName val="GR_slab-reinft8"/>
      <sheetName val="Staff_Acco_8"/>
      <sheetName val="Rate_analysis-_BOQ_1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Ave_wtd_rates9"/>
      <sheetName val="Material_9"/>
      <sheetName val="Labour_&amp;_Plant9"/>
      <sheetName val="Cashflow_projection9"/>
      <sheetName val="PA-_Consutant_9"/>
      <sheetName val="Item-_Compact9"/>
      <sheetName val="TBAL9697__group_wise__sdpl9"/>
      <sheetName val="St_co_91_5lvl9"/>
      <sheetName val="Civil_Works9"/>
      <sheetName val="IO_List9"/>
      <sheetName val="SP_Break_Up9"/>
      <sheetName val="Labour_productivity9"/>
      <sheetName val="Sales_&amp;_Prod9"/>
      <sheetName val="Cost_Index9"/>
      <sheetName val="cash_in_flow_Summary_JV_9"/>
      <sheetName val="water_prop_9"/>
      <sheetName val="GR_slab-reinft9"/>
      <sheetName val="Staff_Acco_9"/>
      <sheetName val="Rate_analysis-_BOQ_1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Meas_-Hotel_Part11"/>
      <sheetName val="Ave_wtd_rates10"/>
      <sheetName val="Material_10"/>
      <sheetName val="Labour_&amp;_Plant10"/>
      <sheetName val="22_12_201111"/>
      <sheetName val="BOQ_(2)11"/>
      <sheetName val="Cashflow_projection10"/>
      <sheetName val="PA-_Consutant_10"/>
      <sheetName val="Item-_Compact10"/>
      <sheetName val="TBAL9697__group_wise__sdpl10"/>
      <sheetName val="St_co_91_5lvl10"/>
      <sheetName val="Civil_Works10"/>
      <sheetName val="IO_List10"/>
      <sheetName val="DI_Rate_Analysis11"/>
      <sheetName val="Economic_RisingMain__Ph-I11"/>
      <sheetName val="SP_Break_Up10"/>
      <sheetName val="Labour_productivity10"/>
      <sheetName val="Sales_&amp;_Prod10"/>
      <sheetName val="Cost_Index10"/>
      <sheetName val="cash_in_flow_Summary_JV_10"/>
      <sheetName val="water_prop_10"/>
      <sheetName val="GR_slab-reinft10"/>
      <sheetName val="Staff_Acco_10"/>
      <sheetName val="Rate_analysis-_BOQ_1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ogress"/>
      <sheetName val="WORK TABLE"/>
      <sheetName val="PointNo.5"/>
      <sheetName val="RES-PLANNING"/>
      <sheetName val="Balustrade"/>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KSt_-_Analysis_5"/>
      <sheetName val="Section_Catalogue5"/>
      <sheetName val="__¢&amp;ú5#6"/>
      <sheetName val="__¢&amp;???ú5#???????6"/>
      <sheetName val="inter"/>
      <sheetName val="Varthur 1"/>
      <sheetName val="COP Final"/>
      <sheetName val="dummy"/>
      <sheetName val="Sch. Areas"/>
      <sheetName val="Tk off"/>
      <sheetName val="Local Ring 1"/>
      <sheetName val="finshes"/>
      <sheetName val="Amortization"/>
      <sheetName val="15-Mechanical "/>
      <sheetName val="5-Metal Works"/>
      <sheetName val="9-Finishes "/>
      <sheetName val="12-Furniture "/>
      <sheetName val="16-Electrical"/>
      <sheetName val="3-Concrete Work"/>
      <sheetName val="7-Thermal &amp; Moisture Protecti "/>
      <sheetName val="8-Doors &amp; Windows "/>
      <sheetName val="ÖZET"/>
      <sheetName val="Gen Sum"/>
      <sheetName val="DBs"/>
      <sheetName val="Electrical (nU)"/>
      <sheetName val="costing_FE"/>
      <sheetName val="measure"/>
      <sheetName val="CMSBM"/>
      <sheetName val="w't table"/>
      <sheetName val="Room Type"/>
      <sheetName val="Basement2 DB"/>
      <sheetName val="Iron"/>
      <sheetName val="kitc"/>
      <sheetName val="Bldg"/>
      <sheetName val="Cert"/>
      <sheetName val="Sewr"/>
      <sheetName val="MONTH"/>
      <sheetName val="OH-Recovery"/>
      <sheetName val="Mp-team 1"/>
      <sheetName val="Item정리"/>
      <sheetName val="Entry"/>
      <sheetName val="Raw_Data11"/>
      <sheetName val="공사비_내역_(가)11"/>
      <sheetName val="Oud_Metha8"/>
      <sheetName val="Port_Saeed8"/>
      <sheetName val="Al_Wasl8"/>
      <sheetName val="CIF_COST_ITEM11"/>
      <sheetName val="ST_CODE1"/>
      <sheetName val="Gym_AV"/>
      <sheetName val="Initial_Data7"/>
      <sheetName val="Basement_Budget7"/>
      <sheetName val="__x000a_¢&amp;"/>
      <sheetName val="HO_Costs"/>
      <sheetName val="F4_13"/>
      <sheetName val="14_07_10@"/>
      <sheetName val="14_07_10Á&amp;"/>
      <sheetName val="COST_SHEET"/>
      <sheetName val="Cable_Rate_10_05_15"/>
      <sheetName val="WIRING_ACCS"/>
      <sheetName val="Cabletray_"/>
      <sheetName val="DG_COMP"/>
      <sheetName val="İşin_Adı"/>
      <sheetName val="__¢&amp;1"/>
      <sheetName val="Bill_10"/>
      <sheetName val="cover_page"/>
      <sheetName val="inflation calculator"/>
      <sheetName val="Section II"/>
      <sheetName val="Section III"/>
      <sheetName val="Fixed"/>
      <sheetName val="RECAP"/>
      <sheetName val="OIL SYST DATA SHTS"/>
      <sheetName val="정부노임단가"/>
      <sheetName val="DPS17"/>
      <sheetName val="FIRED HEATER Sh. 1"/>
      <sheetName val="[TEMP.xls]14.07.10@_x0000__x0003_&amp;_x0000__x0000__x0000_Ò:"/>
      <sheetName val="@risk rents and incentives"/>
      <sheetName val="Car park lease"/>
      <sheetName val="1 summary"/>
      <sheetName val="Net rent analysis"/>
      <sheetName val="MOTOR"/>
      <sheetName val="Reference Data"/>
      <sheetName val="item"/>
      <sheetName val="Bill No.6"/>
      <sheetName val="[TEMP.xls]14.07.10@^\_x0001_&amp;_x0000__x0000__x0000__x0012_8"/>
      <sheetName val="[TEMP.xls]14_07_10@&amp;Ò:"/>
      <sheetName val="[TEMP.xls]¸:;b+/î&lt;î:&amp;&amp;"/>
      <sheetName val="[TEMP.xls]14_07_10@^\&amp;8"/>
      <sheetName val="[TEMP.xls]Ü5)bÝ/8)6)&amp;&amp;"/>
      <sheetName val="Prelim_Summ"/>
      <sheetName val="Gym_AV1"/>
      <sheetName val="Gym_AV2"/>
      <sheetName val="Planned"/>
      <sheetName val="Tank"/>
      <sheetName val="Key Qty"/>
      <sheetName val="Basement Extract"/>
      <sheetName val="SAD"/>
      <sheetName val="SA Plen."/>
      <sheetName val="Retu. Duct"/>
      <sheetName val="RA Plen."/>
      <sheetName val="T. Ex. Duct"/>
      <sheetName val=" _x000a_¢_x0002_&amp;_x0000__x0000_"/>
      <sheetName val=" _x000a_¢_x0002_&amp;___ú5#_______"/>
      <sheetName val="08.07.10헾】_x0005_____菈_x0013_"/>
      <sheetName val="  ¢_x0002_&amp;_x0000__x0000__x0000"/>
      <sheetName val="  ¢_x0002_&amp;___ú5#_______"/>
      <sheetName val="14.07.10@_x0000__x0003_&amp;_x0000"/>
      <sheetName val="_x0000__x0000__x0000__x0000__x0"/>
      <sheetName val="14.07.10Á_x000c__x0003_&amp;_x0000"/>
      <sheetName val="14.07.10 CIVIL W _"/>
      <sheetName val="__x000a_¢&amp;___ú5#_______"/>
      <sheetName val="08_07_10헾】____菈"/>
      <sheetName val="14_07_10@&amp;Ò_"/>
      <sheetName val="¸_;b+_î&lt;î_&amp;&amp;"/>
      <sheetName val="14_07_10_CIVIL_W _"/>
      <sheetName val="08.07.10헾】_x0005____x0005__x00"/>
      <sheetName val="14.07.10@^__x0001_&amp;_x0000__x000"/>
      <sheetName val="08.07.10헾】_x0005___壀&quot;夌&quot;"/>
      <sheetName val="_x0000__x0017__x0000__x0012__x0"/>
      <sheetName val="ᬀᜀሀༀሀ_x0000__x0000__x0000__x000"/>
      <sheetName val="BW Fence"/>
      <sheetName val="Reference"/>
      <sheetName val="GF"/>
      <sheetName val="FinishSched"/>
      <sheetName val="Soarin"/>
      <sheetName val="SRC-B3U2"/>
      <sheetName val="Cash Flow-Format-XII"/>
      <sheetName val="WORD"/>
      <sheetName val="Con0304"/>
      <sheetName val="OpTrack"/>
      <sheetName val="Erection"/>
      <sheetName val="Cumulative Karnatka Purchase"/>
      <sheetName val="Purchase---"/>
      <sheetName val="Reco- Project wise"/>
      <sheetName val="Purchase head Wise"/>
      <sheetName val="Reco"/>
      <sheetName val="List of Project"/>
      <sheetName val="Sheet5"/>
      <sheetName val="Cumulative Karnatka Purchas (2"/>
      <sheetName val="Pivot table"/>
      <sheetName val="MS Loan repayments"/>
      <sheetName val="ETC Plant Cost"/>
      <sheetName val="BL Staff"/>
      <sheetName val="Array"/>
      <sheetName val="Array (2)"/>
      <sheetName val="PIPELINE"/>
      <sheetName val="CIVIL"/>
      <sheetName val="14.07.10@^__x0001_&amp;"/>
      <sheetName val="_x0001_"/>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KSt_-_Analysis_7"/>
      <sheetName val="Section_Catalogue7"/>
      <sheetName val="__¢&amp;ú5#8"/>
      <sheetName val="__¢&amp;???ú5#???????8"/>
      <sheetName val="LEVEL_SHEET"/>
      <sheetName val="œheet3"/>
      <sheetName val="Master data"/>
      <sheetName val="S1BOQ"/>
      <sheetName val="Detail In Door Stad"/>
      <sheetName val="old_serial no."/>
      <sheetName val="tot_ass_9697"/>
      <sheetName val="P-II_Cement_Reconkiliation2"/>
      <sheetName val=" "/>
      <sheetName val="  ¢_x0002_&amp;_x0000__x0000_"/>
      <sheetName val="Temporary"/>
      <sheetName val="ABB"/>
      <sheetName val="GE"/>
      <sheetName val="abst-of -cost"/>
      <sheetName val="Combined Results "/>
      <sheetName val="Cashflow"/>
      <sheetName val="Deprec_"/>
      <sheetName val="Deprec_1"/>
      <sheetName val="R_A_"/>
      <sheetName val="lists"/>
      <sheetName val="Adimi bldg"/>
      <sheetName val="Pump House"/>
      <sheetName val="Fuel Regu Station"/>
      <sheetName val="0200 Siteworks"/>
      <sheetName val="73 Free Chart Templates - 3"/>
      <sheetName val="TBEAM"/>
      <sheetName val="SALA-002"/>
      <sheetName val="MFG"/>
      <sheetName val="Material List "/>
      <sheetName val="_x0017__x0000__x0012__x0000__x000f__x0000__x0012__x0000__x0013__x0000__x001a__x0000__x0013__x0000__x000b__x0000__x0006__x0000__x0011__x0000__x0010__x0000__x0007__x0000__x0003__x0000__x0003_"/>
      <sheetName val="Shuttering Material"/>
      <sheetName val="BBS-Residential"/>
      <sheetName val="Keyword"/>
      <sheetName val="SALE&amp;COST"/>
      <sheetName val="Deprec_2"/>
      <sheetName val="Form_62"/>
      <sheetName val="Lifts_&amp;_Escal-BOQ2"/>
      <sheetName val="FIRE_BOQ2"/>
      <sheetName val="Equipment Master"/>
      <sheetName val="Material Master"/>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Project Brief"/>
      <sheetName val="Schedule"/>
      <sheetName val="Detailed Budget"/>
      <sheetName val="Ring Details"/>
      <sheetName val="08.07.10헾】_x0005_??睮は_x0005__x0000_"/>
      <sheetName val=" 09.07.10 M顅ᎆ뤀ᨇ԰_x0000_v喐"/>
      <sheetName val=" 09.07.10 M顅ᎆ뤀ᨇ԰_x0000_È盰"/>
      <sheetName val="Macro custom function"/>
      <sheetName val="DM tANK Allow"/>
      <sheetName val="Details"/>
      <sheetName val="IPS new"/>
      <sheetName val="Project Data"/>
      <sheetName val="改加胶玻璃、室外栏杆"/>
      <sheetName val="CCNs"/>
      <sheetName val="w't_table"/>
      <sheetName val="DM_tANK_Allow"/>
      <sheetName val="w't_table1"/>
      <sheetName val="cover_page1"/>
      <sheetName val="Rate_analysis_civil1"/>
      <sheetName val="DM_tANK_Allow1"/>
      <sheetName val="w't_table3"/>
      <sheetName val="cover_page3"/>
      <sheetName val="ST_CODE3"/>
      <sheetName val="Deprec_3"/>
      <sheetName val="Rate_analysis_civil3"/>
      <sheetName val="DM_tANK_Allow3"/>
      <sheetName val="w't_table2"/>
      <sheetName val="cover_page2"/>
      <sheetName val="ST_CODE2"/>
      <sheetName val="Rate_analysis_civil2"/>
      <sheetName val="DM_tANK_Allow2"/>
      <sheetName val="w't_table4"/>
      <sheetName val="cover_page4"/>
      <sheetName val="ST_CODE4"/>
      <sheetName val="Deprec_4"/>
      <sheetName val="Rate_analysis_civil4"/>
      <sheetName val="DM_tANK_Allow4"/>
      <sheetName val="Macro_custom_function"/>
      <sheetName val="Pur"/>
      <sheetName val="ATTACH_6"/>
      <sheetName val="datatable"/>
      <sheetName val="Material"/>
      <sheetName val="SC Cost FEB 03"/>
      <sheetName val="Door"/>
      <sheetName val="13. Steel - Ratio"/>
      <sheetName val="Summary output"/>
      <sheetName val="Balance Sheet"/>
      <sheetName val="w_dn_idd"/>
      <sheetName val="PROJECT BRIEF(EX.NEW)"/>
      <sheetName val="pvc vent"/>
      <sheetName val="MEP Factors"/>
      <sheetName val="VENDOR LIST"/>
      <sheetName val="Currency Rates"/>
      <sheetName val="Cable Data"/>
      <sheetName val="Sheet"/>
      <sheetName val="GEN_LOOKUPS"/>
      <sheetName val="wordsdatþ"/>
      <sheetName val="MSU"/>
      <sheetName val="Contract Status"/>
      <sheetName val="FINOLEX"/>
      <sheetName val="Sheet7"/>
      <sheetName val="macros"/>
      <sheetName val="Reinforcement"/>
      <sheetName val="Pilling_24"/>
      <sheetName val="Steel-Circular"/>
      <sheetName val="BOM"/>
      <sheetName val="08.07.10헾】_x0005____x0005_"/>
      <sheetName val="08.07.10헾】_x0005___헾⿂_x0005_"/>
      <sheetName val="08.07.10헾】_x0005___ꮸ⽚_x0005_"/>
      <sheetName val="08.07.10헾】_x0005_____懇"/>
      <sheetName val="08.07.10헾】_x0005___丵⼽_x0005_"/>
      <sheetName val="08.07.10헾】_x0005_____癠_"/>
      <sheetName val="08.07.10헾】_x0005___헾⽀_x0005_"/>
      <sheetName val="08.07.10헾】_x0005___헾⾑_x0005_"/>
      <sheetName val="B3-B4-B5-_x0006_"/>
      <sheetName val="08.07.10헾】_x0005___壀$夌$"/>
      <sheetName val="08.07.10"/>
      <sheetName val="08.07.10 CIVIՌ"/>
      <sheetName val="08_07_10헾】__"/>
      <sheetName val="14_07_10@^_&amp;8"/>
      <sheetName val="Ü5)bÝ_8)6)&amp;&amp;"/>
      <sheetName val="08_07_10헾】__壀&quot;夌&quot;"/>
      <sheetName val="08.07.10헾】_x0005___헾　_x0005_"/>
      <sheetName val="Model"/>
      <sheetName val="CONSTRUCTION COMPONENT"/>
      <sheetName val=" _x000d_¢_x0002_&amp;_x0000__x0000_"/>
      <sheetName val=" _x000d_¢_x0002_&amp;___ú5#_______"/>
      <sheetName val="08.07.10헾】_x0005___헾⿂_x0005__x"/>
      <sheetName val="08.07.10헾】_x0005___ꮸ⽚_x0005__x"/>
      <sheetName val="08.07.10헾】_x0005___丵⼽_x0005__x"/>
      <sheetName val="08.07.10헾】_x0005___헾⽀_x0005__x"/>
      <sheetName val="08.07.10헾】_x0005___헾⾑_x0005__x"/>
      <sheetName val="08.07.10_x0000__x0000_ⴠ_x0000__"/>
      <sheetName val="08.07.10 CIVIՌ_x0000_缀_x0000__x"/>
      <sheetName val="08.07.10헾】_x0005___헾　_x0005__x"/>
      <sheetName val="_ ¢&amp;___ú5#_______"/>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banilad"/>
      <sheetName val="Mactan"/>
      <sheetName val="Mandaue"/>
      <sheetName val="08.07.10_x0000__x0000_쪸_x0000__x0000__x0000_㱗褰譬'"/>
      <sheetName val="08.07.10헾】_x0005_?︀ᇕ԰_x0000_缀"/>
      <sheetName val="08.07.10헾】_x0005_?蠄ሹꠀ䁮_xdc02_"/>
      <sheetName val="08.07.10헾】_x0005_?/_x0000_退Ý_x0000_"/>
      <sheetName val="08.07.10헾】_x0005_?蠌ሹ⠀䁫_xdc02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collections plan 0401"/>
      <sheetName val="DataSheet"/>
      <sheetName val="Variations"/>
      <sheetName val="ITB COST"/>
      <sheetName val="Interior"/>
      <sheetName val="Electrical"/>
      <sheetName val="Mechanical"/>
      <sheetName val="Fire Hydrant"/>
      <sheetName val="Material Spec."/>
      <sheetName val="Terms &amp; conditions"/>
      <sheetName val="_"/>
      <sheetName val="Eqpmnt Pln"/>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 _¢_x0002_&amp;_x0000__x0000_"/>
      <sheetName val="activit-graph  "/>
      <sheetName val="AREAS"/>
      <sheetName val="Sch-3"/>
      <sheetName val="Theme"/>
      <sheetName val="Measurment"/>
      <sheetName val="Material recovery"/>
      <sheetName val="IDCCALHYD-GOO"/>
      <sheetName val="GF Columns"/>
      <sheetName val="Basic Rates"/>
      <sheetName val="3LBHK RA"/>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Conversions"/>
      <sheetName val="csdim"/>
      <sheetName val="cdsload"/>
      <sheetName val="chsload"/>
      <sheetName val="CLAMP"/>
      <sheetName val="cvsload"/>
      <sheetName val="pipe"/>
      <sheetName val="보일러"/>
      <sheetName val="견적"/>
      <sheetName val="Cost control"/>
      <sheetName val="CondPol"/>
      <sheetName val="PROCURE"/>
      <sheetName val="단면가정"/>
      <sheetName val="설계조건"/>
      <sheetName val="Main Gate House"/>
      <sheetName val="ICO_budzet_97"/>
      <sheetName val="Infrastructure"/>
      <sheetName val="NetBQ"/>
      <sheetName val="unit.cost."/>
      <sheetName val="PMS"/>
      <sheetName val="DISTRIBUTION"/>
      <sheetName val="14.07.10@^\_x0001_&amp;"/>
      <sheetName val="08.07.10헾】_x0005_??_x0005_"/>
      <sheetName val="08.07.10헾】_x0005_??헾⿂_x0005_"/>
      <sheetName val="08.07.10헾】_x0005_??ꮸ⽚_x0005_"/>
      <sheetName val="08.07.10헾】_x0005_??丵⼽_x0005_"/>
      <sheetName val="08.07.10헾】_x0005_??헾⽀_x0005_"/>
      <sheetName val="08.07.10헾】_x0005_??헾⾑_x0005_"/>
      <sheetName val=" _x000d_¢_x0002_&amp;"/>
      <sheetName val="08.07.10헾】_x0005_??헾　_x0005_"/>
      <sheetName val="Substation"/>
      <sheetName val="DCI-STR"/>
      <sheetName val="Site_Dev_BO䡑3"/>
      <sheetName val=" 09.07.10 M蕸\헾⿓_x0005_"/>
      <sheetName val="Lookup"/>
      <sheetName val="14_07_10_CIVIL_W _15"/>
      <sheetName val="14_07_10_CIVIL_W _11"/>
      <sheetName val="14_07_10_CIVIL_W _10"/>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__¢&amp;___ú5#_______1"/>
      <sheetName val="14_07_10_CIVIL_W _19"/>
      <sheetName val="__¢&amp;___ú5#_______2"/>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Fin Sum"/>
      <sheetName val="Field Values"/>
      <sheetName val="9. Package split - Cost "/>
      <sheetName val="Sump"/>
      <sheetName val="TITLES"/>
      <sheetName val="Rate"/>
      <sheetName val="ETC_Plant_Cost"/>
      <sheetName val=" AnalysisPCC"/>
      <sheetName val="Analysis-NH-Culverts"/>
      <sheetName val="Analysis-NH-Roads"/>
      <sheetName val="Analysis-NH-Bridges"/>
      <sheetName val="Hardware"/>
      <sheetName val="Labour List "/>
      <sheetName val="Plant List"/>
      <sheetName val="Material List"/>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08.07.10헾】_x0005___睮は_x0005_"/>
      <sheetName val="08.07.10헾】_x0005__︀ᇕ԰"/>
      <sheetName val="08.07.10헾】_x0005__蠄ሹꠀ䁮�"/>
      <sheetName val="08.07.10헾】_x0005___"/>
      <sheetName val="08.07.10헾】_x0005__蠌ሹ⠀䁫�"/>
      <sheetName val="_x0017_"/>
      <sheetName val="RateAnalysis"/>
      <sheetName val="RMes"/>
      <sheetName val="Labels"/>
      <sheetName val="shuttering"/>
      <sheetName val="tie beam"/>
      <sheetName val="Footings"/>
      <sheetName val="2.0 Floor Area Summary"/>
      <sheetName val="Angebot18.7."/>
      <sheetName val="App_6"/>
      <sheetName val="FdnDes_Soil"/>
      <sheetName val="11"/>
      <sheetName val="sc PhI ok"/>
      <sheetName val="GULF"/>
      <sheetName val="SubmitCal"/>
      <sheetName val="MATERIALS_masterlist"/>
      <sheetName val="Sumcosts"/>
      <sheetName val="Rates for public areas"/>
      <sheetName val="PIPES"/>
      <sheetName val="BASIS -DEC 08"/>
      <sheetName val="B3- Concrete Work"/>
      <sheetName val="B4- Block Work"/>
      <sheetName val="B5 - Water Proofing and Roofing"/>
      <sheetName val="B6 - Aluminum Works"/>
      <sheetName val="B7 - Wooden Works"/>
      <sheetName val="B8 - FLOOR, WALLS AND CEILING F"/>
      <sheetName val="qty schedule"/>
      <sheetName val="Pump Rm's div-27  "/>
      <sheetName val="Substation div-27 "/>
      <sheetName val="Varitations Not Agreed"/>
      <sheetName val="Master Data Sheet"/>
      <sheetName val="Sub Cont. Comp."/>
      <sheetName val="DETAILED  BOQ"/>
      <sheetName val="Named ranges"/>
      <sheetName val="MPR_PA_1"/>
      <sheetName val="DAF-1"/>
      <sheetName val="Set"/>
      <sheetName val="Overview (OAD)"/>
      <sheetName val="Design Changes"/>
      <sheetName val="Detailed"/>
      <sheetName val="Quay_A"/>
      <sheetName val="CMS"/>
      <sheetName val="BaseWeight"/>
      <sheetName val="P-Sum-Cab"/>
      <sheetName val="Itemised Breakdown"/>
      <sheetName val="Details for Charts"/>
      <sheetName val="Ra  stair"/>
      <sheetName val="Raw_Data12"/>
      <sheetName val="공사비_내역_(가)12"/>
      <sheetName val="Oud_Metha9"/>
      <sheetName val="Port_Saeed9"/>
      <sheetName val="Al_Wasl9"/>
      <sheetName val="F4_131"/>
      <sheetName val="Bill_227"/>
      <sheetName val="Bill_101"/>
      <sheetName val="cover_page5"/>
      <sheetName val="Basement_Budget8"/>
      <sheetName val="PRECAST_lightconc-II30"/>
      <sheetName val="PRECAST_lightconc_II30"/>
      <sheetName val="Cleaning_&amp;_Grubbing30"/>
      <sheetName val="College_Details30"/>
      <sheetName val="Personal_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beam-reinft-IIInd_floor28"/>
      <sheetName val="M-Book_for_Conc28"/>
      <sheetName val="M-Book_for_FW28"/>
      <sheetName val="SITE_OVERHEADS28"/>
      <sheetName val="labour_coeff28"/>
      <sheetName val="Site_Dev_BOQ28"/>
      <sheetName val="Expenditure_plan28"/>
      <sheetName val="ORDER_BOOKING28"/>
      <sheetName val="Costing_Upto_Mar'11_(2)28"/>
      <sheetName val="Tender_Summary28"/>
      <sheetName val="Boq_Block_A28"/>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TAX_BILLS28"/>
      <sheetName val="CASH_BILLS28"/>
      <sheetName val="LABOUR_BILLS28"/>
      <sheetName val="puch_order28"/>
      <sheetName val="Sheet1_(2)28"/>
      <sheetName val="Meas_-Hotel_Part28"/>
      <sheetName val="Contract_Night_Staff27"/>
      <sheetName val="Contract_Day_Staff27"/>
      <sheetName val="Day_Shift27"/>
      <sheetName val="Night_Shift27"/>
      <sheetName val="External_Doors27"/>
      <sheetName val="BOQ_Direct_selling_cost27"/>
      <sheetName val="scurve_calc_(2)27"/>
      <sheetName val="Direct_cost_shed_A-2_27"/>
      <sheetName val="22_12_201128"/>
      <sheetName val="Fee_Rate_Summary27"/>
      <sheetName val="Civil_Boq27"/>
      <sheetName val="CIF_COST_ITEM12"/>
      <sheetName val="Meas__Hotel_Part27"/>
      <sheetName val="BOQ_(2)28"/>
      <sheetName val="final_abstract27"/>
      <sheetName val="INPUT_SHEET27"/>
      <sheetName val="Fill_this_out_first___27"/>
      <sheetName val="MN_T_B_27"/>
      <sheetName val="_09_07_10_M顅ᎆ뤀ᨇ԰?缀?27"/>
      <sheetName val="DI_Rate_Analysis28"/>
      <sheetName val="Economic_RisingMain__Ph-I28"/>
      <sheetName val="St_co_91_5lvl27"/>
      <sheetName val="Ave_wtd_rates27"/>
      <sheetName val="Material_27"/>
      <sheetName val="Labour_&amp;_Plant27"/>
      <sheetName val="Cashflow_projection27"/>
      <sheetName val="Item-_Compact27"/>
      <sheetName val="PA-_Consutant_27"/>
      <sheetName val="TBAL9697__group_wise__sdpl27"/>
      <sheetName val="Civil_Works27"/>
      <sheetName val="IO_List27"/>
      <sheetName val="Sales_&amp;_Prod27"/>
      <sheetName val="cash_in_flow_Summary_JV_27"/>
      <sheetName val="water_prop_27"/>
      <sheetName val="GR_slab-reinft27"/>
      <sheetName val="Cost_Index27"/>
      <sheetName val="SP_Break_Up27"/>
      <sheetName val="Labour_productivity27"/>
      <sheetName val="F20_Risk_Analysis27"/>
      <sheetName val="Change_Order_Log27"/>
      <sheetName val="2000_MOR27"/>
      <sheetName val="Rate_Analysis27"/>
      <sheetName val="Prelims_Breakup28"/>
      <sheetName val="Staff_Acco_27"/>
      <sheetName val="Data_Sheet26"/>
      <sheetName val="Rate_analysis-_BOQ_1_27"/>
      <sheetName val="Project_Details__27"/>
      <sheetName val="Driveway_Beams27"/>
      <sheetName val="INDIGINEOUS_ITEMS_27"/>
      <sheetName val="3cd_Annexure27"/>
      <sheetName val="Fin__Assumpt__-_Sensitivities27"/>
      <sheetName val="Bill_127"/>
      <sheetName val="Bill_327"/>
      <sheetName val="Bill_427"/>
      <sheetName val="Bill_527"/>
      <sheetName val="Bill_627"/>
      <sheetName val="Bill_727"/>
      <sheetName val="Structure_Bills_Qty27"/>
      <sheetName val="Pacakges_split27"/>
      <sheetName val="1_Civil-RA27"/>
      <sheetName val="Phase_127"/>
      <sheetName val="_09_07_10_M顅ᎆ뤀ᨇ԰27"/>
      <sheetName val="_09_07_10_M顅ᎆ뤀ᨇ԰_缀_27"/>
      <sheetName val="Summary_WG26"/>
      <sheetName val="AutoOpen_Stub_Data27"/>
      <sheetName val="Assumption_Inputs27"/>
      <sheetName val="Eqpmnt_Plng27"/>
      <sheetName val="Debits_as_on_12_04_0826"/>
      <sheetName val="DEINKING(ANNEX_1)27"/>
      <sheetName val="T-P1,_FINISHES_WORKING_27"/>
      <sheetName val="Assumption_&amp;_Exclusion27"/>
      <sheetName val="Cat_A_Change_Control27"/>
      <sheetName val="Theo_Cons-June'1026"/>
      <sheetName val="LABOUR_RATE27"/>
      <sheetName val="Material_Rate27"/>
      <sheetName val="AFAS_26"/>
      <sheetName val="RDS_&amp;_WLD26"/>
      <sheetName val="PA_System26"/>
      <sheetName val="Server_&amp;_PAC_Room26"/>
      <sheetName val="HVAC_BOQ26"/>
      <sheetName val="Grade_Slab_-127"/>
      <sheetName val="Grade_Slab_-227"/>
      <sheetName val="Grade_slab-327"/>
      <sheetName val="Grade_slab_-427"/>
      <sheetName val="Grade_slab_-527"/>
      <sheetName val="Grade_slab_-627"/>
      <sheetName val="Switch_V1627"/>
      <sheetName val="STAFFSCHED_26"/>
      <sheetName val="Deduction_of_assets25"/>
      <sheetName val="India_F&amp;S_Template26"/>
      <sheetName val="_bus_bay26"/>
      <sheetName val="doq_426"/>
      <sheetName val="doq_226"/>
      <sheetName val="d-safe_specs25"/>
      <sheetName val="Factor_Sheet27"/>
      <sheetName val="Gym_AV3"/>
      <sheetName val="Initial_Data8"/>
      <sheetName val="HO_Costs1"/>
      <sheetName val="ST_CODE5"/>
      <sheetName val="11B_26"/>
      <sheetName val="Invoice_Tracker26"/>
      <sheetName val="ACAD_Finishes26"/>
      <sheetName val="Site_Details26"/>
      <sheetName val="Site_Area_Statement26"/>
      <sheetName val="BOQ_LT26"/>
      <sheetName val="14_07_10_CIVIL_W [26"/>
      <sheetName val="Break_up_Sheet"/>
      <sheetName val="COST_SHEET1"/>
      <sheetName val="Cable_Rate_10_05_151"/>
      <sheetName val="WIRING_ACCS1"/>
      <sheetName val="Cabletray_1"/>
      <sheetName val="DG_COMP1"/>
      <sheetName val="İşin_Adı1"/>
      <sheetName val="Softscape_Buildup"/>
      <sheetName val="Mat'l_Rate"/>
      <sheetName val="payment_type"/>
      <sheetName val="BQ_External"/>
      <sheetName val="Income_Statement26"/>
      <sheetName val="MASTER_RATE_ANALYSIS25"/>
      <sheetName val="Blr_hire25"/>
      <sheetName val="PRECAST_lig(tconc_II25"/>
      <sheetName val="Quote_Sheet25"/>
      <sheetName val="RCC,Ret__Wall25"/>
      <sheetName val="schedule_nos"/>
      <sheetName val="Cash_Flow_Working"/>
      <sheetName val="14_07_10@1"/>
      <sheetName val="Division_16"/>
      <sheetName val="CCTV_KAMERE_(2)"/>
      <sheetName val="SDH_BOM"/>
      <sheetName val="RECAP_DEVIS"/>
      <sheetName val="Area_II"/>
      <sheetName val="Load_Details(B2)26"/>
      <sheetName val="Works_-_Quote_Sheet26"/>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Cost_Basis25"/>
      <sheetName val="Intro_25"/>
      <sheetName val="Gate_225"/>
      <sheetName val="Name_List25"/>
      <sheetName val="BLOCK-A_(MEA_SHEET)26"/>
      <sheetName val="Project_Ignite25"/>
      <sheetName val="Misc__Data25"/>
      <sheetName val="Customize_Your_Invoice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VF_Full_Recon25"/>
      <sheetName val="PITP3_COPY25"/>
      <sheetName val="Meas_25"/>
      <sheetName val="Expenses_Actual_Vs__Budgeted25"/>
      <sheetName val="Col_up_to_plinth25"/>
      <sheetName val="Frango_Work_sheet"/>
      <sheetName val="TCMO_(2)"/>
      <sheetName val="Advance_tax"/>
      <sheetName val="Cashflow_"/>
      <sheetName val="ITDEP_revised"/>
      <sheetName val="Deferred_tax"/>
      <sheetName val="grp_"/>
      <sheetName val="Debtors_Ageing_"/>
      <sheetName val="2_civil-RA"/>
      <sheetName val="General_Input"/>
      <sheetName val="Fin__Assumpt__-_SensitivitieH25"/>
      <sheetName val="Fin__Assumpt__-_Sensitivitie1"/>
      <sheetName val="Form_63"/>
      <sheetName val="08_07_10ⴠ㭮㢝輜"/>
      <sheetName val="7_Other_Costs"/>
      <sheetName val="Vind_-_BtB"/>
      <sheetName val="KSt_-_Analysis_8"/>
      <sheetName val="Section_Catalogue8"/>
      <sheetName val="beam-reinft-machine_rm25"/>
      <sheetName val="Cash_Flow_Input_Data_ISC25"/>
      <sheetName val="Lifts_&amp;_Escal-BOQ3"/>
      <sheetName val="FIRE_BOQ3"/>
      <sheetName val="Eqpmnt_Pln"/>
      <sheetName val="Eqpmnt_PlnH"/>
      <sheetName val="Eqpmnt_PlnÄ"/>
      <sheetName val="__¢&amp;ú5#9"/>
      <sheetName val="__¢&amp;???ú5#???????9"/>
      <sheetName val="E_&amp;_R25"/>
      <sheetName val="precast_RC_element"/>
      <sheetName val="08_07_10헾】??헾　"/>
      <sheetName val="08_07_10헾】??苈ô헾⼤"/>
      <sheetName val="Deprec_5"/>
      <sheetName val="RA_BILL_-_1"/>
      <sheetName val="Tax_Inv"/>
      <sheetName val="Tax_Inv_(Client)"/>
      <sheetName val="SC_Cost_MAR_02"/>
      <sheetName val="Rate_analysis_civil5"/>
      <sheetName val="R_A_1"/>
      <sheetName val="08_07_10_CIVIՌ缀"/>
      <sheetName val="__¢&amp;_x0000"/>
      <sheetName val="LEVEL_SHEET1"/>
      <sheetName val="Footing_"/>
      <sheetName val="foot-slab_reinft"/>
      <sheetName val="WORK_TABLE"/>
      <sheetName val="PointNo_5"/>
      <sheetName val="Varthur_1"/>
      <sheetName val="COP_Final"/>
      <sheetName val="Sch__Areas"/>
      <sheetName val="Tk_off"/>
      <sheetName val="Local_Ring_1"/>
      <sheetName val="Mp-team_1"/>
      <sheetName val="BW_Fence"/>
      <sheetName val="15-Mechanical_"/>
      <sheetName val="5-Metal_Works"/>
      <sheetName val="9-Finishes_"/>
      <sheetName val="12-Furniture_"/>
      <sheetName val="3-Concrete_Work"/>
      <sheetName val="7-Thermal_&amp;_Moisture_Protecti_"/>
      <sheetName val="8-Doors_&amp;_Windows_"/>
      <sheetName val="inflation_calculator"/>
      <sheetName val="Reference_Data"/>
      <sheetName val="Bill_No_6"/>
      <sheetName val="Cash_Flow-Format-XII"/>
      <sheetName val="Rates_for_public_areas"/>
      <sheetName val="sc_PhI_ok"/>
      <sheetName val="Cumulative_Karnatka_Purchase"/>
      <sheetName val="Reco-_Project_wise"/>
      <sheetName val="Purchase_head_Wise"/>
      <sheetName val="List_of_Project"/>
      <sheetName val="Cumulative_Karnatka_Purchas_(2"/>
      <sheetName val="Pivot_table"/>
      <sheetName val="MS_Loan_repayments"/>
      <sheetName val="ETC_Plant_Cost1"/>
      <sheetName val="BL_Staff"/>
      <sheetName val="Array_(2)"/>
      <sheetName val="14_07_10_CIVIL_W _26"/>
      <sheetName val="14_07_10@^_&amp;"/>
      <sheetName val="Master_data"/>
      <sheetName val="Detail_In_Door_Stad"/>
      <sheetName val="old_serial_no_"/>
      <sheetName val="_1"/>
      <sheetName val="abst-of_-cost"/>
      <sheetName val="w't_table5"/>
      <sheetName val="Combined_Results_"/>
      <sheetName val="Adimi_bldg"/>
      <sheetName val="Pump_House"/>
      <sheetName val="Fuel_Regu_Station"/>
      <sheetName val="0200_Siteworks"/>
      <sheetName val="73_Free_Chart_Templates_-_3"/>
      <sheetName val="Material_List_"/>
      <sheetName val="Shuttering_Material"/>
      <sheetName val="Equipment_Master"/>
      <sheetName val="Material_Master"/>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Project_Brief"/>
      <sheetName val="Room_Type"/>
      <sheetName val="Basement2_DB"/>
      <sheetName val="Detailed_Budget"/>
      <sheetName val="Key_Qty"/>
      <sheetName val="Basement_Extract"/>
      <sheetName val="SA_Plen_"/>
      <sheetName val="Retu__Duct"/>
      <sheetName val="RA_Plen_"/>
      <sheetName val="T__Ex__Duct"/>
      <sheetName val="Ring_Details"/>
      <sheetName val="08_07_10헾】??睮は"/>
      <sheetName val="_09_07_10_M顅ᎆ뤀ᨇ԰v喐"/>
      <sheetName val="_09_07_10_M顅ᎆ뤀ᨇ԰È盰"/>
      <sheetName val="Macro_custom_function1"/>
      <sheetName val="DM_tANK_Allow5"/>
      <sheetName val="IPS_new"/>
      <sheetName val="Project_Data"/>
      <sheetName val="SC_Cost_FEB_03"/>
      <sheetName val="13__Steel_-_Ratio"/>
      <sheetName val="Summary_output"/>
      <sheetName val="Balance_Sheet"/>
      <sheetName val="PROJECT_BRIEF(EX_NEW)"/>
      <sheetName val="pvc_vent"/>
      <sheetName val="MEP_Factors"/>
      <sheetName val="VENDOR_LIST"/>
      <sheetName val="Currency_Rates"/>
      <sheetName val="Cable_Data"/>
      <sheetName val="Contract_Status"/>
      <sheetName val="08_07_10헾】__"/>
      <sheetName val="08_07_10"/>
      <sheetName val="08_07_10_CIVIՌ"/>
      <sheetName val="08_07_10헾】__헾　"/>
      <sheetName val="CONSTRUCTION_COMPONENT"/>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__¢&amp;___ú5#_______9"/>
      <sheetName val="08_07_10헾】__苈ô헾⼤"/>
      <sheetName val="08_07_10쪸㱗褰譬'"/>
      <sheetName val="08_07_10헾】?︀ᇕ԰缀"/>
      <sheetName val="08_07_10헾】?蠄ሹꠀ䁮"/>
      <sheetName val="08_07_10헾】?/退Ý"/>
      <sheetName val="08_07_10헾】?蠌ሹ⠀䁫"/>
      <sheetName val="8!;bÂ_Ò_!Ò8!&amp;&amp;"/>
      <sheetName val="collections_plan_0401"/>
      <sheetName val="ITB_COST"/>
      <sheetName val="Fire_Hydrant"/>
      <sheetName val="Material_Spec_"/>
      <sheetName val="Terms_&amp;_conditions"/>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activit-graph__"/>
      <sheetName val="Material_recovery"/>
      <sheetName val="GF_Columns"/>
      <sheetName val="Basic_Rates"/>
      <sheetName val="3LBHK_RA"/>
      <sheetName val="BLR_1"/>
      <sheetName val="HRSG_PRINT"/>
      <sheetName val="Cost_control"/>
      <sheetName val="Main_Gate_House"/>
      <sheetName val="unit_cost_"/>
      <sheetName val="14_07_10@^\&amp;"/>
      <sheetName val="08_07_10헾】??"/>
      <sheetName val="_09_07_10_M蕸\헾⿓"/>
      <sheetName val="Fin_Sum"/>
      <sheetName val="Field_Values"/>
      <sheetName val="9__Package_split_-_Cost_"/>
      <sheetName val="_AnalysisPCC"/>
      <sheetName val="Labour_List_"/>
      <sheetName val="Plant_List"/>
      <sheetName val="Material_List"/>
      <sheetName val="08_07_10헾】__睮は"/>
      <sheetName val="08_07_10헾】_︀ᇕ԰"/>
      <sheetName val="08_07_10헾】_蠄ሹꠀ䁮�"/>
      <sheetName val="08_07_10헾】_蠌ሹ⠀䁫�"/>
      <sheetName val="tie_beam"/>
      <sheetName val="2_0_Floor_Area_Summary"/>
      <sheetName val="Angebot18_7_"/>
      <sheetName val="[TEMP_xls]14_07_10@&amp;Ò:"/>
      <sheetName val="[TEMP_xls]¸:;b+/î&lt;î:&amp;&amp;"/>
      <sheetName val="BASIS_-DEC_08"/>
      <sheetName val="B3-_Concrete_Work"/>
      <sheetName val="B4-_Block_Work"/>
      <sheetName val="B5_-_Water_Proofing_and_Roofing"/>
      <sheetName val="B6_-_Aluminum_Works"/>
      <sheetName val="B7_-_Wooden_Works"/>
      <sheetName val="B8_-_FLOOR,_WALLS_AND_CEILING_F"/>
      <sheetName val="qty_schedule"/>
      <sheetName val="Pump_Rm's_div-27__"/>
      <sheetName val="Substation_div-27_"/>
      <sheetName val="Gen_Sum"/>
      <sheetName val="Section_II"/>
      <sheetName val="Section_III"/>
      <sheetName val="Named_ranges"/>
      <sheetName val="Electrical_(nU)"/>
      <sheetName val="TOEC"/>
      <sheetName val="기준-중기 revised"/>
      <sheetName val="장비운반비"/>
      <sheetName val="Project Schedule"/>
      <sheetName val="Project Sch."/>
      <sheetName val="OUAIS"/>
      <sheetName val="CEC"/>
      <sheetName val="HEC"/>
      <sheetName val="직원동원계획"/>
      <sheetName val="SOURCE"/>
      <sheetName val="TB-내역서"/>
      <sheetName val="CAL."/>
      <sheetName val="M_B"/>
      <sheetName val="eq_data"/>
      <sheetName val="본지점중"/>
      <sheetName val="보온자재단가표"/>
      <sheetName val="비교"/>
      <sheetName val="사업계획"/>
      <sheetName val="Mech CIF"/>
      <sheetName val="투입실적"/>
      <sheetName val="96.12"/>
      <sheetName val="HDECGTY"/>
      <sheetName val="B. Erec_BOQ(Filed)"/>
      <sheetName val="수입"/>
      <sheetName val="인건비"/>
      <sheetName val="영업소실적"/>
      <sheetName val="Indirect Cost"/>
      <sheetName val="COVERSHEET PAGE"/>
      <sheetName val="OUT"/>
      <sheetName val="VC2 9.98"/>
      <sheetName val="간접인원 급료산출"/>
      <sheetName val="Gym_AV4"/>
      <sheetName val="Key_Qty1"/>
      <sheetName val="Basement_Extract1"/>
      <sheetName val="SA_Plen_1"/>
      <sheetName val="Retu__Duct1"/>
      <sheetName val="RA_Plen_1"/>
      <sheetName val="T__Ex__Duct1"/>
      <sheetName val="Break_up_Sheet1"/>
      <sheetName val="schedule_nos1"/>
      <sheetName val="Bill_No_61"/>
      <sheetName val="BQ_External1"/>
      <sheetName val="Cash_Flow_Working1"/>
      <sheetName val="Division_161"/>
      <sheetName val="CCTV_KAMERE_(2)1"/>
      <sheetName val="Softscape_Buildup1"/>
      <sheetName val="Mat'l_Rate1"/>
      <sheetName val="payment_type1"/>
      <sheetName val="Mp-team_11"/>
      <sheetName val="[TEMP_xls]14_07_10@&amp;Ò:1"/>
      <sheetName val="[TEMP_xls]¸:;b+/î&lt;î:&amp;&amp;1"/>
      <sheetName val="finalj"/>
      <sheetName val="Co-ef"/>
      <sheetName val="COL-SCH"/>
      <sheetName val="GS"/>
      <sheetName val="Analyses"/>
      <sheetName val="W006"/>
      <sheetName val="Optionals"/>
      <sheetName val="Parameters"/>
      <sheetName val="[TEMP.xls]14.07.10@"/>
      <sheetName val="08.07.10헾】_x0005_??睮は_x0005_"/>
      <sheetName val="08.07.10헾】_x0005_?︀ᇕ԰"/>
      <sheetName val="08.07.10헾】_x0005_?/"/>
      <sheetName val="Grade Slab Civils"/>
      <sheetName val="except wiring"/>
      <sheetName val="입찰내역 발주처 양식"/>
      <sheetName val="Villas Sanitaryware"/>
      <sheetName val="Fin__Assumpt__-_Sensitivitie2"/>
      <sheetName val="R_A_2"/>
      <sheetName val="2_civil-RA1"/>
      <sheetName val="Frango_Work_sheet1"/>
      <sheetName val="TCMO_(2)1"/>
      <sheetName val="Advance_tax1"/>
      <sheetName val="Cashflow_1"/>
      <sheetName val="ITDEP_revised1"/>
      <sheetName val="Deferred_tax1"/>
      <sheetName val="grp_1"/>
      <sheetName val="Debtors_Ageing_1"/>
      <sheetName val="precast_RC_element1"/>
      <sheetName val="MS_Loan_repayments1"/>
      <sheetName val="Eqpmnt_PlnH1"/>
      <sheetName val="Eqpmnt_PlnÄ1"/>
      <sheetName val="Master_data1"/>
      <sheetName val="Combined_Results_1"/>
      <sheetName val="Footing_1"/>
      <sheetName val="RA_BILL_-_11"/>
      <sheetName val="Tax_Inv1"/>
      <sheetName val="Tax_Inv_(Client)1"/>
      <sheetName val="Array_(2)1"/>
      <sheetName val="WORK_TABLE1"/>
      <sheetName val="Detail_In_Door_Stad1"/>
      <sheetName val="7_Other_Costs1"/>
      <sheetName val="Vind_-_BtB1"/>
      <sheetName val="COP_Final1"/>
      <sheetName val="Varthur_11"/>
      <sheetName val="General_Input1"/>
      <sheetName val="foot-slab_reinft1"/>
      <sheetName val="Adimi_bldg1"/>
      <sheetName val="Pump_House1"/>
      <sheetName val="Fuel_Regu_Station1"/>
      <sheetName val="0200_Siteworks1"/>
      <sheetName val="PRECAST_lightconc-II31"/>
      <sheetName val="PRECAST_lightconc_II31"/>
      <sheetName val="College_Details31"/>
      <sheetName val="Personal_31"/>
      <sheetName val="Cleaning_&amp;_Grubbing31"/>
      <sheetName val="jidal_dam31"/>
      <sheetName val="fran_temp31"/>
      <sheetName val="kona_swit31"/>
      <sheetName val="template_(8)31"/>
      <sheetName val="template_(9)31"/>
      <sheetName val="OVER_HEADS31"/>
      <sheetName val="Cover_Sheet31"/>
      <sheetName val="BOQ_REV_A31"/>
      <sheetName val="PTB_(IO)31"/>
      <sheetName val="BMS_31"/>
      <sheetName val="SPT_vs_PHI31"/>
      <sheetName val="TBAL9697_-group_wise__sdpl31"/>
      <sheetName val="Quantity_Schedule30"/>
      <sheetName val="Revenue__Schedule_30"/>
      <sheetName val="Balance_works_-_Direct_Cost30"/>
      <sheetName val="Balance_works_-_Indirect_Cost30"/>
      <sheetName val="Fund_Plan30"/>
      <sheetName val="Bill_of_Resources30"/>
      <sheetName val="beam-reinft-IIInd_floor29"/>
      <sheetName val="M-Book_for_Conc29"/>
      <sheetName val="M-Book_for_FW29"/>
      <sheetName val="SITE_OVERHEADS29"/>
      <sheetName val="labour_coeff29"/>
      <sheetName val="Site_Dev_BOQ29"/>
      <sheetName val="Expenditure_plan29"/>
      <sheetName val="ORDER_BOOKING29"/>
      <sheetName val="Boq_Block_A29"/>
      <sheetName val="Costing_Upto_Mar'11_(2)29"/>
      <sheetName val="Tender_Summary29"/>
      <sheetName val="TAX_BILLS29"/>
      <sheetName val="CASH_BILLS29"/>
      <sheetName val="LABOUR_BILLS29"/>
      <sheetName val="puch_order29"/>
      <sheetName val="Sheet1_(2)29"/>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Meas_-Hotel_Part29"/>
      <sheetName val="BOQ_Direct_selling_cost28"/>
      <sheetName val="scurve_calc_(2)28"/>
      <sheetName val="Contract_Night_Staff28"/>
      <sheetName val="Contract_Day_Staff28"/>
      <sheetName val="Day_Shift28"/>
      <sheetName val="Night_Shift28"/>
      <sheetName val="Meas__Hotel_Part28"/>
      <sheetName val="22_12_201129"/>
      <sheetName val="BOQ_(2)29"/>
      <sheetName val="Direct_cost_shed_A-2_28"/>
      <sheetName val="final_abstract28"/>
      <sheetName val="INPUT_SHEET28"/>
      <sheetName val="Fee_Rate_Summary28"/>
      <sheetName val="Civil_Boq28"/>
      <sheetName val="Fill_this_out_first___28"/>
      <sheetName val="MN_T_B_28"/>
      <sheetName val="_09_07_10_M顅ᎆ뤀ᨇ԰?缀?28"/>
      <sheetName val="DI_Rate_Analysis29"/>
      <sheetName val="Economic_RisingMain__Ph-I29"/>
      <sheetName val="St_co_91_5lvl28"/>
      <sheetName val="TBAL9697__group_wise__sdpl28"/>
      <sheetName val="Ave_wtd_rates28"/>
      <sheetName val="Material_28"/>
      <sheetName val="Labour_&amp;_Plant28"/>
      <sheetName val="Cashflow_projection28"/>
      <sheetName val="PA-_Consutant_28"/>
      <sheetName val="Item-_Compact28"/>
      <sheetName val="Civil_Works28"/>
      <sheetName val="SP_Break_Up28"/>
      <sheetName val="_09_07_10_M顅ᎆ뤀ᨇ԰28"/>
      <sheetName val="_09_07_10_M顅ᎆ뤀ᨇ԰_缀_28"/>
      <sheetName val="IO_List28"/>
      <sheetName val="Sales_&amp;_Prod28"/>
      <sheetName val="Labour_productivity28"/>
      <sheetName val="cash_in_flow_Summary_JV_28"/>
      <sheetName val="water_prop_28"/>
      <sheetName val="GR_slab-reinft28"/>
      <sheetName val="Cost_Index28"/>
      <sheetName val="Staff_Acco_28"/>
      <sheetName val="3cd_Annexure28"/>
      <sheetName val="Fin__Assumpt__-_Sensitivities28"/>
      <sheetName val="Bill_128"/>
      <sheetName val="Bill_228"/>
      <sheetName val="Bill_328"/>
      <sheetName val="Bill_428"/>
      <sheetName val="Bill_528"/>
      <sheetName val="Bill_628"/>
      <sheetName val="Bill_728"/>
      <sheetName val="Prelims_Breakup29"/>
      <sheetName val="1_Civil-RA28"/>
      <sheetName val="Structure_Bills_Qty28"/>
      <sheetName val="F20_Risk_Analysis28"/>
      <sheetName val="Change_Order_Log28"/>
      <sheetName val="2000_MOR28"/>
      <sheetName val="Rate_analysis-_BOQ_1_28"/>
      <sheetName val="Project_Details__28"/>
      <sheetName val="INDIGINEOUS_ITEMS_28"/>
      <sheetName val="Rate_Analysis28"/>
      <sheetName val="Phase_128"/>
      <sheetName val="Driveway_Beams28"/>
      <sheetName val="Pacakges_split28"/>
      <sheetName val="DEINKING(ANNEX_1)28"/>
      <sheetName val="Assumption_Inputs28"/>
      <sheetName val="T-P1,_FINISHES_WORKING_28"/>
      <sheetName val="Assumption_&amp;_Exclusion28"/>
      <sheetName val="Debits_as_on_12_04_0827"/>
      <sheetName val="_bus_bay27"/>
      <sheetName val="doq_427"/>
      <sheetName val="doq_227"/>
      <sheetName val="Grade_Slab_-128"/>
      <sheetName val="Grade_Slab_-228"/>
      <sheetName val="Grade_slab-328"/>
      <sheetName val="Grade_slab_-428"/>
      <sheetName val="Grade_slab_-528"/>
      <sheetName val="Grade_slab_-628"/>
      <sheetName val="AutoOpen_Stub_Data28"/>
      <sheetName val="Eqpmnt_Plng28"/>
      <sheetName val="Data_Sheet27"/>
      <sheetName val="External_Doors28"/>
      <sheetName val="STAFFSCHED_27"/>
      <sheetName val="LABOUR_RATE28"/>
      <sheetName val="Material_Rate28"/>
      <sheetName val="Switch_V1628"/>
      <sheetName val="India_F&amp;S_Template27"/>
      <sheetName val="Cat_A_Change_Control28"/>
      <sheetName val="Factor_Sheet28"/>
      <sheetName val="11B_27"/>
      <sheetName val="Theo_Cons-June'1027"/>
      <sheetName val="AFAS_27"/>
      <sheetName val="RDS_&amp;_WLD27"/>
      <sheetName val="PA_System27"/>
      <sheetName val="Server_&amp;_PAC_Room27"/>
      <sheetName val="HVAC_BOQ27"/>
      <sheetName val="Invoice_Tracker27"/>
      <sheetName val="14_07_10_CIVIL_W [27"/>
      <sheetName val="ACAD_Finishes27"/>
      <sheetName val="Site_Details27"/>
      <sheetName val="Site_Area_Statement27"/>
      <sheetName val="BOQ_LT27"/>
      <sheetName val="Summary_WG27"/>
      <sheetName val="Load_Details(B2)27"/>
      <sheetName val="Works_-_Quote_Shee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Cost_Basis26"/>
      <sheetName val="d-safe_specs26"/>
      <sheetName val="Deduction_of_assets26"/>
      <sheetName val="RCC,Ret__Wall26"/>
      <sheetName val="Blr_hire26"/>
      <sheetName val="PRECAST_lig(tconc_II26"/>
      <sheetName val="Income_Statement27"/>
      <sheetName val="VF_Full_Recon26"/>
      <sheetName val="PITP3_COPY26"/>
      <sheetName val="Meas_26"/>
      <sheetName val="BLOCK-A_(MEA_SHEET)27"/>
      <sheetName val="Expenses_Actual_Vs__Budgeted26"/>
      <sheetName val="Col_up_to_plinth26"/>
      <sheetName val="MASTER_RATE_ANALYSIS26"/>
      <sheetName val="Intro_26"/>
      <sheetName val="Gate_226"/>
      <sheetName val="Name_List26"/>
      <sheetName val="Project_Ignite26"/>
      <sheetName val="Quote_Sheet26"/>
      <sheetName val="Misc__Data26"/>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KSt_-_Analysis_9"/>
      <sheetName val="Section_Catalogue9"/>
      <sheetName val="Customize_Your_Invoice26"/>
      <sheetName val="Fin__Assumpt__-_SensitivitieH26"/>
      <sheetName val="Fin__Assumpt__-_Sensitivitie4"/>
      <sheetName val="R_A_4"/>
      <sheetName val="__¢&amp;ú5#10"/>
      <sheetName val="__¢&amp;???ú5#???????10"/>
      <sheetName val="2_civil-RA3"/>
      <sheetName val="Lifts_&amp;_Escal-BOQ5"/>
      <sheetName val="FIRE_BOQ5"/>
      <sheetName val="Frango_Work_sheet3"/>
      <sheetName val="TCMO_(2)3"/>
      <sheetName val="Advance_tax3"/>
      <sheetName val="Cashflow_3"/>
      <sheetName val="ITDEP_revised3"/>
      <sheetName val="Deferred_tax3"/>
      <sheetName val="grp_3"/>
      <sheetName val="Debtors_Ageing_3"/>
      <sheetName val="Form_65"/>
      <sheetName val="Cash_Flow_Input_Data_ISC26"/>
      <sheetName val="beam-reinft-machine_rm26"/>
      <sheetName val="precast_RC_element3"/>
      <sheetName val="MS_Loan_repayments3"/>
      <sheetName val="E_&amp;_R26"/>
      <sheetName val="Eqpmnt_PlnH3"/>
      <sheetName val="Eqpmnt_PlnÄ3"/>
      <sheetName val="Master_data3"/>
      <sheetName val="Combined_Results_3"/>
      <sheetName val="Footing_3"/>
      <sheetName val="LEVEL_SHEET3"/>
      <sheetName val="RA_BILL_-_13"/>
      <sheetName val="Tax_Inv3"/>
      <sheetName val="Tax_Inv_(Client)3"/>
      <sheetName val="ETC_Plant_Cost3"/>
      <sheetName val="Array_(2)3"/>
      <sheetName val="WORK_TABLE3"/>
      <sheetName val="Detail_In_Door_Stad3"/>
      <sheetName val="7_Other_Costs3"/>
      <sheetName val="Vind_-_BtB3"/>
      <sheetName val="COP_Final3"/>
      <sheetName val="Varthur_13"/>
      <sheetName val="General_Input3"/>
      <sheetName val="foot-slab_reinft3"/>
      <sheetName val="Adimi_bldg3"/>
      <sheetName val="Pump_House3"/>
      <sheetName val="Fuel_Regu_Station3"/>
      <sheetName val="0200_Siteworks3"/>
      <sheetName val="Fin__Assumpt__-_Sensitivitie3"/>
      <sheetName val="R_A_3"/>
      <sheetName val="2_civil-RA2"/>
      <sheetName val="Lifts_&amp;_Escal-BOQ4"/>
      <sheetName val="FIRE_BOQ4"/>
      <sheetName val="Frango_Work_sheet2"/>
      <sheetName val="TCMO_(2)2"/>
      <sheetName val="Advance_tax2"/>
      <sheetName val="Cashflow_2"/>
      <sheetName val="ITDEP_revised2"/>
      <sheetName val="Deferred_tax2"/>
      <sheetName val="grp_2"/>
      <sheetName val="Debtors_Ageing_2"/>
      <sheetName val="Form_64"/>
      <sheetName val="precast_RC_element2"/>
      <sheetName val="MS_Loan_repayments2"/>
      <sheetName val="Eqpmnt_PlnH2"/>
      <sheetName val="Eqpmnt_PlnÄ2"/>
      <sheetName val="Master_data2"/>
      <sheetName val="Combined_Results_2"/>
      <sheetName val="Footing_2"/>
      <sheetName val="LEVEL_SHEET2"/>
      <sheetName val="RA_BILL_-_12"/>
      <sheetName val="Tax_Inv2"/>
      <sheetName val="Tax_Inv_(Client)2"/>
      <sheetName val="ETC_Plant_Cost2"/>
      <sheetName val="Array_(2)2"/>
      <sheetName val="WORK_TABLE2"/>
      <sheetName val="Detail_In_Door_Stad2"/>
      <sheetName val="7_Other_Costs2"/>
      <sheetName val="Vind_-_BtB2"/>
      <sheetName val="COP_Final2"/>
      <sheetName val="Varthur_12"/>
      <sheetName val="General_Input2"/>
      <sheetName val="foot-slab_reinft2"/>
      <sheetName val="Adimi_bldg2"/>
      <sheetName val="Pump_House2"/>
      <sheetName val="Fuel_Regu_Station2"/>
      <sheetName val="0200_Siteworks2"/>
      <sheetName val="Appendix A"/>
      <sheetName val="7. 매출 투입 취하"/>
      <sheetName val="1.01"/>
      <sheetName val="Building 1"/>
      <sheetName val="CCS Summary"/>
      <sheetName val="4C (R2)"/>
      <sheetName val="[TEMP.xls]14.07.10@^\_x0001_&amp;"/>
      <sheetName val="Actual"/>
      <sheetName val="Varitations_Not_Agreed"/>
      <sheetName val="Overview_(OAD)"/>
      <sheetName val="Design_Changes"/>
      <sheetName val="기준-중기_revised"/>
      <sheetName val="Project_Schedule"/>
      <sheetName val="Project_Sch_"/>
      <sheetName val="CAL_"/>
      <sheetName val="Mech_CIF"/>
      <sheetName val="96_12"/>
      <sheetName val="B__Erec_BOQ(Filed)"/>
      <sheetName val="Indirect_Cost"/>
      <sheetName val="COVERSHEET_PAGE"/>
      <sheetName val="VC2_9_98"/>
      <sheetName val="간접인원_급료산출"/>
      <sheetName val="Master_Data_Sheet"/>
      <sheetName val="Itemised_Breakdown"/>
      <sheetName val="Details_for_Charts"/>
      <sheetName val="[TEMP_xls]14_07_10@^\&amp;8"/>
      <sheetName val="[TEMP.xls]08.07.10헾】_x0005_?/_x0000_退Ý_x0000_"/>
      <sheetName val="[TEMP.xls] 09.07.10 M蕸\헾⿓_x0005_"/>
      <sheetName val="공사비_내역_(가)13"/>
      <sheetName val="Raw_Data13"/>
      <sheetName val="CIF_COST_ITEM13"/>
      <sheetName val="Oud_Metha10"/>
      <sheetName val="Port_Saeed10"/>
      <sheetName val="Al_Wasl10"/>
      <sheetName val="Basement_Budget9"/>
      <sheetName val="Initial_Data9"/>
      <sheetName val="İşin_Adı2"/>
      <sheetName val="Gym_AV5"/>
      <sheetName val="F4_132"/>
      <sheetName val="COST_SHEET2"/>
      <sheetName val="Cable_Rate_10_05_152"/>
      <sheetName val="WIRING_ACCS2"/>
      <sheetName val="Cabletray_2"/>
      <sheetName val="DG_COMP2"/>
      <sheetName val="HO_Costs2"/>
      <sheetName val="Break_up_Sheet2"/>
      <sheetName val="Bill_102"/>
      <sheetName val="14_07_10@2"/>
      <sheetName val="schedule_nos2"/>
      <sheetName val="Cash_Flow_Working2"/>
      <sheetName val="Division_162"/>
      <sheetName val="CCTV_KAMERE_(2)2"/>
      <sheetName val="Softscape_Buildup2"/>
      <sheetName val="Mat'l_Rate2"/>
      <sheetName val="payment_type2"/>
      <sheetName val="BQ_External2"/>
      <sheetName val="Bill_No_62"/>
      <sheetName val="Area_II1"/>
      <sheetName val="Sch__Areas1"/>
      <sheetName val="Tk_off1"/>
      <sheetName val="SC_Cost_MAR_021"/>
      <sheetName val="PointNo_51"/>
      <sheetName val="sc_PhI_ok1"/>
      <sheetName val="Local_Ring_11"/>
      <sheetName val="Mp-team_12"/>
      <sheetName val="Key_Qty2"/>
      <sheetName val="Basement_Extract2"/>
      <sheetName val="SA_Plen_2"/>
      <sheetName val="Retu__Duct2"/>
      <sheetName val="RA_Plen_2"/>
      <sheetName val="T__Ex__Duct2"/>
      <sheetName val="[TEMP_xls]14_07_10@&amp;Ò:2"/>
      <sheetName val="[TEMP_xls]¸:;b+/î&lt;î:&amp;&amp;2"/>
      <sheetName val="Eqpmnt_Pln1"/>
      <sheetName val="Sub_Cont__Comp_"/>
      <sheetName val="milling machine idle cost"/>
      <sheetName val="2000"/>
      <sheetName val="İNŞAAT"/>
      <sheetName val="Bill2"/>
      <sheetName val=" 09.07.10 M顅ᎆ뤀ᨇ԰_x005f_x0000_缀_x005f_x0000_"/>
      <sheetName val="Apr-05"/>
      <sheetName val="Division 15B - HVAC"/>
      <sheetName val="[TEMP.xls]________8___b_______2"/>
      <sheetName val="[TEMP.xls]____________b_______2"/>
      <sheetName val="Pump_Rm's_div-27__2"/>
      <sheetName val="Substation_div-27_2"/>
      <sheetName val="Pump_Rm's_div-27__1"/>
      <sheetName val="Substation_div-27_1"/>
      <sheetName val="[TEMP.xls]________5___b___8___2"/>
      <sheetName val="[TEMP.xls][TEMP.xls]14_07_10__2"/>
      <sheetName val="[TEMP.xls][TEMP.xls]14_07_10__3"/>
      <sheetName val="[TEMP.xls][TEMP.xls]___b______2"/>
      <sheetName val="[TEMP.xls][TEMP.xls]14_07_10__4"/>
      <sheetName val="[TEMP.xls][TEMP_xls]14_07_10__2"/>
      <sheetName val="[TEMP.xls][TEMP_xls]___b______2"/>
      <sheetName val="[TEMP.xls][TEMP_xls]14_07_10__3"/>
      <sheetName val="[TEMP.xls][TEMP_xls]___b______3"/>
      <sheetName val="[TEMP.xls][TEMP.xls]14_07_10__5"/>
      <sheetName val="[TEMP.xls][TEMP.xls]_5_b__8_6_2"/>
      <sheetName val="[TEMP.xls][TEMP.xls]08_07_10__2"/>
      <sheetName val="[TEMP.xls][TEMP.xls]14_07_10__6"/>
      <sheetName val="[TEMP.xls][TEMP.xls]_09_07_10_2"/>
      <sheetName val="[TEMP.xls]08.07.10헾】_x0005_?/"/>
      <sheetName val="Door &amp; Window"/>
      <sheetName val="ST_CODE6"/>
      <sheetName val="cover_page6"/>
      <sheetName val="SDH_BOM1"/>
      <sheetName val="RECAP_DEVIS1"/>
      <sheetName val="Deprec_6"/>
      <sheetName val="Rate_analysis_civil6"/>
      <sheetName val="15-Mechanical_1"/>
      <sheetName val="5-Metal_Works1"/>
      <sheetName val="9-Finishes_1"/>
      <sheetName val="12-Furniture_1"/>
      <sheetName val="3-Concrete_Work1"/>
      <sheetName val="7-Thermal_&amp;_Moisture_Protecti_1"/>
      <sheetName val="8-Doors_&amp;_Windows_1"/>
      <sheetName val="inflation_calculator1"/>
      <sheetName val="BW_Fence1"/>
      <sheetName val="Reference_Data1"/>
      <sheetName val="B3-_Concrete_Work1"/>
      <sheetName val="B4-_Block_Work1"/>
      <sheetName val="B5_-_Water_Proofing_and_Roofin1"/>
      <sheetName val="B6_-_Aluminum_Works1"/>
      <sheetName val="B7_-_Wooden_Works1"/>
      <sheetName val="B8_-_FLOOR,_WALLS_AND_CEILING_1"/>
      <sheetName val="qty_schedule1"/>
      <sheetName val="Cumulative_Karnatka_Purchase1"/>
      <sheetName val="Reco-_Project_wise1"/>
      <sheetName val="Purchase_head_Wise1"/>
      <sheetName val="List_of_Project1"/>
      <sheetName val="Cumulative_Karnatka_Purchas_(21"/>
      <sheetName val="Pivot_table1"/>
      <sheetName val="BL_Staff1"/>
      <sheetName val="14_07_10_CIVIL_W _27"/>
      <sheetName val="old_serial_no_1"/>
      <sheetName val="_2"/>
      <sheetName val="abst-of_-cost1"/>
      <sheetName val="w't_table6"/>
      <sheetName val="73_Free_Chart_Templates_-_31"/>
      <sheetName val="Material_List_1"/>
      <sheetName val="Shuttering_Material1"/>
      <sheetName val="Equipment_Master1"/>
      <sheetName val="Material_Master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Project_Brief1"/>
      <sheetName val="Rates_for_public_areas1"/>
      <sheetName val="BASIS_-DEC_081"/>
      <sheetName val="Room_Type1"/>
      <sheetName val="Basement2_DB1"/>
      <sheetName val="Detailed_Budget1"/>
      <sheetName val="Gen_Sum1"/>
      <sheetName val="Overview_(OAD)1"/>
      <sheetName val="Design_Changes1"/>
      <sheetName val="Ring_Details1"/>
      <sheetName val="Macro_custom_function2"/>
      <sheetName val="DM_tANK_Allow6"/>
      <sheetName val="IPS_new1"/>
      <sheetName val="Project_Data1"/>
      <sheetName val="SC_Cost_FEB_031"/>
      <sheetName val="13__Steel_-_Ratio1"/>
      <sheetName val="Summary_output1"/>
      <sheetName val="Balance_Sheet1"/>
      <sheetName val="PROJECT_BRIEF(EX_NEW)1"/>
      <sheetName val="pvc_vent1"/>
      <sheetName val="MEP_Factors1"/>
      <sheetName val="VENDOR_LIST1"/>
      <sheetName val="Currency_Rates1"/>
      <sheetName val="Cable_Data1"/>
      <sheetName val="Contract_Status1"/>
      <sheetName val="08_07_101"/>
      <sheetName val="08_07_10_CIVIՌ1"/>
      <sheetName val="CONSTRUCTION_COMPONENT1"/>
      <sheetName val="__¢&amp;___ú5#_______10"/>
      <sheetName val="collections_plan_04011"/>
      <sheetName val="ITB_COST1"/>
      <sheetName val="Fire_Hydrant1"/>
      <sheetName val="Material_Spec_1"/>
      <sheetName val="Terms_&amp;_conditions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activit-graph__1"/>
      <sheetName val="Material_recovery1"/>
      <sheetName val="GF_Columns1"/>
      <sheetName val="Basic_Rates1"/>
      <sheetName val="3LBHK_RA1"/>
      <sheetName val="BLR_11"/>
      <sheetName val="HRSG_PRINT1"/>
      <sheetName val="Cost_control1"/>
      <sheetName val="Main_Gate_House1"/>
      <sheetName val="unit_cost_1"/>
      <sheetName val="Fin_Sum1"/>
      <sheetName val="Field_Values1"/>
      <sheetName val="9__Package_split_-_Cost_1"/>
      <sheetName val="_AnalysisPCC1"/>
      <sheetName val="Labour_List_1"/>
      <sheetName val="Plant_List1"/>
      <sheetName val="Material_List1"/>
      <sheetName val="tie_beam1"/>
      <sheetName val="2_0_Floor_Area_Summary1"/>
      <sheetName val="Angebot18_7_1"/>
      <sheetName val="Cash_Flow-Format-XII1"/>
      <sheetName val="Named_ranges1"/>
      <sheetName val="Master_Data_Sheet1"/>
      <sheetName val="Varitations_Not_Agreed1"/>
      <sheetName val="Section_II1"/>
      <sheetName val="Section_III1"/>
      <sheetName val="BU"/>
      <sheetName val="SDH_BOM2"/>
      <sheetName val="RECAP_DEVIS2"/>
      <sheetName val="Area_II2"/>
      <sheetName val="SC_Cost_MAR_022"/>
      <sheetName val="PointNo_52"/>
      <sheetName val="Sch__Areas2"/>
      <sheetName val="Tk_off2"/>
      <sheetName val="Local_Ring_12"/>
      <sheetName val="Reference_Data2"/>
      <sheetName val="Raw_Data15"/>
      <sheetName val="공사비_내역_(가)15"/>
      <sheetName val="PRECAST_lightconc-II32"/>
      <sheetName val="PRECAST_lightconc_II32"/>
      <sheetName val="Cleaning_&amp;_Grubbing32"/>
      <sheetName val="College_Details32"/>
      <sheetName val="Personal_32"/>
      <sheetName val="jidal_dam32"/>
      <sheetName val="fran_temp32"/>
      <sheetName val="kona_swit32"/>
      <sheetName val="template_(8)32"/>
      <sheetName val="template_(9)32"/>
      <sheetName val="OVER_HEADS32"/>
      <sheetName val="Cover_Sheet32"/>
      <sheetName val="BOQ_REV_A32"/>
      <sheetName val="PTB_(IO)32"/>
      <sheetName val="BMS_32"/>
      <sheetName val="SPT_vs_PHI32"/>
      <sheetName val="TBAL9697_-group_wise__sdpl32"/>
      <sheetName val="Quantity_Schedule31"/>
      <sheetName val="Revenue__Schedule_31"/>
      <sheetName val="Balance_works_-_Direct_Cost31"/>
      <sheetName val="Balance_works_-_Indirect_Cost31"/>
      <sheetName val="Fund_Plan31"/>
      <sheetName val="Bill_of_Resources31"/>
      <sheetName val="beam-reinft-IIInd_floor30"/>
      <sheetName val="M-Book_for_Conc30"/>
      <sheetName val="M-Book_for_FW30"/>
      <sheetName val="SITE_OVERHEADS30"/>
      <sheetName val="labour_coeff30"/>
      <sheetName val="Site_Dev_BOQ30"/>
      <sheetName val="Expenditure_plan30"/>
      <sheetName val="ORDER_BOOKING30"/>
      <sheetName val="Costing_Upto_Mar'11_(2)30"/>
      <sheetName val="Tender_Summary30"/>
      <sheetName val="Boq_Block_A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TAX_BILLS30"/>
      <sheetName val="CASH_BILLS30"/>
      <sheetName val="LABOUR_BILLS30"/>
      <sheetName val="puch_order30"/>
      <sheetName val="Sheet1_(2)30"/>
      <sheetName val="Meas_-Hotel_Part30"/>
      <sheetName val="Contract_Night_Staff29"/>
      <sheetName val="Contract_Day_Staff29"/>
      <sheetName val="Day_Shift29"/>
      <sheetName val="Night_Shift29"/>
      <sheetName val="External_Doors29"/>
      <sheetName val="BOQ_Direct_selling_cost29"/>
      <sheetName val="scurve_calc_(2)29"/>
      <sheetName val="Direct_cost_shed_A-2_29"/>
      <sheetName val="22_12_201130"/>
      <sheetName val="Fee_Rate_Summary29"/>
      <sheetName val="Civil_Boq29"/>
      <sheetName val="CIF_COST_ITEM15"/>
      <sheetName val="Meas__Hotel_Part29"/>
      <sheetName val="BOQ_(2)30"/>
      <sheetName val="final_abstract29"/>
      <sheetName val="INPUT_SHEET29"/>
      <sheetName val="Fill_this_out_first___29"/>
      <sheetName val="MN_T_B_29"/>
      <sheetName val="_09_07_10_M顅ᎆ뤀ᨇ԰?缀?29"/>
      <sheetName val="DI_Rate_Analysis30"/>
      <sheetName val="Economic_RisingMain__Ph-I30"/>
      <sheetName val="Oud_Metha12"/>
      <sheetName val="Port_Saeed12"/>
      <sheetName val="Al_Wasl12"/>
      <sheetName val="Initial_Data11"/>
      <sheetName val="Basement_Budget11"/>
      <sheetName val="St_co_91_5lvl29"/>
      <sheetName val="Ave_wtd_rates29"/>
      <sheetName val="Material_29"/>
      <sheetName val="Labour_&amp;_Plant29"/>
      <sheetName val="Cashflow_projection29"/>
      <sheetName val="Item-_Compact29"/>
      <sheetName val="PA-_Consutant_29"/>
      <sheetName val="TBAL9697__group_wise__sdpl29"/>
      <sheetName val="Civil_Works29"/>
      <sheetName val="IO_List29"/>
      <sheetName val="Sales_&amp;_Prod29"/>
      <sheetName val="cash_in_flow_Summary_JV_29"/>
      <sheetName val="water_prop_29"/>
      <sheetName val="GR_slab-reinft29"/>
      <sheetName val="Cost_Index29"/>
      <sheetName val="SP_Break_Up29"/>
      <sheetName val="Labour_productivity29"/>
      <sheetName val="F20_Risk_Analysis29"/>
      <sheetName val="Change_Order_Log29"/>
      <sheetName val="2000_MOR29"/>
      <sheetName val="Rate_Analysis29"/>
      <sheetName val="Prelims_Breakup30"/>
      <sheetName val="Staff_Acco_29"/>
      <sheetName val="Data_Sheet28"/>
      <sheetName val="Rate_analysis-_BOQ_1_29"/>
      <sheetName val="Project_Details__29"/>
      <sheetName val="Driveway_Beams29"/>
      <sheetName val="INDIGINEOUS_ITEMS_29"/>
      <sheetName val="3cd_Annexure29"/>
      <sheetName val="Fin__Assumpt__-_Sensitivities29"/>
      <sheetName val="Bill_129"/>
      <sheetName val="Bill_229"/>
      <sheetName val="Bill_329"/>
      <sheetName val="Bill_429"/>
      <sheetName val="Bill_529"/>
      <sheetName val="Bill_629"/>
      <sheetName val="Bill_729"/>
      <sheetName val="Structure_Bills_Qty29"/>
      <sheetName val="Pacakges_split29"/>
      <sheetName val="1_Civil-RA29"/>
      <sheetName val="Phase_129"/>
      <sheetName val="_09_07_10_M顅ᎆ뤀ᨇ԰29"/>
      <sheetName val="_09_07_10_M顅ᎆ뤀ᨇ԰_缀_29"/>
      <sheetName val="Summary_WG28"/>
      <sheetName val="AutoOpen_Stub_Data29"/>
      <sheetName val="Assumption_Inputs29"/>
      <sheetName val="Eqpmnt_Plng29"/>
      <sheetName val="Debits_as_on_12_04_0828"/>
      <sheetName val="DEINKING(ANNEX_1)29"/>
      <sheetName val="T-P1,_FINISHES_WORKING_29"/>
      <sheetName val="Assumption_&amp;_Exclusion29"/>
      <sheetName val="Cat_A_Change_Control29"/>
      <sheetName val="Theo_Cons-June'1028"/>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STAFFSCHED_28"/>
      <sheetName val="Deduction_of_assets27"/>
      <sheetName val="India_F&amp;S_Template28"/>
      <sheetName val="_bus_bay28"/>
      <sheetName val="doq_428"/>
      <sheetName val="doq_228"/>
      <sheetName val="d-safe_specs27"/>
      <sheetName val="Factor_Sheet29"/>
      <sheetName val="11B_28"/>
      <sheetName val="Invoice_Tracker28"/>
      <sheetName val="ACAD_Finishes28"/>
      <sheetName val="Site_Details28"/>
      <sheetName val="Site_Area_Statement28"/>
      <sheetName val="BOQ_LT28"/>
      <sheetName val="14_07_10_CIVIL_W [28"/>
      <sheetName val="F4_134"/>
      <sheetName val="HO_Costs4"/>
      <sheetName val="Break_up_Sheet4"/>
      <sheetName val="Bill_104"/>
      <sheetName val="Income_Statement28"/>
      <sheetName val="MASTER_RATE_ANALYSIS27"/>
      <sheetName val="Blr_hire27"/>
      <sheetName val="PRECAST_lig(tconc_II27"/>
      <sheetName val="Quote_Sheet27"/>
      <sheetName val="RCC,Ret__Wall27"/>
      <sheetName val="schedule_nos4"/>
      <sheetName val="COST_SHEET4"/>
      <sheetName val="Cable_Rate_10_05_154"/>
      <sheetName val="WIRING_ACCS4"/>
      <sheetName val="Cabletray_4"/>
      <sheetName val="DG_COMP4"/>
      <sheetName val="İşin_Adı4"/>
      <sheetName val="Softscape_Buildup4"/>
      <sheetName val="Mat'l_Rate4"/>
      <sheetName val="payment_type4"/>
      <sheetName val="BQ_External4"/>
      <sheetName val="SDH_BOM4"/>
      <sheetName val="RECAP_DEVIS4"/>
      <sheetName val="Cash_Flow_Working4"/>
      <sheetName val="14_07_10@4"/>
      <sheetName val="Division_164"/>
      <sheetName val="CCTV_KAMERE_(2)4"/>
      <sheetName val="Area_II4"/>
      <sheetName val="Load_Details(B2)28"/>
      <sheetName val="Works_-_Quote_Sheet28"/>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Cost_Basis27"/>
      <sheetName val="Intro_27"/>
      <sheetName val="Gate_227"/>
      <sheetName val="Name_List27"/>
      <sheetName val="BLOCK-A_(MEA_SHEET)28"/>
      <sheetName val="Project_Ignite27"/>
      <sheetName val="Misc__Data27"/>
      <sheetName val="Customize_Your_Invoice27"/>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Frango_Work_sheet4"/>
      <sheetName val="TCMO_(2)4"/>
      <sheetName val="Advance_tax4"/>
      <sheetName val="Cashflow_4"/>
      <sheetName val="ITDEP_revised4"/>
      <sheetName val="Deferred_tax4"/>
      <sheetName val="grp_4"/>
      <sheetName val="Debtors_Ageing_4"/>
      <sheetName val="2_civil-RA4"/>
      <sheetName val="General_Input4"/>
      <sheetName val="Fin__Assumpt__-_SensitivitieH27"/>
      <sheetName val="Fin__Assumpt__-_Sensitivitie5"/>
      <sheetName val="Form_66"/>
      <sheetName val="7_Other_Costs4"/>
      <sheetName val="Vind_-_BtB4"/>
      <sheetName val="KSt_-_Analysis_10"/>
      <sheetName val="Section_Catalogue10"/>
      <sheetName val="beam-reinft-machine_rm27"/>
      <sheetName val="Cash_Flow_Input_Data_ISC27"/>
      <sheetName val="Lifts_&amp;_Escal-BOQ6"/>
      <sheetName val="FIRE_BOQ6"/>
      <sheetName val="Eqpmnt_PlnH4"/>
      <sheetName val="Eqpmnt_PlnÄ4"/>
      <sheetName val="__¢&amp;ú5#11"/>
      <sheetName val="__¢&amp;???ú5#???????11"/>
      <sheetName val="E_&amp;_R27"/>
      <sheetName val="precast_RC_element4"/>
      <sheetName val="RA_BILL_-_14"/>
      <sheetName val="Tax_Inv4"/>
      <sheetName val="Tax_Inv_(Client)4"/>
      <sheetName val="SC_Cost_MAR_024"/>
      <sheetName val="LEVEL_SHEET4"/>
      <sheetName val="Footing_4"/>
      <sheetName val="foot-slab_reinft4"/>
      <sheetName val="WORK_TABLE4"/>
      <sheetName val="PointNo_54"/>
      <sheetName val="Varthur_14"/>
      <sheetName val="COP_Final4"/>
      <sheetName val="Sch__Areas4"/>
      <sheetName val="Tk_off4"/>
      <sheetName val="Local_Ring_14"/>
      <sheetName val="Reference_Data4"/>
      <sheetName val="inflation_calculator3"/>
      <sheetName val="15-Mechanical_3"/>
      <sheetName val="5-Metal_Works3"/>
      <sheetName val="9-Finishes_3"/>
      <sheetName val="12-Furniture_3"/>
      <sheetName val="3-Concrete_Work3"/>
      <sheetName val="7-Thermal_&amp;_Moisture_Protecti_3"/>
      <sheetName val="8-Doors_&amp;_Windows_3"/>
      <sheetName val="Raw_Data14"/>
      <sheetName val="공사비_내역_(가)14"/>
      <sheetName val="CIF_COST_ITEM14"/>
      <sheetName val="Oud_Metha11"/>
      <sheetName val="Port_Saeed11"/>
      <sheetName val="Al_Wasl11"/>
      <sheetName val="Initial_Data10"/>
      <sheetName val="Basement_Budget10"/>
      <sheetName val="F4_133"/>
      <sheetName val="HO_Costs3"/>
      <sheetName val="Break_up_Sheet3"/>
      <sheetName val="Bill_103"/>
      <sheetName val="schedule_nos3"/>
      <sheetName val="COST_SHEET3"/>
      <sheetName val="Cable_Rate_10_05_153"/>
      <sheetName val="WIRING_ACCS3"/>
      <sheetName val="Cabletray_3"/>
      <sheetName val="DG_COMP3"/>
      <sheetName val="İşin_Adı3"/>
      <sheetName val="Softscape_Buildup3"/>
      <sheetName val="Mat'l_Rate3"/>
      <sheetName val="payment_type3"/>
      <sheetName val="BQ_External3"/>
      <sheetName val="SDH_BOM3"/>
      <sheetName val="RECAP_DEVIS3"/>
      <sheetName val="Cash_Flow_Working3"/>
      <sheetName val="14_07_10@3"/>
      <sheetName val="Division_163"/>
      <sheetName val="CCTV_KAMERE_(2)3"/>
      <sheetName val="Area_II3"/>
      <sheetName val="SC_Cost_MAR_023"/>
      <sheetName val="PointNo_53"/>
      <sheetName val="Sch__Areas3"/>
      <sheetName val="Tk_off3"/>
      <sheetName val="Local_Ring_13"/>
      <sheetName val="Reference_Data3"/>
      <sheetName val="inflation_calculator2"/>
      <sheetName val="15-Mechanical_2"/>
      <sheetName val="5-Metal_Works2"/>
      <sheetName val="9-Finishes_2"/>
      <sheetName val="12-Furniture_2"/>
      <sheetName val="3-Concrete_Work2"/>
      <sheetName val="7-Thermal_&amp;_Moisture_Protecti_2"/>
      <sheetName val="8-Doors_&amp;_Windows_2"/>
      <sheetName val="[TEMP_xls]Ü5)bÝ/8)6)&amp;&amp;"/>
      <sheetName val="E_Summary"/>
      <sheetName val="D_Cntnts"/>
      <sheetName val="GRSummary"/>
      <sheetName val="Equip"/>
      <sheetName val="Day work"/>
      <sheetName val="Controls"/>
      <sheetName val="Drop Down List"/>
      <sheetName val="PAYWORK"/>
      <sheetName val="[TEMP.xls]________8___b_______3"/>
      <sheetName val="[TEMP.xls]____________b_______3"/>
      <sheetName val="[TEMP.xls]________5___b___8___3"/>
      <sheetName val="[TEMP.xls][TEMP.xls]14_07_10__7"/>
      <sheetName val="[TEMP.xls][TEMP.xls]14_07_10__8"/>
      <sheetName val="[TEMP.xls][TEMP.xls]___b______3"/>
      <sheetName val="[TEMP.xls][TEMP.xls]14_07_10__9"/>
      <sheetName val="[TEMP.xls][TEMP_xls]14_07_10__4"/>
      <sheetName val="[TEMP.xls][TEMP_xls]___b______4"/>
      <sheetName val="[TEMP.xls][TEMP_xls]14_07_10__5"/>
      <sheetName val="[TEMP.xls][TEMP_xls]___b______5"/>
      <sheetName val="[TEMP.xls][TEMP.xls]14_07_10_10"/>
      <sheetName val="[TEMP.xls][TEMP.xls]_5_b__8_6_3"/>
      <sheetName val="[TEMP.xls][TEMP.xls]08_07_10__3"/>
      <sheetName val="[TEMP.xls][TEMP.xls]14_07_10_11"/>
      <sheetName val="[TEMP.xls][TEMP.xls]_09_07_10_3"/>
      <sheetName val="Tracking"/>
    </sheetNames>
    <sheetDataSet>
      <sheetData sheetId="0" refreshError="1">
        <row r="5">
          <cell r="I5">
            <v>0</v>
          </cell>
        </row>
      </sheetData>
      <sheetData sheetId="1" refreshError="1"/>
      <sheetData sheetId="2" refreshError="1"/>
      <sheetData sheetId="3" refreshError="1"/>
      <sheetData sheetId="4">
        <row r="5">
          <cell r="I5">
            <v>0</v>
          </cell>
        </row>
      </sheetData>
      <sheetData sheetId="5">
        <row r="5">
          <cell r="I5">
            <v>0</v>
          </cell>
        </row>
      </sheetData>
      <sheetData sheetId="6">
        <row r="5">
          <cell r="I5">
            <v>0</v>
          </cell>
        </row>
      </sheetData>
      <sheetData sheetId="7">
        <row r="5">
          <cell r="I5">
            <v>0</v>
          </cell>
        </row>
      </sheetData>
      <sheetData sheetId="8" refreshError="1"/>
      <sheetData sheetId="9" refreshError="1"/>
      <sheetData sheetId="10" refreshError="1"/>
      <sheetData sheetId="11">
        <row r="5">
          <cell r="I5">
            <v>0</v>
          </cell>
        </row>
      </sheetData>
      <sheetData sheetId="12">
        <row r="5">
          <cell r="I5">
            <v>0</v>
          </cell>
        </row>
      </sheetData>
      <sheetData sheetId="13">
        <row r="5">
          <cell r="I5">
            <v>0</v>
          </cell>
        </row>
      </sheetData>
      <sheetData sheetId="14">
        <row r="5">
          <cell r="I5">
            <v>0</v>
          </cell>
        </row>
      </sheetData>
      <sheetData sheetId="15">
        <row r="5">
          <cell r="I5">
            <v>0</v>
          </cell>
        </row>
      </sheetData>
      <sheetData sheetId="16">
        <row r="5">
          <cell r="I5">
            <v>0</v>
          </cell>
        </row>
      </sheetData>
      <sheetData sheetId="17">
        <row r="5">
          <cell r="I5">
            <v>0</v>
          </cell>
        </row>
      </sheetData>
      <sheetData sheetId="18">
        <row r="5">
          <cell r="I5">
            <v>0</v>
          </cell>
        </row>
      </sheetData>
      <sheetData sheetId="19">
        <row r="5">
          <cell r="I5">
            <v>0</v>
          </cell>
        </row>
      </sheetData>
      <sheetData sheetId="20">
        <row r="5">
          <cell r="I5">
            <v>0</v>
          </cell>
        </row>
      </sheetData>
      <sheetData sheetId="21">
        <row r="5">
          <cell r="I5">
            <v>0</v>
          </cell>
        </row>
      </sheetData>
      <sheetData sheetId="22">
        <row r="5">
          <cell r="I5">
            <v>0</v>
          </cell>
        </row>
      </sheetData>
      <sheetData sheetId="23">
        <row r="5">
          <cell r="I5">
            <v>0</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ow r="5">
          <cell r="I5">
            <v>0</v>
          </cell>
        </row>
      </sheetData>
      <sheetData sheetId="47">
        <row r="5">
          <cell r="I5">
            <v>0</v>
          </cell>
        </row>
      </sheetData>
      <sheetData sheetId="48">
        <row r="5">
          <cell r="I5">
            <v>0</v>
          </cell>
        </row>
      </sheetData>
      <sheetData sheetId="49">
        <row r="5">
          <cell r="I5">
            <v>0</v>
          </cell>
        </row>
      </sheetData>
      <sheetData sheetId="50">
        <row r="5">
          <cell r="I5">
            <v>0</v>
          </cell>
        </row>
      </sheetData>
      <sheetData sheetId="51">
        <row r="5">
          <cell r="I5">
            <v>0</v>
          </cell>
        </row>
      </sheetData>
      <sheetData sheetId="52">
        <row r="5">
          <cell r="I5">
            <v>0</v>
          </cell>
        </row>
      </sheetData>
      <sheetData sheetId="53">
        <row r="5">
          <cell r="I5">
            <v>0</v>
          </cell>
        </row>
      </sheetData>
      <sheetData sheetId="54">
        <row r="5">
          <cell r="I5">
            <v>0</v>
          </cell>
        </row>
      </sheetData>
      <sheetData sheetId="55">
        <row r="5">
          <cell r="I5">
            <v>0</v>
          </cell>
        </row>
      </sheetData>
      <sheetData sheetId="56">
        <row r="5">
          <cell r="I5">
            <v>0</v>
          </cell>
        </row>
      </sheetData>
      <sheetData sheetId="57">
        <row r="5">
          <cell r="I5">
            <v>0</v>
          </cell>
        </row>
      </sheetData>
      <sheetData sheetId="58">
        <row r="5">
          <cell r="I5">
            <v>0</v>
          </cell>
        </row>
      </sheetData>
      <sheetData sheetId="59">
        <row r="5">
          <cell r="I5">
            <v>0</v>
          </cell>
        </row>
      </sheetData>
      <sheetData sheetId="60">
        <row r="5">
          <cell r="I5">
            <v>0</v>
          </cell>
        </row>
      </sheetData>
      <sheetData sheetId="61">
        <row r="5">
          <cell r="I5">
            <v>0</v>
          </cell>
        </row>
      </sheetData>
      <sheetData sheetId="62">
        <row r="5">
          <cell r="I5">
            <v>0</v>
          </cell>
        </row>
      </sheetData>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ow r="5">
          <cell r="I5">
            <v>0</v>
          </cell>
        </row>
      </sheetData>
      <sheetData sheetId="88">
        <row r="5">
          <cell r="I5">
            <v>0</v>
          </cell>
        </row>
      </sheetData>
      <sheetData sheetId="89">
        <row r="5">
          <cell r="I5">
            <v>0</v>
          </cell>
        </row>
      </sheetData>
      <sheetData sheetId="90">
        <row r="5">
          <cell r="I5">
            <v>0</v>
          </cell>
        </row>
      </sheetData>
      <sheetData sheetId="91" refreshError="1"/>
      <sheetData sheetId="92" refreshError="1"/>
      <sheetData sheetId="93" refreshError="1"/>
      <sheetData sheetId="94">
        <row r="5">
          <cell r="I5">
            <v>0</v>
          </cell>
        </row>
      </sheetData>
      <sheetData sheetId="95">
        <row r="5">
          <cell r="I5">
            <v>0</v>
          </cell>
        </row>
      </sheetData>
      <sheetData sheetId="96">
        <row r="5">
          <cell r="I5">
            <v>0</v>
          </cell>
        </row>
      </sheetData>
      <sheetData sheetId="97">
        <row r="5">
          <cell r="I5">
            <v>0</v>
          </cell>
        </row>
      </sheetData>
      <sheetData sheetId="98">
        <row r="5">
          <cell r="I5">
            <v>0</v>
          </cell>
        </row>
      </sheetData>
      <sheetData sheetId="99">
        <row r="5">
          <cell r="I5">
            <v>0</v>
          </cell>
        </row>
      </sheetData>
      <sheetData sheetId="100">
        <row r="5">
          <cell r="I5">
            <v>0</v>
          </cell>
        </row>
      </sheetData>
      <sheetData sheetId="101">
        <row r="5">
          <cell r="I5">
            <v>0</v>
          </cell>
        </row>
      </sheetData>
      <sheetData sheetId="102">
        <row r="5">
          <cell r="I5">
            <v>0</v>
          </cell>
        </row>
      </sheetData>
      <sheetData sheetId="103">
        <row r="5">
          <cell r="I5">
            <v>0</v>
          </cell>
        </row>
      </sheetData>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ow r="5">
          <cell r="I5">
            <v>0</v>
          </cell>
        </row>
      </sheetData>
      <sheetData sheetId="340">
        <row r="5">
          <cell r="I5">
            <v>0</v>
          </cell>
        </row>
      </sheetData>
      <sheetData sheetId="341">
        <row r="5">
          <cell r="I5">
            <v>0</v>
          </cell>
        </row>
      </sheetData>
      <sheetData sheetId="342">
        <row r="5">
          <cell r="I5">
            <v>0</v>
          </cell>
        </row>
      </sheetData>
      <sheetData sheetId="343">
        <row r="5">
          <cell r="I5">
            <v>0</v>
          </cell>
        </row>
      </sheetData>
      <sheetData sheetId="344">
        <row r="5">
          <cell r="I5">
            <v>0</v>
          </cell>
        </row>
      </sheetData>
      <sheetData sheetId="345">
        <row r="5">
          <cell r="I5">
            <v>0</v>
          </cell>
        </row>
      </sheetData>
      <sheetData sheetId="346">
        <row r="5">
          <cell r="I5">
            <v>0</v>
          </cell>
        </row>
      </sheetData>
      <sheetData sheetId="347">
        <row r="5">
          <cell r="I5">
            <v>0</v>
          </cell>
        </row>
      </sheetData>
      <sheetData sheetId="348">
        <row r="5">
          <cell r="I5">
            <v>0</v>
          </cell>
        </row>
      </sheetData>
      <sheetData sheetId="349">
        <row r="5">
          <cell r="I5">
            <v>0</v>
          </cell>
        </row>
      </sheetData>
      <sheetData sheetId="350">
        <row r="5">
          <cell r="I5">
            <v>0</v>
          </cell>
        </row>
      </sheetData>
      <sheetData sheetId="351">
        <row r="5">
          <cell r="I5">
            <v>0</v>
          </cell>
        </row>
      </sheetData>
      <sheetData sheetId="352">
        <row r="5">
          <cell r="I5">
            <v>0</v>
          </cell>
        </row>
      </sheetData>
      <sheetData sheetId="353">
        <row r="5">
          <cell r="I5">
            <v>0</v>
          </cell>
        </row>
      </sheetData>
      <sheetData sheetId="354">
        <row r="5">
          <cell r="I5">
            <v>0</v>
          </cell>
        </row>
      </sheetData>
      <sheetData sheetId="355">
        <row r="5">
          <cell r="I5">
            <v>0</v>
          </cell>
        </row>
      </sheetData>
      <sheetData sheetId="356">
        <row r="5">
          <cell r="I5">
            <v>0</v>
          </cell>
        </row>
      </sheetData>
      <sheetData sheetId="357">
        <row r="5">
          <cell r="I5">
            <v>0</v>
          </cell>
        </row>
      </sheetData>
      <sheetData sheetId="358">
        <row r="5">
          <cell r="I5">
            <v>0</v>
          </cell>
        </row>
      </sheetData>
      <sheetData sheetId="359">
        <row r="5">
          <cell r="I5">
            <v>0</v>
          </cell>
        </row>
      </sheetData>
      <sheetData sheetId="360">
        <row r="5">
          <cell r="I5">
            <v>0</v>
          </cell>
        </row>
      </sheetData>
      <sheetData sheetId="361">
        <row r="5">
          <cell r="I5">
            <v>0</v>
          </cell>
        </row>
      </sheetData>
      <sheetData sheetId="362">
        <row r="5">
          <cell r="I5">
            <v>0</v>
          </cell>
        </row>
      </sheetData>
      <sheetData sheetId="363">
        <row r="5">
          <cell r="I5">
            <v>0</v>
          </cell>
        </row>
      </sheetData>
      <sheetData sheetId="364">
        <row r="5">
          <cell r="I5">
            <v>0</v>
          </cell>
        </row>
      </sheetData>
      <sheetData sheetId="365">
        <row r="5">
          <cell r="I5">
            <v>0</v>
          </cell>
        </row>
      </sheetData>
      <sheetData sheetId="366">
        <row r="5">
          <cell r="I5">
            <v>0</v>
          </cell>
        </row>
      </sheetData>
      <sheetData sheetId="367">
        <row r="5">
          <cell r="I5">
            <v>0</v>
          </cell>
        </row>
      </sheetData>
      <sheetData sheetId="368">
        <row r="5">
          <cell r="I5">
            <v>0</v>
          </cell>
        </row>
      </sheetData>
      <sheetData sheetId="369">
        <row r="5">
          <cell r="I5">
            <v>0</v>
          </cell>
        </row>
      </sheetData>
      <sheetData sheetId="370">
        <row r="5">
          <cell r="I5">
            <v>0</v>
          </cell>
        </row>
      </sheetData>
      <sheetData sheetId="371">
        <row r="5">
          <cell r="I5">
            <v>0</v>
          </cell>
        </row>
      </sheetData>
      <sheetData sheetId="372">
        <row r="5">
          <cell r="I5">
            <v>0</v>
          </cell>
        </row>
      </sheetData>
      <sheetData sheetId="373">
        <row r="5">
          <cell r="I5">
            <v>0</v>
          </cell>
        </row>
      </sheetData>
      <sheetData sheetId="374">
        <row r="5">
          <cell r="I5">
            <v>0</v>
          </cell>
        </row>
      </sheetData>
      <sheetData sheetId="375">
        <row r="5">
          <cell r="I5">
            <v>0</v>
          </cell>
        </row>
      </sheetData>
      <sheetData sheetId="376">
        <row r="5">
          <cell r="I5">
            <v>0</v>
          </cell>
        </row>
      </sheetData>
      <sheetData sheetId="377">
        <row r="5">
          <cell r="I5">
            <v>0</v>
          </cell>
        </row>
      </sheetData>
      <sheetData sheetId="378">
        <row r="5">
          <cell r="I5">
            <v>0</v>
          </cell>
        </row>
      </sheetData>
      <sheetData sheetId="379">
        <row r="5">
          <cell r="I5">
            <v>0</v>
          </cell>
        </row>
      </sheetData>
      <sheetData sheetId="380">
        <row r="5">
          <cell r="I5">
            <v>0</v>
          </cell>
        </row>
      </sheetData>
      <sheetData sheetId="381">
        <row r="5">
          <cell r="I5">
            <v>0</v>
          </cell>
        </row>
      </sheetData>
      <sheetData sheetId="382">
        <row r="5">
          <cell r="I5">
            <v>0</v>
          </cell>
        </row>
      </sheetData>
      <sheetData sheetId="383">
        <row r="5">
          <cell r="I5">
            <v>0</v>
          </cell>
        </row>
      </sheetData>
      <sheetData sheetId="384">
        <row r="5">
          <cell r="I5">
            <v>0</v>
          </cell>
        </row>
      </sheetData>
      <sheetData sheetId="385">
        <row r="5">
          <cell r="I5">
            <v>0</v>
          </cell>
        </row>
      </sheetData>
      <sheetData sheetId="386">
        <row r="5">
          <cell r="I5">
            <v>0</v>
          </cell>
        </row>
      </sheetData>
      <sheetData sheetId="387">
        <row r="5">
          <cell r="I5">
            <v>0</v>
          </cell>
        </row>
      </sheetData>
      <sheetData sheetId="388">
        <row r="5">
          <cell r="I5">
            <v>0</v>
          </cell>
        </row>
      </sheetData>
      <sheetData sheetId="389">
        <row r="5">
          <cell r="I5">
            <v>0</v>
          </cell>
        </row>
      </sheetData>
      <sheetData sheetId="390">
        <row r="5">
          <cell r="I5">
            <v>0</v>
          </cell>
        </row>
      </sheetData>
      <sheetData sheetId="391">
        <row r="5">
          <cell r="I5">
            <v>0</v>
          </cell>
        </row>
      </sheetData>
      <sheetData sheetId="392">
        <row r="5">
          <cell r="I5">
            <v>0</v>
          </cell>
        </row>
      </sheetData>
      <sheetData sheetId="393">
        <row r="5">
          <cell r="I5">
            <v>0</v>
          </cell>
        </row>
      </sheetData>
      <sheetData sheetId="394">
        <row r="5">
          <cell r="I5">
            <v>0</v>
          </cell>
        </row>
      </sheetData>
      <sheetData sheetId="395">
        <row r="5">
          <cell r="I5">
            <v>0</v>
          </cell>
        </row>
      </sheetData>
      <sheetData sheetId="396">
        <row r="5">
          <cell r="I5">
            <v>0</v>
          </cell>
        </row>
      </sheetData>
      <sheetData sheetId="397">
        <row r="5">
          <cell r="I5">
            <v>0</v>
          </cell>
        </row>
      </sheetData>
      <sheetData sheetId="398">
        <row r="5">
          <cell r="I5">
            <v>0</v>
          </cell>
        </row>
      </sheetData>
      <sheetData sheetId="399">
        <row r="5">
          <cell r="I5">
            <v>0</v>
          </cell>
        </row>
      </sheetData>
      <sheetData sheetId="400">
        <row r="5">
          <cell r="I5">
            <v>0</v>
          </cell>
        </row>
      </sheetData>
      <sheetData sheetId="401">
        <row r="5">
          <cell r="I5">
            <v>0</v>
          </cell>
        </row>
      </sheetData>
      <sheetData sheetId="402">
        <row r="5">
          <cell r="I5">
            <v>0</v>
          </cell>
        </row>
      </sheetData>
      <sheetData sheetId="403">
        <row r="5">
          <cell r="I5">
            <v>0</v>
          </cell>
        </row>
      </sheetData>
      <sheetData sheetId="404">
        <row r="5">
          <cell r="I5">
            <v>0</v>
          </cell>
        </row>
      </sheetData>
      <sheetData sheetId="405">
        <row r="5">
          <cell r="I5">
            <v>0</v>
          </cell>
        </row>
      </sheetData>
      <sheetData sheetId="406">
        <row r="5">
          <cell r="I5">
            <v>0</v>
          </cell>
        </row>
      </sheetData>
      <sheetData sheetId="407">
        <row r="5">
          <cell r="I5">
            <v>0</v>
          </cell>
        </row>
      </sheetData>
      <sheetData sheetId="408">
        <row r="5">
          <cell r="I5">
            <v>0</v>
          </cell>
        </row>
      </sheetData>
      <sheetData sheetId="409">
        <row r="5">
          <cell r="I5">
            <v>0</v>
          </cell>
        </row>
      </sheetData>
      <sheetData sheetId="410">
        <row r="5">
          <cell r="I5">
            <v>0</v>
          </cell>
        </row>
      </sheetData>
      <sheetData sheetId="411">
        <row r="5">
          <cell r="I5">
            <v>0</v>
          </cell>
        </row>
      </sheetData>
      <sheetData sheetId="412">
        <row r="5">
          <cell r="I5">
            <v>0</v>
          </cell>
        </row>
      </sheetData>
      <sheetData sheetId="413">
        <row r="5">
          <cell r="I5">
            <v>0</v>
          </cell>
        </row>
      </sheetData>
      <sheetData sheetId="414">
        <row r="5">
          <cell r="I5">
            <v>0</v>
          </cell>
        </row>
      </sheetData>
      <sheetData sheetId="415">
        <row r="5">
          <cell r="I5">
            <v>0</v>
          </cell>
        </row>
      </sheetData>
      <sheetData sheetId="416">
        <row r="5">
          <cell r="I5">
            <v>0</v>
          </cell>
        </row>
      </sheetData>
      <sheetData sheetId="417">
        <row r="5">
          <cell r="I5">
            <v>0</v>
          </cell>
        </row>
      </sheetData>
      <sheetData sheetId="418" refreshError="1"/>
      <sheetData sheetId="419">
        <row r="5">
          <cell r="I5">
            <v>0</v>
          </cell>
        </row>
      </sheetData>
      <sheetData sheetId="420">
        <row r="5">
          <cell r="I5">
            <v>0</v>
          </cell>
        </row>
      </sheetData>
      <sheetData sheetId="421">
        <row r="5">
          <cell r="I5">
            <v>0</v>
          </cell>
        </row>
      </sheetData>
      <sheetData sheetId="422">
        <row r="5">
          <cell r="I5">
            <v>0</v>
          </cell>
        </row>
      </sheetData>
      <sheetData sheetId="423">
        <row r="5">
          <cell r="I5">
            <v>0</v>
          </cell>
        </row>
      </sheetData>
      <sheetData sheetId="424">
        <row r="5">
          <cell r="I5">
            <v>0</v>
          </cell>
        </row>
      </sheetData>
      <sheetData sheetId="425">
        <row r="5">
          <cell r="I5">
            <v>0</v>
          </cell>
        </row>
      </sheetData>
      <sheetData sheetId="426">
        <row r="5">
          <cell r="I5">
            <v>0</v>
          </cell>
        </row>
      </sheetData>
      <sheetData sheetId="427">
        <row r="5">
          <cell r="I5">
            <v>0</v>
          </cell>
        </row>
      </sheetData>
      <sheetData sheetId="428">
        <row r="5">
          <cell r="I5">
            <v>0</v>
          </cell>
        </row>
      </sheetData>
      <sheetData sheetId="429">
        <row r="5">
          <cell r="I5">
            <v>0</v>
          </cell>
        </row>
      </sheetData>
      <sheetData sheetId="430">
        <row r="5">
          <cell r="I5">
            <v>0</v>
          </cell>
        </row>
      </sheetData>
      <sheetData sheetId="431">
        <row r="5">
          <cell r="I5">
            <v>0</v>
          </cell>
        </row>
      </sheetData>
      <sheetData sheetId="432">
        <row r="5">
          <cell r="I5">
            <v>0</v>
          </cell>
        </row>
      </sheetData>
      <sheetData sheetId="433">
        <row r="5">
          <cell r="I5">
            <v>0</v>
          </cell>
        </row>
      </sheetData>
      <sheetData sheetId="434">
        <row r="5">
          <cell r="I5">
            <v>0</v>
          </cell>
        </row>
      </sheetData>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ow r="5">
          <cell r="I5">
            <v>0</v>
          </cell>
        </row>
      </sheetData>
      <sheetData sheetId="448">
        <row r="5">
          <cell r="I5">
            <v>0</v>
          </cell>
        </row>
      </sheetData>
      <sheetData sheetId="449">
        <row r="5">
          <cell r="I5">
            <v>0</v>
          </cell>
        </row>
      </sheetData>
      <sheetData sheetId="450">
        <row r="5">
          <cell r="I5">
            <v>0</v>
          </cell>
        </row>
      </sheetData>
      <sheetData sheetId="451">
        <row r="5">
          <cell r="I5">
            <v>0</v>
          </cell>
        </row>
      </sheetData>
      <sheetData sheetId="452">
        <row r="5">
          <cell r="I5">
            <v>0</v>
          </cell>
        </row>
      </sheetData>
      <sheetData sheetId="453">
        <row r="5">
          <cell r="I5">
            <v>0</v>
          </cell>
        </row>
      </sheetData>
      <sheetData sheetId="454">
        <row r="5">
          <cell r="I5">
            <v>0</v>
          </cell>
        </row>
      </sheetData>
      <sheetData sheetId="455">
        <row r="5">
          <cell r="I5">
            <v>0</v>
          </cell>
        </row>
      </sheetData>
      <sheetData sheetId="456">
        <row r="5">
          <cell r="I5">
            <v>0</v>
          </cell>
        </row>
      </sheetData>
      <sheetData sheetId="457">
        <row r="5">
          <cell r="I5">
            <v>0</v>
          </cell>
        </row>
      </sheetData>
      <sheetData sheetId="458">
        <row r="5">
          <cell r="I5">
            <v>0</v>
          </cell>
        </row>
      </sheetData>
      <sheetData sheetId="459">
        <row r="5">
          <cell r="I5">
            <v>0</v>
          </cell>
        </row>
      </sheetData>
      <sheetData sheetId="460">
        <row r="5">
          <cell r="I5">
            <v>0</v>
          </cell>
        </row>
      </sheetData>
      <sheetData sheetId="461">
        <row r="5">
          <cell r="I5">
            <v>0</v>
          </cell>
        </row>
      </sheetData>
      <sheetData sheetId="462">
        <row r="5">
          <cell r="I5">
            <v>0</v>
          </cell>
        </row>
      </sheetData>
      <sheetData sheetId="463">
        <row r="5">
          <cell r="I5">
            <v>0</v>
          </cell>
        </row>
      </sheetData>
      <sheetData sheetId="464">
        <row r="5">
          <cell r="I5">
            <v>0</v>
          </cell>
        </row>
      </sheetData>
      <sheetData sheetId="465">
        <row r="5">
          <cell r="I5">
            <v>0</v>
          </cell>
        </row>
      </sheetData>
      <sheetData sheetId="466">
        <row r="5">
          <cell r="I5">
            <v>0</v>
          </cell>
        </row>
      </sheetData>
      <sheetData sheetId="467">
        <row r="5">
          <cell r="I5">
            <v>0</v>
          </cell>
        </row>
      </sheetData>
      <sheetData sheetId="468">
        <row r="5">
          <cell r="I5">
            <v>0</v>
          </cell>
        </row>
      </sheetData>
      <sheetData sheetId="469">
        <row r="5">
          <cell r="I5">
            <v>0</v>
          </cell>
        </row>
      </sheetData>
      <sheetData sheetId="470">
        <row r="5">
          <cell r="I5">
            <v>0</v>
          </cell>
        </row>
      </sheetData>
      <sheetData sheetId="471">
        <row r="5">
          <cell r="I5">
            <v>0</v>
          </cell>
        </row>
      </sheetData>
      <sheetData sheetId="472">
        <row r="5">
          <cell r="I5">
            <v>0</v>
          </cell>
        </row>
      </sheetData>
      <sheetData sheetId="473">
        <row r="5">
          <cell r="I5">
            <v>0</v>
          </cell>
        </row>
      </sheetData>
      <sheetData sheetId="474">
        <row r="5">
          <cell r="I5">
            <v>0</v>
          </cell>
        </row>
      </sheetData>
      <sheetData sheetId="475">
        <row r="5">
          <cell r="I5">
            <v>0</v>
          </cell>
        </row>
      </sheetData>
      <sheetData sheetId="476">
        <row r="5">
          <cell r="I5">
            <v>0</v>
          </cell>
        </row>
      </sheetData>
      <sheetData sheetId="477">
        <row r="5">
          <cell r="I5">
            <v>0</v>
          </cell>
        </row>
      </sheetData>
      <sheetData sheetId="478">
        <row r="5">
          <cell r="I5">
            <v>0</v>
          </cell>
        </row>
      </sheetData>
      <sheetData sheetId="479">
        <row r="5">
          <cell r="I5">
            <v>0</v>
          </cell>
        </row>
      </sheetData>
      <sheetData sheetId="480">
        <row r="5">
          <cell r="I5">
            <v>0</v>
          </cell>
        </row>
      </sheetData>
      <sheetData sheetId="481">
        <row r="5">
          <cell r="I5">
            <v>0</v>
          </cell>
        </row>
      </sheetData>
      <sheetData sheetId="482">
        <row r="5">
          <cell r="I5">
            <v>0</v>
          </cell>
        </row>
      </sheetData>
      <sheetData sheetId="483">
        <row r="5">
          <cell r="I5">
            <v>0</v>
          </cell>
        </row>
      </sheetData>
      <sheetData sheetId="484">
        <row r="5">
          <cell r="I5">
            <v>0</v>
          </cell>
        </row>
      </sheetData>
      <sheetData sheetId="485">
        <row r="5">
          <cell r="I5">
            <v>0</v>
          </cell>
        </row>
      </sheetData>
      <sheetData sheetId="486">
        <row r="5">
          <cell r="I5">
            <v>0</v>
          </cell>
        </row>
      </sheetData>
      <sheetData sheetId="487">
        <row r="5">
          <cell r="I5">
            <v>0</v>
          </cell>
        </row>
      </sheetData>
      <sheetData sheetId="488">
        <row r="5">
          <cell r="I5">
            <v>0</v>
          </cell>
        </row>
      </sheetData>
      <sheetData sheetId="489">
        <row r="5">
          <cell r="I5">
            <v>0</v>
          </cell>
        </row>
      </sheetData>
      <sheetData sheetId="490">
        <row r="5">
          <cell r="I5">
            <v>0</v>
          </cell>
        </row>
      </sheetData>
      <sheetData sheetId="491">
        <row r="5">
          <cell r="I5">
            <v>0</v>
          </cell>
        </row>
      </sheetData>
      <sheetData sheetId="492">
        <row r="5">
          <cell r="I5">
            <v>0</v>
          </cell>
        </row>
      </sheetData>
      <sheetData sheetId="493">
        <row r="5">
          <cell r="I5">
            <v>0</v>
          </cell>
        </row>
      </sheetData>
      <sheetData sheetId="494">
        <row r="5">
          <cell r="I5">
            <v>0</v>
          </cell>
        </row>
      </sheetData>
      <sheetData sheetId="495">
        <row r="5">
          <cell r="I5">
            <v>0</v>
          </cell>
        </row>
      </sheetData>
      <sheetData sheetId="496">
        <row r="5">
          <cell r="I5">
            <v>0</v>
          </cell>
        </row>
      </sheetData>
      <sheetData sheetId="497">
        <row r="5">
          <cell r="I5">
            <v>0</v>
          </cell>
        </row>
      </sheetData>
      <sheetData sheetId="498">
        <row r="5">
          <cell r="I5">
            <v>0</v>
          </cell>
        </row>
      </sheetData>
      <sheetData sheetId="499">
        <row r="5">
          <cell r="I5">
            <v>0</v>
          </cell>
        </row>
      </sheetData>
      <sheetData sheetId="500">
        <row r="5">
          <cell r="I5">
            <v>0</v>
          </cell>
        </row>
      </sheetData>
      <sheetData sheetId="501">
        <row r="5">
          <cell r="I5">
            <v>0</v>
          </cell>
        </row>
      </sheetData>
      <sheetData sheetId="502">
        <row r="5">
          <cell r="I5">
            <v>0</v>
          </cell>
        </row>
      </sheetData>
      <sheetData sheetId="503">
        <row r="5">
          <cell r="I5">
            <v>0</v>
          </cell>
        </row>
      </sheetData>
      <sheetData sheetId="504">
        <row r="5">
          <cell r="I5">
            <v>0</v>
          </cell>
        </row>
      </sheetData>
      <sheetData sheetId="505">
        <row r="5">
          <cell r="I5">
            <v>0</v>
          </cell>
        </row>
      </sheetData>
      <sheetData sheetId="506">
        <row r="5">
          <cell r="I5">
            <v>0</v>
          </cell>
        </row>
      </sheetData>
      <sheetData sheetId="507">
        <row r="5">
          <cell r="I5">
            <v>0</v>
          </cell>
        </row>
      </sheetData>
      <sheetData sheetId="508">
        <row r="5">
          <cell r="I5">
            <v>0</v>
          </cell>
        </row>
      </sheetData>
      <sheetData sheetId="509">
        <row r="5">
          <cell r="I5">
            <v>0</v>
          </cell>
        </row>
      </sheetData>
      <sheetData sheetId="510">
        <row r="5">
          <cell r="I5">
            <v>0</v>
          </cell>
        </row>
      </sheetData>
      <sheetData sheetId="511">
        <row r="5">
          <cell r="I5">
            <v>0</v>
          </cell>
        </row>
      </sheetData>
      <sheetData sheetId="512">
        <row r="5">
          <cell r="I5">
            <v>0</v>
          </cell>
        </row>
      </sheetData>
      <sheetData sheetId="513">
        <row r="5">
          <cell r="I5">
            <v>0</v>
          </cell>
        </row>
      </sheetData>
      <sheetData sheetId="514">
        <row r="5">
          <cell r="I5">
            <v>0</v>
          </cell>
        </row>
      </sheetData>
      <sheetData sheetId="515">
        <row r="5">
          <cell r="I5">
            <v>0</v>
          </cell>
        </row>
      </sheetData>
      <sheetData sheetId="516">
        <row r="5">
          <cell r="I5">
            <v>0</v>
          </cell>
        </row>
      </sheetData>
      <sheetData sheetId="517">
        <row r="5">
          <cell r="I5">
            <v>0</v>
          </cell>
        </row>
      </sheetData>
      <sheetData sheetId="518">
        <row r="5">
          <cell r="I5">
            <v>0</v>
          </cell>
        </row>
      </sheetData>
      <sheetData sheetId="519">
        <row r="5">
          <cell r="I5">
            <v>0</v>
          </cell>
        </row>
      </sheetData>
      <sheetData sheetId="520">
        <row r="5">
          <cell r="I5">
            <v>0</v>
          </cell>
        </row>
      </sheetData>
      <sheetData sheetId="521">
        <row r="5">
          <cell r="I5">
            <v>0</v>
          </cell>
        </row>
      </sheetData>
      <sheetData sheetId="522">
        <row r="5">
          <cell r="I5">
            <v>0</v>
          </cell>
        </row>
      </sheetData>
      <sheetData sheetId="523">
        <row r="5">
          <cell r="I5">
            <v>0</v>
          </cell>
        </row>
      </sheetData>
      <sheetData sheetId="524">
        <row r="5">
          <cell r="I5">
            <v>0</v>
          </cell>
        </row>
      </sheetData>
      <sheetData sheetId="525">
        <row r="5">
          <cell r="I5">
            <v>0</v>
          </cell>
        </row>
      </sheetData>
      <sheetData sheetId="526">
        <row r="5">
          <cell r="I5">
            <v>0</v>
          </cell>
        </row>
      </sheetData>
      <sheetData sheetId="527">
        <row r="5">
          <cell r="I5">
            <v>0</v>
          </cell>
        </row>
      </sheetData>
      <sheetData sheetId="528">
        <row r="5">
          <cell r="I5">
            <v>0</v>
          </cell>
        </row>
      </sheetData>
      <sheetData sheetId="529">
        <row r="5">
          <cell r="I5">
            <v>0</v>
          </cell>
        </row>
      </sheetData>
      <sheetData sheetId="530">
        <row r="5">
          <cell r="I5">
            <v>0</v>
          </cell>
        </row>
      </sheetData>
      <sheetData sheetId="531">
        <row r="5">
          <cell r="I5">
            <v>0</v>
          </cell>
        </row>
      </sheetData>
      <sheetData sheetId="532">
        <row r="5">
          <cell r="I5">
            <v>0</v>
          </cell>
        </row>
      </sheetData>
      <sheetData sheetId="533">
        <row r="5">
          <cell r="I5">
            <v>0</v>
          </cell>
        </row>
      </sheetData>
      <sheetData sheetId="534">
        <row r="5">
          <cell r="I5">
            <v>0</v>
          </cell>
        </row>
      </sheetData>
      <sheetData sheetId="535">
        <row r="5">
          <cell r="I5">
            <v>0</v>
          </cell>
        </row>
      </sheetData>
      <sheetData sheetId="536">
        <row r="5">
          <cell r="I5">
            <v>0</v>
          </cell>
        </row>
      </sheetData>
      <sheetData sheetId="537">
        <row r="5">
          <cell r="I5">
            <v>0</v>
          </cell>
        </row>
      </sheetData>
      <sheetData sheetId="538">
        <row r="5">
          <cell r="I5">
            <v>0</v>
          </cell>
        </row>
      </sheetData>
      <sheetData sheetId="539">
        <row r="5">
          <cell r="I5">
            <v>0</v>
          </cell>
        </row>
      </sheetData>
      <sheetData sheetId="540">
        <row r="5">
          <cell r="I5">
            <v>0</v>
          </cell>
        </row>
      </sheetData>
      <sheetData sheetId="541">
        <row r="5">
          <cell r="I5">
            <v>0</v>
          </cell>
        </row>
      </sheetData>
      <sheetData sheetId="542">
        <row r="5">
          <cell r="I5">
            <v>0</v>
          </cell>
        </row>
      </sheetData>
      <sheetData sheetId="543">
        <row r="5">
          <cell r="I5">
            <v>0</v>
          </cell>
        </row>
      </sheetData>
      <sheetData sheetId="544">
        <row r="5">
          <cell r="I5">
            <v>0</v>
          </cell>
        </row>
      </sheetData>
      <sheetData sheetId="545">
        <row r="5">
          <cell r="I5">
            <v>0</v>
          </cell>
        </row>
      </sheetData>
      <sheetData sheetId="546">
        <row r="5">
          <cell r="I5">
            <v>0</v>
          </cell>
        </row>
      </sheetData>
      <sheetData sheetId="547">
        <row r="5">
          <cell r="I5">
            <v>0</v>
          </cell>
        </row>
      </sheetData>
      <sheetData sheetId="548">
        <row r="5">
          <cell r="I5">
            <v>0</v>
          </cell>
        </row>
      </sheetData>
      <sheetData sheetId="549">
        <row r="5">
          <cell r="I5">
            <v>0</v>
          </cell>
        </row>
      </sheetData>
      <sheetData sheetId="550">
        <row r="5">
          <cell r="I5">
            <v>0</v>
          </cell>
        </row>
      </sheetData>
      <sheetData sheetId="551">
        <row r="5">
          <cell r="I5">
            <v>0</v>
          </cell>
        </row>
      </sheetData>
      <sheetData sheetId="552">
        <row r="5">
          <cell r="I5">
            <v>0</v>
          </cell>
        </row>
      </sheetData>
      <sheetData sheetId="553">
        <row r="5">
          <cell r="I5">
            <v>0</v>
          </cell>
        </row>
      </sheetData>
      <sheetData sheetId="554">
        <row r="5">
          <cell r="I5">
            <v>0</v>
          </cell>
        </row>
      </sheetData>
      <sheetData sheetId="555">
        <row r="5">
          <cell r="I5">
            <v>0</v>
          </cell>
        </row>
      </sheetData>
      <sheetData sheetId="556">
        <row r="5">
          <cell r="I5">
            <v>0</v>
          </cell>
        </row>
      </sheetData>
      <sheetData sheetId="557">
        <row r="5">
          <cell r="I5">
            <v>0</v>
          </cell>
        </row>
      </sheetData>
      <sheetData sheetId="558">
        <row r="5">
          <cell r="I5">
            <v>0</v>
          </cell>
        </row>
      </sheetData>
      <sheetData sheetId="559">
        <row r="5">
          <cell r="I5">
            <v>0</v>
          </cell>
        </row>
      </sheetData>
      <sheetData sheetId="560">
        <row r="5">
          <cell r="I5">
            <v>0</v>
          </cell>
        </row>
      </sheetData>
      <sheetData sheetId="561">
        <row r="5">
          <cell r="I5">
            <v>0</v>
          </cell>
        </row>
      </sheetData>
      <sheetData sheetId="562">
        <row r="5">
          <cell r="I5">
            <v>0</v>
          </cell>
        </row>
      </sheetData>
      <sheetData sheetId="563">
        <row r="5">
          <cell r="I5">
            <v>0</v>
          </cell>
        </row>
      </sheetData>
      <sheetData sheetId="564">
        <row r="5">
          <cell r="I5">
            <v>0</v>
          </cell>
        </row>
      </sheetData>
      <sheetData sheetId="565">
        <row r="5">
          <cell r="I5">
            <v>0</v>
          </cell>
        </row>
      </sheetData>
      <sheetData sheetId="566">
        <row r="5">
          <cell r="I5">
            <v>0</v>
          </cell>
        </row>
      </sheetData>
      <sheetData sheetId="567">
        <row r="5">
          <cell r="I5">
            <v>0</v>
          </cell>
        </row>
      </sheetData>
      <sheetData sheetId="568">
        <row r="5">
          <cell r="I5">
            <v>0</v>
          </cell>
        </row>
      </sheetData>
      <sheetData sheetId="569">
        <row r="5">
          <cell r="I5">
            <v>0</v>
          </cell>
        </row>
      </sheetData>
      <sheetData sheetId="570">
        <row r="5">
          <cell r="I5">
            <v>0</v>
          </cell>
        </row>
      </sheetData>
      <sheetData sheetId="571">
        <row r="5">
          <cell r="I5">
            <v>0</v>
          </cell>
        </row>
      </sheetData>
      <sheetData sheetId="572">
        <row r="5">
          <cell r="I5">
            <v>0</v>
          </cell>
        </row>
      </sheetData>
      <sheetData sheetId="573">
        <row r="5">
          <cell r="I5">
            <v>0</v>
          </cell>
        </row>
      </sheetData>
      <sheetData sheetId="574">
        <row r="5">
          <cell r="I5">
            <v>0</v>
          </cell>
        </row>
      </sheetData>
      <sheetData sheetId="575">
        <row r="5">
          <cell r="I5">
            <v>0</v>
          </cell>
        </row>
      </sheetData>
      <sheetData sheetId="576">
        <row r="5">
          <cell r="I5">
            <v>0</v>
          </cell>
        </row>
      </sheetData>
      <sheetData sheetId="577">
        <row r="5">
          <cell r="I5">
            <v>0</v>
          </cell>
        </row>
      </sheetData>
      <sheetData sheetId="578">
        <row r="5">
          <cell r="I5">
            <v>0</v>
          </cell>
        </row>
      </sheetData>
      <sheetData sheetId="579">
        <row r="5">
          <cell r="I5">
            <v>0</v>
          </cell>
        </row>
      </sheetData>
      <sheetData sheetId="580">
        <row r="5">
          <cell r="I5">
            <v>0</v>
          </cell>
        </row>
      </sheetData>
      <sheetData sheetId="581">
        <row r="5">
          <cell r="I5">
            <v>0</v>
          </cell>
        </row>
      </sheetData>
      <sheetData sheetId="582">
        <row r="5">
          <cell r="I5">
            <v>0</v>
          </cell>
        </row>
      </sheetData>
      <sheetData sheetId="583">
        <row r="5">
          <cell r="I5">
            <v>0</v>
          </cell>
        </row>
      </sheetData>
      <sheetData sheetId="584">
        <row r="5">
          <cell r="I5">
            <v>0</v>
          </cell>
        </row>
      </sheetData>
      <sheetData sheetId="585">
        <row r="5">
          <cell r="I5">
            <v>0</v>
          </cell>
        </row>
      </sheetData>
      <sheetData sheetId="586">
        <row r="5">
          <cell r="I5">
            <v>0</v>
          </cell>
        </row>
      </sheetData>
      <sheetData sheetId="587">
        <row r="5">
          <cell r="I5">
            <v>0</v>
          </cell>
        </row>
      </sheetData>
      <sheetData sheetId="588">
        <row r="5">
          <cell r="I5">
            <v>0</v>
          </cell>
        </row>
      </sheetData>
      <sheetData sheetId="589">
        <row r="5">
          <cell r="I5">
            <v>0</v>
          </cell>
        </row>
      </sheetData>
      <sheetData sheetId="590">
        <row r="5">
          <cell r="I5">
            <v>0</v>
          </cell>
        </row>
      </sheetData>
      <sheetData sheetId="591">
        <row r="5">
          <cell r="I5">
            <v>0</v>
          </cell>
        </row>
      </sheetData>
      <sheetData sheetId="592">
        <row r="5">
          <cell r="I5">
            <v>0</v>
          </cell>
        </row>
      </sheetData>
      <sheetData sheetId="593">
        <row r="5">
          <cell r="I5">
            <v>0</v>
          </cell>
        </row>
      </sheetData>
      <sheetData sheetId="594">
        <row r="5">
          <cell r="I5">
            <v>0</v>
          </cell>
        </row>
      </sheetData>
      <sheetData sheetId="595">
        <row r="5">
          <cell r="I5">
            <v>0</v>
          </cell>
        </row>
      </sheetData>
      <sheetData sheetId="596">
        <row r="5">
          <cell r="I5">
            <v>0</v>
          </cell>
        </row>
      </sheetData>
      <sheetData sheetId="597">
        <row r="5">
          <cell r="I5">
            <v>0</v>
          </cell>
        </row>
      </sheetData>
      <sheetData sheetId="598">
        <row r="5">
          <cell r="I5">
            <v>0</v>
          </cell>
        </row>
      </sheetData>
      <sheetData sheetId="599">
        <row r="5">
          <cell r="I5">
            <v>0</v>
          </cell>
        </row>
      </sheetData>
      <sheetData sheetId="600">
        <row r="5">
          <cell r="I5">
            <v>0</v>
          </cell>
        </row>
      </sheetData>
      <sheetData sheetId="601">
        <row r="5">
          <cell r="I5">
            <v>0</v>
          </cell>
        </row>
      </sheetData>
      <sheetData sheetId="602">
        <row r="5">
          <cell r="I5">
            <v>0</v>
          </cell>
        </row>
      </sheetData>
      <sheetData sheetId="603">
        <row r="5">
          <cell r="I5">
            <v>0</v>
          </cell>
        </row>
      </sheetData>
      <sheetData sheetId="604">
        <row r="5">
          <cell r="I5">
            <v>0</v>
          </cell>
        </row>
      </sheetData>
      <sheetData sheetId="605">
        <row r="5">
          <cell r="I5">
            <v>0</v>
          </cell>
        </row>
      </sheetData>
      <sheetData sheetId="606">
        <row r="5">
          <cell r="I5">
            <v>0</v>
          </cell>
        </row>
      </sheetData>
      <sheetData sheetId="607">
        <row r="5">
          <cell r="I5">
            <v>0</v>
          </cell>
        </row>
      </sheetData>
      <sheetData sheetId="608">
        <row r="5">
          <cell r="I5">
            <v>0</v>
          </cell>
        </row>
      </sheetData>
      <sheetData sheetId="609">
        <row r="5">
          <cell r="I5">
            <v>0</v>
          </cell>
        </row>
      </sheetData>
      <sheetData sheetId="610">
        <row r="5">
          <cell r="I5">
            <v>0</v>
          </cell>
        </row>
      </sheetData>
      <sheetData sheetId="611">
        <row r="5">
          <cell r="I5">
            <v>0</v>
          </cell>
        </row>
      </sheetData>
      <sheetData sheetId="612">
        <row r="5">
          <cell r="I5">
            <v>0</v>
          </cell>
        </row>
      </sheetData>
      <sheetData sheetId="613">
        <row r="5">
          <cell r="I5">
            <v>0</v>
          </cell>
        </row>
      </sheetData>
      <sheetData sheetId="614">
        <row r="5">
          <cell r="I5">
            <v>0</v>
          </cell>
        </row>
      </sheetData>
      <sheetData sheetId="615">
        <row r="5">
          <cell r="I5">
            <v>0</v>
          </cell>
        </row>
      </sheetData>
      <sheetData sheetId="616">
        <row r="5">
          <cell r="I5">
            <v>0</v>
          </cell>
        </row>
      </sheetData>
      <sheetData sheetId="617">
        <row r="5">
          <cell r="I5">
            <v>0</v>
          </cell>
        </row>
      </sheetData>
      <sheetData sheetId="618">
        <row r="5">
          <cell r="I5">
            <v>0</v>
          </cell>
        </row>
      </sheetData>
      <sheetData sheetId="619">
        <row r="5">
          <cell r="I5">
            <v>0</v>
          </cell>
        </row>
      </sheetData>
      <sheetData sheetId="620">
        <row r="5">
          <cell r="I5">
            <v>0</v>
          </cell>
        </row>
      </sheetData>
      <sheetData sheetId="621">
        <row r="5">
          <cell r="I5">
            <v>0</v>
          </cell>
        </row>
      </sheetData>
      <sheetData sheetId="622">
        <row r="5">
          <cell r="I5">
            <v>0</v>
          </cell>
        </row>
      </sheetData>
      <sheetData sheetId="623">
        <row r="5">
          <cell r="I5">
            <v>0</v>
          </cell>
        </row>
      </sheetData>
      <sheetData sheetId="624">
        <row r="5">
          <cell r="I5">
            <v>0</v>
          </cell>
        </row>
      </sheetData>
      <sheetData sheetId="625">
        <row r="5">
          <cell r="I5">
            <v>0</v>
          </cell>
        </row>
      </sheetData>
      <sheetData sheetId="626">
        <row r="5">
          <cell r="I5">
            <v>0</v>
          </cell>
        </row>
      </sheetData>
      <sheetData sheetId="627">
        <row r="5">
          <cell r="I5">
            <v>0</v>
          </cell>
        </row>
      </sheetData>
      <sheetData sheetId="628">
        <row r="5">
          <cell r="I5">
            <v>0</v>
          </cell>
        </row>
      </sheetData>
      <sheetData sheetId="629">
        <row r="5">
          <cell r="I5">
            <v>0</v>
          </cell>
        </row>
      </sheetData>
      <sheetData sheetId="630">
        <row r="5">
          <cell r="I5">
            <v>0</v>
          </cell>
        </row>
      </sheetData>
      <sheetData sheetId="631">
        <row r="5">
          <cell r="I5">
            <v>0</v>
          </cell>
        </row>
      </sheetData>
      <sheetData sheetId="632">
        <row r="5">
          <cell r="I5">
            <v>0</v>
          </cell>
        </row>
      </sheetData>
      <sheetData sheetId="633">
        <row r="5">
          <cell r="I5">
            <v>0</v>
          </cell>
        </row>
      </sheetData>
      <sheetData sheetId="634">
        <row r="5">
          <cell r="I5">
            <v>0</v>
          </cell>
        </row>
      </sheetData>
      <sheetData sheetId="635">
        <row r="5">
          <cell r="I5">
            <v>0</v>
          </cell>
        </row>
      </sheetData>
      <sheetData sheetId="636">
        <row r="5">
          <cell r="I5">
            <v>0</v>
          </cell>
        </row>
      </sheetData>
      <sheetData sheetId="637">
        <row r="5">
          <cell r="I5">
            <v>0</v>
          </cell>
        </row>
      </sheetData>
      <sheetData sheetId="638">
        <row r="5">
          <cell r="I5">
            <v>0</v>
          </cell>
        </row>
      </sheetData>
      <sheetData sheetId="639">
        <row r="5">
          <cell r="I5">
            <v>0</v>
          </cell>
        </row>
      </sheetData>
      <sheetData sheetId="640">
        <row r="5">
          <cell r="I5">
            <v>0</v>
          </cell>
        </row>
      </sheetData>
      <sheetData sheetId="641">
        <row r="5">
          <cell r="I5">
            <v>0</v>
          </cell>
        </row>
      </sheetData>
      <sheetData sheetId="642">
        <row r="5">
          <cell r="I5">
            <v>0</v>
          </cell>
        </row>
      </sheetData>
      <sheetData sheetId="643">
        <row r="5">
          <cell r="I5">
            <v>0</v>
          </cell>
        </row>
      </sheetData>
      <sheetData sheetId="644">
        <row r="5">
          <cell r="I5">
            <v>0</v>
          </cell>
        </row>
      </sheetData>
      <sheetData sheetId="645">
        <row r="5">
          <cell r="I5">
            <v>0</v>
          </cell>
        </row>
      </sheetData>
      <sheetData sheetId="646">
        <row r="5">
          <cell r="I5">
            <v>0</v>
          </cell>
        </row>
      </sheetData>
      <sheetData sheetId="647">
        <row r="5">
          <cell r="I5">
            <v>0</v>
          </cell>
        </row>
      </sheetData>
      <sheetData sheetId="648">
        <row r="5">
          <cell r="I5">
            <v>0</v>
          </cell>
        </row>
      </sheetData>
      <sheetData sheetId="649">
        <row r="5">
          <cell r="I5">
            <v>0</v>
          </cell>
        </row>
      </sheetData>
      <sheetData sheetId="650">
        <row r="5">
          <cell r="I5">
            <v>0</v>
          </cell>
        </row>
      </sheetData>
      <sheetData sheetId="651">
        <row r="5">
          <cell r="I5">
            <v>0</v>
          </cell>
        </row>
      </sheetData>
      <sheetData sheetId="652">
        <row r="5">
          <cell r="I5">
            <v>0</v>
          </cell>
        </row>
      </sheetData>
      <sheetData sheetId="653">
        <row r="5">
          <cell r="I5">
            <v>0</v>
          </cell>
        </row>
      </sheetData>
      <sheetData sheetId="654">
        <row r="5">
          <cell r="I5">
            <v>0</v>
          </cell>
        </row>
      </sheetData>
      <sheetData sheetId="655">
        <row r="5">
          <cell r="I5">
            <v>0</v>
          </cell>
        </row>
      </sheetData>
      <sheetData sheetId="656">
        <row r="5">
          <cell r="I5">
            <v>0</v>
          </cell>
        </row>
      </sheetData>
      <sheetData sheetId="657">
        <row r="5">
          <cell r="I5">
            <v>0</v>
          </cell>
        </row>
      </sheetData>
      <sheetData sheetId="658">
        <row r="5">
          <cell r="I5">
            <v>0</v>
          </cell>
        </row>
      </sheetData>
      <sheetData sheetId="659">
        <row r="5">
          <cell r="I5">
            <v>0</v>
          </cell>
        </row>
      </sheetData>
      <sheetData sheetId="660">
        <row r="5">
          <cell r="I5">
            <v>0</v>
          </cell>
        </row>
      </sheetData>
      <sheetData sheetId="661">
        <row r="5">
          <cell r="I5">
            <v>0</v>
          </cell>
        </row>
      </sheetData>
      <sheetData sheetId="662">
        <row r="5">
          <cell r="I5">
            <v>0</v>
          </cell>
        </row>
      </sheetData>
      <sheetData sheetId="663">
        <row r="5">
          <cell r="I5">
            <v>0</v>
          </cell>
        </row>
      </sheetData>
      <sheetData sheetId="664">
        <row r="5">
          <cell r="I5">
            <v>0</v>
          </cell>
        </row>
      </sheetData>
      <sheetData sheetId="665">
        <row r="5">
          <cell r="I5">
            <v>0</v>
          </cell>
        </row>
      </sheetData>
      <sheetData sheetId="666">
        <row r="5">
          <cell r="I5">
            <v>0</v>
          </cell>
        </row>
      </sheetData>
      <sheetData sheetId="667">
        <row r="5">
          <cell r="I5">
            <v>0</v>
          </cell>
        </row>
      </sheetData>
      <sheetData sheetId="668">
        <row r="5">
          <cell r="I5">
            <v>0</v>
          </cell>
        </row>
      </sheetData>
      <sheetData sheetId="669">
        <row r="5">
          <cell r="I5">
            <v>0</v>
          </cell>
        </row>
      </sheetData>
      <sheetData sheetId="670">
        <row r="5">
          <cell r="I5">
            <v>0</v>
          </cell>
        </row>
      </sheetData>
      <sheetData sheetId="671">
        <row r="5">
          <cell r="I5">
            <v>0</v>
          </cell>
        </row>
      </sheetData>
      <sheetData sheetId="672">
        <row r="5">
          <cell r="I5">
            <v>0</v>
          </cell>
        </row>
      </sheetData>
      <sheetData sheetId="673">
        <row r="5">
          <cell r="I5">
            <v>0</v>
          </cell>
        </row>
      </sheetData>
      <sheetData sheetId="674">
        <row r="5">
          <cell r="I5">
            <v>0</v>
          </cell>
        </row>
      </sheetData>
      <sheetData sheetId="675">
        <row r="5">
          <cell r="I5">
            <v>0</v>
          </cell>
        </row>
      </sheetData>
      <sheetData sheetId="676">
        <row r="5">
          <cell r="I5">
            <v>0</v>
          </cell>
        </row>
      </sheetData>
      <sheetData sheetId="677">
        <row r="5">
          <cell r="I5">
            <v>0</v>
          </cell>
        </row>
      </sheetData>
      <sheetData sheetId="678">
        <row r="5">
          <cell r="I5">
            <v>0</v>
          </cell>
        </row>
      </sheetData>
      <sheetData sheetId="679">
        <row r="5">
          <cell r="I5">
            <v>0</v>
          </cell>
        </row>
      </sheetData>
      <sheetData sheetId="680">
        <row r="5">
          <cell r="I5">
            <v>0</v>
          </cell>
        </row>
      </sheetData>
      <sheetData sheetId="681">
        <row r="5">
          <cell r="I5">
            <v>0</v>
          </cell>
        </row>
      </sheetData>
      <sheetData sheetId="682">
        <row r="5">
          <cell r="I5">
            <v>0</v>
          </cell>
        </row>
      </sheetData>
      <sheetData sheetId="683">
        <row r="5">
          <cell r="I5">
            <v>0</v>
          </cell>
        </row>
      </sheetData>
      <sheetData sheetId="684">
        <row r="5">
          <cell r="I5">
            <v>0</v>
          </cell>
        </row>
      </sheetData>
      <sheetData sheetId="685">
        <row r="5">
          <cell r="I5">
            <v>0</v>
          </cell>
        </row>
      </sheetData>
      <sheetData sheetId="686">
        <row r="5">
          <cell r="I5">
            <v>0</v>
          </cell>
        </row>
      </sheetData>
      <sheetData sheetId="687">
        <row r="5">
          <cell r="I5">
            <v>0</v>
          </cell>
        </row>
      </sheetData>
      <sheetData sheetId="688">
        <row r="5">
          <cell r="I5">
            <v>0</v>
          </cell>
        </row>
      </sheetData>
      <sheetData sheetId="689">
        <row r="5">
          <cell r="I5">
            <v>0</v>
          </cell>
        </row>
      </sheetData>
      <sheetData sheetId="690">
        <row r="5">
          <cell r="I5">
            <v>0</v>
          </cell>
        </row>
      </sheetData>
      <sheetData sheetId="691">
        <row r="5">
          <cell r="I5">
            <v>0</v>
          </cell>
        </row>
      </sheetData>
      <sheetData sheetId="692">
        <row r="5">
          <cell r="I5">
            <v>0</v>
          </cell>
        </row>
      </sheetData>
      <sheetData sheetId="693">
        <row r="5">
          <cell r="I5">
            <v>0</v>
          </cell>
        </row>
      </sheetData>
      <sheetData sheetId="694">
        <row r="5">
          <cell r="I5">
            <v>0</v>
          </cell>
        </row>
      </sheetData>
      <sheetData sheetId="695">
        <row r="5">
          <cell r="I5">
            <v>0</v>
          </cell>
        </row>
      </sheetData>
      <sheetData sheetId="696">
        <row r="5">
          <cell r="I5">
            <v>0</v>
          </cell>
        </row>
      </sheetData>
      <sheetData sheetId="697">
        <row r="5">
          <cell r="I5">
            <v>0</v>
          </cell>
        </row>
      </sheetData>
      <sheetData sheetId="698">
        <row r="5">
          <cell r="I5">
            <v>0</v>
          </cell>
        </row>
      </sheetData>
      <sheetData sheetId="699">
        <row r="5">
          <cell r="I5">
            <v>0</v>
          </cell>
        </row>
      </sheetData>
      <sheetData sheetId="700">
        <row r="5">
          <cell r="I5">
            <v>0</v>
          </cell>
        </row>
      </sheetData>
      <sheetData sheetId="701">
        <row r="5">
          <cell r="I5">
            <v>0</v>
          </cell>
        </row>
      </sheetData>
      <sheetData sheetId="702">
        <row r="5">
          <cell r="I5">
            <v>0</v>
          </cell>
        </row>
      </sheetData>
      <sheetData sheetId="703">
        <row r="5">
          <cell r="I5">
            <v>0</v>
          </cell>
        </row>
      </sheetData>
      <sheetData sheetId="704">
        <row r="5">
          <cell r="I5">
            <v>0</v>
          </cell>
        </row>
      </sheetData>
      <sheetData sheetId="705">
        <row r="5">
          <cell r="I5">
            <v>0</v>
          </cell>
        </row>
      </sheetData>
      <sheetData sheetId="706">
        <row r="5">
          <cell r="I5">
            <v>0</v>
          </cell>
        </row>
      </sheetData>
      <sheetData sheetId="707">
        <row r="5">
          <cell r="I5">
            <v>0</v>
          </cell>
        </row>
      </sheetData>
      <sheetData sheetId="708">
        <row r="5">
          <cell r="I5">
            <v>0</v>
          </cell>
        </row>
      </sheetData>
      <sheetData sheetId="709">
        <row r="5">
          <cell r="I5">
            <v>0</v>
          </cell>
        </row>
      </sheetData>
      <sheetData sheetId="710">
        <row r="5">
          <cell r="I5">
            <v>0</v>
          </cell>
        </row>
      </sheetData>
      <sheetData sheetId="711">
        <row r="5">
          <cell r="I5">
            <v>0</v>
          </cell>
        </row>
      </sheetData>
      <sheetData sheetId="712">
        <row r="5">
          <cell r="I5">
            <v>0</v>
          </cell>
        </row>
      </sheetData>
      <sheetData sheetId="713">
        <row r="5">
          <cell r="I5">
            <v>0</v>
          </cell>
        </row>
      </sheetData>
      <sheetData sheetId="714">
        <row r="5">
          <cell r="I5">
            <v>0</v>
          </cell>
        </row>
      </sheetData>
      <sheetData sheetId="715">
        <row r="5">
          <cell r="I5">
            <v>0</v>
          </cell>
        </row>
      </sheetData>
      <sheetData sheetId="716">
        <row r="5">
          <cell r="I5">
            <v>0</v>
          </cell>
        </row>
      </sheetData>
      <sheetData sheetId="717">
        <row r="5">
          <cell r="I5">
            <v>0</v>
          </cell>
        </row>
      </sheetData>
      <sheetData sheetId="718">
        <row r="5">
          <cell r="I5">
            <v>0</v>
          </cell>
        </row>
      </sheetData>
      <sheetData sheetId="719">
        <row r="5">
          <cell r="I5">
            <v>0</v>
          </cell>
        </row>
      </sheetData>
      <sheetData sheetId="720">
        <row r="5">
          <cell r="I5">
            <v>0</v>
          </cell>
        </row>
      </sheetData>
      <sheetData sheetId="721">
        <row r="5">
          <cell r="I5">
            <v>0</v>
          </cell>
        </row>
      </sheetData>
      <sheetData sheetId="722">
        <row r="5">
          <cell r="I5">
            <v>0</v>
          </cell>
        </row>
      </sheetData>
      <sheetData sheetId="723">
        <row r="5">
          <cell r="I5">
            <v>0</v>
          </cell>
        </row>
      </sheetData>
      <sheetData sheetId="724">
        <row r="5">
          <cell r="I5">
            <v>0</v>
          </cell>
        </row>
      </sheetData>
      <sheetData sheetId="725">
        <row r="5">
          <cell r="I5">
            <v>0</v>
          </cell>
        </row>
      </sheetData>
      <sheetData sheetId="726">
        <row r="5">
          <cell r="I5">
            <v>0</v>
          </cell>
        </row>
      </sheetData>
      <sheetData sheetId="727">
        <row r="5">
          <cell r="I5">
            <v>0</v>
          </cell>
        </row>
      </sheetData>
      <sheetData sheetId="728">
        <row r="5">
          <cell r="I5">
            <v>0</v>
          </cell>
        </row>
      </sheetData>
      <sheetData sheetId="729">
        <row r="5">
          <cell r="I5">
            <v>0</v>
          </cell>
        </row>
      </sheetData>
      <sheetData sheetId="730">
        <row r="5">
          <cell r="I5">
            <v>0</v>
          </cell>
        </row>
      </sheetData>
      <sheetData sheetId="731">
        <row r="5">
          <cell r="I5">
            <v>0</v>
          </cell>
        </row>
      </sheetData>
      <sheetData sheetId="732">
        <row r="5">
          <cell r="I5">
            <v>0</v>
          </cell>
        </row>
      </sheetData>
      <sheetData sheetId="733">
        <row r="5">
          <cell r="I5">
            <v>0</v>
          </cell>
        </row>
      </sheetData>
      <sheetData sheetId="734">
        <row r="5">
          <cell r="I5">
            <v>0</v>
          </cell>
        </row>
      </sheetData>
      <sheetData sheetId="735">
        <row r="5">
          <cell r="I5">
            <v>0</v>
          </cell>
        </row>
      </sheetData>
      <sheetData sheetId="736">
        <row r="5">
          <cell r="I5">
            <v>0</v>
          </cell>
        </row>
      </sheetData>
      <sheetData sheetId="737">
        <row r="5">
          <cell r="I5">
            <v>0</v>
          </cell>
        </row>
      </sheetData>
      <sheetData sheetId="738">
        <row r="5">
          <cell r="I5">
            <v>0</v>
          </cell>
        </row>
      </sheetData>
      <sheetData sheetId="739">
        <row r="5">
          <cell r="I5">
            <v>0</v>
          </cell>
        </row>
      </sheetData>
      <sheetData sheetId="740">
        <row r="5">
          <cell r="I5">
            <v>0</v>
          </cell>
        </row>
      </sheetData>
      <sheetData sheetId="741">
        <row r="5">
          <cell r="I5">
            <v>0</v>
          </cell>
        </row>
      </sheetData>
      <sheetData sheetId="742">
        <row r="5">
          <cell r="I5">
            <v>0</v>
          </cell>
        </row>
      </sheetData>
      <sheetData sheetId="743">
        <row r="5">
          <cell r="I5">
            <v>0</v>
          </cell>
        </row>
      </sheetData>
      <sheetData sheetId="744">
        <row r="5">
          <cell r="I5">
            <v>0</v>
          </cell>
        </row>
      </sheetData>
      <sheetData sheetId="745">
        <row r="5">
          <cell r="I5">
            <v>0</v>
          </cell>
        </row>
      </sheetData>
      <sheetData sheetId="746">
        <row r="5">
          <cell r="I5">
            <v>0</v>
          </cell>
        </row>
      </sheetData>
      <sheetData sheetId="747">
        <row r="5">
          <cell r="I5">
            <v>0</v>
          </cell>
        </row>
      </sheetData>
      <sheetData sheetId="748">
        <row r="5">
          <cell r="I5">
            <v>0</v>
          </cell>
        </row>
      </sheetData>
      <sheetData sheetId="749">
        <row r="5">
          <cell r="I5">
            <v>0</v>
          </cell>
        </row>
      </sheetData>
      <sheetData sheetId="750">
        <row r="5">
          <cell r="I5">
            <v>0</v>
          </cell>
        </row>
      </sheetData>
      <sheetData sheetId="751">
        <row r="5">
          <cell r="I5">
            <v>0</v>
          </cell>
        </row>
      </sheetData>
      <sheetData sheetId="752">
        <row r="5">
          <cell r="I5">
            <v>0</v>
          </cell>
        </row>
      </sheetData>
      <sheetData sheetId="753">
        <row r="5">
          <cell r="I5">
            <v>0</v>
          </cell>
        </row>
      </sheetData>
      <sheetData sheetId="754">
        <row r="5">
          <cell r="I5">
            <v>0</v>
          </cell>
        </row>
      </sheetData>
      <sheetData sheetId="755">
        <row r="5">
          <cell r="I5">
            <v>0</v>
          </cell>
        </row>
      </sheetData>
      <sheetData sheetId="756">
        <row r="5">
          <cell r="I5">
            <v>0</v>
          </cell>
        </row>
      </sheetData>
      <sheetData sheetId="757">
        <row r="5">
          <cell r="I5">
            <v>0</v>
          </cell>
        </row>
      </sheetData>
      <sheetData sheetId="758">
        <row r="5">
          <cell r="I5">
            <v>0</v>
          </cell>
        </row>
      </sheetData>
      <sheetData sheetId="759">
        <row r="5">
          <cell r="I5">
            <v>0</v>
          </cell>
        </row>
      </sheetData>
      <sheetData sheetId="760">
        <row r="5">
          <cell r="I5">
            <v>0</v>
          </cell>
        </row>
      </sheetData>
      <sheetData sheetId="761">
        <row r="5">
          <cell r="I5">
            <v>0</v>
          </cell>
        </row>
      </sheetData>
      <sheetData sheetId="762">
        <row r="5">
          <cell r="I5">
            <v>0</v>
          </cell>
        </row>
      </sheetData>
      <sheetData sheetId="763">
        <row r="5">
          <cell r="I5">
            <v>0</v>
          </cell>
        </row>
      </sheetData>
      <sheetData sheetId="764">
        <row r="5">
          <cell r="I5">
            <v>0</v>
          </cell>
        </row>
      </sheetData>
      <sheetData sheetId="765">
        <row r="5">
          <cell r="I5">
            <v>0</v>
          </cell>
        </row>
      </sheetData>
      <sheetData sheetId="766">
        <row r="5">
          <cell r="I5">
            <v>0</v>
          </cell>
        </row>
      </sheetData>
      <sheetData sheetId="767">
        <row r="5">
          <cell r="I5">
            <v>0</v>
          </cell>
        </row>
      </sheetData>
      <sheetData sheetId="768">
        <row r="5">
          <cell r="I5">
            <v>0</v>
          </cell>
        </row>
      </sheetData>
      <sheetData sheetId="769">
        <row r="5">
          <cell r="I5">
            <v>0</v>
          </cell>
        </row>
      </sheetData>
      <sheetData sheetId="770">
        <row r="5">
          <cell r="I5">
            <v>0</v>
          </cell>
        </row>
      </sheetData>
      <sheetData sheetId="771">
        <row r="5">
          <cell r="I5">
            <v>0</v>
          </cell>
        </row>
      </sheetData>
      <sheetData sheetId="772">
        <row r="5">
          <cell r="I5">
            <v>0</v>
          </cell>
        </row>
      </sheetData>
      <sheetData sheetId="773">
        <row r="5">
          <cell r="I5">
            <v>0</v>
          </cell>
        </row>
      </sheetData>
      <sheetData sheetId="774">
        <row r="5">
          <cell r="I5">
            <v>0</v>
          </cell>
        </row>
      </sheetData>
      <sheetData sheetId="775">
        <row r="5">
          <cell r="I5">
            <v>0</v>
          </cell>
        </row>
      </sheetData>
      <sheetData sheetId="776">
        <row r="5">
          <cell r="I5">
            <v>0</v>
          </cell>
        </row>
      </sheetData>
      <sheetData sheetId="777">
        <row r="5">
          <cell r="I5">
            <v>0</v>
          </cell>
        </row>
      </sheetData>
      <sheetData sheetId="778">
        <row r="5">
          <cell r="I5">
            <v>0</v>
          </cell>
        </row>
      </sheetData>
      <sheetData sheetId="779">
        <row r="5">
          <cell r="I5">
            <v>0</v>
          </cell>
        </row>
      </sheetData>
      <sheetData sheetId="780">
        <row r="5">
          <cell r="I5">
            <v>0</v>
          </cell>
        </row>
      </sheetData>
      <sheetData sheetId="781">
        <row r="5">
          <cell r="I5">
            <v>0</v>
          </cell>
        </row>
      </sheetData>
      <sheetData sheetId="782">
        <row r="5">
          <cell r="I5">
            <v>0</v>
          </cell>
        </row>
      </sheetData>
      <sheetData sheetId="783">
        <row r="5">
          <cell r="I5">
            <v>0</v>
          </cell>
        </row>
      </sheetData>
      <sheetData sheetId="784">
        <row r="5">
          <cell r="I5">
            <v>0</v>
          </cell>
        </row>
      </sheetData>
      <sheetData sheetId="785">
        <row r="5">
          <cell r="I5">
            <v>0</v>
          </cell>
        </row>
      </sheetData>
      <sheetData sheetId="786">
        <row r="5">
          <cell r="I5">
            <v>0</v>
          </cell>
        </row>
      </sheetData>
      <sheetData sheetId="787">
        <row r="5">
          <cell r="I5">
            <v>0</v>
          </cell>
        </row>
      </sheetData>
      <sheetData sheetId="788">
        <row r="5">
          <cell r="I5">
            <v>0</v>
          </cell>
        </row>
      </sheetData>
      <sheetData sheetId="789">
        <row r="5">
          <cell r="I5">
            <v>0</v>
          </cell>
        </row>
      </sheetData>
      <sheetData sheetId="790">
        <row r="5">
          <cell r="I5">
            <v>0</v>
          </cell>
        </row>
      </sheetData>
      <sheetData sheetId="791">
        <row r="5">
          <cell r="I5">
            <v>0</v>
          </cell>
        </row>
      </sheetData>
      <sheetData sheetId="792">
        <row r="5">
          <cell r="I5">
            <v>0</v>
          </cell>
        </row>
      </sheetData>
      <sheetData sheetId="793">
        <row r="5">
          <cell r="I5">
            <v>0</v>
          </cell>
        </row>
      </sheetData>
      <sheetData sheetId="794">
        <row r="5">
          <cell r="I5">
            <v>0</v>
          </cell>
        </row>
      </sheetData>
      <sheetData sheetId="795">
        <row r="5">
          <cell r="I5">
            <v>0</v>
          </cell>
        </row>
      </sheetData>
      <sheetData sheetId="796">
        <row r="5">
          <cell r="I5">
            <v>0</v>
          </cell>
        </row>
      </sheetData>
      <sheetData sheetId="797">
        <row r="5">
          <cell r="I5">
            <v>0</v>
          </cell>
        </row>
      </sheetData>
      <sheetData sheetId="798">
        <row r="5">
          <cell r="I5">
            <v>0</v>
          </cell>
        </row>
      </sheetData>
      <sheetData sheetId="799">
        <row r="5">
          <cell r="I5">
            <v>0</v>
          </cell>
        </row>
      </sheetData>
      <sheetData sheetId="800">
        <row r="5">
          <cell r="I5">
            <v>0</v>
          </cell>
        </row>
      </sheetData>
      <sheetData sheetId="801">
        <row r="5">
          <cell r="I5">
            <v>0</v>
          </cell>
        </row>
      </sheetData>
      <sheetData sheetId="802">
        <row r="5">
          <cell r="I5">
            <v>0</v>
          </cell>
        </row>
      </sheetData>
      <sheetData sheetId="803">
        <row r="5">
          <cell r="I5">
            <v>0</v>
          </cell>
        </row>
      </sheetData>
      <sheetData sheetId="804">
        <row r="5">
          <cell r="I5">
            <v>0</v>
          </cell>
        </row>
      </sheetData>
      <sheetData sheetId="805">
        <row r="5">
          <cell r="I5">
            <v>0</v>
          </cell>
        </row>
      </sheetData>
      <sheetData sheetId="806">
        <row r="5">
          <cell r="I5">
            <v>0</v>
          </cell>
        </row>
      </sheetData>
      <sheetData sheetId="807">
        <row r="5">
          <cell r="I5">
            <v>0</v>
          </cell>
        </row>
      </sheetData>
      <sheetData sheetId="808">
        <row r="5">
          <cell r="I5">
            <v>0</v>
          </cell>
        </row>
      </sheetData>
      <sheetData sheetId="809">
        <row r="5">
          <cell r="I5">
            <v>0</v>
          </cell>
        </row>
      </sheetData>
      <sheetData sheetId="810">
        <row r="5">
          <cell r="I5">
            <v>0</v>
          </cell>
        </row>
      </sheetData>
      <sheetData sheetId="811">
        <row r="5">
          <cell r="I5">
            <v>0</v>
          </cell>
        </row>
      </sheetData>
      <sheetData sheetId="812">
        <row r="5">
          <cell r="I5">
            <v>0</v>
          </cell>
        </row>
      </sheetData>
      <sheetData sheetId="813">
        <row r="5">
          <cell r="I5">
            <v>0</v>
          </cell>
        </row>
      </sheetData>
      <sheetData sheetId="814">
        <row r="5">
          <cell r="I5">
            <v>0</v>
          </cell>
        </row>
      </sheetData>
      <sheetData sheetId="815">
        <row r="5">
          <cell r="I5">
            <v>0</v>
          </cell>
        </row>
      </sheetData>
      <sheetData sheetId="816">
        <row r="5">
          <cell r="I5">
            <v>0</v>
          </cell>
        </row>
      </sheetData>
      <sheetData sheetId="817">
        <row r="5">
          <cell r="I5">
            <v>0</v>
          </cell>
        </row>
      </sheetData>
      <sheetData sheetId="818">
        <row r="5">
          <cell r="I5">
            <v>0</v>
          </cell>
        </row>
      </sheetData>
      <sheetData sheetId="819">
        <row r="5">
          <cell r="I5">
            <v>0</v>
          </cell>
        </row>
      </sheetData>
      <sheetData sheetId="820">
        <row r="5">
          <cell r="I5">
            <v>0</v>
          </cell>
        </row>
      </sheetData>
      <sheetData sheetId="821">
        <row r="5">
          <cell r="I5">
            <v>0</v>
          </cell>
        </row>
      </sheetData>
      <sheetData sheetId="822">
        <row r="5">
          <cell r="I5">
            <v>0</v>
          </cell>
        </row>
      </sheetData>
      <sheetData sheetId="823">
        <row r="5">
          <cell r="I5">
            <v>0</v>
          </cell>
        </row>
      </sheetData>
      <sheetData sheetId="824">
        <row r="5">
          <cell r="I5">
            <v>0</v>
          </cell>
        </row>
      </sheetData>
      <sheetData sheetId="825">
        <row r="5">
          <cell r="I5">
            <v>0</v>
          </cell>
        </row>
      </sheetData>
      <sheetData sheetId="826">
        <row r="5">
          <cell r="I5">
            <v>0</v>
          </cell>
        </row>
      </sheetData>
      <sheetData sheetId="827">
        <row r="5">
          <cell r="I5">
            <v>0</v>
          </cell>
        </row>
      </sheetData>
      <sheetData sheetId="828">
        <row r="5">
          <cell r="I5">
            <v>0</v>
          </cell>
        </row>
      </sheetData>
      <sheetData sheetId="829">
        <row r="5">
          <cell r="I5">
            <v>0</v>
          </cell>
        </row>
      </sheetData>
      <sheetData sheetId="830">
        <row r="5">
          <cell r="I5">
            <v>0</v>
          </cell>
        </row>
      </sheetData>
      <sheetData sheetId="831">
        <row r="5">
          <cell r="I5">
            <v>0</v>
          </cell>
        </row>
      </sheetData>
      <sheetData sheetId="832">
        <row r="5">
          <cell r="I5">
            <v>0</v>
          </cell>
        </row>
      </sheetData>
      <sheetData sheetId="833">
        <row r="5">
          <cell r="I5">
            <v>0</v>
          </cell>
        </row>
      </sheetData>
      <sheetData sheetId="834">
        <row r="5">
          <cell r="I5">
            <v>0</v>
          </cell>
        </row>
      </sheetData>
      <sheetData sheetId="835">
        <row r="5">
          <cell r="I5">
            <v>0</v>
          </cell>
        </row>
      </sheetData>
      <sheetData sheetId="836">
        <row r="5">
          <cell r="I5">
            <v>0</v>
          </cell>
        </row>
      </sheetData>
      <sheetData sheetId="837">
        <row r="5">
          <cell r="I5">
            <v>0</v>
          </cell>
        </row>
      </sheetData>
      <sheetData sheetId="838">
        <row r="5">
          <cell r="I5">
            <v>0</v>
          </cell>
        </row>
      </sheetData>
      <sheetData sheetId="839">
        <row r="5">
          <cell r="I5">
            <v>0</v>
          </cell>
        </row>
      </sheetData>
      <sheetData sheetId="840">
        <row r="5">
          <cell r="I5">
            <v>0</v>
          </cell>
        </row>
      </sheetData>
      <sheetData sheetId="841">
        <row r="5">
          <cell r="I5">
            <v>0</v>
          </cell>
        </row>
      </sheetData>
      <sheetData sheetId="842">
        <row r="5">
          <cell r="I5">
            <v>0</v>
          </cell>
        </row>
      </sheetData>
      <sheetData sheetId="843">
        <row r="5">
          <cell r="I5">
            <v>0</v>
          </cell>
        </row>
      </sheetData>
      <sheetData sheetId="844">
        <row r="5">
          <cell r="I5">
            <v>0</v>
          </cell>
        </row>
      </sheetData>
      <sheetData sheetId="845">
        <row r="5">
          <cell r="I5">
            <v>0</v>
          </cell>
        </row>
      </sheetData>
      <sheetData sheetId="846">
        <row r="5">
          <cell r="I5">
            <v>0</v>
          </cell>
        </row>
      </sheetData>
      <sheetData sheetId="847">
        <row r="5">
          <cell r="I5">
            <v>0</v>
          </cell>
        </row>
      </sheetData>
      <sheetData sheetId="848">
        <row r="5">
          <cell r="I5">
            <v>0</v>
          </cell>
        </row>
      </sheetData>
      <sheetData sheetId="849">
        <row r="5">
          <cell r="I5">
            <v>0</v>
          </cell>
        </row>
      </sheetData>
      <sheetData sheetId="850">
        <row r="5">
          <cell r="I5">
            <v>0</v>
          </cell>
        </row>
      </sheetData>
      <sheetData sheetId="851">
        <row r="5">
          <cell r="I5">
            <v>0</v>
          </cell>
        </row>
      </sheetData>
      <sheetData sheetId="852">
        <row r="5">
          <cell r="I5">
            <v>0</v>
          </cell>
        </row>
      </sheetData>
      <sheetData sheetId="853">
        <row r="5">
          <cell r="I5">
            <v>0</v>
          </cell>
        </row>
      </sheetData>
      <sheetData sheetId="854">
        <row r="5">
          <cell r="I5">
            <v>0</v>
          </cell>
        </row>
      </sheetData>
      <sheetData sheetId="855">
        <row r="5">
          <cell r="I5">
            <v>0</v>
          </cell>
        </row>
      </sheetData>
      <sheetData sheetId="856">
        <row r="5">
          <cell r="I5">
            <v>0</v>
          </cell>
        </row>
      </sheetData>
      <sheetData sheetId="857">
        <row r="5">
          <cell r="I5">
            <v>0</v>
          </cell>
        </row>
      </sheetData>
      <sheetData sheetId="858">
        <row r="5">
          <cell r="I5">
            <v>0</v>
          </cell>
        </row>
      </sheetData>
      <sheetData sheetId="859">
        <row r="5">
          <cell r="I5">
            <v>0</v>
          </cell>
        </row>
      </sheetData>
      <sheetData sheetId="860">
        <row r="5">
          <cell r="I5">
            <v>0</v>
          </cell>
        </row>
      </sheetData>
      <sheetData sheetId="861">
        <row r="5">
          <cell r="I5">
            <v>0</v>
          </cell>
        </row>
      </sheetData>
      <sheetData sheetId="862">
        <row r="5">
          <cell r="I5">
            <v>0</v>
          </cell>
        </row>
      </sheetData>
      <sheetData sheetId="863">
        <row r="5">
          <cell r="I5">
            <v>0</v>
          </cell>
        </row>
      </sheetData>
      <sheetData sheetId="864">
        <row r="5">
          <cell r="I5">
            <v>0</v>
          </cell>
        </row>
      </sheetData>
      <sheetData sheetId="865">
        <row r="5">
          <cell r="I5">
            <v>0</v>
          </cell>
        </row>
      </sheetData>
      <sheetData sheetId="866">
        <row r="5">
          <cell r="I5">
            <v>0</v>
          </cell>
        </row>
      </sheetData>
      <sheetData sheetId="867">
        <row r="5">
          <cell r="I5">
            <v>0</v>
          </cell>
        </row>
      </sheetData>
      <sheetData sheetId="868">
        <row r="5">
          <cell r="I5">
            <v>0</v>
          </cell>
        </row>
      </sheetData>
      <sheetData sheetId="869">
        <row r="5">
          <cell r="I5">
            <v>0</v>
          </cell>
        </row>
      </sheetData>
      <sheetData sheetId="870">
        <row r="5">
          <cell r="I5">
            <v>0</v>
          </cell>
        </row>
      </sheetData>
      <sheetData sheetId="871">
        <row r="5">
          <cell r="I5">
            <v>0</v>
          </cell>
        </row>
      </sheetData>
      <sheetData sheetId="872">
        <row r="5">
          <cell r="I5">
            <v>0</v>
          </cell>
        </row>
      </sheetData>
      <sheetData sheetId="873">
        <row r="5">
          <cell r="I5">
            <v>0</v>
          </cell>
        </row>
      </sheetData>
      <sheetData sheetId="874">
        <row r="5">
          <cell r="I5">
            <v>0</v>
          </cell>
        </row>
      </sheetData>
      <sheetData sheetId="875">
        <row r="5">
          <cell r="I5">
            <v>0</v>
          </cell>
        </row>
      </sheetData>
      <sheetData sheetId="876">
        <row r="5">
          <cell r="I5">
            <v>0</v>
          </cell>
        </row>
      </sheetData>
      <sheetData sheetId="877">
        <row r="5">
          <cell r="I5">
            <v>0</v>
          </cell>
        </row>
      </sheetData>
      <sheetData sheetId="878">
        <row r="5">
          <cell r="I5">
            <v>0</v>
          </cell>
        </row>
      </sheetData>
      <sheetData sheetId="879">
        <row r="5">
          <cell r="I5">
            <v>0</v>
          </cell>
        </row>
      </sheetData>
      <sheetData sheetId="880">
        <row r="5">
          <cell r="I5">
            <v>0</v>
          </cell>
        </row>
      </sheetData>
      <sheetData sheetId="881">
        <row r="5">
          <cell r="I5">
            <v>0</v>
          </cell>
        </row>
      </sheetData>
      <sheetData sheetId="882">
        <row r="5">
          <cell r="I5">
            <v>0</v>
          </cell>
        </row>
      </sheetData>
      <sheetData sheetId="883">
        <row r="5">
          <cell r="I5">
            <v>0</v>
          </cell>
        </row>
      </sheetData>
      <sheetData sheetId="884">
        <row r="5">
          <cell r="I5">
            <v>0</v>
          </cell>
        </row>
      </sheetData>
      <sheetData sheetId="885">
        <row r="5">
          <cell r="I5">
            <v>0</v>
          </cell>
        </row>
      </sheetData>
      <sheetData sheetId="886">
        <row r="5">
          <cell r="I5">
            <v>0</v>
          </cell>
        </row>
      </sheetData>
      <sheetData sheetId="887">
        <row r="5">
          <cell r="I5">
            <v>0</v>
          </cell>
        </row>
      </sheetData>
      <sheetData sheetId="888">
        <row r="5">
          <cell r="I5">
            <v>0</v>
          </cell>
        </row>
      </sheetData>
      <sheetData sheetId="889">
        <row r="5">
          <cell r="I5">
            <v>0</v>
          </cell>
        </row>
      </sheetData>
      <sheetData sheetId="890">
        <row r="5">
          <cell r="I5">
            <v>0</v>
          </cell>
        </row>
      </sheetData>
      <sheetData sheetId="891">
        <row r="5">
          <cell r="I5">
            <v>0</v>
          </cell>
        </row>
      </sheetData>
      <sheetData sheetId="892">
        <row r="5">
          <cell r="I5">
            <v>0</v>
          </cell>
        </row>
      </sheetData>
      <sheetData sheetId="893">
        <row r="5">
          <cell r="I5">
            <v>0</v>
          </cell>
        </row>
      </sheetData>
      <sheetData sheetId="894">
        <row r="5">
          <cell r="I5">
            <v>0</v>
          </cell>
        </row>
      </sheetData>
      <sheetData sheetId="895">
        <row r="5">
          <cell r="I5">
            <v>0</v>
          </cell>
        </row>
      </sheetData>
      <sheetData sheetId="896">
        <row r="5">
          <cell r="I5">
            <v>0</v>
          </cell>
        </row>
      </sheetData>
      <sheetData sheetId="897">
        <row r="5">
          <cell r="I5">
            <v>0</v>
          </cell>
        </row>
      </sheetData>
      <sheetData sheetId="898">
        <row r="5">
          <cell r="I5">
            <v>0</v>
          </cell>
        </row>
      </sheetData>
      <sheetData sheetId="899">
        <row r="5">
          <cell r="I5">
            <v>0</v>
          </cell>
        </row>
      </sheetData>
      <sheetData sheetId="900">
        <row r="5">
          <cell r="I5">
            <v>0</v>
          </cell>
        </row>
      </sheetData>
      <sheetData sheetId="901">
        <row r="5">
          <cell r="I5">
            <v>0</v>
          </cell>
        </row>
      </sheetData>
      <sheetData sheetId="902">
        <row r="5">
          <cell r="I5">
            <v>0</v>
          </cell>
        </row>
      </sheetData>
      <sheetData sheetId="903">
        <row r="5">
          <cell r="I5">
            <v>0</v>
          </cell>
        </row>
      </sheetData>
      <sheetData sheetId="904">
        <row r="5">
          <cell r="I5">
            <v>0</v>
          </cell>
        </row>
      </sheetData>
      <sheetData sheetId="905">
        <row r="5">
          <cell r="I5">
            <v>0</v>
          </cell>
        </row>
      </sheetData>
      <sheetData sheetId="906">
        <row r="5">
          <cell r="I5">
            <v>0</v>
          </cell>
        </row>
      </sheetData>
      <sheetData sheetId="907">
        <row r="5">
          <cell r="I5">
            <v>0</v>
          </cell>
        </row>
      </sheetData>
      <sheetData sheetId="908">
        <row r="5">
          <cell r="I5">
            <v>0</v>
          </cell>
        </row>
      </sheetData>
      <sheetData sheetId="909">
        <row r="5">
          <cell r="I5">
            <v>0</v>
          </cell>
        </row>
      </sheetData>
      <sheetData sheetId="910">
        <row r="5">
          <cell r="I5">
            <v>0</v>
          </cell>
        </row>
      </sheetData>
      <sheetData sheetId="911">
        <row r="5">
          <cell r="I5">
            <v>0</v>
          </cell>
        </row>
      </sheetData>
      <sheetData sheetId="912">
        <row r="5">
          <cell r="I5">
            <v>0</v>
          </cell>
        </row>
      </sheetData>
      <sheetData sheetId="913">
        <row r="5">
          <cell r="I5">
            <v>0</v>
          </cell>
        </row>
      </sheetData>
      <sheetData sheetId="914">
        <row r="5">
          <cell r="I5">
            <v>0</v>
          </cell>
        </row>
      </sheetData>
      <sheetData sheetId="915">
        <row r="5">
          <cell r="I5">
            <v>0</v>
          </cell>
        </row>
      </sheetData>
      <sheetData sheetId="916">
        <row r="5">
          <cell r="I5">
            <v>0</v>
          </cell>
        </row>
      </sheetData>
      <sheetData sheetId="917">
        <row r="5">
          <cell r="I5">
            <v>0</v>
          </cell>
        </row>
      </sheetData>
      <sheetData sheetId="918">
        <row r="5">
          <cell r="I5">
            <v>0</v>
          </cell>
        </row>
      </sheetData>
      <sheetData sheetId="919">
        <row r="5">
          <cell r="I5">
            <v>0</v>
          </cell>
        </row>
      </sheetData>
      <sheetData sheetId="920">
        <row r="5">
          <cell r="I5">
            <v>0</v>
          </cell>
        </row>
      </sheetData>
      <sheetData sheetId="921">
        <row r="5">
          <cell r="I5">
            <v>0</v>
          </cell>
        </row>
      </sheetData>
      <sheetData sheetId="922">
        <row r="5">
          <cell r="I5">
            <v>0</v>
          </cell>
        </row>
      </sheetData>
      <sheetData sheetId="923">
        <row r="5">
          <cell r="I5">
            <v>0</v>
          </cell>
        </row>
      </sheetData>
      <sheetData sheetId="924">
        <row r="5">
          <cell r="I5">
            <v>0</v>
          </cell>
        </row>
      </sheetData>
      <sheetData sheetId="925">
        <row r="5">
          <cell r="I5">
            <v>0</v>
          </cell>
        </row>
      </sheetData>
      <sheetData sheetId="926">
        <row r="5">
          <cell r="I5">
            <v>0</v>
          </cell>
        </row>
      </sheetData>
      <sheetData sheetId="927">
        <row r="5">
          <cell r="I5">
            <v>0</v>
          </cell>
        </row>
      </sheetData>
      <sheetData sheetId="928">
        <row r="5">
          <cell r="I5">
            <v>0</v>
          </cell>
        </row>
      </sheetData>
      <sheetData sheetId="929">
        <row r="5">
          <cell r="I5">
            <v>0</v>
          </cell>
        </row>
      </sheetData>
      <sheetData sheetId="930">
        <row r="5">
          <cell r="I5">
            <v>0</v>
          </cell>
        </row>
      </sheetData>
      <sheetData sheetId="931">
        <row r="5">
          <cell r="I5">
            <v>0</v>
          </cell>
        </row>
      </sheetData>
      <sheetData sheetId="932">
        <row r="5">
          <cell r="I5">
            <v>0</v>
          </cell>
        </row>
      </sheetData>
      <sheetData sheetId="933">
        <row r="5">
          <cell r="I5">
            <v>0</v>
          </cell>
        </row>
      </sheetData>
      <sheetData sheetId="934">
        <row r="5">
          <cell r="I5">
            <v>0</v>
          </cell>
        </row>
      </sheetData>
      <sheetData sheetId="935">
        <row r="5">
          <cell r="I5">
            <v>0</v>
          </cell>
        </row>
      </sheetData>
      <sheetData sheetId="936">
        <row r="5">
          <cell r="I5">
            <v>0</v>
          </cell>
        </row>
      </sheetData>
      <sheetData sheetId="937">
        <row r="5">
          <cell r="I5">
            <v>0</v>
          </cell>
        </row>
      </sheetData>
      <sheetData sheetId="938">
        <row r="5">
          <cell r="I5">
            <v>0</v>
          </cell>
        </row>
      </sheetData>
      <sheetData sheetId="939">
        <row r="5">
          <cell r="I5">
            <v>0</v>
          </cell>
        </row>
      </sheetData>
      <sheetData sheetId="940">
        <row r="5">
          <cell r="I5">
            <v>0</v>
          </cell>
        </row>
      </sheetData>
      <sheetData sheetId="941">
        <row r="5">
          <cell r="I5">
            <v>0</v>
          </cell>
        </row>
      </sheetData>
      <sheetData sheetId="942">
        <row r="5">
          <cell r="I5">
            <v>0</v>
          </cell>
        </row>
      </sheetData>
      <sheetData sheetId="943">
        <row r="5">
          <cell r="I5">
            <v>0</v>
          </cell>
        </row>
      </sheetData>
      <sheetData sheetId="944">
        <row r="5">
          <cell r="I5">
            <v>0</v>
          </cell>
        </row>
      </sheetData>
      <sheetData sheetId="945">
        <row r="5">
          <cell r="I5">
            <v>0</v>
          </cell>
        </row>
      </sheetData>
      <sheetData sheetId="946">
        <row r="5">
          <cell r="I5">
            <v>0</v>
          </cell>
        </row>
      </sheetData>
      <sheetData sheetId="947">
        <row r="5">
          <cell r="I5">
            <v>0</v>
          </cell>
        </row>
      </sheetData>
      <sheetData sheetId="948">
        <row r="5">
          <cell r="I5">
            <v>0</v>
          </cell>
        </row>
      </sheetData>
      <sheetData sheetId="949">
        <row r="5">
          <cell r="I5">
            <v>0</v>
          </cell>
        </row>
      </sheetData>
      <sheetData sheetId="950">
        <row r="5">
          <cell r="I5">
            <v>0</v>
          </cell>
        </row>
      </sheetData>
      <sheetData sheetId="951">
        <row r="5">
          <cell r="I5">
            <v>0</v>
          </cell>
        </row>
      </sheetData>
      <sheetData sheetId="952">
        <row r="5">
          <cell r="I5">
            <v>0</v>
          </cell>
        </row>
      </sheetData>
      <sheetData sheetId="953">
        <row r="5">
          <cell r="I5">
            <v>0</v>
          </cell>
        </row>
      </sheetData>
      <sheetData sheetId="954">
        <row r="5">
          <cell r="I5">
            <v>0</v>
          </cell>
        </row>
      </sheetData>
      <sheetData sheetId="955">
        <row r="5">
          <cell r="I5">
            <v>0</v>
          </cell>
        </row>
      </sheetData>
      <sheetData sheetId="956">
        <row r="5">
          <cell r="I5">
            <v>0</v>
          </cell>
        </row>
      </sheetData>
      <sheetData sheetId="957">
        <row r="5">
          <cell r="I5">
            <v>0</v>
          </cell>
        </row>
      </sheetData>
      <sheetData sheetId="958">
        <row r="5">
          <cell r="I5">
            <v>0</v>
          </cell>
        </row>
      </sheetData>
      <sheetData sheetId="959">
        <row r="5">
          <cell r="I5">
            <v>0</v>
          </cell>
        </row>
      </sheetData>
      <sheetData sheetId="960">
        <row r="5">
          <cell r="I5">
            <v>0</v>
          </cell>
        </row>
      </sheetData>
      <sheetData sheetId="961">
        <row r="5">
          <cell r="I5">
            <v>0</v>
          </cell>
        </row>
      </sheetData>
      <sheetData sheetId="962">
        <row r="5">
          <cell r="I5">
            <v>0</v>
          </cell>
        </row>
      </sheetData>
      <sheetData sheetId="963">
        <row r="5">
          <cell r="I5">
            <v>0</v>
          </cell>
        </row>
      </sheetData>
      <sheetData sheetId="964">
        <row r="5">
          <cell r="I5">
            <v>0</v>
          </cell>
        </row>
      </sheetData>
      <sheetData sheetId="965">
        <row r="5">
          <cell r="I5">
            <v>0</v>
          </cell>
        </row>
      </sheetData>
      <sheetData sheetId="966">
        <row r="5">
          <cell r="I5">
            <v>0</v>
          </cell>
        </row>
      </sheetData>
      <sheetData sheetId="967">
        <row r="5">
          <cell r="I5">
            <v>0</v>
          </cell>
        </row>
      </sheetData>
      <sheetData sheetId="968">
        <row r="5">
          <cell r="I5">
            <v>0</v>
          </cell>
        </row>
      </sheetData>
      <sheetData sheetId="969">
        <row r="5">
          <cell r="I5">
            <v>0</v>
          </cell>
        </row>
      </sheetData>
      <sheetData sheetId="970">
        <row r="5">
          <cell r="I5">
            <v>0</v>
          </cell>
        </row>
      </sheetData>
      <sheetData sheetId="971">
        <row r="5">
          <cell r="I5">
            <v>0</v>
          </cell>
        </row>
      </sheetData>
      <sheetData sheetId="972">
        <row r="5">
          <cell r="I5">
            <v>0</v>
          </cell>
        </row>
      </sheetData>
      <sheetData sheetId="973">
        <row r="5">
          <cell r="I5">
            <v>0</v>
          </cell>
        </row>
      </sheetData>
      <sheetData sheetId="974">
        <row r="5">
          <cell r="I5">
            <v>0</v>
          </cell>
        </row>
      </sheetData>
      <sheetData sheetId="975">
        <row r="5">
          <cell r="I5">
            <v>0</v>
          </cell>
        </row>
      </sheetData>
      <sheetData sheetId="976">
        <row r="5">
          <cell r="I5">
            <v>0</v>
          </cell>
        </row>
      </sheetData>
      <sheetData sheetId="977">
        <row r="5">
          <cell r="I5">
            <v>0</v>
          </cell>
        </row>
      </sheetData>
      <sheetData sheetId="978">
        <row r="5">
          <cell r="I5">
            <v>0</v>
          </cell>
        </row>
      </sheetData>
      <sheetData sheetId="979">
        <row r="5">
          <cell r="I5">
            <v>0</v>
          </cell>
        </row>
      </sheetData>
      <sheetData sheetId="980">
        <row r="5">
          <cell r="I5">
            <v>0</v>
          </cell>
        </row>
      </sheetData>
      <sheetData sheetId="981">
        <row r="5">
          <cell r="I5">
            <v>0</v>
          </cell>
        </row>
      </sheetData>
      <sheetData sheetId="982">
        <row r="5">
          <cell r="I5">
            <v>0</v>
          </cell>
        </row>
      </sheetData>
      <sheetData sheetId="983">
        <row r="5">
          <cell r="I5">
            <v>0</v>
          </cell>
        </row>
      </sheetData>
      <sheetData sheetId="984">
        <row r="5">
          <cell r="I5">
            <v>0</v>
          </cell>
        </row>
      </sheetData>
      <sheetData sheetId="985">
        <row r="5">
          <cell r="I5">
            <v>0</v>
          </cell>
        </row>
      </sheetData>
      <sheetData sheetId="986">
        <row r="5">
          <cell r="I5">
            <v>0</v>
          </cell>
        </row>
      </sheetData>
      <sheetData sheetId="987">
        <row r="5">
          <cell r="I5">
            <v>0</v>
          </cell>
        </row>
      </sheetData>
      <sheetData sheetId="988">
        <row r="5">
          <cell r="I5">
            <v>0</v>
          </cell>
        </row>
      </sheetData>
      <sheetData sheetId="989">
        <row r="5">
          <cell r="I5">
            <v>0</v>
          </cell>
        </row>
      </sheetData>
      <sheetData sheetId="990">
        <row r="5">
          <cell r="I5">
            <v>0</v>
          </cell>
        </row>
      </sheetData>
      <sheetData sheetId="991">
        <row r="5">
          <cell r="I5">
            <v>0</v>
          </cell>
        </row>
      </sheetData>
      <sheetData sheetId="992">
        <row r="5">
          <cell r="I5">
            <v>0</v>
          </cell>
        </row>
      </sheetData>
      <sheetData sheetId="993">
        <row r="5">
          <cell r="I5">
            <v>0</v>
          </cell>
        </row>
      </sheetData>
      <sheetData sheetId="994">
        <row r="5">
          <cell r="I5">
            <v>0</v>
          </cell>
        </row>
      </sheetData>
      <sheetData sheetId="995">
        <row r="5">
          <cell r="I5">
            <v>0</v>
          </cell>
        </row>
      </sheetData>
      <sheetData sheetId="996">
        <row r="5">
          <cell r="I5">
            <v>0</v>
          </cell>
        </row>
      </sheetData>
      <sheetData sheetId="997">
        <row r="5">
          <cell r="I5">
            <v>0</v>
          </cell>
        </row>
      </sheetData>
      <sheetData sheetId="998">
        <row r="5">
          <cell r="I5">
            <v>0</v>
          </cell>
        </row>
      </sheetData>
      <sheetData sheetId="999">
        <row r="5">
          <cell r="I5">
            <v>0</v>
          </cell>
        </row>
      </sheetData>
      <sheetData sheetId="1000">
        <row r="5">
          <cell r="I5">
            <v>0</v>
          </cell>
        </row>
      </sheetData>
      <sheetData sheetId="1001">
        <row r="5">
          <cell r="I5">
            <v>0</v>
          </cell>
        </row>
      </sheetData>
      <sheetData sheetId="1002">
        <row r="5">
          <cell r="I5">
            <v>0</v>
          </cell>
        </row>
      </sheetData>
      <sheetData sheetId="1003">
        <row r="5">
          <cell r="I5">
            <v>0</v>
          </cell>
        </row>
      </sheetData>
      <sheetData sheetId="1004">
        <row r="5">
          <cell r="I5">
            <v>0</v>
          </cell>
        </row>
      </sheetData>
      <sheetData sheetId="1005">
        <row r="5">
          <cell r="I5">
            <v>0</v>
          </cell>
        </row>
      </sheetData>
      <sheetData sheetId="1006">
        <row r="5">
          <cell r="I5">
            <v>0</v>
          </cell>
        </row>
      </sheetData>
      <sheetData sheetId="1007">
        <row r="5">
          <cell r="I5">
            <v>0</v>
          </cell>
        </row>
      </sheetData>
      <sheetData sheetId="1008">
        <row r="5">
          <cell r="I5">
            <v>0</v>
          </cell>
        </row>
      </sheetData>
      <sheetData sheetId="1009">
        <row r="5">
          <cell r="I5">
            <v>0</v>
          </cell>
        </row>
      </sheetData>
      <sheetData sheetId="1010">
        <row r="5">
          <cell r="I5">
            <v>0</v>
          </cell>
        </row>
      </sheetData>
      <sheetData sheetId="1011">
        <row r="5">
          <cell r="I5">
            <v>0</v>
          </cell>
        </row>
      </sheetData>
      <sheetData sheetId="1012">
        <row r="5">
          <cell r="I5">
            <v>0</v>
          </cell>
        </row>
      </sheetData>
      <sheetData sheetId="1013">
        <row r="5">
          <cell r="I5">
            <v>0</v>
          </cell>
        </row>
      </sheetData>
      <sheetData sheetId="1014">
        <row r="5">
          <cell r="I5">
            <v>0</v>
          </cell>
        </row>
      </sheetData>
      <sheetData sheetId="1015">
        <row r="5">
          <cell r="I5">
            <v>0</v>
          </cell>
        </row>
      </sheetData>
      <sheetData sheetId="1016">
        <row r="5">
          <cell r="I5">
            <v>0</v>
          </cell>
        </row>
      </sheetData>
      <sheetData sheetId="1017">
        <row r="5">
          <cell r="I5">
            <v>0</v>
          </cell>
        </row>
      </sheetData>
      <sheetData sheetId="1018">
        <row r="5">
          <cell r="I5">
            <v>0</v>
          </cell>
        </row>
      </sheetData>
      <sheetData sheetId="1019">
        <row r="5">
          <cell r="I5">
            <v>0</v>
          </cell>
        </row>
      </sheetData>
      <sheetData sheetId="1020">
        <row r="5">
          <cell r="I5">
            <v>0</v>
          </cell>
        </row>
      </sheetData>
      <sheetData sheetId="1021">
        <row r="5">
          <cell r="I5">
            <v>0</v>
          </cell>
        </row>
      </sheetData>
      <sheetData sheetId="1022">
        <row r="5">
          <cell r="I5">
            <v>0</v>
          </cell>
        </row>
      </sheetData>
      <sheetData sheetId="1023">
        <row r="5">
          <cell r="I5">
            <v>0</v>
          </cell>
        </row>
      </sheetData>
      <sheetData sheetId="1024">
        <row r="5">
          <cell r="I5">
            <v>0</v>
          </cell>
        </row>
      </sheetData>
      <sheetData sheetId="1025">
        <row r="5">
          <cell r="I5">
            <v>0</v>
          </cell>
        </row>
      </sheetData>
      <sheetData sheetId="1026">
        <row r="5">
          <cell r="I5">
            <v>0</v>
          </cell>
        </row>
      </sheetData>
      <sheetData sheetId="1027">
        <row r="5">
          <cell r="I5">
            <v>0</v>
          </cell>
        </row>
      </sheetData>
      <sheetData sheetId="1028">
        <row r="5">
          <cell r="I5">
            <v>0</v>
          </cell>
        </row>
      </sheetData>
      <sheetData sheetId="1029">
        <row r="5">
          <cell r="I5">
            <v>0</v>
          </cell>
        </row>
      </sheetData>
      <sheetData sheetId="1030">
        <row r="5">
          <cell r="I5">
            <v>0</v>
          </cell>
        </row>
      </sheetData>
      <sheetData sheetId="1031">
        <row r="5">
          <cell r="I5">
            <v>0</v>
          </cell>
        </row>
      </sheetData>
      <sheetData sheetId="1032">
        <row r="5">
          <cell r="I5">
            <v>0</v>
          </cell>
        </row>
      </sheetData>
      <sheetData sheetId="1033">
        <row r="5">
          <cell r="I5">
            <v>0</v>
          </cell>
        </row>
      </sheetData>
      <sheetData sheetId="1034">
        <row r="5">
          <cell r="I5">
            <v>0</v>
          </cell>
        </row>
      </sheetData>
      <sheetData sheetId="1035">
        <row r="5">
          <cell r="I5">
            <v>0</v>
          </cell>
        </row>
      </sheetData>
      <sheetData sheetId="1036">
        <row r="5">
          <cell r="I5">
            <v>0</v>
          </cell>
        </row>
      </sheetData>
      <sheetData sheetId="1037">
        <row r="5">
          <cell r="I5">
            <v>0</v>
          </cell>
        </row>
      </sheetData>
      <sheetData sheetId="1038">
        <row r="5">
          <cell r="I5">
            <v>0</v>
          </cell>
        </row>
      </sheetData>
      <sheetData sheetId="1039">
        <row r="5">
          <cell r="I5">
            <v>0</v>
          </cell>
        </row>
      </sheetData>
      <sheetData sheetId="1040">
        <row r="5">
          <cell r="I5">
            <v>0</v>
          </cell>
        </row>
      </sheetData>
      <sheetData sheetId="1041">
        <row r="5">
          <cell r="I5">
            <v>0</v>
          </cell>
        </row>
      </sheetData>
      <sheetData sheetId="1042">
        <row r="5">
          <cell r="I5">
            <v>0</v>
          </cell>
        </row>
      </sheetData>
      <sheetData sheetId="1043">
        <row r="5">
          <cell r="I5">
            <v>0</v>
          </cell>
        </row>
      </sheetData>
      <sheetData sheetId="1044">
        <row r="5">
          <cell r="I5">
            <v>0</v>
          </cell>
        </row>
      </sheetData>
      <sheetData sheetId="1045">
        <row r="5">
          <cell r="I5">
            <v>0</v>
          </cell>
        </row>
      </sheetData>
      <sheetData sheetId="1046">
        <row r="5">
          <cell r="I5">
            <v>0</v>
          </cell>
        </row>
      </sheetData>
      <sheetData sheetId="1047">
        <row r="5">
          <cell r="I5">
            <v>0</v>
          </cell>
        </row>
      </sheetData>
      <sheetData sheetId="1048">
        <row r="5">
          <cell r="I5">
            <v>0</v>
          </cell>
        </row>
      </sheetData>
      <sheetData sheetId="1049">
        <row r="5">
          <cell r="I5">
            <v>0</v>
          </cell>
        </row>
      </sheetData>
      <sheetData sheetId="1050">
        <row r="5">
          <cell r="I5">
            <v>0</v>
          </cell>
        </row>
      </sheetData>
      <sheetData sheetId="1051">
        <row r="5">
          <cell r="I5">
            <v>0</v>
          </cell>
        </row>
      </sheetData>
      <sheetData sheetId="1052">
        <row r="5">
          <cell r="I5">
            <v>0</v>
          </cell>
        </row>
      </sheetData>
      <sheetData sheetId="1053">
        <row r="5">
          <cell r="I5">
            <v>0</v>
          </cell>
        </row>
      </sheetData>
      <sheetData sheetId="1054">
        <row r="5">
          <cell r="I5">
            <v>0</v>
          </cell>
        </row>
      </sheetData>
      <sheetData sheetId="1055">
        <row r="5">
          <cell r="I5">
            <v>0</v>
          </cell>
        </row>
      </sheetData>
      <sheetData sheetId="1056">
        <row r="5">
          <cell r="I5">
            <v>0</v>
          </cell>
        </row>
      </sheetData>
      <sheetData sheetId="1057">
        <row r="5">
          <cell r="I5">
            <v>0</v>
          </cell>
        </row>
      </sheetData>
      <sheetData sheetId="1058">
        <row r="5">
          <cell r="I5">
            <v>0</v>
          </cell>
        </row>
      </sheetData>
      <sheetData sheetId="1059">
        <row r="5">
          <cell r="I5">
            <v>0</v>
          </cell>
        </row>
      </sheetData>
      <sheetData sheetId="1060">
        <row r="5">
          <cell r="I5">
            <v>0</v>
          </cell>
        </row>
      </sheetData>
      <sheetData sheetId="1061">
        <row r="5">
          <cell r="I5">
            <v>0</v>
          </cell>
        </row>
      </sheetData>
      <sheetData sheetId="1062" refreshError="1"/>
      <sheetData sheetId="1063" refreshError="1"/>
      <sheetData sheetId="1064" refreshError="1"/>
      <sheetData sheetId="1065" refreshError="1"/>
      <sheetData sheetId="1066" refreshError="1"/>
      <sheetData sheetId="1067">
        <row r="5">
          <cell r="I5">
            <v>0</v>
          </cell>
        </row>
      </sheetData>
      <sheetData sheetId="1068">
        <row r="5">
          <cell r="I5">
            <v>0</v>
          </cell>
        </row>
      </sheetData>
      <sheetData sheetId="1069">
        <row r="5">
          <cell r="I5">
            <v>0</v>
          </cell>
        </row>
      </sheetData>
      <sheetData sheetId="1070">
        <row r="5">
          <cell r="I5">
            <v>0</v>
          </cell>
        </row>
      </sheetData>
      <sheetData sheetId="1071">
        <row r="5">
          <cell r="I5">
            <v>0</v>
          </cell>
        </row>
      </sheetData>
      <sheetData sheetId="1072">
        <row r="5">
          <cell r="I5">
            <v>0</v>
          </cell>
        </row>
      </sheetData>
      <sheetData sheetId="1073">
        <row r="5">
          <cell r="I5">
            <v>0</v>
          </cell>
        </row>
      </sheetData>
      <sheetData sheetId="1074">
        <row r="5">
          <cell r="I5">
            <v>0</v>
          </cell>
        </row>
      </sheetData>
      <sheetData sheetId="1075">
        <row r="5">
          <cell r="I5">
            <v>0</v>
          </cell>
        </row>
      </sheetData>
      <sheetData sheetId="1076">
        <row r="5">
          <cell r="I5">
            <v>0</v>
          </cell>
        </row>
      </sheetData>
      <sheetData sheetId="1077">
        <row r="5">
          <cell r="I5">
            <v>0</v>
          </cell>
        </row>
      </sheetData>
      <sheetData sheetId="1078">
        <row r="5">
          <cell r="I5">
            <v>0</v>
          </cell>
        </row>
      </sheetData>
      <sheetData sheetId="1079">
        <row r="5">
          <cell r="I5">
            <v>0</v>
          </cell>
        </row>
      </sheetData>
      <sheetData sheetId="1080">
        <row r="5">
          <cell r="I5">
            <v>0</v>
          </cell>
        </row>
      </sheetData>
      <sheetData sheetId="1081">
        <row r="5">
          <cell r="I5">
            <v>0</v>
          </cell>
        </row>
      </sheetData>
      <sheetData sheetId="1082">
        <row r="5">
          <cell r="I5">
            <v>0</v>
          </cell>
        </row>
      </sheetData>
      <sheetData sheetId="1083">
        <row r="5">
          <cell r="I5">
            <v>0</v>
          </cell>
        </row>
      </sheetData>
      <sheetData sheetId="1084">
        <row r="5">
          <cell r="I5">
            <v>0</v>
          </cell>
        </row>
      </sheetData>
      <sheetData sheetId="1085">
        <row r="5">
          <cell r="I5">
            <v>0</v>
          </cell>
        </row>
      </sheetData>
      <sheetData sheetId="1086">
        <row r="5">
          <cell r="I5">
            <v>0</v>
          </cell>
        </row>
      </sheetData>
      <sheetData sheetId="1087">
        <row r="5">
          <cell r="I5">
            <v>0</v>
          </cell>
        </row>
      </sheetData>
      <sheetData sheetId="1088">
        <row r="5">
          <cell r="I5">
            <v>0</v>
          </cell>
        </row>
      </sheetData>
      <sheetData sheetId="1089">
        <row r="5">
          <cell r="I5">
            <v>0</v>
          </cell>
        </row>
      </sheetData>
      <sheetData sheetId="1090">
        <row r="5">
          <cell r="I5">
            <v>0</v>
          </cell>
        </row>
      </sheetData>
      <sheetData sheetId="1091">
        <row r="5">
          <cell r="I5">
            <v>0</v>
          </cell>
        </row>
      </sheetData>
      <sheetData sheetId="1092">
        <row r="5">
          <cell r="I5">
            <v>0</v>
          </cell>
        </row>
      </sheetData>
      <sheetData sheetId="1093">
        <row r="5">
          <cell r="I5">
            <v>0</v>
          </cell>
        </row>
      </sheetData>
      <sheetData sheetId="1094">
        <row r="5">
          <cell r="I5">
            <v>0</v>
          </cell>
        </row>
      </sheetData>
      <sheetData sheetId="1095">
        <row r="5">
          <cell r="I5">
            <v>0</v>
          </cell>
        </row>
      </sheetData>
      <sheetData sheetId="1096">
        <row r="5">
          <cell r="I5">
            <v>0</v>
          </cell>
        </row>
      </sheetData>
      <sheetData sheetId="1097">
        <row r="5">
          <cell r="I5">
            <v>0</v>
          </cell>
        </row>
      </sheetData>
      <sheetData sheetId="1098">
        <row r="5">
          <cell r="I5">
            <v>0</v>
          </cell>
        </row>
      </sheetData>
      <sheetData sheetId="1099">
        <row r="5">
          <cell r="I5">
            <v>0</v>
          </cell>
        </row>
      </sheetData>
      <sheetData sheetId="1100">
        <row r="5">
          <cell r="I5">
            <v>0</v>
          </cell>
        </row>
      </sheetData>
      <sheetData sheetId="1101">
        <row r="5">
          <cell r="I5">
            <v>0</v>
          </cell>
        </row>
      </sheetData>
      <sheetData sheetId="1102">
        <row r="5">
          <cell r="I5">
            <v>0</v>
          </cell>
        </row>
      </sheetData>
      <sheetData sheetId="1103">
        <row r="5">
          <cell r="I5">
            <v>0</v>
          </cell>
        </row>
      </sheetData>
      <sheetData sheetId="1104">
        <row r="5">
          <cell r="I5">
            <v>0</v>
          </cell>
        </row>
      </sheetData>
      <sheetData sheetId="1105">
        <row r="5">
          <cell r="I5">
            <v>0</v>
          </cell>
        </row>
      </sheetData>
      <sheetData sheetId="1106">
        <row r="5">
          <cell r="I5">
            <v>0</v>
          </cell>
        </row>
      </sheetData>
      <sheetData sheetId="1107">
        <row r="5">
          <cell r="I5">
            <v>0</v>
          </cell>
        </row>
      </sheetData>
      <sheetData sheetId="1108">
        <row r="5">
          <cell r="I5">
            <v>0</v>
          </cell>
        </row>
      </sheetData>
      <sheetData sheetId="1109">
        <row r="5">
          <cell r="I5">
            <v>0</v>
          </cell>
        </row>
      </sheetData>
      <sheetData sheetId="1110">
        <row r="5">
          <cell r="I5">
            <v>0</v>
          </cell>
        </row>
      </sheetData>
      <sheetData sheetId="1111">
        <row r="5">
          <cell r="I5">
            <v>0</v>
          </cell>
        </row>
      </sheetData>
      <sheetData sheetId="1112">
        <row r="5">
          <cell r="I5">
            <v>0</v>
          </cell>
        </row>
      </sheetData>
      <sheetData sheetId="1113">
        <row r="5">
          <cell r="I5">
            <v>0</v>
          </cell>
        </row>
      </sheetData>
      <sheetData sheetId="1114">
        <row r="5">
          <cell r="I5">
            <v>0</v>
          </cell>
        </row>
      </sheetData>
      <sheetData sheetId="1115">
        <row r="5">
          <cell r="I5">
            <v>0</v>
          </cell>
        </row>
      </sheetData>
      <sheetData sheetId="1116">
        <row r="5">
          <cell r="I5">
            <v>0</v>
          </cell>
        </row>
      </sheetData>
      <sheetData sheetId="1117">
        <row r="5">
          <cell r="I5">
            <v>0</v>
          </cell>
        </row>
      </sheetData>
      <sheetData sheetId="1118">
        <row r="5">
          <cell r="I5">
            <v>0</v>
          </cell>
        </row>
      </sheetData>
      <sheetData sheetId="1119">
        <row r="5">
          <cell r="I5">
            <v>0</v>
          </cell>
        </row>
      </sheetData>
      <sheetData sheetId="1120">
        <row r="5">
          <cell r="I5">
            <v>0</v>
          </cell>
        </row>
      </sheetData>
      <sheetData sheetId="1121">
        <row r="5">
          <cell r="I5">
            <v>0</v>
          </cell>
        </row>
      </sheetData>
      <sheetData sheetId="1122">
        <row r="5">
          <cell r="I5">
            <v>0</v>
          </cell>
        </row>
      </sheetData>
      <sheetData sheetId="1123">
        <row r="5">
          <cell r="I5">
            <v>0</v>
          </cell>
        </row>
      </sheetData>
      <sheetData sheetId="1124">
        <row r="5">
          <cell r="I5">
            <v>0</v>
          </cell>
        </row>
      </sheetData>
      <sheetData sheetId="1125">
        <row r="5">
          <cell r="I5">
            <v>0</v>
          </cell>
        </row>
      </sheetData>
      <sheetData sheetId="1126">
        <row r="5">
          <cell r="I5">
            <v>0</v>
          </cell>
        </row>
      </sheetData>
      <sheetData sheetId="1127">
        <row r="5">
          <cell r="I5">
            <v>0</v>
          </cell>
        </row>
      </sheetData>
      <sheetData sheetId="1128">
        <row r="5">
          <cell r="I5">
            <v>0</v>
          </cell>
        </row>
      </sheetData>
      <sheetData sheetId="1129">
        <row r="5">
          <cell r="I5">
            <v>0</v>
          </cell>
        </row>
      </sheetData>
      <sheetData sheetId="1130">
        <row r="5">
          <cell r="I5">
            <v>0</v>
          </cell>
        </row>
      </sheetData>
      <sheetData sheetId="1131">
        <row r="5">
          <cell r="I5">
            <v>0</v>
          </cell>
        </row>
      </sheetData>
      <sheetData sheetId="1132">
        <row r="5">
          <cell r="I5">
            <v>0</v>
          </cell>
        </row>
      </sheetData>
      <sheetData sheetId="1133">
        <row r="5">
          <cell r="I5">
            <v>0</v>
          </cell>
        </row>
      </sheetData>
      <sheetData sheetId="1134">
        <row r="5">
          <cell r="I5">
            <v>0</v>
          </cell>
        </row>
      </sheetData>
      <sheetData sheetId="1135">
        <row r="5">
          <cell r="I5">
            <v>0</v>
          </cell>
        </row>
      </sheetData>
      <sheetData sheetId="1136">
        <row r="5">
          <cell r="I5">
            <v>0</v>
          </cell>
        </row>
      </sheetData>
      <sheetData sheetId="1137">
        <row r="5">
          <cell r="I5">
            <v>0</v>
          </cell>
        </row>
      </sheetData>
      <sheetData sheetId="1138">
        <row r="5">
          <cell r="I5">
            <v>0</v>
          </cell>
        </row>
      </sheetData>
      <sheetData sheetId="1139">
        <row r="5">
          <cell r="I5">
            <v>0</v>
          </cell>
        </row>
      </sheetData>
      <sheetData sheetId="1140">
        <row r="5">
          <cell r="I5">
            <v>0</v>
          </cell>
        </row>
      </sheetData>
      <sheetData sheetId="1141">
        <row r="5">
          <cell r="I5">
            <v>0</v>
          </cell>
        </row>
      </sheetData>
      <sheetData sheetId="1142">
        <row r="5">
          <cell r="I5">
            <v>0</v>
          </cell>
        </row>
      </sheetData>
      <sheetData sheetId="1143">
        <row r="5">
          <cell r="I5">
            <v>0</v>
          </cell>
        </row>
      </sheetData>
      <sheetData sheetId="1144">
        <row r="5">
          <cell r="I5">
            <v>0</v>
          </cell>
        </row>
      </sheetData>
      <sheetData sheetId="1145">
        <row r="5">
          <cell r="I5">
            <v>0</v>
          </cell>
        </row>
      </sheetData>
      <sheetData sheetId="1146">
        <row r="5">
          <cell r="I5">
            <v>0</v>
          </cell>
        </row>
      </sheetData>
      <sheetData sheetId="1147">
        <row r="5">
          <cell r="I5">
            <v>0</v>
          </cell>
        </row>
      </sheetData>
      <sheetData sheetId="1148">
        <row r="5">
          <cell r="I5">
            <v>0</v>
          </cell>
        </row>
      </sheetData>
      <sheetData sheetId="1149">
        <row r="5">
          <cell r="I5">
            <v>0</v>
          </cell>
        </row>
      </sheetData>
      <sheetData sheetId="1150">
        <row r="5">
          <cell r="I5">
            <v>0</v>
          </cell>
        </row>
      </sheetData>
      <sheetData sheetId="1151">
        <row r="5">
          <cell r="I5">
            <v>0</v>
          </cell>
        </row>
      </sheetData>
      <sheetData sheetId="1152">
        <row r="5">
          <cell r="I5">
            <v>0</v>
          </cell>
        </row>
      </sheetData>
      <sheetData sheetId="1153">
        <row r="5">
          <cell r="I5">
            <v>0</v>
          </cell>
        </row>
      </sheetData>
      <sheetData sheetId="1154">
        <row r="5">
          <cell r="I5">
            <v>0</v>
          </cell>
        </row>
      </sheetData>
      <sheetData sheetId="1155">
        <row r="5">
          <cell r="I5">
            <v>0</v>
          </cell>
        </row>
      </sheetData>
      <sheetData sheetId="1156">
        <row r="5">
          <cell r="I5">
            <v>0</v>
          </cell>
        </row>
      </sheetData>
      <sheetData sheetId="1157">
        <row r="5">
          <cell r="I5">
            <v>0</v>
          </cell>
        </row>
      </sheetData>
      <sheetData sheetId="1158">
        <row r="5">
          <cell r="I5">
            <v>0</v>
          </cell>
        </row>
      </sheetData>
      <sheetData sheetId="1159">
        <row r="5">
          <cell r="I5">
            <v>0</v>
          </cell>
        </row>
      </sheetData>
      <sheetData sheetId="1160">
        <row r="5">
          <cell r="I5">
            <v>0</v>
          </cell>
        </row>
      </sheetData>
      <sheetData sheetId="1161">
        <row r="5">
          <cell r="I5">
            <v>0</v>
          </cell>
        </row>
      </sheetData>
      <sheetData sheetId="1162">
        <row r="5">
          <cell r="I5">
            <v>0</v>
          </cell>
        </row>
      </sheetData>
      <sheetData sheetId="1163">
        <row r="5">
          <cell r="I5">
            <v>0</v>
          </cell>
        </row>
      </sheetData>
      <sheetData sheetId="1164">
        <row r="5">
          <cell r="I5">
            <v>0</v>
          </cell>
        </row>
      </sheetData>
      <sheetData sheetId="1165">
        <row r="5">
          <cell r="I5">
            <v>0</v>
          </cell>
        </row>
      </sheetData>
      <sheetData sheetId="1166">
        <row r="5">
          <cell r="I5">
            <v>0</v>
          </cell>
        </row>
      </sheetData>
      <sheetData sheetId="1167">
        <row r="5">
          <cell r="I5">
            <v>0</v>
          </cell>
        </row>
      </sheetData>
      <sheetData sheetId="1168">
        <row r="5">
          <cell r="I5">
            <v>0</v>
          </cell>
        </row>
      </sheetData>
      <sheetData sheetId="1169">
        <row r="5">
          <cell r="I5">
            <v>0</v>
          </cell>
        </row>
      </sheetData>
      <sheetData sheetId="1170">
        <row r="5">
          <cell r="I5">
            <v>0</v>
          </cell>
        </row>
      </sheetData>
      <sheetData sheetId="1171">
        <row r="5">
          <cell r="I5">
            <v>0</v>
          </cell>
        </row>
      </sheetData>
      <sheetData sheetId="1172">
        <row r="5">
          <cell r="I5">
            <v>0</v>
          </cell>
        </row>
      </sheetData>
      <sheetData sheetId="1173">
        <row r="5">
          <cell r="I5">
            <v>0</v>
          </cell>
        </row>
      </sheetData>
      <sheetData sheetId="1174">
        <row r="5">
          <cell r="I5">
            <v>0</v>
          </cell>
        </row>
      </sheetData>
      <sheetData sheetId="1175">
        <row r="5">
          <cell r="I5">
            <v>0</v>
          </cell>
        </row>
      </sheetData>
      <sheetData sheetId="1176">
        <row r="5">
          <cell r="I5">
            <v>0</v>
          </cell>
        </row>
      </sheetData>
      <sheetData sheetId="1177">
        <row r="5">
          <cell r="I5">
            <v>0</v>
          </cell>
        </row>
      </sheetData>
      <sheetData sheetId="1178">
        <row r="5">
          <cell r="I5">
            <v>0</v>
          </cell>
        </row>
      </sheetData>
      <sheetData sheetId="1179">
        <row r="5">
          <cell r="I5">
            <v>0</v>
          </cell>
        </row>
      </sheetData>
      <sheetData sheetId="1180">
        <row r="5">
          <cell r="I5">
            <v>0</v>
          </cell>
        </row>
      </sheetData>
      <sheetData sheetId="1181">
        <row r="5">
          <cell r="I5">
            <v>0</v>
          </cell>
        </row>
      </sheetData>
      <sheetData sheetId="1182">
        <row r="5">
          <cell r="I5">
            <v>0</v>
          </cell>
        </row>
      </sheetData>
      <sheetData sheetId="1183">
        <row r="5">
          <cell r="I5">
            <v>0</v>
          </cell>
        </row>
      </sheetData>
      <sheetData sheetId="1184">
        <row r="5">
          <cell r="I5">
            <v>0</v>
          </cell>
        </row>
      </sheetData>
      <sheetData sheetId="1185">
        <row r="5">
          <cell r="I5">
            <v>0</v>
          </cell>
        </row>
      </sheetData>
      <sheetData sheetId="1186">
        <row r="5">
          <cell r="I5">
            <v>0</v>
          </cell>
        </row>
      </sheetData>
      <sheetData sheetId="1187">
        <row r="5">
          <cell r="I5">
            <v>0</v>
          </cell>
        </row>
      </sheetData>
      <sheetData sheetId="1188">
        <row r="5">
          <cell r="I5">
            <v>0</v>
          </cell>
        </row>
      </sheetData>
      <sheetData sheetId="1189">
        <row r="5">
          <cell r="I5">
            <v>0</v>
          </cell>
        </row>
      </sheetData>
      <sheetData sheetId="1190">
        <row r="5">
          <cell r="I5">
            <v>0</v>
          </cell>
        </row>
      </sheetData>
      <sheetData sheetId="1191">
        <row r="5">
          <cell r="I5">
            <v>0</v>
          </cell>
        </row>
      </sheetData>
      <sheetData sheetId="1192">
        <row r="5">
          <cell r="I5">
            <v>0</v>
          </cell>
        </row>
      </sheetData>
      <sheetData sheetId="1193">
        <row r="5">
          <cell r="I5">
            <v>0</v>
          </cell>
        </row>
      </sheetData>
      <sheetData sheetId="1194">
        <row r="5">
          <cell r="I5">
            <v>0</v>
          </cell>
        </row>
      </sheetData>
      <sheetData sheetId="1195">
        <row r="5">
          <cell r="I5">
            <v>0</v>
          </cell>
        </row>
      </sheetData>
      <sheetData sheetId="1196">
        <row r="5">
          <cell r="I5">
            <v>0</v>
          </cell>
        </row>
      </sheetData>
      <sheetData sheetId="1197">
        <row r="5">
          <cell r="I5">
            <v>0</v>
          </cell>
        </row>
      </sheetData>
      <sheetData sheetId="1198">
        <row r="5">
          <cell r="I5">
            <v>0</v>
          </cell>
        </row>
      </sheetData>
      <sheetData sheetId="1199">
        <row r="5">
          <cell r="I5">
            <v>0</v>
          </cell>
        </row>
      </sheetData>
      <sheetData sheetId="1200">
        <row r="5">
          <cell r="I5">
            <v>0</v>
          </cell>
        </row>
      </sheetData>
      <sheetData sheetId="1201">
        <row r="5">
          <cell r="I5">
            <v>0</v>
          </cell>
        </row>
      </sheetData>
      <sheetData sheetId="1202">
        <row r="5">
          <cell r="I5">
            <v>0</v>
          </cell>
        </row>
      </sheetData>
      <sheetData sheetId="1203">
        <row r="5">
          <cell r="I5">
            <v>0</v>
          </cell>
        </row>
      </sheetData>
      <sheetData sheetId="1204">
        <row r="5">
          <cell r="I5">
            <v>0</v>
          </cell>
        </row>
      </sheetData>
      <sheetData sheetId="1205">
        <row r="5">
          <cell r="I5">
            <v>0</v>
          </cell>
        </row>
      </sheetData>
      <sheetData sheetId="1206">
        <row r="5">
          <cell r="I5">
            <v>0</v>
          </cell>
        </row>
      </sheetData>
      <sheetData sheetId="1207">
        <row r="5">
          <cell r="I5">
            <v>0</v>
          </cell>
        </row>
      </sheetData>
      <sheetData sheetId="1208">
        <row r="5">
          <cell r="I5">
            <v>0</v>
          </cell>
        </row>
      </sheetData>
      <sheetData sheetId="1209">
        <row r="5">
          <cell r="I5">
            <v>0</v>
          </cell>
        </row>
      </sheetData>
      <sheetData sheetId="1210">
        <row r="5">
          <cell r="I5">
            <v>0</v>
          </cell>
        </row>
      </sheetData>
      <sheetData sheetId="1211">
        <row r="5">
          <cell r="I5">
            <v>0</v>
          </cell>
        </row>
      </sheetData>
      <sheetData sheetId="1212">
        <row r="5">
          <cell r="I5">
            <v>0</v>
          </cell>
        </row>
      </sheetData>
      <sheetData sheetId="1213">
        <row r="5">
          <cell r="I5">
            <v>0</v>
          </cell>
        </row>
      </sheetData>
      <sheetData sheetId="1214">
        <row r="5">
          <cell r="I5">
            <v>0</v>
          </cell>
        </row>
      </sheetData>
      <sheetData sheetId="1215">
        <row r="5">
          <cell r="I5">
            <v>0</v>
          </cell>
        </row>
      </sheetData>
      <sheetData sheetId="1216">
        <row r="5">
          <cell r="I5">
            <v>0</v>
          </cell>
        </row>
      </sheetData>
      <sheetData sheetId="1217">
        <row r="5">
          <cell r="I5">
            <v>0</v>
          </cell>
        </row>
      </sheetData>
      <sheetData sheetId="1218">
        <row r="5">
          <cell r="I5">
            <v>0</v>
          </cell>
        </row>
      </sheetData>
      <sheetData sheetId="1219">
        <row r="5">
          <cell r="I5">
            <v>0</v>
          </cell>
        </row>
      </sheetData>
      <sheetData sheetId="1220">
        <row r="5">
          <cell r="I5">
            <v>0</v>
          </cell>
        </row>
      </sheetData>
      <sheetData sheetId="1221">
        <row r="5">
          <cell r="I5">
            <v>0</v>
          </cell>
        </row>
      </sheetData>
      <sheetData sheetId="1222">
        <row r="5">
          <cell r="I5">
            <v>0</v>
          </cell>
        </row>
      </sheetData>
      <sheetData sheetId="1223">
        <row r="5">
          <cell r="I5">
            <v>0</v>
          </cell>
        </row>
      </sheetData>
      <sheetData sheetId="1224">
        <row r="5">
          <cell r="I5">
            <v>0</v>
          </cell>
        </row>
      </sheetData>
      <sheetData sheetId="1225">
        <row r="5">
          <cell r="I5">
            <v>0</v>
          </cell>
        </row>
      </sheetData>
      <sheetData sheetId="1226">
        <row r="5">
          <cell r="I5">
            <v>0</v>
          </cell>
        </row>
      </sheetData>
      <sheetData sheetId="1227">
        <row r="5">
          <cell r="I5">
            <v>0</v>
          </cell>
        </row>
      </sheetData>
      <sheetData sheetId="1228">
        <row r="5">
          <cell r="I5">
            <v>0</v>
          </cell>
        </row>
      </sheetData>
      <sheetData sheetId="1229">
        <row r="5">
          <cell r="I5">
            <v>0</v>
          </cell>
        </row>
      </sheetData>
      <sheetData sheetId="1230">
        <row r="5">
          <cell r="I5">
            <v>0</v>
          </cell>
        </row>
      </sheetData>
      <sheetData sheetId="1231">
        <row r="5">
          <cell r="I5">
            <v>0</v>
          </cell>
        </row>
      </sheetData>
      <sheetData sheetId="1232">
        <row r="5">
          <cell r="I5">
            <v>0</v>
          </cell>
        </row>
      </sheetData>
      <sheetData sheetId="1233">
        <row r="5">
          <cell r="I5">
            <v>0</v>
          </cell>
        </row>
      </sheetData>
      <sheetData sheetId="1234">
        <row r="5">
          <cell r="I5">
            <v>0</v>
          </cell>
        </row>
      </sheetData>
      <sheetData sheetId="1235">
        <row r="5">
          <cell r="I5">
            <v>0</v>
          </cell>
        </row>
      </sheetData>
      <sheetData sheetId="1236">
        <row r="5">
          <cell r="I5">
            <v>0</v>
          </cell>
        </row>
      </sheetData>
      <sheetData sheetId="1237">
        <row r="5">
          <cell r="I5">
            <v>0</v>
          </cell>
        </row>
      </sheetData>
      <sheetData sheetId="1238">
        <row r="5">
          <cell r="I5">
            <v>0</v>
          </cell>
        </row>
      </sheetData>
      <sheetData sheetId="1239">
        <row r="5">
          <cell r="I5">
            <v>0</v>
          </cell>
        </row>
      </sheetData>
      <sheetData sheetId="1240">
        <row r="5">
          <cell r="I5">
            <v>0</v>
          </cell>
        </row>
      </sheetData>
      <sheetData sheetId="1241">
        <row r="5">
          <cell r="I5">
            <v>0</v>
          </cell>
        </row>
      </sheetData>
      <sheetData sheetId="1242">
        <row r="5">
          <cell r="I5">
            <v>0</v>
          </cell>
        </row>
      </sheetData>
      <sheetData sheetId="1243">
        <row r="5">
          <cell r="I5">
            <v>0</v>
          </cell>
        </row>
      </sheetData>
      <sheetData sheetId="1244">
        <row r="5">
          <cell r="I5">
            <v>0</v>
          </cell>
        </row>
      </sheetData>
      <sheetData sheetId="1245">
        <row r="5">
          <cell r="I5">
            <v>0</v>
          </cell>
        </row>
      </sheetData>
      <sheetData sheetId="1246">
        <row r="5">
          <cell r="I5">
            <v>0</v>
          </cell>
        </row>
      </sheetData>
      <sheetData sheetId="1247">
        <row r="5">
          <cell r="I5">
            <v>0</v>
          </cell>
        </row>
      </sheetData>
      <sheetData sheetId="1248">
        <row r="5">
          <cell r="I5">
            <v>0</v>
          </cell>
        </row>
      </sheetData>
      <sheetData sheetId="1249">
        <row r="5">
          <cell r="I5">
            <v>0</v>
          </cell>
        </row>
      </sheetData>
      <sheetData sheetId="1250">
        <row r="5">
          <cell r="I5">
            <v>0</v>
          </cell>
        </row>
      </sheetData>
      <sheetData sheetId="1251">
        <row r="5">
          <cell r="I5">
            <v>0</v>
          </cell>
        </row>
      </sheetData>
      <sheetData sheetId="1252">
        <row r="5">
          <cell r="I5">
            <v>0</v>
          </cell>
        </row>
      </sheetData>
      <sheetData sheetId="1253">
        <row r="5">
          <cell r="I5">
            <v>0</v>
          </cell>
        </row>
      </sheetData>
      <sheetData sheetId="1254">
        <row r="5">
          <cell r="I5">
            <v>0</v>
          </cell>
        </row>
      </sheetData>
      <sheetData sheetId="1255">
        <row r="5">
          <cell r="I5">
            <v>0</v>
          </cell>
        </row>
      </sheetData>
      <sheetData sheetId="1256">
        <row r="5">
          <cell r="I5">
            <v>0</v>
          </cell>
        </row>
      </sheetData>
      <sheetData sheetId="1257">
        <row r="5">
          <cell r="I5">
            <v>0</v>
          </cell>
        </row>
      </sheetData>
      <sheetData sheetId="1258">
        <row r="5">
          <cell r="I5">
            <v>0</v>
          </cell>
        </row>
      </sheetData>
      <sheetData sheetId="1259">
        <row r="5">
          <cell r="I5">
            <v>0</v>
          </cell>
        </row>
      </sheetData>
      <sheetData sheetId="1260">
        <row r="5">
          <cell r="I5">
            <v>0</v>
          </cell>
        </row>
      </sheetData>
      <sheetData sheetId="1261">
        <row r="5">
          <cell r="I5">
            <v>0</v>
          </cell>
        </row>
      </sheetData>
      <sheetData sheetId="1262">
        <row r="5">
          <cell r="I5">
            <v>0</v>
          </cell>
        </row>
      </sheetData>
      <sheetData sheetId="1263">
        <row r="5">
          <cell r="I5">
            <v>0</v>
          </cell>
        </row>
      </sheetData>
      <sheetData sheetId="1264">
        <row r="5">
          <cell r="I5">
            <v>0</v>
          </cell>
        </row>
      </sheetData>
      <sheetData sheetId="1265">
        <row r="5">
          <cell r="I5">
            <v>0</v>
          </cell>
        </row>
      </sheetData>
      <sheetData sheetId="1266">
        <row r="5">
          <cell r="I5">
            <v>0</v>
          </cell>
        </row>
      </sheetData>
      <sheetData sheetId="1267">
        <row r="5">
          <cell r="I5">
            <v>0</v>
          </cell>
        </row>
      </sheetData>
      <sheetData sheetId="1268">
        <row r="5">
          <cell r="I5">
            <v>0</v>
          </cell>
        </row>
      </sheetData>
      <sheetData sheetId="1269">
        <row r="5">
          <cell r="I5">
            <v>0</v>
          </cell>
        </row>
      </sheetData>
      <sheetData sheetId="1270">
        <row r="5">
          <cell r="I5">
            <v>0</v>
          </cell>
        </row>
      </sheetData>
      <sheetData sheetId="1271">
        <row r="5">
          <cell r="I5">
            <v>0</v>
          </cell>
        </row>
      </sheetData>
      <sheetData sheetId="1272">
        <row r="5">
          <cell r="I5">
            <v>0</v>
          </cell>
        </row>
      </sheetData>
      <sheetData sheetId="1273">
        <row r="5">
          <cell r="I5">
            <v>0</v>
          </cell>
        </row>
      </sheetData>
      <sheetData sheetId="1274">
        <row r="5">
          <cell r="I5">
            <v>0</v>
          </cell>
        </row>
      </sheetData>
      <sheetData sheetId="1275">
        <row r="5">
          <cell r="I5">
            <v>0</v>
          </cell>
        </row>
      </sheetData>
      <sheetData sheetId="1276">
        <row r="5">
          <cell r="I5">
            <v>0</v>
          </cell>
        </row>
      </sheetData>
      <sheetData sheetId="1277">
        <row r="5">
          <cell r="I5">
            <v>0</v>
          </cell>
        </row>
      </sheetData>
      <sheetData sheetId="1278">
        <row r="5">
          <cell r="I5">
            <v>0</v>
          </cell>
        </row>
      </sheetData>
      <sheetData sheetId="1279">
        <row r="5">
          <cell r="I5">
            <v>0</v>
          </cell>
        </row>
      </sheetData>
      <sheetData sheetId="1280">
        <row r="5">
          <cell r="I5">
            <v>0</v>
          </cell>
        </row>
      </sheetData>
      <sheetData sheetId="1281">
        <row r="5">
          <cell r="I5">
            <v>0</v>
          </cell>
        </row>
      </sheetData>
      <sheetData sheetId="1282">
        <row r="5">
          <cell r="I5">
            <v>0</v>
          </cell>
        </row>
      </sheetData>
      <sheetData sheetId="1283">
        <row r="5">
          <cell r="I5">
            <v>0</v>
          </cell>
        </row>
      </sheetData>
      <sheetData sheetId="1284">
        <row r="5">
          <cell r="I5">
            <v>0</v>
          </cell>
        </row>
      </sheetData>
      <sheetData sheetId="1285">
        <row r="5">
          <cell r="I5">
            <v>0</v>
          </cell>
        </row>
      </sheetData>
      <sheetData sheetId="1286">
        <row r="5">
          <cell r="I5">
            <v>0</v>
          </cell>
        </row>
      </sheetData>
      <sheetData sheetId="1287">
        <row r="5">
          <cell r="I5">
            <v>0</v>
          </cell>
        </row>
      </sheetData>
      <sheetData sheetId="1288">
        <row r="5">
          <cell r="I5">
            <v>0</v>
          </cell>
        </row>
      </sheetData>
      <sheetData sheetId="1289">
        <row r="5">
          <cell r="I5">
            <v>0</v>
          </cell>
        </row>
      </sheetData>
      <sheetData sheetId="1290">
        <row r="5">
          <cell r="I5">
            <v>0</v>
          </cell>
        </row>
      </sheetData>
      <sheetData sheetId="1291">
        <row r="5">
          <cell r="I5">
            <v>0</v>
          </cell>
        </row>
      </sheetData>
      <sheetData sheetId="1292">
        <row r="5">
          <cell r="I5">
            <v>0</v>
          </cell>
        </row>
      </sheetData>
      <sheetData sheetId="1293">
        <row r="5">
          <cell r="I5">
            <v>0</v>
          </cell>
        </row>
      </sheetData>
      <sheetData sheetId="1294">
        <row r="5">
          <cell r="I5">
            <v>0</v>
          </cell>
        </row>
      </sheetData>
      <sheetData sheetId="1295">
        <row r="5">
          <cell r="I5">
            <v>0</v>
          </cell>
        </row>
      </sheetData>
      <sheetData sheetId="1296">
        <row r="5">
          <cell r="I5">
            <v>0</v>
          </cell>
        </row>
      </sheetData>
      <sheetData sheetId="1297">
        <row r="5">
          <cell r="I5">
            <v>0</v>
          </cell>
        </row>
      </sheetData>
      <sheetData sheetId="1298">
        <row r="5">
          <cell r="I5">
            <v>0</v>
          </cell>
        </row>
      </sheetData>
      <sheetData sheetId="1299">
        <row r="5">
          <cell r="I5">
            <v>0</v>
          </cell>
        </row>
      </sheetData>
      <sheetData sheetId="1300">
        <row r="5">
          <cell r="I5">
            <v>0</v>
          </cell>
        </row>
      </sheetData>
      <sheetData sheetId="1301" refreshError="1"/>
      <sheetData sheetId="1302" refreshError="1"/>
      <sheetData sheetId="1303" refreshError="1"/>
      <sheetData sheetId="1304">
        <row r="5">
          <cell r="I5">
            <v>0</v>
          </cell>
        </row>
      </sheetData>
      <sheetData sheetId="1305">
        <row r="5">
          <cell r="I5">
            <v>0</v>
          </cell>
        </row>
      </sheetData>
      <sheetData sheetId="1306">
        <row r="5">
          <cell r="I5">
            <v>0</v>
          </cell>
        </row>
      </sheetData>
      <sheetData sheetId="1307">
        <row r="5">
          <cell r="I5">
            <v>0</v>
          </cell>
        </row>
      </sheetData>
      <sheetData sheetId="1308">
        <row r="5">
          <cell r="I5">
            <v>0</v>
          </cell>
        </row>
      </sheetData>
      <sheetData sheetId="1309">
        <row r="5">
          <cell r="I5">
            <v>0</v>
          </cell>
        </row>
      </sheetData>
      <sheetData sheetId="1310">
        <row r="5">
          <cell r="I5">
            <v>0</v>
          </cell>
        </row>
      </sheetData>
      <sheetData sheetId="1311">
        <row r="5">
          <cell r="I5">
            <v>0</v>
          </cell>
        </row>
      </sheetData>
      <sheetData sheetId="1312">
        <row r="5">
          <cell r="I5">
            <v>0</v>
          </cell>
        </row>
      </sheetData>
      <sheetData sheetId="1313">
        <row r="5">
          <cell r="I5">
            <v>0</v>
          </cell>
        </row>
      </sheetData>
      <sheetData sheetId="1314">
        <row r="5">
          <cell r="I5">
            <v>0</v>
          </cell>
        </row>
      </sheetData>
      <sheetData sheetId="1315">
        <row r="5">
          <cell r="I5">
            <v>0</v>
          </cell>
        </row>
      </sheetData>
      <sheetData sheetId="1316">
        <row r="5">
          <cell r="I5">
            <v>0</v>
          </cell>
        </row>
      </sheetData>
      <sheetData sheetId="1317">
        <row r="5">
          <cell r="I5">
            <v>0</v>
          </cell>
        </row>
      </sheetData>
      <sheetData sheetId="1318">
        <row r="5">
          <cell r="I5">
            <v>0</v>
          </cell>
        </row>
      </sheetData>
      <sheetData sheetId="1319">
        <row r="5">
          <cell r="I5">
            <v>0</v>
          </cell>
        </row>
      </sheetData>
      <sheetData sheetId="1320">
        <row r="5">
          <cell r="I5">
            <v>0</v>
          </cell>
        </row>
      </sheetData>
      <sheetData sheetId="1321">
        <row r="5">
          <cell r="I5">
            <v>0</v>
          </cell>
        </row>
      </sheetData>
      <sheetData sheetId="1322">
        <row r="5">
          <cell r="I5">
            <v>0</v>
          </cell>
        </row>
      </sheetData>
      <sheetData sheetId="1323">
        <row r="5">
          <cell r="I5">
            <v>0</v>
          </cell>
        </row>
      </sheetData>
      <sheetData sheetId="1324">
        <row r="5">
          <cell r="I5">
            <v>0</v>
          </cell>
        </row>
      </sheetData>
      <sheetData sheetId="1325">
        <row r="5">
          <cell r="I5">
            <v>0</v>
          </cell>
        </row>
      </sheetData>
      <sheetData sheetId="1326">
        <row r="5">
          <cell r="I5">
            <v>0</v>
          </cell>
        </row>
      </sheetData>
      <sheetData sheetId="1327">
        <row r="5">
          <cell r="I5">
            <v>0</v>
          </cell>
        </row>
      </sheetData>
      <sheetData sheetId="1328">
        <row r="5">
          <cell r="I5">
            <v>0</v>
          </cell>
        </row>
      </sheetData>
      <sheetData sheetId="1329">
        <row r="5">
          <cell r="I5">
            <v>0</v>
          </cell>
        </row>
      </sheetData>
      <sheetData sheetId="1330">
        <row r="5">
          <cell r="I5">
            <v>0</v>
          </cell>
        </row>
      </sheetData>
      <sheetData sheetId="1331">
        <row r="5">
          <cell r="I5">
            <v>0</v>
          </cell>
        </row>
      </sheetData>
      <sheetData sheetId="1332">
        <row r="5">
          <cell r="I5">
            <v>0</v>
          </cell>
        </row>
      </sheetData>
      <sheetData sheetId="1333">
        <row r="5">
          <cell r="I5">
            <v>0</v>
          </cell>
        </row>
      </sheetData>
      <sheetData sheetId="1334">
        <row r="5">
          <cell r="I5">
            <v>0</v>
          </cell>
        </row>
      </sheetData>
      <sheetData sheetId="1335">
        <row r="5">
          <cell r="I5">
            <v>0</v>
          </cell>
        </row>
      </sheetData>
      <sheetData sheetId="1336">
        <row r="5">
          <cell r="I5">
            <v>0</v>
          </cell>
        </row>
      </sheetData>
      <sheetData sheetId="1337">
        <row r="5">
          <cell r="I5">
            <v>0</v>
          </cell>
        </row>
      </sheetData>
      <sheetData sheetId="1338">
        <row r="5">
          <cell r="I5">
            <v>0</v>
          </cell>
        </row>
      </sheetData>
      <sheetData sheetId="1339">
        <row r="5">
          <cell r="I5">
            <v>0</v>
          </cell>
        </row>
      </sheetData>
      <sheetData sheetId="1340">
        <row r="5">
          <cell r="I5">
            <v>0</v>
          </cell>
        </row>
      </sheetData>
      <sheetData sheetId="1341">
        <row r="5">
          <cell r="I5">
            <v>0</v>
          </cell>
        </row>
      </sheetData>
      <sheetData sheetId="1342">
        <row r="5">
          <cell r="I5">
            <v>0</v>
          </cell>
        </row>
      </sheetData>
      <sheetData sheetId="1343">
        <row r="5">
          <cell r="I5">
            <v>0</v>
          </cell>
        </row>
      </sheetData>
      <sheetData sheetId="1344">
        <row r="5">
          <cell r="I5">
            <v>0</v>
          </cell>
        </row>
      </sheetData>
      <sheetData sheetId="1345">
        <row r="5">
          <cell r="I5">
            <v>0</v>
          </cell>
        </row>
      </sheetData>
      <sheetData sheetId="1346">
        <row r="5">
          <cell r="I5">
            <v>0</v>
          </cell>
        </row>
      </sheetData>
      <sheetData sheetId="1347">
        <row r="5">
          <cell r="I5">
            <v>0</v>
          </cell>
        </row>
      </sheetData>
      <sheetData sheetId="1348">
        <row r="5">
          <cell r="I5">
            <v>0</v>
          </cell>
        </row>
      </sheetData>
      <sheetData sheetId="1349">
        <row r="5">
          <cell r="I5">
            <v>0</v>
          </cell>
        </row>
      </sheetData>
      <sheetData sheetId="1350">
        <row r="5">
          <cell r="I5">
            <v>0</v>
          </cell>
        </row>
      </sheetData>
      <sheetData sheetId="1351">
        <row r="5">
          <cell r="I5">
            <v>0</v>
          </cell>
        </row>
      </sheetData>
      <sheetData sheetId="1352">
        <row r="5">
          <cell r="I5">
            <v>0</v>
          </cell>
        </row>
      </sheetData>
      <sheetData sheetId="1353">
        <row r="5">
          <cell r="I5">
            <v>0</v>
          </cell>
        </row>
      </sheetData>
      <sheetData sheetId="1354">
        <row r="5">
          <cell r="I5">
            <v>0</v>
          </cell>
        </row>
      </sheetData>
      <sheetData sheetId="1355">
        <row r="5">
          <cell r="I5">
            <v>0</v>
          </cell>
        </row>
      </sheetData>
      <sheetData sheetId="1356">
        <row r="5">
          <cell r="I5">
            <v>0</v>
          </cell>
        </row>
      </sheetData>
      <sheetData sheetId="1357">
        <row r="5">
          <cell r="I5">
            <v>0</v>
          </cell>
        </row>
      </sheetData>
      <sheetData sheetId="1358">
        <row r="5">
          <cell r="I5">
            <v>0</v>
          </cell>
        </row>
      </sheetData>
      <sheetData sheetId="1359">
        <row r="5">
          <cell r="I5">
            <v>0</v>
          </cell>
        </row>
      </sheetData>
      <sheetData sheetId="1360">
        <row r="5">
          <cell r="I5">
            <v>0</v>
          </cell>
        </row>
      </sheetData>
      <sheetData sheetId="1361">
        <row r="5">
          <cell r="I5">
            <v>0</v>
          </cell>
        </row>
      </sheetData>
      <sheetData sheetId="1362">
        <row r="5">
          <cell r="I5">
            <v>0</v>
          </cell>
        </row>
      </sheetData>
      <sheetData sheetId="1363">
        <row r="5">
          <cell r="I5">
            <v>0</v>
          </cell>
        </row>
      </sheetData>
      <sheetData sheetId="1364">
        <row r="5">
          <cell r="I5">
            <v>0</v>
          </cell>
        </row>
      </sheetData>
      <sheetData sheetId="1365">
        <row r="5">
          <cell r="I5">
            <v>0</v>
          </cell>
        </row>
      </sheetData>
      <sheetData sheetId="1366">
        <row r="5">
          <cell r="I5">
            <v>0</v>
          </cell>
        </row>
      </sheetData>
      <sheetData sheetId="1367">
        <row r="5">
          <cell r="I5">
            <v>0</v>
          </cell>
        </row>
      </sheetData>
      <sheetData sheetId="1368">
        <row r="5">
          <cell r="I5">
            <v>0</v>
          </cell>
        </row>
      </sheetData>
      <sheetData sheetId="1369">
        <row r="5">
          <cell r="I5">
            <v>0</v>
          </cell>
        </row>
      </sheetData>
      <sheetData sheetId="1370">
        <row r="5">
          <cell r="I5">
            <v>0</v>
          </cell>
        </row>
      </sheetData>
      <sheetData sheetId="1371">
        <row r="5">
          <cell r="I5">
            <v>0</v>
          </cell>
        </row>
      </sheetData>
      <sheetData sheetId="1372">
        <row r="5">
          <cell r="I5">
            <v>0</v>
          </cell>
        </row>
      </sheetData>
      <sheetData sheetId="1373">
        <row r="5">
          <cell r="I5">
            <v>0</v>
          </cell>
        </row>
      </sheetData>
      <sheetData sheetId="1374">
        <row r="5">
          <cell r="I5">
            <v>0</v>
          </cell>
        </row>
      </sheetData>
      <sheetData sheetId="1375">
        <row r="5">
          <cell r="I5">
            <v>0</v>
          </cell>
        </row>
      </sheetData>
      <sheetData sheetId="1376">
        <row r="5">
          <cell r="I5">
            <v>0</v>
          </cell>
        </row>
      </sheetData>
      <sheetData sheetId="1377">
        <row r="5">
          <cell r="I5">
            <v>0</v>
          </cell>
        </row>
      </sheetData>
      <sheetData sheetId="1378">
        <row r="5">
          <cell r="I5">
            <v>0</v>
          </cell>
        </row>
      </sheetData>
      <sheetData sheetId="1379">
        <row r="5">
          <cell r="I5">
            <v>0</v>
          </cell>
        </row>
      </sheetData>
      <sheetData sheetId="1380">
        <row r="5">
          <cell r="I5">
            <v>0</v>
          </cell>
        </row>
      </sheetData>
      <sheetData sheetId="1381">
        <row r="5">
          <cell r="I5">
            <v>0</v>
          </cell>
        </row>
      </sheetData>
      <sheetData sheetId="1382">
        <row r="5">
          <cell r="I5">
            <v>0</v>
          </cell>
        </row>
      </sheetData>
      <sheetData sheetId="1383">
        <row r="5">
          <cell r="I5">
            <v>0</v>
          </cell>
        </row>
      </sheetData>
      <sheetData sheetId="1384">
        <row r="5">
          <cell r="I5">
            <v>0</v>
          </cell>
        </row>
      </sheetData>
      <sheetData sheetId="1385">
        <row r="5">
          <cell r="I5">
            <v>0</v>
          </cell>
        </row>
      </sheetData>
      <sheetData sheetId="1386">
        <row r="5">
          <cell r="I5">
            <v>0</v>
          </cell>
        </row>
      </sheetData>
      <sheetData sheetId="1387">
        <row r="5">
          <cell r="I5">
            <v>0</v>
          </cell>
        </row>
      </sheetData>
      <sheetData sheetId="1388">
        <row r="5">
          <cell r="I5">
            <v>0</v>
          </cell>
        </row>
      </sheetData>
      <sheetData sheetId="1389">
        <row r="5">
          <cell r="I5">
            <v>0</v>
          </cell>
        </row>
      </sheetData>
      <sheetData sheetId="1390">
        <row r="5">
          <cell r="I5">
            <v>0</v>
          </cell>
        </row>
      </sheetData>
      <sheetData sheetId="1391">
        <row r="5">
          <cell r="I5">
            <v>0</v>
          </cell>
        </row>
      </sheetData>
      <sheetData sheetId="1392">
        <row r="5">
          <cell r="I5">
            <v>0</v>
          </cell>
        </row>
      </sheetData>
      <sheetData sheetId="1393">
        <row r="5">
          <cell r="I5">
            <v>0</v>
          </cell>
        </row>
      </sheetData>
      <sheetData sheetId="1394">
        <row r="5">
          <cell r="I5">
            <v>0</v>
          </cell>
        </row>
      </sheetData>
      <sheetData sheetId="1395">
        <row r="5">
          <cell r="I5">
            <v>0</v>
          </cell>
        </row>
      </sheetData>
      <sheetData sheetId="1396">
        <row r="5">
          <cell r="I5">
            <v>0</v>
          </cell>
        </row>
      </sheetData>
      <sheetData sheetId="1397">
        <row r="5">
          <cell r="I5">
            <v>0</v>
          </cell>
        </row>
      </sheetData>
      <sheetData sheetId="1398">
        <row r="5">
          <cell r="I5">
            <v>0</v>
          </cell>
        </row>
      </sheetData>
      <sheetData sheetId="1399">
        <row r="5">
          <cell r="I5">
            <v>0</v>
          </cell>
        </row>
      </sheetData>
      <sheetData sheetId="1400">
        <row r="5">
          <cell r="I5">
            <v>0</v>
          </cell>
        </row>
      </sheetData>
      <sheetData sheetId="1401">
        <row r="5">
          <cell r="I5">
            <v>0</v>
          </cell>
        </row>
      </sheetData>
      <sheetData sheetId="1402">
        <row r="5">
          <cell r="I5">
            <v>0</v>
          </cell>
        </row>
      </sheetData>
      <sheetData sheetId="1403">
        <row r="5">
          <cell r="I5">
            <v>0</v>
          </cell>
        </row>
      </sheetData>
      <sheetData sheetId="1404">
        <row r="5">
          <cell r="I5">
            <v>0</v>
          </cell>
        </row>
      </sheetData>
      <sheetData sheetId="1405">
        <row r="5">
          <cell r="I5">
            <v>0</v>
          </cell>
        </row>
      </sheetData>
      <sheetData sheetId="1406">
        <row r="5">
          <cell r="I5">
            <v>0</v>
          </cell>
        </row>
      </sheetData>
      <sheetData sheetId="1407">
        <row r="5">
          <cell r="I5">
            <v>0</v>
          </cell>
        </row>
      </sheetData>
      <sheetData sheetId="1408">
        <row r="5">
          <cell r="I5">
            <v>0</v>
          </cell>
        </row>
      </sheetData>
      <sheetData sheetId="1409">
        <row r="5">
          <cell r="I5">
            <v>0</v>
          </cell>
        </row>
      </sheetData>
      <sheetData sheetId="1410">
        <row r="5">
          <cell r="I5">
            <v>0</v>
          </cell>
        </row>
      </sheetData>
      <sheetData sheetId="1411">
        <row r="5">
          <cell r="I5">
            <v>0</v>
          </cell>
        </row>
      </sheetData>
      <sheetData sheetId="1412">
        <row r="5">
          <cell r="I5">
            <v>0</v>
          </cell>
        </row>
      </sheetData>
      <sheetData sheetId="1413">
        <row r="5">
          <cell r="I5">
            <v>0</v>
          </cell>
        </row>
      </sheetData>
      <sheetData sheetId="1414">
        <row r="5">
          <cell r="I5">
            <v>0</v>
          </cell>
        </row>
      </sheetData>
      <sheetData sheetId="1415">
        <row r="5">
          <cell r="I5">
            <v>0</v>
          </cell>
        </row>
      </sheetData>
      <sheetData sheetId="1416">
        <row r="5">
          <cell r="I5">
            <v>0</v>
          </cell>
        </row>
      </sheetData>
      <sheetData sheetId="1417">
        <row r="5">
          <cell r="I5">
            <v>0</v>
          </cell>
        </row>
      </sheetData>
      <sheetData sheetId="1418">
        <row r="5">
          <cell r="I5">
            <v>0</v>
          </cell>
        </row>
      </sheetData>
      <sheetData sheetId="1419">
        <row r="5">
          <cell r="I5">
            <v>0</v>
          </cell>
        </row>
      </sheetData>
      <sheetData sheetId="1420">
        <row r="5">
          <cell r="I5">
            <v>0</v>
          </cell>
        </row>
      </sheetData>
      <sheetData sheetId="1421">
        <row r="5">
          <cell r="I5">
            <v>0</v>
          </cell>
        </row>
      </sheetData>
      <sheetData sheetId="1422">
        <row r="5">
          <cell r="I5">
            <v>0</v>
          </cell>
        </row>
      </sheetData>
      <sheetData sheetId="1423">
        <row r="5">
          <cell r="I5">
            <v>0</v>
          </cell>
        </row>
      </sheetData>
      <sheetData sheetId="1424">
        <row r="5">
          <cell r="I5">
            <v>0</v>
          </cell>
        </row>
      </sheetData>
      <sheetData sheetId="1425">
        <row r="5">
          <cell r="I5">
            <v>0</v>
          </cell>
        </row>
      </sheetData>
      <sheetData sheetId="1426">
        <row r="5">
          <cell r="I5">
            <v>0</v>
          </cell>
        </row>
      </sheetData>
      <sheetData sheetId="1427">
        <row r="5">
          <cell r="I5">
            <v>0</v>
          </cell>
        </row>
      </sheetData>
      <sheetData sheetId="1428">
        <row r="5">
          <cell r="I5">
            <v>0</v>
          </cell>
        </row>
      </sheetData>
      <sheetData sheetId="1429">
        <row r="5">
          <cell r="I5">
            <v>0</v>
          </cell>
        </row>
      </sheetData>
      <sheetData sheetId="1430">
        <row r="5">
          <cell r="I5">
            <v>0</v>
          </cell>
        </row>
      </sheetData>
      <sheetData sheetId="1431">
        <row r="5">
          <cell r="I5">
            <v>0</v>
          </cell>
        </row>
      </sheetData>
      <sheetData sheetId="1432">
        <row r="5">
          <cell r="I5">
            <v>0</v>
          </cell>
        </row>
      </sheetData>
      <sheetData sheetId="1433">
        <row r="5">
          <cell r="I5">
            <v>0</v>
          </cell>
        </row>
      </sheetData>
      <sheetData sheetId="1434">
        <row r="5">
          <cell r="I5">
            <v>0</v>
          </cell>
        </row>
      </sheetData>
      <sheetData sheetId="1435">
        <row r="5">
          <cell r="I5">
            <v>0</v>
          </cell>
        </row>
      </sheetData>
      <sheetData sheetId="1436">
        <row r="5">
          <cell r="I5">
            <v>0</v>
          </cell>
        </row>
      </sheetData>
      <sheetData sheetId="1437">
        <row r="5">
          <cell r="I5">
            <v>0</v>
          </cell>
        </row>
      </sheetData>
      <sheetData sheetId="1438">
        <row r="5">
          <cell r="I5">
            <v>0</v>
          </cell>
        </row>
      </sheetData>
      <sheetData sheetId="1439">
        <row r="5">
          <cell r="I5">
            <v>0</v>
          </cell>
        </row>
      </sheetData>
      <sheetData sheetId="1440">
        <row r="5">
          <cell r="I5">
            <v>0</v>
          </cell>
        </row>
      </sheetData>
      <sheetData sheetId="1441">
        <row r="5">
          <cell r="I5">
            <v>0</v>
          </cell>
        </row>
      </sheetData>
      <sheetData sheetId="1442">
        <row r="5">
          <cell r="I5">
            <v>0</v>
          </cell>
        </row>
      </sheetData>
      <sheetData sheetId="1443">
        <row r="5">
          <cell r="I5">
            <v>0</v>
          </cell>
        </row>
      </sheetData>
      <sheetData sheetId="1444">
        <row r="5">
          <cell r="I5">
            <v>0</v>
          </cell>
        </row>
      </sheetData>
      <sheetData sheetId="1445">
        <row r="5">
          <cell r="I5">
            <v>0</v>
          </cell>
        </row>
      </sheetData>
      <sheetData sheetId="1446">
        <row r="5">
          <cell r="I5">
            <v>0</v>
          </cell>
        </row>
      </sheetData>
      <sheetData sheetId="1447">
        <row r="5">
          <cell r="I5">
            <v>0</v>
          </cell>
        </row>
      </sheetData>
      <sheetData sheetId="1448">
        <row r="5">
          <cell r="I5">
            <v>0</v>
          </cell>
        </row>
      </sheetData>
      <sheetData sheetId="1449">
        <row r="5">
          <cell r="I5">
            <v>0</v>
          </cell>
        </row>
      </sheetData>
      <sheetData sheetId="1450">
        <row r="5">
          <cell r="I5">
            <v>0</v>
          </cell>
        </row>
      </sheetData>
      <sheetData sheetId="1451">
        <row r="5">
          <cell r="I5">
            <v>0</v>
          </cell>
        </row>
      </sheetData>
      <sheetData sheetId="1452">
        <row r="5">
          <cell r="I5">
            <v>0</v>
          </cell>
        </row>
      </sheetData>
      <sheetData sheetId="1453">
        <row r="5">
          <cell r="I5">
            <v>0</v>
          </cell>
        </row>
      </sheetData>
      <sheetData sheetId="1454">
        <row r="5">
          <cell r="I5">
            <v>0</v>
          </cell>
        </row>
      </sheetData>
      <sheetData sheetId="1455">
        <row r="5">
          <cell r="I5">
            <v>0</v>
          </cell>
        </row>
      </sheetData>
      <sheetData sheetId="1456">
        <row r="5">
          <cell r="I5">
            <v>0</v>
          </cell>
        </row>
      </sheetData>
      <sheetData sheetId="1457">
        <row r="5">
          <cell r="I5">
            <v>0</v>
          </cell>
        </row>
      </sheetData>
      <sheetData sheetId="1458">
        <row r="5">
          <cell r="I5">
            <v>0</v>
          </cell>
        </row>
      </sheetData>
      <sheetData sheetId="1459">
        <row r="5">
          <cell r="I5">
            <v>0</v>
          </cell>
        </row>
      </sheetData>
      <sheetData sheetId="1460">
        <row r="5">
          <cell r="I5">
            <v>0</v>
          </cell>
        </row>
      </sheetData>
      <sheetData sheetId="1461">
        <row r="5">
          <cell r="I5">
            <v>0</v>
          </cell>
        </row>
      </sheetData>
      <sheetData sheetId="1462">
        <row r="5">
          <cell r="I5">
            <v>0</v>
          </cell>
        </row>
      </sheetData>
      <sheetData sheetId="1463">
        <row r="5">
          <cell r="I5">
            <v>0</v>
          </cell>
        </row>
      </sheetData>
      <sheetData sheetId="1464">
        <row r="5">
          <cell r="I5">
            <v>0</v>
          </cell>
        </row>
      </sheetData>
      <sheetData sheetId="1465">
        <row r="5">
          <cell r="I5">
            <v>0</v>
          </cell>
        </row>
      </sheetData>
      <sheetData sheetId="1466">
        <row r="5">
          <cell r="I5">
            <v>0</v>
          </cell>
        </row>
      </sheetData>
      <sheetData sheetId="1467">
        <row r="5">
          <cell r="I5">
            <v>0</v>
          </cell>
        </row>
      </sheetData>
      <sheetData sheetId="1468">
        <row r="5">
          <cell r="I5">
            <v>0</v>
          </cell>
        </row>
      </sheetData>
      <sheetData sheetId="1469">
        <row r="5">
          <cell r="I5">
            <v>0</v>
          </cell>
        </row>
      </sheetData>
      <sheetData sheetId="1470">
        <row r="5">
          <cell r="I5">
            <v>0</v>
          </cell>
        </row>
      </sheetData>
      <sheetData sheetId="1471">
        <row r="5">
          <cell r="I5">
            <v>0</v>
          </cell>
        </row>
      </sheetData>
      <sheetData sheetId="1472">
        <row r="5">
          <cell r="I5">
            <v>0</v>
          </cell>
        </row>
      </sheetData>
      <sheetData sheetId="1473">
        <row r="5">
          <cell r="I5">
            <v>0</v>
          </cell>
        </row>
      </sheetData>
      <sheetData sheetId="1474">
        <row r="5">
          <cell r="I5">
            <v>0</v>
          </cell>
        </row>
      </sheetData>
      <sheetData sheetId="1475">
        <row r="5">
          <cell r="I5">
            <v>0</v>
          </cell>
        </row>
      </sheetData>
      <sheetData sheetId="1476">
        <row r="5">
          <cell r="I5">
            <v>0</v>
          </cell>
        </row>
      </sheetData>
      <sheetData sheetId="1477">
        <row r="5">
          <cell r="I5">
            <v>0</v>
          </cell>
        </row>
      </sheetData>
      <sheetData sheetId="1478">
        <row r="5">
          <cell r="I5">
            <v>0</v>
          </cell>
        </row>
      </sheetData>
      <sheetData sheetId="1479">
        <row r="5">
          <cell r="I5">
            <v>0</v>
          </cell>
        </row>
      </sheetData>
      <sheetData sheetId="1480">
        <row r="5">
          <cell r="I5">
            <v>0</v>
          </cell>
        </row>
      </sheetData>
      <sheetData sheetId="1481">
        <row r="5">
          <cell r="I5">
            <v>0</v>
          </cell>
        </row>
      </sheetData>
      <sheetData sheetId="1482">
        <row r="5">
          <cell r="I5">
            <v>0</v>
          </cell>
        </row>
      </sheetData>
      <sheetData sheetId="1483">
        <row r="5">
          <cell r="I5">
            <v>0</v>
          </cell>
        </row>
      </sheetData>
      <sheetData sheetId="1484">
        <row r="5">
          <cell r="I5">
            <v>0</v>
          </cell>
        </row>
      </sheetData>
      <sheetData sheetId="1485">
        <row r="5">
          <cell r="I5">
            <v>0</v>
          </cell>
        </row>
      </sheetData>
      <sheetData sheetId="1486">
        <row r="5">
          <cell r="I5">
            <v>0</v>
          </cell>
        </row>
      </sheetData>
      <sheetData sheetId="1487">
        <row r="5">
          <cell r="I5">
            <v>0</v>
          </cell>
        </row>
      </sheetData>
      <sheetData sheetId="1488">
        <row r="5">
          <cell r="I5">
            <v>0</v>
          </cell>
        </row>
      </sheetData>
      <sheetData sheetId="1489">
        <row r="5">
          <cell r="I5">
            <v>0</v>
          </cell>
        </row>
      </sheetData>
      <sheetData sheetId="1490">
        <row r="5">
          <cell r="I5">
            <v>0</v>
          </cell>
        </row>
      </sheetData>
      <sheetData sheetId="1491">
        <row r="5">
          <cell r="I5">
            <v>0</v>
          </cell>
        </row>
      </sheetData>
      <sheetData sheetId="1492">
        <row r="5">
          <cell r="I5">
            <v>0</v>
          </cell>
        </row>
      </sheetData>
      <sheetData sheetId="1493">
        <row r="5">
          <cell r="I5">
            <v>0</v>
          </cell>
        </row>
      </sheetData>
      <sheetData sheetId="1494">
        <row r="5">
          <cell r="I5">
            <v>0</v>
          </cell>
        </row>
      </sheetData>
      <sheetData sheetId="1495">
        <row r="5">
          <cell r="I5">
            <v>0</v>
          </cell>
        </row>
      </sheetData>
      <sheetData sheetId="1496">
        <row r="5">
          <cell r="I5">
            <v>0</v>
          </cell>
        </row>
      </sheetData>
      <sheetData sheetId="1497">
        <row r="5">
          <cell r="I5">
            <v>0</v>
          </cell>
        </row>
      </sheetData>
      <sheetData sheetId="1498">
        <row r="5">
          <cell r="I5">
            <v>0</v>
          </cell>
        </row>
      </sheetData>
      <sheetData sheetId="1499">
        <row r="5">
          <cell r="I5">
            <v>0</v>
          </cell>
        </row>
      </sheetData>
      <sheetData sheetId="1500">
        <row r="5">
          <cell r="I5">
            <v>0</v>
          </cell>
        </row>
      </sheetData>
      <sheetData sheetId="1501">
        <row r="5">
          <cell r="I5">
            <v>0</v>
          </cell>
        </row>
      </sheetData>
      <sheetData sheetId="1502">
        <row r="5">
          <cell r="I5">
            <v>0</v>
          </cell>
        </row>
      </sheetData>
      <sheetData sheetId="1503">
        <row r="5">
          <cell r="I5">
            <v>0</v>
          </cell>
        </row>
      </sheetData>
      <sheetData sheetId="1504">
        <row r="5">
          <cell r="I5">
            <v>0</v>
          </cell>
        </row>
      </sheetData>
      <sheetData sheetId="1505">
        <row r="5">
          <cell r="I5">
            <v>0</v>
          </cell>
        </row>
      </sheetData>
      <sheetData sheetId="1506">
        <row r="5">
          <cell r="I5">
            <v>0</v>
          </cell>
        </row>
      </sheetData>
      <sheetData sheetId="1507">
        <row r="5">
          <cell r="I5">
            <v>0</v>
          </cell>
        </row>
      </sheetData>
      <sheetData sheetId="1508">
        <row r="5">
          <cell r="I5">
            <v>0</v>
          </cell>
        </row>
      </sheetData>
      <sheetData sheetId="1509">
        <row r="5">
          <cell r="I5">
            <v>0</v>
          </cell>
        </row>
      </sheetData>
      <sheetData sheetId="1510">
        <row r="5">
          <cell r="I5">
            <v>0</v>
          </cell>
        </row>
      </sheetData>
      <sheetData sheetId="1511">
        <row r="5">
          <cell r="I5">
            <v>0</v>
          </cell>
        </row>
      </sheetData>
      <sheetData sheetId="1512">
        <row r="5">
          <cell r="I5">
            <v>0</v>
          </cell>
        </row>
      </sheetData>
      <sheetData sheetId="1513">
        <row r="5">
          <cell r="I5">
            <v>0</v>
          </cell>
        </row>
      </sheetData>
      <sheetData sheetId="1514">
        <row r="5">
          <cell r="I5">
            <v>0</v>
          </cell>
        </row>
      </sheetData>
      <sheetData sheetId="1515">
        <row r="5">
          <cell r="I5">
            <v>0</v>
          </cell>
        </row>
      </sheetData>
      <sheetData sheetId="1516">
        <row r="5">
          <cell r="I5">
            <v>0</v>
          </cell>
        </row>
      </sheetData>
      <sheetData sheetId="1517">
        <row r="5">
          <cell r="I5">
            <v>0</v>
          </cell>
        </row>
      </sheetData>
      <sheetData sheetId="1518">
        <row r="5">
          <cell r="I5">
            <v>0</v>
          </cell>
        </row>
      </sheetData>
      <sheetData sheetId="1519">
        <row r="5">
          <cell r="I5">
            <v>0</v>
          </cell>
        </row>
      </sheetData>
      <sheetData sheetId="1520">
        <row r="5">
          <cell r="I5">
            <v>0</v>
          </cell>
        </row>
      </sheetData>
      <sheetData sheetId="1521">
        <row r="5">
          <cell r="I5">
            <v>0</v>
          </cell>
        </row>
      </sheetData>
      <sheetData sheetId="1522">
        <row r="5">
          <cell r="I5">
            <v>0</v>
          </cell>
        </row>
      </sheetData>
      <sheetData sheetId="1523">
        <row r="5">
          <cell r="I5">
            <v>0</v>
          </cell>
        </row>
      </sheetData>
      <sheetData sheetId="1524">
        <row r="5">
          <cell r="I5">
            <v>0</v>
          </cell>
        </row>
      </sheetData>
      <sheetData sheetId="1525">
        <row r="5">
          <cell r="I5">
            <v>0</v>
          </cell>
        </row>
      </sheetData>
      <sheetData sheetId="1526">
        <row r="5">
          <cell r="I5">
            <v>0</v>
          </cell>
        </row>
      </sheetData>
      <sheetData sheetId="1527">
        <row r="5">
          <cell r="I5">
            <v>0</v>
          </cell>
        </row>
      </sheetData>
      <sheetData sheetId="1528">
        <row r="5">
          <cell r="I5">
            <v>0</v>
          </cell>
        </row>
      </sheetData>
      <sheetData sheetId="1529">
        <row r="5">
          <cell r="I5">
            <v>0</v>
          </cell>
        </row>
      </sheetData>
      <sheetData sheetId="1530">
        <row r="5">
          <cell r="I5">
            <v>0</v>
          </cell>
        </row>
      </sheetData>
      <sheetData sheetId="1531">
        <row r="5">
          <cell r="I5">
            <v>0</v>
          </cell>
        </row>
      </sheetData>
      <sheetData sheetId="1532">
        <row r="5">
          <cell r="I5">
            <v>0</v>
          </cell>
        </row>
      </sheetData>
      <sheetData sheetId="1533">
        <row r="5">
          <cell r="I5">
            <v>0</v>
          </cell>
        </row>
      </sheetData>
      <sheetData sheetId="1534">
        <row r="5">
          <cell r="I5">
            <v>0</v>
          </cell>
        </row>
      </sheetData>
      <sheetData sheetId="1535">
        <row r="5">
          <cell r="I5">
            <v>0</v>
          </cell>
        </row>
      </sheetData>
      <sheetData sheetId="1536">
        <row r="5">
          <cell r="I5">
            <v>0</v>
          </cell>
        </row>
      </sheetData>
      <sheetData sheetId="1537">
        <row r="5">
          <cell r="I5">
            <v>0</v>
          </cell>
        </row>
      </sheetData>
      <sheetData sheetId="1538">
        <row r="5">
          <cell r="I5">
            <v>0</v>
          </cell>
        </row>
      </sheetData>
      <sheetData sheetId="1539">
        <row r="5">
          <cell r="I5">
            <v>0</v>
          </cell>
        </row>
      </sheetData>
      <sheetData sheetId="1540">
        <row r="5">
          <cell r="I5">
            <v>0</v>
          </cell>
        </row>
      </sheetData>
      <sheetData sheetId="1541">
        <row r="5">
          <cell r="I5">
            <v>0</v>
          </cell>
        </row>
      </sheetData>
      <sheetData sheetId="1542">
        <row r="5">
          <cell r="I5">
            <v>0</v>
          </cell>
        </row>
      </sheetData>
      <sheetData sheetId="1543">
        <row r="5">
          <cell r="I5">
            <v>0</v>
          </cell>
        </row>
      </sheetData>
      <sheetData sheetId="1544">
        <row r="5">
          <cell r="I5">
            <v>0</v>
          </cell>
        </row>
      </sheetData>
      <sheetData sheetId="1545">
        <row r="5">
          <cell r="I5">
            <v>0</v>
          </cell>
        </row>
      </sheetData>
      <sheetData sheetId="1546">
        <row r="5">
          <cell r="I5">
            <v>0</v>
          </cell>
        </row>
      </sheetData>
      <sheetData sheetId="1547">
        <row r="5">
          <cell r="I5">
            <v>0</v>
          </cell>
        </row>
      </sheetData>
      <sheetData sheetId="1548">
        <row r="5">
          <cell r="I5">
            <v>0</v>
          </cell>
        </row>
      </sheetData>
      <sheetData sheetId="1549">
        <row r="5">
          <cell r="I5">
            <v>0</v>
          </cell>
        </row>
      </sheetData>
      <sheetData sheetId="1550">
        <row r="5">
          <cell r="I5">
            <v>0</v>
          </cell>
        </row>
      </sheetData>
      <sheetData sheetId="1551">
        <row r="5">
          <cell r="I5">
            <v>0</v>
          </cell>
        </row>
      </sheetData>
      <sheetData sheetId="1552">
        <row r="5">
          <cell r="I5">
            <v>0</v>
          </cell>
        </row>
      </sheetData>
      <sheetData sheetId="1553">
        <row r="5">
          <cell r="I5">
            <v>0</v>
          </cell>
        </row>
      </sheetData>
      <sheetData sheetId="1554">
        <row r="5">
          <cell r="I5">
            <v>0</v>
          </cell>
        </row>
      </sheetData>
      <sheetData sheetId="1555">
        <row r="5">
          <cell r="I5">
            <v>0</v>
          </cell>
        </row>
      </sheetData>
      <sheetData sheetId="1556">
        <row r="5">
          <cell r="I5">
            <v>0</v>
          </cell>
        </row>
      </sheetData>
      <sheetData sheetId="1557">
        <row r="5">
          <cell r="I5">
            <v>0</v>
          </cell>
        </row>
      </sheetData>
      <sheetData sheetId="1558">
        <row r="5">
          <cell r="I5">
            <v>0</v>
          </cell>
        </row>
      </sheetData>
      <sheetData sheetId="1559">
        <row r="5">
          <cell r="I5">
            <v>0</v>
          </cell>
        </row>
      </sheetData>
      <sheetData sheetId="1560">
        <row r="5">
          <cell r="I5">
            <v>0</v>
          </cell>
        </row>
      </sheetData>
      <sheetData sheetId="1561">
        <row r="5">
          <cell r="I5">
            <v>0</v>
          </cell>
        </row>
      </sheetData>
      <sheetData sheetId="1562">
        <row r="5">
          <cell r="I5">
            <v>0</v>
          </cell>
        </row>
      </sheetData>
      <sheetData sheetId="1563">
        <row r="5">
          <cell r="I5">
            <v>0</v>
          </cell>
        </row>
      </sheetData>
      <sheetData sheetId="1564">
        <row r="5">
          <cell r="I5">
            <v>0</v>
          </cell>
        </row>
      </sheetData>
      <sheetData sheetId="1565">
        <row r="5">
          <cell r="I5">
            <v>0</v>
          </cell>
        </row>
      </sheetData>
      <sheetData sheetId="1566">
        <row r="5">
          <cell r="I5">
            <v>0</v>
          </cell>
        </row>
      </sheetData>
      <sheetData sheetId="1567">
        <row r="5">
          <cell r="I5">
            <v>0</v>
          </cell>
        </row>
      </sheetData>
      <sheetData sheetId="1568">
        <row r="5">
          <cell r="I5">
            <v>0</v>
          </cell>
        </row>
      </sheetData>
      <sheetData sheetId="1569">
        <row r="5">
          <cell r="I5">
            <v>0</v>
          </cell>
        </row>
      </sheetData>
      <sheetData sheetId="1570">
        <row r="5">
          <cell r="I5">
            <v>0</v>
          </cell>
        </row>
      </sheetData>
      <sheetData sheetId="1571">
        <row r="5">
          <cell r="I5">
            <v>0</v>
          </cell>
        </row>
      </sheetData>
      <sheetData sheetId="1572">
        <row r="5">
          <cell r="I5">
            <v>0</v>
          </cell>
        </row>
      </sheetData>
      <sheetData sheetId="1573">
        <row r="5">
          <cell r="I5">
            <v>0</v>
          </cell>
        </row>
      </sheetData>
      <sheetData sheetId="1574">
        <row r="5">
          <cell r="I5">
            <v>0</v>
          </cell>
        </row>
      </sheetData>
      <sheetData sheetId="1575">
        <row r="5">
          <cell r="I5">
            <v>0</v>
          </cell>
        </row>
      </sheetData>
      <sheetData sheetId="1576">
        <row r="5">
          <cell r="I5">
            <v>0</v>
          </cell>
        </row>
      </sheetData>
      <sheetData sheetId="1577">
        <row r="5">
          <cell r="I5">
            <v>0</v>
          </cell>
        </row>
      </sheetData>
      <sheetData sheetId="1578">
        <row r="5">
          <cell r="I5">
            <v>0</v>
          </cell>
        </row>
      </sheetData>
      <sheetData sheetId="1579">
        <row r="5">
          <cell r="I5">
            <v>0</v>
          </cell>
        </row>
      </sheetData>
      <sheetData sheetId="1580">
        <row r="5">
          <cell r="I5">
            <v>0</v>
          </cell>
        </row>
      </sheetData>
      <sheetData sheetId="1581">
        <row r="5">
          <cell r="I5">
            <v>0</v>
          </cell>
        </row>
      </sheetData>
      <sheetData sheetId="1582">
        <row r="5">
          <cell r="I5">
            <v>0</v>
          </cell>
        </row>
      </sheetData>
      <sheetData sheetId="1583">
        <row r="5">
          <cell r="I5">
            <v>0</v>
          </cell>
        </row>
      </sheetData>
      <sheetData sheetId="1584">
        <row r="5">
          <cell r="I5">
            <v>0</v>
          </cell>
        </row>
      </sheetData>
      <sheetData sheetId="1585">
        <row r="5">
          <cell r="I5">
            <v>0</v>
          </cell>
        </row>
      </sheetData>
      <sheetData sheetId="1586">
        <row r="5">
          <cell r="I5">
            <v>0</v>
          </cell>
        </row>
      </sheetData>
      <sheetData sheetId="1587">
        <row r="5">
          <cell r="I5">
            <v>0</v>
          </cell>
        </row>
      </sheetData>
      <sheetData sheetId="1588">
        <row r="5">
          <cell r="I5">
            <v>0</v>
          </cell>
        </row>
      </sheetData>
      <sheetData sheetId="1589">
        <row r="5">
          <cell r="I5">
            <v>0</v>
          </cell>
        </row>
      </sheetData>
      <sheetData sheetId="1590">
        <row r="5">
          <cell r="I5">
            <v>0</v>
          </cell>
        </row>
      </sheetData>
      <sheetData sheetId="1591">
        <row r="5">
          <cell r="I5">
            <v>0</v>
          </cell>
        </row>
      </sheetData>
      <sheetData sheetId="1592">
        <row r="5">
          <cell r="I5">
            <v>0</v>
          </cell>
        </row>
      </sheetData>
      <sheetData sheetId="1593">
        <row r="5">
          <cell r="I5">
            <v>0</v>
          </cell>
        </row>
      </sheetData>
      <sheetData sheetId="1594">
        <row r="5">
          <cell r="I5">
            <v>0</v>
          </cell>
        </row>
      </sheetData>
      <sheetData sheetId="1595">
        <row r="5">
          <cell r="I5">
            <v>0</v>
          </cell>
        </row>
      </sheetData>
      <sheetData sheetId="1596">
        <row r="5">
          <cell r="I5">
            <v>0</v>
          </cell>
        </row>
      </sheetData>
      <sheetData sheetId="1597">
        <row r="5">
          <cell r="I5">
            <v>0</v>
          </cell>
        </row>
      </sheetData>
      <sheetData sheetId="1598">
        <row r="5">
          <cell r="I5">
            <v>0</v>
          </cell>
        </row>
      </sheetData>
      <sheetData sheetId="1599">
        <row r="5">
          <cell r="I5">
            <v>0</v>
          </cell>
        </row>
      </sheetData>
      <sheetData sheetId="1600">
        <row r="5">
          <cell r="I5">
            <v>0</v>
          </cell>
        </row>
      </sheetData>
      <sheetData sheetId="1601">
        <row r="5">
          <cell r="I5">
            <v>0</v>
          </cell>
        </row>
      </sheetData>
      <sheetData sheetId="1602">
        <row r="5">
          <cell r="I5">
            <v>0</v>
          </cell>
        </row>
      </sheetData>
      <sheetData sheetId="1603">
        <row r="5">
          <cell r="I5">
            <v>0</v>
          </cell>
        </row>
      </sheetData>
      <sheetData sheetId="1604">
        <row r="5">
          <cell r="I5">
            <v>0</v>
          </cell>
        </row>
      </sheetData>
      <sheetData sheetId="1605">
        <row r="5">
          <cell r="I5">
            <v>0</v>
          </cell>
        </row>
      </sheetData>
      <sheetData sheetId="1606">
        <row r="5">
          <cell r="I5">
            <v>0</v>
          </cell>
        </row>
      </sheetData>
      <sheetData sheetId="1607">
        <row r="5">
          <cell r="I5">
            <v>0</v>
          </cell>
        </row>
      </sheetData>
      <sheetData sheetId="1608">
        <row r="5">
          <cell r="I5">
            <v>0</v>
          </cell>
        </row>
      </sheetData>
      <sheetData sheetId="1609">
        <row r="5">
          <cell r="I5">
            <v>0</v>
          </cell>
        </row>
      </sheetData>
      <sheetData sheetId="1610">
        <row r="5">
          <cell r="I5">
            <v>0</v>
          </cell>
        </row>
      </sheetData>
      <sheetData sheetId="1611">
        <row r="5">
          <cell r="I5">
            <v>0</v>
          </cell>
        </row>
      </sheetData>
      <sheetData sheetId="1612">
        <row r="5">
          <cell r="I5">
            <v>0</v>
          </cell>
        </row>
      </sheetData>
      <sheetData sheetId="1613">
        <row r="5">
          <cell r="I5">
            <v>0</v>
          </cell>
        </row>
      </sheetData>
      <sheetData sheetId="1614">
        <row r="5">
          <cell r="I5">
            <v>0</v>
          </cell>
        </row>
      </sheetData>
      <sheetData sheetId="1615">
        <row r="5">
          <cell r="I5">
            <v>0</v>
          </cell>
        </row>
      </sheetData>
      <sheetData sheetId="1616">
        <row r="5">
          <cell r="I5">
            <v>0</v>
          </cell>
        </row>
      </sheetData>
      <sheetData sheetId="1617">
        <row r="5">
          <cell r="I5">
            <v>0</v>
          </cell>
        </row>
      </sheetData>
      <sheetData sheetId="1618">
        <row r="5">
          <cell r="I5">
            <v>0</v>
          </cell>
        </row>
      </sheetData>
      <sheetData sheetId="1619">
        <row r="5">
          <cell r="I5">
            <v>0</v>
          </cell>
        </row>
      </sheetData>
      <sheetData sheetId="1620">
        <row r="5">
          <cell r="I5">
            <v>0</v>
          </cell>
        </row>
      </sheetData>
      <sheetData sheetId="1621">
        <row r="5">
          <cell r="I5">
            <v>0</v>
          </cell>
        </row>
      </sheetData>
      <sheetData sheetId="1622">
        <row r="5">
          <cell r="I5">
            <v>0</v>
          </cell>
        </row>
      </sheetData>
      <sheetData sheetId="1623">
        <row r="5">
          <cell r="I5">
            <v>0</v>
          </cell>
        </row>
      </sheetData>
      <sheetData sheetId="1624">
        <row r="5">
          <cell r="I5">
            <v>0</v>
          </cell>
        </row>
      </sheetData>
      <sheetData sheetId="1625">
        <row r="5">
          <cell r="I5">
            <v>0</v>
          </cell>
        </row>
      </sheetData>
      <sheetData sheetId="1626">
        <row r="5">
          <cell r="I5">
            <v>0</v>
          </cell>
        </row>
      </sheetData>
      <sheetData sheetId="1627">
        <row r="5">
          <cell r="I5">
            <v>0</v>
          </cell>
        </row>
      </sheetData>
      <sheetData sheetId="1628">
        <row r="5">
          <cell r="I5">
            <v>0</v>
          </cell>
        </row>
      </sheetData>
      <sheetData sheetId="1629">
        <row r="5">
          <cell r="I5">
            <v>0</v>
          </cell>
        </row>
      </sheetData>
      <sheetData sheetId="1630">
        <row r="5">
          <cell r="I5">
            <v>0</v>
          </cell>
        </row>
      </sheetData>
      <sheetData sheetId="1631">
        <row r="5">
          <cell r="I5">
            <v>0</v>
          </cell>
        </row>
      </sheetData>
      <sheetData sheetId="1632">
        <row r="5">
          <cell r="I5">
            <v>0</v>
          </cell>
        </row>
      </sheetData>
      <sheetData sheetId="1633">
        <row r="5">
          <cell r="I5">
            <v>0</v>
          </cell>
        </row>
      </sheetData>
      <sheetData sheetId="1634">
        <row r="5">
          <cell r="I5">
            <v>0</v>
          </cell>
        </row>
      </sheetData>
      <sheetData sheetId="1635">
        <row r="5">
          <cell r="I5">
            <v>0</v>
          </cell>
        </row>
      </sheetData>
      <sheetData sheetId="1636">
        <row r="5">
          <cell r="I5">
            <v>0</v>
          </cell>
        </row>
      </sheetData>
      <sheetData sheetId="1637">
        <row r="5">
          <cell r="I5">
            <v>0</v>
          </cell>
        </row>
      </sheetData>
      <sheetData sheetId="1638">
        <row r="5">
          <cell r="I5">
            <v>0</v>
          </cell>
        </row>
      </sheetData>
      <sheetData sheetId="1639">
        <row r="5">
          <cell r="I5">
            <v>0</v>
          </cell>
        </row>
      </sheetData>
      <sheetData sheetId="1640">
        <row r="5">
          <cell r="I5">
            <v>0</v>
          </cell>
        </row>
      </sheetData>
      <sheetData sheetId="1641">
        <row r="5">
          <cell r="I5">
            <v>0</v>
          </cell>
        </row>
      </sheetData>
      <sheetData sheetId="1642">
        <row r="5">
          <cell r="I5">
            <v>0</v>
          </cell>
        </row>
      </sheetData>
      <sheetData sheetId="1643">
        <row r="5">
          <cell r="I5">
            <v>0</v>
          </cell>
        </row>
      </sheetData>
      <sheetData sheetId="1644">
        <row r="5">
          <cell r="I5">
            <v>0</v>
          </cell>
        </row>
      </sheetData>
      <sheetData sheetId="1645">
        <row r="5">
          <cell r="I5">
            <v>0</v>
          </cell>
        </row>
      </sheetData>
      <sheetData sheetId="1646">
        <row r="5">
          <cell r="I5">
            <v>0</v>
          </cell>
        </row>
      </sheetData>
      <sheetData sheetId="1647">
        <row r="5">
          <cell r="I5">
            <v>0</v>
          </cell>
        </row>
      </sheetData>
      <sheetData sheetId="1648">
        <row r="5">
          <cell r="I5">
            <v>0</v>
          </cell>
        </row>
      </sheetData>
      <sheetData sheetId="1649">
        <row r="5">
          <cell r="I5">
            <v>0</v>
          </cell>
        </row>
      </sheetData>
      <sheetData sheetId="1650">
        <row r="5">
          <cell r="I5">
            <v>0</v>
          </cell>
        </row>
      </sheetData>
      <sheetData sheetId="1651">
        <row r="5">
          <cell r="I5">
            <v>0</v>
          </cell>
        </row>
      </sheetData>
      <sheetData sheetId="1652">
        <row r="5">
          <cell r="I5">
            <v>0</v>
          </cell>
        </row>
      </sheetData>
      <sheetData sheetId="1653">
        <row r="5">
          <cell r="I5">
            <v>0</v>
          </cell>
        </row>
      </sheetData>
      <sheetData sheetId="1654">
        <row r="5">
          <cell r="I5">
            <v>0</v>
          </cell>
        </row>
      </sheetData>
      <sheetData sheetId="1655">
        <row r="5">
          <cell r="I5">
            <v>0</v>
          </cell>
        </row>
      </sheetData>
      <sheetData sheetId="1656">
        <row r="5">
          <cell r="I5">
            <v>0</v>
          </cell>
        </row>
      </sheetData>
      <sheetData sheetId="1657">
        <row r="5">
          <cell r="I5">
            <v>0</v>
          </cell>
        </row>
      </sheetData>
      <sheetData sheetId="1658">
        <row r="5">
          <cell r="I5">
            <v>0</v>
          </cell>
        </row>
      </sheetData>
      <sheetData sheetId="1659">
        <row r="5">
          <cell r="I5">
            <v>0</v>
          </cell>
        </row>
      </sheetData>
      <sheetData sheetId="1660">
        <row r="5">
          <cell r="I5">
            <v>0</v>
          </cell>
        </row>
      </sheetData>
      <sheetData sheetId="1661">
        <row r="5">
          <cell r="I5">
            <v>0</v>
          </cell>
        </row>
      </sheetData>
      <sheetData sheetId="1662">
        <row r="5">
          <cell r="I5">
            <v>0</v>
          </cell>
        </row>
      </sheetData>
      <sheetData sheetId="1663">
        <row r="5">
          <cell r="I5">
            <v>0</v>
          </cell>
        </row>
      </sheetData>
      <sheetData sheetId="1664">
        <row r="5">
          <cell r="I5">
            <v>0</v>
          </cell>
        </row>
      </sheetData>
      <sheetData sheetId="1665">
        <row r="5">
          <cell r="I5">
            <v>0</v>
          </cell>
        </row>
      </sheetData>
      <sheetData sheetId="1666">
        <row r="5">
          <cell r="I5">
            <v>0</v>
          </cell>
        </row>
      </sheetData>
      <sheetData sheetId="1667">
        <row r="5">
          <cell r="I5">
            <v>0</v>
          </cell>
        </row>
      </sheetData>
      <sheetData sheetId="1668">
        <row r="5">
          <cell r="I5">
            <v>0</v>
          </cell>
        </row>
      </sheetData>
      <sheetData sheetId="1669">
        <row r="5">
          <cell r="I5">
            <v>0</v>
          </cell>
        </row>
      </sheetData>
      <sheetData sheetId="1670">
        <row r="5">
          <cell r="I5">
            <v>0</v>
          </cell>
        </row>
      </sheetData>
      <sheetData sheetId="1671">
        <row r="5">
          <cell r="I5">
            <v>0</v>
          </cell>
        </row>
      </sheetData>
      <sheetData sheetId="1672">
        <row r="5">
          <cell r="I5">
            <v>0</v>
          </cell>
        </row>
      </sheetData>
      <sheetData sheetId="1673">
        <row r="5">
          <cell r="I5">
            <v>0</v>
          </cell>
        </row>
      </sheetData>
      <sheetData sheetId="1674">
        <row r="5">
          <cell r="I5">
            <v>0</v>
          </cell>
        </row>
      </sheetData>
      <sheetData sheetId="1675">
        <row r="5">
          <cell r="I5">
            <v>0</v>
          </cell>
        </row>
      </sheetData>
      <sheetData sheetId="1676">
        <row r="5">
          <cell r="I5">
            <v>0</v>
          </cell>
        </row>
      </sheetData>
      <sheetData sheetId="1677">
        <row r="5">
          <cell r="I5">
            <v>0</v>
          </cell>
        </row>
      </sheetData>
      <sheetData sheetId="1678">
        <row r="5">
          <cell r="I5">
            <v>0</v>
          </cell>
        </row>
      </sheetData>
      <sheetData sheetId="1679">
        <row r="5">
          <cell r="I5">
            <v>0</v>
          </cell>
        </row>
      </sheetData>
      <sheetData sheetId="1680">
        <row r="5">
          <cell r="I5">
            <v>0</v>
          </cell>
        </row>
      </sheetData>
      <sheetData sheetId="1681">
        <row r="5">
          <cell r="I5">
            <v>0</v>
          </cell>
        </row>
      </sheetData>
      <sheetData sheetId="1682">
        <row r="5">
          <cell r="I5">
            <v>0</v>
          </cell>
        </row>
      </sheetData>
      <sheetData sheetId="1683">
        <row r="5">
          <cell r="I5">
            <v>0</v>
          </cell>
        </row>
      </sheetData>
      <sheetData sheetId="1684">
        <row r="5">
          <cell r="I5">
            <v>0</v>
          </cell>
        </row>
      </sheetData>
      <sheetData sheetId="1685">
        <row r="5">
          <cell r="I5">
            <v>0</v>
          </cell>
        </row>
      </sheetData>
      <sheetData sheetId="1686">
        <row r="5">
          <cell r="I5">
            <v>0</v>
          </cell>
        </row>
      </sheetData>
      <sheetData sheetId="1687">
        <row r="5">
          <cell r="I5">
            <v>0</v>
          </cell>
        </row>
      </sheetData>
      <sheetData sheetId="1688">
        <row r="5">
          <cell r="I5">
            <v>0</v>
          </cell>
        </row>
      </sheetData>
      <sheetData sheetId="1689">
        <row r="5">
          <cell r="I5">
            <v>0</v>
          </cell>
        </row>
      </sheetData>
      <sheetData sheetId="1690">
        <row r="5">
          <cell r="I5">
            <v>0</v>
          </cell>
        </row>
      </sheetData>
      <sheetData sheetId="1691">
        <row r="5">
          <cell r="I5">
            <v>0</v>
          </cell>
        </row>
      </sheetData>
      <sheetData sheetId="1692">
        <row r="5">
          <cell r="I5">
            <v>0</v>
          </cell>
        </row>
      </sheetData>
      <sheetData sheetId="1693">
        <row r="5">
          <cell r="I5">
            <v>0</v>
          </cell>
        </row>
      </sheetData>
      <sheetData sheetId="1694">
        <row r="5">
          <cell r="I5">
            <v>0</v>
          </cell>
        </row>
      </sheetData>
      <sheetData sheetId="1695">
        <row r="5">
          <cell r="I5">
            <v>0</v>
          </cell>
        </row>
      </sheetData>
      <sheetData sheetId="1696">
        <row r="5">
          <cell r="I5">
            <v>0</v>
          </cell>
        </row>
      </sheetData>
      <sheetData sheetId="1697">
        <row r="5">
          <cell r="I5">
            <v>0</v>
          </cell>
        </row>
      </sheetData>
      <sheetData sheetId="1698">
        <row r="5">
          <cell r="I5">
            <v>0</v>
          </cell>
        </row>
      </sheetData>
      <sheetData sheetId="1699">
        <row r="5">
          <cell r="I5">
            <v>0</v>
          </cell>
        </row>
      </sheetData>
      <sheetData sheetId="1700">
        <row r="5">
          <cell r="I5">
            <v>0</v>
          </cell>
        </row>
      </sheetData>
      <sheetData sheetId="1701">
        <row r="5">
          <cell r="I5">
            <v>0</v>
          </cell>
        </row>
      </sheetData>
      <sheetData sheetId="1702">
        <row r="5">
          <cell r="I5">
            <v>0</v>
          </cell>
        </row>
      </sheetData>
      <sheetData sheetId="1703">
        <row r="5">
          <cell r="I5">
            <v>0</v>
          </cell>
        </row>
      </sheetData>
      <sheetData sheetId="1704">
        <row r="5">
          <cell r="I5">
            <v>0</v>
          </cell>
        </row>
      </sheetData>
      <sheetData sheetId="1705">
        <row r="5">
          <cell r="I5">
            <v>0</v>
          </cell>
        </row>
      </sheetData>
      <sheetData sheetId="1706">
        <row r="5">
          <cell r="I5">
            <v>0</v>
          </cell>
        </row>
      </sheetData>
      <sheetData sheetId="1707">
        <row r="5">
          <cell r="I5">
            <v>0</v>
          </cell>
        </row>
      </sheetData>
      <sheetData sheetId="1708">
        <row r="5">
          <cell r="I5">
            <v>0</v>
          </cell>
        </row>
      </sheetData>
      <sheetData sheetId="1709">
        <row r="5">
          <cell r="I5">
            <v>0</v>
          </cell>
        </row>
      </sheetData>
      <sheetData sheetId="1710">
        <row r="5">
          <cell r="I5">
            <v>0</v>
          </cell>
        </row>
      </sheetData>
      <sheetData sheetId="1711">
        <row r="5">
          <cell r="I5">
            <v>0</v>
          </cell>
        </row>
      </sheetData>
      <sheetData sheetId="1712">
        <row r="5">
          <cell r="I5">
            <v>0</v>
          </cell>
        </row>
      </sheetData>
      <sheetData sheetId="1713">
        <row r="5">
          <cell r="I5">
            <v>0</v>
          </cell>
        </row>
      </sheetData>
      <sheetData sheetId="1714">
        <row r="5">
          <cell r="I5">
            <v>0</v>
          </cell>
        </row>
      </sheetData>
      <sheetData sheetId="1715">
        <row r="5">
          <cell r="I5">
            <v>0</v>
          </cell>
        </row>
      </sheetData>
      <sheetData sheetId="1716">
        <row r="5">
          <cell r="I5">
            <v>0</v>
          </cell>
        </row>
      </sheetData>
      <sheetData sheetId="1717">
        <row r="5">
          <cell r="I5">
            <v>0</v>
          </cell>
        </row>
      </sheetData>
      <sheetData sheetId="1718">
        <row r="5">
          <cell r="I5">
            <v>0</v>
          </cell>
        </row>
      </sheetData>
      <sheetData sheetId="1719">
        <row r="5">
          <cell r="I5">
            <v>0</v>
          </cell>
        </row>
      </sheetData>
      <sheetData sheetId="1720">
        <row r="5">
          <cell r="I5">
            <v>0</v>
          </cell>
        </row>
      </sheetData>
      <sheetData sheetId="1721">
        <row r="5">
          <cell r="I5">
            <v>0</v>
          </cell>
        </row>
      </sheetData>
      <sheetData sheetId="1722">
        <row r="5">
          <cell r="I5">
            <v>0</v>
          </cell>
        </row>
      </sheetData>
      <sheetData sheetId="1723">
        <row r="5">
          <cell r="I5">
            <v>0</v>
          </cell>
        </row>
      </sheetData>
      <sheetData sheetId="1724">
        <row r="5">
          <cell r="I5">
            <v>0</v>
          </cell>
        </row>
      </sheetData>
      <sheetData sheetId="1725">
        <row r="5">
          <cell r="I5">
            <v>0</v>
          </cell>
        </row>
      </sheetData>
      <sheetData sheetId="1726">
        <row r="5">
          <cell r="I5">
            <v>0</v>
          </cell>
        </row>
      </sheetData>
      <sheetData sheetId="1727">
        <row r="5">
          <cell r="I5">
            <v>0</v>
          </cell>
        </row>
      </sheetData>
      <sheetData sheetId="1728">
        <row r="5">
          <cell r="I5">
            <v>0</v>
          </cell>
        </row>
      </sheetData>
      <sheetData sheetId="1729">
        <row r="5">
          <cell r="I5">
            <v>0</v>
          </cell>
        </row>
      </sheetData>
      <sheetData sheetId="1730">
        <row r="5">
          <cell r="I5">
            <v>0</v>
          </cell>
        </row>
      </sheetData>
      <sheetData sheetId="1731">
        <row r="5">
          <cell r="I5">
            <v>0</v>
          </cell>
        </row>
      </sheetData>
      <sheetData sheetId="1732">
        <row r="5">
          <cell r="I5">
            <v>0</v>
          </cell>
        </row>
      </sheetData>
      <sheetData sheetId="1733">
        <row r="5">
          <cell r="I5">
            <v>0</v>
          </cell>
        </row>
      </sheetData>
      <sheetData sheetId="1734">
        <row r="5">
          <cell r="I5">
            <v>0</v>
          </cell>
        </row>
      </sheetData>
      <sheetData sheetId="1735">
        <row r="5">
          <cell r="I5">
            <v>0</v>
          </cell>
        </row>
      </sheetData>
      <sheetData sheetId="1736">
        <row r="5">
          <cell r="I5">
            <v>0</v>
          </cell>
        </row>
      </sheetData>
      <sheetData sheetId="1737">
        <row r="5">
          <cell r="I5">
            <v>0</v>
          </cell>
        </row>
      </sheetData>
      <sheetData sheetId="1738">
        <row r="5">
          <cell r="I5">
            <v>0</v>
          </cell>
        </row>
      </sheetData>
      <sheetData sheetId="1739">
        <row r="5">
          <cell r="I5">
            <v>0</v>
          </cell>
        </row>
      </sheetData>
      <sheetData sheetId="1740">
        <row r="5">
          <cell r="I5">
            <v>0</v>
          </cell>
        </row>
      </sheetData>
      <sheetData sheetId="1741">
        <row r="5">
          <cell r="I5">
            <v>0</v>
          </cell>
        </row>
      </sheetData>
      <sheetData sheetId="1742">
        <row r="5">
          <cell r="I5">
            <v>0</v>
          </cell>
        </row>
      </sheetData>
      <sheetData sheetId="1743">
        <row r="5">
          <cell r="I5">
            <v>0</v>
          </cell>
        </row>
      </sheetData>
      <sheetData sheetId="1744">
        <row r="5">
          <cell r="I5">
            <v>0</v>
          </cell>
        </row>
      </sheetData>
      <sheetData sheetId="1745">
        <row r="5">
          <cell r="I5">
            <v>0</v>
          </cell>
        </row>
      </sheetData>
      <sheetData sheetId="1746">
        <row r="5">
          <cell r="I5">
            <v>0</v>
          </cell>
        </row>
      </sheetData>
      <sheetData sheetId="1747">
        <row r="5">
          <cell r="I5">
            <v>0</v>
          </cell>
        </row>
      </sheetData>
      <sheetData sheetId="1748">
        <row r="5">
          <cell r="I5">
            <v>0</v>
          </cell>
        </row>
      </sheetData>
      <sheetData sheetId="1749">
        <row r="5">
          <cell r="I5">
            <v>0</v>
          </cell>
        </row>
      </sheetData>
      <sheetData sheetId="1750">
        <row r="5">
          <cell r="I5">
            <v>0</v>
          </cell>
        </row>
      </sheetData>
      <sheetData sheetId="1751">
        <row r="5">
          <cell r="I5">
            <v>0</v>
          </cell>
        </row>
      </sheetData>
      <sheetData sheetId="1752">
        <row r="5">
          <cell r="I5">
            <v>0</v>
          </cell>
        </row>
      </sheetData>
      <sheetData sheetId="1753">
        <row r="5">
          <cell r="I5">
            <v>0</v>
          </cell>
        </row>
      </sheetData>
      <sheetData sheetId="1754">
        <row r="5">
          <cell r="I5">
            <v>0</v>
          </cell>
        </row>
      </sheetData>
      <sheetData sheetId="1755">
        <row r="5">
          <cell r="I5">
            <v>0</v>
          </cell>
        </row>
      </sheetData>
      <sheetData sheetId="1756">
        <row r="5">
          <cell r="I5">
            <v>0</v>
          </cell>
        </row>
      </sheetData>
      <sheetData sheetId="1757">
        <row r="5">
          <cell r="I5">
            <v>0</v>
          </cell>
        </row>
      </sheetData>
      <sheetData sheetId="1758">
        <row r="5">
          <cell r="I5">
            <v>0</v>
          </cell>
        </row>
      </sheetData>
      <sheetData sheetId="1759">
        <row r="5">
          <cell r="I5">
            <v>0</v>
          </cell>
        </row>
      </sheetData>
      <sheetData sheetId="1760">
        <row r="5">
          <cell r="I5">
            <v>0</v>
          </cell>
        </row>
      </sheetData>
      <sheetData sheetId="1761">
        <row r="5">
          <cell r="I5">
            <v>0</v>
          </cell>
        </row>
      </sheetData>
      <sheetData sheetId="1762">
        <row r="5">
          <cell r="I5">
            <v>0</v>
          </cell>
        </row>
      </sheetData>
      <sheetData sheetId="1763">
        <row r="5">
          <cell r="I5">
            <v>0</v>
          </cell>
        </row>
      </sheetData>
      <sheetData sheetId="1764">
        <row r="5">
          <cell r="I5">
            <v>0</v>
          </cell>
        </row>
      </sheetData>
      <sheetData sheetId="1765">
        <row r="5">
          <cell r="I5">
            <v>0</v>
          </cell>
        </row>
      </sheetData>
      <sheetData sheetId="1766">
        <row r="5">
          <cell r="I5">
            <v>0</v>
          </cell>
        </row>
      </sheetData>
      <sheetData sheetId="1767">
        <row r="5">
          <cell r="I5">
            <v>0</v>
          </cell>
        </row>
      </sheetData>
      <sheetData sheetId="1768">
        <row r="5">
          <cell r="I5">
            <v>0</v>
          </cell>
        </row>
      </sheetData>
      <sheetData sheetId="1769">
        <row r="5">
          <cell r="I5">
            <v>0</v>
          </cell>
        </row>
      </sheetData>
      <sheetData sheetId="1770">
        <row r="5">
          <cell r="I5">
            <v>0</v>
          </cell>
        </row>
      </sheetData>
      <sheetData sheetId="1771">
        <row r="5">
          <cell r="I5">
            <v>0</v>
          </cell>
        </row>
      </sheetData>
      <sheetData sheetId="1772">
        <row r="5">
          <cell r="I5">
            <v>0</v>
          </cell>
        </row>
      </sheetData>
      <sheetData sheetId="1773">
        <row r="5">
          <cell r="I5">
            <v>0</v>
          </cell>
        </row>
      </sheetData>
      <sheetData sheetId="1774">
        <row r="5">
          <cell r="I5">
            <v>0</v>
          </cell>
        </row>
      </sheetData>
      <sheetData sheetId="1775">
        <row r="5">
          <cell r="I5">
            <v>0</v>
          </cell>
        </row>
      </sheetData>
      <sheetData sheetId="1776">
        <row r="5">
          <cell r="I5">
            <v>0</v>
          </cell>
        </row>
      </sheetData>
      <sheetData sheetId="1777">
        <row r="5">
          <cell r="I5">
            <v>0</v>
          </cell>
        </row>
      </sheetData>
      <sheetData sheetId="1778">
        <row r="5">
          <cell r="I5">
            <v>0</v>
          </cell>
        </row>
      </sheetData>
      <sheetData sheetId="1779">
        <row r="5">
          <cell r="I5">
            <v>0</v>
          </cell>
        </row>
      </sheetData>
      <sheetData sheetId="1780">
        <row r="5">
          <cell r="I5">
            <v>0</v>
          </cell>
        </row>
      </sheetData>
      <sheetData sheetId="1781">
        <row r="5">
          <cell r="I5">
            <v>0</v>
          </cell>
        </row>
      </sheetData>
      <sheetData sheetId="1782">
        <row r="5">
          <cell r="I5">
            <v>0</v>
          </cell>
        </row>
      </sheetData>
      <sheetData sheetId="1783">
        <row r="5">
          <cell r="I5">
            <v>0</v>
          </cell>
        </row>
      </sheetData>
      <sheetData sheetId="1784">
        <row r="5">
          <cell r="I5">
            <v>0</v>
          </cell>
        </row>
      </sheetData>
      <sheetData sheetId="1785">
        <row r="5">
          <cell r="I5">
            <v>0</v>
          </cell>
        </row>
      </sheetData>
      <sheetData sheetId="1786">
        <row r="5">
          <cell r="I5">
            <v>0</v>
          </cell>
        </row>
      </sheetData>
      <sheetData sheetId="1787">
        <row r="5">
          <cell r="I5">
            <v>0</v>
          </cell>
        </row>
      </sheetData>
      <sheetData sheetId="1788">
        <row r="5">
          <cell r="I5">
            <v>0</v>
          </cell>
        </row>
      </sheetData>
      <sheetData sheetId="1789">
        <row r="5">
          <cell r="I5">
            <v>0</v>
          </cell>
        </row>
      </sheetData>
      <sheetData sheetId="1790">
        <row r="5">
          <cell r="I5">
            <v>0</v>
          </cell>
        </row>
      </sheetData>
      <sheetData sheetId="1791">
        <row r="5">
          <cell r="I5">
            <v>0</v>
          </cell>
        </row>
      </sheetData>
      <sheetData sheetId="1792">
        <row r="5">
          <cell r="I5">
            <v>0</v>
          </cell>
        </row>
      </sheetData>
      <sheetData sheetId="1793">
        <row r="5">
          <cell r="I5">
            <v>0</v>
          </cell>
        </row>
      </sheetData>
      <sheetData sheetId="1794">
        <row r="5">
          <cell r="I5">
            <v>0</v>
          </cell>
        </row>
      </sheetData>
      <sheetData sheetId="1795">
        <row r="5">
          <cell r="I5">
            <v>0</v>
          </cell>
        </row>
      </sheetData>
      <sheetData sheetId="1796">
        <row r="5">
          <cell r="I5">
            <v>0</v>
          </cell>
        </row>
      </sheetData>
      <sheetData sheetId="1797">
        <row r="5">
          <cell r="I5">
            <v>0</v>
          </cell>
        </row>
      </sheetData>
      <sheetData sheetId="1798">
        <row r="5">
          <cell r="I5">
            <v>0</v>
          </cell>
        </row>
      </sheetData>
      <sheetData sheetId="1799">
        <row r="5">
          <cell r="I5">
            <v>0</v>
          </cell>
        </row>
      </sheetData>
      <sheetData sheetId="1800">
        <row r="5">
          <cell r="I5">
            <v>0</v>
          </cell>
        </row>
      </sheetData>
      <sheetData sheetId="1801">
        <row r="5">
          <cell r="I5">
            <v>0</v>
          </cell>
        </row>
      </sheetData>
      <sheetData sheetId="1802">
        <row r="5">
          <cell r="I5">
            <v>0</v>
          </cell>
        </row>
      </sheetData>
      <sheetData sheetId="1803">
        <row r="5">
          <cell r="I5">
            <v>0</v>
          </cell>
        </row>
      </sheetData>
      <sheetData sheetId="1804">
        <row r="5">
          <cell r="I5">
            <v>0</v>
          </cell>
        </row>
      </sheetData>
      <sheetData sheetId="1805">
        <row r="5">
          <cell r="I5">
            <v>0</v>
          </cell>
        </row>
      </sheetData>
      <sheetData sheetId="1806">
        <row r="5">
          <cell r="I5">
            <v>0</v>
          </cell>
        </row>
      </sheetData>
      <sheetData sheetId="1807">
        <row r="5">
          <cell r="I5">
            <v>0</v>
          </cell>
        </row>
      </sheetData>
      <sheetData sheetId="1808">
        <row r="5">
          <cell r="I5">
            <v>0</v>
          </cell>
        </row>
      </sheetData>
      <sheetData sheetId="1809">
        <row r="5">
          <cell r="I5">
            <v>0</v>
          </cell>
        </row>
      </sheetData>
      <sheetData sheetId="1810">
        <row r="5">
          <cell r="I5">
            <v>0</v>
          </cell>
        </row>
      </sheetData>
      <sheetData sheetId="1811">
        <row r="5">
          <cell r="I5">
            <v>0</v>
          </cell>
        </row>
      </sheetData>
      <sheetData sheetId="1812">
        <row r="5">
          <cell r="I5">
            <v>0</v>
          </cell>
        </row>
      </sheetData>
      <sheetData sheetId="1813">
        <row r="5">
          <cell r="I5">
            <v>0</v>
          </cell>
        </row>
      </sheetData>
      <sheetData sheetId="1814">
        <row r="5">
          <cell r="I5">
            <v>0</v>
          </cell>
        </row>
      </sheetData>
      <sheetData sheetId="1815">
        <row r="5">
          <cell r="I5">
            <v>0</v>
          </cell>
        </row>
      </sheetData>
      <sheetData sheetId="1816">
        <row r="5">
          <cell r="I5">
            <v>0</v>
          </cell>
        </row>
      </sheetData>
      <sheetData sheetId="1817">
        <row r="5">
          <cell r="I5">
            <v>0</v>
          </cell>
        </row>
      </sheetData>
      <sheetData sheetId="1818">
        <row r="5">
          <cell r="I5">
            <v>0</v>
          </cell>
        </row>
      </sheetData>
      <sheetData sheetId="1819">
        <row r="5">
          <cell r="I5">
            <v>0</v>
          </cell>
        </row>
      </sheetData>
      <sheetData sheetId="1820">
        <row r="5">
          <cell r="I5">
            <v>0</v>
          </cell>
        </row>
      </sheetData>
      <sheetData sheetId="1821">
        <row r="5">
          <cell r="I5">
            <v>0</v>
          </cell>
        </row>
      </sheetData>
      <sheetData sheetId="1822">
        <row r="5">
          <cell r="I5">
            <v>0</v>
          </cell>
        </row>
      </sheetData>
      <sheetData sheetId="1823">
        <row r="5">
          <cell r="I5">
            <v>0</v>
          </cell>
        </row>
      </sheetData>
      <sheetData sheetId="1824">
        <row r="5">
          <cell r="I5">
            <v>0</v>
          </cell>
        </row>
      </sheetData>
      <sheetData sheetId="1825">
        <row r="5">
          <cell r="I5">
            <v>0</v>
          </cell>
        </row>
      </sheetData>
      <sheetData sheetId="1826">
        <row r="5">
          <cell r="I5">
            <v>0</v>
          </cell>
        </row>
      </sheetData>
      <sheetData sheetId="1827">
        <row r="5">
          <cell r="I5">
            <v>0</v>
          </cell>
        </row>
      </sheetData>
      <sheetData sheetId="1828">
        <row r="5">
          <cell r="I5">
            <v>0</v>
          </cell>
        </row>
      </sheetData>
      <sheetData sheetId="1829">
        <row r="5">
          <cell r="I5">
            <v>0</v>
          </cell>
        </row>
      </sheetData>
      <sheetData sheetId="1830">
        <row r="5">
          <cell r="I5">
            <v>0</v>
          </cell>
        </row>
      </sheetData>
      <sheetData sheetId="1831">
        <row r="5">
          <cell r="I5">
            <v>0</v>
          </cell>
        </row>
      </sheetData>
      <sheetData sheetId="1832">
        <row r="5">
          <cell r="I5">
            <v>0</v>
          </cell>
        </row>
      </sheetData>
      <sheetData sheetId="1833">
        <row r="5">
          <cell r="I5">
            <v>0</v>
          </cell>
        </row>
      </sheetData>
      <sheetData sheetId="1834">
        <row r="5">
          <cell r="I5">
            <v>0</v>
          </cell>
        </row>
      </sheetData>
      <sheetData sheetId="1835">
        <row r="5">
          <cell r="I5">
            <v>0</v>
          </cell>
        </row>
      </sheetData>
      <sheetData sheetId="1836">
        <row r="5">
          <cell r="I5">
            <v>0</v>
          </cell>
        </row>
      </sheetData>
      <sheetData sheetId="1837">
        <row r="5">
          <cell r="I5">
            <v>0</v>
          </cell>
        </row>
      </sheetData>
      <sheetData sheetId="1838">
        <row r="5">
          <cell r="I5">
            <v>0</v>
          </cell>
        </row>
      </sheetData>
      <sheetData sheetId="1839">
        <row r="5">
          <cell r="I5">
            <v>0</v>
          </cell>
        </row>
      </sheetData>
      <sheetData sheetId="1840">
        <row r="5">
          <cell r="I5">
            <v>0</v>
          </cell>
        </row>
      </sheetData>
      <sheetData sheetId="1841">
        <row r="5">
          <cell r="I5">
            <v>0</v>
          </cell>
        </row>
      </sheetData>
      <sheetData sheetId="1842">
        <row r="5">
          <cell r="I5">
            <v>0</v>
          </cell>
        </row>
      </sheetData>
      <sheetData sheetId="1843">
        <row r="5">
          <cell r="I5">
            <v>0</v>
          </cell>
        </row>
      </sheetData>
      <sheetData sheetId="1844">
        <row r="5">
          <cell r="I5">
            <v>0</v>
          </cell>
        </row>
      </sheetData>
      <sheetData sheetId="1845">
        <row r="5">
          <cell r="I5">
            <v>0</v>
          </cell>
        </row>
      </sheetData>
      <sheetData sheetId="1846">
        <row r="5">
          <cell r="I5">
            <v>0</v>
          </cell>
        </row>
      </sheetData>
      <sheetData sheetId="1847">
        <row r="5">
          <cell r="I5">
            <v>0</v>
          </cell>
        </row>
      </sheetData>
      <sheetData sheetId="1848">
        <row r="5">
          <cell r="I5">
            <v>0</v>
          </cell>
        </row>
      </sheetData>
      <sheetData sheetId="1849">
        <row r="5">
          <cell r="I5">
            <v>0</v>
          </cell>
        </row>
      </sheetData>
      <sheetData sheetId="1850">
        <row r="5">
          <cell r="I5">
            <v>0</v>
          </cell>
        </row>
      </sheetData>
      <sheetData sheetId="1851">
        <row r="5">
          <cell r="I5">
            <v>0</v>
          </cell>
        </row>
      </sheetData>
      <sheetData sheetId="1852">
        <row r="5">
          <cell r="I5">
            <v>0</v>
          </cell>
        </row>
      </sheetData>
      <sheetData sheetId="1853">
        <row r="5">
          <cell r="I5">
            <v>0</v>
          </cell>
        </row>
      </sheetData>
      <sheetData sheetId="1854">
        <row r="5">
          <cell r="I5">
            <v>0</v>
          </cell>
        </row>
      </sheetData>
      <sheetData sheetId="1855">
        <row r="5">
          <cell r="I5">
            <v>0</v>
          </cell>
        </row>
      </sheetData>
      <sheetData sheetId="1856">
        <row r="5">
          <cell r="I5">
            <v>0</v>
          </cell>
        </row>
      </sheetData>
      <sheetData sheetId="1857">
        <row r="5">
          <cell r="I5">
            <v>0</v>
          </cell>
        </row>
      </sheetData>
      <sheetData sheetId="1858">
        <row r="5">
          <cell r="I5">
            <v>0</v>
          </cell>
        </row>
      </sheetData>
      <sheetData sheetId="1859">
        <row r="5">
          <cell r="I5">
            <v>0</v>
          </cell>
        </row>
      </sheetData>
      <sheetData sheetId="1860">
        <row r="5">
          <cell r="I5">
            <v>0</v>
          </cell>
        </row>
      </sheetData>
      <sheetData sheetId="1861">
        <row r="5">
          <cell r="I5">
            <v>0</v>
          </cell>
        </row>
      </sheetData>
      <sheetData sheetId="1862">
        <row r="5">
          <cell r="I5">
            <v>0</v>
          </cell>
        </row>
      </sheetData>
      <sheetData sheetId="1863">
        <row r="5">
          <cell r="I5">
            <v>0</v>
          </cell>
        </row>
      </sheetData>
      <sheetData sheetId="1864">
        <row r="5">
          <cell r="I5">
            <v>0</v>
          </cell>
        </row>
      </sheetData>
      <sheetData sheetId="1865">
        <row r="5">
          <cell r="I5">
            <v>0</v>
          </cell>
        </row>
      </sheetData>
      <sheetData sheetId="1866">
        <row r="5">
          <cell r="I5">
            <v>0</v>
          </cell>
        </row>
      </sheetData>
      <sheetData sheetId="1867">
        <row r="5">
          <cell r="I5">
            <v>0</v>
          </cell>
        </row>
      </sheetData>
      <sheetData sheetId="1868">
        <row r="5">
          <cell r="I5">
            <v>0</v>
          </cell>
        </row>
      </sheetData>
      <sheetData sheetId="1869">
        <row r="5">
          <cell r="I5">
            <v>0</v>
          </cell>
        </row>
      </sheetData>
      <sheetData sheetId="1870">
        <row r="5">
          <cell r="I5">
            <v>0</v>
          </cell>
        </row>
      </sheetData>
      <sheetData sheetId="1871">
        <row r="5">
          <cell r="I5">
            <v>0</v>
          </cell>
        </row>
      </sheetData>
      <sheetData sheetId="1872">
        <row r="5">
          <cell r="I5">
            <v>0</v>
          </cell>
        </row>
      </sheetData>
      <sheetData sheetId="1873">
        <row r="5">
          <cell r="I5">
            <v>0</v>
          </cell>
        </row>
      </sheetData>
      <sheetData sheetId="1874">
        <row r="5">
          <cell r="I5">
            <v>0</v>
          </cell>
        </row>
      </sheetData>
      <sheetData sheetId="1875">
        <row r="5">
          <cell r="I5">
            <v>0</v>
          </cell>
        </row>
      </sheetData>
      <sheetData sheetId="1876">
        <row r="5">
          <cell r="I5">
            <v>0</v>
          </cell>
        </row>
      </sheetData>
      <sheetData sheetId="1877">
        <row r="5">
          <cell r="I5">
            <v>0</v>
          </cell>
        </row>
      </sheetData>
      <sheetData sheetId="1878">
        <row r="5">
          <cell r="I5">
            <v>0</v>
          </cell>
        </row>
      </sheetData>
      <sheetData sheetId="1879">
        <row r="5">
          <cell r="I5">
            <v>0</v>
          </cell>
        </row>
      </sheetData>
      <sheetData sheetId="1880">
        <row r="5">
          <cell r="I5">
            <v>0</v>
          </cell>
        </row>
      </sheetData>
      <sheetData sheetId="1881">
        <row r="5">
          <cell r="I5">
            <v>0</v>
          </cell>
        </row>
      </sheetData>
      <sheetData sheetId="1882">
        <row r="5">
          <cell r="I5">
            <v>0</v>
          </cell>
        </row>
      </sheetData>
      <sheetData sheetId="1883">
        <row r="5">
          <cell r="I5">
            <v>0</v>
          </cell>
        </row>
      </sheetData>
      <sheetData sheetId="1884">
        <row r="5">
          <cell r="I5">
            <v>0</v>
          </cell>
        </row>
      </sheetData>
      <sheetData sheetId="1885">
        <row r="5">
          <cell r="I5">
            <v>0</v>
          </cell>
        </row>
      </sheetData>
      <sheetData sheetId="1886">
        <row r="5">
          <cell r="I5">
            <v>0</v>
          </cell>
        </row>
      </sheetData>
      <sheetData sheetId="1887">
        <row r="5">
          <cell r="I5">
            <v>0</v>
          </cell>
        </row>
      </sheetData>
      <sheetData sheetId="1888">
        <row r="5">
          <cell r="I5">
            <v>0</v>
          </cell>
        </row>
      </sheetData>
      <sheetData sheetId="1889">
        <row r="5">
          <cell r="I5">
            <v>0</v>
          </cell>
        </row>
      </sheetData>
      <sheetData sheetId="1890">
        <row r="5">
          <cell r="I5">
            <v>0</v>
          </cell>
        </row>
      </sheetData>
      <sheetData sheetId="1891">
        <row r="5">
          <cell r="I5">
            <v>0</v>
          </cell>
        </row>
      </sheetData>
      <sheetData sheetId="1892">
        <row r="5">
          <cell r="I5">
            <v>0</v>
          </cell>
        </row>
      </sheetData>
      <sheetData sheetId="1893">
        <row r="5">
          <cell r="I5">
            <v>0</v>
          </cell>
        </row>
      </sheetData>
      <sheetData sheetId="1894">
        <row r="5">
          <cell r="I5">
            <v>0</v>
          </cell>
        </row>
      </sheetData>
      <sheetData sheetId="1895">
        <row r="5">
          <cell r="I5">
            <v>0</v>
          </cell>
        </row>
      </sheetData>
      <sheetData sheetId="1896">
        <row r="5">
          <cell r="I5">
            <v>0</v>
          </cell>
        </row>
      </sheetData>
      <sheetData sheetId="1897">
        <row r="5">
          <cell r="I5">
            <v>0</v>
          </cell>
        </row>
      </sheetData>
      <sheetData sheetId="1898">
        <row r="5">
          <cell r="I5">
            <v>0</v>
          </cell>
        </row>
      </sheetData>
      <sheetData sheetId="1899">
        <row r="5">
          <cell r="I5">
            <v>0</v>
          </cell>
        </row>
      </sheetData>
      <sheetData sheetId="1900">
        <row r="5">
          <cell r="I5">
            <v>0</v>
          </cell>
        </row>
      </sheetData>
      <sheetData sheetId="1901">
        <row r="5">
          <cell r="I5">
            <v>0</v>
          </cell>
        </row>
      </sheetData>
      <sheetData sheetId="1902">
        <row r="5">
          <cell r="I5">
            <v>0</v>
          </cell>
        </row>
      </sheetData>
      <sheetData sheetId="1903">
        <row r="5">
          <cell r="I5">
            <v>0</v>
          </cell>
        </row>
      </sheetData>
      <sheetData sheetId="1904">
        <row r="5">
          <cell r="I5">
            <v>0</v>
          </cell>
        </row>
      </sheetData>
      <sheetData sheetId="1905">
        <row r="5">
          <cell r="I5">
            <v>0</v>
          </cell>
        </row>
      </sheetData>
      <sheetData sheetId="1906">
        <row r="5">
          <cell r="I5">
            <v>0</v>
          </cell>
        </row>
      </sheetData>
      <sheetData sheetId="1907">
        <row r="5">
          <cell r="I5">
            <v>0</v>
          </cell>
        </row>
      </sheetData>
      <sheetData sheetId="1908">
        <row r="5">
          <cell r="I5">
            <v>0</v>
          </cell>
        </row>
      </sheetData>
      <sheetData sheetId="1909">
        <row r="5">
          <cell r="I5">
            <v>0</v>
          </cell>
        </row>
      </sheetData>
      <sheetData sheetId="1910">
        <row r="5">
          <cell r="I5">
            <v>0</v>
          </cell>
        </row>
      </sheetData>
      <sheetData sheetId="1911">
        <row r="5">
          <cell r="I5">
            <v>0</v>
          </cell>
        </row>
      </sheetData>
      <sheetData sheetId="1912">
        <row r="5">
          <cell r="I5">
            <v>0</v>
          </cell>
        </row>
      </sheetData>
      <sheetData sheetId="1913">
        <row r="5">
          <cell r="I5">
            <v>0</v>
          </cell>
        </row>
      </sheetData>
      <sheetData sheetId="1914">
        <row r="5">
          <cell r="I5">
            <v>0</v>
          </cell>
        </row>
      </sheetData>
      <sheetData sheetId="1915">
        <row r="5">
          <cell r="I5">
            <v>0</v>
          </cell>
        </row>
      </sheetData>
      <sheetData sheetId="1916">
        <row r="5">
          <cell r="I5">
            <v>0</v>
          </cell>
        </row>
      </sheetData>
      <sheetData sheetId="1917">
        <row r="5">
          <cell r="I5">
            <v>0</v>
          </cell>
        </row>
      </sheetData>
      <sheetData sheetId="1918">
        <row r="5">
          <cell r="I5">
            <v>0</v>
          </cell>
        </row>
      </sheetData>
      <sheetData sheetId="1919">
        <row r="5">
          <cell r="I5">
            <v>0</v>
          </cell>
        </row>
      </sheetData>
      <sheetData sheetId="1920">
        <row r="5">
          <cell r="I5">
            <v>0</v>
          </cell>
        </row>
      </sheetData>
      <sheetData sheetId="1921">
        <row r="5">
          <cell r="I5">
            <v>0</v>
          </cell>
        </row>
      </sheetData>
      <sheetData sheetId="1922">
        <row r="5">
          <cell r="I5">
            <v>0</v>
          </cell>
        </row>
      </sheetData>
      <sheetData sheetId="1923">
        <row r="5">
          <cell r="I5">
            <v>0</v>
          </cell>
        </row>
      </sheetData>
      <sheetData sheetId="1924">
        <row r="5">
          <cell r="I5">
            <v>0</v>
          </cell>
        </row>
      </sheetData>
      <sheetData sheetId="1925">
        <row r="5">
          <cell r="I5">
            <v>0</v>
          </cell>
        </row>
      </sheetData>
      <sheetData sheetId="1926">
        <row r="5">
          <cell r="I5">
            <v>0</v>
          </cell>
        </row>
      </sheetData>
      <sheetData sheetId="1927">
        <row r="5">
          <cell r="I5">
            <v>0</v>
          </cell>
        </row>
      </sheetData>
      <sheetData sheetId="1928">
        <row r="5">
          <cell r="I5">
            <v>0</v>
          </cell>
        </row>
      </sheetData>
      <sheetData sheetId="1929">
        <row r="5">
          <cell r="I5">
            <v>0</v>
          </cell>
        </row>
      </sheetData>
      <sheetData sheetId="1930">
        <row r="5">
          <cell r="I5">
            <v>0</v>
          </cell>
        </row>
      </sheetData>
      <sheetData sheetId="1931">
        <row r="5">
          <cell r="I5">
            <v>0</v>
          </cell>
        </row>
      </sheetData>
      <sheetData sheetId="1932">
        <row r="5">
          <cell r="I5">
            <v>0</v>
          </cell>
        </row>
      </sheetData>
      <sheetData sheetId="1933">
        <row r="5">
          <cell r="I5">
            <v>0</v>
          </cell>
        </row>
      </sheetData>
      <sheetData sheetId="1934">
        <row r="5">
          <cell r="I5">
            <v>0</v>
          </cell>
        </row>
      </sheetData>
      <sheetData sheetId="1935">
        <row r="5">
          <cell r="I5">
            <v>0</v>
          </cell>
        </row>
      </sheetData>
      <sheetData sheetId="1936">
        <row r="5">
          <cell r="I5">
            <v>0</v>
          </cell>
        </row>
      </sheetData>
      <sheetData sheetId="1937">
        <row r="5">
          <cell r="I5">
            <v>0</v>
          </cell>
        </row>
      </sheetData>
      <sheetData sheetId="1938">
        <row r="5">
          <cell r="I5">
            <v>0</v>
          </cell>
        </row>
      </sheetData>
      <sheetData sheetId="1939">
        <row r="5">
          <cell r="I5">
            <v>0</v>
          </cell>
        </row>
      </sheetData>
      <sheetData sheetId="1940">
        <row r="5">
          <cell r="I5">
            <v>0</v>
          </cell>
        </row>
      </sheetData>
      <sheetData sheetId="1941">
        <row r="5">
          <cell r="I5">
            <v>0</v>
          </cell>
        </row>
      </sheetData>
      <sheetData sheetId="1942">
        <row r="5">
          <cell r="I5">
            <v>0</v>
          </cell>
        </row>
      </sheetData>
      <sheetData sheetId="1943">
        <row r="5">
          <cell r="I5">
            <v>0</v>
          </cell>
        </row>
      </sheetData>
      <sheetData sheetId="1944">
        <row r="5">
          <cell r="I5">
            <v>0</v>
          </cell>
        </row>
      </sheetData>
      <sheetData sheetId="1945">
        <row r="5">
          <cell r="I5">
            <v>0</v>
          </cell>
        </row>
      </sheetData>
      <sheetData sheetId="1946">
        <row r="5">
          <cell r="I5">
            <v>0</v>
          </cell>
        </row>
      </sheetData>
      <sheetData sheetId="1947">
        <row r="5">
          <cell r="I5">
            <v>0</v>
          </cell>
        </row>
      </sheetData>
      <sheetData sheetId="1948">
        <row r="5">
          <cell r="I5">
            <v>0</v>
          </cell>
        </row>
      </sheetData>
      <sheetData sheetId="1949">
        <row r="5">
          <cell r="I5">
            <v>0</v>
          </cell>
        </row>
      </sheetData>
      <sheetData sheetId="1950">
        <row r="5">
          <cell r="I5">
            <v>0</v>
          </cell>
        </row>
      </sheetData>
      <sheetData sheetId="1951">
        <row r="5">
          <cell r="I5">
            <v>0</v>
          </cell>
        </row>
      </sheetData>
      <sheetData sheetId="1952">
        <row r="5">
          <cell r="I5">
            <v>0</v>
          </cell>
        </row>
      </sheetData>
      <sheetData sheetId="1953">
        <row r="5">
          <cell r="I5">
            <v>0</v>
          </cell>
        </row>
      </sheetData>
      <sheetData sheetId="1954">
        <row r="5">
          <cell r="I5">
            <v>0</v>
          </cell>
        </row>
      </sheetData>
      <sheetData sheetId="1955">
        <row r="5">
          <cell r="I5">
            <v>0</v>
          </cell>
        </row>
      </sheetData>
      <sheetData sheetId="1956">
        <row r="5">
          <cell r="I5">
            <v>0</v>
          </cell>
        </row>
      </sheetData>
      <sheetData sheetId="1957">
        <row r="5">
          <cell r="I5">
            <v>0</v>
          </cell>
        </row>
      </sheetData>
      <sheetData sheetId="1958">
        <row r="5">
          <cell r="I5">
            <v>0</v>
          </cell>
        </row>
      </sheetData>
      <sheetData sheetId="1959">
        <row r="5">
          <cell r="I5">
            <v>0</v>
          </cell>
        </row>
      </sheetData>
      <sheetData sheetId="1960">
        <row r="5">
          <cell r="I5">
            <v>0</v>
          </cell>
        </row>
      </sheetData>
      <sheetData sheetId="1961">
        <row r="5">
          <cell r="I5">
            <v>0</v>
          </cell>
        </row>
      </sheetData>
      <sheetData sheetId="1962">
        <row r="5">
          <cell r="I5">
            <v>0</v>
          </cell>
        </row>
      </sheetData>
      <sheetData sheetId="1963">
        <row r="5">
          <cell r="I5">
            <v>0</v>
          </cell>
        </row>
      </sheetData>
      <sheetData sheetId="1964">
        <row r="5">
          <cell r="I5">
            <v>0</v>
          </cell>
        </row>
      </sheetData>
      <sheetData sheetId="1965">
        <row r="5">
          <cell r="I5">
            <v>0</v>
          </cell>
        </row>
      </sheetData>
      <sheetData sheetId="1966">
        <row r="5">
          <cell r="I5">
            <v>0</v>
          </cell>
        </row>
      </sheetData>
      <sheetData sheetId="1967">
        <row r="5">
          <cell r="I5">
            <v>0</v>
          </cell>
        </row>
      </sheetData>
      <sheetData sheetId="1968">
        <row r="5">
          <cell r="I5">
            <v>0</v>
          </cell>
        </row>
      </sheetData>
      <sheetData sheetId="1969">
        <row r="5">
          <cell r="I5">
            <v>0</v>
          </cell>
        </row>
      </sheetData>
      <sheetData sheetId="1970">
        <row r="5">
          <cell r="I5">
            <v>0</v>
          </cell>
        </row>
      </sheetData>
      <sheetData sheetId="1971">
        <row r="5">
          <cell r="I5">
            <v>0</v>
          </cell>
        </row>
      </sheetData>
      <sheetData sheetId="1972">
        <row r="5">
          <cell r="I5">
            <v>0</v>
          </cell>
        </row>
      </sheetData>
      <sheetData sheetId="1973">
        <row r="5">
          <cell r="I5">
            <v>0</v>
          </cell>
        </row>
      </sheetData>
      <sheetData sheetId="1974">
        <row r="5">
          <cell r="I5">
            <v>0</v>
          </cell>
        </row>
      </sheetData>
      <sheetData sheetId="1975">
        <row r="5">
          <cell r="I5">
            <v>0</v>
          </cell>
        </row>
      </sheetData>
      <sheetData sheetId="1976">
        <row r="5">
          <cell r="I5">
            <v>0</v>
          </cell>
        </row>
      </sheetData>
      <sheetData sheetId="1977">
        <row r="5">
          <cell r="I5">
            <v>0</v>
          </cell>
        </row>
      </sheetData>
      <sheetData sheetId="1978">
        <row r="5">
          <cell r="I5">
            <v>0</v>
          </cell>
        </row>
      </sheetData>
      <sheetData sheetId="1979">
        <row r="5">
          <cell r="I5">
            <v>0</v>
          </cell>
        </row>
      </sheetData>
      <sheetData sheetId="1980">
        <row r="5">
          <cell r="I5">
            <v>0</v>
          </cell>
        </row>
      </sheetData>
      <sheetData sheetId="1981">
        <row r="5">
          <cell r="I5">
            <v>0</v>
          </cell>
        </row>
      </sheetData>
      <sheetData sheetId="1982">
        <row r="5">
          <cell r="I5">
            <v>0</v>
          </cell>
        </row>
      </sheetData>
      <sheetData sheetId="1983">
        <row r="5">
          <cell r="I5">
            <v>0</v>
          </cell>
        </row>
      </sheetData>
      <sheetData sheetId="1984">
        <row r="5">
          <cell r="I5">
            <v>0</v>
          </cell>
        </row>
      </sheetData>
      <sheetData sheetId="1985">
        <row r="5">
          <cell r="I5">
            <v>0</v>
          </cell>
        </row>
      </sheetData>
      <sheetData sheetId="1986">
        <row r="5">
          <cell r="I5">
            <v>0</v>
          </cell>
        </row>
      </sheetData>
      <sheetData sheetId="1987">
        <row r="5">
          <cell r="I5">
            <v>0</v>
          </cell>
        </row>
      </sheetData>
      <sheetData sheetId="1988">
        <row r="5">
          <cell r="I5">
            <v>0</v>
          </cell>
        </row>
      </sheetData>
      <sheetData sheetId="1989">
        <row r="5">
          <cell r="I5">
            <v>0</v>
          </cell>
        </row>
      </sheetData>
      <sheetData sheetId="1990">
        <row r="5">
          <cell r="I5">
            <v>0</v>
          </cell>
        </row>
      </sheetData>
      <sheetData sheetId="1991">
        <row r="5">
          <cell r="I5">
            <v>0</v>
          </cell>
        </row>
      </sheetData>
      <sheetData sheetId="1992">
        <row r="5">
          <cell r="I5">
            <v>0</v>
          </cell>
        </row>
      </sheetData>
      <sheetData sheetId="1993">
        <row r="5">
          <cell r="I5">
            <v>0</v>
          </cell>
        </row>
      </sheetData>
      <sheetData sheetId="1994">
        <row r="5">
          <cell r="I5">
            <v>0</v>
          </cell>
        </row>
      </sheetData>
      <sheetData sheetId="1995">
        <row r="5">
          <cell r="I5">
            <v>0</v>
          </cell>
        </row>
      </sheetData>
      <sheetData sheetId="1996">
        <row r="5">
          <cell r="I5">
            <v>0</v>
          </cell>
        </row>
      </sheetData>
      <sheetData sheetId="1997">
        <row r="5">
          <cell r="I5">
            <v>0</v>
          </cell>
        </row>
      </sheetData>
      <sheetData sheetId="1998">
        <row r="5">
          <cell r="I5">
            <v>0</v>
          </cell>
        </row>
      </sheetData>
      <sheetData sheetId="1999">
        <row r="5">
          <cell r="I5">
            <v>0</v>
          </cell>
        </row>
      </sheetData>
      <sheetData sheetId="2000">
        <row r="5">
          <cell r="I5">
            <v>0</v>
          </cell>
        </row>
      </sheetData>
      <sheetData sheetId="2001">
        <row r="5">
          <cell r="I5">
            <v>0</v>
          </cell>
        </row>
      </sheetData>
      <sheetData sheetId="2002">
        <row r="5">
          <cell r="I5">
            <v>0</v>
          </cell>
        </row>
      </sheetData>
      <sheetData sheetId="2003">
        <row r="5">
          <cell r="I5">
            <v>0</v>
          </cell>
        </row>
      </sheetData>
      <sheetData sheetId="2004">
        <row r="5">
          <cell r="I5">
            <v>0</v>
          </cell>
        </row>
      </sheetData>
      <sheetData sheetId="2005">
        <row r="5">
          <cell r="I5">
            <v>0</v>
          </cell>
        </row>
      </sheetData>
      <sheetData sheetId="2006">
        <row r="5">
          <cell r="I5">
            <v>0</v>
          </cell>
        </row>
      </sheetData>
      <sheetData sheetId="2007" refreshError="1"/>
      <sheetData sheetId="2008" refreshError="1"/>
      <sheetData sheetId="2009" refreshError="1"/>
      <sheetData sheetId="2010" refreshError="1"/>
      <sheetData sheetId="2011" refreshError="1"/>
      <sheetData sheetId="2012">
        <row r="5">
          <cell r="I5">
            <v>0</v>
          </cell>
        </row>
      </sheetData>
      <sheetData sheetId="2013">
        <row r="5">
          <cell r="I5">
            <v>0</v>
          </cell>
        </row>
      </sheetData>
      <sheetData sheetId="2014">
        <row r="5">
          <cell r="I5">
            <v>0</v>
          </cell>
        </row>
      </sheetData>
      <sheetData sheetId="2015">
        <row r="5">
          <cell r="I5">
            <v>0</v>
          </cell>
        </row>
      </sheetData>
      <sheetData sheetId="2016">
        <row r="5">
          <cell r="I5">
            <v>0</v>
          </cell>
        </row>
      </sheetData>
      <sheetData sheetId="2017">
        <row r="5">
          <cell r="I5">
            <v>0</v>
          </cell>
        </row>
      </sheetData>
      <sheetData sheetId="2018">
        <row r="5">
          <cell r="I5">
            <v>0</v>
          </cell>
        </row>
      </sheetData>
      <sheetData sheetId="2019">
        <row r="5">
          <cell r="I5">
            <v>0</v>
          </cell>
        </row>
      </sheetData>
      <sheetData sheetId="2020">
        <row r="5">
          <cell r="I5">
            <v>0</v>
          </cell>
        </row>
      </sheetData>
      <sheetData sheetId="2021">
        <row r="5">
          <cell r="I5">
            <v>0</v>
          </cell>
        </row>
      </sheetData>
      <sheetData sheetId="2022">
        <row r="5">
          <cell r="I5">
            <v>0</v>
          </cell>
        </row>
      </sheetData>
      <sheetData sheetId="2023">
        <row r="5">
          <cell r="I5">
            <v>0</v>
          </cell>
        </row>
      </sheetData>
      <sheetData sheetId="2024">
        <row r="5">
          <cell r="I5">
            <v>0</v>
          </cell>
        </row>
      </sheetData>
      <sheetData sheetId="2025">
        <row r="5">
          <cell r="I5">
            <v>0</v>
          </cell>
        </row>
      </sheetData>
      <sheetData sheetId="2026">
        <row r="5">
          <cell r="I5">
            <v>0</v>
          </cell>
        </row>
      </sheetData>
      <sheetData sheetId="2027">
        <row r="5">
          <cell r="I5">
            <v>0</v>
          </cell>
        </row>
      </sheetData>
      <sheetData sheetId="2028">
        <row r="5">
          <cell r="I5">
            <v>0</v>
          </cell>
        </row>
      </sheetData>
      <sheetData sheetId="2029">
        <row r="5">
          <cell r="I5">
            <v>0</v>
          </cell>
        </row>
      </sheetData>
      <sheetData sheetId="2030">
        <row r="5">
          <cell r="I5">
            <v>0</v>
          </cell>
        </row>
      </sheetData>
      <sheetData sheetId="2031">
        <row r="5">
          <cell r="I5">
            <v>0</v>
          </cell>
        </row>
      </sheetData>
      <sheetData sheetId="2032">
        <row r="5">
          <cell r="I5">
            <v>0</v>
          </cell>
        </row>
      </sheetData>
      <sheetData sheetId="2033">
        <row r="5">
          <cell r="I5">
            <v>0</v>
          </cell>
        </row>
      </sheetData>
      <sheetData sheetId="2034">
        <row r="5">
          <cell r="I5">
            <v>0</v>
          </cell>
        </row>
      </sheetData>
      <sheetData sheetId="2035">
        <row r="5">
          <cell r="I5">
            <v>0</v>
          </cell>
        </row>
      </sheetData>
      <sheetData sheetId="2036">
        <row r="5">
          <cell r="I5">
            <v>0</v>
          </cell>
        </row>
      </sheetData>
      <sheetData sheetId="2037">
        <row r="5">
          <cell r="I5">
            <v>0</v>
          </cell>
        </row>
      </sheetData>
      <sheetData sheetId="2038">
        <row r="5">
          <cell r="I5">
            <v>0</v>
          </cell>
        </row>
      </sheetData>
      <sheetData sheetId="2039">
        <row r="5">
          <cell r="I5">
            <v>0</v>
          </cell>
        </row>
      </sheetData>
      <sheetData sheetId="2040">
        <row r="5">
          <cell r="I5">
            <v>0</v>
          </cell>
        </row>
      </sheetData>
      <sheetData sheetId="2041">
        <row r="5">
          <cell r="I5">
            <v>0</v>
          </cell>
        </row>
      </sheetData>
      <sheetData sheetId="2042">
        <row r="5">
          <cell r="I5">
            <v>0</v>
          </cell>
        </row>
      </sheetData>
      <sheetData sheetId="2043">
        <row r="5">
          <cell r="I5">
            <v>0</v>
          </cell>
        </row>
      </sheetData>
      <sheetData sheetId="2044">
        <row r="5">
          <cell r="I5">
            <v>0</v>
          </cell>
        </row>
      </sheetData>
      <sheetData sheetId="2045">
        <row r="5">
          <cell r="I5">
            <v>0</v>
          </cell>
        </row>
      </sheetData>
      <sheetData sheetId="2046">
        <row r="5">
          <cell r="I5">
            <v>0</v>
          </cell>
        </row>
      </sheetData>
      <sheetData sheetId="2047">
        <row r="5">
          <cell r="I5">
            <v>0</v>
          </cell>
        </row>
      </sheetData>
      <sheetData sheetId="2048">
        <row r="5">
          <cell r="I5">
            <v>0</v>
          </cell>
        </row>
      </sheetData>
      <sheetData sheetId="2049">
        <row r="5">
          <cell r="I5">
            <v>0</v>
          </cell>
        </row>
      </sheetData>
      <sheetData sheetId="2050">
        <row r="5">
          <cell r="I5">
            <v>0</v>
          </cell>
        </row>
      </sheetData>
      <sheetData sheetId="2051">
        <row r="5">
          <cell r="I5">
            <v>0</v>
          </cell>
        </row>
      </sheetData>
      <sheetData sheetId="2052">
        <row r="5">
          <cell r="I5">
            <v>0</v>
          </cell>
        </row>
      </sheetData>
      <sheetData sheetId="2053">
        <row r="5">
          <cell r="I5">
            <v>0</v>
          </cell>
        </row>
      </sheetData>
      <sheetData sheetId="2054">
        <row r="5">
          <cell r="I5">
            <v>0</v>
          </cell>
        </row>
      </sheetData>
      <sheetData sheetId="2055">
        <row r="5">
          <cell r="I5">
            <v>0</v>
          </cell>
        </row>
      </sheetData>
      <sheetData sheetId="2056">
        <row r="5">
          <cell r="I5">
            <v>0</v>
          </cell>
        </row>
      </sheetData>
      <sheetData sheetId="2057">
        <row r="5">
          <cell r="I5">
            <v>0</v>
          </cell>
        </row>
      </sheetData>
      <sheetData sheetId="2058">
        <row r="5">
          <cell r="I5">
            <v>0</v>
          </cell>
        </row>
      </sheetData>
      <sheetData sheetId="2059">
        <row r="5">
          <cell r="I5">
            <v>0</v>
          </cell>
        </row>
      </sheetData>
      <sheetData sheetId="2060">
        <row r="5">
          <cell r="I5">
            <v>0</v>
          </cell>
        </row>
      </sheetData>
      <sheetData sheetId="2061">
        <row r="5">
          <cell r="I5">
            <v>0</v>
          </cell>
        </row>
      </sheetData>
      <sheetData sheetId="2062">
        <row r="5">
          <cell r="I5">
            <v>0</v>
          </cell>
        </row>
      </sheetData>
      <sheetData sheetId="2063">
        <row r="5">
          <cell r="I5">
            <v>0</v>
          </cell>
        </row>
      </sheetData>
      <sheetData sheetId="2064">
        <row r="5">
          <cell r="I5">
            <v>0</v>
          </cell>
        </row>
      </sheetData>
      <sheetData sheetId="2065">
        <row r="5">
          <cell r="I5">
            <v>0</v>
          </cell>
        </row>
      </sheetData>
      <sheetData sheetId="2066">
        <row r="5">
          <cell r="I5">
            <v>0</v>
          </cell>
        </row>
      </sheetData>
      <sheetData sheetId="2067">
        <row r="5">
          <cell r="I5">
            <v>0</v>
          </cell>
        </row>
      </sheetData>
      <sheetData sheetId="2068">
        <row r="5">
          <cell r="I5">
            <v>0</v>
          </cell>
        </row>
      </sheetData>
      <sheetData sheetId="2069">
        <row r="5">
          <cell r="I5">
            <v>0</v>
          </cell>
        </row>
      </sheetData>
      <sheetData sheetId="2070">
        <row r="5">
          <cell r="I5">
            <v>0</v>
          </cell>
        </row>
      </sheetData>
      <sheetData sheetId="2071">
        <row r="5">
          <cell r="I5">
            <v>0</v>
          </cell>
        </row>
      </sheetData>
      <sheetData sheetId="2072">
        <row r="5">
          <cell r="I5">
            <v>0</v>
          </cell>
        </row>
      </sheetData>
      <sheetData sheetId="2073">
        <row r="5">
          <cell r="I5">
            <v>0</v>
          </cell>
        </row>
      </sheetData>
      <sheetData sheetId="2074">
        <row r="5">
          <cell r="I5">
            <v>0</v>
          </cell>
        </row>
      </sheetData>
      <sheetData sheetId="2075">
        <row r="5">
          <cell r="I5">
            <v>0</v>
          </cell>
        </row>
      </sheetData>
      <sheetData sheetId="2076">
        <row r="5">
          <cell r="I5">
            <v>0</v>
          </cell>
        </row>
      </sheetData>
      <sheetData sheetId="2077">
        <row r="5">
          <cell r="I5">
            <v>0</v>
          </cell>
        </row>
      </sheetData>
      <sheetData sheetId="2078">
        <row r="5">
          <cell r="I5">
            <v>0</v>
          </cell>
        </row>
      </sheetData>
      <sheetData sheetId="2079">
        <row r="5">
          <cell r="I5">
            <v>0</v>
          </cell>
        </row>
      </sheetData>
      <sheetData sheetId="2080">
        <row r="5">
          <cell r="I5">
            <v>0</v>
          </cell>
        </row>
      </sheetData>
      <sheetData sheetId="2081">
        <row r="5">
          <cell r="I5">
            <v>0</v>
          </cell>
        </row>
      </sheetData>
      <sheetData sheetId="2082">
        <row r="5">
          <cell r="I5">
            <v>0</v>
          </cell>
        </row>
      </sheetData>
      <sheetData sheetId="2083">
        <row r="5">
          <cell r="I5">
            <v>0</v>
          </cell>
        </row>
      </sheetData>
      <sheetData sheetId="2084">
        <row r="5">
          <cell r="I5">
            <v>0</v>
          </cell>
        </row>
      </sheetData>
      <sheetData sheetId="2085">
        <row r="5">
          <cell r="I5">
            <v>0</v>
          </cell>
        </row>
      </sheetData>
      <sheetData sheetId="2086">
        <row r="5">
          <cell r="I5">
            <v>0</v>
          </cell>
        </row>
      </sheetData>
      <sheetData sheetId="2087">
        <row r="5">
          <cell r="I5">
            <v>0</v>
          </cell>
        </row>
      </sheetData>
      <sheetData sheetId="2088">
        <row r="5">
          <cell r="I5">
            <v>0</v>
          </cell>
        </row>
      </sheetData>
      <sheetData sheetId="2089">
        <row r="5">
          <cell r="I5">
            <v>0</v>
          </cell>
        </row>
      </sheetData>
      <sheetData sheetId="2090">
        <row r="5">
          <cell r="I5">
            <v>0</v>
          </cell>
        </row>
      </sheetData>
      <sheetData sheetId="2091">
        <row r="5">
          <cell r="I5">
            <v>0</v>
          </cell>
        </row>
      </sheetData>
      <sheetData sheetId="2092">
        <row r="5">
          <cell r="I5">
            <v>0</v>
          </cell>
        </row>
      </sheetData>
      <sheetData sheetId="2093">
        <row r="5">
          <cell r="I5">
            <v>0</v>
          </cell>
        </row>
      </sheetData>
      <sheetData sheetId="2094">
        <row r="5">
          <cell r="I5">
            <v>0</v>
          </cell>
        </row>
      </sheetData>
      <sheetData sheetId="2095">
        <row r="5">
          <cell r="I5">
            <v>0</v>
          </cell>
        </row>
      </sheetData>
      <sheetData sheetId="2096">
        <row r="5">
          <cell r="I5">
            <v>0</v>
          </cell>
        </row>
      </sheetData>
      <sheetData sheetId="2097">
        <row r="5">
          <cell r="I5">
            <v>0</v>
          </cell>
        </row>
      </sheetData>
      <sheetData sheetId="2098">
        <row r="5">
          <cell r="I5">
            <v>0</v>
          </cell>
        </row>
      </sheetData>
      <sheetData sheetId="2099">
        <row r="5">
          <cell r="I5">
            <v>0</v>
          </cell>
        </row>
      </sheetData>
      <sheetData sheetId="2100">
        <row r="5">
          <cell r="I5">
            <v>0</v>
          </cell>
        </row>
      </sheetData>
      <sheetData sheetId="2101">
        <row r="5">
          <cell r="I5">
            <v>0</v>
          </cell>
        </row>
      </sheetData>
      <sheetData sheetId="2102">
        <row r="5">
          <cell r="I5">
            <v>0</v>
          </cell>
        </row>
      </sheetData>
      <sheetData sheetId="2103">
        <row r="5">
          <cell r="I5">
            <v>0</v>
          </cell>
        </row>
      </sheetData>
      <sheetData sheetId="2104">
        <row r="5">
          <cell r="I5">
            <v>0</v>
          </cell>
        </row>
      </sheetData>
      <sheetData sheetId="2105">
        <row r="5">
          <cell r="I5">
            <v>0</v>
          </cell>
        </row>
      </sheetData>
      <sheetData sheetId="2106">
        <row r="5">
          <cell r="I5">
            <v>0</v>
          </cell>
        </row>
      </sheetData>
      <sheetData sheetId="2107">
        <row r="5">
          <cell r="I5">
            <v>0</v>
          </cell>
        </row>
      </sheetData>
      <sheetData sheetId="2108">
        <row r="5">
          <cell r="I5">
            <v>0</v>
          </cell>
        </row>
      </sheetData>
      <sheetData sheetId="2109">
        <row r="5">
          <cell r="I5">
            <v>0</v>
          </cell>
        </row>
      </sheetData>
      <sheetData sheetId="2110">
        <row r="5">
          <cell r="I5">
            <v>0</v>
          </cell>
        </row>
      </sheetData>
      <sheetData sheetId="2111">
        <row r="5">
          <cell r="I5">
            <v>0</v>
          </cell>
        </row>
      </sheetData>
      <sheetData sheetId="2112">
        <row r="5">
          <cell r="I5">
            <v>0</v>
          </cell>
        </row>
      </sheetData>
      <sheetData sheetId="2113">
        <row r="5">
          <cell r="I5">
            <v>0</v>
          </cell>
        </row>
      </sheetData>
      <sheetData sheetId="2114">
        <row r="5">
          <cell r="I5">
            <v>0</v>
          </cell>
        </row>
      </sheetData>
      <sheetData sheetId="2115">
        <row r="5">
          <cell r="I5">
            <v>0</v>
          </cell>
        </row>
      </sheetData>
      <sheetData sheetId="2116">
        <row r="5">
          <cell r="I5">
            <v>0</v>
          </cell>
        </row>
      </sheetData>
      <sheetData sheetId="2117">
        <row r="5">
          <cell r="I5">
            <v>0</v>
          </cell>
        </row>
      </sheetData>
      <sheetData sheetId="2118">
        <row r="5">
          <cell r="I5">
            <v>0</v>
          </cell>
        </row>
      </sheetData>
      <sheetData sheetId="2119">
        <row r="5">
          <cell r="I5">
            <v>0</v>
          </cell>
        </row>
      </sheetData>
      <sheetData sheetId="2120">
        <row r="5">
          <cell r="I5">
            <v>0</v>
          </cell>
        </row>
      </sheetData>
      <sheetData sheetId="2121">
        <row r="5">
          <cell r="I5">
            <v>0</v>
          </cell>
        </row>
      </sheetData>
      <sheetData sheetId="2122">
        <row r="5">
          <cell r="I5">
            <v>0</v>
          </cell>
        </row>
      </sheetData>
      <sheetData sheetId="2123">
        <row r="5">
          <cell r="I5">
            <v>0</v>
          </cell>
        </row>
      </sheetData>
      <sheetData sheetId="2124">
        <row r="5">
          <cell r="I5">
            <v>0</v>
          </cell>
        </row>
      </sheetData>
      <sheetData sheetId="2125">
        <row r="5">
          <cell r="I5">
            <v>0</v>
          </cell>
        </row>
      </sheetData>
      <sheetData sheetId="2126">
        <row r="5">
          <cell r="I5">
            <v>0</v>
          </cell>
        </row>
      </sheetData>
      <sheetData sheetId="2127">
        <row r="5">
          <cell r="I5">
            <v>0</v>
          </cell>
        </row>
      </sheetData>
      <sheetData sheetId="2128">
        <row r="5">
          <cell r="I5">
            <v>0</v>
          </cell>
        </row>
      </sheetData>
      <sheetData sheetId="2129">
        <row r="5">
          <cell r="I5">
            <v>0</v>
          </cell>
        </row>
      </sheetData>
      <sheetData sheetId="2130">
        <row r="5">
          <cell r="I5">
            <v>0</v>
          </cell>
        </row>
      </sheetData>
      <sheetData sheetId="2131">
        <row r="5">
          <cell r="I5">
            <v>0</v>
          </cell>
        </row>
      </sheetData>
      <sheetData sheetId="2132">
        <row r="5">
          <cell r="I5">
            <v>0</v>
          </cell>
        </row>
      </sheetData>
      <sheetData sheetId="2133">
        <row r="5">
          <cell r="I5">
            <v>0</v>
          </cell>
        </row>
      </sheetData>
      <sheetData sheetId="2134">
        <row r="5">
          <cell r="I5">
            <v>0</v>
          </cell>
        </row>
      </sheetData>
      <sheetData sheetId="2135">
        <row r="5">
          <cell r="I5">
            <v>0</v>
          </cell>
        </row>
      </sheetData>
      <sheetData sheetId="2136">
        <row r="5">
          <cell r="I5">
            <v>0</v>
          </cell>
        </row>
      </sheetData>
      <sheetData sheetId="2137">
        <row r="5">
          <cell r="I5">
            <v>0</v>
          </cell>
        </row>
      </sheetData>
      <sheetData sheetId="2138">
        <row r="5">
          <cell r="I5">
            <v>0</v>
          </cell>
        </row>
      </sheetData>
      <sheetData sheetId="2139">
        <row r="5">
          <cell r="I5">
            <v>0</v>
          </cell>
        </row>
      </sheetData>
      <sheetData sheetId="2140">
        <row r="5">
          <cell r="I5">
            <v>0</v>
          </cell>
        </row>
      </sheetData>
      <sheetData sheetId="2141">
        <row r="5">
          <cell r="I5">
            <v>0</v>
          </cell>
        </row>
      </sheetData>
      <sheetData sheetId="2142">
        <row r="5">
          <cell r="I5">
            <v>0</v>
          </cell>
        </row>
      </sheetData>
      <sheetData sheetId="2143">
        <row r="5">
          <cell r="I5">
            <v>0</v>
          </cell>
        </row>
      </sheetData>
      <sheetData sheetId="2144">
        <row r="5">
          <cell r="I5">
            <v>0</v>
          </cell>
        </row>
      </sheetData>
      <sheetData sheetId="2145">
        <row r="5">
          <cell r="I5">
            <v>0</v>
          </cell>
        </row>
      </sheetData>
      <sheetData sheetId="2146">
        <row r="5">
          <cell r="I5">
            <v>0</v>
          </cell>
        </row>
      </sheetData>
      <sheetData sheetId="2147">
        <row r="5">
          <cell r="I5">
            <v>0</v>
          </cell>
        </row>
      </sheetData>
      <sheetData sheetId="2148">
        <row r="5">
          <cell r="I5">
            <v>0</v>
          </cell>
        </row>
      </sheetData>
      <sheetData sheetId="2149">
        <row r="5">
          <cell r="I5">
            <v>0</v>
          </cell>
        </row>
      </sheetData>
      <sheetData sheetId="2150">
        <row r="5">
          <cell r="I5">
            <v>0</v>
          </cell>
        </row>
      </sheetData>
      <sheetData sheetId="2151">
        <row r="5">
          <cell r="I5">
            <v>0</v>
          </cell>
        </row>
      </sheetData>
      <sheetData sheetId="2152">
        <row r="5">
          <cell r="I5">
            <v>0</v>
          </cell>
        </row>
      </sheetData>
      <sheetData sheetId="2153">
        <row r="5">
          <cell r="I5">
            <v>0</v>
          </cell>
        </row>
      </sheetData>
      <sheetData sheetId="2154">
        <row r="5">
          <cell r="I5">
            <v>0</v>
          </cell>
        </row>
      </sheetData>
      <sheetData sheetId="2155">
        <row r="5">
          <cell r="I5">
            <v>0</v>
          </cell>
        </row>
      </sheetData>
      <sheetData sheetId="2156">
        <row r="5">
          <cell r="I5">
            <v>0</v>
          </cell>
        </row>
      </sheetData>
      <sheetData sheetId="2157">
        <row r="5">
          <cell r="I5">
            <v>0</v>
          </cell>
        </row>
      </sheetData>
      <sheetData sheetId="2158">
        <row r="5">
          <cell r="I5">
            <v>0</v>
          </cell>
        </row>
      </sheetData>
      <sheetData sheetId="2159">
        <row r="5">
          <cell r="I5">
            <v>0</v>
          </cell>
        </row>
      </sheetData>
      <sheetData sheetId="2160">
        <row r="5">
          <cell r="I5">
            <v>0</v>
          </cell>
        </row>
      </sheetData>
      <sheetData sheetId="2161">
        <row r="5">
          <cell r="I5">
            <v>0</v>
          </cell>
        </row>
      </sheetData>
      <sheetData sheetId="2162">
        <row r="5">
          <cell r="I5">
            <v>0</v>
          </cell>
        </row>
      </sheetData>
      <sheetData sheetId="2163">
        <row r="5">
          <cell r="I5">
            <v>0</v>
          </cell>
        </row>
      </sheetData>
      <sheetData sheetId="2164">
        <row r="5">
          <cell r="I5">
            <v>0</v>
          </cell>
        </row>
      </sheetData>
      <sheetData sheetId="2165">
        <row r="5">
          <cell r="I5">
            <v>0</v>
          </cell>
        </row>
      </sheetData>
      <sheetData sheetId="2166">
        <row r="5">
          <cell r="I5">
            <v>0</v>
          </cell>
        </row>
      </sheetData>
      <sheetData sheetId="2167">
        <row r="5">
          <cell r="I5">
            <v>0</v>
          </cell>
        </row>
      </sheetData>
      <sheetData sheetId="2168">
        <row r="5">
          <cell r="I5">
            <v>0</v>
          </cell>
        </row>
      </sheetData>
      <sheetData sheetId="2169">
        <row r="5">
          <cell r="I5">
            <v>0</v>
          </cell>
        </row>
      </sheetData>
      <sheetData sheetId="2170">
        <row r="5">
          <cell r="I5">
            <v>0</v>
          </cell>
        </row>
      </sheetData>
      <sheetData sheetId="2171">
        <row r="5">
          <cell r="I5">
            <v>0</v>
          </cell>
        </row>
      </sheetData>
      <sheetData sheetId="2172">
        <row r="5">
          <cell r="I5">
            <v>0</v>
          </cell>
        </row>
      </sheetData>
      <sheetData sheetId="2173">
        <row r="5">
          <cell r="I5">
            <v>0</v>
          </cell>
        </row>
      </sheetData>
      <sheetData sheetId="2174">
        <row r="5">
          <cell r="I5">
            <v>0</v>
          </cell>
        </row>
      </sheetData>
      <sheetData sheetId="2175">
        <row r="5">
          <cell r="I5">
            <v>0</v>
          </cell>
        </row>
      </sheetData>
      <sheetData sheetId="2176">
        <row r="5">
          <cell r="I5">
            <v>0</v>
          </cell>
        </row>
      </sheetData>
      <sheetData sheetId="2177">
        <row r="5">
          <cell r="I5">
            <v>0</v>
          </cell>
        </row>
      </sheetData>
      <sheetData sheetId="2178">
        <row r="5">
          <cell r="I5">
            <v>0</v>
          </cell>
        </row>
      </sheetData>
      <sheetData sheetId="2179">
        <row r="5">
          <cell r="I5">
            <v>0</v>
          </cell>
        </row>
      </sheetData>
      <sheetData sheetId="2180">
        <row r="5">
          <cell r="I5">
            <v>0</v>
          </cell>
        </row>
      </sheetData>
      <sheetData sheetId="2181">
        <row r="5">
          <cell r="I5">
            <v>0</v>
          </cell>
        </row>
      </sheetData>
      <sheetData sheetId="2182">
        <row r="5">
          <cell r="I5">
            <v>0</v>
          </cell>
        </row>
      </sheetData>
      <sheetData sheetId="2183">
        <row r="5">
          <cell r="I5">
            <v>0</v>
          </cell>
        </row>
      </sheetData>
      <sheetData sheetId="2184">
        <row r="5">
          <cell r="I5">
            <v>0</v>
          </cell>
        </row>
      </sheetData>
      <sheetData sheetId="2185">
        <row r="5">
          <cell r="I5">
            <v>0</v>
          </cell>
        </row>
      </sheetData>
      <sheetData sheetId="2186">
        <row r="5">
          <cell r="I5">
            <v>0</v>
          </cell>
        </row>
      </sheetData>
      <sheetData sheetId="2187">
        <row r="5">
          <cell r="I5">
            <v>0</v>
          </cell>
        </row>
      </sheetData>
      <sheetData sheetId="2188">
        <row r="5">
          <cell r="I5">
            <v>0</v>
          </cell>
        </row>
      </sheetData>
      <sheetData sheetId="2189">
        <row r="5">
          <cell r="I5">
            <v>0</v>
          </cell>
        </row>
      </sheetData>
      <sheetData sheetId="2190">
        <row r="5">
          <cell r="I5">
            <v>0</v>
          </cell>
        </row>
      </sheetData>
      <sheetData sheetId="2191">
        <row r="5">
          <cell r="I5">
            <v>0</v>
          </cell>
        </row>
      </sheetData>
      <sheetData sheetId="2192">
        <row r="5">
          <cell r="I5">
            <v>0</v>
          </cell>
        </row>
      </sheetData>
      <sheetData sheetId="2193">
        <row r="5">
          <cell r="I5">
            <v>0</v>
          </cell>
        </row>
      </sheetData>
      <sheetData sheetId="2194">
        <row r="5">
          <cell r="I5">
            <v>0</v>
          </cell>
        </row>
      </sheetData>
      <sheetData sheetId="2195">
        <row r="5">
          <cell r="I5">
            <v>0</v>
          </cell>
        </row>
      </sheetData>
      <sheetData sheetId="2196">
        <row r="5">
          <cell r="I5">
            <v>0</v>
          </cell>
        </row>
      </sheetData>
      <sheetData sheetId="2197">
        <row r="5">
          <cell r="I5">
            <v>0</v>
          </cell>
        </row>
      </sheetData>
      <sheetData sheetId="2198">
        <row r="5">
          <cell r="I5">
            <v>0</v>
          </cell>
        </row>
      </sheetData>
      <sheetData sheetId="2199">
        <row r="5">
          <cell r="I5">
            <v>0</v>
          </cell>
        </row>
      </sheetData>
      <sheetData sheetId="2200">
        <row r="5">
          <cell r="I5">
            <v>0</v>
          </cell>
        </row>
      </sheetData>
      <sheetData sheetId="2201">
        <row r="5">
          <cell r="I5">
            <v>0</v>
          </cell>
        </row>
      </sheetData>
      <sheetData sheetId="2202">
        <row r="5">
          <cell r="I5">
            <v>0</v>
          </cell>
        </row>
      </sheetData>
      <sheetData sheetId="2203">
        <row r="5">
          <cell r="I5">
            <v>0</v>
          </cell>
        </row>
      </sheetData>
      <sheetData sheetId="2204">
        <row r="5">
          <cell r="I5">
            <v>0</v>
          </cell>
        </row>
      </sheetData>
      <sheetData sheetId="2205">
        <row r="5">
          <cell r="I5">
            <v>0</v>
          </cell>
        </row>
      </sheetData>
      <sheetData sheetId="2206">
        <row r="5">
          <cell r="I5">
            <v>0</v>
          </cell>
        </row>
      </sheetData>
      <sheetData sheetId="2207">
        <row r="5">
          <cell r="I5">
            <v>0</v>
          </cell>
        </row>
      </sheetData>
      <sheetData sheetId="2208">
        <row r="5">
          <cell r="I5">
            <v>0</v>
          </cell>
        </row>
      </sheetData>
      <sheetData sheetId="2209">
        <row r="5">
          <cell r="I5">
            <v>0</v>
          </cell>
        </row>
      </sheetData>
      <sheetData sheetId="2210">
        <row r="5">
          <cell r="I5">
            <v>0</v>
          </cell>
        </row>
      </sheetData>
      <sheetData sheetId="2211">
        <row r="5">
          <cell r="I5">
            <v>0</v>
          </cell>
        </row>
      </sheetData>
      <sheetData sheetId="2212">
        <row r="5">
          <cell r="I5">
            <v>0</v>
          </cell>
        </row>
      </sheetData>
      <sheetData sheetId="2213">
        <row r="5">
          <cell r="I5">
            <v>0</v>
          </cell>
        </row>
      </sheetData>
      <sheetData sheetId="2214">
        <row r="5">
          <cell r="I5">
            <v>0</v>
          </cell>
        </row>
      </sheetData>
      <sheetData sheetId="2215">
        <row r="5">
          <cell r="I5">
            <v>0</v>
          </cell>
        </row>
      </sheetData>
      <sheetData sheetId="2216">
        <row r="5">
          <cell r="I5">
            <v>0</v>
          </cell>
        </row>
      </sheetData>
      <sheetData sheetId="2217">
        <row r="5">
          <cell r="I5">
            <v>0</v>
          </cell>
        </row>
      </sheetData>
      <sheetData sheetId="2218">
        <row r="5">
          <cell r="I5">
            <v>0</v>
          </cell>
        </row>
      </sheetData>
      <sheetData sheetId="2219">
        <row r="5">
          <cell r="I5">
            <v>0</v>
          </cell>
        </row>
      </sheetData>
      <sheetData sheetId="2220">
        <row r="5">
          <cell r="I5">
            <v>0</v>
          </cell>
        </row>
      </sheetData>
      <sheetData sheetId="2221">
        <row r="5">
          <cell r="I5">
            <v>0</v>
          </cell>
        </row>
      </sheetData>
      <sheetData sheetId="2222">
        <row r="5">
          <cell r="I5">
            <v>0</v>
          </cell>
        </row>
      </sheetData>
      <sheetData sheetId="2223">
        <row r="5">
          <cell r="I5">
            <v>0</v>
          </cell>
        </row>
      </sheetData>
      <sheetData sheetId="2224">
        <row r="5">
          <cell r="I5">
            <v>0</v>
          </cell>
        </row>
      </sheetData>
      <sheetData sheetId="2225">
        <row r="5">
          <cell r="I5">
            <v>0</v>
          </cell>
        </row>
      </sheetData>
      <sheetData sheetId="2226">
        <row r="5">
          <cell r="I5">
            <v>0</v>
          </cell>
        </row>
      </sheetData>
      <sheetData sheetId="2227">
        <row r="5">
          <cell r="I5">
            <v>0</v>
          </cell>
        </row>
      </sheetData>
      <sheetData sheetId="2228">
        <row r="5">
          <cell r="I5">
            <v>0</v>
          </cell>
        </row>
      </sheetData>
      <sheetData sheetId="2229">
        <row r="5">
          <cell r="I5">
            <v>0</v>
          </cell>
        </row>
      </sheetData>
      <sheetData sheetId="2230">
        <row r="5">
          <cell r="I5">
            <v>0</v>
          </cell>
        </row>
      </sheetData>
      <sheetData sheetId="2231">
        <row r="5">
          <cell r="I5">
            <v>0</v>
          </cell>
        </row>
      </sheetData>
      <sheetData sheetId="2232">
        <row r="5">
          <cell r="I5">
            <v>0</v>
          </cell>
        </row>
      </sheetData>
      <sheetData sheetId="2233">
        <row r="5">
          <cell r="I5">
            <v>0</v>
          </cell>
        </row>
      </sheetData>
      <sheetData sheetId="2234">
        <row r="5">
          <cell r="I5">
            <v>0</v>
          </cell>
        </row>
      </sheetData>
      <sheetData sheetId="2235">
        <row r="5">
          <cell r="I5">
            <v>0</v>
          </cell>
        </row>
      </sheetData>
      <sheetData sheetId="2236">
        <row r="5">
          <cell r="I5">
            <v>0</v>
          </cell>
        </row>
      </sheetData>
      <sheetData sheetId="2237">
        <row r="5">
          <cell r="I5">
            <v>0</v>
          </cell>
        </row>
      </sheetData>
      <sheetData sheetId="2238">
        <row r="5">
          <cell r="I5">
            <v>0</v>
          </cell>
        </row>
      </sheetData>
      <sheetData sheetId="2239">
        <row r="5">
          <cell r="I5">
            <v>0</v>
          </cell>
        </row>
      </sheetData>
      <sheetData sheetId="2240">
        <row r="5">
          <cell r="I5">
            <v>0</v>
          </cell>
        </row>
      </sheetData>
      <sheetData sheetId="2241">
        <row r="5">
          <cell r="I5">
            <v>0</v>
          </cell>
        </row>
      </sheetData>
      <sheetData sheetId="2242">
        <row r="5">
          <cell r="I5">
            <v>0</v>
          </cell>
        </row>
      </sheetData>
      <sheetData sheetId="2243">
        <row r="5">
          <cell r="I5">
            <v>0</v>
          </cell>
        </row>
      </sheetData>
      <sheetData sheetId="2244">
        <row r="5">
          <cell r="I5">
            <v>0</v>
          </cell>
        </row>
      </sheetData>
      <sheetData sheetId="2245">
        <row r="5">
          <cell r="I5">
            <v>0</v>
          </cell>
        </row>
      </sheetData>
      <sheetData sheetId="2246">
        <row r="5">
          <cell r="I5">
            <v>0</v>
          </cell>
        </row>
      </sheetData>
      <sheetData sheetId="2247">
        <row r="5">
          <cell r="I5">
            <v>0</v>
          </cell>
        </row>
      </sheetData>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ow r="5">
          <cell r="I5">
            <v>0</v>
          </cell>
        </row>
      </sheetData>
      <sheetData sheetId="2258">
        <row r="5">
          <cell r="I5">
            <v>0</v>
          </cell>
        </row>
      </sheetData>
      <sheetData sheetId="2259">
        <row r="5">
          <cell r="I5">
            <v>0</v>
          </cell>
        </row>
      </sheetData>
      <sheetData sheetId="2260">
        <row r="5">
          <cell r="I5">
            <v>0</v>
          </cell>
        </row>
      </sheetData>
      <sheetData sheetId="2261">
        <row r="5">
          <cell r="I5">
            <v>0</v>
          </cell>
        </row>
      </sheetData>
      <sheetData sheetId="2262">
        <row r="5">
          <cell r="I5">
            <v>0</v>
          </cell>
        </row>
      </sheetData>
      <sheetData sheetId="2263">
        <row r="5">
          <cell r="I5">
            <v>0</v>
          </cell>
        </row>
      </sheetData>
      <sheetData sheetId="2264">
        <row r="5">
          <cell r="I5">
            <v>0</v>
          </cell>
        </row>
      </sheetData>
      <sheetData sheetId="2265">
        <row r="5">
          <cell r="I5">
            <v>0</v>
          </cell>
        </row>
      </sheetData>
      <sheetData sheetId="2266">
        <row r="5">
          <cell r="I5">
            <v>0</v>
          </cell>
        </row>
      </sheetData>
      <sheetData sheetId="2267">
        <row r="5">
          <cell r="I5">
            <v>0</v>
          </cell>
        </row>
      </sheetData>
      <sheetData sheetId="2268">
        <row r="5">
          <cell r="I5">
            <v>0</v>
          </cell>
        </row>
      </sheetData>
      <sheetData sheetId="2269">
        <row r="5">
          <cell r="I5">
            <v>0</v>
          </cell>
        </row>
      </sheetData>
      <sheetData sheetId="2270">
        <row r="5">
          <cell r="I5">
            <v>0</v>
          </cell>
        </row>
      </sheetData>
      <sheetData sheetId="2271">
        <row r="5">
          <cell r="I5">
            <v>0</v>
          </cell>
        </row>
      </sheetData>
      <sheetData sheetId="2272">
        <row r="5">
          <cell r="I5">
            <v>0</v>
          </cell>
        </row>
      </sheetData>
      <sheetData sheetId="2273">
        <row r="5">
          <cell r="I5">
            <v>0</v>
          </cell>
        </row>
      </sheetData>
      <sheetData sheetId="2274">
        <row r="5">
          <cell r="I5">
            <v>0</v>
          </cell>
        </row>
      </sheetData>
      <sheetData sheetId="2275">
        <row r="5">
          <cell r="I5">
            <v>0</v>
          </cell>
        </row>
      </sheetData>
      <sheetData sheetId="2276">
        <row r="5">
          <cell r="I5">
            <v>0</v>
          </cell>
        </row>
      </sheetData>
      <sheetData sheetId="2277">
        <row r="5">
          <cell r="I5">
            <v>0</v>
          </cell>
        </row>
      </sheetData>
      <sheetData sheetId="2278">
        <row r="5">
          <cell r="I5">
            <v>0</v>
          </cell>
        </row>
      </sheetData>
      <sheetData sheetId="2279">
        <row r="5">
          <cell r="I5">
            <v>0</v>
          </cell>
        </row>
      </sheetData>
      <sheetData sheetId="2280">
        <row r="5">
          <cell r="I5">
            <v>0</v>
          </cell>
        </row>
      </sheetData>
      <sheetData sheetId="2281">
        <row r="5">
          <cell r="I5">
            <v>0</v>
          </cell>
        </row>
      </sheetData>
      <sheetData sheetId="2282">
        <row r="5">
          <cell r="I5">
            <v>0</v>
          </cell>
        </row>
      </sheetData>
      <sheetData sheetId="2283">
        <row r="5">
          <cell r="I5">
            <v>0</v>
          </cell>
        </row>
      </sheetData>
      <sheetData sheetId="2284">
        <row r="5">
          <cell r="I5">
            <v>0</v>
          </cell>
        </row>
      </sheetData>
      <sheetData sheetId="2285">
        <row r="5">
          <cell r="I5">
            <v>0</v>
          </cell>
        </row>
      </sheetData>
      <sheetData sheetId="2286">
        <row r="5">
          <cell r="I5">
            <v>0</v>
          </cell>
        </row>
      </sheetData>
      <sheetData sheetId="2287">
        <row r="5">
          <cell r="I5">
            <v>0</v>
          </cell>
        </row>
      </sheetData>
      <sheetData sheetId="2288">
        <row r="5">
          <cell r="I5">
            <v>0</v>
          </cell>
        </row>
      </sheetData>
      <sheetData sheetId="2289">
        <row r="5">
          <cell r="I5">
            <v>0</v>
          </cell>
        </row>
      </sheetData>
      <sheetData sheetId="2290">
        <row r="5">
          <cell r="I5">
            <v>0</v>
          </cell>
        </row>
      </sheetData>
      <sheetData sheetId="2291">
        <row r="5">
          <cell r="I5">
            <v>0</v>
          </cell>
        </row>
      </sheetData>
      <sheetData sheetId="2292">
        <row r="5">
          <cell r="I5">
            <v>0</v>
          </cell>
        </row>
      </sheetData>
      <sheetData sheetId="2293">
        <row r="5">
          <cell r="I5">
            <v>0</v>
          </cell>
        </row>
      </sheetData>
      <sheetData sheetId="2294">
        <row r="5">
          <cell r="I5">
            <v>0</v>
          </cell>
        </row>
      </sheetData>
      <sheetData sheetId="2295">
        <row r="5">
          <cell r="I5">
            <v>0</v>
          </cell>
        </row>
      </sheetData>
      <sheetData sheetId="2296">
        <row r="5">
          <cell r="I5">
            <v>0</v>
          </cell>
        </row>
      </sheetData>
      <sheetData sheetId="2297">
        <row r="5">
          <cell r="I5">
            <v>0</v>
          </cell>
        </row>
      </sheetData>
      <sheetData sheetId="2298">
        <row r="5">
          <cell r="I5">
            <v>0</v>
          </cell>
        </row>
      </sheetData>
      <sheetData sheetId="2299">
        <row r="5">
          <cell r="I5">
            <v>0</v>
          </cell>
        </row>
      </sheetData>
      <sheetData sheetId="2300">
        <row r="5">
          <cell r="I5">
            <v>0</v>
          </cell>
        </row>
      </sheetData>
      <sheetData sheetId="2301">
        <row r="5">
          <cell r="I5">
            <v>0</v>
          </cell>
        </row>
      </sheetData>
      <sheetData sheetId="2302">
        <row r="5">
          <cell r="I5">
            <v>0</v>
          </cell>
        </row>
      </sheetData>
      <sheetData sheetId="2303">
        <row r="5">
          <cell r="I5">
            <v>0</v>
          </cell>
        </row>
      </sheetData>
      <sheetData sheetId="2304">
        <row r="5">
          <cell r="I5">
            <v>0</v>
          </cell>
        </row>
      </sheetData>
      <sheetData sheetId="2305">
        <row r="5">
          <cell r="I5">
            <v>0</v>
          </cell>
        </row>
      </sheetData>
      <sheetData sheetId="2306">
        <row r="5">
          <cell r="I5">
            <v>0</v>
          </cell>
        </row>
      </sheetData>
      <sheetData sheetId="2307">
        <row r="5">
          <cell r="I5">
            <v>0</v>
          </cell>
        </row>
      </sheetData>
      <sheetData sheetId="2308">
        <row r="5">
          <cell r="I5">
            <v>0</v>
          </cell>
        </row>
      </sheetData>
      <sheetData sheetId="2309">
        <row r="5">
          <cell r="I5">
            <v>0</v>
          </cell>
        </row>
      </sheetData>
      <sheetData sheetId="2310">
        <row r="5">
          <cell r="I5">
            <v>0</v>
          </cell>
        </row>
      </sheetData>
      <sheetData sheetId="2311">
        <row r="5">
          <cell r="I5">
            <v>0</v>
          </cell>
        </row>
      </sheetData>
      <sheetData sheetId="2312">
        <row r="5">
          <cell r="I5">
            <v>0</v>
          </cell>
        </row>
      </sheetData>
      <sheetData sheetId="2313">
        <row r="5">
          <cell r="I5">
            <v>0</v>
          </cell>
        </row>
      </sheetData>
      <sheetData sheetId="2314">
        <row r="5">
          <cell r="I5">
            <v>0</v>
          </cell>
        </row>
      </sheetData>
      <sheetData sheetId="2315">
        <row r="5">
          <cell r="I5">
            <v>0</v>
          </cell>
        </row>
      </sheetData>
      <sheetData sheetId="2316">
        <row r="5">
          <cell r="I5">
            <v>0</v>
          </cell>
        </row>
      </sheetData>
      <sheetData sheetId="2317">
        <row r="5">
          <cell r="I5">
            <v>0</v>
          </cell>
        </row>
      </sheetData>
      <sheetData sheetId="2318">
        <row r="5">
          <cell r="I5">
            <v>0</v>
          </cell>
        </row>
      </sheetData>
      <sheetData sheetId="2319">
        <row r="5">
          <cell r="I5">
            <v>0</v>
          </cell>
        </row>
      </sheetData>
      <sheetData sheetId="2320">
        <row r="5">
          <cell r="I5">
            <v>0</v>
          </cell>
        </row>
      </sheetData>
      <sheetData sheetId="2321">
        <row r="5">
          <cell r="I5">
            <v>0</v>
          </cell>
        </row>
      </sheetData>
      <sheetData sheetId="2322">
        <row r="5">
          <cell r="I5">
            <v>0</v>
          </cell>
        </row>
      </sheetData>
      <sheetData sheetId="2323">
        <row r="5">
          <cell r="I5">
            <v>0</v>
          </cell>
        </row>
      </sheetData>
      <sheetData sheetId="2324">
        <row r="5">
          <cell r="I5">
            <v>0</v>
          </cell>
        </row>
      </sheetData>
      <sheetData sheetId="2325">
        <row r="5">
          <cell r="I5">
            <v>0</v>
          </cell>
        </row>
      </sheetData>
      <sheetData sheetId="2326">
        <row r="5">
          <cell r="I5">
            <v>0</v>
          </cell>
        </row>
      </sheetData>
      <sheetData sheetId="2327">
        <row r="5">
          <cell r="I5">
            <v>0</v>
          </cell>
        </row>
      </sheetData>
      <sheetData sheetId="2328">
        <row r="5">
          <cell r="I5">
            <v>0</v>
          </cell>
        </row>
      </sheetData>
      <sheetData sheetId="2329">
        <row r="5">
          <cell r="I5">
            <v>0</v>
          </cell>
        </row>
      </sheetData>
      <sheetData sheetId="2330">
        <row r="5">
          <cell r="I5">
            <v>0</v>
          </cell>
        </row>
      </sheetData>
      <sheetData sheetId="2331">
        <row r="5">
          <cell r="I5">
            <v>0</v>
          </cell>
        </row>
      </sheetData>
      <sheetData sheetId="2332">
        <row r="5">
          <cell r="I5">
            <v>0</v>
          </cell>
        </row>
      </sheetData>
      <sheetData sheetId="2333">
        <row r="5">
          <cell r="I5">
            <v>0</v>
          </cell>
        </row>
      </sheetData>
      <sheetData sheetId="2334">
        <row r="5">
          <cell r="I5">
            <v>0</v>
          </cell>
        </row>
      </sheetData>
      <sheetData sheetId="2335">
        <row r="5">
          <cell r="I5">
            <v>0</v>
          </cell>
        </row>
      </sheetData>
      <sheetData sheetId="2336">
        <row r="5">
          <cell r="I5">
            <v>0</v>
          </cell>
        </row>
      </sheetData>
      <sheetData sheetId="2337">
        <row r="5">
          <cell r="I5">
            <v>0</v>
          </cell>
        </row>
      </sheetData>
      <sheetData sheetId="2338">
        <row r="5">
          <cell r="I5">
            <v>0</v>
          </cell>
        </row>
      </sheetData>
      <sheetData sheetId="2339">
        <row r="5">
          <cell r="I5">
            <v>0</v>
          </cell>
        </row>
      </sheetData>
      <sheetData sheetId="2340">
        <row r="5">
          <cell r="I5">
            <v>0</v>
          </cell>
        </row>
      </sheetData>
      <sheetData sheetId="2341">
        <row r="5">
          <cell r="I5">
            <v>0</v>
          </cell>
        </row>
      </sheetData>
      <sheetData sheetId="2342">
        <row r="5">
          <cell r="I5">
            <v>0</v>
          </cell>
        </row>
      </sheetData>
      <sheetData sheetId="2343">
        <row r="5">
          <cell r="I5">
            <v>0</v>
          </cell>
        </row>
      </sheetData>
      <sheetData sheetId="2344">
        <row r="5">
          <cell r="I5">
            <v>0</v>
          </cell>
        </row>
      </sheetData>
      <sheetData sheetId="2345">
        <row r="5">
          <cell r="I5">
            <v>0</v>
          </cell>
        </row>
      </sheetData>
      <sheetData sheetId="2346">
        <row r="5">
          <cell r="I5">
            <v>0</v>
          </cell>
        </row>
      </sheetData>
      <sheetData sheetId="2347">
        <row r="5">
          <cell r="I5">
            <v>0</v>
          </cell>
        </row>
      </sheetData>
      <sheetData sheetId="2348">
        <row r="5">
          <cell r="I5">
            <v>0</v>
          </cell>
        </row>
      </sheetData>
      <sheetData sheetId="2349">
        <row r="5">
          <cell r="I5">
            <v>0</v>
          </cell>
        </row>
      </sheetData>
      <sheetData sheetId="2350">
        <row r="5">
          <cell r="I5">
            <v>0</v>
          </cell>
        </row>
      </sheetData>
      <sheetData sheetId="2351">
        <row r="5">
          <cell r="I5">
            <v>0</v>
          </cell>
        </row>
      </sheetData>
      <sheetData sheetId="2352">
        <row r="5">
          <cell r="I5">
            <v>0</v>
          </cell>
        </row>
      </sheetData>
      <sheetData sheetId="2353">
        <row r="5">
          <cell r="I5">
            <v>0</v>
          </cell>
        </row>
      </sheetData>
      <sheetData sheetId="2354">
        <row r="5">
          <cell r="I5">
            <v>0</v>
          </cell>
        </row>
      </sheetData>
      <sheetData sheetId="2355">
        <row r="5">
          <cell r="I5">
            <v>0</v>
          </cell>
        </row>
      </sheetData>
      <sheetData sheetId="2356">
        <row r="5">
          <cell r="I5">
            <v>0</v>
          </cell>
        </row>
      </sheetData>
      <sheetData sheetId="2357">
        <row r="5">
          <cell r="I5">
            <v>0</v>
          </cell>
        </row>
      </sheetData>
      <sheetData sheetId="2358">
        <row r="5">
          <cell r="I5">
            <v>0</v>
          </cell>
        </row>
      </sheetData>
      <sheetData sheetId="2359">
        <row r="5">
          <cell r="I5">
            <v>0</v>
          </cell>
        </row>
      </sheetData>
      <sheetData sheetId="2360">
        <row r="5">
          <cell r="I5">
            <v>0</v>
          </cell>
        </row>
      </sheetData>
      <sheetData sheetId="2361">
        <row r="5">
          <cell r="I5">
            <v>0</v>
          </cell>
        </row>
      </sheetData>
      <sheetData sheetId="2362">
        <row r="5">
          <cell r="I5">
            <v>0</v>
          </cell>
        </row>
      </sheetData>
      <sheetData sheetId="2363">
        <row r="5">
          <cell r="I5">
            <v>0</v>
          </cell>
        </row>
      </sheetData>
      <sheetData sheetId="2364">
        <row r="5">
          <cell r="I5">
            <v>0</v>
          </cell>
        </row>
      </sheetData>
      <sheetData sheetId="2365">
        <row r="5">
          <cell r="I5">
            <v>0</v>
          </cell>
        </row>
      </sheetData>
      <sheetData sheetId="2366">
        <row r="5">
          <cell r="I5">
            <v>0</v>
          </cell>
        </row>
      </sheetData>
      <sheetData sheetId="2367">
        <row r="5">
          <cell r="I5">
            <v>0</v>
          </cell>
        </row>
      </sheetData>
      <sheetData sheetId="2368">
        <row r="5">
          <cell r="I5">
            <v>0</v>
          </cell>
        </row>
      </sheetData>
      <sheetData sheetId="2369">
        <row r="5">
          <cell r="I5">
            <v>0</v>
          </cell>
        </row>
      </sheetData>
      <sheetData sheetId="2370">
        <row r="5">
          <cell r="I5">
            <v>0</v>
          </cell>
        </row>
      </sheetData>
      <sheetData sheetId="2371">
        <row r="5">
          <cell r="I5">
            <v>0</v>
          </cell>
        </row>
      </sheetData>
      <sheetData sheetId="2372">
        <row r="5">
          <cell r="I5">
            <v>0</v>
          </cell>
        </row>
      </sheetData>
      <sheetData sheetId="2373">
        <row r="5">
          <cell r="I5">
            <v>0</v>
          </cell>
        </row>
      </sheetData>
      <sheetData sheetId="2374">
        <row r="5">
          <cell r="I5">
            <v>0</v>
          </cell>
        </row>
      </sheetData>
      <sheetData sheetId="2375">
        <row r="5">
          <cell r="I5">
            <v>0</v>
          </cell>
        </row>
      </sheetData>
      <sheetData sheetId="2376">
        <row r="5">
          <cell r="I5">
            <v>0</v>
          </cell>
        </row>
      </sheetData>
      <sheetData sheetId="2377">
        <row r="5">
          <cell r="I5">
            <v>0</v>
          </cell>
        </row>
      </sheetData>
      <sheetData sheetId="2378">
        <row r="5">
          <cell r="I5">
            <v>0</v>
          </cell>
        </row>
      </sheetData>
      <sheetData sheetId="2379">
        <row r="5">
          <cell r="I5">
            <v>0</v>
          </cell>
        </row>
      </sheetData>
      <sheetData sheetId="2380">
        <row r="5">
          <cell r="I5">
            <v>0</v>
          </cell>
        </row>
      </sheetData>
      <sheetData sheetId="2381">
        <row r="5">
          <cell r="I5">
            <v>0</v>
          </cell>
        </row>
      </sheetData>
      <sheetData sheetId="2382">
        <row r="5">
          <cell r="I5">
            <v>0</v>
          </cell>
        </row>
      </sheetData>
      <sheetData sheetId="2383">
        <row r="5">
          <cell r="I5">
            <v>0</v>
          </cell>
        </row>
      </sheetData>
      <sheetData sheetId="2384">
        <row r="5">
          <cell r="I5">
            <v>0</v>
          </cell>
        </row>
      </sheetData>
      <sheetData sheetId="2385">
        <row r="5">
          <cell r="I5">
            <v>0</v>
          </cell>
        </row>
      </sheetData>
      <sheetData sheetId="2386">
        <row r="5">
          <cell r="I5">
            <v>0</v>
          </cell>
        </row>
      </sheetData>
      <sheetData sheetId="2387">
        <row r="5">
          <cell r="I5">
            <v>0</v>
          </cell>
        </row>
      </sheetData>
      <sheetData sheetId="2388">
        <row r="5">
          <cell r="I5">
            <v>0</v>
          </cell>
        </row>
      </sheetData>
      <sheetData sheetId="2389">
        <row r="5">
          <cell r="I5">
            <v>0</v>
          </cell>
        </row>
      </sheetData>
      <sheetData sheetId="2390">
        <row r="5">
          <cell r="I5">
            <v>0</v>
          </cell>
        </row>
      </sheetData>
      <sheetData sheetId="2391">
        <row r="5">
          <cell r="I5">
            <v>0</v>
          </cell>
        </row>
      </sheetData>
      <sheetData sheetId="2392">
        <row r="5">
          <cell r="I5">
            <v>0</v>
          </cell>
        </row>
      </sheetData>
      <sheetData sheetId="2393">
        <row r="5">
          <cell r="I5">
            <v>0</v>
          </cell>
        </row>
      </sheetData>
      <sheetData sheetId="2394">
        <row r="5">
          <cell r="I5">
            <v>0</v>
          </cell>
        </row>
      </sheetData>
      <sheetData sheetId="2395">
        <row r="5">
          <cell r="I5">
            <v>0</v>
          </cell>
        </row>
      </sheetData>
      <sheetData sheetId="2396">
        <row r="5">
          <cell r="I5">
            <v>0</v>
          </cell>
        </row>
      </sheetData>
      <sheetData sheetId="2397">
        <row r="5">
          <cell r="I5">
            <v>0</v>
          </cell>
        </row>
      </sheetData>
      <sheetData sheetId="2398">
        <row r="5">
          <cell r="I5">
            <v>0</v>
          </cell>
        </row>
      </sheetData>
      <sheetData sheetId="2399">
        <row r="5">
          <cell r="I5">
            <v>0</v>
          </cell>
        </row>
      </sheetData>
      <sheetData sheetId="2400">
        <row r="5">
          <cell r="I5">
            <v>0</v>
          </cell>
        </row>
      </sheetData>
      <sheetData sheetId="2401">
        <row r="5">
          <cell r="I5">
            <v>0</v>
          </cell>
        </row>
      </sheetData>
      <sheetData sheetId="2402">
        <row r="5">
          <cell r="I5">
            <v>0</v>
          </cell>
        </row>
      </sheetData>
      <sheetData sheetId="2403">
        <row r="5">
          <cell r="I5">
            <v>0</v>
          </cell>
        </row>
      </sheetData>
      <sheetData sheetId="2404">
        <row r="5">
          <cell r="I5">
            <v>0</v>
          </cell>
        </row>
      </sheetData>
      <sheetData sheetId="2405">
        <row r="5">
          <cell r="I5">
            <v>0</v>
          </cell>
        </row>
      </sheetData>
      <sheetData sheetId="2406">
        <row r="5">
          <cell r="I5">
            <v>0</v>
          </cell>
        </row>
      </sheetData>
      <sheetData sheetId="2407">
        <row r="5">
          <cell r="I5">
            <v>0</v>
          </cell>
        </row>
      </sheetData>
      <sheetData sheetId="2408">
        <row r="5">
          <cell r="I5">
            <v>0</v>
          </cell>
        </row>
      </sheetData>
      <sheetData sheetId="2409">
        <row r="5">
          <cell r="I5">
            <v>0</v>
          </cell>
        </row>
      </sheetData>
      <sheetData sheetId="2410">
        <row r="5">
          <cell r="I5">
            <v>0</v>
          </cell>
        </row>
      </sheetData>
      <sheetData sheetId="2411">
        <row r="5">
          <cell r="I5">
            <v>0</v>
          </cell>
        </row>
      </sheetData>
      <sheetData sheetId="2412">
        <row r="5">
          <cell r="I5">
            <v>0</v>
          </cell>
        </row>
      </sheetData>
      <sheetData sheetId="2413">
        <row r="5">
          <cell r="I5">
            <v>0</v>
          </cell>
        </row>
      </sheetData>
      <sheetData sheetId="2414">
        <row r="5">
          <cell r="I5">
            <v>0</v>
          </cell>
        </row>
      </sheetData>
      <sheetData sheetId="2415">
        <row r="5">
          <cell r="I5">
            <v>0</v>
          </cell>
        </row>
      </sheetData>
      <sheetData sheetId="2416">
        <row r="5">
          <cell r="I5">
            <v>0</v>
          </cell>
        </row>
      </sheetData>
      <sheetData sheetId="2417">
        <row r="5">
          <cell r="I5">
            <v>0</v>
          </cell>
        </row>
      </sheetData>
      <sheetData sheetId="2418">
        <row r="5">
          <cell r="I5">
            <v>0</v>
          </cell>
        </row>
      </sheetData>
      <sheetData sheetId="2419">
        <row r="5">
          <cell r="I5">
            <v>0</v>
          </cell>
        </row>
      </sheetData>
      <sheetData sheetId="2420">
        <row r="5">
          <cell r="I5">
            <v>0</v>
          </cell>
        </row>
      </sheetData>
      <sheetData sheetId="2421">
        <row r="5">
          <cell r="I5">
            <v>0</v>
          </cell>
        </row>
      </sheetData>
      <sheetData sheetId="2422">
        <row r="5">
          <cell r="I5">
            <v>0</v>
          </cell>
        </row>
      </sheetData>
      <sheetData sheetId="2423">
        <row r="5">
          <cell r="I5">
            <v>0</v>
          </cell>
        </row>
      </sheetData>
      <sheetData sheetId="2424">
        <row r="5">
          <cell r="I5">
            <v>0</v>
          </cell>
        </row>
      </sheetData>
      <sheetData sheetId="2425">
        <row r="5">
          <cell r="I5">
            <v>0</v>
          </cell>
        </row>
      </sheetData>
      <sheetData sheetId="2426">
        <row r="5">
          <cell r="I5">
            <v>0</v>
          </cell>
        </row>
      </sheetData>
      <sheetData sheetId="2427">
        <row r="5">
          <cell r="I5">
            <v>0</v>
          </cell>
        </row>
      </sheetData>
      <sheetData sheetId="2428">
        <row r="5">
          <cell r="I5">
            <v>0</v>
          </cell>
        </row>
      </sheetData>
      <sheetData sheetId="2429">
        <row r="5">
          <cell r="I5">
            <v>0</v>
          </cell>
        </row>
      </sheetData>
      <sheetData sheetId="2430">
        <row r="5">
          <cell r="I5">
            <v>0</v>
          </cell>
        </row>
      </sheetData>
      <sheetData sheetId="2431">
        <row r="5">
          <cell r="I5">
            <v>0</v>
          </cell>
        </row>
      </sheetData>
      <sheetData sheetId="2432">
        <row r="5">
          <cell r="I5">
            <v>0</v>
          </cell>
        </row>
      </sheetData>
      <sheetData sheetId="2433">
        <row r="5">
          <cell r="I5">
            <v>0</v>
          </cell>
        </row>
      </sheetData>
      <sheetData sheetId="2434">
        <row r="5">
          <cell r="I5">
            <v>0</v>
          </cell>
        </row>
      </sheetData>
      <sheetData sheetId="2435">
        <row r="5">
          <cell r="I5">
            <v>0</v>
          </cell>
        </row>
      </sheetData>
      <sheetData sheetId="2436">
        <row r="5">
          <cell r="I5">
            <v>0</v>
          </cell>
        </row>
      </sheetData>
      <sheetData sheetId="2437">
        <row r="5">
          <cell r="I5">
            <v>0</v>
          </cell>
        </row>
      </sheetData>
      <sheetData sheetId="2438">
        <row r="5">
          <cell r="I5">
            <v>0</v>
          </cell>
        </row>
      </sheetData>
      <sheetData sheetId="2439">
        <row r="5">
          <cell r="I5">
            <v>0</v>
          </cell>
        </row>
      </sheetData>
      <sheetData sheetId="2440">
        <row r="5">
          <cell r="I5">
            <v>0</v>
          </cell>
        </row>
      </sheetData>
      <sheetData sheetId="2441">
        <row r="5">
          <cell r="I5">
            <v>0</v>
          </cell>
        </row>
      </sheetData>
      <sheetData sheetId="2442">
        <row r="5">
          <cell r="I5">
            <v>0</v>
          </cell>
        </row>
      </sheetData>
      <sheetData sheetId="2443">
        <row r="5">
          <cell r="I5">
            <v>0</v>
          </cell>
        </row>
      </sheetData>
      <sheetData sheetId="2444">
        <row r="5">
          <cell r="I5">
            <v>0</v>
          </cell>
        </row>
      </sheetData>
      <sheetData sheetId="2445">
        <row r="5">
          <cell r="I5">
            <v>0</v>
          </cell>
        </row>
      </sheetData>
      <sheetData sheetId="2446">
        <row r="5">
          <cell r="I5">
            <v>0</v>
          </cell>
        </row>
      </sheetData>
      <sheetData sheetId="2447">
        <row r="5">
          <cell r="I5">
            <v>0</v>
          </cell>
        </row>
      </sheetData>
      <sheetData sheetId="2448">
        <row r="5">
          <cell r="I5">
            <v>0</v>
          </cell>
        </row>
      </sheetData>
      <sheetData sheetId="2449">
        <row r="5">
          <cell r="I5">
            <v>0</v>
          </cell>
        </row>
      </sheetData>
      <sheetData sheetId="2450">
        <row r="5">
          <cell r="I5">
            <v>0</v>
          </cell>
        </row>
      </sheetData>
      <sheetData sheetId="2451">
        <row r="5">
          <cell r="I5">
            <v>0</v>
          </cell>
        </row>
      </sheetData>
      <sheetData sheetId="2452">
        <row r="5">
          <cell r="I5">
            <v>0</v>
          </cell>
        </row>
      </sheetData>
      <sheetData sheetId="2453">
        <row r="5">
          <cell r="I5">
            <v>0</v>
          </cell>
        </row>
      </sheetData>
      <sheetData sheetId="2454">
        <row r="5">
          <cell r="I5">
            <v>0</v>
          </cell>
        </row>
      </sheetData>
      <sheetData sheetId="2455">
        <row r="5">
          <cell r="I5">
            <v>0</v>
          </cell>
        </row>
      </sheetData>
      <sheetData sheetId="2456">
        <row r="5">
          <cell r="I5">
            <v>0</v>
          </cell>
        </row>
      </sheetData>
      <sheetData sheetId="2457">
        <row r="5">
          <cell r="I5">
            <v>0</v>
          </cell>
        </row>
      </sheetData>
      <sheetData sheetId="2458">
        <row r="5">
          <cell r="I5">
            <v>0</v>
          </cell>
        </row>
      </sheetData>
      <sheetData sheetId="2459">
        <row r="5">
          <cell r="I5">
            <v>0</v>
          </cell>
        </row>
      </sheetData>
      <sheetData sheetId="2460">
        <row r="5">
          <cell r="I5">
            <v>0</v>
          </cell>
        </row>
      </sheetData>
      <sheetData sheetId="2461">
        <row r="5">
          <cell r="I5">
            <v>0</v>
          </cell>
        </row>
      </sheetData>
      <sheetData sheetId="2462">
        <row r="5">
          <cell r="I5">
            <v>0</v>
          </cell>
        </row>
      </sheetData>
      <sheetData sheetId="2463">
        <row r="5">
          <cell r="I5">
            <v>0</v>
          </cell>
        </row>
      </sheetData>
      <sheetData sheetId="2464">
        <row r="5">
          <cell r="I5">
            <v>0</v>
          </cell>
        </row>
      </sheetData>
      <sheetData sheetId="2465">
        <row r="5">
          <cell r="I5">
            <v>0</v>
          </cell>
        </row>
      </sheetData>
      <sheetData sheetId="2466">
        <row r="5">
          <cell r="I5">
            <v>0</v>
          </cell>
        </row>
      </sheetData>
      <sheetData sheetId="2467">
        <row r="5">
          <cell r="I5">
            <v>0</v>
          </cell>
        </row>
      </sheetData>
      <sheetData sheetId="2468">
        <row r="5">
          <cell r="I5">
            <v>0</v>
          </cell>
        </row>
      </sheetData>
      <sheetData sheetId="2469">
        <row r="5">
          <cell r="I5">
            <v>0</v>
          </cell>
        </row>
      </sheetData>
      <sheetData sheetId="2470">
        <row r="5">
          <cell r="I5">
            <v>0</v>
          </cell>
        </row>
      </sheetData>
      <sheetData sheetId="2471">
        <row r="5">
          <cell r="I5">
            <v>0</v>
          </cell>
        </row>
      </sheetData>
      <sheetData sheetId="2472">
        <row r="5">
          <cell r="I5">
            <v>0</v>
          </cell>
        </row>
      </sheetData>
      <sheetData sheetId="2473">
        <row r="5">
          <cell r="I5">
            <v>0</v>
          </cell>
        </row>
      </sheetData>
      <sheetData sheetId="2474">
        <row r="5">
          <cell r="I5">
            <v>0</v>
          </cell>
        </row>
      </sheetData>
      <sheetData sheetId="2475">
        <row r="5">
          <cell r="I5">
            <v>0</v>
          </cell>
        </row>
      </sheetData>
      <sheetData sheetId="2476">
        <row r="5">
          <cell r="I5">
            <v>0</v>
          </cell>
        </row>
      </sheetData>
      <sheetData sheetId="2477">
        <row r="5">
          <cell r="I5">
            <v>0</v>
          </cell>
        </row>
      </sheetData>
      <sheetData sheetId="2478">
        <row r="5">
          <cell r="I5">
            <v>0</v>
          </cell>
        </row>
      </sheetData>
      <sheetData sheetId="2479">
        <row r="5">
          <cell r="I5">
            <v>0</v>
          </cell>
        </row>
      </sheetData>
      <sheetData sheetId="2480">
        <row r="5">
          <cell r="I5">
            <v>0</v>
          </cell>
        </row>
      </sheetData>
      <sheetData sheetId="2481">
        <row r="5">
          <cell r="I5">
            <v>0</v>
          </cell>
        </row>
      </sheetData>
      <sheetData sheetId="2482">
        <row r="5">
          <cell r="I5">
            <v>0</v>
          </cell>
        </row>
      </sheetData>
      <sheetData sheetId="2483">
        <row r="5">
          <cell r="I5">
            <v>0</v>
          </cell>
        </row>
      </sheetData>
      <sheetData sheetId="2484">
        <row r="5">
          <cell r="I5">
            <v>0</v>
          </cell>
        </row>
      </sheetData>
      <sheetData sheetId="2485">
        <row r="5">
          <cell r="I5">
            <v>0</v>
          </cell>
        </row>
      </sheetData>
      <sheetData sheetId="2486">
        <row r="5">
          <cell r="I5">
            <v>0</v>
          </cell>
        </row>
      </sheetData>
      <sheetData sheetId="2487">
        <row r="5">
          <cell r="I5">
            <v>0</v>
          </cell>
        </row>
      </sheetData>
      <sheetData sheetId="2488">
        <row r="5">
          <cell r="I5">
            <v>0</v>
          </cell>
        </row>
      </sheetData>
      <sheetData sheetId="2489">
        <row r="5">
          <cell r="I5">
            <v>0</v>
          </cell>
        </row>
      </sheetData>
      <sheetData sheetId="2490">
        <row r="5">
          <cell r="I5">
            <v>0</v>
          </cell>
        </row>
      </sheetData>
      <sheetData sheetId="2491">
        <row r="5">
          <cell r="I5">
            <v>0</v>
          </cell>
        </row>
      </sheetData>
      <sheetData sheetId="2492">
        <row r="5">
          <cell r="I5">
            <v>0</v>
          </cell>
        </row>
      </sheetData>
      <sheetData sheetId="2493">
        <row r="5">
          <cell r="I5">
            <v>0</v>
          </cell>
        </row>
      </sheetData>
      <sheetData sheetId="2494">
        <row r="5">
          <cell r="I5">
            <v>0</v>
          </cell>
        </row>
      </sheetData>
      <sheetData sheetId="2495">
        <row r="5">
          <cell r="I5">
            <v>0</v>
          </cell>
        </row>
      </sheetData>
      <sheetData sheetId="2496">
        <row r="5">
          <cell r="I5">
            <v>0</v>
          </cell>
        </row>
      </sheetData>
      <sheetData sheetId="2497">
        <row r="5">
          <cell r="I5">
            <v>0</v>
          </cell>
        </row>
      </sheetData>
      <sheetData sheetId="2498">
        <row r="5">
          <cell r="I5">
            <v>0</v>
          </cell>
        </row>
      </sheetData>
      <sheetData sheetId="2499">
        <row r="5">
          <cell r="I5">
            <v>0</v>
          </cell>
        </row>
      </sheetData>
      <sheetData sheetId="2500">
        <row r="5">
          <cell r="I5">
            <v>0</v>
          </cell>
        </row>
      </sheetData>
      <sheetData sheetId="2501">
        <row r="5">
          <cell r="I5">
            <v>0</v>
          </cell>
        </row>
      </sheetData>
      <sheetData sheetId="2502">
        <row r="5">
          <cell r="I5">
            <v>0</v>
          </cell>
        </row>
      </sheetData>
      <sheetData sheetId="2503">
        <row r="5">
          <cell r="I5">
            <v>0</v>
          </cell>
        </row>
      </sheetData>
      <sheetData sheetId="2504">
        <row r="5">
          <cell r="I5">
            <v>0</v>
          </cell>
        </row>
      </sheetData>
      <sheetData sheetId="2505">
        <row r="5">
          <cell r="I5">
            <v>0</v>
          </cell>
        </row>
      </sheetData>
      <sheetData sheetId="2506">
        <row r="5">
          <cell r="I5">
            <v>0</v>
          </cell>
        </row>
      </sheetData>
      <sheetData sheetId="2507">
        <row r="5">
          <cell r="I5">
            <v>0</v>
          </cell>
        </row>
      </sheetData>
      <sheetData sheetId="2508">
        <row r="5">
          <cell r="I5">
            <v>0</v>
          </cell>
        </row>
      </sheetData>
      <sheetData sheetId="2509">
        <row r="5">
          <cell r="I5">
            <v>0</v>
          </cell>
        </row>
      </sheetData>
      <sheetData sheetId="2510">
        <row r="5">
          <cell r="I5">
            <v>0</v>
          </cell>
        </row>
      </sheetData>
      <sheetData sheetId="2511">
        <row r="5">
          <cell r="I5">
            <v>0</v>
          </cell>
        </row>
      </sheetData>
      <sheetData sheetId="2512">
        <row r="5">
          <cell r="I5">
            <v>0</v>
          </cell>
        </row>
      </sheetData>
      <sheetData sheetId="2513">
        <row r="5">
          <cell r="I5">
            <v>0</v>
          </cell>
        </row>
      </sheetData>
      <sheetData sheetId="2514">
        <row r="5">
          <cell r="I5">
            <v>0</v>
          </cell>
        </row>
      </sheetData>
      <sheetData sheetId="2515">
        <row r="5">
          <cell r="I5">
            <v>0</v>
          </cell>
        </row>
      </sheetData>
      <sheetData sheetId="2516">
        <row r="5">
          <cell r="I5">
            <v>0</v>
          </cell>
        </row>
      </sheetData>
      <sheetData sheetId="2517">
        <row r="5">
          <cell r="I5">
            <v>0</v>
          </cell>
        </row>
      </sheetData>
      <sheetData sheetId="2518">
        <row r="5">
          <cell r="I5">
            <v>0</v>
          </cell>
        </row>
      </sheetData>
      <sheetData sheetId="2519">
        <row r="5">
          <cell r="I5">
            <v>0</v>
          </cell>
        </row>
      </sheetData>
      <sheetData sheetId="2520">
        <row r="5">
          <cell r="I5">
            <v>0</v>
          </cell>
        </row>
      </sheetData>
      <sheetData sheetId="2521">
        <row r="5">
          <cell r="I5">
            <v>0</v>
          </cell>
        </row>
      </sheetData>
      <sheetData sheetId="2522">
        <row r="5">
          <cell r="I5">
            <v>0</v>
          </cell>
        </row>
      </sheetData>
      <sheetData sheetId="2523">
        <row r="5">
          <cell r="I5">
            <v>0</v>
          </cell>
        </row>
      </sheetData>
      <sheetData sheetId="2524">
        <row r="5">
          <cell r="I5">
            <v>0</v>
          </cell>
        </row>
      </sheetData>
      <sheetData sheetId="2525">
        <row r="5">
          <cell r="I5">
            <v>0</v>
          </cell>
        </row>
      </sheetData>
      <sheetData sheetId="2526">
        <row r="5">
          <cell r="I5">
            <v>0</v>
          </cell>
        </row>
      </sheetData>
      <sheetData sheetId="2527">
        <row r="5">
          <cell r="I5">
            <v>0</v>
          </cell>
        </row>
      </sheetData>
      <sheetData sheetId="2528">
        <row r="5">
          <cell r="I5">
            <v>0</v>
          </cell>
        </row>
      </sheetData>
      <sheetData sheetId="2529">
        <row r="5">
          <cell r="I5">
            <v>0</v>
          </cell>
        </row>
      </sheetData>
      <sheetData sheetId="2530">
        <row r="5">
          <cell r="I5">
            <v>0</v>
          </cell>
        </row>
      </sheetData>
      <sheetData sheetId="2531">
        <row r="5">
          <cell r="I5">
            <v>0</v>
          </cell>
        </row>
      </sheetData>
      <sheetData sheetId="2532">
        <row r="5">
          <cell r="I5">
            <v>0</v>
          </cell>
        </row>
      </sheetData>
      <sheetData sheetId="2533">
        <row r="5">
          <cell r="I5">
            <v>0</v>
          </cell>
        </row>
      </sheetData>
      <sheetData sheetId="2534">
        <row r="5">
          <cell r="I5">
            <v>0</v>
          </cell>
        </row>
      </sheetData>
      <sheetData sheetId="2535">
        <row r="5">
          <cell r="I5">
            <v>0</v>
          </cell>
        </row>
      </sheetData>
      <sheetData sheetId="2536">
        <row r="5">
          <cell r="I5">
            <v>0</v>
          </cell>
        </row>
      </sheetData>
      <sheetData sheetId="2537">
        <row r="5">
          <cell r="I5">
            <v>0</v>
          </cell>
        </row>
      </sheetData>
      <sheetData sheetId="2538">
        <row r="5">
          <cell r="I5">
            <v>0</v>
          </cell>
        </row>
      </sheetData>
      <sheetData sheetId="2539">
        <row r="5">
          <cell r="I5">
            <v>0</v>
          </cell>
        </row>
      </sheetData>
      <sheetData sheetId="2540">
        <row r="5">
          <cell r="I5">
            <v>0</v>
          </cell>
        </row>
      </sheetData>
      <sheetData sheetId="2541">
        <row r="5">
          <cell r="I5">
            <v>0</v>
          </cell>
        </row>
      </sheetData>
      <sheetData sheetId="2542">
        <row r="5">
          <cell r="I5">
            <v>0</v>
          </cell>
        </row>
      </sheetData>
      <sheetData sheetId="2543">
        <row r="5">
          <cell r="I5">
            <v>0</v>
          </cell>
        </row>
      </sheetData>
      <sheetData sheetId="2544">
        <row r="5">
          <cell r="I5">
            <v>0</v>
          </cell>
        </row>
      </sheetData>
      <sheetData sheetId="2545">
        <row r="5">
          <cell r="I5">
            <v>0</v>
          </cell>
        </row>
      </sheetData>
      <sheetData sheetId="2546">
        <row r="5">
          <cell r="I5">
            <v>0</v>
          </cell>
        </row>
      </sheetData>
      <sheetData sheetId="2547">
        <row r="5">
          <cell r="I5">
            <v>0</v>
          </cell>
        </row>
      </sheetData>
      <sheetData sheetId="2548">
        <row r="5">
          <cell r="I5">
            <v>0</v>
          </cell>
        </row>
      </sheetData>
      <sheetData sheetId="2549">
        <row r="5">
          <cell r="I5">
            <v>0</v>
          </cell>
        </row>
      </sheetData>
      <sheetData sheetId="2550">
        <row r="5">
          <cell r="I5">
            <v>0</v>
          </cell>
        </row>
      </sheetData>
      <sheetData sheetId="2551">
        <row r="5">
          <cell r="I5">
            <v>0</v>
          </cell>
        </row>
      </sheetData>
      <sheetData sheetId="2552">
        <row r="5">
          <cell r="I5">
            <v>0</v>
          </cell>
        </row>
      </sheetData>
      <sheetData sheetId="2553">
        <row r="5">
          <cell r="I5">
            <v>0</v>
          </cell>
        </row>
      </sheetData>
      <sheetData sheetId="2554">
        <row r="5">
          <cell r="I5">
            <v>0</v>
          </cell>
        </row>
      </sheetData>
      <sheetData sheetId="2555">
        <row r="5">
          <cell r="I5">
            <v>0</v>
          </cell>
        </row>
      </sheetData>
      <sheetData sheetId="2556">
        <row r="5">
          <cell r="I5">
            <v>0</v>
          </cell>
        </row>
      </sheetData>
      <sheetData sheetId="2557">
        <row r="5">
          <cell r="I5">
            <v>0</v>
          </cell>
        </row>
      </sheetData>
      <sheetData sheetId="2558">
        <row r="5">
          <cell r="I5">
            <v>0</v>
          </cell>
        </row>
      </sheetData>
      <sheetData sheetId="2559">
        <row r="5">
          <cell r="I5">
            <v>0</v>
          </cell>
        </row>
      </sheetData>
      <sheetData sheetId="2560">
        <row r="5">
          <cell r="I5">
            <v>0</v>
          </cell>
        </row>
      </sheetData>
      <sheetData sheetId="2561">
        <row r="5">
          <cell r="I5">
            <v>0</v>
          </cell>
        </row>
      </sheetData>
      <sheetData sheetId="2562">
        <row r="5">
          <cell r="I5">
            <v>0</v>
          </cell>
        </row>
      </sheetData>
      <sheetData sheetId="2563">
        <row r="5">
          <cell r="I5">
            <v>0</v>
          </cell>
        </row>
      </sheetData>
      <sheetData sheetId="2564">
        <row r="5">
          <cell r="I5">
            <v>0</v>
          </cell>
        </row>
      </sheetData>
      <sheetData sheetId="2565">
        <row r="5">
          <cell r="I5">
            <v>0</v>
          </cell>
        </row>
      </sheetData>
      <sheetData sheetId="2566">
        <row r="5">
          <cell r="I5">
            <v>0</v>
          </cell>
        </row>
      </sheetData>
      <sheetData sheetId="2567">
        <row r="5">
          <cell r="I5">
            <v>0</v>
          </cell>
        </row>
      </sheetData>
      <sheetData sheetId="2568">
        <row r="5">
          <cell r="I5">
            <v>0</v>
          </cell>
        </row>
      </sheetData>
      <sheetData sheetId="2569">
        <row r="5">
          <cell r="I5">
            <v>0</v>
          </cell>
        </row>
      </sheetData>
      <sheetData sheetId="2570">
        <row r="5">
          <cell r="I5">
            <v>0</v>
          </cell>
        </row>
      </sheetData>
      <sheetData sheetId="2571">
        <row r="5">
          <cell r="I5">
            <v>0</v>
          </cell>
        </row>
      </sheetData>
      <sheetData sheetId="2572">
        <row r="5">
          <cell r="I5">
            <v>0</v>
          </cell>
        </row>
      </sheetData>
      <sheetData sheetId="2573">
        <row r="5">
          <cell r="I5">
            <v>0</v>
          </cell>
        </row>
      </sheetData>
      <sheetData sheetId="2574">
        <row r="5">
          <cell r="I5">
            <v>0</v>
          </cell>
        </row>
      </sheetData>
      <sheetData sheetId="2575">
        <row r="5">
          <cell r="I5">
            <v>0</v>
          </cell>
        </row>
      </sheetData>
      <sheetData sheetId="2576">
        <row r="5">
          <cell r="I5">
            <v>0</v>
          </cell>
        </row>
      </sheetData>
      <sheetData sheetId="2577">
        <row r="5">
          <cell r="I5">
            <v>0</v>
          </cell>
        </row>
      </sheetData>
      <sheetData sheetId="2578">
        <row r="5">
          <cell r="I5">
            <v>0</v>
          </cell>
        </row>
      </sheetData>
      <sheetData sheetId="2579">
        <row r="5">
          <cell r="I5">
            <v>0</v>
          </cell>
        </row>
      </sheetData>
      <sheetData sheetId="2580">
        <row r="5">
          <cell r="I5">
            <v>0</v>
          </cell>
        </row>
      </sheetData>
      <sheetData sheetId="2581">
        <row r="5">
          <cell r="I5">
            <v>0</v>
          </cell>
        </row>
      </sheetData>
      <sheetData sheetId="2582">
        <row r="5">
          <cell r="I5">
            <v>0</v>
          </cell>
        </row>
      </sheetData>
      <sheetData sheetId="2583">
        <row r="5">
          <cell r="I5">
            <v>0</v>
          </cell>
        </row>
      </sheetData>
      <sheetData sheetId="2584">
        <row r="5">
          <cell r="I5">
            <v>0</v>
          </cell>
        </row>
      </sheetData>
      <sheetData sheetId="2585">
        <row r="5">
          <cell r="I5">
            <v>0</v>
          </cell>
        </row>
      </sheetData>
      <sheetData sheetId="2586">
        <row r="5">
          <cell r="I5">
            <v>0</v>
          </cell>
        </row>
      </sheetData>
      <sheetData sheetId="2587">
        <row r="5">
          <cell r="I5">
            <v>0</v>
          </cell>
        </row>
      </sheetData>
      <sheetData sheetId="2588">
        <row r="5">
          <cell r="I5">
            <v>0</v>
          </cell>
        </row>
      </sheetData>
      <sheetData sheetId="2589">
        <row r="5">
          <cell r="I5">
            <v>0</v>
          </cell>
        </row>
      </sheetData>
      <sheetData sheetId="2590">
        <row r="5">
          <cell r="I5">
            <v>0</v>
          </cell>
        </row>
      </sheetData>
      <sheetData sheetId="2591">
        <row r="5">
          <cell r="I5">
            <v>0</v>
          </cell>
        </row>
      </sheetData>
      <sheetData sheetId="2592">
        <row r="5">
          <cell r="I5">
            <v>0</v>
          </cell>
        </row>
      </sheetData>
      <sheetData sheetId="2593">
        <row r="5">
          <cell r="I5">
            <v>0</v>
          </cell>
        </row>
      </sheetData>
      <sheetData sheetId="2594">
        <row r="5">
          <cell r="I5">
            <v>0</v>
          </cell>
        </row>
      </sheetData>
      <sheetData sheetId="2595">
        <row r="5">
          <cell r="I5">
            <v>0</v>
          </cell>
        </row>
      </sheetData>
      <sheetData sheetId="2596">
        <row r="5">
          <cell r="I5">
            <v>0</v>
          </cell>
        </row>
      </sheetData>
      <sheetData sheetId="2597">
        <row r="5">
          <cell r="I5">
            <v>0</v>
          </cell>
        </row>
      </sheetData>
      <sheetData sheetId="2598">
        <row r="5">
          <cell r="I5">
            <v>0</v>
          </cell>
        </row>
      </sheetData>
      <sheetData sheetId="2599">
        <row r="5">
          <cell r="I5">
            <v>0</v>
          </cell>
        </row>
      </sheetData>
      <sheetData sheetId="2600">
        <row r="5">
          <cell r="I5">
            <v>0</v>
          </cell>
        </row>
      </sheetData>
      <sheetData sheetId="2601">
        <row r="5">
          <cell r="I5">
            <v>0</v>
          </cell>
        </row>
      </sheetData>
      <sheetData sheetId="2602">
        <row r="5">
          <cell r="I5">
            <v>0</v>
          </cell>
        </row>
      </sheetData>
      <sheetData sheetId="2603">
        <row r="5">
          <cell r="I5">
            <v>0</v>
          </cell>
        </row>
      </sheetData>
      <sheetData sheetId="2604">
        <row r="5">
          <cell r="I5">
            <v>0</v>
          </cell>
        </row>
      </sheetData>
      <sheetData sheetId="2605">
        <row r="5">
          <cell r="I5">
            <v>0</v>
          </cell>
        </row>
      </sheetData>
      <sheetData sheetId="2606">
        <row r="5">
          <cell r="I5">
            <v>0</v>
          </cell>
        </row>
      </sheetData>
      <sheetData sheetId="2607">
        <row r="5">
          <cell r="I5">
            <v>0</v>
          </cell>
        </row>
      </sheetData>
      <sheetData sheetId="2608">
        <row r="5">
          <cell r="I5">
            <v>0</v>
          </cell>
        </row>
      </sheetData>
      <sheetData sheetId="2609">
        <row r="5">
          <cell r="I5">
            <v>0</v>
          </cell>
        </row>
      </sheetData>
      <sheetData sheetId="2610">
        <row r="5">
          <cell r="I5">
            <v>0</v>
          </cell>
        </row>
      </sheetData>
      <sheetData sheetId="2611">
        <row r="5">
          <cell r="I5">
            <v>0</v>
          </cell>
        </row>
      </sheetData>
      <sheetData sheetId="2612">
        <row r="5">
          <cell r="I5">
            <v>0</v>
          </cell>
        </row>
      </sheetData>
      <sheetData sheetId="2613">
        <row r="5">
          <cell r="I5">
            <v>0</v>
          </cell>
        </row>
      </sheetData>
      <sheetData sheetId="2614">
        <row r="5">
          <cell r="I5">
            <v>0</v>
          </cell>
        </row>
      </sheetData>
      <sheetData sheetId="2615">
        <row r="5">
          <cell r="I5">
            <v>0</v>
          </cell>
        </row>
      </sheetData>
      <sheetData sheetId="2616">
        <row r="5">
          <cell r="I5">
            <v>0</v>
          </cell>
        </row>
      </sheetData>
      <sheetData sheetId="2617">
        <row r="5">
          <cell r="I5">
            <v>0</v>
          </cell>
        </row>
      </sheetData>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ow r="5">
          <cell r="I5">
            <v>0</v>
          </cell>
        </row>
      </sheetData>
      <sheetData sheetId="2647">
        <row r="5">
          <cell r="I5">
            <v>0</v>
          </cell>
        </row>
      </sheetData>
      <sheetData sheetId="2648">
        <row r="5">
          <cell r="I5">
            <v>0</v>
          </cell>
        </row>
      </sheetData>
      <sheetData sheetId="2649">
        <row r="5">
          <cell r="I5">
            <v>0</v>
          </cell>
        </row>
      </sheetData>
      <sheetData sheetId="2650">
        <row r="5">
          <cell r="I5">
            <v>0</v>
          </cell>
        </row>
      </sheetData>
      <sheetData sheetId="2651">
        <row r="5">
          <cell r="I5">
            <v>0</v>
          </cell>
        </row>
      </sheetData>
      <sheetData sheetId="2652">
        <row r="5">
          <cell r="I5">
            <v>0</v>
          </cell>
        </row>
      </sheetData>
      <sheetData sheetId="2653">
        <row r="5">
          <cell r="I5">
            <v>0</v>
          </cell>
        </row>
      </sheetData>
      <sheetData sheetId="2654">
        <row r="5">
          <cell r="I5">
            <v>0</v>
          </cell>
        </row>
      </sheetData>
      <sheetData sheetId="2655">
        <row r="5">
          <cell r="I5">
            <v>0</v>
          </cell>
        </row>
      </sheetData>
      <sheetData sheetId="2656">
        <row r="5">
          <cell r="I5">
            <v>0</v>
          </cell>
        </row>
      </sheetData>
      <sheetData sheetId="2657">
        <row r="5">
          <cell r="I5">
            <v>0</v>
          </cell>
        </row>
      </sheetData>
      <sheetData sheetId="2658">
        <row r="5">
          <cell r="I5">
            <v>0</v>
          </cell>
        </row>
      </sheetData>
      <sheetData sheetId="2659">
        <row r="5">
          <cell r="I5">
            <v>0</v>
          </cell>
        </row>
      </sheetData>
      <sheetData sheetId="2660">
        <row r="5">
          <cell r="I5">
            <v>0</v>
          </cell>
        </row>
      </sheetData>
      <sheetData sheetId="2661">
        <row r="5">
          <cell r="I5">
            <v>0</v>
          </cell>
        </row>
      </sheetData>
      <sheetData sheetId="2662">
        <row r="5">
          <cell r="I5">
            <v>0</v>
          </cell>
        </row>
      </sheetData>
      <sheetData sheetId="2663">
        <row r="5">
          <cell r="I5">
            <v>0</v>
          </cell>
        </row>
      </sheetData>
      <sheetData sheetId="2664">
        <row r="5">
          <cell r="I5">
            <v>0</v>
          </cell>
        </row>
      </sheetData>
      <sheetData sheetId="2665">
        <row r="5">
          <cell r="I5">
            <v>0</v>
          </cell>
        </row>
      </sheetData>
      <sheetData sheetId="2666">
        <row r="5">
          <cell r="I5">
            <v>0</v>
          </cell>
        </row>
      </sheetData>
      <sheetData sheetId="2667">
        <row r="5">
          <cell r="I5">
            <v>0</v>
          </cell>
        </row>
      </sheetData>
      <sheetData sheetId="2668">
        <row r="5">
          <cell r="I5">
            <v>0</v>
          </cell>
        </row>
      </sheetData>
      <sheetData sheetId="2669">
        <row r="5">
          <cell r="I5">
            <v>0</v>
          </cell>
        </row>
      </sheetData>
      <sheetData sheetId="2670">
        <row r="5">
          <cell r="I5">
            <v>0</v>
          </cell>
        </row>
      </sheetData>
      <sheetData sheetId="2671">
        <row r="5">
          <cell r="I5">
            <v>0</v>
          </cell>
        </row>
      </sheetData>
      <sheetData sheetId="2672">
        <row r="5">
          <cell r="I5">
            <v>0</v>
          </cell>
        </row>
      </sheetData>
      <sheetData sheetId="2673">
        <row r="5">
          <cell r="I5">
            <v>0</v>
          </cell>
        </row>
      </sheetData>
      <sheetData sheetId="2674">
        <row r="5">
          <cell r="I5">
            <v>0</v>
          </cell>
        </row>
      </sheetData>
      <sheetData sheetId="2675">
        <row r="5">
          <cell r="I5">
            <v>0</v>
          </cell>
        </row>
      </sheetData>
      <sheetData sheetId="2676">
        <row r="5">
          <cell r="I5">
            <v>0</v>
          </cell>
        </row>
      </sheetData>
      <sheetData sheetId="2677">
        <row r="5">
          <cell r="I5">
            <v>0</v>
          </cell>
        </row>
      </sheetData>
      <sheetData sheetId="2678">
        <row r="5">
          <cell r="I5">
            <v>0</v>
          </cell>
        </row>
      </sheetData>
      <sheetData sheetId="2679">
        <row r="5">
          <cell r="I5">
            <v>0</v>
          </cell>
        </row>
      </sheetData>
      <sheetData sheetId="2680">
        <row r="5">
          <cell r="I5">
            <v>0</v>
          </cell>
        </row>
      </sheetData>
      <sheetData sheetId="2681">
        <row r="5">
          <cell r="I5">
            <v>0</v>
          </cell>
        </row>
      </sheetData>
      <sheetData sheetId="2682">
        <row r="5">
          <cell r="I5">
            <v>0</v>
          </cell>
        </row>
      </sheetData>
      <sheetData sheetId="2683">
        <row r="5">
          <cell r="I5">
            <v>0</v>
          </cell>
        </row>
      </sheetData>
      <sheetData sheetId="2684">
        <row r="5">
          <cell r="I5">
            <v>0</v>
          </cell>
        </row>
      </sheetData>
      <sheetData sheetId="2685">
        <row r="5">
          <cell r="I5">
            <v>0</v>
          </cell>
        </row>
      </sheetData>
      <sheetData sheetId="2686">
        <row r="5">
          <cell r="I5">
            <v>0</v>
          </cell>
        </row>
      </sheetData>
      <sheetData sheetId="2687">
        <row r="5">
          <cell r="I5">
            <v>0</v>
          </cell>
        </row>
      </sheetData>
      <sheetData sheetId="2688">
        <row r="5">
          <cell r="I5">
            <v>0</v>
          </cell>
        </row>
      </sheetData>
      <sheetData sheetId="2689">
        <row r="5">
          <cell r="I5">
            <v>0</v>
          </cell>
        </row>
      </sheetData>
      <sheetData sheetId="2690">
        <row r="5">
          <cell r="I5">
            <v>0</v>
          </cell>
        </row>
      </sheetData>
      <sheetData sheetId="2691">
        <row r="5">
          <cell r="I5">
            <v>0</v>
          </cell>
        </row>
      </sheetData>
      <sheetData sheetId="2692">
        <row r="5">
          <cell r="I5">
            <v>0</v>
          </cell>
        </row>
      </sheetData>
      <sheetData sheetId="2693">
        <row r="5">
          <cell r="I5">
            <v>0</v>
          </cell>
        </row>
      </sheetData>
      <sheetData sheetId="2694">
        <row r="5">
          <cell r="I5">
            <v>0</v>
          </cell>
        </row>
      </sheetData>
      <sheetData sheetId="2695">
        <row r="5">
          <cell r="I5">
            <v>0</v>
          </cell>
        </row>
      </sheetData>
      <sheetData sheetId="2696">
        <row r="5">
          <cell r="I5">
            <v>0</v>
          </cell>
        </row>
      </sheetData>
      <sheetData sheetId="2697">
        <row r="5">
          <cell r="I5">
            <v>0</v>
          </cell>
        </row>
      </sheetData>
      <sheetData sheetId="2698">
        <row r="5">
          <cell r="I5">
            <v>0</v>
          </cell>
        </row>
      </sheetData>
      <sheetData sheetId="2699">
        <row r="5">
          <cell r="I5">
            <v>0</v>
          </cell>
        </row>
      </sheetData>
      <sheetData sheetId="2700">
        <row r="5">
          <cell r="I5">
            <v>0</v>
          </cell>
        </row>
      </sheetData>
      <sheetData sheetId="2701">
        <row r="5">
          <cell r="I5">
            <v>0</v>
          </cell>
        </row>
      </sheetData>
      <sheetData sheetId="2702">
        <row r="5">
          <cell r="I5">
            <v>0</v>
          </cell>
        </row>
      </sheetData>
      <sheetData sheetId="2703">
        <row r="5">
          <cell r="I5">
            <v>0</v>
          </cell>
        </row>
      </sheetData>
      <sheetData sheetId="2704">
        <row r="5">
          <cell r="I5">
            <v>0</v>
          </cell>
        </row>
      </sheetData>
      <sheetData sheetId="2705">
        <row r="5">
          <cell r="I5">
            <v>0</v>
          </cell>
        </row>
      </sheetData>
      <sheetData sheetId="2706">
        <row r="5">
          <cell r="I5">
            <v>0</v>
          </cell>
        </row>
      </sheetData>
      <sheetData sheetId="2707">
        <row r="5">
          <cell r="I5">
            <v>0</v>
          </cell>
        </row>
      </sheetData>
      <sheetData sheetId="2708">
        <row r="5">
          <cell r="I5">
            <v>0</v>
          </cell>
        </row>
      </sheetData>
      <sheetData sheetId="2709">
        <row r="5">
          <cell r="I5">
            <v>0</v>
          </cell>
        </row>
      </sheetData>
      <sheetData sheetId="2710">
        <row r="5">
          <cell r="I5">
            <v>0</v>
          </cell>
        </row>
      </sheetData>
      <sheetData sheetId="2711">
        <row r="5">
          <cell r="I5">
            <v>0</v>
          </cell>
        </row>
      </sheetData>
      <sheetData sheetId="2712">
        <row r="5">
          <cell r="I5">
            <v>0</v>
          </cell>
        </row>
      </sheetData>
      <sheetData sheetId="2713">
        <row r="5">
          <cell r="I5">
            <v>0</v>
          </cell>
        </row>
      </sheetData>
      <sheetData sheetId="2714">
        <row r="5">
          <cell r="I5">
            <v>0</v>
          </cell>
        </row>
      </sheetData>
      <sheetData sheetId="2715">
        <row r="5">
          <cell r="I5">
            <v>0</v>
          </cell>
        </row>
      </sheetData>
      <sheetData sheetId="2716">
        <row r="5">
          <cell r="I5">
            <v>0</v>
          </cell>
        </row>
      </sheetData>
      <sheetData sheetId="2717">
        <row r="5">
          <cell r="I5">
            <v>0</v>
          </cell>
        </row>
      </sheetData>
      <sheetData sheetId="2718">
        <row r="5">
          <cell r="I5">
            <v>0</v>
          </cell>
        </row>
      </sheetData>
      <sheetData sheetId="2719">
        <row r="5">
          <cell r="I5">
            <v>0</v>
          </cell>
        </row>
      </sheetData>
      <sheetData sheetId="2720">
        <row r="5">
          <cell r="I5">
            <v>0</v>
          </cell>
        </row>
      </sheetData>
      <sheetData sheetId="2721">
        <row r="5">
          <cell r="I5">
            <v>0</v>
          </cell>
        </row>
      </sheetData>
      <sheetData sheetId="2722">
        <row r="5">
          <cell r="I5">
            <v>0</v>
          </cell>
        </row>
      </sheetData>
      <sheetData sheetId="2723">
        <row r="5">
          <cell r="I5">
            <v>0</v>
          </cell>
        </row>
      </sheetData>
      <sheetData sheetId="2724">
        <row r="5">
          <cell r="I5">
            <v>0</v>
          </cell>
        </row>
      </sheetData>
      <sheetData sheetId="2725">
        <row r="5">
          <cell r="I5">
            <v>0</v>
          </cell>
        </row>
      </sheetData>
      <sheetData sheetId="2726">
        <row r="5">
          <cell r="I5">
            <v>0</v>
          </cell>
        </row>
      </sheetData>
      <sheetData sheetId="2727">
        <row r="5">
          <cell r="I5">
            <v>0</v>
          </cell>
        </row>
      </sheetData>
      <sheetData sheetId="2728">
        <row r="5">
          <cell r="I5">
            <v>0</v>
          </cell>
        </row>
      </sheetData>
      <sheetData sheetId="2729">
        <row r="5">
          <cell r="I5">
            <v>0</v>
          </cell>
        </row>
      </sheetData>
      <sheetData sheetId="2730">
        <row r="5">
          <cell r="I5">
            <v>0</v>
          </cell>
        </row>
      </sheetData>
      <sheetData sheetId="2731">
        <row r="5">
          <cell r="I5">
            <v>0</v>
          </cell>
        </row>
      </sheetData>
      <sheetData sheetId="2732">
        <row r="5">
          <cell r="I5">
            <v>0</v>
          </cell>
        </row>
      </sheetData>
      <sheetData sheetId="2733">
        <row r="5">
          <cell r="I5">
            <v>0</v>
          </cell>
        </row>
      </sheetData>
      <sheetData sheetId="2734">
        <row r="5">
          <cell r="I5">
            <v>0</v>
          </cell>
        </row>
      </sheetData>
      <sheetData sheetId="2735">
        <row r="5">
          <cell r="I5">
            <v>0</v>
          </cell>
        </row>
      </sheetData>
      <sheetData sheetId="2736">
        <row r="5">
          <cell r="I5">
            <v>0</v>
          </cell>
        </row>
      </sheetData>
      <sheetData sheetId="2737">
        <row r="5">
          <cell r="I5">
            <v>0</v>
          </cell>
        </row>
      </sheetData>
      <sheetData sheetId="2738">
        <row r="5">
          <cell r="I5">
            <v>0</v>
          </cell>
        </row>
      </sheetData>
      <sheetData sheetId="2739">
        <row r="5">
          <cell r="I5">
            <v>0</v>
          </cell>
        </row>
      </sheetData>
      <sheetData sheetId="2740">
        <row r="5">
          <cell r="I5">
            <v>0</v>
          </cell>
        </row>
      </sheetData>
      <sheetData sheetId="2741">
        <row r="5">
          <cell r="I5">
            <v>0</v>
          </cell>
        </row>
      </sheetData>
      <sheetData sheetId="2742">
        <row r="5">
          <cell r="I5">
            <v>0</v>
          </cell>
        </row>
      </sheetData>
      <sheetData sheetId="2743">
        <row r="5">
          <cell r="I5">
            <v>0</v>
          </cell>
        </row>
      </sheetData>
      <sheetData sheetId="2744">
        <row r="5">
          <cell r="I5">
            <v>0</v>
          </cell>
        </row>
      </sheetData>
      <sheetData sheetId="2745">
        <row r="5">
          <cell r="I5">
            <v>0</v>
          </cell>
        </row>
      </sheetData>
      <sheetData sheetId="2746">
        <row r="5">
          <cell r="I5">
            <v>0</v>
          </cell>
        </row>
      </sheetData>
      <sheetData sheetId="2747">
        <row r="5">
          <cell r="I5">
            <v>0</v>
          </cell>
        </row>
      </sheetData>
      <sheetData sheetId="2748">
        <row r="5">
          <cell r="I5">
            <v>0</v>
          </cell>
        </row>
      </sheetData>
      <sheetData sheetId="2749">
        <row r="5">
          <cell r="I5">
            <v>0</v>
          </cell>
        </row>
      </sheetData>
      <sheetData sheetId="2750">
        <row r="5">
          <cell r="I5">
            <v>0</v>
          </cell>
        </row>
      </sheetData>
      <sheetData sheetId="2751">
        <row r="5">
          <cell r="I5">
            <v>0</v>
          </cell>
        </row>
      </sheetData>
      <sheetData sheetId="2752">
        <row r="5">
          <cell r="I5">
            <v>0</v>
          </cell>
        </row>
      </sheetData>
      <sheetData sheetId="2753">
        <row r="5">
          <cell r="I5">
            <v>0</v>
          </cell>
        </row>
      </sheetData>
      <sheetData sheetId="2754">
        <row r="5">
          <cell r="I5">
            <v>0</v>
          </cell>
        </row>
      </sheetData>
      <sheetData sheetId="2755">
        <row r="5">
          <cell r="I5">
            <v>0</v>
          </cell>
        </row>
      </sheetData>
      <sheetData sheetId="2756">
        <row r="5">
          <cell r="I5">
            <v>0</v>
          </cell>
        </row>
      </sheetData>
      <sheetData sheetId="2757">
        <row r="5">
          <cell r="I5">
            <v>0</v>
          </cell>
        </row>
      </sheetData>
      <sheetData sheetId="2758">
        <row r="5">
          <cell r="I5">
            <v>0</v>
          </cell>
        </row>
      </sheetData>
      <sheetData sheetId="2759">
        <row r="5">
          <cell r="I5">
            <v>0</v>
          </cell>
        </row>
      </sheetData>
      <sheetData sheetId="2760">
        <row r="5">
          <cell r="I5">
            <v>0</v>
          </cell>
        </row>
      </sheetData>
      <sheetData sheetId="2761">
        <row r="5">
          <cell r="I5">
            <v>0</v>
          </cell>
        </row>
      </sheetData>
      <sheetData sheetId="2762">
        <row r="5">
          <cell r="I5">
            <v>0</v>
          </cell>
        </row>
      </sheetData>
      <sheetData sheetId="2763">
        <row r="5">
          <cell r="I5">
            <v>0</v>
          </cell>
        </row>
      </sheetData>
      <sheetData sheetId="2764">
        <row r="5">
          <cell r="I5">
            <v>0</v>
          </cell>
        </row>
      </sheetData>
      <sheetData sheetId="2765">
        <row r="5">
          <cell r="I5">
            <v>0</v>
          </cell>
        </row>
      </sheetData>
      <sheetData sheetId="2766">
        <row r="5">
          <cell r="I5">
            <v>0</v>
          </cell>
        </row>
      </sheetData>
      <sheetData sheetId="2767">
        <row r="5">
          <cell r="I5">
            <v>0</v>
          </cell>
        </row>
      </sheetData>
      <sheetData sheetId="2768">
        <row r="5">
          <cell r="I5">
            <v>0</v>
          </cell>
        </row>
      </sheetData>
      <sheetData sheetId="2769">
        <row r="5">
          <cell r="I5">
            <v>0</v>
          </cell>
        </row>
      </sheetData>
      <sheetData sheetId="2770">
        <row r="5">
          <cell r="I5">
            <v>0</v>
          </cell>
        </row>
      </sheetData>
      <sheetData sheetId="2771">
        <row r="5">
          <cell r="I5">
            <v>0</v>
          </cell>
        </row>
      </sheetData>
      <sheetData sheetId="2772">
        <row r="5">
          <cell r="I5">
            <v>0</v>
          </cell>
        </row>
      </sheetData>
      <sheetData sheetId="2773">
        <row r="5">
          <cell r="I5">
            <v>0</v>
          </cell>
        </row>
      </sheetData>
      <sheetData sheetId="2774">
        <row r="5">
          <cell r="I5">
            <v>0</v>
          </cell>
        </row>
      </sheetData>
      <sheetData sheetId="2775">
        <row r="5">
          <cell r="I5">
            <v>0</v>
          </cell>
        </row>
      </sheetData>
      <sheetData sheetId="2776">
        <row r="5">
          <cell r="I5">
            <v>0</v>
          </cell>
        </row>
      </sheetData>
      <sheetData sheetId="2777">
        <row r="5">
          <cell r="I5">
            <v>0</v>
          </cell>
        </row>
      </sheetData>
      <sheetData sheetId="2778">
        <row r="5">
          <cell r="I5">
            <v>0</v>
          </cell>
        </row>
      </sheetData>
      <sheetData sheetId="2779">
        <row r="5">
          <cell r="I5">
            <v>0</v>
          </cell>
        </row>
      </sheetData>
      <sheetData sheetId="2780">
        <row r="5">
          <cell r="I5">
            <v>0</v>
          </cell>
        </row>
      </sheetData>
      <sheetData sheetId="2781">
        <row r="5">
          <cell r="I5">
            <v>0</v>
          </cell>
        </row>
      </sheetData>
      <sheetData sheetId="2782">
        <row r="5">
          <cell r="I5">
            <v>0</v>
          </cell>
        </row>
      </sheetData>
      <sheetData sheetId="2783">
        <row r="5">
          <cell r="I5">
            <v>0</v>
          </cell>
        </row>
      </sheetData>
      <sheetData sheetId="2784">
        <row r="5">
          <cell r="I5">
            <v>0</v>
          </cell>
        </row>
      </sheetData>
      <sheetData sheetId="2785">
        <row r="5">
          <cell r="I5">
            <v>0</v>
          </cell>
        </row>
      </sheetData>
      <sheetData sheetId="2786">
        <row r="5">
          <cell r="I5">
            <v>0</v>
          </cell>
        </row>
      </sheetData>
      <sheetData sheetId="2787">
        <row r="5">
          <cell r="I5">
            <v>0</v>
          </cell>
        </row>
      </sheetData>
      <sheetData sheetId="2788">
        <row r="5">
          <cell r="I5">
            <v>0</v>
          </cell>
        </row>
      </sheetData>
      <sheetData sheetId="2789">
        <row r="5">
          <cell r="I5">
            <v>0</v>
          </cell>
        </row>
      </sheetData>
      <sheetData sheetId="2790">
        <row r="5">
          <cell r="I5">
            <v>0</v>
          </cell>
        </row>
      </sheetData>
      <sheetData sheetId="2791">
        <row r="5">
          <cell r="I5">
            <v>0</v>
          </cell>
        </row>
      </sheetData>
      <sheetData sheetId="2792">
        <row r="5">
          <cell r="I5">
            <v>0</v>
          </cell>
        </row>
      </sheetData>
      <sheetData sheetId="2793">
        <row r="5">
          <cell r="I5">
            <v>0</v>
          </cell>
        </row>
      </sheetData>
      <sheetData sheetId="2794">
        <row r="5">
          <cell r="I5">
            <v>0</v>
          </cell>
        </row>
      </sheetData>
      <sheetData sheetId="2795">
        <row r="5">
          <cell r="I5">
            <v>0</v>
          </cell>
        </row>
      </sheetData>
      <sheetData sheetId="2796">
        <row r="5">
          <cell r="I5">
            <v>0</v>
          </cell>
        </row>
      </sheetData>
      <sheetData sheetId="2797">
        <row r="5">
          <cell r="I5">
            <v>0</v>
          </cell>
        </row>
      </sheetData>
      <sheetData sheetId="2798">
        <row r="5">
          <cell r="I5">
            <v>0</v>
          </cell>
        </row>
      </sheetData>
      <sheetData sheetId="2799">
        <row r="5">
          <cell r="I5">
            <v>0</v>
          </cell>
        </row>
      </sheetData>
      <sheetData sheetId="2800">
        <row r="5">
          <cell r="I5">
            <v>0</v>
          </cell>
        </row>
      </sheetData>
      <sheetData sheetId="2801">
        <row r="5">
          <cell r="I5">
            <v>0</v>
          </cell>
        </row>
      </sheetData>
      <sheetData sheetId="2802">
        <row r="5">
          <cell r="I5">
            <v>0</v>
          </cell>
        </row>
      </sheetData>
      <sheetData sheetId="2803">
        <row r="5">
          <cell r="I5">
            <v>0</v>
          </cell>
        </row>
      </sheetData>
      <sheetData sheetId="2804">
        <row r="5">
          <cell r="I5">
            <v>0</v>
          </cell>
        </row>
      </sheetData>
      <sheetData sheetId="2805">
        <row r="5">
          <cell r="I5">
            <v>0</v>
          </cell>
        </row>
      </sheetData>
      <sheetData sheetId="2806">
        <row r="5">
          <cell r="I5">
            <v>0</v>
          </cell>
        </row>
      </sheetData>
      <sheetData sheetId="2807">
        <row r="5">
          <cell r="I5">
            <v>0</v>
          </cell>
        </row>
      </sheetData>
      <sheetData sheetId="2808">
        <row r="5">
          <cell r="I5">
            <v>0</v>
          </cell>
        </row>
      </sheetData>
      <sheetData sheetId="2809">
        <row r="5">
          <cell r="I5">
            <v>0</v>
          </cell>
        </row>
      </sheetData>
      <sheetData sheetId="2810">
        <row r="5">
          <cell r="I5">
            <v>0</v>
          </cell>
        </row>
      </sheetData>
      <sheetData sheetId="2811">
        <row r="5">
          <cell r="I5">
            <v>0</v>
          </cell>
        </row>
      </sheetData>
      <sheetData sheetId="2812">
        <row r="5">
          <cell r="I5">
            <v>0</v>
          </cell>
        </row>
      </sheetData>
      <sheetData sheetId="2813">
        <row r="5">
          <cell r="I5">
            <v>0</v>
          </cell>
        </row>
      </sheetData>
      <sheetData sheetId="2814">
        <row r="5">
          <cell r="I5">
            <v>0</v>
          </cell>
        </row>
      </sheetData>
      <sheetData sheetId="2815">
        <row r="5">
          <cell r="I5">
            <v>0</v>
          </cell>
        </row>
      </sheetData>
      <sheetData sheetId="2816">
        <row r="5">
          <cell r="I5">
            <v>0</v>
          </cell>
        </row>
      </sheetData>
      <sheetData sheetId="2817">
        <row r="5">
          <cell r="I5">
            <v>0</v>
          </cell>
        </row>
      </sheetData>
      <sheetData sheetId="2818">
        <row r="5">
          <cell r="I5">
            <v>0</v>
          </cell>
        </row>
      </sheetData>
      <sheetData sheetId="2819">
        <row r="5">
          <cell r="I5">
            <v>0</v>
          </cell>
        </row>
      </sheetData>
      <sheetData sheetId="2820">
        <row r="5">
          <cell r="I5">
            <v>0</v>
          </cell>
        </row>
      </sheetData>
      <sheetData sheetId="2821">
        <row r="5">
          <cell r="I5">
            <v>0</v>
          </cell>
        </row>
      </sheetData>
      <sheetData sheetId="2822">
        <row r="5">
          <cell r="I5">
            <v>0</v>
          </cell>
        </row>
      </sheetData>
      <sheetData sheetId="2823">
        <row r="5">
          <cell r="I5">
            <v>0</v>
          </cell>
        </row>
      </sheetData>
      <sheetData sheetId="2824">
        <row r="5">
          <cell r="I5">
            <v>0</v>
          </cell>
        </row>
      </sheetData>
      <sheetData sheetId="2825">
        <row r="5">
          <cell r="I5">
            <v>0</v>
          </cell>
        </row>
      </sheetData>
      <sheetData sheetId="2826">
        <row r="5">
          <cell r="I5">
            <v>0</v>
          </cell>
        </row>
      </sheetData>
      <sheetData sheetId="2827">
        <row r="5">
          <cell r="I5">
            <v>0</v>
          </cell>
        </row>
      </sheetData>
      <sheetData sheetId="2828">
        <row r="5">
          <cell r="I5">
            <v>0</v>
          </cell>
        </row>
      </sheetData>
      <sheetData sheetId="2829">
        <row r="5">
          <cell r="I5">
            <v>0</v>
          </cell>
        </row>
      </sheetData>
      <sheetData sheetId="2830">
        <row r="5">
          <cell r="I5">
            <v>0</v>
          </cell>
        </row>
      </sheetData>
      <sheetData sheetId="2831">
        <row r="5">
          <cell r="I5">
            <v>0</v>
          </cell>
        </row>
      </sheetData>
      <sheetData sheetId="2832">
        <row r="5">
          <cell r="I5">
            <v>0</v>
          </cell>
        </row>
      </sheetData>
      <sheetData sheetId="2833">
        <row r="5">
          <cell r="I5">
            <v>0</v>
          </cell>
        </row>
      </sheetData>
      <sheetData sheetId="2834">
        <row r="5">
          <cell r="I5">
            <v>0</v>
          </cell>
        </row>
      </sheetData>
      <sheetData sheetId="2835">
        <row r="5">
          <cell r="I5">
            <v>0</v>
          </cell>
        </row>
      </sheetData>
      <sheetData sheetId="2836">
        <row r="5">
          <cell r="I5">
            <v>0</v>
          </cell>
        </row>
      </sheetData>
      <sheetData sheetId="2837">
        <row r="5">
          <cell r="I5">
            <v>0</v>
          </cell>
        </row>
      </sheetData>
      <sheetData sheetId="2838">
        <row r="5">
          <cell r="I5">
            <v>0</v>
          </cell>
        </row>
      </sheetData>
      <sheetData sheetId="2839">
        <row r="5">
          <cell r="I5">
            <v>0</v>
          </cell>
        </row>
      </sheetData>
      <sheetData sheetId="2840">
        <row r="5">
          <cell r="I5">
            <v>0</v>
          </cell>
        </row>
      </sheetData>
      <sheetData sheetId="2841">
        <row r="5">
          <cell r="I5">
            <v>0</v>
          </cell>
        </row>
      </sheetData>
      <sheetData sheetId="2842">
        <row r="5">
          <cell r="I5">
            <v>0</v>
          </cell>
        </row>
      </sheetData>
      <sheetData sheetId="2843">
        <row r="5">
          <cell r="I5">
            <v>0</v>
          </cell>
        </row>
      </sheetData>
      <sheetData sheetId="2844">
        <row r="5">
          <cell r="I5">
            <v>0</v>
          </cell>
        </row>
      </sheetData>
      <sheetData sheetId="2845">
        <row r="5">
          <cell r="I5">
            <v>0</v>
          </cell>
        </row>
      </sheetData>
      <sheetData sheetId="2846">
        <row r="5">
          <cell r="I5">
            <v>0</v>
          </cell>
        </row>
      </sheetData>
      <sheetData sheetId="2847">
        <row r="5">
          <cell r="I5">
            <v>0</v>
          </cell>
        </row>
      </sheetData>
      <sheetData sheetId="2848">
        <row r="5">
          <cell r="I5">
            <v>0</v>
          </cell>
        </row>
      </sheetData>
      <sheetData sheetId="2849">
        <row r="5">
          <cell r="I5">
            <v>0</v>
          </cell>
        </row>
      </sheetData>
      <sheetData sheetId="2850">
        <row r="5">
          <cell r="I5">
            <v>0</v>
          </cell>
        </row>
      </sheetData>
      <sheetData sheetId="2851">
        <row r="5">
          <cell r="I5">
            <v>0</v>
          </cell>
        </row>
      </sheetData>
      <sheetData sheetId="2852">
        <row r="5">
          <cell r="I5">
            <v>0</v>
          </cell>
        </row>
      </sheetData>
      <sheetData sheetId="2853">
        <row r="5">
          <cell r="I5">
            <v>0</v>
          </cell>
        </row>
      </sheetData>
      <sheetData sheetId="2854">
        <row r="5">
          <cell r="I5">
            <v>0</v>
          </cell>
        </row>
      </sheetData>
      <sheetData sheetId="2855">
        <row r="5">
          <cell r="I5">
            <v>0</v>
          </cell>
        </row>
      </sheetData>
      <sheetData sheetId="2856">
        <row r="5">
          <cell r="I5">
            <v>0</v>
          </cell>
        </row>
      </sheetData>
      <sheetData sheetId="2857">
        <row r="5">
          <cell r="I5">
            <v>0</v>
          </cell>
        </row>
      </sheetData>
      <sheetData sheetId="2858">
        <row r="5">
          <cell r="I5">
            <v>0</v>
          </cell>
        </row>
      </sheetData>
      <sheetData sheetId="2859">
        <row r="5">
          <cell r="I5">
            <v>0</v>
          </cell>
        </row>
      </sheetData>
      <sheetData sheetId="2860">
        <row r="5">
          <cell r="I5">
            <v>0</v>
          </cell>
        </row>
      </sheetData>
      <sheetData sheetId="2861">
        <row r="5">
          <cell r="I5">
            <v>0</v>
          </cell>
        </row>
      </sheetData>
      <sheetData sheetId="2862">
        <row r="5">
          <cell r="I5">
            <v>0</v>
          </cell>
        </row>
      </sheetData>
      <sheetData sheetId="2863">
        <row r="5">
          <cell r="I5">
            <v>0</v>
          </cell>
        </row>
      </sheetData>
      <sheetData sheetId="2864">
        <row r="5">
          <cell r="I5">
            <v>0</v>
          </cell>
        </row>
      </sheetData>
      <sheetData sheetId="2865">
        <row r="5">
          <cell r="I5">
            <v>0</v>
          </cell>
        </row>
      </sheetData>
      <sheetData sheetId="2866">
        <row r="5">
          <cell r="I5">
            <v>0</v>
          </cell>
        </row>
      </sheetData>
      <sheetData sheetId="2867">
        <row r="5">
          <cell r="I5">
            <v>0</v>
          </cell>
        </row>
      </sheetData>
      <sheetData sheetId="2868">
        <row r="5">
          <cell r="I5">
            <v>0</v>
          </cell>
        </row>
      </sheetData>
      <sheetData sheetId="2869">
        <row r="5">
          <cell r="I5">
            <v>0</v>
          </cell>
        </row>
      </sheetData>
      <sheetData sheetId="2870">
        <row r="5">
          <cell r="I5">
            <v>0</v>
          </cell>
        </row>
      </sheetData>
      <sheetData sheetId="2871">
        <row r="5">
          <cell r="I5">
            <v>0</v>
          </cell>
        </row>
      </sheetData>
      <sheetData sheetId="2872">
        <row r="5">
          <cell r="I5">
            <v>0</v>
          </cell>
        </row>
      </sheetData>
      <sheetData sheetId="2873">
        <row r="5">
          <cell r="I5">
            <v>0</v>
          </cell>
        </row>
      </sheetData>
      <sheetData sheetId="2874">
        <row r="5">
          <cell r="I5">
            <v>0</v>
          </cell>
        </row>
      </sheetData>
      <sheetData sheetId="2875">
        <row r="5">
          <cell r="I5">
            <v>0</v>
          </cell>
        </row>
      </sheetData>
      <sheetData sheetId="2876">
        <row r="5">
          <cell r="I5">
            <v>0</v>
          </cell>
        </row>
      </sheetData>
      <sheetData sheetId="2877">
        <row r="5">
          <cell r="I5">
            <v>0</v>
          </cell>
        </row>
      </sheetData>
      <sheetData sheetId="2878">
        <row r="5">
          <cell r="I5">
            <v>0</v>
          </cell>
        </row>
      </sheetData>
      <sheetData sheetId="2879">
        <row r="5">
          <cell r="I5">
            <v>0</v>
          </cell>
        </row>
      </sheetData>
      <sheetData sheetId="2880">
        <row r="5">
          <cell r="I5">
            <v>0</v>
          </cell>
        </row>
      </sheetData>
      <sheetData sheetId="2881">
        <row r="5">
          <cell r="I5">
            <v>0</v>
          </cell>
        </row>
      </sheetData>
      <sheetData sheetId="2882" refreshError="1"/>
      <sheetData sheetId="2883" refreshError="1"/>
      <sheetData sheetId="2884" refreshError="1"/>
      <sheetData sheetId="2885">
        <row r="5">
          <cell r="I5">
            <v>0</v>
          </cell>
        </row>
      </sheetData>
      <sheetData sheetId="2886">
        <row r="5">
          <cell r="I5">
            <v>0</v>
          </cell>
        </row>
      </sheetData>
      <sheetData sheetId="2887">
        <row r="5">
          <cell r="I5">
            <v>0</v>
          </cell>
        </row>
      </sheetData>
      <sheetData sheetId="2888">
        <row r="5">
          <cell r="I5">
            <v>0</v>
          </cell>
        </row>
      </sheetData>
      <sheetData sheetId="2889" refreshError="1"/>
      <sheetData sheetId="2890">
        <row r="5">
          <cell r="I5">
            <v>0</v>
          </cell>
        </row>
      </sheetData>
      <sheetData sheetId="2891">
        <row r="5">
          <cell r="I5">
            <v>0</v>
          </cell>
        </row>
      </sheetData>
      <sheetData sheetId="2892">
        <row r="5">
          <cell r="I5">
            <v>0</v>
          </cell>
        </row>
      </sheetData>
      <sheetData sheetId="2893">
        <row r="5">
          <cell r="I5">
            <v>0</v>
          </cell>
        </row>
      </sheetData>
      <sheetData sheetId="2894">
        <row r="5">
          <cell r="I5">
            <v>0</v>
          </cell>
        </row>
      </sheetData>
      <sheetData sheetId="2895">
        <row r="5">
          <cell r="I5">
            <v>0</v>
          </cell>
        </row>
      </sheetData>
      <sheetData sheetId="2896">
        <row r="5">
          <cell r="I5">
            <v>0</v>
          </cell>
        </row>
      </sheetData>
      <sheetData sheetId="2897">
        <row r="5">
          <cell r="I5">
            <v>0</v>
          </cell>
        </row>
      </sheetData>
      <sheetData sheetId="2898">
        <row r="5">
          <cell r="I5">
            <v>0</v>
          </cell>
        </row>
      </sheetData>
      <sheetData sheetId="2899">
        <row r="5">
          <cell r="I5">
            <v>0</v>
          </cell>
        </row>
      </sheetData>
      <sheetData sheetId="2900">
        <row r="5">
          <cell r="I5">
            <v>0</v>
          </cell>
        </row>
      </sheetData>
      <sheetData sheetId="2901">
        <row r="5">
          <cell r="I5">
            <v>0</v>
          </cell>
        </row>
      </sheetData>
      <sheetData sheetId="2902">
        <row r="5">
          <cell r="I5">
            <v>0</v>
          </cell>
        </row>
      </sheetData>
      <sheetData sheetId="2903">
        <row r="5">
          <cell r="I5">
            <v>0</v>
          </cell>
        </row>
      </sheetData>
      <sheetData sheetId="2904">
        <row r="5">
          <cell r="I5">
            <v>0</v>
          </cell>
        </row>
      </sheetData>
      <sheetData sheetId="2905">
        <row r="5">
          <cell r="I5">
            <v>0</v>
          </cell>
        </row>
      </sheetData>
      <sheetData sheetId="2906">
        <row r="5">
          <cell r="I5">
            <v>0</v>
          </cell>
        </row>
      </sheetData>
      <sheetData sheetId="2907">
        <row r="5">
          <cell r="I5">
            <v>0</v>
          </cell>
        </row>
      </sheetData>
      <sheetData sheetId="2908">
        <row r="5">
          <cell r="I5">
            <v>0</v>
          </cell>
        </row>
      </sheetData>
      <sheetData sheetId="2909">
        <row r="5">
          <cell r="I5">
            <v>0</v>
          </cell>
        </row>
      </sheetData>
      <sheetData sheetId="2910">
        <row r="5">
          <cell r="I5">
            <v>0</v>
          </cell>
        </row>
      </sheetData>
      <sheetData sheetId="2911">
        <row r="5">
          <cell r="I5">
            <v>0</v>
          </cell>
        </row>
      </sheetData>
      <sheetData sheetId="2912">
        <row r="5">
          <cell r="I5">
            <v>0</v>
          </cell>
        </row>
      </sheetData>
      <sheetData sheetId="2913">
        <row r="5">
          <cell r="I5">
            <v>0</v>
          </cell>
        </row>
      </sheetData>
      <sheetData sheetId="2914">
        <row r="5">
          <cell r="I5">
            <v>0</v>
          </cell>
        </row>
      </sheetData>
      <sheetData sheetId="2915">
        <row r="5">
          <cell r="I5">
            <v>0</v>
          </cell>
        </row>
      </sheetData>
      <sheetData sheetId="2916">
        <row r="5">
          <cell r="I5">
            <v>0</v>
          </cell>
        </row>
      </sheetData>
      <sheetData sheetId="2917">
        <row r="5">
          <cell r="I5">
            <v>0</v>
          </cell>
        </row>
      </sheetData>
      <sheetData sheetId="2918">
        <row r="5">
          <cell r="I5">
            <v>0</v>
          </cell>
        </row>
      </sheetData>
      <sheetData sheetId="2919">
        <row r="5">
          <cell r="I5">
            <v>0</v>
          </cell>
        </row>
      </sheetData>
      <sheetData sheetId="2920">
        <row r="5">
          <cell r="I5">
            <v>0</v>
          </cell>
        </row>
      </sheetData>
      <sheetData sheetId="2921">
        <row r="5">
          <cell r="I5">
            <v>0</v>
          </cell>
        </row>
      </sheetData>
      <sheetData sheetId="2922">
        <row r="5">
          <cell r="I5">
            <v>0</v>
          </cell>
        </row>
      </sheetData>
      <sheetData sheetId="2923">
        <row r="5">
          <cell r="I5">
            <v>0</v>
          </cell>
        </row>
      </sheetData>
      <sheetData sheetId="2924">
        <row r="5">
          <cell r="I5">
            <v>0</v>
          </cell>
        </row>
      </sheetData>
      <sheetData sheetId="2925">
        <row r="5">
          <cell r="I5">
            <v>0</v>
          </cell>
        </row>
      </sheetData>
      <sheetData sheetId="2926">
        <row r="5">
          <cell r="I5">
            <v>0</v>
          </cell>
        </row>
      </sheetData>
      <sheetData sheetId="2927" refreshError="1"/>
      <sheetData sheetId="2928">
        <row r="5">
          <cell r="I5">
            <v>0</v>
          </cell>
        </row>
      </sheetData>
      <sheetData sheetId="2929" refreshError="1"/>
      <sheetData sheetId="2930" refreshError="1"/>
      <sheetData sheetId="2931" refreshError="1"/>
      <sheetData sheetId="2932">
        <row r="5">
          <cell r="I5">
            <v>0</v>
          </cell>
        </row>
      </sheetData>
      <sheetData sheetId="2933">
        <row r="5">
          <cell r="I5">
            <v>0</v>
          </cell>
        </row>
      </sheetData>
      <sheetData sheetId="2934">
        <row r="5">
          <cell r="I5">
            <v>0</v>
          </cell>
        </row>
      </sheetData>
      <sheetData sheetId="2935">
        <row r="5">
          <cell r="I5">
            <v>0</v>
          </cell>
        </row>
      </sheetData>
      <sheetData sheetId="2936" refreshError="1"/>
      <sheetData sheetId="2937" refreshError="1"/>
      <sheetData sheetId="2938">
        <row r="5">
          <cell r="I5">
            <v>0</v>
          </cell>
        </row>
      </sheetData>
      <sheetData sheetId="2939" refreshError="1"/>
      <sheetData sheetId="2940">
        <row r="5">
          <cell r="I5">
            <v>0</v>
          </cell>
        </row>
      </sheetData>
      <sheetData sheetId="2941">
        <row r="5">
          <cell r="I5">
            <v>0</v>
          </cell>
        </row>
      </sheetData>
      <sheetData sheetId="2942" refreshError="1"/>
      <sheetData sheetId="2943" refreshError="1"/>
      <sheetData sheetId="2944">
        <row r="5">
          <cell r="I5">
            <v>0</v>
          </cell>
        </row>
      </sheetData>
      <sheetData sheetId="2945">
        <row r="5">
          <cell r="I5">
            <v>0</v>
          </cell>
        </row>
      </sheetData>
      <sheetData sheetId="2946">
        <row r="5">
          <cell r="I5">
            <v>0</v>
          </cell>
        </row>
      </sheetData>
      <sheetData sheetId="2947">
        <row r="5">
          <cell r="I5">
            <v>0</v>
          </cell>
        </row>
      </sheetData>
      <sheetData sheetId="2948">
        <row r="5">
          <cell r="I5">
            <v>0</v>
          </cell>
        </row>
      </sheetData>
      <sheetData sheetId="2949">
        <row r="5">
          <cell r="I5">
            <v>0</v>
          </cell>
        </row>
      </sheetData>
      <sheetData sheetId="2950">
        <row r="5">
          <cell r="I5">
            <v>0</v>
          </cell>
        </row>
      </sheetData>
      <sheetData sheetId="2951">
        <row r="5">
          <cell r="I5">
            <v>0</v>
          </cell>
        </row>
      </sheetData>
      <sheetData sheetId="2952">
        <row r="5">
          <cell r="I5">
            <v>0</v>
          </cell>
        </row>
      </sheetData>
      <sheetData sheetId="2953">
        <row r="5">
          <cell r="I5">
            <v>0</v>
          </cell>
        </row>
      </sheetData>
      <sheetData sheetId="2954">
        <row r="5">
          <cell r="I5">
            <v>0</v>
          </cell>
        </row>
      </sheetData>
      <sheetData sheetId="2955">
        <row r="5">
          <cell r="I5">
            <v>0</v>
          </cell>
        </row>
      </sheetData>
      <sheetData sheetId="2956">
        <row r="5">
          <cell r="I5">
            <v>0</v>
          </cell>
        </row>
      </sheetData>
      <sheetData sheetId="2957">
        <row r="5">
          <cell r="I5">
            <v>0</v>
          </cell>
        </row>
      </sheetData>
      <sheetData sheetId="2958">
        <row r="5">
          <cell r="I5">
            <v>0</v>
          </cell>
        </row>
      </sheetData>
      <sheetData sheetId="2959">
        <row r="5">
          <cell r="I5">
            <v>0</v>
          </cell>
        </row>
      </sheetData>
      <sheetData sheetId="2960">
        <row r="5">
          <cell r="I5">
            <v>0</v>
          </cell>
        </row>
      </sheetData>
      <sheetData sheetId="2961">
        <row r="5">
          <cell r="I5">
            <v>0</v>
          </cell>
        </row>
      </sheetData>
      <sheetData sheetId="2962">
        <row r="5">
          <cell r="I5">
            <v>0</v>
          </cell>
        </row>
      </sheetData>
      <sheetData sheetId="2963">
        <row r="5">
          <cell r="I5">
            <v>0</v>
          </cell>
        </row>
      </sheetData>
      <sheetData sheetId="2964">
        <row r="5">
          <cell r="I5">
            <v>0</v>
          </cell>
        </row>
      </sheetData>
      <sheetData sheetId="2965">
        <row r="5">
          <cell r="I5">
            <v>0</v>
          </cell>
        </row>
      </sheetData>
      <sheetData sheetId="2966">
        <row r="5">
          <cell r="I5">
            <v>0</v>
          </cell>
        </row>
      </sheetData>
      <sheetData sheetId="2967">
        <row r="5">
          <cell r="I5">
            <v>0</v>
          </cell>
        </row>
      </sheetData>
      <sheetData sheetId="2968">
        <row r="5">
          <cell r="I5">
            <v>0</v>
          </cell>
        </row>
      </sheetData>
      <sheetData sheetId="2969">
        <row r="5">
          <cell r="I5">
            <v>0</v>
          </cell>
        </row>
      </sheetData>
      <sheetData sheetId="2970">
        <row r="5">
          <cell r="I5">
            <v>0</v>
          </cell>
        </row>
      </sheetData>
      <sheetData sheetId="2971">
        <row r="5">
          <cell r="I5">
            <v>0</v>
          </cell>
        </row>
      </sheetData>
      <sheetData sheetId="2972">
        <row r="5">
          <cell r="I5">
            <v>0</v>
          </cell>
        </row>
      </sheetData>
      <sheetData sheetId="2973">
        <row r="5">
          <cell r="I5">
            <v>0</v>
          </cell>
        </row>
      </sheetData>
      <sheetData sheetId="2974">
        <row r="5">
          <cell r="I5">
            <v>0</v>
          </cell>
        </row>
      </sheetData>
      <sheetData sheetId="2975">
        <row r="5">
          <cell r="I5">
            <v>0</v>
          </cell>
        </row>
      </sheetData>
      <sheetData sheetId="2976">
        <row r="5">
          <cell r="I5">
            <v>0</v>
          </cell>
        </row>
      </sheetData>
      <sheetData sheetId="2977">
        <row r="5">
          <cell r="I5">
            <v>0</v>
          </cell>
        </row>
      </sheetData>
      <sheetData sheetId="2978">
        <row r="5">
          <cell r="I5">
            <v>0</v>
          </cell>
        </row>
      </sheetData>
      <sheetData sheetId="2979">
        <row r="5">
          <cell r="I5">
            <v>0</v>
          </cell>
        </row>
      </sheetData>
      <sheetData sheetId="2980">
        <row r="5">
          <cell r="I5">
            <v>0</v>
          </cell>
        </row>
      </sheetData>
      <sheetData sheetId="2981">
        <row r="5">
          <cell r="I5">
            <v>0</v>
          </cell>
        </row>
      </sheetData>
      <sheetData sheetId="2982">
        <row r="5">
          <cell r="I5">
            <v>0</v>
          </cell>
        </row>
      </sheetData>
      <sheetData sheetId="2983">
        <row r="5">
          <cell r="I5">
            <v>0</v>
          </cell>
        </row>
      </sheetData>
      <sheetData sheetId="2984">
        <row r="5">
          <cell r="I5">
            <v>0</v>
          </cell>
        </row>
      </sheetData>
      <sheetData sheetId="2985">
        <row r="5">
          <cell r="I5">
            <v>0</v>
          </cell>
        </row>
      </sheetData>
      <sheetData sheetId="2986">
        <row r="5">
          <cell r="I5">
            <v>0</v>
          </cell>
        </row>
      </sheetData>
      <sheetData sheetId="2987">
        <row r="5">
          <cell r="I5">
            <v>0</v>
          </cell>
        </row>
      </sheetData>
      <sheetData sheetId="2988">
        <row r="5">
          <cell r="I5">
            <v>0</v>
          </cell>
        </row>
      </sheetData>
      <sheetData sheetId="2989">
        <row r="5">
          <cell r="I5">
            <v>0</v>
          </cell>
        </row>
      </sheetData>
      <sheetData sheetId="2990">
        <row r="5">
          <cell r="I5">
            <v>0</v>
          </cell>
        </row>
      </sheetData>
      <sheetData sheetId="2991">
        <row r="5">
          <cell r="I5">
            <v>0</v>
          </cell>
        </row>
      </sheetData>
      <sheetData sheetId="2992">
        <row r="5">
          <cell r="I5">
            <v>0</v>
          </cell>
        </row>
      </sheetData>
      <sheetData sheetId="2993">
        <row r="5">
          <cell r="I5">
            <v>0</v>
          </cell>
        </row>
      </sheetData>
      <sheetData sheetId="2994">
        <row r="5">
          <cell r="I5">
            <v>0</v>
          </cell>
        </row>
      </sheetData>
      <sheetData sheetId="2995">
        <row r="5">
          <cell r="I5">
            <v>0</v>
          </cell>
        </row>
      </sheetData>
      <sheetData sheetId="2996">
        <row r="5">
          <cell r="I5">
            <v>0</v>
          </cell>
        </row>
      </sheetData>
      <sheetData sheetId="2997">
        <row r="5">
          <cell r="I5">
            <v>0</v>
          </cell>
        </row>
      </sheetData>
      <sheetData sheetId="2998">
        <row r="5">
          <cell r="I5">
            <v>0</v>
          </cell>
        </row>
      </sheetData>
      <sheetData sheetId="2999">
        <row r="5">
          <cell r="I5">
            <v>0</v>
          </cell>
        </row>
      </sheetData>
      <sheetData sheetId="3000">
        <row r="5">
          <cell r="I5">
            <v>0</v>
          </cell>
        </row>
      </sheetData>
      <sheetData sheetId="3001">
        <row r="5">
          <cell r="I5">
            <v>0</v>
          </cell>
        </row>
      </sheetData>
      <sheetData sheetId="3002">
        <row r="5">
          <cell r="I5">
            <v>0</v>
          </cell>
        </row>
      </sheetData>
      <sheetData sheetId="3003">
        <row r="5">
          <cell r="I5">
            <v>0</v>
          </cell>
        </row>
      </sheetData>
      <sheetData sheetId="3004">
        <row r="5">
          <cell r="I5">
            <v>0</v>
          </cell>
        </row>
      </sheetData>
      <sheetData sheetId="3005">
        <row r="5">
          <cell r="I5">
            <v>0</v>
          </cell>
        </row>
      </sheetData>
      <sheetData sheetId="3006">
        <row r="5">
          <cell r="I5">
            <v>0</v>
          </cell>
        </row>
      </sheetData>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ow r="5">
          <cell r="I5">
            <v>0</v>
          </cell>
        </row>
      </sheetData>
      <sheetData sheetId="3043">
        <row r="5">
          <cell r="I5">
            <v>0</v>
          </cell>
        </row>
      </sheetData>
      <sheetData sheetId="3044">
        <row r="5">
          <cell r="I5">
            <v>0</v>
          </cell>
        </row>
      </sheetData>
      <sheetData sheetId="3045">
        <row r="5">
          <cell r="I5">
            <v>0</v>
          </cell>
        </row>
      </sheetData>
      <sheetData sheetId="3046">
        <row r="5">
          <cell r="I5">
            <v>0</v>
          </cell>
        </row>
      </sheetData>
      <sheetData sheetId="3047">
        <row r="5">
          <cell r="I5">
            <v>0</v>
          </cell>
        </row>
      </sheetData>
      <sheetData sheetId="3048">
        <row r="5">
          <cell r="I5">
            <v>0</v>
          </cell>
        </row>
      </sheetData>
      <sheetData sheetId="3049">
        <row r="5">
          <cell r="I5">
            <v>0</v>
          </cell>
        </row>
      </sheetData>
      <sheetData sheetId="3050">
        <row r="5">
          <cell r="I5">
            <v>0</v>
          </cell>
        </row>
      </sheetData>
      <sheetData sheetId="3051">
        <row r="5">
          <cell r="I5">
            <v>0</v>
          </cell>
        </row>
      </sheetData>
      <sheetData sheetId="3052">
        <row r="5">
          <cell r="I5">
            <v>0</v>
          </cell>
        </row>
      </sheetData>
      <sheetData sheetId="3053">
        <row r="5">
          <cell r="I5">
            <v>0</v>
          </cell>
        </row>
      </sheetData>
      <sheetData sheetId="3054">
        <row r="5">
          <cell r="I5">
            <v>0</v>
          </cell>
        </row>
      </sheetData>
      <sheetData sheetId="3055">
        <row r="5">
          <cell r="I5">
            <v>0</v>
          </cell>
        </row>
      </sheetData>
      <sheetData sheetId="3056">
        <row r="5">
          <cell r="I5">
            <v>0</v>
          </cell>
        </row>
      </sheetData>
      <sheetData sheetId="3057">
        <row r="5">
          <cell r="I5">
            <v>0</v>
          </cell>
        </row>
      </sheetData>
      <sheetData sheetId="3058">
        <row r="5">
          <cell r="I5">
            <v>0</v>
          </cell>
        </row>
      </sheetData>
      <sheetData sheetId="3059">
        <row r="5">
          <cell r="I5">
            <v>0</v>
          </cell>
        </row>
      </sheetData>
      <sheetData sheetId="3060">
        <row r="5">
          <cell r="I5">
            <v>0</v>
          </cell>
        </row>
      </sheetData>
      <sheetData sheetId="3061">
        <row r="5">
          <cell r="I5">
            <v>0</v>
          </cell>
        </row>
      </sheetData>
      <sheetData sheetId="3062">
        <row r="5">
          <cell r="I5">
            <v>0</v>
          </cell>
        </row>
      </sheetData>
      <sheetData sheetId="3063">
        <row r="5">
          <cell r="I5">
            <v>0</v>
          </cell>
        </row>
      </sheetData>
      <sheetData sheetId="3064">
        <row r="5">
          <cell r="I5">
            <v>0</v>
          </cell>
        </row>
      </sheetData>
      <sheetData sheetId="3065">
        <row r="5">
          <cell r="I5">
            <v>0</v>
          </cell>
        </row>
      </sheetData>
      <sheetData sheetId="3066">
        <row r="5">
          <cell r="I5">
            <v>0</v>
          </cell>
        </row>
      </sheetData>
      <sheetData sheetId="3067">
        <row r="5">
          <cell r="I5">
            <v>0</v>
          </cell>
        </row>
      </sheetData>
      <sheetData sheetId="3068">
        <row r="5">
          <cell r="I5">
            <v>0</v>
          </cell>
        </row>
      </sheetData>
      <sheetData sheetId="3069">
        <row r="5">
          <cell r="I5">
            <v>0</v>
          </cell>
        </row>
      </sheetData>
      <sheetData sheetId="3070">
        <row r="5">
          <cell r="I5">
            <v>0</v>
          </cell>
        </row>
      </sheetData>
      <sheetData sheetId="3071">
        <row r="5">
          <cell r="I5">
            <v>0</v>
          </cell>
        </row>
      </sheetData>
      <sheetData sheetId="3072">
        <row r="5">
          <cell r="I5">
            <v>0</v>
          </cell>
        </row>
      </sheetData>
      <sheetData sheetId="3073">
        <row r="5">
          <cell r="I5">
            <v>0</v>
          </cell>
        </row>
      </sheetData>
      <sheetData sheetId="3074">
        <row r="5">
          <cell r="I5">
            <v>0</v>
          </cell>
        </row>
      </sheetData>
      <sheetData sheetId="3075">
        <row r="5">
          <cell r="I5">
            <v>0</v>
          </cell>
        </row>
      </sheetData>
      <sheetData sheetId="3076">
        <row r="5">
          <cell r="I5">
            <v>0</v>
          </cell>
        </row>
      </sheetData>
      <sheetData sheetId="3077">
        <row r="5">
          <cell r="I5">
            <v>0</v>
          </cell>
        </row>
      </sheetData>
      <sheetData sheetId="3078">
        <row r="5">
          <cell r="I5">
            <v>0</v>
          </cell>
        </row>
      </sheetData>
      <sheetData sheetId="3079">
        <row r="5">
          <cell r="I5">
            <v>0</v>
          </cell>
        </row>
      </sheetData>
      <sheetData sheetId="3080">
        <row r="5">
          <cell r="I5">
            <v>0</v>
          </cell>
        </row>
      </sheetData>
      <sheetData sheetId="3081">
        <row r="5">
          <cell r="I5">
            <v>0</v>
          </cell>
        </row>
      </sheetData>
      <sheetData sheetId="3082">
        <row r="5">
          <cell r="I5">
            <v>0</v>
          </cell>
        </row>
      </sheetData>
      <sheetData sheetId="3083">
        <row r="5">
          <cell r="I5">
            <v>0</v>
          </cell>
        </row>
      </sheetData>
      <sheetData sheetId="3084">
        <row r="5">
          <cell r="I5">
            <v>0</v>
          </cell>
        </row>
      </sheetData>
      <sheetData sheetId="3085">
        <row r="5">
          <cell r="I5">
            <v>0</v>
          </cell>
        </row>
      </sheetData>
      <sheetData sheetId="3086">
        <row r="5">
          <cell r="I5">
            <v>0</v>
          </cell>
        </row>
      </sheetData>
      <sheetData sheetId="3087">
        <row r="5">
          <cell r="I5">
            <v>0</v>
          </cell>
        </row>
      </sheetData>
      <sheetData sheetId="3088">
        <row r="5">
          <cell r="I5">
            <v>0</v>
          </cell>
        </row>
      </sheetData>
      <sheetData sheetId="3089">
        <row r="5">
          <cell r="I5">
            <v>0</v>
          </cell>
        </row>
      </sheetData>
      <sheetData sheetId="3090">
        <row r="5">
          <cell r="I5">
            <v>0</v>
          </cell>
        </row>
      </sheetData>
      <sheetData sheetId="3091">
        <row r="5">
          <cell r="I5">
            <v>0</v>
          </cell>
        </row>
      </sheetData>
      <sheetData sheetId="3092">
        <row r="5">
          <cell r="I5">
            <v>0</v>
          </cell>
        </row>
      </sheetData>
      <sheetData sheetId="3093">
        <row r="5">
          <cell r="I5">
            <v>0</v>
          </cell>
        </row>
      </sheetData>
      <sheetData sheetId="3094">
        <row r="5">
          <cell r="I5">
            <v>0</v>
          </cell>
        </row>
      </sheetData>
      <sheetData sheetId="3095">
        <row r="5">
          <cell r="I5">
            <v>0</v>
          </cell>
        </row>
      </sheetData>
      <sheetData sheetId="3096">
        <row r="5">
          <cell r="I5">
            <v>0</v>
          </cell>
        </row>
      </sheetData>
      <sheetData sheetId="3097">
        <row r="5">
          <cell r="I5">
            <v>0</v>
          </cell>
        </row>
      </sheetData>
      <sheetData sheetId="3098">
        <row r="5">
          <cell r="I5">
            <v>0</v>
          </cell>
        </row>
      </sheetData>
      <sheetData sheetId="3099">
        <row r="5">
          <cell r="I5">
            <v>0</v>
          </cell>
        </row>
      </sheetData>
      <sheetData sheetId="3100">
        <row r="5">
          <cell r="I5">
            <v>0</v>
          </cell>
        </row>
      </sheetData>
      <sheetData sheetId="3101">
        <row r="5">
          <cell r="I5">
            <v>0</v>
          </cell>
        </row>
      </sheetData>
      <sheetData sheetId="3102">
        <row r="5">
          <cell r="I5">
            <v>0</v>
          </cell>
        </row>
      </sheetData>
      <sheetData sheetId="3103">
        <row r="5">
          <cell r="I5">
            <v>0</v>
          </cell>
        </row>
      </sheetData>
      <sheetData sheetId="3104">
        <row r="5">
          <cell r="I5">
            <v>0</v>
          </cell>
        </row>
      </sheetData>
      <sheetData sheetId="3105">
        <row r="5">
          <cell r="I5">
            <v>0</v>
          </cell>
        </row>
      </sheetData>
      <sheetData sheetId="3106">
        <row r="5">
          <cell r="I5">
            <v>0</v>
          </cell>
        </row>
      </sheetData>
      <sheetData sheetId="3107">
        <row r="5">
          <cell r="I5">
            <v>0</v>
          </cell>
        </row>
      </sheetData>
      <sheetData sheetId="3108">
        <row r="5">
          <cell r="I5">
            <v>0</v>
          </cell>
        </row>
      </sheetData>
      <sheetData sheetId="3109">
        <row r="5">
          <cell r="I5">
            <v>0</v>
          </cell>
        </row>
      </sheetData>
      <sheetData sheetId="3110">
        <row r="5">
          <cell r="I5">
            <v>0</v>
          </cell>
        </row>
      </sheetData>
      <sheetData sheetId="3111">
        <row r="5">
          <cell r="I5">
            <v>0</v>
          </cell>
        </row>
      </sheetData>
      <sheetData sheetId="3112">
        <row r="5">
          <cell r="I5">
            <v>0</v>
          </cell>
        </row>
      </sheetData>
      <sheetData sheetId="3113">
        <row r="5">
          <cell r="I5">
            <v>0</v>
          </cell>
        </row>
      </sheetData>
      <sheetData sheetId="3114">
        <row r="5">
          <cell r="I5">
            <v>0</v>
          </cell>
        </row>
      </sheetData>
      <sheetData sheetId="3115">
        <row r="5">
          <cell r="I5">
            <v>0</v>
          </cell>
        </row>
      </sheetData>
      <sheetData sheetId="3116">
        <row r="5">
          <cell r="I5">
            <v>0</v>
          </cell>
        </row>
      </sheetData>
      <sheetData sheetId="3117">
        <row r="5">
          <cell r="I5">
            <v>0</v>
          </cell>
        </row>
      </sheetData>
      <sheetData sheetId="3118">
        <row r="5">
          <cell r="I5">
            <v>0</v>
          </cell>
        </row>
      </sheetData>
      <sheetData sheetId="3119">
        <row r="5">
          <cell r="I5">
            <v>0</v>
          </cell>
        </row>
      </sheetData>
      <sheetData sheetId="3120">
        <row r="5">
          <cell r="I5">
            <v>0</v>
          </cell>
        </row>
      </sheetData>
      <sheetData sheetId="3121">
        <row r="5">
          <cell r="I5">
            <v>0</v>
          </cell>
        </row>
      </sheetData>
      <sheetData sheetId="3122">
        <row r="5">
          <cell r="I5">
            <v>0</v>
          </cell>
        </row>
      </sheetData>
      <sheetData sheetId="3123">
        <row r="5">
          <cell r="I5">
            <v>0</v>
          </cell>
        </row>
      </sheetData>
      <sheetData sheetId="3124">
        <row r="5">
          <cell r="I5">
            <v>0</v>
          </cell>
        </row>
      </sheetData>
      <sheetData sheetId="3125">
        <row r="5">
          <cell r="I5">
            <v>0</v>
          </cell>
        </row>
      </sheetData>
      <sheetData sheetId="3126">
        <row r="5">
          <cell r="I5">
            <v>0</v>
          </cell>
        </row>
      </sheetData>
      <sheetData sheetId="3127">
        <row r="5">
          <cell r="I5">
            <v>0</v>
          </cell>
        </row>
      </sheetData>
      <sheetData sheetId="3128">
        <row r="5">
          <cell r="I5">
            <v>0</v>
          </cell>
        </row>
      </sheetData>
      <sheetData sheetId="3129">
        <row r="5">
          <cell r="I5">
            <v>0</v>
          </cell>
        </row>
      </sheetData>
      <sheetData sheetId="3130">
        <row r="5">
          <cell r="I5">
            <v>0</v>
          </cell>
        </row>
      </sheetData>
      <sheetData sheetId="3131">
        <row r="5">
          <cell r="I5">
            <v>0</v>
          </cell>
        </row>
      </sheetData>
      <sheetData sheetId="3132">
        <row r="5">
          <cell r="I5">
            <v>0</v>
          </cell>
        </row>
      </sheetData>
      <sheetData sheetId="3133">
        <row r="5">
          <cell r="I5">
            <v>0</v>
          </cell>
        </row>
      </sheetData>
      <sheetData sheetId="3134">
        <row r="5">
          <cell r="I5">
            <v>0</v>
          </cell>
        </row>
      </sheetData>
      <sheetData sheetId="3135">
        <row r="5">
          <cell r="I5">
            <v>0</v>
          </cell>
        </row>
      </sheetData>
      <sheetData sheetId="3136">
        <row r="5">
          <cell r="I5">
            <v>0</v>
          </cell>
        </row>
      </sheetData>
      <sheetData sheetId="3137">
        <row r="5">
          <cell r="I5">
            <v>0</v>
          </cell>
        </row>
      </sheetData>
      <sheetData sheetId="3138">
        <row r="5">
          <cell r="I5">
            <v>0</v>
          </cell>
        </row>
      </sheetData>
      <sheetData sheetId="3139">
        <row r="5">
          <cell r="I5">
            <v>0</v>
          </cell>
        </row>
      </sheetData>
      <sheetData sheetId="3140">
        <row r="5">
          <cell r="I5">
            <v>0</v>
          </cell>
        </row>
      </sheetData>
      <sheetData sheetId="3141">
        <row r="5">
          <cell r="I5">
            <v>0</v>
          </cell>
        </row>
      </sheetData>
      <sheetData sheetId="3142">
        <row r="5">
          <cell r="I5">
            <v>0</v>
          </cell>
        </row>
      </sheetData>
      <sheetData sheetId="3143">
        <row r="5">
          <cell r="I5">
            <v>0</v>
          </cell>
        </row>
      </sheetData>
      <sheetData sheetId="3144">
        <row r="5">
          <cell r="I5">
            <v>0</v>
          </cell>
        </row>
      </sheetData>
      <sheetData sheetId="3145">
        <row r="5">
          <cell r="I5">
            <v>0</v>
          </cell>
        </row>
      </sheetData>
      <sheetData sheetId="3146">
        <row r="5">
          <cell r="I5">
            <v>0</v>
          </cell>
        </row>
      </sheetData>
      <sheetData sheetId="3147">
        <row r="5">
          <cell r="I5">
            <v>0</v>
          </cell>
        </row>
      </sheetData>
      <sheetData sheetId="3148">
        <row r="5">
          <cell r="I5">
            <v>0</v>
          </cell>
        </row>
      </sheetData>
      <sheetData sheetId="3149">
        <row r="5">
          <cell r="I5">
            <v>0</v>
          </cell>
        </row>
      </sheetData>
      <sheetData sheetId="3150">
        <row r="5">
          <cell r="I5">
            <v>0</v>
          </cell>
        </row>
      </sheetData>
      <sheetData sheetId="3151">
        <row r="5">
          <cell r="I5">
            <v>0</v>
          </cell>
        </row>
      </sheetData>
      <sheetData sheetId="3152">
        <row r="5">
          <cell r="I5">
            <v>0</v>
          </cell>
        </row>
      </sheetData>
      <sheetData sheetId="3153">
        <row r="5">
          <cell r="I5">
            <v>0</v>
          </cell>
        </row>
      </sheetData>
      <sheetData sheetId="3154">
        <row r="5">
          <cell r="I5">
            <v>0</v>
          </cell>
        </row>
      </sheetData>
      <sheetData sheetId="3155">
        <row r="5">
          <cell r="I5">
            <v>0</v>
          </cell>
        </row>
      </sheetData>
      <sheetData sheetId="3156">
        <row r="5">
          <cell r="I5">
            <v>0</v>
          </cell>
        </row>
      </sheetData>
      <sheetData sheetId="3157">
        <row r="5">
          <cell r="I5">
            <v>0</v>
          </cell>
        </row>
      </sheetData>
      <sheetData sheetId="3158">
        <row r="5">
          <cell r="I5">
            <v>0</v>
          </cell>
        </row>
      </sheetData>
      <sheetData sheetId="3159">
        <row r="5">
          <cell r="I5">
            <v>0</v>
          </cell>
        </row>
      </sheetData>
      <sheetData sheetId="3160">
        <row r="5">
          <cell r="I5">
            <v>0</v>
          </cell>
        </row>
      </sheetData>
      <sheetData sheetId="3161">
        <row r="5">
          <cell r="I5">
            <v>0</v>
          </cell>
        </row>
      </sheetData>
      <sheetData sheetId="3162">
        <row r="5">
          <cell r="I5">
            <v>0</v>
          </cell>
        </row>
      </sheetData>
      <sheetData sheetId="3163">
        <row r="5">
          <cell r="I5">
            <v>0</v>
          </cell>
        </row>
      </sheetData>
      <sheetData sheetId="3164">
        <row r="5">
          <cell r="I5">
            <v>0</v>
          </cell>
        </row>
      </sheetData>
      <sheetData sheetId="3165">
        <row r="5">
          <cell r="I5">
            <v>0</v>
          </cell>
        </row>
      </sheetData>
      <sheetData sheetId="3166">
        <row r="5">
          <cell r="I5">
            <v>0</v>
          </cell>
        </row>
      </sheetData>
      <sheetData sheetId="3167">
        <row r="5">
          <cell r="I5">
            <v>0</v>
          </cell>
        </row>
      </sheetData>
      <sheetData sheetId="3168">
        <row r="5">
          <cell r="I5">
            <v>0</v>
          </cell>
        </row>
      </sheetData>
      <sheetData sheetId="3169">
        <row r="5">
          <cell r="I5">
            <v>0</v>
          </cell>
        </row>
      </sheetData>
      <sheetData sheetId="3170">
        <row r="5">
          <cell r="I5">
            <v>0</v>
          </cell>
        </row>
      </sheetData>
      <sheetData sheetId="3171">
        <row r="5">
          <cell r="I5">
            <v>0</v>
          </cell>
        </row>
      </sheetData>
      <sheetData sheetId="3172">
        <row r="5">
          <cell r="I5">
            <v>0</v>
          </cell>
        </row>
      </sheetData>
      <sheetData sheetId="3173">
        <row r="5">
          <cell r="I5">
            <v>0</v>
          </cell>
        </row>
      </sheetData>
      <sheetData sheetId="3174">
        <row r="5">
          <cell r="I5">
            <v>0</v>
          </cell>
        </row>
      </sheetData>
      <sheetData sheetId="3175">
        <row r="5">
          <cell r="I5">
            <v>0</v>
          </cell>
        </row>
      </sheetData>
      <sheetData sheetId="3176">
        <row r="5">
          <cell r="I5">
            <v>0</v>
          </cell>
        </row>
      </sheetData>
      <sheetData sheetId="3177">
        <row r="5">
          <cell r="I5">
            <v>0</v>
          </cell>
        </row>
      </sheetData>
      <sheetData sheetId="3178">
        <row r="5">
          <cell r="I5">
            <v>0</v>
          </cell>
        </row>
      </sheetData>
      <sheetData sheetId="3179">
        <row r="5">
          <cell r="I5">
            <v>0</v>
          </cell>
        </row>
      </sheetData>
      <sheetData sheetId="3180">
        <row r="5">
          <cell r="I5">
            <v>0</v>
          </cell>
        </row>
      </sheetData>
      <sheetData sheetId="3181">
        <row r="5">
          <cell r="I5">
            <v>0</v>
          </cell>
        </row>
      </sheetData>
      <sheetData sheetId="3182">
        <row r="5">
          <cell r="I5">
            <v>0</v>
          </cell>
        </row>
      </sheetData>
      <sheetData sheetId="3183">
        <row r="5">
          <cell r="I5">
            <v>0</v>
          </cell>
        </row>
      </sheetData>
      <sheetData sheetId="3184">
        <row r="5">
          <cell r="I5">
            <v>0</v>
          </cell>
        </row>
      </sheetData>
      <sheetData sheetId="3185">
        <row r="5">
          <cell r="I5">
            <v>0</v>
          </cell>
        </row>
      </sheetData>
      <sheetData sheetId="3186">
        <row r="5">
          <cell r="I5">
            <v>0</v>
          </cell>
        </row>
      </sheetData>
      <sheetData sheetId="3187">
        <row r="5">
          <cell r="I5">
            <v>0</v>
          </cell>
        </row>
      </sheetData>
      <sheetData sheetId="3188">
        <row r="5">
          <cell r="I5">
            <v>0</v>
          </cell>
        </row>
      </sheetData>
      <sheetData sheetId="3189">
        <row r="5">
          <cell r="I5">
            <v>0</v>
          </cell>
        </row>
      </sheetData>
      <sheetData sheetId="3190">
        <row r="5">
          <cell r="I5">
            <v>0</v>
          </cell>
        </row>
      </sheetData>
      <sheetData sheetId="3191">
        <row r="5">
          <cell r="I5">
            <v>0</v>
          </cell>
        </row>
      </sheetData>
      <sheetData sheetId="3192">
        <row r="5">
          <cell r="I5">
            <v>0</v>
          </cell>
        </row>
      </sheetData>
      <sheetData sheetId="3193">
        <row r="5">
          <cell r="I5">
            <v>0</v>
          </cell>
        </row>
      </sheetData>
      <sheetData sheetId="3194">
        <row r="5">
          <cell r="I5">
            <v>0</v>
          </cell>
        </row>
      </sheetData>
      <sheetData sheetId="3195">
        <row r="5">
          <cell r="I5">
            <v>0</v>
          </cell>
        </row>
      </sheetData>
      <sheetData sheetId="3196">
        <row r="5">
          <cell r="I5">
            <v>0</v>
          </cell>
        </row>
      </sheetData>
      <sheetData sheetId="3197">
        <row r="5">
          <cell r="I5">
            <v>0</v>
          </cell>
        </row>
      </sheetData>
      <sheetData sheetId="3198">
        <row r="5">
          <cell r="I5">
            <v>0</v>
          </cell>
        </row>
      </sheetData>
      <sheetData sheetId="3199">
        <row r="5">
          <cell r="I5">
            <v>0</v>
          </cell>
        </row>
      </sheetData>
      <sheetData sheetId="3200">
        <row r="5">
          <cell r="I5">
            <v>0</v>
          </cell>
        </row>
      </sheetData>
      <sheetData sheetId="3201">
        <row r="5">
          <cell r="I5">
            <v>0</v>
          </cell>
        </row>
      </sheetData>
      <sheetData sheetId="3202">
        <row r="5">
          <cell r="I5">
            <v>0</v>
          </cell>
        </row>
      </sheetData>
      <sheetData sheetId="3203">
        <row r="5">
          <cell r="I5">
            <v>0</v>
          </cell>
        </row>
      </sheetData>
      <sheetData sheetId="3204">
        <row r="5">
          <cell r="I5">
            <v>0</v>
          </cell>
        </row>
      </sheetData>
      <sheetData sheetId="3205">
        <row r="5">
          <cell r="I5">
            <v>0</v>
          </cell>
        </row>
      </sheetData>
      <sheetData sheetId="3206">
        <row r="5">
          <cell r="I5">
            <v>0</v>
          </cell>
        </row>
      </sheetData>
      <sheetData sheetId="3207">
        <row r="5">
          <cell r="I5">
            <v>0</v>
          </cell>
        </row>
      </sheetData>
      <sheetData sheetId="3208">
        <row r="5">
          <cell r="I5">
            <v>0</v>
          </cell>
        </row>
      </sheetData>
      <sheetData sheetId="3209">
        <row r="5">
          <cell r="I5">
            <v>0</v>
          </cell>
        </row>
      </sheetData>
      <sheetData sheetId="3210">
        <row r="5">
          <cell r="I5">
            <v>0</v>
          </cell>
        </row>
      </sheetData>
      <sheetData sheetId="3211">
        <row r="5">
          <cell r="I5">
            <v>0</v>
          </cell>
        </row>
      </sheetData>
      <sheetData sheetId="3212">
        <row r="5">
          <cell r="I5">
            <v>0</v>
          </cell>
        </row>
      </sheetData>
      <sheetData sheetId="3213">
        <row r="5">
          <cell r="I5">
            <v>0</v>
          </cell>
        </row>
      </sheetData>
      <sheetData sheetId="3214">
        <row r="5">
          <cell r="I5">
            <v>0</v>
          </cell>
        </row>
      </sheetData>
      <sheetData sheetId="3215">
        <row r="5">
          <cell r="I5">
            <v>0</v>
          </cell>
        </row>
      </sheetData>
      <sheetData sheetId="3216">
        <row r="5">
          <cell r="I5">
            <v>0</v>
          </cell>
        </row>
      </sheetData>
      <sheetData sheetId="3217">
        <row r="5">
          <cell r="I5">
            <v>0</v>
          </cell>
        </row>
      </sheetData>
      <sheetData sheetId="3218">
        <row r="5">
          <cell r="I5">
            <v>0</v>
          </cell>
        </row>
      </sheetData>
      <sheetData sheetId="3219">
        <row r="5">
          <cell r="I5">
            <v>0</v>
          </cell>
        </row>
      </sheetData>
      <sheetData sheetId="3220">
        <row r="5">
          <cell r="I5">
            <v>0</v>
          </cell>
        </row>
      </sheetData>
      <sheetData sheetId="3221">
        <row r="5">
          <cell r="I5">
            <v>0</v>
          </cell>
        </row>
      </sheetData>
      <sheetData sheetId="3222">
        <row r="5">
          <cell r="I5">
            <v>0</v>
          </cell>
        </row>
      </sheetData>
      <sheetData sheetId="3223">
        <row r="5">
          <cell r="I5">
            <v>0</v>
          </cell>
        </row>
      </sheetData>
      <sheetData sheetId="3224">
        <row r="5">
          <cell r="I5">
            <v>0</v>
          </cell>
        </row>
      </sheetData>
      <sheetData sheetId="3225">
        <row r="5">
          <cell r="I5">
            <v>0</v>
          </cell>
        </row>
      </sheetData>
      <sheetData sheetId="3226">
        <row r="5">
          <cell r="I5">
            <v>0</v>
          </cell>
        </row>
      </sheetData>
      <sheetData sheetId="3227">
        <row r="5">
          <cell r="I5">
            <v>0</v>
          </cell>
        </row>
      </sheetData>
      <sheetData sheetId="3228">
        <row r="5">
          <cell r="I5">
            <v>0</v>
          </cell>
        </row>
      </sheetData>
      <sheetData sheetId="3229">
        <row r="5">
          <cell r="I5">
            <v>0</v>
          </cell>
        </row>
      </sheetData>
      <sheetData sheetId="3230">
        <row r="5">
          <cell r="I5">
            <v>0</v>
          </cell>
        </row>
      </sheetData>
      <sheetData sheetId="3231">
        <row r="5">
          <cell r="I5">
            <v>0</v>
          </cell>
        </row>
      </sheetData>
      <sheetData sheetId="3232">
        <row r="5">
          <cell r="I5">
            <v>0</v>
          </cell>
        </row>
      </sheetData>
      <sheetData sheetId="3233">
        <row r="5">
          <cell r="I5">
            <v>0</v>
          </cell>
        </row>
      </sheetData>
      <sheetData sheetId="3234">
        <row r="5">
          <cell r="I5">
            <v>0</v>
          </cell>
        </row>
      </sheetData>
      <sheetData sheetId="3235">
        <row r="5">
          <cell r="I5">
            <v>0</v>
          </cell>
        </row>
      </sheetData>
      <sheetData sheetId="3236">
        <row r="5">
          <cell r="I5">
            <v>0</v>
          </cell>
        </row>
      </sheetData>
      <sheetData sheetId="3237">
        <row r="5">
          <cell r="I5">
            <v>0</v>
          </cell>
        </row>
      </sheetData>
      <sheetData sheetId="3238">
        <row r="5">
          <cell r="I5">
            <v>0</v>
          </cell>
        </row>
      </sheetData>
      <sheetData sheetId="3239">
        <row r="5">
          <cell r="I5">
            <v>0</v>
          </cell>
        </row>
      </sheetData>
      <sheetData sheetId="3240">
        <row r="5">
          <cell r="I5">
            <v>0</v>
          </cell>
        </row>
      </sheetData>
      <sheetData sheetId="3241">
        <row r="5">
          <cell r="I5">
            <v>0</v>
          </cell>
        </row>
      </sheetData>
      <sheetData sheetId="3242">
        <row r="5">
          <cell r="I5">
            <v>0</v>
          </cell>
        </row>
      </sheetData>
      <sheetData sheetId="3243">
        <row r="5">
          <cell r="I5">
            <v>0</v>
          </cell>
        </row>
      </sheetData>
      <sheetData sheetId="3244">
        <row r="5">
          <cell r="I5">
            <v>0</v>
          </cell>
        </row>
      </sheetData>
      <sheetData sheetId="3245">
        <row r="5">
          <cell r="I5">
            <v>0</v>
          </cell>
        </row>
      </sheetData>
      <sheetData sheetId="3246">
        <row r="5">
          <cell r="I5">
            <v>0</v>
          </cell>
        </row>
      </sheetData>
      <sheetData sheetId="3247">
        <row r="5">
          <cell r="I5">
            <v>0</v>
          </cell>
        </row>
      </sheetData>
      <sheetData sheetId="3248">
        <row r="5">
          <cell r="I5">
            <v>0</v>
          </cell>
        </row>
      </sheetData>
      <sheetData sheetId="3249">
        <row r="5">
          <cell r="I5">
            <v>0</v>
          </cell>
        </row>
      </sheetData>
      <sheetData sheetId="3250">
        <row r="5">
          <cell r="I5">
            <v>0</v>
          </cell>
        </row>
      </sheetData>
      <sheetData sheetId="3251">
        <row r="5">
          <cell r="I5">
            <v>0</v>
          </cell>
        </row>
      </sheetData>
      <sheetData sheetId="3252">
        <row r="5">
          <cell r="I5">
            <v>0</v>
          </cell>
        </row>
      </sheetData>
      <sheetData sheetId="3253">
        <row r="5">
          <cell r="I5">
            <v>0</v>
          </cell>
        </row>
      </sheetData>
      <sheetData sheetId="3254">
        <row r="5">
          <cell r="I5">
            <v>0</v>
          </cell>
        </row>
      </sheetData>
      <sheetData sheetId="3255">
        <row r="5">
          <cell r="I5">
            <v>0</v>
          </cell>
        </row>
      </sheetData>
      <sheetData sheetId="3256">
        <row r="5">
          <cell r="I5">
            <v>0</v>
          </cell>
        </row>
      </sheetData>
      <sheetData sheetId="3257">
        <row r="5">
          <cell r="I5">
            <v>0</v>
          </cell>
        </row>
      </sheetData>
      <sheetData sheetId="3258">
        <row r="5">
          <cell r="I5">
            <v>0</v>
          </cell>
        </row>
      </sheetData>
      <sheetData sheetId="3259">
        <row r="5">
          <cell r="I5">
            <v>0</v>
          </cell>
        </row>
      </sheetData>
      <sheetData sheetId="3260">
        <row r="5">
          <cell r="I5">
            <v>0</v>
          </cell>
        </row>
      </sheetData>
      <sheetData sheetId="3261">
        <row r="5">
          <cell r="I5">
            <v>0</v>
          </cell>
        </row>
      </sheetData>
      <sheetData sheetId="3262">
        <row r="5">
          <cell r="I5">
            <v>0</v>
          </cell>
        </row>
      </sheetData>
      <sheetData sheetId="3263">
        <row r="5">
          <cell r="I5">
            <v>0</v>
          </cell>
        </row>
      </sheetData>
      <sheetData sheetId="3264">
        <row r="5">
          <cell r="I5">
            <v>0</v>
          </cell>
        </row>
      </sheetData>
      <sheetData sheetId="3265">
        <row r="5">
          <cell r="I5">
            <v>0</v>
          </cell>
        </row>
      </sheetData>
      <sheetData sheetId="3266">
        <row r="5">
          <cell r="I5">
            <v>0</v>
          </cell>
        </row>
      </sheetData>
      <sheetData sheetId="3267">
        <row r="5">
          <cell r="I5">
            <v>0</v>
          </cell>
        </row>
      </sheetData>
      <sheetData sheetId="3268">
        <row r="5">
          <cell r="I5">
            <v>0</v>
          </cell>
        </row>
      </sheetData>
      <sheetData sheetId="3269">
        <row r="5">
          <cell r="I5">
            <v>0</v>
          </cell>
        </row>
      </sheetData>
      <sheetData sheetId="3270">
        <row r="5">
          <cell r="I5">
            <v>0</v>
          </cell>
        </row>
      </sheetData>
      <sheetData sheetId="3271">
        <row r="5">
          <cell r="I5">
            <v>0</v>
          </cell>
        </row>
      </sheetData>
      <sheetData sheetId="3272">
        <row r="5">
          <cell r="I5">
            <v>0</v>
          </cell>
        </row>
      </sheetData>
      <sheetData sheetId="3273">
        <row r="5">
          <cell r="I5">
            <v>0</v>
          </cell>
        </row>
      </sheetData>
      <sheetData sheetId="3274">
        <row r="5">
          <cell r="I5">
            <v>0</v>
          </cell>
        </row>
      </sheetData>
      <sheetData sheetId="3275">
        <row r="5">
          <cell r="I5">
            <v>0</v>
          </cell>
        </row>
      </sheetData>
      <sheetData sheetId="3276">
        <row r="5">
          <cell r="I5">
            <v>0</v>
          </cell>
        </row>
      </sheetData>
      <sheetData sheetId="3277">
        <row r="5">
          <cell r="I5">
            <v>0</v>
          </cell>
        </row>
      </sheetData>
      <sheetData sheetId="3278">
        <row r="5">
          <cell r="I5">
            <v>0</v>
          </cell>
        </row>
      </sheetData>
      <sheetData sheetId="3279">
        <row r="5">
          <cell r="I5">
            <v>0</v>
          </cell>
        </row>
      </sheetData>
      <sheetData sheetId="3280">
        <row r="5">
          <cell r="I5">
            <v>0</v>
          </cell>
        </row>
      </sheetData>
      <sheetData sheetId="3281">
        <row r="5">
          <cell r="I5">
            <v>0</v>
          </cell>
        </row>
      </sheetData>
      <sheetData sheetId="3282">
        <row r="5">
          <cell r="I5">
            <v>0</v>
          </cell>
        </row>
      </sheetData>
      <sheetData sheetId="3283">
        <row r="5">
          <cell r="I5">
            <v>0</v>
          </cell>
        </row>
      </sheetData>
      <sheetData sheetId="3284">
        <row r="5">
          <cell r="I5">
            <v>0</v>
          </cell>
        </row>
      </sheetData>
      <sheetData sheetId="3285">
        <row r="5">
          <cell r="I5">
            <v>0</v>
          </cell>
        </row>
      </sheetData>
      <sheetData sheetId="3286">
        <row r="5">
          <cell r="I5">
            <v>0</v>
          </cell>
        </row>
      </sheetData>
      <sheetData sheetId="3287">
        <row r="5">
          <cell r="I5">
            <v>0</v>
          </cell>
        </row>
      </sheetData>
      <sheetData sheetId="3288">
        <row r="5">
          <cell r="I5">
            <v>0</v>
          </cell>
        </row>
      </sheetData>
      <sheetData sheetId="3289">
        <row r="5">
          <cell r="I5">
            <v>0</v>
          </cell>
        </row>
      </sheetData>
      <sheetData sheetId="3290">
        <row r="5">
          <cell r="I5">
            <v>0</v>
          </cell>
        </row>
      </sheetData>
      <sheetData sheetId="3291">
        <row r="5">
          <cell r="I5">
            <v>0</v>
          </cell>
        </row>
      </sheetData>
      <sheetData sheetId="3292">
        <row r="5">
          <cell r="I5">
            <v>0</v>
          </cell>
        </row>
      </sheetData>
      <sheetData sheetId="3293">
        <row r="5">
          <cell r="I5">
            <v>0</v>
          </cell>
        </row>
      </sheetData>
      <sheetData sheetId="3294">
        <row r="5">
          <cell r="I5">
            <v>0</v>
          </cell>
        </row>
      </sheetData>
      <sheetData sheetId="3295">
        <row r="5">
          <cell r="I5">
            <v>0</v>
          </cell>
        </row>
      </sheetData>
      <sheetData sheetId="3296">
        <row r="5">
          <cell r="I5">
            <v>0</v>
          </cell>
        </row>
      </sheetData>
      <sheetData sheetId="3297">
        <row r="5">
          <cell r="I5">
            <v>0</v>
          </cell>
        </row>
      </sheetData>
      <sheetData sheetId="3298">
        <row r="5">
          <cell r="I5">
            <v>0</v>
          </cell>
        </row>
      </sheetData>
      <sheetData sheetId="3299">
        <row r="5">
          <cell r="I5">
            <v>0</v>
          </cell>
        </row>
      </sheetData>
      <sheetData sheetId="3300">
        <row r="5">
          <cell r="I5">
            <v>0</v>
          </cell>
        </row>
      </sheetData>
      <sheetData sheetId="3301">
        <row r="5">
          <cell r="I5">
            <v>0</v>
          </cell>
        </row>
      </sheetData>
      <sheetData sheetId="3302">
        <row r="5">
          <cell r="I5">
            <v>0</v>
          </cell>
        </row>
      </sheetData>
      <sheetData sheetId="3303">
        <row r="5">
          <cell r="I5">
            <v>0</v>
          </cell>
        </row>
      </sheetData>
      <sheetData sheetId="3304">
        <row r="5">
          <cell r="I5">
            <v>0</v>
          </cell>
        </row>
      </sheetData>
      <sheetData sheetId="3305">
        <row r="5">
          <cell r="I5">
            <v>0</v>
          </cell>
        </row>
      </sheetData>
      <sheetData sheetId="3306">
        <row r="5">
          <cell r="I5">
            <v>0</v>
          </cell>
        </row>
      </sheetData>
      <sheetData sheetId="3307">
        <row r="5">
          <cell r="I5">
            <v>0</v>
          </cell>
        </row>
      </sheetData>
      <sheetData sheetId="3308">
        <row r="5">
          <cell r="I5">
            <v>0</v>
          </cell>
        </row>
      </sheetData>
      <sheetData sheetId="3309">
        <row r="5">
          <cell r="I5">
            <v>0</v>
          </cell>
        </row>
      </sheetData>
      <sheetData sheetId="3310">
        <row r="5">
          <cell r="I5">
            <v>0</v>
          </cell>
        </row>
      </sheetData>
      <sheetData sheetId="3311">
        <row r="5">
          <cell r="I5">
            <v>0</v>
          </cell>
        </row>
      </sheetData>
      <sheetData sheetId="3312">
        <row r="5">
          <cell r="I5">
            <v>0</v>
          </cell>
        </row>
      </sheetData>
      <sheetData sheetId="3313">
        <row r="5">
          <cell r="I5">
            <v>0</v>
          </cell>
        </row>
      </sheetData>
      <sheetData sheetId="3314">
        <row r="5">
          <cell r="I5">
            <v>0</v>
          </cell>
        </row>
      </sheetData>
      <sheetData sheetId="3315">
        <row r="5">
          <cell r="I5">
            <v>0</v>
          </cell>
        </row>
      </sheetData>
      <sheetData sheetId="3316">
        <row r="5">
          <cell r="I5">
            <v>0</v>
          </cell>
        </row>
      </sheetData>
      <sheetData sheetId="3317">
        <row r="5">
          <cell r="I5">
            <v>0</v>
          </cell>
        </row>
      </sheetData>
      <sheetData sheetId="3318">
        <row r="5">
          <cell r="I5">
            <v>0</v>
          </cell>
        </row>
      </sheetData>
      <sheetData sheetId="3319">
        <row r="5">
          <cell r="I5">
            <v>0</v>
          </cell>
        </row>
      </sheetData>
      <sheetData sheetId="3320">
        <row r="5">
          <cell r="I5">
            <v>0</v>
          </cell>
        </row>
      </sheetData>
      <sheetData sheetId="3321">
        <row r="5">
          <cell r="I5">
            <v>0</v>
          </cell>
        </row>
      </sheetData>
      <sheetData sheetId="3322">
        <row r="5">
          <cell r="I5">
            <v>0</v>
          </cell>
        </row>
      </sheetData>
      <sheetData sheetId="3323">
        <row r="5">
          <cell r="I5">
            <v>0</v>
          </cell>
        </row>
      </sheetData>
      <sheetData sheetId="3324">
        <row r="5">
          <cell r="I5">
            <v>0</v>
          </cell>
        </row>
      </sheetData>
      <sheetData sheetId="3325">
        <row r="5">
          <cell r="I5">
            <v>0</v>
          </cell>
        </row>
      </sheetData>
      <sheetData sheetId="3326">
        <row r="5">
          <cell r="I5">
            <v>0</v>
          </cell>
        </row>
      </sheetData>
      <sheetData sheetId="3327">
        <row r="5">
          <cell r="I5">
            <v>0</v>
          </cell>
        </row>
      </sheetData>
      <sheetData sheetId="3328">
        <row r="5">
          <cell r="I5">
            <v>0</v>
          </cell>
        </row>
      </sheetData>
      <sheetData sheetId="3329">
        <row r="5">
          <cell r="I5">
            <v>0</v>
          </cell>
        </row>
      </sheetData>
      <sheetData sheetId="3330">
        <row r="5">
          <cell r="I5">
            <v>0</v>
          </cell>
        </row>
      </sheetData>
      <sheetData sheetId="3331">
        <row r="5">
          <cell r="I5">
            <v>0</v>
          </cell>
        </row>
      </sheetData>
      <sheetData sheetId="3332">
        <row r="5">
          <cell r="I5">
            <v>0</v>
          </cell>
        </row>
      </sheetData>
      <sheetData sheetId="3333">
        <row r="5">
          <cell r="I5">
            <v>0</v>
          </cell>
        </row>
      </sheetData>
      <sheetData sheetId="3334">
        <row r="5">
          <cell r="I5">
            <v>0</v>
          </cell>
        </row>
      </sheetData>
      <sheetData sheetId="3335">
        <row r="5">
          <cell r="I5">
            <v>0</v>
          </cell>
        </row>
      </sheetData>
      <sheetData sheetId="3336">
        <row r="5">
          <cell r="I5">
            <v>0</v>
          </cell>
        </row>
      </sheetData>
      <sheetData sheetId="3337">
        <row r="5">
          <cell r="I5">
            <v>0</v>
          </cell>
        </row>
      </sheetData>
      <sheetData sheetId="3338">
        <row r="5">
          <cell r="I5">
            <v>0</v>
          </cell>
        </row>
      </sheetData>
      <sheetData sheetId="3339">
        <row r="5">
          <cell r="I5">
            <v>0</v>
          </cell>
        </row>
      </sheetData>
      <sheetData sheetId="3340">
        <row r="5">
          <cell r="I5">
            <v>0</v>
          </cell>
        </row>
      </sheetData>
      <sheetData sheetId="3341">
        <row r="5">
          <cell r="I5">
            <v>0</v>
          </cell>
        </row>
      </sheetData>
      <sheetData sheetId="3342">
        <row r="5">
          <cell r="I5">
            <v>0</v>
          </cell>
        </row>
      </sheetData>
      <sheetData sheetId="3343">
        <row r="5">
          <cell r="I5">
            <v>0</v>
          </cell>
        </row>
      </sheetData>
      <sheetData sheetId="3344">
        <row r="5">
          <cell r="I5">
            <v>0</v>
          </cell>
        </row>
      </sheetData>
      <sheetData sheetId="3345">
        <row r="5">
          <cell r="I5">
            <v>0</v>
          </cell>
        </row>
      </sheetData>
      <sheetData sheetId="3346">
        <row r="5">
          <cell r="I5">
            <v>0</v>
          </cell>
        </row>
      </sheetData>
      <sheetData sheetId="3347">
        <row r="5">
          <cell r="I5">
            <v>0</v>
          </cell>
        </row>
      </sheetData>
      <sheetData sheetId="3348">
        <row r="5">
          <cell r="I5">
            <v>0</v>
          </cell>
        </row>
      </sheetData>
      <sheetData sheetId="3349">
        <row r="5">
          <cell r="I5">
            <v>0</v>
          </cell>
        </row>
      </sheetData>
      <sheetData sheetId="3350">
        <row r="5">
          <cell r="I5">
            <v>0</v>
          </cell>
        </row>
      </sheetData>
      <sheetData sheetId="3351">
        <row r="5">
          <cell r="I5">
            <v>0</v>
          </cell>
        </row>
      </sheetData>
      <sheetData sheetId="3352">
        <row r="5">
          <cell r="I5">
            <v>0</v>
          </cell>
        </row>
      </sheetData>
      <sheetData sheetId="3353">
        <row r="5">
          <cell r="I5">
            <v>0</v>
          </cell>
        </row>
      </sheetData>
      <sheetData sheetId="3354">
        <row r="5">
          <cell r="I5">
            <v>0</v>
          </cell>
        </row>
      </sheetData>
      <sheetData sheetId="3355">
        <row r="5">
          <cell r="I5">
            <v>0</v>
          </cell>
        </row>
      </sheetData>
      <sheetData sheetId="3356">
        <row r="5">
          <cell r="I5">
            <v>0</v>
          </cell>
        </row>
      </sheetData>
      <sheetData sheetId="3357">
        <row r="5">
          <cell r="I5">
            <v>0</v>
          </cell>
        </row>
      </sheetData>
      <sheetData sheetId="3358">
        <row r="5">
          <cell r="I5">
            <v>0</v>
          </cell>
        </row>
      </sheetData>
      <sheetData sheetId="3359">
        <row r="5">
          <cell r="I5">
            <v>0</v>
          </cell>
        </row>
      </sheetData>
      <sheetData sheetId="3360">
        <row r="5">
          <cell r="I5">
            <v>0</v>
          </cell>
        </row>
      </sheetData>
      <sheetData sheetId="3361">
        <row r="5">
          <cell r="I5">
            <v>0</v>
          </cell>
        </row>
      </sheetData>
      <sheetData sheetId="3362">
        <row r="5">
          <cell r="I5">
            <v>0</v>
          </cell>
        </row>
      </sheetData>
      <sheetData sheetId="3363">
        <row r="5">
          <cell r="I5">
            <v>0</v>
          </cell>
        </row>
      </sheetData>
      <sheetData sheetId="3364">
        <row r="5">
          <cell r="I5">
            <v>0</v>
          </cell>
        </row>
      </sheetData>
      <sheetData sheetId="3365">
        <row r="5">
          <cell r="I5">
            <v>0</v>
          </cell>
        </row>
      </sheetData>
      <sheetData sheetId="3366">
        <row r="5">
          <cell r="I5">
            <v>0</v>
          </cell>
        </row>
      </sheetData>
      <sheetData sheetId="3367">
        <row r="5">
          <cell r="I5">
            <v>0</v>
          </cell>
        </row>
      </sheetData>
      <sheetData sheetId="3368">
        <row r="5">
          <cell r="I5">
            <v>0</v>
          </cell>
        </row>
      </sheetData>
      <sheetData sheetId="3369">
        <row r="5">
          <cell r="I5">
            <v>0</v>
          </cell>
        </row>
      </sheetData>
      <sheetData sheetId="3370" refreshError="1"/>
      <sheetData sheetId="3371" refreshError="1"/>
      <sheetData sheetId="3372" refreshError="1"/>
      <sheetData sheetId="3373">
        <row r="5">
          <cell r="I5">
            <v>0</v>
          </cell>
        </row>
      </sheetData>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ow r="5">
          <cell r="I5">
            <v>0</v>
          </cell>
        </row>
      </sheetData>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ow r="5">
          <cell r="I5">
            <v>0</v>
          </cell>
        </row>
      </sheetData>
      <sheetData sheetId="3426">
        <row r="5">
          <cell r="I5">
            <v>0</v>
          </cell>
        </row>
      </sheetData>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ow r="5">
          <cell r="I5">
            <v>0</v>
          </cell>
        </row>
      </sheetData>
      <sheetData sheetId="3630">
        <row r="5">
          <cell r="I5">
            <v>0</v>
          </cell>
        </row>
      </sheetData>
      <sheetData sheetId="3631">
        <row r="5">
          <cell r="I5">
            <v>0</v>
          </cell>
        </row>
      </sheetData>
      <sheetData sheetId="3632">
        <row r="5">
          <cell r="I5">
            <v>0</v>
          </cell>
        </row>
      </sheetData>
      <sheetData sheetId="3633">
        <row r="5">
          <cell r="I5">
            <v>0</v>
          </cell>
        </row>
      </sheetData>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ow r="5">
          <cell r="I5">
            <v>0</v>
          </cell>
        </row>
      </sheetData>
      <sheetData sheetId="3663">
        <row r="5">
          <cell r="I5">
            <v>0</v>
          </cell>
        </row>
      </sheetData>
      <sheetData sheetId="3664">
        <row r="5">
          <cell r="I5">
            <v>0</v>
          </cell>
        </row>
      </sheetData>
      <sheetData sheetId="3665">
        <row r="5">
          <cell r="I5">
            <v>0</v>
          </cell>
        </row>
      </sheetData>
      <sheetData sheetId="3666">
        <row r="5">
          <cell r="I5">
            <v>0</v>
          </cell>
        </row>
      </sheetData>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ow r="5">
          <cell r="I5">
            <v>0</v>
          </cell>
        </row>
      </sheetData>
      <sheetData sheetId="3732">
        <row r="5">
          <cell r="I5">
            <v>0</v>
          </cell>
        </row>
      </sheetData>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ow r="5">
          <cell r="I5">
            <v>0</v>
          </cell>
        </row>
      </sheetData>
      <sheetData sheetId="3743">
        <row r="5">
          <cell r="I5">
            <v>0</v>
          </cell>
        </row>
      </sheetData>
      <sheetData sheetId="3744">
        <row r="5">
          <cell r="I5">
            <v>0</v>
          </cell>
        </row>
      </sheetData>
      <sheetData sheetId="3745">
        <row r="5">
          <cell r="I5">
            <v>0</v>
          </cell>
        </row>
      </sheetData>
      <sheetData sheetId="3746">
        <row r="5">
          <cell r="I5">
            <v>0</v>
          </cell>
        </row>
      </sheetData>
      <sheetData sheetId="3747">
        <row r="5">
          <cell r="I5">
            <v>0</v>
          </cell>
        </row>
      </sheetData>
      <sheetData sheetId="3748">
        <row r="5">
          <cell r="I5">
            <v>0</v>
          </cell>
        </row>
      </sheetData>
      <sheetData sheetId="3749">
        <row r="5">
          <cell r="I5">
            <v>0</v>
          </cell>
        </row>
      </sheetData>
      <sheetData sheetId="3750">
        <row r="5">
          <cell r="I5">
            <v>0</v>
          </cell>
        </row>
      </sheetData>
      <sheetData sheetId="3751">
        <row r="5">
          <cell r="I5">
            <v>0</v>
          </cell>
        </row>
      </sheetData>
      <sheetData sheetId="3752">
        <row r="5">
          <cell r="I5">
            <v>0</v>
          </cell>
        </row>
      </sheetData>
      <sheetData sheetId="3753">
        <row r="5">
          <cell r="I5">
            <v>0</v>
          </cell>
        </row>
      </sheetData>
      <sheetData sheetId="3754">
        <row r="5">
          <cell r="I5">
            <v>0</v>
          </cell>
        </row>
      </sheetData>
      <sheetData sheetId="3755">
        <row r="5">
          <cell r="I5">
            <v>0</v>
          </cell>
        </row>
      </sheetData>
      <sheetData sheetId="3756">
        <row r="5">
          <cell r="I5">
            <v>0</v>
          </cell>
        </row>
      </sheetData>
      <sheetData sheetId="3757">
        <row r="5">
          <cell r="I5">
            <v>0</v>
          </cell>
        </row>
      </sheetData>
      <sheetData sheetId="3758">
        <row r="5">
          <cell r="I5">
            <v>0</v>
          </cell>
        </row>
      </sheetData>
      <sheetData sheetId="3759">
        <row r="5">
          <cell r="I5">
            <v>0</v>
          </cell>
        </row>
      </sheetData>
      <sheetData sheetId="3760">
        <row r="5">
          <cell r="I5">
            <v>0</v>
          </cell>
        </row>
      </sheetData>
      <sheetData sheetId="3761">
        <row r="5">
          <cell r="I5">
            <v>0</v>
          </cell>
        </row>
      </sheetData>
      <sheetData sheetId="3762">
        <row r="5">
          <cell r="I5">
            <v>0</v>
          </cell>
        </row>
      </sheetData>
      <sheetData sheetId="3763">
        <row r="5">
          <cell r="I5">
            <v>0</v>
          </cell>
        </row>
      </sheetData>
      <sheetData sheetId="3764">
        <row r="5">
          <cell r="I5">
            <v>0</v>
          </cell>
        </row>
      </sheetData>
      <sheetData sheetId="3765">
        <row r="5">
          <cell r="I5">
            <v>0</v>
          </cell>
        </row>
      </sheetData>
      <sheetData sheetId="3766">
        <row r="5">
          <cell r="I5">
            <v>0</v>
          </cell>
        </row>
      </sheetData>
      <sheetData sheetId="3767">
        <row r="5">
          <cell r="I5">
            <v>0</v>
          </cell>
        </row>
      </sheetData>
      <sheetData sheetId="3768">
        <row r="5">
          <cell r="I5">
            <v>0</v>
          </cell>
        </row>
      </sheetData>
      <sheetData sheetId="3769">
        <row r="5">
          <cell r="I5">
            <v>0</v>
          </cell>
        </row>
      </sheetData>
      <sheetData sheetId="3770">
        <row r="5">
          <cell r="I5">
            <v>0</v>
          </cell>
        </row>
      </sheetData>
      <sheetData sheetId="3771">
        <row r="5">
          <cell r="I5">
            <v>0</v>
          </cell>
        </row>
      </sheetData>
      <sheetData sheetId="3772">
        <row r="5">
          <cell r="I5">
            <v>0</v>
          </cell>
        </row>
      </sheetData>
      <sheetData sheetId="3773">
        <row r="5">
          <cell r="I5">
            <v>0</v>
          </cell>
        </row>
      </sheetData>
      <sheetData sheetId="3774">
        <row r="5">
          <cell r="I5">
            <v>0</v>
          </cell>
        </row>
      </sheetData>
      <sheetData sheetId="3775">
        <row r="5">
          <cell r="I5">
            <v>0</v>
          </cell>
        </row>
      </sheetData>
      <sheetData sheetId="3776">
        <row r="5">
          <cell r="I5">
            <v>0</v>
          </cell>
        </row>
      </sheetData>
      <sheetData sheetId="3777">
        <row r="5">
          <cell r="I5">
            <v>0</v>
          </cell>
        </row>
      </sheetData>
      <sheetData sheetId="3778">
        <row r="5">
          <cell r="I5">
            <v>0</v>
          </cell>
        </row>
      </sheetData>
      <sheetData sheetId="3779">
        <row r="5">
          <cell r="I5">
            <v>0</v>
          </cell>
        </row>
      </sheetData>
      <sheetData sheetId="3780">
        <row r="5">
          <cell r="I5">
            <v>0</v>
          </cell>
        </row>
      </sheetData>
      <sheetData sheetId="3781">
        <row r="5">
          <cell r="I5">
            <v>0</v>
          </cell>
        </row>
      </sheetData>
      <sheetData sheetId="3782">
        <row r="5">
          <cell r="I5">
            <v>0</v>
          </cell>
        </row>
      </sheetData>
      <sheetData sheetId="3783">
        <row r="5">
          <cell r="I5">
            <v>0</v>
          </cell>
        </row>
      </sheetData>
      <sheetData sheetId="3784">
        <row r="5">
          <cell r="I5">
            <v>0</v>
          </cell>
        </row>
      </sheetData>
      <sheetData sheetId="3785">
        <row r="5">
          <cell r="I5">
            <v>0</v>
          </cell>
        </row>
      </sheetData>
      <sheetData sheetId="3786">
        <row r="5">
          <cell r="I5">
            <v>0</v>
          </cell>
        </row>
      </sheetData>
      <sheetData sheetId="3787">
        <row r="5">
          <cell r="I5">
            <v>0</v>
          </cell>
        </row>
      </sheetData>
      <sheetData sheetId="3788">
        <row r="5">
          <cell r="I5">
            <v>0</v>
          </cell>
        </row>
      </sheetData>
      <sheetData sheetId="3789">
        <row r="5">
          <cell r="I5">
            <v>0</v>
          </cell>
        </row>
      </sheetData>
      <sheetData sheetId="3790">
        <row r="5">
          <cell r="I5">
            <v>0</v>
          </cell>
        </row>
      </sheetData>
      <sheetData sheetId="3791">
        <row r="5">
          <cell r="I5">
            <v>0</v>
          </cell>
        </row>
      </sheetData>
      <sheetData sheetId="3792">
        <row r="5">
          <cell r="I5">
            <v>0</v>
          </cell>
        </row>
      </sheetData>
      <sheetData sheetId="3793">
        <row r="5">
          <cell r="I5">
            <v>0</v>
          </cell>
        </row>
      </sheetData>
      <sheetData sheetId="3794">
        <row r="5">
          <cell r="I5">
            <v>0</v>
          </cell>
        </row>
      </sheetData>
      <sheetData sheetId="3795">
        <row r="5">
          <cell r="I5">
            <v>0</v>
          </cell>
        </row>
      </sheetData>
      <sheetData sheetId="3796">
        <row r="5">
          <cell r="I5">
            <v>0</v>
          </cell>
        </row>
      </sheetData>
      <sheetData sheetId="3797">
        <row r="5">
          <cell r="I5">
            <v>0</v>
          </cell>
        </row>
      </sheetData>
      <sheetData sheetId="3798">
        <row r="5">
          <cell r="I5">
            <v>0</v>
          </cell>
        </row>
      </sheetData>
      <sheetData sheetId="3799">
        <row r="5">
          <cell r="I5">
            <v>0</v>
          </cell>
        </row>
      </sheetData>
      <sheetData sheetId="3800">
        <row r="5">
          <cell r="I5">
            <v>0</v>
          </cell>
        </row>
      </sheetData>
      <sheetData sheetId="3801">
        <row r="5">
          <cell r="I5">
            <v>0</v>
          </cell>
        </row>
      </sheetData>
      <sheetData sheetId="3802">
        <row r="5">
          <cell r="I5">
            <v>0</v>
          </cell>
        </row>
      </sheetData>
      <sheetData sheetId="3803">
        <row r="5">
          <cell r="I5">
            <v>0</v>
          </cell>
        </row>
      </sheetData>
      <sheetData sheetId="3804">
        <row r="5">
          <cell r="I5">
            <v>0</v>
          </cell>
        </row>
      </sheetData>
      <sheetData sheetId="3805">
        <row r="5">
          <cell r="I5">
            <v>0</v>
          </cell>
        </row>
      </sheetData>
      <sheetData sheetId="3806">
        <row r="5">
          <cell r="I5">
            <v>0</v>
          </cell>
        </row>
      </sheetData>
      <sheetData sheetId="3807">
        <row r="5">
          <cell r="I5">
            <v>0</v>
          </cell>
        </row>
      </sheetData>
      <sheetData sheetId="3808">
        <row r="5">
          <cell r="I5">
            <v>0</v>
          </cell>
        </row>
      </sheetData>
      <sheetData sheetId="3809">
        <row r="5">
          <cell r="I5">
            <v>0</v>
          </cell>
        </row>
      </sheetData>
      <sheetData sheetId="3810">
        <row r="5">
          <cell r="I5">
            <v>0</v>
          </cell>
        </row>
      </sheetData>
      <sheetData sheetId="3811">
        <row r="5">
          <cell r="I5">
            <v>0</v>
          </cell>
        </row>
      </sheetData>
      <sheetData sheetId="3812">
        <row r="5">
          <cell r="I5">
            <v>0</v>
          </cell>
        </row>
      </sheetData>
      <sheetData sheetId="3813">
        <row r="5">
          <cell r="I5">
            <v>0</v>
          </cell>
        </row>
      </sheetData>
      <sheetData sheetId="3814">
        <row r="5">
          <cell r="I5">
            <v>0</v>
          </cell>
        </row>
      </sheetData>
      <sheetData sheetId="3815">
        <row r="5">
          <cell r="I5">
            <v>0</v>
          </cell>
        </row>
      </sheetData>
      <sheetData sheetId="3816">
        <row r="5">
          <cell r="I5">
            <v>0</v>
          </cell>
        </row>
      </sheetData>
      <sheetData sheetId="3817">
        <row r="5">
          <cell r="I5">
            <v>0</v>
          </cell>
        </row>
      </sheetData>
      <sheetData sheetId="3818">
        <row r="5">
          <cell r="I5">
            <v>0</v>
          </cell>
        </row>
      </sheetData>
      <sheetData sheetId="3819">
        <row r="5">
          <cell r="I5">
            <v>0</v>
          </cell>
        </row>
      </sheetData>
      <sheetData sheetId="3820">
        <row r="5">
          <cell r="I5">
            <v>0</v>
          </cell>
        </row>
      </sheetData>
      <sheetData sheetId="3821">
        <row r="5">
          <cell r="I5">
            <v>0</v>
          </cell>
        </row>
      </sheetData>
      <sheetData sheetId="3822">
        <row r="5">
          <cell r="I5">
            <v>0</v>
          </cell>
        </row>
      </sheetData>
      <sheetData sheetId="3823">
        <row r="5">
          <cell r="I5">
            <v>0</v>
          </cell>
        </row>
      </sheetData>
      <sheetData sheetId="3824">
        <row r="5">
          <cell r="I5">
            <v>0</v>
          </cell>
        </row>
      </sheetData>
      <sheetData sheetId="3825">
        <row r="5">
          <cell r="I5">
            <v>0</v>
          </cell>
        </row>
      </sheetData>
      <sheetData sheetId="3826">
        <row r="5">
          <cell r="I5">
            <v>0</v>
          </cell>
        </row>
      </sheetData>
      <sheetData sheetId="3827">
        <row r="5">
          <cell r="I5">
            <v>0</v>
          </cell>
        </row>
      </sheetData>
      <sheetData sheetId="3828">
        <row r="5">
          <cell r="I5">
            <v>0</v>
          </cell>
        </row>
      </sheetData>
      <sheetData sheetId="3829">
        <row r="5">
          <cell r="I5">
            <v>0</v>
          </cell>
        </row>
      </sheetData>
      <sheetData sheetId="3830">
        <row r="5">
          <cell r="I5">
            <v>0</v>
          </cell>
        </row>
      </sheetData>
      <sheetData sheetId="3831">
        <row r="5">
          <cell r="I5">
            <v>0</v>
          </cell>
        </row>
      </sheetData>
      <sheetData sheetId="3832">
        <row r="5">
          <cell r="I5">
            <v>0</v>
          </cell>
        </row>
      </sheetData>
      <sheetData sheetId="3833">
        <row r="5">
          <cell r="I5">
            <v>0</v>
          </cell>
        </row>
      </sheetData>
      <sheetData sheetId="3834">
        <row r="5">
          <cell r="I5">
            <v>0</v>
          </cell>
        </row>
      </sheetData>
      <sheetData sheetId="3835">
        <row r="5">
          <cell r="I5">
            <v>0</v>
          </cell>
        </row>
      </sheetData>
      <sheetData sheetId="3836">
        <row r="5">
          <cell r="I5">
            <v>0</v>
          </cell>
        </row>
      </sheetData>
      <sheetData sheetId="3837">
        <row r="5">
          <cell r="I5">
            <v>0</v>
          </cell>
        </row>
      </sheetData>
      <sheetData sheetId="3838">
        <row r="5">
          <cell r="I5">
            <v>0</v>
          </cell>
        </row>
      </sheetData>
      <sheetData sheetId="3839">
        <row r="5">
          <cell r="I5">
            <v>0</v>
          </cell>
        </row>
      </sheetData>
      <sheetData sheetId="3840">
        <row r="5">
          <cell r="I5">
            <v>0</v>
          </cell>
        </row>
      </sheetData>
      <sheetData sheetId="3841">
        <row r="5">
          <cell r="I5">
            <v>0</v>
          </cell>
        </row>
      </sheetData>
      <sheetData sheetId="3842">
        <row r="5">
          <cell r="I5">
            <v>0</v>
          </cell>
        </row>
      </sheetData>
      <sheetData sheetId="3843">
        <row r="5">
          <cell r="I5">
            <v>0</v>
          </cell>
        </row>
      </sheetData>
      <sheetData sheetId="3844">
        <row r="5">
          <cell r="I5">
            <v>0</v>
          </cell>
        </row>
      </sheetData>
      <sheetData sheetId="3845">
        <row r="5">
          <cell r="I5">
            <v>0</v>
          </cell>
        </row>
      </sheetData>
      <sheetData sheetId="3846">
        <row r="5">
          <cell r="I5">
            <v>0</v>
          </cell>
        </row>
      </sheetData>
      <sheetData sheetId="3847">
        <row r="5">
          <cell r="I5">
            <v>0</v>
          </cell>
        </row>
      </sheetData>
      <sheetData sheetId="3848">
        <row r="5">
          <cell r="I5">
            <v>0</v>
          </cell>
        </row>
      </sheetData>
      <sheetData sheetId="3849">
        <row r="5">
          <cell r="I5">
            <v>0</v>
          </cell>
        </row>
      </sheetData>
      <sheetData sheetId="3850">
        <row r="5">
          <cell r="I5">
            <v>0</v>
          </cell>
        </row>
      </sheetData>
      <sheetData sheetId="3851">
        <row r="5">
          <cell r="I5">
            <v>0</v>
          </cell>
        </row>
      </sheetData>
      <sheetData sheetId="3852">
        <row r="5">
          <cell r="I5">
            <v>0</v>
          </cell>
        </row>
      </sheetData>
      <sheetData sheetId="3853">
        <row r="5">
          <cell r="I5">
            <v>0</v>
          </cell>
        </row>
      </sheetData>
      <sheetData sheetId="3854">
        <row r="5">
          <cell r="I5">
            <v>0</v>
          </cell>
        </row>
      </sheetData>
      <sheetData sheetId="3855">
        <row r="5">
          <cell r="I5">
            <v>0</v>
          </cell>
        </row>
      </sheetData>
      <sheetData sheetId="3856">
        <row r="5">
          <cell r="I5">
            <v>0</v>
          </cell>
        </row>
      </sheetData>
      <sheetData sheetId="3857">
        <row r="5">
          <cell r="I5">
            <v>0</v>
          </cell>
        </row>
      </sheetData>
      <sheetData sheetId="3858">
        <row r="5">
          <cell r="I5">
            <v>0</v>
          </cell>
        </row>
      </sheetData>
      <sheetData sheetId="3859">
        <row r="5">
          <cell r="I5">
            <v>0</v>
          </cell>
        </row>
      </sheetData>
      <sheetData sheetId="3860">
        <row r="5">
          <cell r="I5">
            <v>0</v>
          </cell>
        </row>
      </sheetData>
      <sheetData sheetId="3861">
        <row r="5">
          <cell r="I5">
            <v>0</v>
          </cell>
        </row>
      </sheetData>
      <sheetData sheetId="3862">
        <row r="5">
          <cell r="I5">
            <v>0</v>
          </cell>
        </row>
      </sheetData>
      <sheetData sheetId="3863">
        <row r="5">
          <cell r="I5">
            <v>0</v>
          </cell>
        </row>
      </sheetData>
      <sheetData sheetId="3864">
        <row r="5">
          <cell r="I5">
            <v>0</v>
          </cell>
        </row>
      </sheetData>
      <sheetData sheetId="3865">
        <row r="5">
          <cell r="I5">
            <v>0</v>
          </cell>
        </row>
      </sheetData>
      <sheetData sheetId="3866">
        <row r="5">
          <cell r="I5">
            <v>0</v>
          </cell>
        </row>
      </sheetData>
      <sheetData sheetId="3867">
        <row r="5">
          <cell r="I5">
            <v>0</v>
          </cell>
        </row>
      </sheetData>
      <sheetData sheetId="3868">
        <row r="5">
          <cell r="I5">
            <v>0</v>
          </cell>
        </row>
      </sheetData>
      <sheetData sheetId="3869">
        <row r="5">
          <cell r="I5">
            <v>0</v>
          </cell>
        </row>
      </sheetData>
      <sheetData sheetId="3870">
        <row r="5">
          <cell r="I5">
            <v>0</v>
          </cell>
        </row>
      </sheetData>
      <sheetData sheetId="3871">
        <row r="5">
          <cell r="I5">
            <v>0</v>
          </cell>
        </row>
      </sheetData>
      <sheetData sheetId="3872">
        <row r="5">
          <cell r="I5">
            <v>0</v>
          </cell>
        </row>
      </sheetData>
      <sheetData sheetId="3873">
        <row r="5">
          <cell r="I5">
            <v>0</v>
          </cell>
        </row>
      </sheetData>
      <sheetData sheetId="3874">
        <row r="5">
          <cell r="I5">
            <v>0</v>
          </cell>
        </row>
      </sheetData>
      <sheetData sheetId="3875">
        <row r="5">
          <cell r="I5">
            <v>0</v>
          </cell>
        </row>
      </sheetData>
      <sheetData sheetId="3876">
        <row r="5">
          <cell r="I5">
            <v>0</v>
          </cell>
        </row>
      </sheetData>
      <sheetData sheetId="3877">
        <row r="5">
          <cell r="I5">
            <v>0</v>
          </cell>
        </row>
      </sheetData>
      <sheetData sheetId="3878">
        <row r="5">
          <cell r="I5">
            <v>0</v>
          </cell>
        </row>
      </sheetData>
      <sheetData sheetId="3879">
        <row r="5">
          <cell r="I5">
            <v>0</v>
          </cell>
        </row>
      </sheetData>
      <sheetData sheetId="3880">
        <row r="5">
          <cell r="I5">
            <v>0</v>
          </cell>
        </row>
      </sheetData>
      <sheetData sheetId="3881">
        <row r="5">
          <cell r="I5">
            <v>0</v>
          </cell>
        </row>
      </sheetData>
      <sheetData sheetId="3882">
        <row r="5">
          <cell r="I5">
            <v>0</v>
          </cell>
        </row>
      </sheetData>
      <sheetData sheetId="3883">
        <row r="5">
          <cell r="I5">
            <v>0</v>
          </cell>
        </row>
      </sheetData>
      <sheetData sheetId="3884">
        <row r="5">
          <cell r="I5">
            <v>0</v>
          </cell>
        </row>
      </sheetData>
      <sheetData sheetId="3885">
        <row r="5">
          <cell r="I5">
            <v>0</v>
          </cell>
        </row>
      </sheetData>
      <sheetData sheetId="3886">
        <row r="5">
          <cell r="I5">
            <v>0</v>
          </cell>
        </row>
      </sheetData>
      <sheetData sheetId="3887">
        <row r="5">
          <cell r="I5">
            <v>0</v>
          </cell>
        </row>
      </sheetData>
      <sheetData sheetId="3888">
        <row r="5">
          <cell r="I5">
            <v>0</v>
          </cell>
        </row>
      </sheetData>
      <sheetData sheetId="3889">
        <row r="5">
          <cell r="I5">
            <v>0</v>
          </cell>
        </row>
      </sheetData>
      <sheetData sheetId="3890">
        <row r="5">
          <cell r="I5">
            <v>0</v>
          </cell>
        </row>
      </sheetData>
      <sheetData sheetId="3891">
        <row r="5">
          <cell r="I5">
            <v>0</v>
          </cell>
        </row>
      </sheetData>
      <sheetData sheetId="3892">
        <row r="5">
          <cell r="I5">
            <v>0</v>
          </cell>
        </row>
      </sheetData>
      <sheetData sheetId="3893">
        <row r="5">
          <cell r="I5">
            <v>0</v>
          </cell>
        </row>
      </sheetData>
      <sheetData sheetId="3894">
        <row r="5">
          <cell r="I5">
            <v>0</v>
          </cell>
        </row>
      </sheetData>
      <sheetData sheetId="3895">
        <row r="5">
          <cell r="I5">
            <v>0</v>
          </cell>
        </row>
      </sheetData>
      <sheetData sheetId="3896">
        <row r="5">
          <cell r="I5">
            <v>0</v>
          </cell>
        </row>
      </sheetData>
      <sheetData sheetId="3897">
        <row r="5">
          <cell r="I5">
            <v>0</v>
          </cell>
        </row>
      </sheetData>
      <sheetData sheetId="3898">
        <row r="5">
          <cell r="I5">
            <v>0</v>
          </cell>
        </row>
      </sheetData>
      <sheetData sheetId="3899">
        <row r="5">
          <cell r="I5">
            <v>0</v>
          </cell>
        </row>
      </sheetData>
      <sheetData sheetId="3900">
        <row r="5">
          <cell r="I5">
            <v>0</v>
          </cell>
        </row>
      </sheetData>
      <sheetData sheetId="3901">
        <row r="5">
          <cell r="I5">
            <v>0</v>
          </cell>
        </row>
      </sheetData>
      <sheetData sheetId="3902">
        <row r="5">
          <cell r="I5">
            <v>0</v>
          </cell>
        </row>
      </sheetData>
      <sheetData sheetId="3903">
        <row r="5">
          <cell r="I5">
            <v>0</v>
          </cell>
        </row>
      </sheetData>
      <sheetData sheetId="3904">
        <row r="5">
          <cell r="I5">
            <v>0</v>
          </cell>
        </row>
      </sheetData>
      <sheetData sheetId="3905">
        <row r="5">
          <cell r="I5">
            <v>0</v>
          </cell>
        </row>
      </sheetData>
      <sheetData sheetId="3906">
        <row r="5">
          <cell r="I5">
            <v>0</v>
          </cell>
        </row>
      </sheetData>
      <sheetData sheetId="3907">
        <row r="5">
          <cell r="I5">
            <v>0</v>
          </cell>
        </row>
      </sheetData>
      <sheetData sheetId="3908">
        <row r="5">
          <cell r="I5">
            <v>0</v>
          </cell>
        </row>
      </sheetData>
      <sheetData sheetId="3909">
        <row r="5">
          <cell r="I5">
            <v>0</v>
          </cell>
        </row>
      </sheetData>
      <sheetData sheetId="3910">
        <row r="5">
          <cell r="I5">
            <v>0</v>
          </cell>
        </row>
      </sheetData>
      <sheetData sheetId="3911">
        <row r="5">
          <cell r="I5">
            <v>0</v>
          </cell>
        </row>
      </sheetData>
      <sheetData sheetId="3912">
        <row r="5">
          <cell r="I5">
            <v>0</v>
          </cell>
        </row>
      </sheetData>
      <sheetData sheetId="3913">
        <row r="5">
          <cell r="I5">
            <v>0</v>
          </cell>
        </row>
      </sheetData>
      <sheetData sheetId="3914">
        <row r="5">
          <cell r="I5">
            <v>0</v>
          </cell>
        </row>
      </sheetData>
      <sheetData sheetId="3915">
        <row r="5">
          <cell r="I5">
            <v>0</v>
          </cell>
        </row>
      </sheetData>
      <sheetData sheetId="3916">
        <row r="5">
          <cell r="I5">
            <v>0</v>
          </cell>
        </row>
      </sheetData>
      <sheetData sheetId="3917">
        <row r="5">
          <cell r="I5">
            <v>0</v>
          </cell>
        </row>
      </sheetData>
      <sheetData sheetId="3918">
        <row r="5">
          <cell r="I5">
            <v>0</v>
          </cell>
        </row>
      </sheetData>
      <sheetData sheetId="3919">
        <row r="5">
          <cell r="I5">
            <v>0</v>
          </cell>
        </row>
      </sheetData>
      <sheetData sheetId="3920">
        <row r="5">
          <cell r="I5">
            <v>0</v>
          </cell>
        </row>
      </sheetData>
      <sheetData sheetId="3921">
        <row r="5">
          <cell r="I5">
            <v>0</v>
          </cell>
        </row>
      </sheetData>
      <sheetData sheetId="3922">
        <row r="5">
          <cell r="I5">
            <v>0</v>
          </cell>
        </row>
      </sheetData>
      <sheetData sheetId="3923">
        <row r="5">
          <cell r="I5">
            <v>0</v>
          </cell>
        </row>
      </sheetData>
      <sheetData sheetId="3924">
        <row r="5">
          <cell r="I5">
            <v>0</v>
          </cell>
        </row>
      </sheetData>
      <sheetData sheetId="3925">
        <row r="5">
          <cell r="I5">
            <v>0</v>
          </cell>
        </row>
      </sheetData>
      <sheetData sheetId="3926">
        <row r="5">
          <cell r="I5">
            <v>0</v>
          </cell>
        </row>
      </sheetData>
      <sheetData sheetId="3927">
        <row r="5">
          <cell r="I5">
            <v>0</v>
          </cell>
        </row>
      </sheetData>
      <sheetData sheetId="3928">
        <row r="5">
          <cell r="I5">
            <v>0</v>
          </cell>
        </row>
      </sheetData>
      <sheetData sheetId="3929">
        <row r="5">
          <cell r="I5">
            <v>0</v>
          </cell>
        </row>
      </sheetData>
      <sheetData sheetId="3930">
        <row r="5">
          <cell r="I5">
            <v>0</v>
          </cell>
        </row>
      </sheetData>
      <sheetData sheetId="3931">
        <row r="5">
          <cell r="I5">
            <v>0</v>
          </cell>
        </row>
      </sheetData>
      <sheetData sheetId="3932">
        <row r="5">
          <cell r="I5">
            <v>0</v>
          </cell>
        </row>
      </sheetData>
      <sheetData sheetId="3933">
        <row r="5">
          <cell r="I5">
            <v>0</v>
          </cell>
        </row>
      </sheetData>
      <sheetData sheetId="3934">
        <row r="5">
          <cell r="I5">
            <v>0</v>
          </cell>
        </row>
      </sheetData>
      <sheetData sheetId="3935">
        <row r="5">
          <cell r="I5">
            <v>0</v>
          </cell>
        </row>
      </sheetData>
      <sheetData sheetId="3936">
        <row r="5">
          <cell r="I5">
            <v>0</v>
          </cell>
        </row>
      </sheetData>
      <sheetData sheetId="3937">
        <row r="5">
          <cell r="I5">
            <v>0</v>
          </cell>
        </row>
      </sheetData>
      <sheetData sheetId="3938">
        <row r="5">
          <cell r="I5">
            <v>0</v>
          </cell>
        </row>
      </sheetData>
      <sheetData sheetId="3939">
        <row r="5">
          <cell r="I5">
            <v>0</v>
          </cell>
        </row>
      </sheetData>
      <sheetData sheetId="3940">
        <row r="5">
          <cell r="I5">
            <v>0</v>
          </cell>
        </row>
      </sheetData>
      <sheetData sheetId="3941">
        <row r="5">
          <cell r="I5">
            <v>0</v>
          </cell>
        </row>
      </sheetData>
      <sheetData sheetId="3942">
        <row r="5">
          <cell r="I5">
            <v>0</v>
          </cell>
        </row>
      </sheetData>
      <sheetData sheetId="3943">
        <row r="5">
          <cell r="I5">
            <v>0</v>
          </cell>
        </row>
      </sheetData>
      <sheetData sheetId="3944">
        <row r="5">
          <cell r="I5">
            <v>0</v>
          </cell>
        </row>
      </sheetData>
      <sheetData sheetId="3945">
        <row r="5">
          <cell r="I5">
            <v>0</v>
          </cell>
        </row>
      </sheetData>
      <sheetData sheetId="3946">
        <row r="5">
          <cell r="I5">
            <v>0</v>
          </cell>
        </row>
      </sheetData>
      <sheetData sheetId="3947">
        <row r="5">
          <cell r="I5">
            <v>0</v>
          </cell>
        </row>
      </sheetData>
      <sheetData sheetId="3948">
        <row r="5">
          <cell r="I5">
            <v>0</v>
          </cell>
        </row>
      </sheetData>
      <sheetData sheetId="3949">
        <row r="5">
          <cell r="I5">
            <v>0</v>
          </cell>
        </row>
      </sheetData>
      <sheetData sheetId="3950">
        <row r="5">
          <cell r="I5">
            <v>0</v>
          </cell>
        </row>
      </sheetData>
      <sheetData sheetId="3951">
        <row r="5">
          <cell r="I5">
            <v>0</v>
          </cell>
        </row>
      </sheetData>
      <sheetData sheetId="3952">
        <row r="5">
          <cell r="I5">
            <v>0</v>
          </cell>
        </row>
      </sheetData>
      <sheetData sheetId="3953">
        <row r="5">
          <cell r="I5">
            <v>0</v>
          </cell>
        </row>
      </sheetData>
      <sheetData sheetId="3954">
        <row r="5">
          <cell r="I5">
            <v>0</v>
          </cell>
        </row>
      </sheetData>
      <sheetData sheetId="3955">
        <row r="5">
          <cell r="I5">
            <v>0</v>
          </cell>
        </row>
      </sheetData>
      <sheetData sheetId="3956">
        <row r="5">
          <cell r="I5">
            <v>0</v>
          </cell>
        </row>
      </sheetData>
      <sheetData sheetId="3957">
        <row r="5">
          <cell r="I5">
            <v>0</v>
          </cell>
        </row>
      </sheetData>
      <sheetData sheetId="3958">
        <row r="5">
          <cell r="I5">
            <v>0</v>
          </cell>
        </row>
      </sheetData>
      <sheetData sheetId="3959">
        <row r="5">
          <cell r="I5">
            <v>0</v>
          </cell>
        </row>
      </sheetData>
      <sheetData sheetId="3960">
        <row r="5">
          <cell r="I5">
            <v>0</v>
          </cell>
        </row>
      </sheetData>
      <sheetData sheetId="3961">
        <row r="5">
          <cell r="I5">
            <v>0</v>
          </cell>
        </row>
      </sheetData>
      <sheetData sheetId="3962">
        <row r="5">
          <cell r="I5">
            <v>0</v>
          </cell>
        </row>
      </sheetData>
      <sheetData sheetId="3963">
        <row r="5">
          <cell r="I5">
            <v>0</v>
          </cell>
        </row>
      </sheetData>
      <sheetData sheetId="3964">
        <row r="5">
          <cell r="I5">
            <v>0</v>
          </cell>
        </row>
      </sheetData>
      <sheetData sheetId="3965">
        <row r="5">
          <cell r="I5">
            <v>0</v>
          </cell>
        </row>
      </sheetData>
      <sheetData sheetId="3966">
        <row r="5">
          <cell r="I5">
            <v>0</v>
          </cell>
        </row>
      </sheetData>
      <sheetData sheetId="3967">
        <row r="5">
          <cell r="I5">
            <v>0</v>
          </cell>
        </row>
      </sheetData>
      <sheetData sheetId="3968">
        <row r="5">
          <cell r="I5">
            <v>0</v>
          </cell>
        </row>
      </sheetData>
      <sheetData sheetId="3969">
        <row r="5">
          <cell r="I5">
            <v>0</v>
          </cell>
        </row>
      </sheetData>
      <sheetData sheetId="3970">
        <row r="5">
          <cell r="I5">
            <v>0</v>
          </cell>
        </row>
      </sheetData>
      <sheetData sheetId="3971">
        <row r="5">
          <cell r="I5">
            <v>0</v>
          </cell>
        </row>
      </sheetData>
      <sheetData sheetId="3972">
        <row r="5">
          <cell r="I5">
            <v>0</v>
          </cell>
        </row>
      </sheetData>
      <sheetData sheetId="3973">
        <row r="5">
          <cell r="I5">
            <v>0</v>
          </cell>
        </row>
      </sheetData>
      <sheetData sheetId="3974">
        <row r="5">
          <cell r="I5">
            <v>0</v>
          </cell>
        </row>
      </sheetData>
      <sheetData sheetId="3975">
        <row r="5">
          <cell r="I5">
            <v>0</v>
          </cell>
        </row>
      </sheetData>
      <sheetData sheetId="3976">
        <row r="5">
          <cell r="I5">
            <v>0</v>
          </cell>
        </row>
      </sheetData>
      <sheetData sheetId="3977">
        <row r="5">
          <cell r="I5">
            <v>0</v>
          </cell>
        </row>
      </sheetData>
      <sheetData sheetId="3978">
        <row r="5">
          <cell r="I5">
            <v>0</v>
          </cell>
        </row>
      </sheetData>
      <sheetData sheetId="3979">
        <row r="5">
          <cell r="I5">
            <v>0</v>
          </cell>
        </row>
      </sheetData>
      <sheetData sheetId="3980">
        <row r="5">
          <cell r="I5">
            <v>0</v>
          </cell>
        </row>
      </sheetData>
      <sheetData sheetId="3981">
        <row r="5">
          <cell r="I5">
            <v>0</v>
          </cell>
        </row>
      </sheetData>
      <sheetData sheetId="3982">
        <row r="5">
          <cell r="I5">
            <v>0</v>
          </cell>
        </row>
      </sheetData>
      <sheetData sheetId="3983">
        <row r="5">
          <cell r="I5">
            <v>0</v>
          </cell>
        </row>
      </sheetData>
      <sheetData sheetId="3984">
        <row r="5">
          <cell r="I5">
            <v>0</v>
          </cell>
        </row>
      </sheetData>
      <sheetData sheetId="3985">
        <row r="5">
          <cell r="I5">
            <v>0</v>
          </cell>
        </row>
      </sheetData>
      <sheetData sheetId="3986">
        <row r="5">
          <cell r="I5">
            <v>0</v>
          </cell>
        </row>
      </sheetData>
      <sheetData sheetId="3987">
        <row r="5">
          <cell r="I5">
            <v>0</v>
          </cell>
        </row>
      </sheetData>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ow r="5">
          <cell r="I5">
            <v>0</v>
          </cell>
        </row>
      </sheetData>
      <sheetData sheetId="4065">
        <row r="5">
          <cell r="I5">
            <v>0</v>
          </cell>
        </row>
      </sheetData>
      <sheetData sheetId="4066">
        <row r="5">
          <cell r="I5">
            <v>0</v>
          </cell>
        </row>
      </sheetData>
      <sheetData sheetId="4067">
        <row r="5">
          <cell r="I5">
            <v>0</v>
          </cell>
        </row>
      </sheetData>
      <sheetData sheetId="4068">
        <row r="5">
          <cell r="I5">
            <v>0</v>
          </cell>
        </row>
      </sheetData>
      <sheetData sheetId="4069">
        <row r="5">
          <cell r="I5">
            <v>0</v>
          </cell>
        </row>
      </sheetData>
      <sheetData sheetId="4070">
        <row r="5">
          <cell r="I5">
            <v>0</v>
          </cell>
        </row>
      </sheetData>
      <sheetData sheetId="4071">
        <row r="5">
          <cell r="I5">
            <v>0</v>
          </cell>
        </row>
      </sheetData>
      <sheetData sheetId="4072">
        <row r="5">
          <cell r="I5">
            <v>0</v>
          </cell>
        </row>
      </sheetData>
      <sheetData sheetId="4073">
        <row r="5">
          <cell r="I5">
            <v>0</v>
          </cell>
        </row>
      </sheetData>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ow r="5">
          <cell r="I5">
            <v>0</v>
          </cell>
        </row>
      </sheetData>
      <sheetData sheetId="4085">
        <row r="5">
          <cell r="I5">
            <v>0</v>
          </cell>
        </row>
      </sheetData>
      <sheetData sheetId="4086">
        <row r="5">
          <cell r="I5">
            <v>0</v>
          </cell>
        </row>
      </sheetData>
      <sheetData sheetId="4087">
        <row r="5">
          <cell r="I5">
            <v>0</v>
          </cell>
        </row>
      </sheetData>
      <sheetData sheetId="4088">
        <row r="5">
          <cell r="I5">
            <v>0</v>
          </cell>
        </row>
      </sheetData>
      <sheetData sheetId="4089">
        <row r="5">
          <cell r="I5">
            <v>0</v>
          </cell>
        </row>
      </sheetData>
      <sheetData sheetId="4090">
        <row r="5">
          <cell r="I5">
            <v>0</v>
          </cell>
        </row>
      </sheetData>
      <sheetData sheetId="4091">
        <row r="5">
          <cell r="I5">
            <v>0</v>
          </cell>
        </row>
      </sheetData>
      <sheetData sheetId="4092">
        <row r="5">
          <cell r="I5">
            <v>0</v>
          </cell>
        </row>
      </sheetData>
      <sheetData sheetId="4093">
        <row r="5">
          <cell r="I5">
            <v>0</v>
          </cell>
        </row>
      </sheetData>
      <sheetData sheetId="4094">
        <row r="5">
          <cell r="I5">
            <v>0</v>
          </cell>
        </row>
      </sheetData>
      <sheetData sheetId="4095">
        <row r="5">
          <cell r="I5">
            <v>0</v>
          </cell>
        </row>
      </sheetData>
      <sheetData sheetId="4096">
        <row r="5">
          <cell r="I5">
            <v>0</v>
          </cell>
        </row>
      </sheetData>
      <sheetData sheetId="4097">
        <row r="5">
          <cell r="I5">
            <v>0</v>
          </cell>
        </row>
      </sheetData>
      <sheetData sheetId="4098">
        <row r="5">
          <cell r="I5">
            <v>0</v>
          </cell>
        </row>
      </sheetData>
      <sheetData sheetId="4099">
        <row r="5">
          <cell r="I5">
            <v>0</v>
          </cell>
        </row>
      </sheetData>
      <sheetData sheetId="4100">
        <row r="5">
          <cell r="I5">
            <v>0</v>
          </cell>
        </row>
      </sheetData>
      <sheetData sheetId="4101">
        <row r="5">
          <cell r="I5">
            <v>0</v>
          </cell>
        </row>
      </sheetData>
      <sheetData sheetId="4102">
        <row r="5">
          <cell r="I5">
            <v>0</v>
          </cell>
        </row>
      </sheetData>
      <sheetData sheetId="4103">
        <row r="5">
          <cell r="I5">
            <v>0</v>
          </cell>
        </row>
      </sheetData>
      <sheetData sheetId="4104">
        <row r="5">
          <cell r="I5">
            <v>0</v>
          </cell>
        </row>
      </sheetData>
      <sheetData sheetId="4105">
        <row r="5">
          <cell r="I5">
            <v>0</v>
          </cell>
        </row>
      </sheetData>
      <sheetData sheetId="4106">
        <row r="5">
          <cell r="I5">
            <v>0</v>
          </cell>
        </row>
      </sheetData>
      <sheetData sheetId="4107">
        <row r="5">
          <cell r="I5">
            <v>0</v>
          </cell>
        </row>
      </sheetData>
      <sheetData sheetId="4108">
        <row r="5">
          <cell r="I5">
            <v>0</v>
          </cell>
        </row>
      </sheetData>
      <sheetData sheetId="4109">
        <row r="5">
          <cell r="I5">
            <v>0</v>
          </cell>
        </row>
      </sheetData>
      <sheetData sheetId="4110">
        <row r="5">
          <cell r="I5">
            <v>0</v>
          </cell>
        </row>
      </sheetData>
      <sheetData sheetId="4111">
        <row r="5">
          <cell r="I5">
            <v>0</v>
          </cell>
        </row>
      </sheetData>
      <sheetData sheetId="4112">
        <row r="5">
          <cell r="I5">
            <v>0</v>
          </cell>
        </row>
      </sheetData>
      <sheetData sheetId="4113">
        <row r="5">
          <cell r="I5">
            <v>0</v>
          </cell>
        </row>
      </sheetData>
      <sheetData sheetId="4114">
        <row r="5">
          <cell r="I5">
            <v>0</v>
          </cell>
        </row>
      </sheetData>
      <sheetData sheetId="4115">
        <row r="5">
          <cell r="I5">
            <v>0</v>
          </cell>
        </row>
      </sheetData>
      <sheetData sheetId="4116">
        <row r="5">
          <cell r="I5">
            <v>0</v>
          </cell>
        </row>
      </sheetData>
      <sheetData sheetId="4117">
        <row r="5">
          <cell r="I5">
            <v>0</v>
          </cell>
        </row>
      </sheetData>
      <sheetData sheetId="4118">
        <row r="5">
          <cell r="I5">
            <v>0</v>
          </cell>
        </row>
      </sheetData>
      <sheetData sheetId="4119">
        <row r="5">
          <cell r="I5">
            <v>0</v>
          </cell>
        </row>
      </sheetData>
      <sheetData sheetId="4120">
        <row r="5">
          <cell r="I5">
            <v>0</v>
          </cell>
        </row>
      </sheetData>
      <sheetData sheetId="4121">
        <row r="5">
          <cell r="I5">
            <v>0</v>
          </cell>
        </row>
      </sheetData>
      <sheetData sheetId="4122">
        <row r="5">
          <cell r="I5">
            <v>0</v>
          </cell>
        </row>
      </sheetData>
      <sheetData sheetId="4123">
        <row r="5">
          <cell r="I5">
            <v>0</v>
          </cell>
        </row>
      </sheetData>
      <sheetData sheetId="4124">
        <row r="5">
          <cell r="I5">
            <v>0</v>
          </cell>
        </row>
      </sheetData>
      <sheetData sheetId="4125">
        <row r="5">
          <cell r="I5">
            <v>0</v>
          </cell>
        </row>
      </sheetData>
      <sheetData sheetId="4126">
        <row r="5">
          <cell r="I5">
            <v>0</v>
          </cell>
        </row>
      </sheetData>
      <sheetData sheetId="4127">
        <row r="5">
          <cell r="I5">
            <v>0</v>
          </cell>
        </row>
      </sheetData>
      <sheetData sheetId="4128">
        <row r="5">
          <cell r="I5">
            <v>0</v>
          </cell>
        </row>
      </sheetData>
      <sheetData sheetId="4129">
        <row r="5">
          <cell r="I5">
            <v>0</v>
          </cell>
        </row>
      </sheetData>
      <sheetData sheetId="4130">
        <row r="5">
          <cell r="I5">
            <v>0</v>
          </cell>
        </row>
      </sheetData>
      <sheetData sheetId="4131">
        <row r="5">
          <cell r="I5">
            <v>0</v>
          </cell>
        </row>
      </sheetData>
      <sheetData sheetId="4132">
        <row r="5">
          <cell r="I5">
            <v>0</v>
          </cell>
        </row>
      </sheetData>
      <sheetData sheetId="4133">
        <row r="5">
          <cell r="I5">
            <v>0</v>
          </cell>
        </row>
      </sheetData>
      <sheetData sheetId="4134">
        <row r="5">
          <cell r="I5">
            <v>0</v>
          </cell>
        </row>
      </sheetData>
      <sheetData sheetId="4135">
        <row r="5">
          <cell r="I5">
            <v>0</v>
          </cell>
        </row>
      </sheetData>
      <sheetData sheetId="4136">
        <row r="5">
          <cell r="I5">
            <v>0</v>
          </cell>
        </row>
      </sheetData>
      <sheetData sheetId="4137">
        <row r="5">
          <cell r="I5">
            <v>0</v>
          </cell>
        </row>
      </sheetData>
      <sheetData sheetId="4138">
        <row r="5">
          <cell r="I5">
            <v>0</v>
          </cell>
        </row>
      </sheetData>
      <sheetData sheetId="4139">
        <row r="5">
          <cell r="I5">
            <v>0</v>
          </cell>
        </row>
      </sheetData>
      <sheetData sheetId="4140">
        <row r="5">
          <cell r="I5">
            <v>0</v>
          </cell>
        </row>
      </sheetData>
      <sheetData sheetId="4141">
        <row r="5">
          <cell r="I5">
            <v>0</v>
          </cell>
        </row>
      </sheetData>
      <sheetData sheetId="4142">
        <row r="5">
          <cell r="I5">
            <v>0</v>
          </cell>
        </row>
      </sheetData>
      <sheetData sheetId="4143">
        <row r="5">
          <cell r="I5">
            <v>0</v>
          </cell>
        </row>
      </sheetData>
      <sheetData sheetId="4144">
        <row r="5">
          <cell r="I5">
            <v>0</v>
          </cell>
        </row>
      </sheetData>
      <sheetData sheetId="4145">
        <row r="5">
          <cell r="I5">
            <v>0</v>
          </cell>
        </row>
      </sheetData>
      <sheetData sheetId="4146">
        <row r="5">
          <cell r="I5">
            <v>0</v>
          </cell>
        </row>
      </sheetData>
      <sheetData sheetId="4147">
        <row r="5">
          <cell r="I5">
            <v>0</v>
          </cell>
        </row>
      </sheetData>
      <sheetData sheetId="4148">
        <row r="5">
          <cell r="I5">
            <v>0</v>
          </cell>
        </row>
      </sheetData>
      <sheetData sheetId="4149">
        <row r="5">
          <cell r="I5">
            <v>0</v>
          </cell>
        </row>
      </sheetData>
      <sheetData sheetId="4150">
        <row r="5">
          <cell r="I5">
            <v>0</v>
          </cell>
        </row>
      </sheetData>
      <sheetData sheetId="4151">
        <row r="5">
          <cell r="I5">
            <v>0</v>
          </cell>
        </row>
      </sheetData>
      <sheetData sheetId="4152">
        <row r="5">
          <cell r="I5">
            <v>0</v>
          </cell>
        </row>
      </sheetData>
      <sheetData sheetId="4153">
        <row r="5">
          <cell r="I5">
            <v>0</v>
          </cell>
        </row>
      </sheetData>
      <sheetData sheetId="4154">
        <row r="5">
          <cell r="I5">
            <v>0</v>
          </cell>
        </row>
      </sheetData>
      <sheetData sheetId="4155">
        <row r="5">
          <cell r="I5">
            <v>0</v>
          </cell>
        </row>
      </sheetData>
      <sheetData sheetId="4156">
        <row r="5">
          <cell r="I5">
            <v>0</v>
          </cell>
        </row>
      </sheetData>
      <sheetData sheetId="4157">
        <row r="5">
          <cell r="I5">
            <v>0</v>
          </cell>
        </row>
      </sheetData>
      <sheetData sheetId="4158">
        <row r="5">
          <cell r="I5">
            <v>0</v>
          </cell>
        </row>
      </sheetData>
      <sheetData sheetId="4159">
        <row r="5">
          <cell r="I5">
            <v>0</v>
          </cell>
        </row>
      </sheetData>
      <sheetData sheetId="4160">
        <row r="5">
          <cell r="I5">
            <v>0</v>
          </cell>
        </row>
      </sheetData>
      <sheetData sheetId="4161">
        <row r="5">
          <cell r="I5">
            <v>0</v>
          </cell>
        </row>
      </sheetData>
      <sheetData sheetId="4162">
        <row r="5">
          <cell r="I5">
            <v>0</v>
          </cell>
        </row>
      </sheetData>
      <sheetData sheetId="4163">
        <row r="5">
          <cell r="I5">
            <v>0</v>
          </cell>
        </row>
      </sheetData>
      <sheetData sheetId="4164">
        <row r="5">
          <cell r="I5">
            <v>0</v>
          </cell>
        </row>
      </sheetData>
      <sheetData sheetId="4165">
        <row r="5">
          <cell r="I5">
            <v>0</v>
          </cell>
        </row>
      </sheetData>
      <sheetData sheetId="4166">
        <row r="5">
          <cell r="I5">
            <v>0</v>
          </cell>
        </row>
      </sheetData>
      <sheetData sheetId="4167">
        <row r="5">
          <cell r="I5">
            <v>0</v>
          </cell>
        </row>
      </sheetData>
      <sheetData sheetId="4168">
        <row r="5">
          <cell r="I5">
            <v>0</v>
          </cell>
        </row>
      </sheetData>
      <sheetData sheetId="4169">
        <row r="5">
          <cell r="I5">
            <v>0</v>
          </cell>
        </row>
      </sheetData>
      <sheetData sheetId="4170">
        <row r="5">
          <cell r="I5">
            <v>0</v>
          </cell>
        </row>
      </sheetData>
      <sheetData sheetId="4171">
        <row r="5">
          <cell r="I5">
            <v>0</v>
          </cell>
        </row>
      </sheetData>
      <sheetData sheetId="4172">
        <row r="5">
          <cell r="I5">
            <v>0</v>
          </cell>
        </row>
      </sheetData>
      <sheetData sheetId="4173">
        <row r="5">
          <cell r="I5">
            <v>0</v>
          </cell>
        </row>
      </sheetData>
      <sheetData sheetId="4174">
        <row r="5">
          <cell r="I5">
            <v>0</v>
          </cell>
        </row>
      </sheetData>
      <sheetData sheetId="4175">
        <row r="5">
          <cell r="I5">
            <v>0</v>
          </cell>
        </row>
      </sheetData>
      <sheetData sheetId="4176">
        <row r="5">
          <cell r="I5">
            <v>0</v>
          </cell>
        </row>
      </sheetData>
      <sheetData sheetId="4177">
        <row r="5">
          <cell r="I5">
            <v>0</v>
          </cell>
        </row>
      </sheetData>
      <sheetData sheetId="4178">
        <row r="5">
          <cell r="I5">
            <v>0</v>
          </cell>
        </row>
      </sheetData>
      <sheetData sheetId="4179">
        <row r="5">
          <cell r="I5">
            <v>0</v>
          </cell>
        </row>
      </sheetData>
      <sheetData sheetId="4180">
        <row r="5">
          <cell r="I5">
            <v>0</v>
          </cell>
        </row>
      </sheetData>
      <sheetData sheetId="4181">
        <row r="5">
          <cell r="I5">
            <v>0</v>
          </cell>
        </row>
      </sheetData>
      <sheetData sheetId="4182">
        <row r="5">
          <cell r="I5">
            <v>0</v>
          </cell>
        </row>
      </sheetData>
      <sheetData sheetId="4183">
        <row r="5">
          <cell r="I5">
            <v>0</v>
          </cell>
        </row>
      </sheetData>
      <sheetData sheetId="4184">
        <row r="5">
          <cell r="I5">
            <v>0</v>
          </cell>
        </row>
      </sheetData>
      <sheetData sheetId="4185">
        <row r="5">
          <cell r="I5">
            <v>0</v>
          </cell>
        </row>
      </sheetData>
      <sheetData sheetId="4186">
        <row r="5">
          <cell r="I5">
            <v>0</v>
          </cell>
        </row>
      </sheetData>
      <sheetData sheetId="4187">
        <row r="5">
          <cell r="I5">
            <v>0</v>
          </cell>
        </row>
      </sheetData>
      <sheetData sheetId="4188">
        <row r="5">
          <cell r="I5">
            <v>0</v>
          </cell>
        </row>
      </sheetData>
      <sheetData sheetId="4189">
        <row r="5">
          <cell r="I5">
            <v>0</v>
          </cell>
        </row>
      </sheetData>
      <sheetData sheetId="4190">
        <row r="5">
          <cell r="I5">
            <v>0</v>
          </cell>
        </row>
      </sheetData>
      <sheetData sheetId="4191">
        <row r="5">
          <cell r="I5">
            <v>0</v>
          </cell>
        </row>
      </sheetData>
      <sheetData sheetId="4192">
        <row r="5">
          <cell r="I5">
            <v>0</v>
          </cell>
        </row>
      </sheetData>
      <sheetData sheetId="4193">
        <row r="5">
          <cell r="I5">
            <v>0</v>
          </cell>
        </row>
      </sheetData>
      <sheetData sheetId="4194">
        <row r="5">
          <cell r="I5">
            <v>0</v>
          </cell>
        </row>
      </sheetData>
      <sheetData sheetId="4195">
        <row r="5">
          <cell r="I5">
            <v>0</v>
          </cell>
        </row>
      </sheetData>
      <sheetData sheetId="4196">
        <row r="5">
          <cell r="I5">
            <v>0</v>
          </cell>
        </row>
      </sheetData>
      <sheetData sheetId="4197">
        <row r="5">
          <cell r="I5">
            <v>0</v>
          </cell>
        </row>
      </sheetData>
      <sheetData sheetId="4198">
        <row r="5">
          <cell r="I5">
            <v>0</v>
          </cell>
        </row>
      </sheetData>
      <sheetData sheetId="4199">
        <row r="5">
          <cell r="I5">
            <v>0</v>
          </cell>
        </row>
      </sheetData>
      <sheetData sheetId="4200">
        <row r="5">
          <cell r="I5">
            <v>0</v>
          </cell>
        </row>
      </sheetData>
      <sheetData sheetId="4201">
        <row r="5">
          <cell r="I5">
            <v>0</v>
          </cell>
        </row>
      </sheetData>
      <sheetData sheetId="4202">
        <row r="5">
          <cell r="I5">
            <v>0</v>
          </cell>
        </row>
      </sheetData>
      <sheetData sheetId="4203">
        <row r="5">
          <cell r="I5">
            <v>0</v>
          </cell>
        </row>
      </sheetData>
      <sheetData sheetId="4204">
        <row r="5">
          <cell r="I5">
            <v>0</v>
          </cell>
        </row>
      </sheetData>
      <sheetData sheetId="4205">
        <row r="5">
          <cell r="I5">
            <v>0</v>
          </cell>
        </row>
      </sheetData>
      <sheetData sheetId="4206">
        <row r="5">
          <cell r="I5">
            <v>0</v>
          </cell>
        </row>
      </sheetData>
      <sheetData sheetId="4207">
        <row r="5">
          <cell r="I5">
            <v>0</v>
          </cell>
        </row>
      </sheetData>
      <sheetData sheetId="4208">
        <row r="5">
          <cell r="I5">
            <v>0</v>
          </cell>
        </row>
      </sheetData>
      <sheetData sheetId="4209">
        <row r="5">
          <cell r="I5">
            <v>0</v>
          </cell>
        </row>
      </sheetData>
      <sheetData sheetId="4210">
        <row r="5">
          <cell r="I5">
            <v>0</v>
          </cell>
        </row>
      </sheetData>
      <sheetData sheetId="4211">
        <row r="5">
          <cell r="I5">
            <v>0</v>
          </cell>
        </row>
      </sheetData>
      <sheetData sheetId="4212">
        <row r="5">
          <cell r="I5">
            <v>0</v>
          </cell>
        </row>
      </sheetData>
      <sheetData sheetId="4213">
        <row r="5">
          <cell r="I5">
            <v>0</v>
          </cell>
        </row>
      </sheetData>
      <sheetData sheetId="4214">
        <row r="5">
          <cell r="I5">
            <v>0</v>
          </cell>
        </row>
      </sheetData>
      <sheetData sheetId="4215">
        <row r="5">
          <cell r="I5">
            <v>0</v>
          </cell>
        </row>
      </sheetData>
      <sheetData sheetId="4216">
        <row r="5">
          <cell r="I5">
            <v>0</v>
          </cell>
        </row>
      </sheetData>
      <sheetData sheetId="4217">
        <row r="5">
          <cell r="I5">
            <v>0</v>
          </cell>
        </row>
      </sheetData>
      <sheetData sheetId="4218">
        <row r="5">
          <cell r="I5">
            <v>0</v>
          </cell>
        </row>
      </sheetData>
      <sheetData sheetId="4219">
        <row r="5">
          <cell r="I5">
            <v>0</v>
          </cell>
        </row>
      </sheetData>
      <sheetData sheetId="4220">
        <row r="5">
          <cell r="I5">
            <v>0</v>
          </cell>
        </row>
      </sheetData>
      <sheetData sheetId="4221">
        <row r="5">
          <cell r="I5">
            <v>0</v>
          </cell>
        </row>
      </sheetData>
      <sheetData sheetId="4222">
        <row r="5">
          <cell r="I5">
            <v>0</v>
          </cell>
        </row>
      </sheetData>
      <sheetData sheetId="4223">
        <row r="5">
          <cell r="I5">
            <v>0</v>
          </cell>
        </row>
      </sheetData>
      <sheetData sheetId="4224">
        <row r="5">
          <cell r="I5">
            <v>0</v>
          </cell>
        </row>
      </sheetData>
      <sheetData sheetId="4225">
        <row r="5">
          <cell r="I5">
            <v>0</v>
          </cell>
        </row>
      </sheetData>
      <sheetData sheetId="4226">
        <row r="5">
          <cell r="I5">
            <v>0</v>
          </cell>
        </row>
      </sheetData>
      <sheetData sheetId="4227">
        <row r="5">
          <cell r="I5">
            <v>0</v>
          </cell>
        </row>
      </sheetData>
      <sheetData sheetId="4228">
        <row r="5">
          <cell r="I5">
            <v>0</v>
          </cell>
        </row>
      </sheetData>
      <sheetData sheetId="4229">
        <row r="5">
          <cell r="I5">
            <v>0</v>
          </cell>
        </row>
      </sheetData>
      <sheetData sheetId="4230">
        <row r="5">
          <cell r="I5">
            <v>0</v>
          </cell>
        </row>
      </sheetData>
      <sheetData sheetId="4231">
        <row r="5">
          <cell r="I5">
            <v>0</v>
          </cell>
        </row>
      </sheetData>
      <sheetData sheetId="4232">
        <row r="5">
          <cell r="I5">
            <v>0</v>
          </cell>
        </row>
      </sheetData>
      <sheetData sheetId="4233">
        <row r="5">
          <cell r="I5">
            <v>0</v>
          </cell>
        </row>
      </sheetData>
      <sheetData sheetId="4234">
        <row r="5">
          <cell r="I5">
            <v>0</v>
          </cell>
        </row>
      </sheetData>
      <sheetData sheetId="4235">
        <row r="5">
          <cell r="I5">
            <v>0</v>
          </cell>
        </row>
      </sheetData>
      <sheetData sheetId="4236">
        <row r="5">
          <cell r="I5">
            <v>0</v>
          </cell>
        </row>
      </sheetData>
      <sheetData sheetId="4237">
        <row r="5">
          <cell r="I5">
            <v>0</v>
          </cell>
        </row>
      </sheetData>
      <sheetData sheetId="4238">
        <row r="5">
          <cell r="I5">
            <v>0</v>
          </cell>
        </row>
      </sheetData>
      <sheetData sheetId="4239">
        <row r="5">
          <cell r="I5">
            <v>0</v>
          </cell>
        </row>
      </sheetData>
      <sheetData sheetId="4240">
        <row r="5">
          <cell r="I5">
            <v>0</v>
          </cell>
        </row>
      </sheetData>
      <sheetData sheetId="4241">
        <row r="5">
          <cell r="I5">
            <v>0</v>
          </cell>
        </row>
      </sheetData>
      <sheetData sheetId="4242">
        <row r="5">
          <cell r="I5">
            <v>0</v>
          </cell>
        </row>
      </sheetData>
      <sheetData sheetId="4243">
        <row r="5">
          <cell r="I5">
            <v>0</v>
          </cell>
        </row>
      </sheetData>
      <sheetData sheetId="4244">
        <row r="5">
          <cell r="I5">
            <v>0</v>
          </cell>
        </row>
      </sheetData>
      <sheetData sheetId="4245">
        <row r="5">
          <cell r="I5">
            <v>0</v>
          </cell>
        </row>
      </sheetData>
      <sheetData sheetId="4246">
        <row r="5">
          <cell r="I5">
            <v>0</v>
          </cell>
        </row>
      </sheetData>
      <sheetData sheetId="4247">
        <row r="5">
          <cell r="I5">
            <v>0</v>
          </cell>
        </row>
      </sheetData>
      <sheetData sheetId="4248">
        <row r="5">
          <cell r="I5">
            <v>0</v>
          </cell>
        </row>
      </sheetData>
      <sheetData sheetId="4249">
        <row r="5">
          <cell r="I5">
            <v>0</v>
          </cell>
        </row>
      </sheetData>
      <sheetData sheetId="4250">
        <row r="5">
          <cell r="I5">
            <v>0</v>
          </cell>
        </row>
      </sheetData>
      <sheetData sheetId="4251">
        <row r="5">
          <cell r="I5">
            <v>0</v>
          </cell>
        </row>
      </sheetData>
      <sheetData sheetId="4252">
        <row r="5">
          <cell r="I5">
            <v>0</v>
          </cell>
        </row>
      </sheetData>
      <sheetData sheetId="4253">
        <row r="5">
          <cell r="I5">
            <v>0</v>
          </cell>
        </row>
      </sheetData>
      <sheetData sheetId="4254">
        <row r="5">
          <cell r="I5">
            <v>0</v>
          </cell>
        </row>
      </sheetData>
      <sheetData sheetId="4255">
        <row r="5">
          <cell r="I5">
            <v>0</v>
          </cell>
        </row>
      </sheetData>
      <sheetData sheetId="4256">
        <row r="5">
          <cell r="I5">
            <v>0</v>
          </cell>
        </row>
      </sheetData>
      <sheetData sheetId="4257">
        <row r="5">
          <cell r="I5">
            <v>0</v>
          </cell>
        </row>
      </sheetData>
      <sheetData sheetId="4258">
        <row r="5">
          <cell r="I5">
            <v>0</v>
          </cell>
        </row>
      </sheetData>
      <sheetData sheetId="4259">
        <row r="5">
          <cell r="I5">
            <v>0</v>
          </cell>
        </row>
      </sheetData>
      <sheetData sheetId="4260">
        <row r="5">
          <cell r="I5">
            <v>0</v>
          </cell>
        </row>
      </sheetData>
      <sheetData sheetId="4261">
        <row r="5">
          <cell r="I5">
            <v>0</v>
          </cell>
        </row>
      </sheetData>
      <sheetData sheetId="4262">
        <row r="5">
          <cell r="I5">
            <v>0</v>
          </cell>
        </row>
      </sheetData>
      <sheetData sheetId="4263">
        <row r="5">
          <cell r="I5">
            <v>0</v>
          </cell>
        </row>
      </sheetData>
      <sheetData sheetId="4264">
        <row r="5">
          <cell r="I5">
            <v>0</v>
          </cell>
        </row>
      </sheetData>
      <sheetData sheetId="4265">
        <row r="5">
          <cell r="I5">
            <v>0</v>
          </cell>
        </row>
      </sheetData>
      <sheetData sheetId="4266">
        <row r="5">
          <cell r="I5">
            <v>0</v>
          </cell>
        </row>
      </sheetData>
      <sheetData sheetId="4267">
        <row r="5">
          <cell r="I5">
            <v>0</v>
          </cell>
        </row>
      </sheetData>
      <sheetData sheetId="4268">
        <row r="5">
          <cell r="I5">
            <v>0</v>
          </cell>
        </row>
      </sheetData>
      <sheetData sheetId="4269">
        <row r="5">
          <cell r="I5">
            <v>0</v>
          </cell>
        </row>
      </sheetData>
      <sheetData sheetId="4270">
        <row r="5">
          <cell r="I5">
            <v>0</v>
          </cell>
        </row>
      </sheetData>
      <sheetData sheetId="4271">
        <row r="5">
          <cell r="I5">
            <v>0</v>
          </cell>
        </row>
      </sheetData>
      <sheetData sheetId="4272">
        <row r="5">
          <cell r="I5">
            <v>0</v>
          </cell>
        </row>
      </sheetData>
      <sheetData sheetId="4273">
        <row r="5">
          <cell r="I5">
            <v>0</v>
          </cell>
        </row>
      </sheetData>
      <sheetData sheetId="4274">
        <row r="5">
          <cell r="I5">
            <v>0</v>
          </cell>
        </row>
      </sheetData>
      <sheetData sheetId="4275">
        <row r="5">
          <cell r="I5">
            <v>0</v>
          </cell>
        </row>
      </sheetData>
      <sheetData sheetId="4276">
        <row r="5">
          <cell r="I5">
            <v>0</v>
          </cell>
        </row>
      </sheetData>
      <sheetData sheetId="4277">
        <row r="5">
          <cell r="I5">
            <v>0</v>
          </cell>
        </row>
      </sheetData>
      <sheetData sheetId="4278">
        <row r="5">
          <cell r="I5">
            <v>0</v>
          </cell>
        </row>
      </sheetData>
      <sheetData sheetId="4279">
        <row r="5">
          <cell r="I5">
            <v>0</v>
          </cell>
        </row>
      </sheetData>
      <sheetData sheetId="4280">
        <row r="5">
          <cell r="I5">
            <v>0</v>
          </cell>
        </row>
      </sheetData>
      <sheetData sheetId="4281">
        <row r="5">
          <cell r="I5">
            <v>0</v>
          </cell>
        </row>
      </sheetData>
      <sheetData sheetId="4282">
        <row r="5">
          <cell r="I5">
            <v>0</v>
          </cell>
        </row>
      </sheetData>
      <sheetData sheetId="4283">
        <row r="5">
          <cell r="I5">
            <v>0</v>
          </cell>
        </row>
      </sheetData>
      <sheetData sheetId="4284">
        <row r="5">
          <cell r="I5">
            <v>0</v>
          </cell>
        </row>
      </sheetData>
      <sheetData sheetId="4285">
        <row r="5">
          <cell r="I5">
            <v>0</v>
          </cell>
        </row>
      </sheetData>
      <sheetData sheetId="4286">
        <row r="5">
          <cell r="I5">
            <v>0</v>
          </cell>
        </row>
      </sheetData>
      <sheetData sheetId="4287">
        <row r="5">
          <cell r="I5">
            <v>0</v>
          </cell>
        </row>
      </sheetData>
      <sheetData sheetId="4288">
        <row r="5">
          <cell r="I5">
            <v>0</v>
          </cell>
        </row>
      </sheetData>
      <sheetData sheetId="4289">
        <row r="5">
          <cell r="I5">
            <v>0</v>
          </cell>
        </row>
      </sheetData>
      <sheetData sheetId="4290">
        <row r="5">
          <cell r="I5">
            <v>0</v>
          </cell>
        </row>
      </sheetData>
      <sheetData sheetId="4291">
        <row r="5">
          <cell r="I5">
            <v>0</v>
          </cell>
        </row>
      </sheetData>
      <sheetData sheetId="4292">
        <row r="5">
          <cell r="I5">
            <v>0</v>
          </cell>
        </row>
      </sheetData>
      <sheetData sheetId="4293">
        <row r="5">
          <cell r="I5">
            <v>0</v>
          </cell>
        </row>
      </sheetData>
      <sheetData sheetId="4294">
        <row r="5">
          <cell r="I5">
            <v>0</v>
          </cell>
        </row>
      </sheetData>
      <sheetData sheetId="4295">
        <row r="5">
          <cell r="I5">
            <v>0</v>
          </cell>
        </row>
      </sheetData>
      <sheetData sheetId="4296">
        <row r="5">
          <cell r="I5">
            <v>0</v>
          </cell>
        </row>
      </sheetData>
      <sheetData sheetId="4297">
        <row r="5">
          <cell r="I5">
            <v>0</v>
          </cell>
        </row>
      </sheetData>
      <sheetData sheetId="4298">
        <row r="5">
          <cell r="I5">
            <v>0</v>
          </cell>
        </row>
      </sheetData>
      <sheetData sheetId="4299">
        <row r="5">
          <cell r="I5">
            <v>0</v>
          </cell>
        </row>
      </sheetData>
      <sheetData sheetId="4300">
        <row r="5">
          <cell r="I5">
            <v>0</v>
          </cell>
        </row>
      </sheetData>
      <sheetData sheetId="4301">
        <row r="5">
          <cell r="I5">
            <v>0</v>
          </cell>
        </row>
      </sheetData>
      <sheetData sheetId="4302">
        <row r="5">
          <cell r="I5">
            <v>0</v>
          </cell>
        </row>
      </sheetData>
      <sheetData sheetId="4303">
        <row r="5">
          <cell r="I5">
            <v>0</v>
          </cell>
        </row>
      </sheetData>
      <sheetData sheetId="4304">
        <row r="5">
          <cell r="I5">
            <v>0</v>
          </cell>
        </row>
      </sheetData>
      <sheetData sheetId="4305">
        <row r="5">
          <cell r="I5">
            <v>0</v>
          </cell>
        </row>
      </sheetData>
      <sheetData sheetId="4306">
        <row r="5">
          <cell r="I5">
            <v>0</v>
          </cell>
        </row>
      </sheetData>
      <sheetData sheetId="4307">
        <row r="5">
          <cell r="I5">
            <v>0</v>
          </cell>
        </row>
      </sheetData>
      <sheetData sheetId="4308">
        <row r="5">
          <cell r="I5">
            <v>0</v>
          </cell>
        </row>
      </sheetData>
      <sheetData sheetId="4309">
        <row r="5">
          <cell r="I5">
            <v>0</v>
          </cell>
        </row>
      </sheetData>
      <sheetData sheetId="4310">
        <row r="5">
          <cell r="I5">
            <v>0</v>
          </cell>
        </row>
      </sheetData>
      <sheetData sheetId="4311">
        <row r="5">
          <cell r="I5">
            <v>0</v>
          </cell>
        </row>
      </sheetData>
      <sheetData sheetId="4312">
        <row r="5">
          <cell r="I5">
            <v>0</v>
          </cell>
        </row>
      </sheetData>
      <sheetData sheetId="4313">
        <row r="5">
          <cell r="I5">
            <v>0</v>
          </cell>
        </row>
      </sheetData>
      <sheetData sheetId="4314">
        <row r="5">
          <cell r="I5">
            <v>0</v>
          </cell>
        </row>
      </sheetData>
      <sheetData sheetId="4315">
        <row r="5">
          <cell r="I5">
            <v>0</v>
          </cell>
        </row>
      </sheetData>
      <sheetData sheetId="4316">
        <row r="5">
          <cell r="I5">
            <v>0</v>
          </cell>
        </row>
      </sheetData>
      <sheetData sheetId="4317">
        <row r="5">
          <cell r="I5">
            <v>0</v>
          </cell>
        </row>
      </sheetData>
      <sheetData sheetId="4318">
        <row r="5">
          <cell r="I5">
            <v>0</v>
          </cell>
        </row>
      </sheetData>
      <sheetData sheetId="4319">
        <row r="5">
          <cell r="I5">
            <v>0</v>
          </cell>
        </row>
      </sheetData>
      <sheetData sheetId="4320">
        <row r="5">
          <cell r="I5">
            <v>0</v>
          </cell>
        </row>
      </sheetData>
      <sheetData sheetId="4321">
        <row r="5">
          <cell r="I5">
            <v>0</v>
          </cell>
        </row>
      </sheetData>
      <sheetData sheetId="4322">
        <row r="5">
          <cell r="I5">
            <v>0</v>
          </cell>
        </row>
      </sheetData>
      <sheetData sheetId="4323">
        <row r="5">
          <cell r="I5">
            <v>0</v>
          </cell>
        </row>
      </sheetData>
      <sheetData sheetId="4324">
        <row r="5">
          <cell r="I5">
            <v>0</v>
          </cell>
        </row>
      </sheetData>
      <sheetData sheetId="4325">
        <row r="5">
          <cell r="I5">
            <v>0</v>
          </cell>
        </row>
      </sheetData>
      <sheetData sheetId="4326">
        <row r="5">
          <cell r="I5">
            <v>0</v>
          </cell>
        </row>
      </sheetData>
      <sheetData sheetId="4327">
        <row r="5">
          <cell r="I5">
            <v>0</v>
          </cell>
        </row>
      </sheetData>
      <sheetData sheetId="4328">
        <row r="5">
          <cell r="I5">
            <v>0</v>
          </cell>
        </row>
      </sheetData>
      <sheetData sheetId="4329">
        <row r="5">
          <cell r="I5">
            <v>0</v>
          </cell>
        </row>
      </sheetData>
      <sheetData sheetId="4330">
        <row r="5">
          <cell r="I5">
            <v>0</v>
          </cell>
        </row>
      </sheetData>
      <sheetData sheetId="4331">
        <row r="5">
          <cell r="I5">
            <v>0</v>
          </cell>
        </row>
      </sheetData>
      <sheetData sheetId="4332">
        <row r="5">
          <cell r="I5">
            <v>0</v>
          </cell>
        </row>
      </sheetData>
      <sheetData sheetId="4333">
        <row r="5">
          <cell r="I5">
            <v>0</v>
          </cell>
        </row>
      </sheetData>
      <sheetData sheetId="4334">
        <row r="5">
          <cell r="I5">
            <v>0</v>
          </cell>
        </row>
      </sheetData>
      <sheetData sheetId="4335">
        <row r="5">
          <cell r="I5">
            <v>0</v>
          </cell>
        </row>
      </sheetData>
      <sheetData sheetId="4336">
        <row r="5">
          <cell r="I5">
            <v>0</v>
          </cell>
        </row>
      </sheetData>
      <sheetData sheetId="4337">
        <row r="5">
          <cell r="I5">
            <v>0</v>
          </cell>
        </row>
      </sheetData>
      <sheetData sheetId="4338">
        <row r="5">
          <cell r="I5">
            <v>0</v>
          </cell>
        </row>
      </sheetData>
      <sheetData sheetId="4339">
        <row r="5">
          <cell r="I5">
            <v>0</v>
          </cell>
        </row>
      </sheetData>
      <sheetData sheetId="4340">
        <row r="5">
          <cell r="I5">
            <v>0</v>
          </cell>
        </row>
      </sheetData>
      <sheetData sheetId="4341">
        <row r="5">
          <cell r="I5">
            <v>0</v>
          </cell>
        </row>
      </sheetData>
      <sheetData sheetId="4342">
        <row r="5">
          <cell r="I5">
            <v>0</v>
          </cell>
        </row>
      </sheetData>
      <sheetData sheetId="4343">
        <row r="5">
          <cell r="I5">
            <v>0</v>
          </cell>
        </row>
      </sheetData>
      <sheetData sheetId="4344">
        <row r="5">
          <cell r="I5">
            <v>0</v>
          </cell>
        </row>
      </sheetData>
      <sheetData sheetId="4345">
        <row r="5">
          <cell r="I5">
            <v>0</v>
          </cell>
        </row>
      </sheetData>
      <sheetData sheetId="4346">
        <row r="5">
          <cell r="I5">
            <v>0</v>
          </cell>
        </row>
      </sheetData>
      <sheetData sheetId="4347">
        <row r="5">
          <cell r="I5">
            <v>0</v>
          </cell>
        </row>
      </sheetData>
      <sheetData sheetId="4348">
        <row r="5">
          <cell r="I5">
            <v>0</v>
          </cell>
        </row>
      </sheetData>
      <sheetData sheetId="4349">
        <row r="5">
          <cell r="I5">
            <v>0</v>
          </cell>
        </row>
      </sheetData>
      <sheetData sheetId="4350">
        <row r="5">
          <cell r="I5">
            <v>0</v>
          </cell>
        </row>
      </sheetData>
      <sheetData sheetId="4351">
        <row r="5">
          <cell r="I5">
            <v>0</v>
          </cell>
        </row>
      </sheetData>
      <sheetData sheetId="4352">
        <row r="5">
          <cell r="I5">
            <v>0</v>
          </cell>
        </row>
      </sheetData>
      <sheetData sheetId="4353">
        <row r="5">
          <cell r="I5">
            <v>0</v>
          </cell>
        </row>
      </sheetData>
      <sheetData sheetId="4354">
        <row r="5">
          <cell r="I5">
            <v>0</v>
          </cell>
        </row>
      </sheetData>
      <sheetData sheetId="4355">
        <row r="5">
          <cell r="I5">
            <v>0</v>
          </cell>
        </row>
      </sheetData>
      <sheetData sheetId="4356">
        <row r="5">
          <cell r="I5">
            <v>0</v>
          </cell>
        </row>
      </sheetData>
      <sheetData sheetId="4357">
        <row r="5">
          <cell r="I5">
            <v>0</v>
          </cell>
        </row>
      </sheetData>
      <sheetData sheetId="4358">
        <row r="5">
          <cell r="I5">
            <v>0</v>
          </cell>
        </row>
      </sheetData>
      <sheetData sheetId="4359">
        <row r="5">
          <cell r="I5">
            <v>0</v>
          </cell>
        </row>
      </sheetData>
      <sheetData sheetId="4360">
        <row r="5">
          <cell r="I5">
            <v>0</v>
          </cell>
        </row>
      </sheetData>
      <sheetData sheetId="4361">
        <row r="5">
          <cell r="I5">
            <v>0</v>
          </cell>
        </row>
      </sheetData>
      <sheetData sheetId="4362">
        <row r="5">
          <cell r="I5">
            <v>0</v>
          </cell>
        </row>
      </sheetData>
      <sheetData sheetId="4363">
        <row r="5">
          <cell r="I5">
            <v>0</v>
          </cell>
        </row>
      </sheetData>
      <sheetData sheetId="4364">
        <row r="5">
          <cell r="I5">
            <v>0</v>
          </cell>
        </row>
      </sheetData>
      <sheetData sheetId="4365">
        <row r="5">
          <cell r="I5">
            <v>0</v>
          </cell>
        </row>
      </sheetData>
      <sheetData sheetId="4366">
        <row r="5">
          <cell r="I5">
            <v>0</v>
          </cell>
        </row>
      </sheetData>
      <sheetData sheetId="4367">
        <row r="5">
          <cell r="I5">
            <v>0</v>
          </cell>
        </row>
      </sheetData>
      <sheetData sheetId="4368">
        <row r="5">
          <cell r="I5">
            <v>0</v>
          </cell>
        </row>
      </sheetData>
      <sheetData sheetId="4369">
        <row r="5">
          <cell r="I5">
            <v>0</v>
          </cell>
        </row>
      </sheetData>
      <sheetData sheetId="4370">
        <row r="5">
          <cell r="I5">
            <v>0</v>
          </cell>
        </row>
      </sheetData>
      <sheetData sheetId="4371">
        <row r="5">
          <cell r="I5">
            <v>0</v>
          </cell>
        </row>
      </sheetData>
      <sheetData sheetId="4372">
        <row r="5">
          <cell r="I5">
            <v>0</v>
          </cell>
        </row>
      </sheetData>
      <sheetData sheetId="4373">
        <row r="5">
          <cell r="I5">
            <v>0</v>
          </cell>
        </row>
      </sheetData>
      <sheetData sheetId="4374">
        <row r="5">
          <cell r="I5">
            <v>0</v>
          </cell>
        </row>
      </sheetData>
      <sheetData sheetId="4375">
        <row r="5">
          <cell r="I5">
            <v>0</v>
          </cell>
        </row>
      </sheetData>
      <sheetData sheetId="4376">
        <row r="5">
          <cell r="I5">
            <v>0</v>
          </cell>
        </row>
      </sheetData>
      <sheetData sheetId="4377">
        <row r="5">
          <cell r="I5">
            <v>0</v>
          </cell>
        </row>
      </sheetData>
      <sheetData sheetId="4378">
        <row r="5">
          <cell r="I5">
            <v>0</v>
          </cell>
        </row>
      </sheetData>
      <sheetData sheetId="4379">
        <row r="5">
          <cell r="I5">
            <v>0</v>
          </cell>
        </row>
      </sheetData>
      <sheetData sheetId="4380">
        <row r="5">
          <cell r="I5">
            <v>0</v>
          </cell>
        </row>
      </sheetData>
      <sheetData sheetId="4381">
        <row r="5">
          <cell r="I5">
            <v>0</v>
          </cell>
        </row>
      </sheetData>
      <sheetData sheetId="4382">
        <row r="5">
          <cell r="I5">
            <v>0</v>
          </cell>
        </row>
      </sheetData>
      <sheetData sheetId="4383">
        <row r="5">
          <cell r="I5">
            <v>0</v>
          </cell>
        </row>
      </sheetData>
      <sheetData sheetId="4384">
        <row r="5">
          <cell r="I5">
            <v>0</v>
          </cell>
        </row>
      </sheetData>
      <sheetData sheetId="4385">
        <row r="5">
          <cell r="I5">
            <v>0</v>
          </cell>
        </row>
      </sheetData>
      <sheetData sheetId="4386">
        <row r="5">
          <cell r="I5">
            <v>0</v>
          </cell>
        </row>
      </sheetData>
      <sheetData sheetId="4387">
        <row r="5">
          <cell r="I5">
            <v>0</v>
          </cell>
        </row>
      </sheetData>
      <sheetData sheetId="4388">
        <row r="5">
          <cell r="I5">
            <v>0</v>
          </cell>
        </row>
      </sheetData>
      <sheetData sheetId="4389">
        <row r="5">
          <cell r="I5">
            <v>0</v>
          </cell>
        </row>
      </sheetData>
      <sheetData sheetId="4390">
        <row r="5">
          <cell r="I5">
            <v>0</v>
          </cell>
        </row>
      </sheetData>
      <sheetData sheetId="4391">
        <row r="5">
          <cell r="I5">
            <v>0</v>
          </cell>
        </row>
      </sheetData>
      <sheetData sheetId="4392">
        <row r="5">
          <cell r="I5">
            <v>0</v>
          </cell>
        </row>
      </sheetData>
      <sheetData sheetId="4393">
        <row r="5">
          <cell r="I5">
            <v>0</v>
          </cell>
        </row>
      </sheetData>
      <sheetData sheetId="4394">
        <row r="5">
          <cell r="I5">
            <v>0</v>
          </cell>
        </row>
      </sheetData>
      <sheetData sheetId="4395">
        <row r="5">
          <cell r="I5">
            <v>0</v>
          </cell>
        </row>
      </sheetData>
      <sheetData sheetId="4396">
        <row r="5">
          <cell r="I5">
            <v>0</v>
          </cell>
        </row>
      </sheetData>
      <sheetData sheetId="4397">
        <row r="5">
          <cell r="I5">
            <v>0</v>
          </cell>
        </row>
      </sheetData>
      <sheetData sheetId="4398">
        <row r="5">
          <cell r="I5">
            <v>0</v>
          </cell>
        </row>
      </sheetData>
      <sheetData sheetId="4399">
        <row r="5">
          <cell r="I5">
            <v>0</v>
          </cell>
        </row>
      </sheetData>
      <sheetData sheetId="4400">
        <row r="5">
          <cell r="I5">
            <v>0</v>
          </cell>
        </row>
      </sheetData>
      <sheetData sheetId="4401">
        <row r="5">
          <cell r="I5">
            <v>0</v>
          </cell>
        </row>
      </sheetData>
      <sheetData sheetId="4402">
        <row r="5">
          <cell r="I5">
            <v>0</v>
          </cell>
        </row>
      </sheetData>
      <sheetData sheetId="4403">
        <row r="5">
          <cell r="I5">
            <v>0</v>
          </cell>
        </row>
      </sheetData>
      <sheetData sheetId="4404">
        <row r="5">
          <cell r="I5">
            <v>0</v>
          </cell>
        </row>
      </sheetData>
      <sheetData sheetId="4405">
        <row r="5">
          <cell r="I5">
            <v>0</v>
          </cell>
        </row>
      </sheetData>
      <sheetData sheetId="4406">
        <row r="5">
          <cell r="I5">
            <v>0</v>
          </cell>
        </row>
      </sheetData>
      <sheetData sheetId="4407">
        <row r="5">
          <cell r="I5">
            <v>0</v>
          </cell>
        </row>
      </sheetData>
      <sheetData sheetId="4408">
        <row r="5">
          <cell r="I5">
            <v>0</v>
          </cell>
        </row>
      </sheetData>
      <sheetData sheetId="4409">
        <row r="5">
          <cell r="I5">
            <v>0</v>
          </cell>
        </row>
      </sheetData>
      <sheetData sheetId="4410">
        <row r="5">
          <cell r="I5">
            <v>0</v>
          </cell>
        </row>
      </sheetData>
      <sheetData sheetId="4411">
        <row r="5">
          <cell r="I5">
            <v>0</v>
          </cell>
        </row>
      </sheetData>
      <sheetData sheetId="4412">
        <row r="5">
          <cell r="I5">
            <v>0</v>
          </cell>
        </row>
      </sheetData>
      <sheetData sheetId="4413">
        <row r="5">
          <cell r="I5">
            <v>0</v>
          </cell>
        </row>
      </sheetData>
      <sheetData sheetId="4414">
        <row r="5">
          <cell r="I5">
            <v>0</v>
          </cell>
        </row>
      </sheetData>
      <sheetData sheetId="4415">
        <row r="5">
          <cell r="I5">
            <v>0</v>
          </cell>
        </row>
      </sheetData>
      <sheetData sheetId="4416">
        <row r="5">
          <cell r="I5">
            <v>0</v>
          </cell>
        </row>
      </sheetData>
      <sheetData sheetId="4417">
        <row r="5">
          <cell r="I5">
            <v>0</v>
          </cell>
        </row>
      </sheetData>
      <sheetData sheetId="4418">
        <row r="5">
          <cell r="I5">
            <v>0</v>
          </cell>
        </row>
      </sheetData>
      <sheetData sheetId="4419">
        <row r="5">
          <cell r="I5">
            <v>0</v>
          </cell>
        </row>
      </sheetData>
      <sheetData sheetId="4420">
        <row r="5">
          <cell r="I5">
            <v>0</v>
          </cell>
        </row>
      </sheetData>
      <sheetData sheetId="4421">
        <row r="5">
          <cell r="I5">
            <v>0</v>
          </cell>
        </row>
      </sheetData>
      <sheetData sheetId="4422">
        <row r="5">
          <cell r="I5">
            <v>0</v>
          </cell>
        </row>
      </sheetData>
      <sheetData sheetId="4423">
        <row r="5">
          <cell r="I5">
            <v>0</v>
          </cell>
        </row>
      </sheetData>
      <sheetData sheetId="4424">
        <row r="5">
          <cell r="I5">
            <v>0</v>
          </cell>
        </row>
      </sheetData>
      <sheetData sheetId="4425">
        <row r="5">
          <cell r="I5">
            <v>0</v>
          </cell>
        </row>
      </sheetData>
      <sheetData sheetId="4426">
        <row r="5">
          <cell r="I5">
            <v>0</v>
          </cell>
        </row>
      </sheetData>
      <sheetData sheetId="4427">
        <row r="5">
          <cell r="I5">
            <v>0</v>
          </cell>
        </row>
      </sheetData>
      <sheetData sheetId="4428">
        <row r="5">
          <cell r="I5">
            <v>0</v>
          </cell>
        </row>
      </sheetData>
      <sheetData sheetId="4429">
        <row r="5">
          <cell r="I5">
            <v>0</v>
          </cell>
        </row>
      </sheetData>
      <sheetData sheetId="4430">
        <row r="5">
          <cell r="I5">
            <v>0</v>
          </cell>
        </row>
      </sheetData>
      <sheetData sheetId="4431">
        <row r="5">
          <cell r="I5">
            <v>0</v>
          </cell>
        </row>
      </sheetData>
      <sheetData sheetId="4432">
        <row r="5">
          <cell r="I5">
            <v>0</v>
          </cell>
        </row>
      </sheetData>
      <sheetData sheetId="4433">
        <row r="5">
          <cell r="I5">
            <v>0</v>
          </cell>
        </row>
      </sheetData>
      <sheetData sheetId="4434">
        <row r="5">
          <cell r="I5">
            <v>0</v>
          </cell>
        </row>
      </sheetData>
      <sheetData sheetId="4435">
        <row r="5">
          <cell r="I5">
            <v>0</v>
          </cell>
        </row>
      </sheetData>
      <sheetData sheetId="4436">
        <row r="5">
          <cell r="I5">
            <v>0</v>
          </cell>
        </row>
      </sheetData>
      <sheetData sheetId="4437">
        <row r="5">
          <cell r="I5">
            <v>0</v>
          </cell>
        </row>
      </sheetData>
      <sheetData sheetId="4438">
        <row r="5">
          <cell r="I5">
            <v>0</v>
          </cell>
        </row>
      </sheetData>
      <sheetData sheetId="4439">
        <row r="5">
          <cell r="I5">
            <v>0</v>
          </cell>
        </row>
      </sheetData>
      <sheetData sheetId="4440">
        <row r="5">
          <cell r="I5">
            <v>0</v>
          </cell>
        </row>
      </sheetData>
      <sheetData sheetId="4441">
        <row r="5">
          <cell r="I5">
            <v>0</v>
          </cell>
        </row>
      </sheetData>
      <sheetData sheetId="4442">
        <row r="5">
          <cell r="I5">
            <v>0</v>
          </cell>
        </row>
      </sheetData>
      <sheetData sheetId="4443">
        <row r="5">
          <cell r="I5">
            <v>0</v>
          </cell>
        </row>
      </sheetData>
      <sheetData sheetId="4444">
        <row r="5">
          <cell r="I5">
            <v>0</v>
          </cell>
        </row>
      </sheetData>
      <sheetData sheetId="4445">
        <row r="5">
          <cell r="I5">
            <v>0</v>
          </cell>
        </row>
      </sheetData>
      <sheetData sheetId="4446">
        <row r="5">
          <cell r="I5">
            <v>0</v>
          </cell>
        </row>
      </sheetData>
      <sheetData sheetId="4447">
        <row r="5">
          <cell r="I5">
            <v>0</v>
          </cell>
        </row>
      </sheetData>
      <sheetData sheetId="4448">
        <row r="5">
          <cell r="I5">
            <v>0</v>
          </cell>
        </row>
      </sheetData>
      <sheetData sheetId="4449">
        <row r="5">
          <cell r="I5">
            <v>0</v>
          </cell>
        </row>
      </sheetData>
      <sheetData sheetId="4450">
        <row r="5">
          <cell r="I5">
            <v>0</v>
          </cell>
        </row>
      </sheetData>
      <sheetData sheetId="4451">
        <row r="5">
          <cell r="I5">
            <v>0</v>
          </cell>
        </row>
      </sheetData>
      <sheetData sheetId="4452">
        <row r="5">
          <cell r="I5">
            <v>0</v>
          </cell>
        </row>
      </sheetData>
      <sheetData sheetId="4453">
        <row r="5">
          <cell r="I5">
            <v>0</v>
          </cell>
        </row>
      </sheetData>
      <sheetData sheetId="4454">
        <row r="5">
          <cell r="I5">
            <v>0</v>
          </cell>
        </row>
      </sheetData>
      <sheetData sheetId="4455">
        <row r="5">
          <cell r="I5">
            <v>0</v>
          </cell>
        </row>
      </sheetData>
      <sheetData sheetId="4456">
        <row r="5">
          <cell r="I5">
            <v>0</v>
          </cell>
        </row>
      </sheetData>
      <sheetData sheetId="4457">
        <row r="5">
          <cell r="I5">
            <v>0</v>
          </cell>
        </row>
      </sheetData>
      <sheetData sheetId="4458">
        <row r="5">
          <cell r="I5">
            <v>0</v>
          </cell>
        </row>
      </sheetData>
      <sheetData sheetId="4459">
        <row r="5">
          <cell r="I5">
            <v>0</v>
          </cell>
        </row>
      </sheetData>
      <sheetData sheetId="4460">
        <row r="5">
          <cell r="I5">
            <v>0</v>
          </cell>
        </row>
      </sheetData>
      <sheetData sheetId="4461">
        <row r="5">
          <cell r="I5">
            <v>0</v>
          </cell>
        </row>
      </sheetData>
      <sheetData sheetId="4462">
        <row r="5">
          <cell r="I5">
            <v>0</v>
          </cell>
        </row>
      </sheetData>
      <sheetData sheetId="4463">
        <row r="5">
          <cell r="I5">
            <v>0</v>
          </cell>
        </row>
      </sheetData>
      <sheetData sheetId="4464">
        <row r="5">
          <cell r="I5">
            <v>0</v>
          </cell>
        </row>
      </sheetData>
      <sheetData sheetId="4465">
        <row r="5">
          <cell r="I5">
            <v>0</v>
          </cell>
        </row>
      </sheetData>
      <sheetData sheetId="4466">
        <row r="5">
          <cell r="I5">
            <v>0</v>
          </cell>
        </row>
      </sheetData>
      <sheetData sheetId="4467">
        <row r="5">
          <cell r="I5">
            <v>0</v>
          </cell>
        </row>
      </sheetData>
      <sheetData sheetId="4468">
        <row r="5">
          <cell r="I5">
            <v>0</v>
          </cell>
        </row>
      </sheetData>
      <sheetData sheetId="4469">
        <row r="5">
          <cell r="I5">
            <v>0</v>
          </cell>
        </row>
      </sheetData>
      <sheetData sheetId="4470">
        <row r="5">
          <cell r="I5">
            <v>0</v>
          </cell>
        </row>
      </sheetData>
      <sheetData sheetId="4471">
        <row r="5">
          <cell r="I5">
            <v>0</v>
          </cell>
        </row>
      </sheetData>
      <sheetData sheetId="4472">
        <row r="5">
          <cell r="I5">
            <v>0</v>
          </cell>
        </row>
      </sheetData>
      <sheetData sheetId="4473">
        <row r="5">
          <cell r="I5">
            <v>0</v>
          </cell>
        </row>
      </sheetData>
      <sheetData sheetId="4474">
        <row r="5">
          <cell r="I5">
            <v>0</v>
          </cell>
        </row>
      </sheetData>
      <sheetData sheetId="4475">
        <row r="5">
          <cell r="I5">
            <v>0</v>
          </cell>
        </row>
      </sheetData>
      <sheetData sheetId="4476">
        <row r="5">
          <cell r="I5">
            <v>0</v>
          </cell>
        </row>
      </sheetData>
      <sheetData sheetId="4477">
        <row r="5">
          <cell r="I5">
            <v>0</v>
          </cell>
        </row>
      </sheetData>
      <sheetData sheetId="4478">
        <row r="5">
          <cell r="I5">
            <v>0</v>
          </cell>
        </row>
      </sheetData>
      <sheetData sheetId="4479">
        <row r="5">
          <cell r="I5">
            <v>0</v>
          </cell>
        </row>
      </sheetData>
      <sheetData sheetId="4480">
        <row r="5">
          <cell r="I5">
            <v>0</v>
          </cell>
        </row>
      </sheetData>
      <sheetData sheetId="4481">
        <row r="5">
          <cell r="I5">
            <v>0</v>
          </cell>
        </row>
      </sheetData>
      <sheetData sheetId="4482">
        <row r="5">
          <cell r="I5">
            <v>0</v>
          </cell>
        </row>
      </sheetData>
      <sheetData sheetId="4483">
        <row r="5">
          <cell r="I5">
            <v>0</v>
          </cell>
        </row>
      </sheetData>
      <sheetData sheetId="4484">
        <row r="5">
          <cell r="I5">
            <v>0</v>
          </cell>
        </row>
      </sheetData>
      <sheetData sheetId="4485">
        <row r="5">
          <cell r="I5">
            <v>0</v>
          </cell>
        </row>
      </sheetData>
      <sheetData sheetId="4486">
        <row r="5">
          <cell r="I5">
            <v>0</v>
          </cell>
        </row>
      </sheetData>
      <sheetData sheetId="4487">
        <row r="5">
          <cell r="I5">
            <v>0</v>
          </cell>
        </row>
      </sheetData>
      <sheetData sheetId="4488">
        <row r="5">
          <cell r="I5">
            <v>0</v>
          </cell>
        </row>
      </sheetData>
      <sheetData sheetId="4489">
        <row r="5">
          <cell r="I5">
            <v>0</v>
          </cell>
        </row>
      </sheetData>
      <sheetData sheetId="4490">
        <row r="5">
          <cell r="I5">
            <v>0</v>
          </cell>
        </row>
      </sheetData>
      <sheetData sheetId="4491">
        <row r="5">
          <cell r="I5">
            <v>0</v>
          </cell>
        </row>
      </sheetData>
      <sheetData sheetId="4492">
        <row r="5">
          <cell r="I5">
            <v>0</v>
          </cell>
        </row>
      </sheetData>
      <sheetData sheetId="4493">
        <row r="5">
          <cell r="I5">
            <v>0</v>
          </cell>
        </row>
      </sheetData>
      <sheetData sheetId="4494">
        <row r="5">
          <cell r="I5">
            <v>0</v>
          </cell>
        </row>
      </sheetData>
      <sheetData sheetId="4495">
        <row r="5">
          <cell r="I5">
            <v>0</v>
          </cell>
        </row>
      </sheetData>
      <sheetData sheetId="4496">
        <row r="5">
          <cell r="I5">
            <v>0</v>
          </cell>
        </row>
      </sheetData>
      <sheetData sheetId="4497">
        <row r="5">
          <cell r="I5">
            <v>0</v>
          </cell>
        </row>
      </sheetData>
      <sheetData sheetId="4498">
        <row r="5">
          <cell r="I5">
            <v>0</v>
          </cell>
        </row>
      </sheetData>
      <sheetData sheetId="4499">
        <row r="5">
          <cell r="I5">
            <v>0</v>
          </cell>
        </row>
      </sheetData>
      <sheetData sheetId="4500">
        <row r="5">
          <cell r="I5">
            <v>0</v>
          </cell>
        </row>
      </sheetData>
      <sheetData sheetId="4501">
        <row r="5">
          <cell r="I5">
            <v>0</v>
          </cell>
        </row>
      </sheetData>
      <sheetData sheetId="4502">
        <row r="5">
          <cell r="I5">
            <v>0</v>
          </cell>
        </row>
      </sheetData>
      <sheetData sheetId="4503">
        <row r="5">
          <cell r="I5">
            <v>0</v>
          </cell>
        </row>
      </sheetData>
      <sheetData sheetId="4504">
        <row r="5">
          <cell r="I5">
            <v>0</v>
          </cell>
        </row>
      </sheetData>
      <sheetData sheetId="4505">
        <row r="5">
          <cell r="I5">
            <v>0</v>
          </cell>
        </row>
      </sheetData>
      <sheetData sheetId="4506">
        <row r="5">
          <cell r="I5">
            <v>0</v>
          </cell>
        </row>
      </sheetData>
      <sheetData sheetId="4507">
        <row r="5">
          <cell r="I5">
            <v>0</v>
          </cell>
        </row>
      </sheetData>
      <sheetData sheetId="4508">
        <row r="5">
          <cell r="I5">
            <v>0</v>
          </cell>
        </row>
      </sheetData>
      <sheetData sheetId="4509">
        <row r="5">
          <cell r="I5">
            <v>0</v>
          </cell>
        </row>
      </sheetData>
      <sheetData sheetId="4510">
        <row r="5">
          <cell r="I5">
            <v>0</v>
          </cell>
        </row>
      </sheetData>
      <sheetData sheetId="4511">
        <row r="5">
          <cell r="I5">
            <v>0</v>
          </cell>
        </row>
      </sheetData>
      <sheetData sheetId="4512">
        <row r="5">
          <cell r="I5">
            <v>0</v>
          </cell>
        </row>
      </sheetData>
      <sheetData sheetId="4513">
        <row r="5">
          <cell r="I5">
            <v>0</v>
          </cell>
        </row>
      </sheetData>
      <sheetData sheetId="4514">
        <row r="5">
          <cell r="I5">
            <v>0</v>
          </cell>
        </row>
      </sheetData>
      <sheetData sheetId="4515">
        <row r="5">
          <cell r="I5">
            <v>0</v>
          </cell>
        </row>
      </sheetData>
      <sheetData sheetId="4516">
        <row r="5">
          <cell r="I5">
            <v>0</v>
          </cell>
        </row>
      </sheetData>
      <sheetData sheetId="4517">
        <row r="5">
          <cell r="I5">
            <v>0</v>
          </cell>
        </row>
      </sheetData>
      <sheetData sheetId="4518">
        <row r="5">
          <cell r="I5">
            <v>0</v>
          </cell>
        </row>
      </sheetData>
      <sheetData sheetId="4519">
        <row r="5">
          <cell r="I5">
            <v>0</v>
          </cell>
        </row>
      </sheetData>
      <sheetData sheetId="4520">
        <row r="5">
          <cell r="I5">
            <v>0</v>
          </cell>
        </row>
      </sheetData>
      <sheetData sheetId="4521">
        <row r="5">
          <cell r="I5">
            <v>0</v>
          </cell>
        </row>
      </sheetData>
      <sheetData sheetId="4522">
        <row r="5">
          <cell r="I5">
            <v>0</v>
          </cell>
        </row>
      </sheetData>
      <sheetData sheetId="4523">
        <row r="5">
          <cell r="I5">
            <v>0</v>
          </cell>
        </row>
      </sheetData>
      <sheetData sheetId="4524">
        <row r="5">
          <cell r="I5">
            <v>0</v>
          </cell>
        </row>
      </sheetData>
      <sheetData sheetId="4525">
        <row r="5">
          <cell r="I5">
            <v>0</v>
          </cell>
        </row>
      </sheetData>
      <sheetData sheetId="4526">
        <row r="5">
          <cell r="I5">
            <v>0</v>
          </cell>
        </row>
      </sheetData>
      <sheetData sheetId="4527">
        <row r="5">
          <cell r="I5">
            <v>0</v>
          </cell>
        </row>
      </sheetData>
      <sheetData sheetId="4528">
        <row r="5">
          <cell r="I5">
            <v>0</v>
          </cell>
        </row>
      </sheetData>
      <sheetData sheetId="4529">
        <row r="5">
          <cell r="I5">
            <v>0</v>
          </cell>
        </row>
      </sheetData>
      <sheetData sheetId="4530">
        <row r="5">
          <cell r="I5">
            <v>0</v>
          </cell>
        </row>
      </sheetData>
      <sheetData sheetId="4531">
        <row r="5">
          <cell r="I5">
            <v>0</v>
          </cell>
        </row>
      </sheetData>
      <sheetData sheetId="4532">
        <row r="5">
          <cell r="I5">
            <v>0</v>
          </cell>
        </row>
      </sheetData>
      <sheetData sheetId="4533">
        <row r="5">
          <cell r="I5">
            <v>0</v>
          </cell>
        </row>
      </sheetData>
      <sheetData sheetId="4534">
        <row r="5">
          <cell r="I5">
            <v>0</v>
          </cell>
        </row>
      </sheetData>
      <sheetData sheetId="4535">
        <row r="5">
          <cell r="I5">
            <v>0</v>
          </cell>
        </row>
      </sheetData>
      <sheetData sheetId="4536">
        <row r="5">
          <cell r="I5">
            <v>0</v>
          </cell>
        </row>
      </sheetData>
      <sheetData sheetId="4537">
        <row r="5">
          <cell r="I5">
            <v>0</v>
          </cell>
        </row>
      </sheetData>
      <sheetData sheetId="4538">
        <row r="5">
          <cell r="I5">
            <v>0</v>
          </cell>
        </row>
      </sheetData>
      <sheetData sheetId="4539">
        <row r="5">
          <cell r="I5">
            <v>0</v>
          </cell>
        </row>
      </sheetData>
      <sheetData sheetId="4540">
        <row r="5">
          <cell r="I5">
            <v>0</v>
          </cell>
        </row>
      </sheetData>
      <sheetData sheetId="4541">
        <row r="5">
          <cell r="I5">
            <v>0</v>
          </cell>
        </row>
      </sheetData>
      <sheetData sheetId="4542">
        <row r="5">
          <cell r="I5">
            <v>0</v>
          </cell>
        </row>
      </sheetData>
      <sheetData sheetId="4543">
        <row r="5">
          <cell r="I5">
            <v>0</v>
          </cell>
        </row>
      </sheetData>
      <sheetData sheetId="4544">
        <row r="5">
          <cell r="I5">
            <v>0</v>
          </cell>
        </row>
      </sheetData>
      <sheetData sheetId="4545">
        <row r="5">
          <cell r="I5">
            <v>0</v>
          </cell>
        </row>
      </sheetData>
      <sheetData sheetId="4546">
        <row r="5">
          <cell r="I5">
            <v>0</v>
          </cell>
        </row>
      </sheetData>
      <sheetData sheetId="4547">
        <row r="5">
          <cell r="I5">
            <v>0</v>
          </cell>
        </row>
      </sheetData>
      <sheetData sheetId="4548">
        <row r="5">
          <cell r="I5">
            <v>0</v>
          </cell>
        </row>
      </sheetData>
      <sheetData sheetId="4549">
        <row r="5">
          <cell r="I5">
            <v>0</v>
          </cell>
        </row>
      </sheetData>
      <sheetData sheetId="4550">
        <row r="5">
          <cell r="I5">
            <v>0</v>
          </cell>
        </row>
      </sheetData>
      <sheetData sheetId="4551">
        <row r="5">
          <cell r="I5">
            <v>0</v>
          </cell>
        </row>
      </sheetData>
      <sheetData sheetId="4552">
        <row r="5">
          <cell r="I5">
            <v>0</v>
          </cell>
        </row>
      </sheetData>
      <sheetData sheetId="4553">
        <row r="5">
          <cell r="I5">
            <v>0</v>
          </cell>
        </row>
      </sheetData>
      <sheetData sheetId="4554">
        <row r="5">
          <cell r="I5">
            <v>0</v>
          </cell>
        </row>
      </sheetData>
      <sheetData sheetId="4555">
        <row r="5">
          <cell r="I5">
            <v>0</v>
          </cell>
        </row>
      </sheetData>
      <sheetData sheetId="4556">
        <row r="5">
          <cell r="I5">
            <v>0</v>
          </cell>
        </row>
      </sheetData>
      <sheetData sheetId="4557">
        <row r="5">
          <cell r="I5">
            <v>0</v>
          </cell>
        </row>
      </sheetData>
      <sheetData sheetId="4558">
        <row r="5">
          <cell r="I5">
            <v>0</v>
          </cell>
        </row>
      </sheetData>
      <sheetData sheetId="4559">
        <row r="5">
          <cell r="I5">
            <v>0</v>
          </cell>
        </row>
      </sheetData>
      <sheetData sheetId="4560">
        <row r="5">
          <cell r="I5">
            <v>0</v>
          </cell>
        </row>
      </sheetData>
      <sheetData sheetId="4561">
        <row r="5">
          <cell r="I5">
            <v>0</v>
          </cell>
        </row>
      </sheetData>
      <sheetData sheetId="4562">
        <row r="5">
          <cell r="I5">
            <v>0</v>
          </cell>
        </row>
      </sheetData>
      <sheetData sheetId="4563">
        <row r="5">
          <cell r="I5">
            <v>0</v>
          </cell>
        </row>
      </sheetData>
      <sheetData sheetId="4564">
        <row r="5">
          <cell r="I5">
            <v>0</v>
          </cell>
        </row>
      </sheetData>
      <sheetData sheetId="4565">
        <row r="5">
          <cell r="I5">
            <v>0</v>
          </cell>
        </row>
      </sheetData>
      <sheetData sheetId="4566">
        <row r="5">
          <cell r="I5">
            <v>0</v>
          </cell>
        </row>
      </sheetData>
      <sheetData sheetId="4567">
        <row r="5">
          <cell r="I5">
            <v>0</v>
          </cell>
        </row>
      </sheetData>
      <sheetData sheetId="4568">
        <row r="5">
          <cell r="I5">
            <v>0</v>
          </cell>
        </row>
      </sheetData>
      <sheetData sheetId="4569">
        <row r="5">
          <cell r="I5">
            <v>0</v>
          </cell>
        </row>
      </sheetData>
      <sheetData sheetId="4570">
        <row r="5">
          <cell r="I5">
            <v>0</v>
          </cell>
        </row>
      </sheetData>
      <sheetData sheetId="4571">
        <row r="5">
          <cell r="I5">
            <v>0</v>
          </cell>
        </row>
      </sheetData>
      <sheetData sheetId="4572">
        <row r="5">
          <cell r="I5">
            <v>0</v>
          </cell>
        </row>
      </sheetData>
      <sheetData sheetId="4573">
        <row r="5">
          <cell r="I5">
            <v>0</v>
          </cell>
        </row>
      </sheetData>
      <sheetData sheetId="4574">
        <row r="5">
          <cell r="I5">
            <v>0</v>
          </cell>
        </row>
      </sheetData>
      <sheetData sheetId="4575">
        <row r="5">
          <cell r="I5">
            <v>0</v>
          </cell>
        </row>
      </sheetData>
      <sheetData sheetId="4576">
        <row r="5">
          <cell r="I5">
            <v>0</v>
          </cell>
        </row>
      </sheetData>
      <sheetData sheetId="4577">
        <row r="5">
          <cell r="I5">
            <v>0</v>
          </cell>
        </row>
      </sheetData>
      <sheetData sheetId="4578">
        <row r="5">
          <cell r="I5">
            <v>0</v>
          </cell>
        </row>
      </sheetData>
      <sheetData sheetId="4579">
        <row r="5">
          <cell r="I5">
            <v>0</v>
          </cell>
        </row>
      </sheetData>
      <sheetData sheetId="4580">
        <row r="5">
          <cell r="I5">
            <v>0</v>
          </cell>
        </row>
      </sheetData>
      <sheetData sheetId="4581">
        <row r="5">
          <cell r="I5">
            <v>0</v>
          </cell>
        </row>
      </sheetData>
      <sheetData sheetId="4582">
        <row r="5">
          <cell r="I5">
            <v>0</v>
          </cell>
        </row>
      </sheetData>
      <sheetData sheetId="4583">
        <row r="5">
          <cell r="I5">
            <v>0</v>
          </cell>
        </row>
      </sheetData>
      <sheetData sheetId="4584">
        <row r="5">
          <cell r="I5">
            <v>0</v>
          </cell>
        </row>
      </sheetData>
      <sheetData sheetId="4585">
        <row r="5">
          <cell r="I5">
            <v>0</v>
          </cell>
        </row>
      </sheetData>
      <sheetData sheetId="4586">
        <row r="5">
          <cell r="I5">
            <v>0</v>
          </cell>
        </row>
      </sheetData>
      <sheetData sheetId="4587">
        <row r="5">
          <cell r="I5">
            <v>0</v>
          </cell>
        </row>
      </sheetData>
      <sheetData sheetId="4588">
        <row r="5">
          <cell r="I5">
            <v>0</v>
          </cell>
        </row>
      </sheetData>
      <sheetData sheetId="4589">
        <row r="5">
          <cell r="I5">
            <v>0</v>
          </cell>
        </row>
      </sheetData>
      <sheetData sheetId="4590">
        <row r="5">
          <cell r="I5">
            <v>0</v>
          </cell>
        </row>
      </sheetData>
      <sheetData sheetId="4591">
        <row r="5">
          <cell r="I5">
            <v>0</v>
          </cell>
        </row>
      </sheetData>
      <sheetData sheetId="4592">
        <row r="5">
          <cell r="I5">
            <v>0</v>
          </cell>
        </row>
      </sheetData>
      <sheetData sheetId="4593">
        <row r="5">
          <cell r="I5">
            <v>0</v>
          </cell>
        </row>
      </sheetData>
      <sheetData sheetId="4594">
        <row r="5">
          <cell r="I5">
            <v>0</v>
          </cell>
        </row>
      </sheetData>
      <sheetData sheetId="4595">
        <row r="5">
          <cell r="I5">
            <v>0</v>
          </cell>
        </row>
      </sheetData>
      <sheetData sheetId="4596">
        <row r="5">
          <cell r="I5">
            <v>0</v>
          </cell>
        </row>
      </sheetData>
      <sheetData sheetId="4597">
        <row r="5">
          <cell r="I5">
            <v>0</v>
          </cell>
        </row>
      </sheetData>
      <sheetData sheetId="4598">
        <row r="5">
          <cell r="I5">
            <v>0</v>
          </cell>
        </row>
      </sheetData>
      <sheetData sheetId="4599">
        <row r="5">
          <cell r="I5">
            <v>0</v>
          </cell>
        </row>
      </sheetData>
      <sheetData sheetId="4600">
        <row r="5">
          <cell r="I5">
            <v>0</v>
          </cell>
        </row>
      </sheetData>
      <sheetData sheetId="4601">
        <row r="5">
          <cell r="I5">
            <v>0</v>
          </cell>
        </row>
      </sheetData>
      <sheetData sheetId="4602">
        <row r="5">
          <cell r="I5">
            <v>0</v>
          </cell>
        </row>
      </sheetData>
      <sheetData sheetId="4603">
        <row r="5">
          <cell r="I5">
            <v>0</v>
          </cell>
        </row>
      </sheetData>
      <sheetData sheetId="4604">
        <row r="5">
          <cell r="I5">
            <v>0</v>
          </cell>
        </row>
      </sheetData>
      <sheetData sheetId="4605">
        <row r="5">
          <cell r="I5">
            <v>0</v>
          </cell>
        </row>
      </sheetData>
      <sheetData sheetId="4606">
        <row r="5">
          <cell r="I5">
            <v>0</v>
          </cell>
        </row>
      </sheetData>
      <sheetData sheetId="4607">
        <row r="5">
          <cell r="I5">
            <v>0</v>
          </cell>
        </row>
      </sheetData>
      <sheetData sheetId="4608">
        <row r="5">
          <cell r="I5">
            <v>0</v>
          </cell>
        </row>
      </sheetData>
      <sheetData sheetId="4609">
        <row r="5">
          <cell r="I5">
            <v>0</v>
          </cell>
        </row>
      </sheetData>
      <sheetData sheetId="4610">
        <row r="5">
          <cell r="I5">
            <v>0</v>
          </cell>
        </row>
      </sheetData>
      <sheetData sheetId="4611">
        <row r="5">
          <cell r="I5">
            <v>0</v>
          </cell>
        </row>
      </sheetData>
      <sheetData sheetId="4612">
        <row r="5">
          <cell r="I5">
            <v>0</v>
          </cell>
        </row>
      </sheetData>
      <sheetData sheetId="4613">
        <row r="5">
          <cell r="I5">
            <v>0</v>
          </cell>
        </row>
      </sheetData>
      <sheetData sheetId="4614">
        <row r="5">
          <cell r="I5">
            <v>0</v>
          </cell>
        </row>
      </sheetData>
      <sheetData sheetId="4615">
        <row r="5">
          <cell r="I5">
            <v>0</v>
          </cell>
        </row>
      </sheetData>
      <sheetData sheetId="4616">
        <row r="5">
          <cell r="I5">
            <v>0</v>
          </cell>
        </row>
      </sheetData>
      <sheetData sheetId="4617">
        <row r="5">
          <cell r="I5">
            <v>0</v>
          </cell>
        </row>
      </sheetData>
      <sheetData sheetId="4618">
        <row r="5">
          <cell r="I5">
            <v>0</v>
          </cell>
        </row>
      </sheetData>
      <sheetData sheetId="4619">
        <row r="5">
          <cell r="I5">
            <v>0</v>
          </cell>
        </row>
      </sheetData>
      <sheetData sheetId="4620">
        <row r="5">
          <cell r="I5">
            <v>0</v>
          </cell>
        </row>
      </sheetData>
      <sheetData sheetId="4621">
        <row r="5">
          <cell r="I5">
            <v>0</v>
          </cell>
        </row>
      </sheetData>
      <sheetData sheetId="4622">
        <row r="5">
          <cell r="I5">
            <v>0</v>
          </cell>
        </row>
      </sheetData>
      <sheetData sheetId="4623">
        <row r="5">
          <cell r="I5">
            <v>0</v>
          </cell>
        </row>
      </sheetData>
      <sheetData sheetId="4624">
        <row r="5">
          <cell r="I5">
            <v>0</v>
          </cell>
        </row>
      </sheetData>
      <sheetData sheetId="4625">
        <row r="5">
          <cell r="I5">
            <v>0</v>
          </cell>
        </row>
      </sheetData>
      <sheetData sheetId="4626">
        <row r="5">
          <cell r="I5">
            <v>0</v>
          </cell>
        </row>
      </sheetData>
      <sheetData sheetId="4627">
        <row r="5">
          <cell r="I5">
            <v>0</v>
          </cell>
        </row>
      </sheetData>
      <sheetData sheetId="4628">
        <row r="5">
          <cell r="I5">
            <v>0</v>
          </cell>
        </row>
      </sheetData>
      <sheetData sheetId="4629">
        <row r="5">
          <cell r="I5">
            <v>0</v>
          </cell>
        </row>
      </sheetData>
      <sheetData sheetId="4630">
        <row r="5">
          <cell r="I5">
            <v>0</v>
          </cell>
        </row>
      </sheetData>
      <sheetData sheetId="4631">
        <row r="5">
          <cell r="I5">
            <v>0</v>
          </cell>
        </row>
      </sheetData>
      <sheetData sheetId="4632">
        <row r="5">
          <cell r="I5">
            <v>0</v>
          </cell>
        </row>
      </sheetData>
      <sheetData sheetId="4633">
        <row r="5">
          <cell r="I5">
            <v>0</v>
          </cell>
        </row>
      </sheetData>
      <sheetData sheetId="4634">
        <row r="5">
          <cell r="I5">
            <v>0</v>
          </cell>
        </row>
      </sheetData>
      <sheetData sheetId="4635">
        <row r="5">
          <cell r="I5">
            <v>0</v>
          </cell>
        </row>
      </sheetData>
      <sheetData sheetId="4636">
        <row r="5">
          <cell r="I5">
            <v>0</v>
          </cell>
        </row>
      </sheetData>
      <sheetData sheetId="4637">
        <row r="5">
          <cell r="I5">
            <v>0</v>
          </cell>
        </row>
      </sheetData>
      <sheetData sheetId="4638">
        <row r="5">
          <cell r="I5">
            <v>0</v>
          </cell>
        </row>
      </sheetData>
      <sheetData sheetId="4639">
        <row r="5">
          <cell r="I5">
            <v>0</v>
          </cell>
        </row>
      </sheetData>
      <sheetData sheetId="4640">
        <row r="5">
          <cell r="I5">
            <v>0</v>
          </cell>
        </row>
      </sheetData>
      <sheetData sheetId="4641">
        <row r="5">
          <cell r="I5">
            <v>0</v>
          </cell>
        </row>
      </sheetData>
      <sheetData sheetId="4642">
        <row r="5">
          <cell r="I5">
            <v>0</v>
          </cell>
        </row>
      </sheetData>
      <sheetData sheetId="4643">
        <row r="5">
          <cell r="I5">
            <v>0</v>
          </cell>
        </row>
      </sheetData>
      <sheetData sheetId="4644">
        <row r="5">
          <cell r="I5">
            <v>0</v>
          </cell>
        </row>
      </sheetData>
      <sheetData sheetId="4645">
        <row r="5">
          <cell r="I5">
            <v>0</v>
          </cell>
        </row>
      </sheetData>
      <sheetData sheetId="4646">
        <row r="5">
          <cell r="I5">
            <v>0</v>
          </cell>
        </row>
      </sheetData>
      <sheetData sheetId="4647">
        <row r="5">
          <cell r="I5">
            <v>0</v>
          </cell>
        </row>
      </sheetData>
      <sheetData sheetId="4648">
        <row r="5">
          <cell r="I5">
            <v>0</v>
          </cell>
        </row>
      </sheetData>
      <sheetData sheetId="4649">
        <row r="5">
          <cell r="I5">
            <v>0</v>
          </cell>
        </row>
      </sheetData>
      <sheetData sheetId="4650">
        <row r="5">
          <cell r="I5">
            <v>0</v>
          </cell>
        </row>
      </sheetData>
      <sheetData sheetId="4651">
        <row r="5">
          <cell r="I5">
            <v>0</v>
          </cell>
        </row>
      </sheetData>
      <sheetData sheetId="4652">
        <row r="5">
          <cell r="I5">
            <v>0</v>
          </cell>
        </row>
      </sheetData>
      <sheetData sheetId="4653">
        <row r="5">
          <cell r="I5">
            <v>0</v>
          </cell>
        </row>
      </sheetData>
      <sheetData sheetId="4654">
        <row r="5">
          <cell r="I5">
            <v>0</v>
          </cell>
        </row>
      </sheetData>
      <sheetData sheetId="4655">
        <row r="5">
          <cell r="I5">
            <v>0</v>
          </cell>
        </row>
      </sheetData>
      <sheetData sheetId="4656">
        <row r="5">
          <cell r="I5">
            <v>0</v>
          </cell>
        </row>
      </sheetData>
      <sheetData sheetId="4657">
        <row r="5">
          <cell r="I5">
            <v>0</v>
          </cell>
        </row>
      </sheetData>
      <sheetData sheetId="4658">
        <row r="5">
          <cell r="I5">
            <v>0</v>
          </cell>
        </row>
      </sheetData>
      <sheetData sheetId="4659">
        <row r="5">
          <cell r="I5">
            <v>0</v>
          </cell>
        </row>
      </sheetData>
      <sheetData sheetId="4660">
        <row r="5">
          <cell r="I5">
            <v>0</v>
          </cell>
        </row>
      </sheetData>
      <sheetData sheetId="4661">
        <row r="5">
          <cell r="I5">
            <v>0</v>
          </cell>
        </row>
      </sheetData>
      <sheetData sheetId="4662">
        <row r="5">
          <cell r="I5">
            <v>0</v>
          </cell>
        </row>
      </sheetData>
      <sheetData sheetId="4663">
        <row r="5">
          <cell r="I5">
            <v>0</v>
          </cell>
        </row>
      </sheetData>
      <sheetData sheetId="4664">
        <row r="5">
          <cell r="I5">
            <v>0</v>
          </cell>
        </row>
      </sheetData>
      <sheetData sheetId="4665">
        <row r="5">
          <cell r="I5">
            <v>0</v>
          </cell>
        </row>
      </sheetData>
      <sheetData sheetId="4666">
        <row r="5">
          <cell r="I5">
            <v>0</v>
          </cell>
        </row>
      </sheetData>
      <sheetData sheetId="4667">
        <row r="5">
          <cell r="I5">
            <v>0</v>
          </cell>
        </row>
      </sheetData>
      <sheetData sheetId="4668">
        <row r="5">
          <cell r="I5">
            <v>0</v>
          </cell>
        </row>
      </sheetData>
      <sheetData sheetId="4669">
        <row r="5">
          <cell r="I5">
            <v>0</v>
          </cell>
        </row>
      </sheetData>
      <sheetData sheetId="4670">
        <row r="5">
          <cell r="I5">
            <v>0</v>
          </cell>
        </row>
      </sheetData>
      <sheetData sheetId="4671">
        <row r="5">
          <cell r="I5">
            <v>0</v>
          </cell>
        </row>
      </sheetData>
      <sheetData sheetId="4672">
        <row r="5">
          <cell r="I5">
            <v>0</v>
          </cell>
        </row>
      </sheetData>
      <sheetData sheetId="4673">
        <row r="5">
          <cell r="I5">
            <v>0</v>
          </cell>
        </row>
      </sheetData>
      <sheetData sheetId="4674">
        <row r="5">
          <cell r="I5">
            <v>0</v>
          </cell>
        </row>
      </sheetData>
      <sheetData sheetId="4675">
        <row r="5">
          <cell r="I5">
            <v>0</v>
          </cell>
        </row>
      </sheetData>
      <sheetData sheetId="4676">
        <row r="5">
          <cell r="I5">
            <v>0</v>
          </cell>
        </row>
      </sheetData>
      <sheetData sheetId="4677">
        <row r="5">
          <cell r="I5">
            <v>0</v>
          </cell>
        </row>
      </sheetData>
      <sheetData sheetId="4678">
        <row r="5">
          <cell r="I5">
            <v>0</v>
          </cell>
        </row>
      </sheetData>
      <sheetData sheetId="4679">
        <row r="5">
          <cell r="I5">
            <v>0</v>
          </cell>
        </row>
      </sheetData>
      <sheetData sheetId="4680">
        <row r="5">
          <cell r="I5">
            <v>0</v>
          </cell>
        </row>
      </sheetData>
      <sheetData sheetId="4681">
        <row r="5">
          <cell r="I5">
            <v>0</v>
          </cell>
        </row>
      </sheetData>
      <sheetData sheetId="4682">
        <row r="5">
          <cell r="I5">
            <v>0</v>
          </cell>
        </row>
      </sheetData>
      <sheetData sheetId="4683">
        <row r="5">
          <cell r="I5">
            <v>0</v>
          </cell>
        </row>
      </sheetData>
      <sheetData sheetId="4684">
        <row r="5">
          <cell r="I5">
            <v>0</v>
          </cell>
        </row>
      </sheetData>
      <sheetData sheetId="4685">
        <row r="5">
          <cell r="I5">
            <v>0</v>
          </cell>
        </row>
      </sheetData>
      <sheetData sheetId="4686">
        <row r="19">
          <cell r="J19">
            <v>1.0499999999999999E-3</v>
          </cell>
        </row>
      </sheetData>
      <sheetData sheetId="4687">
        <row r="5">
          <cell r="I5">
            <v>0</v>
          </cell>
        </row>
      </sheetData>
      <sheetData sheetId="4688">
        <row r="5">
          <cell r="I5">
            <v>0</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5">
          <cell r="I5">
            <v>0</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5">
          <cell r="I5">
            <v>0</v>
          </cell>
        </row>
      </sheetData>
      <sheetData sheetId="4697">
        <row r="5">
          <cell r="I5">
            <v>0</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5">
          <cell r="I5">
            <v>0</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ow r="19">
          <cell r="J19">
            <v>1.0499999999999999E-3</v>
          </cell>
        </row>
      </sheetData>
      <sheetData sheetId="4823">
        <row r="19">
          <cell r="J19">
            <v>1.0499999999999999E-3</v>
          </cell>
        </row>
      </sheetData>
      <sheetData sheetId="4824">
        <row r="19">
          <cell r="J19">
            <v>1.0499999999999999E-3</v>
          </cell>
        </row>
      </sheetData>
      <sheetData sheetId="4825">
        <row r="19">
          <cell r="J19">
            <v>1.0499999999999999E-3</v>
          </cell>
        </row>
      </sheetData>
      <sheetData sheetId="4826">
        <row r="19">
          <cell r="J19">
            <v>1.0499999999999999E-3</v>
          </cell>
        </row>
      </sheetData>
      <sheetData sheetId="4827">
        <row r="19">
          <cell r="J19">
            <v>1.0499999999999999E-3</v>
          </cell>
        </row>
      </sheetData>
      <sheetData sheetId="4828">
        <row r="19">
          <cell r="J19">
            <v>1.0499999999999999E-3</v>
          </cell>
        </row>
      </sheetData>
      <sheetData sheetId="4829">
        <row r="5">
          <cell r="I5">
            <v>0</v>
          </cell>
        </row>
      </sheetData>
      <sheetData sheetId="4830">
        <row r="5">
          <cell r="I5">
            <v>0</v>
          </cell>
        </row>
      </sheetData>
      <sheetData sheetId="4831">
        <row r="19">
          <cell r="J19">
            <v>1.0499999999999999E-3</v>
          </cell>
        </row>
      </sheetData>
      <sheetData sheetId="4832">
        <row r="5">
          <cell r="I5">
            <v>0</v>
          </cell>
        </row>
      </sheetData>
      <sheetData sheetId="4833">
        <row r="5">
          <cell r="I5">
            <v>0</v>
          </cell>
        </row>
      </sheetData>
      <sheetData sheetId="4834">
        <row r="19">
          <cell r="J19">
            <v>1.0499999999999999E-3</v>
          </cell>
        </row>
      </sheetData>
      <sheetData sheetId="4835">
        <row r="5">
          <cell r="I5">
            <v>0</v>
          </cell>
        </row>
      </sheetData>
      <sheetData sheetId="4836">
        <row r="5">
          <cell r="I5">
            <v>0</v>
          </cell>
        </row>
      </sheetData>
      <sheetData sheetId="4837">
        <row r="5">
          <cell r="I5">
            <v>0</v>
          </cell>
        </row>
      </sheetData>
      <sheetData sheetId="4838">
        <row r="5">
          <cell r="I5">
            <v>0</v>
          </cell>
        </row>
      </sheetData>
      <sheetData sheetId="4839">
        <row r="5">
          <cell r="I5">
            <v>0</v>
          </cell>
        </row>
      </sheetData>
      <sheetData sheetId="4840">
        <row r="19">
          <cell r="J19">
            <v>1.0499999999999999E-3</v>
          </cell>
        </row>
      </sheetData>
      <sheetData sheetId="4841">
        <row r="19">
          <cell r="J19">
            <v>1.0499999999999999E-3</v>
          </cell>
        </row>
      </sheetData>
      <sheetData sheetId="4842">
        <row r="19">
          <cell r="J19">
            <v>1.0499999999999999E-3</v>
          </cell>
        </row>
      </sheetData>
      <sheetData sheetId="4843">
        <row r="5">
          <cell r="I5">
            <v>0</v>
          </cell>
        </row>
      </sheetData>
      <sheetData sheetId="4844">
        <row r="5">
          <cell r="I5">
            <v>0</v>
          </cell>
        </row>
      </sheetData>
      <sheetData sheetId="4845">
        <row r="19">
          <cell r="J19">
            <v>1.0499999999999999E-3</v>
          </cell>
        </row>
      </sheetData>
      <sheetData sheetId="4846">
        <row r="5">
          <cell r="I5">
            <v>0</v>
          </cell>
        </row>
      </sheetData>
      <sheetData sheetId="4847">
        <row r="5">
          <cell r="I5">
            <v>0</v>
          </cell>
        </row>
      </sheetData>
      <sheetData sheetId="4848">
        <row r="19">
          <cell r="J19">
            <v>1.0499999999999999E-3</v>
          </cell>
        </row>
      </sheetData>
      <sheetData sheetId="4849">
        <row r="5">
          <cell r="I5">
            <v>0</v>
          </cell>
        </row>
      </sheetData>
      <sheetData sheetId="4850">
        <row r="5">
          <cell r="I5">
            <v>0</v>
          </cell>
        </row>
      </sheetData>
      <sheetData sheetId="4851">
        <row r="5">
          <cell r="I5">
            <v>0</v>
          </cell>
        </row>
      </sheetData>
      <sheetData sheetId="4852">
        <row r="5">
          <cell r="I5">
            <v>0</v>
          </cell>
        </row>
      </sheetData>
      <sheetData sheetId="4853">
        <row r="5">
          <cell r="I5">
            <v>0</v>
          </cell>
        </row>
      </sheetData>
      <sheetData sheetId="4854">
        <row r="19">
          <cell r="J19">
            <v>1.0499999999999999E-3</v>
          </cell>
        </row>
      </sheetData>
      <sheetData sheetId="4855">
        <row r="19">
          <cell r="J19">
            <v>1.0499999999999999E-3</v>
          </cell>
        </row>
      </sheetData>
      <sheetData sheetId="4856">
        <row r="19">
          <cell r="J19">
            <v>1.0499999999999999E-3</v>
          </cell>
        </row>
      </sheetData>
      <sheetData sheetId="4857">
        <row r="19">
          <cell r="J19">
            <v>1.0499999999999999E-3</v>
          </cell>
        </row>
      </sheetData>
      <sheetData sheetId="4858">
        <row r="19">
          <cell r="J19">
            <v>1.0499999999999999E-3</v>
          </cell>
        </row>
      </sheetData>
      <sheetData sheetId="4859">
        <row r="5">
          <cell r="I5">
            <v>0</v>
          </cell>
        </row>
      </sheetData>
      <sheetData sheetId="4860">
        <row r="19">
          <cell r="J19">
            <v>1.0499999999999999E-3</v>
          </cell>
        </row>
      </sheetData>
      <sheetData sheetId="4861">
        <row r="19">
          <cell r="J19">
            <v>1.0499999999999999E-3</v>
          </cell>
        </row>
      </sheetData>
      <sheetData sheetId="4862">
        <row r="5">
          <cell r="I5">
            <v>0</v>
          </cell>
        </row>
      </sheetData>
      <sheetData sheetId="4863">
        <row r="5">
          <cell r="I5">
            <v>0</v>
          </cell>
        </row>
      </sheetData>
      <sheetData sheetId="4864">
        <row r="5">
          <cell r="I5">
            <v>0</v>
          </cell>
        </row>
      </sheetData>
      <sheetData sheetId="4865">
        <row r="5">
          <cell r="I5">
            <v>0</v>
          </cell>
        </row>
      </sheetData>
      <sheetData sheetId="4866">
        <row r="5">
          <cell r="I5">
            <v>0</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5">
          <cell r="I5">
            <v>0</v>
          </cell>
        </row>
      </sheetData>
      <sheetData sheetId="4874">
        <row r="5">
          <cell r="I5">
            <v>0</v>
          </cell>
        </row>
      </sheetData>
      <sheetData sheetId="4875">
        <row r="19">
          <cell r="J19">
            <v>1.0499999999999999E-3</v>
          </cell>
        </row>
      </sheetData>
      <sheetData sheetId="4876">
        <row r="5">
          <cell r="I5">
            <v>0</v>
          </cell>
        </row>
      </sheetData>
      <sheetData sheetId="4877">
        <row r="5">
          <cell r="I5">
            <v>0</v>
          </cell>
        </row>
      </sheetData>
      <sheetData sheetId="4878">
        <row r="5">
          <cell r="I5">
            <v>0</v>
          </cell>
        </row>
      </sheetData>
      <sheetData sheetId="4879">
        <row r="5">
          <cell r="I5">
            <v>0</v>
          </cell>
        </row>
      </sheetData>
      <sheetData sheetId="4880">
        <row r="5">
          <cell r="I5">
            <v>0</v>
          </cell>
        </row>
      </sheetData>
      <sheetData sheetId="4881">
        <row r="5">
          <cell r="I5">
            <v>0</v>
          </cell>
        </row>
      </sheetData>
      <sheetData sheetId="4882">
        <row r="19">
          <cell r="J19">
            <v>1.0499999999999999E-3</v>
          </cell>
        </row>
      </sheetData>
      <sheetData sheetId="4883">
        <row r="5">
          <cell r="I5">
            <v>0</v>
          </cell>
        </row>
      </sheetData>
      <sheetData sheetId="4884">
        <row r="5">
          <cell r="I5">
            <v>0</v>
          </cell>
        </row>
      </sheetData>
      <sheetData sheetId="4885">
        <row r="19">
          <cell r="J19">
            <v>1.0499999999999999E-3</v>
          </cell>
        </row>
      </sheetData>
      <sheetData sheetId="4886">
        <row r="5">
          <cell r="I5">
            <v>0</v>
          </cell>
        </row>
      </sheetData>
      <sheetData sheetId="4887">
        <row r="5">
          <cell r="I5">
            <v>0</v>
          </cell>
        </row>
      </sheetData>
      <sheetData sheetId="4888">
        <row r="5">
          <cell r="I5">
            <v>0</v>
          </cell>
        </row>
      </sheetData>
      <sheetData sheetId="4889">
        <row r="19">
          <cell r="J19">
            <v>1.0499999999999999E-3</v>
          </cell>
        </row>
      </sheetData>
      <sheetData sheetId="4890">
        <row r="5">
          <cell r="I5">
            <v>0</v>
          </cell>
        </row>
      </sheetData>
      <sheetData sheetId="4891">
        <row r="5">
          <cell r="I5">
            <v>0</v>
          </cell>
        </row>
      </sheetData>
      <sheetData sheetId="4892">
        <row r="5">
          <cell r="I5">
            <v>0</v>
          </cell>
        </row>
      </sheetData>
      <sheetData sheetId="4893">
        <row r="5">
          <cell r="I5">
            <v>0</v>
          </cell>
        </row>
      </sheetData>
      <sheetData sheetId="4894">
        <row r="5">
          <cell r="I5">
            <v>0</v>
          </cell>
        </row>
      </sheetData>
      <sheetData sheetId="4895">
        <row r="5">
          <cell r="I5">
            <v>0</v>
          </cell>
        </row>
      </sheetData>
      <sheetData sheetId="4896">
        <row r="5">
          <cell r="I5">
            <v>0</v>
          </cell>
        </row>
      </sheetData>
      <sheetData sheetId="4897">
        <row r="5">
          <cell r="I5">
            <v>0</v>
          </cell>
        </row>
      </sheetData>
      <sheetData sheetId="4898">
        <row r="5">
          <cell r="I5">
            <v>0</v>
          </cell>
        </row>
      </sheetData>
      <sheetData sheetId="4899">
        <row r="5">
          <cell r="I5">
            <v>0</v>
          </cell>
        </row>
      </sheetData>
      <sheetData sheetId="4900">
        <row r="5">
          <cell r="I5">
            <v>0</v>
          </cell>
        </row>
      </sheetData>
      <sheetData sheetId="4901">
        <row r="5">
          <cell r="I5">
            <v>0</v>
          </cell>
        </row>
      </sheetData>
      <sheetData sheetId="4902">
        <row r="5">
          <cell r="I5">
            <v>0</v>
          </cell>
        </row>
      </sheetData>
      <sheetData sheetId="4903">
        <row r="5">
          <cell r="I5">
            <v>0</v>
          </cell>
        </row>
      </sheetData>
      <sheetData sheetId="4904">
        <row r="5">
          <cell r="I5">
            <v>0</v>
          </cell>
        </row>
      </sheetData>
      <sheetData sheetId="4905">
        <row r="5">
          <cell r="I5">
            <v>0</v>
          </cell>
        </row>
      </sheetData>
      <sheetData sheetId="4906">
        <row r="5">
          <cell r="I5">
            <v>0</v>
          </cell>
        </row>
      </sheetData>
      <sheetData sheetId="4907">
        <row r="5">
          <cell r="I5">
            <v>0</v>
          </cell>
        </row>
      </sheetData>
      <sheetData sheetId="4908">
        <row r="5">
          <cell r="I5">
            <v>0</v>
          </cell>
        </row>
      </sheetData>
      <sheetData sheetId="4909">
        <row r="5">
          <cell r="I5">
            <v>0</v>
          </cell>
        </row>
      </sheetData>
      <sheetData sheetId="4910">
        <row r="5">
          <cell r="I5">
            <v>0</v>
          </cell>
        </row>
      </sheetData>
      <sheetData sheetId="4911">
        <row r="5">
          <cell r="I5">
            <v>0</v>
          </cell>
        </row>
      </sheetData>
      <sheetData sheetId="4912">
        <row r="5">
          <cell r="I5">
            <v>0</v>
          </cell>
        </row>
      </sheetData>
      <sheetData sheetId="4913">
        <row r="5">
          <cell r="I5">
            <v>0</v>
          </cell>
        </row>
      </sheetData>
      <sheetData sheetId="4914">
        <row r="5">
          <cell r="I5">
            <v>0</v>
          </cell>
        </row>
      </sheetData>
      <sheetData sheetId="4915">
        <row r="5">
          <cell r="I5">
            <v>0</v>
          </cell>
        </row>
      </sheetData>
      <sheetData sheetId="4916">
        <row r="5">
          <cell r="I5">
            <v>0</v>
          </cell>
        </row>
      </sheetData>
      <sheetData sheetId="4917">
        <row r="5">
          <cell r="I5">
            <v>0</v>
          </cell>
        </row>
      </sheetData>
      <sheetData sheetId="4918">
        <row r="5">
          <cell r="I5">
            <v>0</v>
          </cell>
        </row>
      </sheetData>
      <sheetData sheetId="4919">
        <row r="5">
          <cell r="I5">
            <v>0</v>
          </cell>
        </row>
      </sheetData>
      <sheetData sheetId="4920">
        <row r="5">
          <cell r="I5">
            <v>0</v>
          </cell>
        </row>
      </sheetData>
      <sheetData sheetId="4921">
        <row r="5">
          <cell r="I5">
            <v>0</v>
          </cell>
        </row>
      </sheetData>
      <sheetData sheetId="4922">
        <row r="5">
          <cell r="I5">
            <v>0</v>
          </cell>
        </row>
      </sheetData>
      <sheetData sheetId="4923">
        <row r="5">
          <cell r="I5">
            <v>0</v>
          </cell>
        </row>
      </sheetData>
      <sheetData sheetId="4924">
        <row r="5">
          <cell r="I5">
            <v>0</v>
          </cell>
        </row>
      </sheetData>
      <sheetData sheetId="4925">
        <row r="5">
          <cell r="I5">
            <v>0</v>
          </cell>
        </row>
      </sheetData>
      <sheetData sheetId="4926">
        <row r="5">
          <cell r="I5">
            <v>0</v>
          </cell>
        </row>
      </sheetData>
      <sheetData sheetId="4927">
        <row r="5">
          <cell r="I5">
            <v>0</v>
          </cell>
        </row>
      </sheetData>
      <sheetData sheetId="4928">
        <row r="5">
          <cell r="I5">
            <v>0</v>
          </cell>
        </row>
      </sheetData>
      <sheetData sheetId="4929">
        <row r="5">
          <cell r="I5">
            <v>0</v>
          </cell>
        </row>
      </sheetData>
      <sheetData sheetId="4930">
        <row r="5">
          <cell r="I5">
            <v>0</v>
          </cell>
        </row>
      </sheetData>
      <sheetData sheetId="4931">
        <row r="5">
          <cell r="I5">
            <v>0</v>
          </cell>
        </row>
      </sheetData>
      <sheetData sheetId="4932">
        <row r="5">
          <cell r="I5">
            <v>0</v>
          </cell>
        </row>
      </sheetData>
      <sheetData sheetId="4933">
        <row r="5">
          <cell r="I5">
            <v>0</v>
          </cell>
        </row>
      </sheetData>
      <sheetData sheetId="4934">
        <row r="5">
          <cell r="I5">
            <v>0</v>
          </cell>
        </row>
      </sheetData>
      <sheetData sheetId="4935">
        <row r="5">
          <cell r="I5">
            <v>0</v>
          </cell>
        </row>
      </sheetData>
      <sheetData sheetId="4936">
        <row r="5">
          <cell r="I5">
            <v>0</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5">
          <cell r="I5">
            <v>0</v>
          </cell>
        </row>
      </sheetData>
      <sheetData sheetId="4941">
        <row r="5">
          <cell r="I5">
            <v>0</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5">
          <cell r="I5">
            <v>0</v>
          </cell>
        </row>
      </sheetData>
      <sheetData sheetId="4946">
        <row r="5">
          <cell r="I5">
            <v>0</v>
          </cell>
        </row>
      </sheetData>
      <sheetData sheetId="4947">
        <row r="5">
          <cell r="I5">
            <v>0</v>
          </cell>
        </row>
      </sheetData>
      <sheetData sheetId="4948">
        <row r="5">
          <cell r="I5">
            <v>0</v>
          </cell>
        </row>
      </sheetData>
      <sheetData sheetId="4949">
        <row r="5">
          <cell r="I5">
            <v>0</v>
          </cell>
        </row>
      </sheetData>
      <sheetData sheetId="4950">
        <row r="5">
          <cell r="I5">
            <v>0</v>
          </cell>
        </row>
      </sheetData>
      <sheetData sheetId="4951">
        <row r="5">
          <cell r="I5">
            <v>0</v>
          </cell>
        </row>
      </sheetData>
      <sheetData sheetId="4952">
        <row r="5">
          <cell r="I5">
            <v>0</v>
          </cell>
        </row>
      </sheetData>
      <sheetData sheetId="4953">
        <row r="5">
          <cell r="I5">
            <v>0</v>
          </cell>
        </row>
      </sheetData>
      <sheetData sheetId="4954">
        <row r="5">
          <cell r="I5">
            <v>0</v>
          </cell>
        </row>
      </sheetData>
      <sheetData sheetId="4955">
        <row r="5">
          <cell r="I5">
            <v>0</v>
          </cell>
        </row>
      </sheetData>
      <sheetData sheetId="4956">
        <row r="5">
          <cell r="I5">
            <v>0</v>
          </cell>
        </row>
      </sheetData>
      <sheetData sheetId="4957">
        <row r="5">
          <cell r="I5">
            <v>0</v>
          </cell>
        </row>
      </sheetData>
      <sheetData sheetId="4958">
        <row r="5">
          <cell r="I5">
            <v>0</v>
          </cell>
        </row>
      </sheetData>
      <sheetData sheetId="4959">
        <row r="5">
          <cell r="I5">
            <v>0</v>
          </cell>
        </row>
      </sheetData>
      <sheetData sheetId="4960">
        <row r="5">
          <cell r="I5">
            <v>0</v>
          </cell>
        </row>
      </sheetData>
      <sheetData sheetId="4961">
        <row r="5">
          <cell r="I5">
            <v>0</v>
          </cell>
        </row>
      </sheetData>
      <sheetData sheetId="4962">
        <row r="5">
          <cell r="I5">
            <v>0</v>
          </cell>
        </row>
      </sheetData>
      <sheetData sheetId="4963">
        <row r="5">
          <cell r="I5">
            <v>0</v>
          </cell>
        </row>
      </sheetData>
      <sheetData sheetId="4964">
        <row r="5">
          <cell r="I5">
            <v>0</v>
          </cell>
        </row>
      </sheetData>
      <sheetData sheetId="4965">
        <row r="5">
          <cell r="I5">
            <v>0</v>
          </cell>
        </row>
      </sheetData>
      <sheetData sheetId="4966">
        <row r="5">
          <cell r="I5">
            <v>0</v>
          </cell>
        </row>
      </sheetData>
      <sheetData sheetId="4967">
        <row r="5">
          <cell r="I5">
            <v>0</v>
          </cell>
        </row>
      </sheetData>
      <sheetData sheetId="4968">
        <row r="5">
          <cell r="I5">
            <v>0</v>
          </cell>
        </row>
      </sheetData>
      <sheetData sheetId="4969">
        <row r="5">
          <cell r="I5">
            <v>0</v>
          </cell>
        </row>
      </sheetData>
      <sheetData sheetId="4970">
        <row r="5">
          <cell r="I5">
            <v>0</v>
          </cell>
        </row>
      </sheetData>
      <sheetData sheetId="4971">
        <row r="5">
          <cell r="I5">
            <v>0</v>
          </cell>
        </row>
      </sheetData>
      <sheetData sheetId="4972">
        <row r="5">
          <cell r="I5">
            <v>0</v>
          </cell>
        </row>
      </sheetData>
      <sheetData sheetId="4973">
        <row r="5">
          <cell r="I5">
            <v>0</v>
          </cell>
        </row>
      </sheetData>
      <sheetData sheetId="4974">
        <row r="5">
          <cell r="I5">
            <v>0</v>
          </cell>
        </row>
      </sheetData>
      <sheetData sheetId="4975">
        <row r="5">
          <cell r="I5">
            <v>0</v>
          </cell>
        </row>
      </sheetData>
      <sheetData sheetId="4976">
        <row r="5">
          <cell r="I5">
            <v>0</v>
          </cell>
        </row>
      </sheetData>
      <sheetData sheetId="4977">
        <row r="5">
          <cell r="I5">
            <v>0</v>
          </cell>
        </row>
      </sheetData>
      <sheetData sheetId="4978">
        <row r="5">
          <cell r="I5">
            <v>0</v>
          </cell>
        </row>
      </sheetData>
      <sheetData sheetId="4979">
        <row r="5">
          <cell r="I5">
            <v>0</v>
          </cell>
        </row>
      </sheetData>
      <sheetData sheetId="4980">
        <row r="5">
          <cell r="I5">
            <v>0</v>
          </cell>
        </row>
      </sheetData>
      <sheetData sheetId="4981">
        <row r="5">
          <cell r="I5">
            <v>0</v>
          </cell>
        </row>
      </sheetData>
      <sheetData sheetId="4982">
        <row r="5">
          <cell r="I5">
            <v>0</v>
          </cell>
        </row>
      </sheetData>
      <sheetData sheetId="4983">
        <row r="5">
          <cell r="I5">
            <v>0</v>
          </cell>
        </row>
      </sheetData>
      <sheetData sheetId="4984">
        <row r="5">
          <cell r="I5">
            <v>0</v>
          </cell>
        </row>
      </sheetData>
      <sheetData sheetId="4985">
        <row r="5">
          <cell r="I5">
            <v>0</v>
          </cell>
        </row>
      </sheetData>
      <sheetData sheetId="4986">
        <row r="5">
          <cell r="I5">
            <v>0</v>
          </cell>
        </row>
      </sheetData>
      <sheetData sheetId="4987">
        <row r="5">
          <cell r="I5">
            <v>0</v>
          </cell>
        </row>
      </sheetData>
      <sheetData sheetId="4988">
        <row r="5">
          <cell r="I5">
            <v>0</v>
          </cell>
        </row>
      </sheetData>
      <sheetData sheetId="4989">
        <row r="5">
          <cell r="I5">
            <v>0</v>
          </cell>
        </row>
      </sheetData>
      <sheetData sheetId="4990">
        <row r="5">
          <cell r="I5">
            <v>0</v>
          </cell>
        </row>
      </sheetData>
      <sheetData sheetId="4991">
        <row r="5">
          <cell r="I5">
            <v>0</v>
          </cell>
        </row>
      </sheetData>
      <sheetData sheetId="4992">
        <row r="5">
          <cell r="I5">
            <v>0</v>
          </cell>
        </row>
      </sheetData>
      <sheetData sheetId="4993">
        <row r="5">
          <cell r="I5">
            <v>0</v>
          </cell>
        </row>
      </sheetData>
      <sheetData sheetId="4994">
        <row r="5">
          <cell r="I5">
            <v>0</v>
          </cell>
        </row>
      </sheetData>
      <sheetData sheetId="4995">
        <row r="5">
          <cell r="I5">
            <v>0</v>
          </cell>
        </row>
      </sheetData>
      <sheetData sheetId="4996">
        <row r="5">
          <cell r="I5">
            <v>0</v>
          </cell>
        </row>
      </sheetData>
      <sheetData sheetId="4997">
        <row r="5">
          <cell r="I5">
            <v>0</v>
          </cell>
        </row>
      </sheetData>
      <sheetData sheetId="4998">
        <row r="5">
          <cell r="I5">
            <v>0</v>
          </cell>
        </row>
      </sheetData>
      <sheetData sheetId="4999">
        <row r="5">
          <cell r="I5">
            <v>0</v>
          </cell>
        </row>
      </sheetData>
      <sheetData sheetId="5000">
        <row r="5">
          <cell r="I5">
            <v>0</v>
          </cell>
        </row>
      </sheetData>
      <sheetData sheetId="5001">
        <row r="5">
          <cell r="I5">
            <v>0</v>
          </cell>
        </row>
      </sheetData>
      <sheetData sheetId="5002">
        <row r="5">
          <cell r="I5">
            <v>0</v>
          </cell>
        </row>
      </sheetData>
      <sheetData sheetId="5003">
        <row r="5">
          <cell r="I5">
            <v>0</v>
          </cell>
        </row>
      </sheetData>
      <sheetData sheetId="5004">
        <row r="5">
          <cell r="I5">
            <v>0</v>
          </cell>
        </row>
      </sheetData>
      <sheetData sheetId="5005">
        <row r="5">
          <cell r="I5">
            <v>0</v>
          </cell>
        </row>
      </sheetData>
      <sheetData sheetId="5006">
        <row r="5">
          <cell r="I5">
            <v>0</v>
          </cell>
        </row>
      </sheetData>
      <sheetData sheetId="5007">
        <row r="5">
          <cell r="I5">
            <v>0</v>
          </cell>
        </row>
      </sheetData>
      <sheetData sheetId="5008">
        <row r="5">
          <cell r="I5">
            <v>0</v>
          </cell>
        </row>
      </sheetData>
      <sheetData sheetId="5009">
        <row r="5">
          <cell r="I5">
            <v>0</v>
          </cell>
        </row>
      </sheetData>
      <sheetData sheetId="5010">
        <row r="5">
          <cell r="I5">
            <v>0</v>
          </cell>
        </row>
      </sheetData>
      <sheetData sheetId="5011">
        <row r="5">
          <cell r="I5">
            <v>0</v>
          </cell>
        </row>
      </sheetData>
      <sheetData sheetId="5012">
        <row r="5">
          <cell r="I5">
            <v>0</v>
          </cell>
        </row>
      </sheetData>
      <sheetData sheetId="5013">
        <row r="5">
          <cell r="I5">
            <v>0</v>
          </cell>
        </row>
      </sheetData>
      <sheetData sheetId="5014">
        <row r="5">
          <cell r="I5">
            <v>0</v>
          </cell>
        </row>
      </sheetData>
      <sheetData sheetId="5015">
        <row r="5">
          <cell r="I5">
            <v>0</v>
          </cell>
        </row>
      </sheetData>
      <sheetData sheetId="5016">
        <row r="5">
          <cell r="I5">
            <v>0</v>
          </cell>
        </row>
      </sheetData>
      <sheetData sheetId="5017">
        <row r="5">
          <cell r="I5">
            <v>0</v>
          </cell>
        </row>
      </sheetData>
      <sheetData sheetId="5018">
        <row r="5">
          <cell r="I5">
            <v>0</v>
          </cell>
        </row>
      </sheetData>
      <sheetData sheetId="5019">
        <row r="5">
          <cell r="I5">
            <v>0</v>
          </cell>
        </row>
      </sheetData>
      <sheetData sheetId="5020">
        <row r="5">
          <cell r="I5">
            <v>0</v>
          </cell>
        </row>
      </sheetData>
      <sheetData sheetId="5021">
        <row r="5">
          <cell r="I5">
            <v>0</v>
          </cell>
        </row>
      </sheetData>
      <sheetData sheetId="5022">
        <row r="5">
          <cell r="I5">
            <v>0</v>
          </cell>
        </row>
      </sheetData>
      <sheetData sheetId="5023">
        <row r="5">
          <cell r="I5">
            <v>0</v>
          </cell>
        </row>
      </sheetData>
      <sheetData sheetId="5024">
        <row r="5">
          <cell r="I5">
            <v>0</v>
          </cell>
        </row>
      </sheetData>
      <sheetData sheetId="5025">
        <row r="5">
          <cell r="I5">
            <v>0</v>
          </cell>
        </row>
      </sheetData>
      <sheetData sheetId="5026">
        <row r="5">
          <cell r="I5">
            <v>0</v>
          </cell>
        </row>
      </sheetData>
      <sheetData sheetId="5027">
        <row r="5">
          <cell r="I5">
            <v>0</v>
          </cell>
        </row>
      </sheetData>
      <sheetData sheetId="5028">
        <row r="5">
          <cell r="I5">
            <v>0</v>
          </cell>
        </row>
      </sheetData>
      <sheetData sheetId="5029">
        <row r="5">
          <cell r="I5">
            <v>0</v>
          </cell>
        </row>
      </sheetData>
      <sheetData sheetId="5030">
        <row r="5">
          <cell r="I5">
            <v>0</v>
          </cell>
        </row>
      </sheetData>
      <sheetData sheetId="5031">
        <row r="5">
          <cell r="I5">
            <v>0</v>
          </cell>
        </row>
      </sheetData>
      <sheetData sheetId="5032">
        <row r="5">
          <cell r="I5">
            <v>0</v>
          </cell>
        </row>
      </sheetData>
      <sheetData sheetId="5033">
        <row r="5">
          <cell r="I5">
            <v>0</v>
          </cell>
        </row>
      </sheetData>
      <sheetData sheetId="5034">
        <row r="5">
          <cell r="I5">
            <v>0</v>
          </cell>
        </row>
      </sheetData>
      <sheetData sheetId="5035">
        <row r="5">
          <cell r="I5">
            <v>0</v>
          </cell>
        </row>
      </sheetData>
      <sheetData sheetId="5036">
        <row r="5">
          <cell r="I5">
            <v>0</v>
          </cell>
        </row>
      </sheetData>
      <sheetData sheetId="5037">
        <row r="5">
          <cell r="I5">
            <v>0</v>
          </cell>
        </row>
      </sheetData>
      <sheetData sheetId="5038">
        <row r="5">
          <cell r="I5">
            <v>0</v>
          </cell>
        </row>
      </sheetData>
      <sheetData sheetId="5039">
        <row r="5">
          <cell r="I5">
            <v>0</v>
          </cell>
        </row>
      </sheetData>
      <sheetData sheetId="5040">
        <row r="5">
          <cell r="I5">
            <v>0</v>
          </cell>
        </row>
      </sheetData>
      <sheetData sheetId="5041">
        <row r="5">
          <cell r="I5">
            <v>0</v>
          </cell>
        </row>
      </sheetData>
      <sheetData sheetId="5042">
        <row r="5">
          <cell r="I5">
            <v>0</v>
          </cell>
        </row>
      </sheetData>
      <sheetData sheetId="5043">
        <row r="5">
          <cell r="I5">
            <v>0</v>
          </cell>
        </row>
      </sheetData>
      <sheetData sheetId="5044">
        <row r="5">
          <cell r="I5">
            <v>0</v>
          </cell>
        </row>
      </sheetData>
      <sheetData sheetId="5045">
        <row r="5">
          <cell r="I5">
            <v>0</v>
          </cell>
        </row>
      </sheetData>
      <sheetData sheetId="5046">
        <row r="5">
          <cell r="I5">
            <v>0</v>
          </cell>
        </row>
      </sheetData>
      <sheetData sheetId="5047">
        <row r="5">
          <cell r="I5">
            <v>0</v>
          </cell>
        </row>
      </sheetData>
      <sheetData sheetId="5048">
        <row r="5">
          <cell r="I5">
            <v>0</v>
          </cell>
        </row>
      </sheetData>
      <sheetData sheetId="5049">
        <row r="5">
          <cell r="I5">
            <v>0</v>
          </cell>
        </row>
      </sheetData>
      <sheetData sheetId="5050">
        <row r="5">
          <cell r="I5">
            <v>0</v>
          </cell>
        </row>
      </sheetData>
      <sheetData sheetId="5051">
        <row r="5">
          <cell r="I5">
            <v>0</v>
          </cell>
        </row>
      </sheetData>
      <sheetData sheetId="5052">
        <row r="5">
          <cell r="I5">
            <v>0</v>
          </cell>
        </row>
      </sheetData>
      <sheetData sheetId="5053">
        <row r="5">
          <cell r="I5">
            <v>0</v>
          </cell>
        </row>
      </sheetData>
      <sheetData sheetId="5054">
        <row r="5">
          <cell r="I5">
            <v>0</v>
          </cell>
        </row>
      </sheetData>
      <sheetData sheetId="5055">
        <row r="5">
          <cell r="I5">
            <v>0</v>
          </cell>
        </row>
      </sheetData>
      <sheetData sheetId="5056">
        <row r="5">
          <cell r="I5">
            <v>0</v>
          </cell>
        </row>
      </sheetData>
      <sheetData sheetId="5057">
        <row r="5">
          <cell r="I5">
            <v>0</v>
          </cell>
        </row>
      </sheetData>
      <sheetData sheetId="5058">
        <row r="5">
          <cell r="I5">
            <v>0</v>
          </cell>
        </row>
      </sheetData>
      <sheetData sheetId="5059">
        <row r="5">
          <cell r="I5">
            <v>0</v>
          </cell>
        </row>
      </sheetData>
      <sheetData sheetId="5060">
        <row r="5">
          <cell r="I5">
            <v>0</v>
          </cell>
        </row>
      </sheetData>
      <sheetData sheetId="5061">
        <row r="5">
          <cell r="I5">
            <v>0</v>
          </cell>
        </row>
      </sheetData>
      <sheetData sheetId="5062">
        <row r="5">
          <cell r="I5">
            <v>0</v>
          </cell>
        </row>
      </sheetData>
      <sheetData sheetId="5063">
        <row r="5">
          <cell r="I5">
            <v>0</v>
          </cell>
        </row>
      </sheetData>
      <sheetData sheetId="5064">
        <row r="5">
          <cell r="I5">
            <v>0</v>
          </cell>
        </row>
      </sheetData>
      <sheetData sheetId="5065">
        <row r="5">
          <cell r="I5">
            <v>0</v>
          </cell>
        </row>
      </sheetData>
      <sheetData sheetId="5066">
        <row r="5">
          <cell r="I5">
            <v>0</v>
          </cell>
        </row>
      </sheetData>
      <sheetData sheetId="5067">
        <row r="5">
          <cell r="I5">
            <v>0</v>
          </cell>
        </row>
      </sheetData>
      <sheetData sheetId="5068">
        <row r="5">
          <cell r="I5">
            <v>0</v>
          </cell>
        </row>
      </sheetData>
      <sheetData sheetId="5069">
        <row r="5">
          <cell r="I5">
            <v>0</v>
          </cell>
        </row>
      </sheetData>
      <sheetData sheetId="5070">
        <row r="5">
          <cell r="I5">
            <v>0</v>
          </cell>
        </row>
      </sheetData>
      <sheetData sheetId="5071">
        <row r="5">
          <cell r="I5">
            <v>0</v>
          </cell>
        </row>
      </sheetData>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ow r="5">
          <cell r="I5">
            <v>0</v>
          </cell>
        </row>
      </sheetData>
      <sheetData sheetId="5098">
        <row r="5">
          <cell r="I5">
            <v>0</v>
          </cell>
        </row>
      </sheetData>
      <sheetData sheetId="5099">
        <row r="5">
          <cell r="I5">
            <v>0</v>
          </cell>
        </row>
      </sheetData>
      <sheetData sheetId="5100">
        <row r="5">
          <cell r="I5">
            <v>0</v>
          </cell>
        </row>
      </sheetData>
      <sheetData sheetId="5101">
        <row r="5">
          <cell r="I5">
            <v>0</v>
          </cell>
        </row>
      </sheetData>
      <sheetData sheetId="5102">
        <row r="5">
          <cell r="I5">
            <v>0</v>
          </cell>
        </row>
      </sheetData>
      <sheetData sheetId="5103">
        <row r="5">
          <cell r="I5">
            <v>0</v>
          </cell>
        </row>
      </sheetData>
      <sheetData sheetId="5104">
        <row r="5">
          <cell r="I5">
            <v>0</v>
          </cell>
        </row>
      </sheetData>
      <sheetData sheetId="5105">
        <row r="5">
          <cell r="I5">
            <v>0</v>
          </cell>
        </row>
      </sheetData>
      <sheetData sheetId="5106">
        <row r="5">
          <cell r="I5">
            <v>0</v>
          </cell>
        </row>
      </sheetData>
      <sheetData sheetId="5107">
        <row r="5">
          <cell r="I5">
            <v>0</v>
          </cell>
        </row>
      </sheetData>
      <sheetData sheetId="5108">
        <row r="5">
          <cell r="I5">
            <v>0</v>
          </cell>
        </row>
      </sheetData>
      <sheetData sheetId="5109">
        <row r="5">
          <cell r="I5">
            <v>0</v>
          </cell>
        </row>
      </sheetData>
      <sheetData sheetId="5110">
        <row r="5">
          <cell r="I5">
            <v>0</v>
          </cell>
        </row>
      </sheetData>
      <sheetData sheetId="5111">
        <row r="5">
          <cell r="I5">
            <v>0</v>
          </cell>
        </row>
      </sheetData>
      <sheetData sheetId="5112">
        <row r="5">
          <cell r="I5">
            <v>0</v>
          </cell>
        </row>
      </sheetData>
      <sheetData sheetId="5113">
        <row r="5">
          <cell r="I5">
            <v>0</v>
          </cell>
        </row>
      </sheetData>
      <sheetData sheetId="5114">
        <row r="5">
          <cell r="I5">
            <v>0</v>
          </cell>
        </row>
      </sheetData>
      <sheetData sheetId="5115">
        <row r="5">
          <cell r="I5">
            <v>0</v>
          </cell>
        </row>
      </sheetData>
      <sheetData sheetId="5116">
        <row r="5">
          <cell r="I5">
            <v>0</v>
          </cell>
        </row>
      </sheetData>
      <sheetData sheetId="5117">
        <row r="5">
          <cell r="I5">
            <v>0</v>
          </cell>
        </row>
      </sheetData>
      <sheetData sheetId="5118">
        <row r="5">
          <cell r="I5">
            <v>0</v>
          </cell>
        </row>
      </sheetData>
      <sheetData sheetId="5119">
        <row r="5">
          <cell r="I5">
            <v>0</v>
          </cell>
        </row>
      </sheetData>
      <sheetData sheetId="5120">
        <row r="5">
          <cell r="I5">
            <v>0</v>
          </cell>
        </row>
      </sheetData>
      <sheetData sheetId="5121">
        <row r="5">
          <cell r="I5">
            <v>0</v>
          </cell>
        </row>
      </sheetData>
      <sheetData sheetId="5122">
        <row r="5">
          <cell r="I5">
            <v>0</v>
          </cell>
        </row>
      </sheetData>
      <sheetData sheetId="5123">
        <row r="5">
          <cell r="I5">
            <v>0</v>
          </cell>
        </row>
      </sheetData>
      <sheetData sheetId="5124">
        <row r="5">
          <cell r="I5">
            <v>0</v>
          </cell>
        </row>
      </sheetData>
      <sheetData sheetId="5125">
        <row r="5">
          <cell r="I5">
            <v>0</v>
          </cell>
        </row>
      </sheetData>
      <sheetData sheetId="5126">
        <row r="5">
          <cell r="I5">
            <v>0</v>
          </cell>
        </row>
      </sheetData>
      <sheetData sheetId="5127">
        <row r="5">
          <cell r="I5">
            <v>0</v>
          </cell>
        </row>
      </sheetData>
      <sheetData sheetId="5128">
        <row r="5">
          <cell r="I5">
            <v>0</v>
          </cell>
        </row>
      </sheetData>
      <sheetData sheetId="5129">
        <row r="5">
          <cell r="I5">
            <v>0</v>
          </cell>
        </row>
      </sheetData>
      <sheetData sheetId="5130">
        <row r="5">
          <cell r="I5">
            <v>0</v>
          </cell>
        </row>
      </sheetData>
      <sheetData sheetId="5131">
        <row r="5">
          <cell r="I5">
            <v>0</v>
          </cell>
        </row>
      </sheetData>
      <sheetData sheetId="5132">
        <row r="5">
          <cell r="I5">
            <v>0</v>
          </cell>
        </row>
      </sheetData>
      <sheetData sheetId="5133">
        <row r="5">
          <cell r="I5">
            <v>0</v>
          </cell>
        </row>
      </sheetData>
      <sheetData sheetId="5134">
        <row r="5">
          <cell r="I5">
            <v>0</v>
          </cell>
        </row>
      </sheetData>
      <sheetData sheetId="5135">
        <row r="5">
          <cell r="I5">
            <v>0</v>
          </cell>
        </row>
      </sheetData>
      <sheetData sheetId="5136">
        <row r="5">
          <cell r="I5">
            <v>0</v>
          </cell>
        </row>
      </sheetData>
      <sheetData sheetId="5137">
        <row r="5">
          <cell r="I5">
            <v>0</v>
          </cell>
        </row>
      </sheetData>
      <sheetData sheetId="5138">
        <row r="5">
          <cell r="I5">
            <v>0</v>
          </cell>
        </row>
      </sheetData>
      <sheetData sheetId="5139">
        <row r="5">
          <cell r="I5">
            <v>0</v>
          </cell>
        </row>
      </sheetData>
      <sheetData sheetId="5140">
        <row r="5">
          <cell r="I5">
            <v>0</v>
          </cell>
        </row>
      </sheetData>
      <sheetData sheetId="5141">
        <row r="5">
          <cell r="I5">
            <v>0</v>
          </cell>
        </row>
      </sheetData>
      <sheetData sheetId="5142">
        <row r="5">
          <cell r="I5">
            <v>0</v>
          </cell>
        </row>
      </sheetData>
      <sheetData sheetId="5143">
        <row r="5">
          <cell r="I5">
            <v>0</v>
          </cell>
        </row>
      </sheetData>
      <sheetData sheetId="5144">
        <row r="5">
          <cell r="I5">
            <v>0</v>
          </cell>
        </row>
      </sheetData>
      <sheetData sheetId="5145">
        <row r="5">
          <cell r="I5">
            <v>0</v>
          </cell>
        </row>
      </sheetData>
      <sheetData sheetId="5146">
        <row r="5">
          <cell r="I5">
            <v>0</v>
          </cell>
        </row>
      </sheetData>
      <sheetData sheetId="5147">
        <row r="5">
          <cell r="I5">
            <v>0</v>
          </cell>
        </row>
      </sheetData>
      <sheetData sheetId="5148">
        <row r="5">
          <cell r="I5">
            <v>0</v>
          </cell>
        </row>
      </sheetData>
      <sheetData sheetId="5149">
        <row r="5">
          <cell r="I5">
            <v>0</v>
          </cell>
        </row>
      </sheetData>
      <sheetData sheetId="5150">
        <row r="5">
          <cell r="I5">
            <v>0</v>
          </cell>
        </row>
      </sheetData>
      <sheetData sheetId="5151">
        <row r="5">
          <cell r="I5">
            <v>0</v>
          </cell>
        </row>
      </sheetData>
      <sheetData sheetId="5152">
        <row r="5">
          <cell r="I5">
            <v>0</v>
          </cell>
        </row>
      </sheetData>
      <sheetData sheetId="5153">
        <row r="5">
          <cell r="I5">
            <v>0</v>
          </cell>
        </row>
      </sheetData>
      <sheetData sheetId="5154">
        <row r="5">
          <cell r="I5">
            <v>0</v>
          </cell>
        </row>
      </sheetData>
      <sheetData sheetId="5155">
        <row r="5">
          <cell r="I5">
            <v>0</v>
          </cell>
        </row>
      </sheetData>
      <sheetData sheetId="5156">
        <row r="5">
          <cell r="I5">
            <v>0</v>
          </cell>
        </row>
      </sheetData>
      <sheetData sheetId="5157">
        <row r="5">
          <cell r="I5">
            <v>0</v>
          </cell>
        </row>
      </sheetData>
      <sheetData sheetId="5158">
        <row r="5">
          <cell r="I5">
            <v>0</v>
          </cell>
        </row>
      </sheetData>
      <sheetData sheetId="5159">
        <row r="5">
          <cell r="I5">
            <v>0</v>
          </cell>
        </row>
      </sheetData>
      <sheetData sheetId="5160">
        <row r="5">
          <cell r="I5">
            <v>0</v>
          </cell>
        </row>
      </sheetData>
      <sheetData sheetId="5161">
        <row r="5">
          <cell r="I5">
            <v>0</v>
          </cell>
        </row>
      </sheetData>
      <sheetData sheetId="5162">
        <row r="5">
          <cell r="I5">
            <v>0</v>
          </cell>
        </row>
      </sheetData>
      <sheetData sheetId="5163">
        <row r="5">
          <cell r="I5">
            <v>0</v>
          </cell>
        </row>
      </sheetData>
      <sheetData sheetId="5164">
        <row r="5">
          <cell r="I5">
            <v>0</v>
          </cell>
        </row>
      </sheetData>
      <sheetData sheetId="5165">
        <row r="5">
          <cell r="I5">
            <v>0</v>
          </cell>
        </row>
      </sheetData>
      <sheetData sheetId="5166">
        <row r="5">
          <cell r="I5">
            <v>0</v>
          </cell>
        </row>
      </sheetData>
      <sheetData sheetId="5167">
        <row r="5">
          <cell r="I5">
            <v>0</v>
          </cell>
        </row>
      </sheetData>
      <sheetData sheetId="5168">
        <row r="5">
          <cell r="I5">
            <v>0</v>
          </cell>
        </row>
      </sheetData>
      <sheetData sheetId="5169">
        <row r="5">
          <cell r="I5">
            <v>0</v>
          </cell>
        </row>
      </sheetData>
      <sheetData sheetId="5170">
        <row r="5">
          <cell r="I5">
            <v>0</v>
          </cell>
        </row>
      </sheetData>
      <sheetData sheetId="5171">
        <row r="5">
          <cell r="I5">
            <v>0</v>
          </cell>
        </row>
      </sheetData>
      <sheetData sheetId="5172">
        <row r="5">
          <cell r="I5">
            <v>0</v>
          </cell>
        </row>
      </sheetData>
      <sheetData sheetId="5173">
        <row r="5">
          <cell r="I5">
            <v>0</v>
          </cell>
        </row>
      </sheetData>
      <sheetData sheetId="5174">
        <row r="5">
          <cell r="I5">
            <v>0</v>
          </cell>
        </row>
      </sheetData>
      <sheetData sheetId="5175">
        <row r="5">
          <cell r="I5">
            <v>0</v>
          </cell>
        </row>
      </sheetData>
      <sheetData sheetId="5176">
        <row r="5">
          <cell r="I5">
            <v>0</v>
          </cell>
        </row>
      </sheetData>
      <sheetData sheetId="5177">
        <row r="5">
          <cell r="I5">
            <v>0</v>
          </cell>
        </row>
      </sheetData>
      <sheetData sheetId="5178">
        <row r="5">
          <cell r="I5">
            <v>0</v>
          </cell>
        </row>
      </sheetData>
      <sheetData sheetId="5179">
        <row r="5">
          <cell r="I5">
            <v>0</v>
          </cell>
        </row>
      </sheetData>
      <sheetData sheetId="5180">
        <row r="5">
          <cell r="I5">
            <v>0</v>
          </cell>
        </row>
      </sheetData>
      <sheetData sheetId="5181">
        <row r="5">
          <cell r="I5">
            <v>0</v>
          </cell>
        </row>
      </sheetData>
      <sheetData sheetId="5182">
        <row r="5">
          <cell r="I5">
            <v>0</v>
          </cell>
        </row>
      </sheetData>
      <sheetData sheetId="5183">
        <row r="5">
          <cell r="I5">
            <v>0</v>
          </cell>
        </row>
      </sheetData>
      <sheetData sheetId="5184">
        <row r="5">
          <cell r="I5">
            <v>0</v>
          </cell>
        </row>
      </sheetData>
      <sheetData sheetId="5185">
        <row r="5">
          <cell r="I5">
            <v>0</v>
          </cell>
        </row>
      </sheetData>
      <sheetData sheetId="5186">
        <row r="5">
          <cell r="I5">
            <v>0</v>
          </cell>
        </row>
      </sheetData>
      <sheetData sheetId="5187">
        <row r="5">
          <cell r="I5">
            <v>0</v>
          </cell>
        </row>
      </sheetData>
      <sheetData sheetId="5188">
        <row r="5">
          <cell r="I5">
            <v>0</v>
          </cell>
        </row>
      </sheetData>
      <sheetData sheetId="5189">
        <row r="5">
          <cell r="I5">
            <v>0</v>
          </cell>
        </row>
      </sheetData>
      <sheetData sheetId="5190">
        <row r="5">
          <cell r="I5">
            <v>0</v>
          </cell>
        </row>
      </sheetData>
      <sheetData sheetId="5191">
        <row r="5">
          <cell r="I5">
            <v>0</v>
          </cell>
        </row>
      </sheetData>
      <sheetData sheetId="5192">
        <row r="5">
          <cell r="I5">
            <v>0</v>
          </cell>
        </row>
      </sheetData>
      <sheetData sheetId="5193">
        <row r="5">
          <cell r="I5">
            <v>0</v>
          </cell>
        </row>
      </sheetData>
      <sheetData sheetId="5194">
        <row r="5">
          <cell r="I5">
            <v>0</v>
          </cell>
        </row>
      </sheetData>
      <sheetData sheetId="5195">
        <row r="5">
          <cell r="I5">
            <v>0</v>
          </cell>
        </row>
      </sheetData>
      <sheetData sheetId="5196">
        <row r="5">
          <cell r="I5">
            <v>0</v>
          </cell>
        </row>
      </sheetData>
      <sheetData sheetId="5197">
        <row r="5">
          <cell r="I5">
            <v>0</v>
          </cell>
        </row>
      </sheetData>
      <sheetData sheetId="5198">
        <row r="5">
          <cell r="I5">
            <v>0</v>
          </cell>
        </row>
      </sheetData>
      <sheetData sheetId="5199">
        <row r="5">
          <cell r="I5">
            <v>0</v>
          </cell>
        </row>
      </sheetData>
      <sheetData sheetId="5200">
        <row r="5">
          <cell r="I5">
            <v>0</v>
          </cell>
        </row>
      </sheetData>
      <sheetData sheetId="5201">
        <row r="5">
          <cell r="I5">
            <v>0</v>
          </cell>
        </row>
      </sheetData>
      <sheetData sheetId="5202">
        <row r="5">
          <cell r="I5">
            <v>0</v>
          </cell>
        </row>
      </sheetData>
      <sheetData sheetId="5203">
        <row r="5">
          <cell r="I5">
            <v>0</v>
          </cell>
        </row>
      </sheetData>
      <sheetData sheetId="5204">
        <row r="5">
          <cell r="I5">
            <v>0</v>
          </cell>
        </row>
      </sheetData>
      <sheetData sheetId="5205">
        <row r="5">
          <cell r="I5">
            <v>0</v>
          </cell>
        </row>
      </sheetData>
      <sheetData sheetId="5206">
        <row r="5">
          <cell r="I5">
            <v>0</v>
          </cell>
        </row>
      </sheetData>
      <sheetData sheetId="5207">
        <row r="5">
          <cell r="I5">
            <v>0</v>
          </cell>
        </row>
      </sheetData>
      <sheetData sheetId="5208">
        <row r="5">
          <cell r="I5">
            <v>0</v>
          </cell>
        </row>
      </sheetData>
      <sheetData sheetId="5209">
        <row r="5">
          <cell r="I5">
            <v>0</v>
          </cell>
        </row>
      </sheetData>
      <sheetData sheetId="5210">
        <row r="5">
          <cell r="I5">
            <v>0</v>
          </cell>
        </row>
      </sheetData>
      <sheetData sheetId="5211">
        <row r="5">
          <cell r="I5">
            <v>0</v>
          </cell>
        </row>
      </sheetData>
      <sheetData sheetId="5212">
        <row r="5">
          <cell r="I5">
            <v>0</v>
          </cell>
        </row>
      </sheetData>
      <sheetData sheetId="5213">
        <row r="5">
          <cell r="I5">
            <v>0</v>
          </cell>
        </row>
      </sheetData>
      <sheetData sheetId="5214">
        <row r="5">
          <cell r="I5">
            <v>0</v>
          </cell>
        </row>
      </sheetData>
      <sheetData sheetId="5215">
        <row r="5">
          <cell r="I5">
            <v>0</v>
          </cell>
        </row>
      </sheetData>
      <sheetData sheetId="5216">
        <row r="5">
          <cell r="I5">
            <v>0</v>
          </cell>
        </row>
      </sheetData>
      <sheetData sheetId="5217">
        <row r="5">
          <cell r="I5">
            <v>0</v>
          </cell>
        </row>
      </sheetData>
      <sheetData sheetId="5218">
        <row r="5">
          <cell r="I5">
            <v>0</v>
          </cell>
        </row>
      </sheetData>
      <sheetData sheetId="5219">
        <row r="5">
          <cell r="I5">
            <v>0</v>
          </cell>
        </row>
      </sheetData>
      <sheetData sheetId="5220">
        <row r="5">
          <cell r="I5">
            <v>0</v>
          </cell>
        </row>
      </sheetData>
      <sheetData sheetId="5221">
        <row r="5">
          <cell r="I5">
            <v>0</v>
          </cell>
        </row>
      </sheetData>
      <sheetData sheetId="5222">
        <row r="5">
          <cell r="I5">
            <v>0</v>
          </cell>
        </row>
      </sheetData>
      <sheetData sheetId="5223">
        <row r="5">
          <cell r="I5">
            <v>0</v>
          </cell>
        </row>
      </sheetData>
      <sheetData sheetId="5224">
        <row r="5">
          <cell r="I5">
            <v>0</v>
          </cell>
        </row>
      </sheetData>
      <sheetData sheetId="5225">
        <row r="5">
          <cell r="I5">
            <v>0</v>
          </cell>
        </row>
      </sheetData>
      <sheetData sheetId="5226">
        <row r="5">
          <cell r="I5">
            <v>0</v>
          </cell>
        </row>
      </sheetData>
      <sheetData sheetId="5227">
        <row r="5">
          <cell r="I5">
            <v>0</v>
          </cell>
        </row>
      </sheetData>
      <sheetData sheetId="5228">
        <row r="5">
          <cell r="I5">
            <v>0</v>
          </cell>
        </row>
      </sheetData>
      <sheetData sheetId="5229">
        <row r="5">
          <cell r="I5">
            <v>0</v>
          </cell>
        </row>
      </sheetData>
      <sheetData sheetId="5230">
        <row r="5">
          <cell r="I5">
            <v>0</v>
          </cell>
        </row>
      </sheetData>
      <sheetData sheetId="5231">
        <row r="5">
          <cell r="I5">
            <v>0</v>
          </cell>
        </row>
      </sheetData>
      <sheetData sheetId="5232">
        <row r="5">
          <cell r="I5">
            <v>0</v>
          </cell>
        </row>
      </sheetData>
      <sheetData sheetId="5233">
        <row r="5">
          <cell r="I5">
            <v>0</v>
          </cell>
        </row>
      </sheetData>
      <sheetData sheetId="5234">
        <row r="5">
          <cell r="I5">
            <v>0</v>
          </cell>
        </row>
      </sheetData>
      <sheetData sheetId="5235">
        <row r="5">
          <cell r="I5">
            <v>0</v>
          </cell>
        </row>
      </sheetData>
      <sheetData sheetId="5236">
        <row r="5">
          <cell r="I5">
            <v>0</v>
          </cell>
        </row>
      </sheetData>
      <sheetData sheetId="5237">
        <row r="5">
          <cell r="I5">
            <v>0</v>
          </cell>
        </row>
      </sheetData>
      <sheetData sheetId="5238">
        <row r="5">
          <cell r="I5">
            <v>0</v>
          </cell>
        </row>
      </sheetData>
      <sheetData sheetId="5239">
        <row r="5">
          <cell r="I5">
            <v>0</v>
          </cell>
        </row>
      </sheetData>
      <sheetData sheetId="5240">
        <row r="5">
          <cell r="I5">
            <v>0</v>
          </cell>
        </row>
      </sheetData>
      <sheetData sheetId="5241">
        <row r="5">
          <cell r="I5">
            <v>0</v>
          </cell>
        </row>
      </sheetData>
      <sheetData sheetId="5242">
        <row r="5">
          <cell r="I5">
            <v>0</v>
          </cell>
        </row>
      </sheetData>
      <sheetData sheetId="5243">
        <row r="5">
          <cell r="I5">
            <v>0</v>
          </cell>
        </row>
      </sheetData>
      <sheetData sheetId="5244">
        <row r="5">
          <cell r="I5">
            <v>0</v>
          </cell>
        </row>
      </sheetData>
      <sheetData sheetId="5245">
        <row r="5">
          <cell r="I5">
            <v>0</v>
          </cell>
        </row>
      </sheetData>
      <sheetData sheetId="5246">
        <row r="5">
          <cell r="I5">
            <v>0</v>
          </cell>
        </row>
      </sheetData>
      <sheetData sheetId="5247">
        <row r="5">
          <cell r="I5">
            <v>0</v>
          </cell>
        </row>
      </sheetData>
      <sheetData sheetId="5248">
        <row r="5">
          <cell r="I5">
            <v>0</v>
          </cell>
        </row>
      </sheetData>
      <sheetData sheetId="5249">
        <row r="5">
          <cell r="I5">
            <v>0</v>
          </cell>
        </row>
      </sheetData>
      <sheetData sheetId="5250">
        <row r="5">
          <cell r="I5">
            <v>0</v>
          </cell>
        </row>
      </sheetData>
      <sheetData sheetId="5251">
        <row r="5">
          <cell r="I5">
            <v>0</v>
          </cell>
        </row>
      </sheetData>
      <sheetData sheetId="5252">
        <row r="5">
          <cell r="I5">
            <v>0</v>
          </cell>
        </row>
      </sheetData>
      <sheetData sheetId="5253">
        <row r="5">
          <cell r="I5">
            <v>0</v>
          </cell>
        </row>
      </sheetData>
      <sheetData sheetId="5254">
        <row r="5">
          <cell r="I5">
            <v>0</v>
          </cell>
        </row>
      </sheetData>
      <sheetData sheetId="5255">
        <row r="5">
          <cell r="I5">
            <v>0</v>
          </cell>
        </row>
      </sheetData>
      <sheetData sheetId="5256">
        <row r="5">
          <cell r="I5">
            <v>0</v>
          </cell>
        </row>
      </sheetData>
      <sheetData sheetId="5257">
        <row r="5">
          <cell r="I5">
            <v>0</v>
          </cell>
        </row>
      </sheetData>
      <sheetData sheetId="5258">
        <row r="5">
          <cell r="I5">
            <v>0</v>
          </cell>
        </row>
      </sheetData>
      <sheetData sheetId="5259">
        <row r="5">
          <cell r="I5">
            <v>0</v>
          </cell>
        </row>
      </sheetData>
      <sheetData sheetId="5260">
        <row r="5">
          <cell r="I5">
            <v>0</v>
          </cell>
        </row>
      </sheetData>
      <sheetData sheetId="5261">
        <row r="5">
          <cell r="I5">
            <v>0</v>
          </cell>
        </row>
      </sheetData>
      <sheetData sheetId="5262">
        <row r="5">
          <cell r="I5">
            <v>0</v>
          </cell>
        </row>
      </sheetData>
      <sheetData sheetId="5263">
        <row r="5">
          <cell r="I5">
            <v>0</v>
          </cell>
        </row>
      </sheetData>
      <sheetData sheetId="5264">
        <row r="5">
          <cell r="I5">
            <v>0</v>
          </cell>
        </row>
      </sheetData>
      <sheetData sheetId="5265">
        <row r="5">
          <cell r="I5">
            <v>0</v>
          </cell>
        </row>
      </sheetData>
      <sheetData sheetId="5266">
        <row r="5">
          <cell r="I5">
            <v>0</v>
          </cell>
        </row>
      </sheetData>
      <sheetData sheetId="5267">
        <row r="5">
          <cell r="I5">
            <v>0</v>
          </cell>
        </row>
      </sheetData>
      <sheetData sheetId="5268">
        <row r="5">
          <cell r="I5">
            <v>0</v>
          </cell>
        </row>
      </sheetData>
      <sheetData sheetId="5269">
        <row r="5">
          <cell r="I5">
            <v>0</v>
          </cell>
        </row>
      </sheetData>
      <sheetData sheetId="5270">
        <row r="5">
          <cell r="I5">
            <v>0</v>
          </cell>
        </row>
      </sheetData>
      <sheetData sheetId="5271">
        <row r="5">
          <cell r="I5">
            <v>0</v>
          </cell>
        </row>
      </sheetData>
      <sheetData sheetId="5272">
        <row r="5">
          <cell r="I5">
            <v>0</v>
          </cell>
        </row>
      </sheetData>
      <sheetData sheetId="5273">
        <row r="5">
          <cell r="I5">
            <v>0</v>
          </cell>
        </row>
      </sheetData>
      <sheetData sheetId="5274">
        <row r="5">
          <cell r="I5">
            <v>0</v>
          </cell>
        </row>
      </sheetData>
      <sheetData sheetId="5275">
        <row r="5">
          <cell r="I5">
            <v>0</v>
          </cell>
        </row>
      </sheetData>
      <sheetData sheetId="5276">
        <row r="5">
          <cell r="I5">
            <v>0</v>
          </cell>
        </row>
      </sheetData>
      <sheetData sheetId="5277">
        <row r="5">
          <cell r="I5">
            <v>0</v>
          </cell>
        </row>
      </sheetData>
      <sheetData sheetId="5278">
        <row r="5">
          <cell r="I5">
            <v>0</v>
          </cell>
        </row>
      </sheetData>
      <sheetData sheetId="5279">
        <row r="5">
          <cell r="I5">
            <v>0</v>
          </cell>
        </row>
      </sheetData>
      <sheetData sheetId="5280">
        <row r="5">
          <cell r="I5">
            <v>0</v>
          </cell>
        </row>
      </sheetData>
      <sheetData sheetId="5281">
        <row r="5">
          <cell r="I5">
            <v>0</v>
          </cell>
        </row>
      </sheetData>
      <sheetData sheetId="5282">
        <row r="5">
          <cell r="I5">
            <v>0</v>
          </cell>
        </row>
      </sheetData>
      <sheetData sheetId="5283">
        <row r="5">
          <cell r="I5">
            <v>0</v>
          </cell>
        </row>
      </sheetData>
      <sheetData sheetId="5284">
        <row r="5">
          <cell r="I5">
            <v>0</v>
          </cell>
        </row>
      </sheetData>
      <sheetData sheetId="5285">
        <row r="5">
          <cell r="I5">
            <v>0</v>
          </cell>
        </row>
      </sheetData>
      <sheetData sheetId="5286">
        <row r="5">
          <cell r="I5">
            <v>0</v>
          </cell>
        </row>
      </sheetData>
      <sheetData sheetId="5287">
        <row r="5">
          <cell r="I5">
            <v>0</v>
          </cell>
        </row>
      </sheetData>
      <sheetData sheetId="5288">
        <row r="5">
          <cell r="I5">
            <v>0</v>
          </cell>
        </row>
      </sheetData>
      <sheetData sheetId="5289">
        <row r="5">
          <cell r="I5">
            <v>0</v>
          </cell>
        </row>
      </sheetData>
      <sheetData sheetId="5290">
        <row r="5">
          <cell r="I5">
            <v>0</v>
          </cell>
        </row>
      </sheetData>
      <sheetData sheetId="5291">
        <row r="5">
          <cell r="I5">
            <v>0</v>
          </cell>
        </row>
      </sheetData>
      <sheetData sheetId="5292">
        <row r="5">
          <cell r="I5">
            <v>0</v>
          </cell>
        </row>
      </sheetData>
      <sheetData sheetId="5293">
        <row r="5">
          <cell r="I5">
            <v>0</v>
          </cell>
        </row>
      </sheetData>
      <sheetData sheetId="5294">
        <row r="5">
          <cell r="I5">
            <v>0</v>
          </cell>
        </row>
      </sheetData>
      <sheetData sheetId="5295">
        <row r="5">
          <cell r="I5">
            <v>0</v>
          </cell>
        </row>
      </sheetData>
      <sheetData sheetId="5296">
        <row r="5">
          <cell r="I5">
            <v>0</v>
          </cell>
        </row>
      </sheetData>
      <sheetData sheetId="5297">
        <row r="5">
          <cell r="I5">
            <v>0</v>
          </cell>
        </row>
      </sheetData>
      <sheetData sheetId="5298">
        <row r="5">
          <cell r="I5">
            <v>0</v>
          </cell>
        </row>
      </sheetData>
      <sheetData sheetId="5299">
        <row r="5">
          <cell r="I5">
            <v>0</v>
          </cell>
        </row>
      </sheetData>
      <sheetData sheetId="5300">
        <row r="5">
          <cell r="I5">
            <v>0</v>
          </cell>
        </row>
      </sheetData>
      <sheetData sheetId="5301">
        <row r="5">
          <cell r="I5">
            <v>0</v>
          </cell>
        </row>
      </sheetData>
      <sheetData sheetId="5302">
        <row r="5">
          <cell r="I5">
            <v>0</v>
          </cell>
        </row>
      </sheetData>
      <sheetData sheetId="5303">
        <row r="5">
          <cell r="I5">
            <v>0</v>
          </cell>
        </row>
      </sheetData>
      <sheetData sheetId="5304">
        <row r="5">
          <cell r="I5">
            <v>0</v>
          </cell>
        </row>
      </sheetData>
      <sheetData sheetId="5305">
        <row r="5">
          <cell r="I5">
            <v>0</v>
          </cell>
        </row>
      </sheetData>
      <sheetData sheetId="5306">
        <row r="5">
          <cell r="I5">
            <v>0</v>
          </cell>
        </row>
      </sheetData>
      <sheetData sheetId="5307">
        <row r="5">
          <cell r="I5">
            <v>0</v>
          </cell>
        </row>
      </sheetData>
      <sheetData sheetId="5308">
        <row r="5">
          <cell r="I5">
            <v>0</v>
          </cell>
        </row>
      </sheetData>
      <sheetData sheetId="5309">
        <row r="19">
          <cell r="J19">
            <v>1.0499999999999999E-3</v>
          </cell>
        </row>
      </sheetData>
      <sheetData sheetId="5310">
        <row r="5">
          <cell r="I5">
            <v>0</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5">
          <cell r="I5">
            <v>0</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5">
          <cell r="I5">
            <v>0</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5">
          <cell r="I5">
            <v>0</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5">
          <cell r="I5">
            <v>0</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5">
          <cell r="I5">
            <v>0</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5">
          <cell r="I5">
            <v>0</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5">
          <cell r="I5">
            <v>0</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5">
          <cell r="I5">
            <v>0</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5">
          <cell r="I5">
            <v>0</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5">
          <cell r="I5">
            <v>0</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5">
          <cell r="I5">
            <v>0</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5">
          <cell r="I5">
            <v>0</v>
          </cell>
        </row>
      </sheetData>
      <sheetData sheetId="5393">
        <row r="19">
          <cell r="J19">
            <v>1.0499999999999999E-3</v>
          </cell>
        </row>
      </sheetData>
      <sheetData sheetId="5394">
        <row r="5">
          <cell r="I5">
            <v>0</v>
          </cell>
        </row>
      </sheetData>
      <sheetData sheetId="5395">
        <row r="19">
          <cell r="J19">
            <v>1.0499999999999999E-3</v>
          </cell>
        </row>
      </sheetData>
      <sheetData sheetId="5396">
        <row r="5">
          <cell r="I5">
            <v>0</v>
          </cell>
        </row>
      </sheetData>
      <sheetData sheetId="5397">
        <row r="19">
          <cell r="J19">
            <v>1.0499999999999999E-3</v>
          </cell>
        </row>
      </sheetData>
      <sheetData sheetId="5398">
        <row r="5">
          <cell r="I5">
            <v>0</v>
          </cell>
        </row>
      </sheetData>
      <sheetData sheetId="5399">
        <row r="19">
          <cell r="J19">
            <v>1.0499999999999999E-3</v>
          </cell>
        </row>
      </sheetData>
      <sheetData sheetId="5400">
        <row r="5">
          <cell r="I5">
            <v>0</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5">
          <cell r="I5">
            <v>0</v>
          </cell>
        </row>
      </sheetData>
      <sheetData sheetId="5407">
        <row r="19">
          <cell r="J19">
            <v>1.0499999999999999E-3</v>
          </cell>
        </row>
      </sheetData>
      <sheetData sheetId="5408">
        <row r="5">
          <cell r="I5">
            <v>0</v>
          </cell>
        </row>
      </sheetData>
      <sheetData sheetId="5409">
        <row r="19">
          <cell r="J19">
            <v>1.0499999999999999E-3</v>
          </cell>
        </row>
      </sheetData>
      <sheetData sheetId="5410">
        <row r="5">
          <cell r="I5">
            <v>0</v>
          </cell>
        </row>
      </sheetData>
      <sheetData sheetId="5411">
        <row r="19">
          <cell r="J19">
            <v>1.0499999999999999E-3</v>
          </cell>
        </row>
      </sheetData>
      <sheetData sheetId="5412">
        <row r="5">
          <cell r="I5">
            <v>0</v>
          </cell>
        </row>
      </sheetData>
      <sheetData sheetId="5413">
        <row r="19">
          <cell r="J19">
            <v>1.0499999999999999E-3</v>
          </cell>
        </row>
      </sheetData>
      <sheetData sheetId="5414">
        <row r="5">
          <cell r="I5">
            <v>0</v>
          </cell>
        </row>
      </sheetData>
      <sheetData sheetId="5415">
        <row r="19">
          <cell r="J19">
            <v>1.0499999999999999E-3</v>
          </cell>
        </row>
      </sheetData>
      <sheetData sheetId="5416">
        <row r="5">
          <cell r="I5">
            <v>0</v>
          </cell>
        </row>
      </sheetData>
      <sheetData sheetId="5417">
        <row r="19">
          <cell r="J19">
            <v>1.0499999999999999E-3</v>
          </cell>
        </row>
      </sheetData>
      <sheetData sheetId="5418">
        <row r="5">
          <cell r="I5">
            <v>0</v>
          </cell>
        </row>
      </sheetData>
      <sheetData sheetId="5419">
        <row r="19">
          <cell r="J19">
            <v>1.0499999999999999E-3</v>
          </cell>
        </row>
      </sheetData>
      <sheetData sheetId="5420">
        <row r="5">
          <cell r="I5">
            <v>0</v>
          </cell>
        </row>
      </sheetData>
      <sheetData sheetId="5421">
        <row r="19">
          <cell r="J19">
            <v>1.0499999999999999E-3</v>
          </cell>
        </row>
      </sheetData>
      <sheetData sheetId="5422">
        <row r="5">
          <cell r="I5">
            <v>0</v>
          </cell>
        </row>
      </sheetData>
      <sheetData sheetId="5423">
        <row r="19">
          <cell r="J19">
            <v>1.0499999999999999E-3</v>
          </cell>
        </row>
      </sheetData>
      <sheetData sheetId="5424">
        <row r="5">
          <cell r="I5">
            <v>0</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5">
          <cell r="I5">
            <v>0</v>
          </cell>
        </row>
      </sheetData>
      <sheetData sheetId="5429">
        <row r="19">
          <cell r="J19">
            <v>1.0499999999999999E-3</v>
          </cell>
        </row>
      </sheetData>
      <sheetData sheetId="5430">
        <row r="5">
          <cell r="I5">
            <v>0</v>
          </cell>
        </row>
      </sheetData>
      <sheetData sheetId="5431">
        <row r="19">
          <cell r="J19">
            <v>1.0499999999999999E-3</v>
          </cell>
        </row>
      </sheetData>
      <sheetData sheetId="5432">
        <row r="5">
          <cell r="I5">
            <v>0</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5">
          <cell r="I5">
            <v>0</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5">
          <cell r="I5">
            <v>0</v>
          </cell>
        </row>
      </sheetData>
      <sheetData sheetId="5443">
        <row r="19">
          <cell r="J19">
            <v>1.0499999999999999E-3</v>
          </cell>
        </row>
      </sheetData>
      <sheetData sheetId="5444">
        <row r="5">
          <cell r="I5">
            <v>0</v>
          </cell>
        </row>
      </sheetData>
      <sheetData sheetId="5445">
        <row r="19">
          <cell r="J19">
            <v>1.0499999999999999E-3</v>
          </cell>
        </row>
      </sheetData>
      <sheetData sheetId="5446">
        <row r="5">
          <cell r="I5">
            <v>0</v>
          </cell>
        </row>
      </sheetData>
      <sheetData sheetId="5447">
        <row r="19">
          <cell r="J19">
            <v>1.0499999999999999E-3</v>
          </cell>
        </row>
      </sheetData>
      <sheetData sheetId="5448">
        <row r="5">
          <cell r="I5">
            <v>0</v>
          </cell>
        </row>
      </sheetData>
      <sheetData sheetId="5449">
        <row r="19">
          <cell r="J19">
            <v>1.0499999999999999E-3</v>
          </cell>
        </row>
      </sheetData>
      <sheetData sheetId="5450">
        <row r="5">
          <cell r="I5">
            <v>0</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5">
          <cell r="I5">
            <v>0</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5">
          <cell r="I5">
            <v>0</v>
          </cell>
        </row>
      </sheetData>
      <sheetData sheetId="5459">
        <row r="19">
          <cell r="J19">
            <v>1.0499999999999999E-3</v>
          </cell>
        </row>
      </sheetData>
      <sheetData sheetId="5460">
        <row r="5">
          <cell r="I5">
            <v>0</v>
          </cell>
        </row>
      </sheetData>
      <sheetData sheetId="5461">
        <row r="19">
          <cell r="J19">
            <v>1.0499999999999999E-3</v>
          </cell>
        </row>
      </sheetData>
      <sheetData sheetId="5462">
        <row r="5">
          <cell r="I5">
            <v>0</v>
          </cell>
        </row>
      </sheetData>
      <sheetData sheetId="5463">
        <row r="19">
          <cell r="J19">
            <v>1.0499999999999999E-3</v>
          </cell>
        </row>
      </sheetData>
      <sheetData sheetId="5464">
        <row r="5">
          <cell r="I5">
            <v>0</v>
          </cell>
        </row>
      </sheetData>
      <sheetData sheetId="5465">
        <row r="19">
          <cell r="J19">
            <v>1.0499999999999999E-3</v>
          </cell>
        </row>
      </sheetData>
      <sheetData sheetId="5466">
        <row r="5">
          <cell r="I5">
            <v>0</v>
          </cell>
        </row>
      </sheetData>
      <sheetData sheetId="5467">
        <row r="19">
          <cell r="J19">
            <v>1.0499999999999999E-3</v>
          </cell>
        </row>
      </sheetData>
      <sheetData sheetId="5468">
        <row r="5">
          <cell r="I5">
            <v>0</v>
          </cell>
        </row>
      </sheetData>
      <sheetData sheetId="5469">
        <row r="19">
          <cell r="J19">
            <v>1.0499999999999999E-3</v>
          </cell>
        </row>
      </sheetData>
      <sheetData sheetId="5470">
        <row r="5">
          <cell r="I5">
            <v>0</v>
          </cell>
        </row>
      </sheetData>
      <sheetData sheetId="5471">
        <row r="19">
          <cell r="J19">
            <v>1.0499999999999999E-3</v>
          </cell>
        </row>
      </sheetData>
      <sheetData sheetId="5472">
        <row r="5">
          <cell r="I5">
            <v>0</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5">
          <cell r="I5">
            <v>0</v>
          </cell>
        </row>
      </sheetData>
      <sheetData sheetId="5477">
        <row r="19">
          <cell r="J19">
            <v>1.0499999999999999E-3</v>
          </cell>
        </row>
      </sheetData>
      <sheetData sheetId="5478">
        <row r="5">
          <cell r="I5">
            <v>0</v>
          </cell>
        </row>
      </sheetData>
      <sheetData sheetId="5479">
        <row r="19">
          <cell r="J19">
            <v>1.0499999999999999E-3</v>
          </cell>
        </row>
      </sheetData>
      <sheetData sheetId="5480">
        <row r="5">
          <cell r="I5">
            <v>0</v>
          </cell>
        </row>
      </sheetData>
      <sheetData sheetId="5481">
        <row r="19">
          <cell r="J19">
            <v>1.0499999999999999E-3</v>
          </cell>
        </row>
      </sheetData>
      <sheetData sheetId="5482">
        <row r="5">
          <cell r="I5">
            <v>0</v>
          </cell>
        </row>
      </sheetData>
      <sheetData sheetId="5483">
        <row r="19">
          <cell r="J19">
            <v>1.0499999999999999E-3</v>
          </cell>
        </row>
      </sheetData>
      <sheetData sheetId="5484">
        <row r="5">
          <cell r="I5">
            <v>0</v>
          </cell>
        </row>
      </sheetData>
      <sheetData sheetId="5485">
        <row r="19">
          <cell r="J19">
            <v>1.0499999999999999E-3</v>
          </cell>
        </row>
      </sheetData>
      <sheetData sheetId="5486">
        <row r="5">
          <cell r="I5">
            <v>0</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5">
          <cell r="I5">
            <v>0</v>
          </cell>
        </row>
      </sheetData>
      <sheetData sheetId="5491">
        <row r="19">
          <cell r="J19">
            <v>1.0499999999999999E-3</v>
          </cell>
        </row>
      </sheetData>
      <sheetData sheetId="5492">
        <row r="5">
          <cell r="I5">
            <v>0</v>
          </cell>
        </row>
      </sheetData>
      <sheetData sheetId="5493">
        <row r="19">
          <cell r="J19">
            <v>1.0499999999999999E-3</v>
          </cell>
        </row>
      </sheetData>
      <sheetData sheetId="5494">
        <row r="5">
          <cell r="I5">
            <v>0</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5">
          <cell r="I5">
            <v>0</v>
          </cell>
        </row>
      </sheetData>
      <sheetData sheetId="5499">
        <row r="19">
          <cell r="J19">
            <v>1.0499999999999999E-3</v>
          </cell>
        </row>
      </sheetData>
      <sheetData sheetId="5500">
        <row r="5">
          <cell r="I5">
            <v>0</v>
          </cell>
        </row>
      </sheetData>
      <sheetData sheetId="5501">
        <row r="19">
          <cell r="J19">
            <v>1.0499999999999999E-3</v>
          </cell>
        </row>
      </sheetData>
      <sheetData sheetId="5502">
        <row r="5">
          <cell r="I5">
            <v>0</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5">
          <cell r="I5">
            <v>0</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5">
          <cell r="I5">
            <v>0</v>
          </cell>
        </row>
      </sheetData>
      <sheetData sheetId="5515">
        <row r="19">
          <cell r="J19">
            <v>1.0499999999999999E-3</v>
          </cell>
        </row>
      </sheetData>
      <sheetData sheetId="5516">
        <row r="5">
          <cell r="I5">
            <v>0</v>
          </cell>
        </row>
      </sheetData>
      <sheetData sheetId="5517">
        <row r="19">
          <cell r="J19">
            <v>1.0499999999999999E-3</v>
          </cell>
        </row>
      </sheetData>
      <sheetData sheetId="5518">
        <row r="5">
          <cell r="I5">
            <v>0</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5">
          <cell r="I5">
            <v>0</v>
          </cell>
        </row>
      </sheetData>
      <sheetData sheetId="5529">
        <row r="19">
          <cell r="J19">
            <v>1.0499999999999999E-3</v>
          </cell>
        </row>
      </sheetData>
      <sheetData sheetId="5530">
        <row r="5">
          <cell r="I5">
            <v>0</v>
          </cell>
        </row>
      </sheetData>
      <sheetData sheetId="5531">
        <row r="19">
          <cell r="J19">
            <v>1.0499999999999999E-3</v>
          </cell>
        </row>
      </sheetData>
      <sheetData sheetId="5532">
        <row r="5">
          <cell r="I5">
            <v>0</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5">
          <cell r="I5">
            <v>0</v>
          </cell>
        </row>
      </sheetData>
      <sheetData sheetId="5541">
        <row r="5">
          <cell r="I5">
            <v>0</v>
          </cell>
        </row>
      </sheetData>
      <sheetData sheetId="5542">
        <row r="5">
          <cell r="I5">
            <v>0</v>
          </cell>
        </row>
      </sheetData>
      <sheetData sheetId="5543">
        <row r="5">
          <cell r="I5">
            <v>0</v>
          </cell>
        </row>
      </sheetData>
      <sheetData sheetId="5544">
        <row r="5">
          <cell r="I5">
            <v>0</v>
          </cell>
        </row>
      </sheetData>
      <sheetData sheetId="5545">
        <row r="5">
          <cell r="I5">
            <v>0</v>
          </cell>
        </row>
      </sheetData>
      <sheetData sheetId="5546">
        <row r="5">
          <cell r="I5">
            <v>0</v>
          </cell>
        </row>
      </sheetData>
      <sheetData sheetId="5547">
        <row r="5">
          <cell r="I5">
            <v>0</v>
          </cell>
        </row>
      </sheetData>
      <sheetData sheetId="5548">
        <row r="5">
          <cell r="I5">
            <v>0</v>
          </cell>
        </row>
      </sheetData>
      <sheetData sheetId="5549">
        <row r="5">
          <cell r="I5">
            <v>0</v>
          </cell>
        </row>
      </sheetData>
      <sheetData sheetId="5550">
        <row r="5">
          <cell r="I5">
            <v>0</v>
          </cell>
        </row>
      </sheetData>
      <sheetData sheetId="5551">
        <row r="5">
          <cell r="I5">
            <v>0</v>
          </cell>
        </row>
      </sheetData>
      <sheetData sheetId="5552">
        <row r="5">
          <cell r="I5">
            <v>0</v>
          </cell>
        </row>
      </sheetData>
      <sheetData sheetId="5553">
        <row r="5">
          <cell r="I5">
            <v>0</v>
          </cell>
        </row>
      </sheetData>
      <sheetData sheetId="5554">
        <row r="5">
          <cell r="I5">
            <v>0</v>
          </cell>
        </row>
      </sheetData>
      <sheetData sheetId="5555">
        <row r="5">
          <cell r="I5">
            <v>0</v>
          </cell>
        </row>
      </sheetData>
      <sheetData sheetId="5556">
        <row r="5">
          <cell r="I5">
            <v>0</v>
          </cell>
        </row>
      </sheetData>
      <sheetData sheetId="5557">
        <row r="5">
          <cell r="I5">
            <v>0</v>
          </cell>
        </row>
      </sheetData>
      <sheetData sheetId="5558">
        <row r="5">
          <cell r="I5">
            <v>0</v>
          </cell>
        </row>
      </sheetData>
      <sheetData sheetId="5559">
        <row r="5">
          <cell r="I5">
            <v>0</v>
          </cell>
        </row>
      </sheetData>
      <sheetData sheetId="5560">
        <row r="5">
          <cell r="I5">
            <v>0</v>
          </cell>
        </row>
      </sheetData>
      <sheetData sheetId="5561">
        <row r="5">
          <cell r="I5">
            <v>0</v>
          </cell>
        </row>
      </sheetData>
      <sheetData sheetId="5562">
        <row r="5">
          <cell r="I5">
            <v>0</v>
          </cell>
        </row>
      </sheetData>
      <sheetData sheetId="5563">
        <row r="5">
          <cell r="I5">
            <v>0</v>
          </cell>
        </row>
      </sheetData>
      <sheetData sheetId="5564">
        <row r="5">
          <cell r="I5">
            <v>0</v>
          </cell>
        </row>
      </sheetData>
      <sheetData sheetId="5565">
        <row r="5">
          <cell r="I5">
            <v>0</v>
          </cell>
        </row>
      </sheetData>
      <sheetData sheetId="5566">
        <row r="5">
          <cell r="I5">
            <v>0</v>
          </cell>
        </row>
      </sheetData>
      <sheetData sheetId="5567">
        <row r="5">
          <cell r="I5">
            <v>0</v>
          </cell>
        </row>
      </sheetData>
      <sheetData sheetId="5568">
        <row r="5">
          <cell r="I5">
            <v>0</v>
          </cell>
        </row>
      </sheetData>
      <sheetData sheetId="5569">
        <row r="5">
          <cell r="I5">
            <v>0</v>
          </cell>
        </row>
      </sheetData>
      <sheetData sheetId="5570">
        <row r="5">
          <cell r="I5">
            <v>0</v>
          </cell>
        </row>
      </sheetData>
      <sheetData sheetId="5571">
        <row r="5">
          <cell r="I5">
            <v>0</v>
          </cell>
        </row>
      </sheetData>
      <sheetData sheetId="5572">
        <row r="5">
          <cell r="I5">
            <v>0</v>
          </cell>
        </row>
      </sheetData>
      <sheetData sheetId="5573">
        <row r="5">
          <cell r="I5">
            <v>0</v>
          </cell>
        </row>
      </sheetData>
      <sheetData sheetId="5574">
        <row r="5">
          <cell r="I5">
            <v>0</v>
          </cell>
        </row>
      </sheetData>
      <sheetData sheetId="5575">
        <row r="5">
          <cell r="I5">
            <v>0</v>
          </cell>
        </row>
      </sheetData>
      <sheetData sheetId="5576">
        <row r="5">
          <cell r="I5">
            <v>0</v>
          </cell>
        </row>
      </sheetData>
      <sheetData sheetId="5577">
        <row r="5">
          <cell r="I5">
            <v>0</v>
          </cell>
        </row>
      </sheetData>
      <sheetData sheetId="5578">
        <row r="5">
          <cell r="I5">
            <v>0</v>
          </cell>
        </row>
      </sheetData>
      <sheetData sheetId="5579">
        <row r="5">
          <cell r="I5">
            <v>0</v>
          </cell>
        </row>
      </sheetData>
      <sheetData sheetId="5580">
        <row r="5">
          <cell r="I5">
            <v>0</v>
          </cell>
        </row>
      </sheetData>
      <sheetData sheetId="5581">
        <row r="5">
          <cell r="I5">
            <v>0</v>
          </cell>
        </row>
      </sheetData>
      <sheetData sheetId="5582">
        <row r="5">
          <cell r="I5">
            <v>0</v>
          </cell>
        </row>
      </sheetData>
      <sheetData sheetId="5583">
        <row r="5">
          <cell r="I5">
            <v>0</v>
          </cell>
        </row>
      </sheetData>
      <sheetData sheetId="5584">
        <row r="5">
          <cell r="I5">
            <v>0</v>
          </cell>
        </row>
      </sheetData>
      <sheetData sheetId="5585">
        <row r="5">
          <cell r="I5">
            <v>0</v>
          </cell>
        </row>
      </sheetData>
      <sheetData sheetId="5586">
        <row r="5">
          <cell r="I5">
            <v>0</v>
          </cell>
        </row>
      </sheetData>
      <sheetData sheetId="5587">
        <row r="5">
          <cell r="I5">
            <v>0</v>
          </cell>
        </row>
      </sheetData>
      <sheetData sheetId="5588">
        <row r="5">
          <cell r="I5">
            <v>0</v>
          </cell>
        </row>
      </sheetData>
      <sheetData sheetId="5589">
        <row r="5">
          <cell r="I5">
            <v>0</v>
          </cell>
        </row>
      </sheetData>
      <sheetData sheetId="5590">
        <row r="5">
          <cell r="I5">
            <v>0</v>
          </cell>
        </row>
      </sheetData>
      <sheetData sheetId="5591">
        <row r="5">
          <cell r="I5">
            <v>0</v>
          </cell>
        </row>
      </sheetData>
      <sheetData sheetId="5592">
        <row r="5">
          <cell r="I5">
            <v>0</v>
          </cell>
        </row>
      </sheetData>
      <sheetData sheetId="5593">
        <row r="5">
          <cell r="I5">
            <v>0</v>
          </cell>
        </row>
      </sheetData>
      <sheetData sheetId="5594">
        <row r="5">
          <cell r="I5">
            <v>0</v>
          </cell>
        </row>
      </sheetData>
      <sheetData sheetId="5595">
        <row r="5">
          <cell r="I5">
            <v>0</v>
          </cell>
        </row>
      </sheetData>
      <sheetData sheetId="5596">
        <row r="5">
          <cell r="I5">
            <v>0</v>
          </cell>
        </row>
      </sheetData>
      <sheetData sheetId="5597">
        <row r="5">
          <cell r="I5">
            <v>0</v>
          </cell>
        </row>
      </sheetData>
      <sheetData sheetId="5598">
        <row r="5">
          <cell r="I5">
            <v>0</v>
          </cell>
        </row>
      </sheetData>
      <sheetData sheetId="5599">
        <row r="5">
          <cell r="I5">
            <v>0</v>
          </cell>
        </row>
      </sheetData>
      <sheetData sheetId="5600">
        <row r="5">
          <cell r="I5">
            <v>0</v>
          </cell>
        </row>
      </sheetData>
      <sheetData sheetId="5601">
        <row r="5">
          <cell r="I5">
            <v>0</v>
          </cell>
        </row>
      </sheetData>
      <sheetData sheetId="5602">
        <row r="5">
          <cell r="I5">
            <v>0</v>
          </cell>
        </row>
      </sheetData>
      <sheetData sheetId="5603">
        <row r="5">
          <cell r="I5">
            <v>0</v>
          </cell>
        </row>
      </sheetData>
      <sheetData sheetId="5604">
        <row r="5">
          <cell r="I5">
            <v>0</v>
          </cell>
        </row>
      </sheetData>
      <sheetData sheetId="5605">
        <row r="5">
          <cell r="I5">
            <v>0</v>
          </cell>
        </row>
      </sheetData>
      <sheetData sheetId="5606">
        <row r="5">
          <cell r="I5">
            <v>0</v>
          </cell>
        </row>
      </sheetData>
      <sheetData sheetId="5607">
        <row r="5">
          <cell r="I5">
            <v>0</v>
          </cell>
        </row>
      </sheetData>
      <sheetData sheetId="5608">
        <row r="5">
          <cell r="I5">
            <v>0</v>
          </cell>
        </row>
      </sheetData>
      <sheetData sheetId="5609">
        <row r="5">
          <cell r="I5">
            <v>0</v>
          </cell>
        </row>
      </sheetData>
      <sheetData sheetId="5610">
        <row r="5">
          <cell r="I5">
            <v>0</v>
          </cell>
        </row>
      </sheetData>
      <sheetData sheetId="5611">
        <row r="5">
          <cell r="I5">
            <v>0</v>
          </cell>
        </row>
      </sheetData>
      <sheetData sheetId="5612">
        <row r="5">
          <cell r="I5">
            <v>0</v>
          </cell>
        </row>
      </sheetData>
      <sheetData sheetId="5613">
        <row r="5">
          <cell r="I5">
            <v>0</v>
          </cell>
        </row>
      </sheetData>
      <sheetData sheetId="5614">
        <row r="5">
          <cell r="I5">
            <v>0</v>
          </cell>
        </row>
      </sheetData>
      <sheetData sheetId="5615">
        <row r="5">
          <cell r="I5">
            <v>0</v>
          </cell>
        </row>
      </sheetData>
      <sheetData sheetId="5616">
        <row r="5">
          <cell r="I5">
            <v>0</v>
          </cell>
        </row>
      </sheetData>
      <sheetData sheetId="5617">
        <row r="5">
          <cell r="I5">
            <v>0</v>
          </cell>
        </row>
      </sheetData>
      <sheetData sheetId="5618">
        <row r="5">
          <cell r="I5">
            <v>0</v>
          </cell>
        </row>
      </sheetData>
      <sheetData sheetId="5619">
        <row r="5">
          <cell r="I5">
            <v>0</v>
          </cell>
        </row>
      </sheetData>
      <sheetData sheetId="5620">
        <row r="5">
          <cell r="I5">
            <v>0</v>
          </cell>
        </row>
      </sheetData>
      <sheetData sheetId="5621">
        <row r="5">
          <cell r="I5">
            <v>0</v>
          </cell>
        </row>
      </sheetData>
      <sheetData sheetId="5622">
        <row r="5">
          <cell r="I5">
            <v>0</v>
          </cell>
        </row>
      </sheetData>
      <sheetData sheetId="5623">
        <row r="5">
          <cell r="I5">
            <v>0</v>
          </cell>
        </row>
      </sheetData>
      <sheetData sheetId="5624">
        <row r="5">
          <cell r="I5">
            <v>0</v>
          </cell>
        </row>
      </sheetData>
      <sheetData sheetId="5625">
        <row r="5">
          <cell r="I5">
            <v>0</v>
          </cell>
        </row>
      </sheetData>
      <sheetData sheetId="5626">
        <row r="5">
          <cell r="I5">
            <v>0</v>
          </cell>
        </row>
      </sheetData>
      <sheetData sheetId="5627">
        <row r="5">
          <cell r="I5">
            <v>0</v>
          </cell>
        </row>
      </sheetData>
      <sheetData sheetId="5628">
        <row r="5">
          <cell r="I5">
            <v>0</v>
          </cell>
        </row>
      </sheetData>
      <sheetData sheetId="5629">
        <row r="5">
          <cell r="I5">
            <v>0</v>
          </cell>
        </row>
      </sheetData>
      <sheetData sheetId="5630">
        <row r="5">
          <cell r="I5">
            <v>0</v>
          </cell>
        </row>
      </sheetData>
      <sheetData sheetId="5631">
        <row r="5">
          <cell r="I5">
            <v>0</v>
          </cell>
        </row>
      </sheetData>
      <sheetData sheetId="5632">
        <row r="5">
          <cell r="I5">
            <v>0</v>
          </cell>
        </row>
      </sheetData>
      <sheetData sheetId="5633">
        <row r="5">
          <cell r="I5">
            <v>0</v>
          </cell>
        </row>
      </sheetData>
      <sheetData sheetId="5634">
        <row r="5">
          <cell r="I5">
            <v>0</v>
          </cell>
        </row>
      </sheetData>
      <sheetData sheetId="5635">
        <row r="5">
          <cell r="I5">
            <v>0</v>
          </cell>
        </row>
      </sheetData>
      <sheetData sheetId="5636">
        <row r="5">
          <cell r="I5">
            <v>0</v>
          </cell>
        </row>
      </sheetData>
      <sheetData sheetId="5637">
        <row r="5">
          <cell r="I5">
            <v>0</v>
          </cell>
        </row>
      </sheetData>
      <sheetData sheetId="5638">
        <row r="5">
          <cell r="I5">
            <v>0</v>
          </cell>
        </row>
      </sheetData>
      <sheetData sheetId="5639">
        <row r="5">
          <cell r="I5">
            <v>0</v>
          </cell>
        </row>
      </sheetData>
      <sheetData sheetId="5640">
        <row r="5">
          <cell r="I5">
            <v>0</v>
          </cell>
        </row>
      </sheetData>
      <sheetData sheetId="5641">
        <row r="5">
          <cell r="I5">
            <v>0</v>
          </cell>
        </row>
      </sheetData>
      <sheetData sheetId="5642">
        <row r="5">
          <cell r="I5">
            <v>0</v>
          </cell>
        </row>
      </sheetData>
      <sheetData sheetId="5643">
        <row r="5">
          <cell r="I5">
            <v>0</v>
          </cell>
        </row>
      </sheetData>
      <sheetData sheetId="5644">
        <row r="5">
          <cell r="I5">
            <v>0</v>
          </cell>
        </row>
      </sheetData>
      <sheetData sheetId="5645">
        <row r="5">
          <cell r="I5">
            <v>0</v>
          </cell>
        </row>
      </sheetData>
      <sheetData sheetId="5646">
        <row r="5">
          <cell r="I5">
            <v>0</v>
          </cell>
        </row>
      </sheetData>
      <sheetData sheetId="5647">
        <row r="5">
          <cell r="I5">
            <v>0</v>
          </cell>
        </row>
      </sheetData>
      <sheetData sheetId="5648">
        <row r="5">
          <cell r="I5">
            <v>0</v>
          </cell>
        </row>
      </sheetData>
      <sheetData sheetId="5649">
        <row r="5">
          <cell r="I5">
            <v>0</v>
          </cell>
        </row>
      </sheetData>
      <sheetData sheetId="5650">
        <row r="5">
          <cell r="I5">
            <v>0</v>
          </cell>
        </row>
      </sheetData>
      <sheetData sheetId="5651">
        <row r="5">
          <cell r="I5">
            <v>0</v>
          </cell>
        </row>
      </sheetData>
      <sheetData sheetId="5652">
        <row r="5">
          <cell r="I5">
            <v>0</v>
          </cell>
        </row>
      </sheetData>
      <sheetData sheetId="5653">
        <row r="5">
          <cell r="I5">
            <v>0</v>
          </cell>
        </row>
      </sheetData>
      <sheetData sheetId="5654">
        <row r="5">
          <cell r="I5">
            <v>0</v>
          </cell>
        </row>
      </sheetData>
      <sheetData sheetId="5655">
        <row r="5">
          <cell r="I5">
            <v>0</v>
          </cell>
        </row>
      </sheetData>
      <sheetData sheetId="5656">
        <row r="5">
          <cell r="I5">
            <v>0</v>
          </cell>
        </row>
      </sheetData>
      <sheetData sheetId="5657">
        <row r="5">
          <cell r="I5">
            <v>0</v>
          </cell>
        </row>
      </sheetData>
      <sheetData sheetId="5658">
        <row r="5">
          <cell r="I5">
            <v>0</v>
          </cell>
        </row>
      </sheetData>
      <sheetData sheetId="5659">
        <row r="5">
          <cell r="I5">
            <v>0</v>
          </cell>
        </row>
      </sheetData>
      <sheetData sheetId="5660">
        <row r="5">
          <cell r="I5">
            <v>0</v>
          </cell>
        </row>
      </sheetData>
      <sheetData sheetId="5661">
        <row r="5">
          <cell r="I5">
            <v>0</v>
          </cell>
        </row>
      </sheetData>
      <sheetData sheetId="5662">
        <row r="5">
          <cell r="I5">
            <v>0</v>
          </cell>
        </row>
      </sheetData>
      <sheetData sheetId="5663">
        <row r="5">
          <cell r="I5">
            <v>0</v>
          </cell>
        </row>
      </sheetData>
      <sheetData sheetId="5664">
        <row r="5">
          <cell r="I5">
            <v>0</v>
          </cell>
        </row>
      </sheetData>
      <sheetData sheetId="5665">
        <row r="5">
          <cell r="I5">
            <v>0</v>
          </cell>
        </row>
      </sheetData>
      <sheetData sheetId="5666">
        <row r="5">
          <cell r="I5">
            <v>0</v>
          </cell>
        </row>
      </sheetData>
      <sheetData sheetId="5667">
        <row r="5">
          <cell r="I5">
            <v>0</v>
          </cell>
        </row>
      </sheetData>
      <sheetData sheetId="5668">
        <row r="5">
          <cell r="I5">
            <v>0</v>
          </cell>
        </row>
      </sheetData>
      <sheetData sheetId="5669">
        <row r="5">
          <cell r="I5">
            <v>0</v>
          </cell>
        </row>
      </sheetData>
      <sheetData sheetId="5670">
        <row r="5">
          <cell r="I5">
            <v>0</v>
          </cell>
        </row>
      </sheetData>
      <sheetData sheetId="5671">
        <row r="5">
          <cell r="I5">
            <v>0</v>
          </cell>
        </row>
      </sheetData>
      <sheetData sheetId="5672">
        <row r="5">
          <cell r="I5">
            <v>0</v>
          </cell>
        </row>
      </sheetData>
      <sheetData sheetId="5673">
        <row r="5">
          <cell r="I5">
            <v>0</v>
          </cell>
        </row>
      </sheetData>
      <sheetData sheetId="5674">
        <row r="5">
          <cell r="I5">
            <v>0</v>
          </cell>
        </row>
      </sheetData>
      <sheetData sheetId="5675">
        <row r="5">
          <cell r="I5">
            <v>0</v>
          </cell>
        </row>
      </sheetData>
      <sheetData sheetId="5676">
        <row r="5">
          <cell r="I5">
            <v>0</v>
          </cell>
        </row>
      </sheetData>
      <sheetData sheetId="5677">
        <row r="5">
          <cell r="I5">
            <v>0</v>
          </cell>
        </row>
      </sheetData>
      <sheetData sheetId="5678">
        <row r="5">
          <cell r="I5">
            <v>0</v>
          </cell>
        </row>
      </sheetData>
      <sheetData sheetId="5679">
        <row r="5">
          <cell r="I5">
            <v>0</v>
          </cell>
        </row>
      </sheetData>
      <sheetData sheetId="5680">
        <row r="5">
          <cell r="I5">
            <v>0</v>
          </cell>
        </row>
      </sheetData>
      <sheetData sheetId="5681">
        <row r="5">
          <cell r="I5">
            <v>0</v>
          </cell>
        </row>
      </sheetData>
      <sheetData sheetId="5682">
        <row r="5">
          <cell r="I5">
            <v>0</v>
          </cell>
        </row>
      </sheetData>
      <sheetData sheetId="5683">
        <row r="5">
          <cell r="I5">
            <v>0</v>
          </cell>
        </row>
      </sheetData>
      <sheetData sheetId="5684">
        <row r="5">
          <cell r="I5">
            <v>0</v>
          </cell>
        </row>
      </sheetData>
      <sheetData sheetId="5685">
        <row r="5">
          <cell r="I5">
            <v>0</v>
          </cell>
        </row>
      </sheetData>
      <sheetData sheetId="5686">
        <row r="5">
          <cell r="I5">
            <v>0</v>
          </cell>
        </row>
      </sheetData>
      <sheetData sheetId="5687">
        <row r="5">
          <cell r="I5">
            <v>0</v>
          </cell>
        </row>
      </sheetData>
      <sheetData sheetId="5688">
        <row r="5">
          <cell r="I5">
            <v>0</v>
          </cell>
        </row>
      </sheetData>
      <sheetData sheetId="5689">
        <row r="5">
          <cell r="I5">
            <v>0</v>
          </cell>
        </row>
      </sheetData>
      <sheetData sheetId="5690">
        <row r="5">
          <cell r="I5">
            <v>0</v>
          </cell>
        </row>
      </sheetData>
      <sheetData sheetId="5691">
        <row r="5">
          <cell r="I5">
            <v>0</v>
          </cell>
        </row>
      </sheetData>
      <sheetData sheetId="5692">
        <row r="5">
          <cell r="I5">
            <v>0</v>
          </cell>
        </row>
      </sheetData>
      <sheetData sheetId="5693">
        <row r="5">
          <cell r="I5">
            <v>0</v>
          </cell>
        </row>
      </sheetData>
      <sheetData sheetId="5694">
        <row r="5">
          <cell r="I5">
            <v>0</v>
          </cell>
        </row>
      </sheetData>
      <sheetData sheetId="5695">
        <row r="5">
          <cell r="I5">
            <v>0</v>
          </cell>
        </row>
      </sheetData>
      <sheetData sheetId="5696">
        <row r="5">
          <cell r="I5">
            <v>0</v>
          </cell>
        </row>
      </sheetData>
      <sheetData sheetId="5697">
        <row r="5">
          <cell r="I5">
            <v>0</v>
          </cell>
        </row>
      </sheetData>
      <sheetData sheetId="5698">
        <row r="5">
          <cell r="I5">
            <v>0</v>
          </cell>
        </row>
      </sheetData>
      <sheetData sheetId="5699">
        <row r="5">
          <cell r="I5">
            <v>0</v>
          </cell>
        </row>
      </sheetData>
      <sheetData sheetId="5700">
        <row r="5">
          <cell r="I5">
            <v>0</v>
          </cell>
        </row>
      </sheetData>
      <sheetData sheetId="5701">
        <row r="5">
          <cell r="I5">
            <v>0</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5">
          <cell r="I5">
            <v>0</v>
          </cell>
        </row>
      </sheetData>
      <sheetData sheetId="5706">
        <row r="5">
          <cell r="I5">
            <v>0</v>
          </cell>
        </row>
      </sheetData>
      <sheetData sheetId="5707">
        <row r="5">
          <cell r="I5">
            <v>0</v>
          </cell>
        </row>
      </sheetData>
      <sheetData sheetId="5708">
        <row r="5">
          <cell r="I5">
            <v>0</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5">
          <cell r="I5">
            <v>0</v>
          </cell>
        </row>
      </sheetData>
      <sheetData sheetId="5714">
        <row r="5">
          <cell r="I5">
            <v>0</v>
          </cell>
        </row>
      </sheetData>
      <sheetData sheetId="5715">
        <row r="5">
          <cell r="I5">
            <v>0</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5">
          <cell r="I5">
            <v>0</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5">
          <cell r="I5">
            <v>0</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5">
          <cell r="I5">
            <v>0</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5">
          <cell r="I5">
            <v>0</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5">
          <cell r="I5">
            <v>0</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5">
          <cell r="I5">
            <v>0</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5">
          <cell r="I5">
            <v>0</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5">
          <cell r="I5">
            <v>0</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5">
          <cell r="I5">
            <v>0</v>
          </cell>
        </row>
      </sheetData>
      <sheetData sheetId="5826">
        <row r="5">
          <cell r="I5">
            <v>0</v>
          </cell>
        </row>
      </sheetData>
      <sheetData sheetId="5827">
        <row r="19">
          <cell r="J19">
            <v>1.0499999999999999E-3</v>
          </cell>
        </row>
      </sheetData>
      <sheetData sheetId="5828">
        <row r="5">
          <cell r="I5">
            <v>0</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5">
          <cell r="I5">
            <v>0</v>
          </cell>
        </row>
      </sheetData>
      <sheetData sheetId="5833">
        <row r="5">
          <cell r="I5">
            <v>0</v>
          </cell>
        </row>
      </sheetData>
      <sheetData sheetId="5834">
        <row r="5">
          <cell r="I5">
            <v>0</v>
          </cell>
        </row>
      </sheetData>
      <sheetData sheetId="5835">
        <row r="5">
          <cell r="I5">
            <v>0</v>
          </cell>
        </row>
      </sheetData>
      <sheetData sheetId="5836">
        <row r="5">
          <cell r="I5">
            <v>0</v>
          </cell>
        </row>
      </sheetData>
      <sheetData sheetId="5837">
        <row r="5">
          <cell r="I5">
            <v>0</v>
          </cell>
        </row>
      </sheetData>
      <sheetData sheetId="5838">
        <row r="5">
          <cell r="I5">
            <v>0</v>
          </cell>
        </row>
      </sheetData>
      <sheetData sheetId="5839">
        <row r="5">
          <cell r="I5">
            <v>0</v>
          </cell>
        </row>
      </sheetData>
      <sheetData sheetId="5840">
        <row r="5">
          <cell r="I5">
            <v>0</v>
          </cell>
        </row>
      </sheetData>
      <sheetData sheetId="5841">
        <row r="5">
          <cell r="I5">
            <v>0</v>
          </cell>
        </row>
      </sheetData>
      <sheetData sheetId="5842">
        <row r="5">
          <cell r="I5">
            <v>0</v>
          </cell>
        </row>
      </sheetData>
      <sheetData sheetId="5843">
        <row r="5">
          <cell r="I5">
            <v>0</v>
          </cell>
        </row>
      </sheetData>
      <sheetData sheetId="5844">
        <row r="5">
          <cell r="I5">
            <v>0</v>
          </cell>
        </row>
      </sheetData>
      <sheetData sheetId="5845">
        <row r="5">
          <cell r="I5">
            <v>0</v>
          </cell>
        </row>
      </sheetData>
      <sheetData sheetId="5846">
        <row r="5">
          <cell r="I5">
            <v>0</v>
          </cell>
        </row>
      </sheetData>
      <sheetData sheetId="5847">
        <row r="5">
          <cell r="I5">
            <v>0</v>
          </cell>
        </row>
      </sheetData>
      <sheetData sheetId="5848">
        <row r="5">
          <cell r="I5">
            <v>0</v>
          </cell>
        </row>
      </sheetData>
      <sheetData sheetId="5849">
        <row r="5">
          <cell r="I5">
            <v>0</v>
          </cell>
        </row>
      </sheetData>
      <sheetData sheetId="5850">
        <row r="5">
          <cell r="I5">
            <v>0</v>
          </cell>
        </row>
      </sheetData>
      <sheetData sheetId="5851">
        <row r="5">
          <cell r="I5">
            <v>0</v>
          </cell>
        </row>
      </sheetData>
      <sheetData sheetId="5852">
        <row r="5">
          <cell r="I5">
            <v>0</v>
          </cell>
        </row>
      </sheetData>
      <sheetData sheetId="5853">
        <row r="5">
          <cell r="I5">
            <v>0</v>
          </cell>
        </row>
      </sheetData>
      <sheetData sheetId="5854">
        <row r="5">
          <cell r="I5">
            <v>0</v>
          </cell>
        </row>
      </sheetData>
      <sheetData sheetId="5855">
        <row r="5">
          <cell r="I5">
            <v>0</v>
          </cell>
        </row>
      </sheetData>
      <sheetData sheetId="5856">
        <row r="5">
          <cell r="I5">
            <v>0</v>
          </cell>
        </row>
      </sheetData>
      <sheetData sheetId="5857">
        <row r="5">
          <cell r="I5">
            <v>0</v>
          </cell>
        </row>
      </sheetData>
      <sheetData sheetId="5858">
        <row r="5">
          <cell r="I5">
            <v>0</v>
          </cell>
        </row>
      </sheetData>
      <sheetData sheetId="5859">
        <row r="5">
          <cell r="I5">
            <v>0</v>
          </cell>
        </row>
      </sheetData>
      <sheetData sheetId="5860">
        <row r="5">
          <cell r="I5">
            <v>0</v>
          </cell>
        </row>
      </sheetData>
      <sheetData sheetId="5861">
        <row r="5">
          <cell r="I5">
            <v>0</v>
          </cell>
        </row>
      </sheetData>
      <sheetData sheetId="5862">
        <row r="5">
          <cell r="I5">
            <v>0</v>
          </cell>
        </row>
      </sheetData>
      <sheetData sheetId="5863">
        <row r="5">
          <cell r="I5">
            <v>0</v>
          </cell>
        </row>
      </sheetData>
      <sheetData sheetId="5864">
        <row r="5">
          <cell r="I5">
            <v>0</v>
          </cell>
        </row>
      </sheetData>
      <sheetData sheetId="5865">
        <row r="5">
          <cell r="I5">
            <v>0</v>
          </cell>
        </row>
      </sheetData>
      <sheetData sheetId="5866">
        <row r="5">
          <cell r="I5">
            <v>0</v>
          </cell>
        </row>
      </sheetData>
      <sheetData sheetId="5867">
        <row r="5">
          <cell r="I5">
            <v>0</v>
          </cell>
        </row>
      </sheetData>
      <sheetData sheetId="5868">
        <row r="5">
          <cell r="I5">
            <v>0</v>
          </cell>
        </row>
      </sheetData>
      <sheetData sheetId="5869">
        <row r="5">
          <cell r="I5">
            <v>0</v>
          </cell>
        </row>
      </sheetData>
      <sheetData sheetId="5870">
        <row r="5">
          <cell r="I5">
            <v>0</v>
          </cell>
        </row>
      </sheetData>
      <sheetData sheetId="5871">
        <row r="5">
          <cell r="I5">
            <v>0</v>
          </cell>
        </row>
      </sheetData>
      <sheetData sheetId="5872">
        <row r="5">
          <cell r="I5">
            <v>0</v>
          </cell>
        </row>
      </sheetData>
      <sheetData sheetId="5873">
        <row r="5">
          <cell r="I5">
            <v>0</v>
          </cell>
        </row>
      </sheetData>
      <sheetData sheetId="5874">
        <row r="5">
          <cell r="I5">
            <v>0</v>
          </cell>
        </row>
      </sheetData>
      <sheetData sheetId="5875">
        <row r="5">
          <cell r="I5">
            <v>0</v>
          </cell>
        </row>
      </sheetData>
      <sheetData sheetId="5876">
        <row r="5">
          <cell r="I5">
            <v>0</v>
          </cell>
        </row>
      </sheetData>
      <sheetData sheetId="5877">
        <row r="5">
          <cell r="I5">
            <v>0</v>
          </cell>
        </row>
      </sheetData>
      <sheetData sheetId="5878">
        <row r="5">
          <cell r="I5">
            <v>0</v>
          </cell>
        </row>
      </sheetData>
      <sheetData sheetId="5879">
        <row r="5">
          <cell r="I5">
            <v>0</v>
          </cell>
        </row>
      </sheetData>
      <sheetData sheetId="5880">
        <row r="5">
          <cell r="I5">
            <v>0</v>
          </cell>
        </row>
      </sheetData>
      <sheetData sheetId="5881">
        <row r="5">
          <cell r="I5">
            <v>0</v>
          </cell>
        </row>
      </sheetData>
      <sheetData sheetId="5882">
        <row r="5">
          <cell r="I5">
            <v>0</v>
          </cell>
        </row>
      </sheetData>
      <sheetData sheetId="5883">
        <row r="5">
          <cell r="I5">
            <v>0</v>
          </cell>
        </row>
      </sheetData>
      <sheetData sheetId="5884">
        <row r="5">
          <cell r="I5">
            <v>0</v>
          </cell>
        </row>
      </sheetData>
      <sheetData sheetId="5885">
        <row r="5">
          <cell r="I5">
            <v>0</v>
          </cell>
        </row>
      </sheetData>
      <sheetData sheetId="5886">
        <row r="5">
          <cell r="I5">
            <v>0</v>
          </cell>
        </row>
      </sheetData>
      <sheetData sheetId="5887">
        <row r="5">
          <cell r="I5">
            <v>0</v>
          </cell>
        </row>
      </sheetData>
      <sheetData sheetId="5888">
        <row r="5">
          <cell r="I5">
            <v>0</v>
          </cell>
        </row>
      </sheetData>
      <sheetData sheetId="5889">
        <row r="5">
          <cell r="I5">
            <v>0</v>
          </cell>
        </row>
      </sheetData>
      <sheetData sheetId="5890">
        <row r="5">
          <cell r="I5">
            <v>0</v>
          </cell>
        </row>
      </sheetData>
      <sheetData sheetId="5891">
        <row r="5">
          <cell r="I5">
            <v>0</v>
          </cell>
        </row>
      </sheetData>
      <sheetData sheetId="5892">
        <row r="5">
          <cell r="I5">
            <v>0</v>
          </cell>
        </row>
      </sheetData>
      <sheetData sheetId="5893">
        <row r="5">
          <cell r="I5">
            <v>0</v>
          </cell>
        </row>
      </sheetData>
      <sheetData sheetId="5894">
        <row r="5">
          <cell r="I5">
            <v>0</v>
          </cell>
        </row>
      </sheetData>
      <sheetData sheetId="5895">
        <row r="5">
          <cell r="I5">
            <v>0</v>
          </cell>
        </row>
      </sheetData>
      <sheetData sheetId="5896">
        <row r="5">
          <cell r="I5">
            <v>0</v>
          </cell>
        </row>
      </sheetData>
      <sheetData sheetId="5897">
        <row r="5">
          <cell r="I5">
            <v>0</v>
          </cell>
        </row>
      </sheetData>
      <sheetData sheetId="5898">
        <row r="5">
          <cell r="I5">
            <v>0</v>
          </cell>
        </row>
      </sheetData>
      <sheetData sheetId="5899">
        <row r="5">
          <cell r="I5">
            <v>0</v>
          </cell>
        </row>
      </sheetData>
      <sheetData sheetId="5900">
        <row r="5">
          <cell r="I5">
            <v>0</v>
          </cell>
        </row>
      </sheetData>
      <sheetData sheetId="5901">
        <row r="5">
          <cell r="I5">
            <v>0</v>
          </cell>
        </row>
      </sheetData>
      <sheetData sheetId="5902">
        <row r="5">
          <cell r="I5">
            <v>0</v>
          </cell>
        </row>
      </sheetData>
      <sheetData sheetId="5903">
        <row r="5">
          <cell r="I5">
            <v>0</v>
          </cell>
        </row>
      </sheetData>
      <sheetData sheetId="5904">
        <row r="5">
          <cell r="I5">
            <v>0</v>
          </cell>
        </row>
      </sheetData>
      <sheetData sheetId="5905">
        <row r="5">
          <cell r="I5">
            <v>0</v>
          </cell>
        </row>
      </sheetData>
      <sheetData sheetId="5906">
        <row r="5">
          <cell r="I5">
            <v>0</v>
          </cell>
        </row>
      </sheetData>
      <sheetData sheetId="5907">
        <row r="5">
          <cell r="I5">
            <v>0</v>
          </cell>
        </row>
      </sheetData>
      <sheetData sheetId="5908">
        <row r="5">
          <cell r="I5">
            <v>0</v>
          </cell>
        </row>
      </sheetData>
      <sheetData sheetId="5909">
        <row r="5">
          <cell r="I5">
            <v>0</v>
          </cell>
        </row>
      </sheetData>
      <sheetData sheetId="5910">
        <row r="5">
          <cell r="I5">
            <v>0</v>
          </cell>
        </row>
      </sheetData>
      <sheetData sheetId="5911">
        <row r="5">
          <cell r="I5">
            <v>0</v>
          </cell>
        </row>
      </sheetData>
      <sheetData sheetId="5912">
        <row r="5">
          <cell r="I5">
            <v>0</v>
          </cell>
        </row>
      </sheetData>
      <sheetData sheetId="5913">
        <row r="5">
          <cell r="I5">
            <v>0</v>
          </cell>
        </row>
      </sheetData>
      <sheetData sheetId="5914">
        <row r="5">
          <cell r="I5">
            <v>0</v>
          </cell>
        </row>
      </sheetData>
      <sheetData sheetId="5915">
        <row r="5">
          <cell r="I5">
            <v>0</v>
          </cell>
        </row>
      </sheetData>
      <sheetData sheetId="5916">
        <row r="5">
          <cell r="I5">
            <v>0</v>
          </cell>
        </row>
      </sheetData>
      <sheetData sheetId="5917">
        <row r="5">
          <cell r="I5">
            <v>0</v>
          </cell>
        </row>
      </sheetData>
      <sheetData sheetId="5918">
        <row r="5">
          <cell r="I5">
            <v>0</v>
          </cell>
        </row>
      </sheetData>
      <sheetData sheetId="5919">
        <row r="5">
          <cell r="I5">
            <v>0</v>
          </cell>
        </row>
      </sheetData>
      <sheetData sheetId="5920">
        <row r="5">
          <cell r="I5">
            <v>0</v>
          </cell>
        </row>
      </sheetData>
      <sheetData sheetId="5921">
        <row r="5">
          <cell r="I5">
            <v>0</v>
          </cell>
        </row>
      </sheetData>
      <sheetData sheetId="5922">
        <row r="5">
          <cell r="I5">
            <v>0</v>
          </cell>
        </row>
      </sheetData>
      <sheetData sheetId="5923">
        <row r="5">
          <cell r="I5">
            <v>0</v>
          </cell>
        </row>
      </sheetData>
      <sheetData sheetId="5924">
        <row r="5">
          <cell r="I5">
            <v>0</v>
          </cell>
        </row>
      </sheetData>
      <sheetData sheetId="5925">
        <row r="5">
          <cell r="I5">
            <v>0</v>
          </cell>
        </row>
      </sheetData>
      <sheetData sheetId="5926">
        <row r="5">
          <cell r="I5">
            <v>0</v>
          </cell>
        </row>
      </sheetData>
      <sheetData sheetId="5927">
        <row r="5">
          <cell r="I5">
            <v>0</v>
          </cell>
        </row>
      </sheetData>
      <sheetData sheetId="5928">
        <row r="5">
          <cell r="I5">
            <v>0</v>
          </cell>
        </row>
      </sheetData>
      <sheetData sheetId="5929">
        <row r="5">
          <cell r="I5">
            <v>0</v>
          </cell>
        </row>
      </sheetData>
      <sheetData sheetId="5930">
        <row r="5">
          <cell r="I5">
            <v>0</v>
          </cell>
        </row>
      </sheetData>
      <sheetData sheetId="5931">
        <row r="5">
          <cell r="I5">
            <v>0</v>
          </cell>
        </row>
      </sheetData>
      <sheetData sheetId="5932">
        <row r="5">
          <cell r="I5">
            <v>0</v>
          </cell>
        </row>
      </sheetData>
      <sheetData sheetId="5933">
        <row r="5">
          <cell r="I5">
            <v>0</v>
          </cell>
        </row>
      </sheetData>
      <sheetData sheetId="5934">
        <row r="5">
          <cell r="I5">
            <v>0</v>
          </cell>
        </row>
      </sheetData>
      <sheetData sheetId="5935">
        <row r="5">
          <cell r="I5">
            <v>0</v>
          </cell>
        </row>
      </sheetData>
      <sheetData sheetId="5936">
        <row r="5">
          <cell r="I5">
            <v>0</v>
          </cell>
        </row>
      </sheetData>
      <sheetData sheetId="5937">
        <row r="5">
          <cell r="I5">
            <v>0</v>
          </cell>
        </row>
      </sheetData>
      <sheetData sheetId="5938">
        <row r="5">
          <cell r="I5">
            <v>0</v>
          </cell>
        </row>
      </sheetData>
      <sheetData sheetId="5939">
        <row r="5">
          <cell r="I5">
            <v>0</v>
          </cell>
        </row>
      </sheetData>
      <sheetData sheetId="5940">
        <row r="5">
          <cell r="I5">
            <v>0</v>
          </cell>
        </row>
      </sheetData>
      <sheetData sheetId="5941">
        <row r="5">
          <cell r="I5">
            <v>0</v>
          </cell>
        </row>
      </sheetData>
      <sheetData sheetId="5942">
        <row r="5">
          <cell r="I5">
            <v>0</v>
          </cell>
        </row>
      </sheetData>
      <sheetData sheetId="5943">
        <row r="5">
          <cell r="I5">
            <v>0</v>
          </cell>
        </row>
      </sheetData>
      <sheetData sheetId="5944">
        <row r="5">
          <cell r="I5">
            <v>0</v>
          </cell>
        </row>
      </sheetData>
      <sheetData sheetId="5945">
        <row r="5">
          <cell r="I5">
            <v>0</v>
          </cell>
        </row>
      </sheetData>
      <sheetData sheetId="5946">
        <row r="5">
          <cell r="I5">
            <v>0</v>
          </cell>
        </row>
      </sheetData>
      <sheetData sheetId="5947">
        <row r="5">
          <cell r="I5">
            <v>0</v>
          </cell>
        </row>
      </sheetData>
      <sheetData sheetId="5948">
        <row r="5">
          <cell r="I5">
            <v>0</v>
          </cell>
        </row>
      </sheetData>
      <sheetData sheetId="5949">
        <row r="5">
          <cell r="I5">
            <v>0</v>
          </cell>
        </row>
      </sheetData>
      <sheetData sheetId="5950">
        <row r="5">
          <cell r="I5">
            <v>0</v>
          </cell>
        </row>
      </sheetData>
      <sheetData sheetId="5951">
        <row r="5">
          <cell r="I5">
            <v>0</v>
          </cell>
        </row>
      </sheetData>
      <sheetData sheetId="5952">
        <row r="5">
          <cell r="I5">
            <v>0</v>
          </cell>
        </row>
      </sheetData>
      <sheetData sheetId="5953">
        <row r="5">
          <cell r="I5">
            <v>0</v>
          </cell>
        </row>
      </sheetData>
      <sheetData sheetId="5954">
        <row r="5">
          <cell r="I5">
            <v>0</v>
          </cell>
        </row>
      </sheetData>
      <sheetData sheetId="5955">
        <row r="5">
          <cell r="I5">
            <v>0</v>
          </cell>
        </row>
      </sheetData>
      <sheetData sheetId="5956">
        <row r="5">
          <cell r="I5">
            <v>0</v>
          </cell>
        </row>
      </sheetData>
      <sheetData sheetId="5957">
        <row r="5">
          <cell r="I5">
            <v>0</v>
          </cell>
        </row>
      </sheetData>
      <sheetData sheetId="5958">
        <row r="5">
          <cell r="I5">
            <v>0</v>
          </cell>
        </row>
      </sheetData>
      <sheetData sheetId="5959">
        <row r="5">
          <cell r="I5">
            <v>0</v>
          </cell>
        </row>
      </sheetData>
      <sheetData sheetId="5960">
        <row r="5">
          <cell r="I5">
            <v>0</v>
          </cell>
        </row>
      </sheetData>
      <sheetData sheetId="5961">
        <row r="5">
          <cell r="I5">
            <v>0</v>
          </cell>
        </row>
      </sheetData>
      <sheetData sheetId="5962">
        <row r="5">
          <cell r="I5">
            <v>0</v>
          </cell>
        </row>
      </sheetData>
      <sheetData sheetId="5963">
        <row r="5">
          <cell r="I5">
            <v>0</v>
          </cell>
        </row>
      </sheetData>
      <sheetData sheetId="5964">
        <row r="5">
          <cell r="I5">
            <v>0</v>
          </cell>
        </row>
      </sheetData>
      <sheetData sheetId="5965">
        <row r="5">
          <cell r="I5">
            <v>0</v>
          </cell>
        </row>
      </sheetData>
      <sheetData sheetId="5966">
        <row r="5">
          <cell r="I5">
            <v>0</v>
          </cell>
        </row>
      </sheetData>
      <sheetData sheetId="5967">
        <row r="5">
          <cell r="I5">
            <v>0</v>
          </cell>
        </row>
      </sheetData>
      <sheetData sheetId="5968">
        <row r="5">
          <cell r="I5">
            <v>0</v>
          </cell>
        </row>
      </sheetData>
      <sheetData sheetId="5969">
        <row r="5">
          <cell r="I5">
            <v>0</v>
          </cell>
        </row>
      </sheetData>
      <sheetData sheetId="5970">
        <row r="5">
          <cell r="I5">
            <v>0</v>
          </cell>
        </row>
      </sheetData>
      <sheetData sheetId="5971">
        <row r="5">
          <cell r="I5">
            <v>0</v>
          </cell>
        </row>
      </sheetData>
      <sheetData sheetId="5972">
        <row r="5">
          <cell r="I5">
            <v>0</v>
          </cell>
        </row>
      </sheetData>
      <sheetData sheetId="5973">
        <row r="5">
          <cell r="I5">
            <v>0</v>
          </cell>
        </row>
      </sheetData>
      <sheetData sheetId="5974">
        <row r="5">
          <cell r="I5">
            <v>0</v>
          </cell>
        </row>
      </sheetData>
      <sheetData sheetId="5975">
        <row r="5">
          <cell r="I5">
            <v>0</v>
          </cell>
        </row>
      </sheetData>
      <sheetData sheetId="5976">
        <row r="5">
          <cell r="I5">
            <v>0</v>
          </cell>
        </row>
      </sheetData>
      <sheetData sheetId="5977">
        <row r="5">
          <cell r="I5">
            <v>0</v>
          </cell>
        </row>
      </sheetData>
      <sheetData sheetId="5978">
        <row r="5">
          <cell r="I5">
            <v>0</v>
          </cell>
        </row>
      </sheetData>
      <sheetData sheetId="5979">
        <row r="5">
          <cell r="I5">
            <v>0</v>
          </cell>
        </row>
      </sheetData>
      <sheetData sheetId="5980">
        <row r="5">
          <cell r="I5">
            <v>0</v>
          </cell>
        </row>
      </sheetData>
      <sheetData sheetId="5981">
        <row r="5">
          <cell r="I5">
            <v>0</v>
          </cell>
        </row>
      </sheetData>
      <sheetData sheetId="5982">
        <row r="5">
          <cell r="I5">
            <v>0</v>
          </cell>
        </row>
      </sheetData>
      <sheetData sheetId="5983">
        <row r="5">
          <cell r="I5">
            <v>0</v>
          </cell>
        </row>
      </sheetData>
      <sheetData sheetId="5984">
        <row r="5">
          <cell r="I5">
            <v>0</v>
          </cell>
        </row>
      </sheetData>
      <sheetData sheetId="5985">
        <row r="5">
          <cell r="I5">
            <v>0</v>
          </cell>
        </row>
      </sheetData>
      <sheetData sheetId="5986">
        <row r="5">
          <cell r="I5">
            <v>0</v>
          </cell>
        </row>
      </sheetData>
      <sheetData sheetId="5987">
        <row r="5">
          <cell r="I5">
            <v>0</v>
          </cell>
        </row>
      </sheetData>
      <sheetData sheetId="5988">
        <row r="5">
          <cell r="I5">
            <v>0</v>
          </cell>
        </row>
      </sheetData>
      <sheetData sheetId="5989">
        <row r="5">
          <cell r="I5">
            <v>0</v>
          </cell>
        </row>
      </sheetData>
      <sheetData sheetId="5990">
        <row r="5">
          <cell r="I5">
            <v>0</v>
          </cell>
        </row>
      </sheetData>
      <sheetData sheetId="5991">
        <row r="5">
          <cell r="I5">
            <v>0</v>
          </cell>
        </row>
      </sheetData>
      <sheetData sheetId="5992">
        <row r="5">
          <cell r="I5">
            <v>0</v>
          </cell>
        </row>
      </sheetData>
      <sheetData sheetId="5993">
        <row r="5">
          <cell r="I5">
            <v>0</v>
          </cell>
        </row>
      </sheetData>
      <sheetData sheetId="5994">
        <row r="5">
          <cell r="I5">
            <v>0</v>
          </cell>
        </row>
      </sheetData>
      <sheetData sheetId="5995">
        <row r="5">
          <cell r="I5">
            <v>0</v>
          </cell>
        </row>
      </sheetData>
      <sheetData sheetId="5996">
        <row r="5">
          <cell r="I5">
            <v>0</v>
          </cell>
        </row>
      </sheetData>
      <sheetData sheetId="5997">
        <row r="5">
          <cell r="I5">
            <v>0</v>
          </cell>
        </row>
      </sheetData>
      <sheetData sheetId="5998">
        <row r="5">
          <cell r="I5">
            <v>0</v>
          </cell>
        </row>
      </sheetData>
      <sheetData sheetId="5999">
        <row r="5">
          <cell r="I5">
            <v>0</v>
          </cell>
        </row>
      </sheetData>
      <sheetData sheetId="6000">
        <row r="5">
          <cell r="I5">
            <v>0</v>
          </cell>
        </row>
      </sheetData>
      <sheetData sheetId="6001">
        <row r="5">
          <cell r="I5">
            <v>0</v>
          </cell>
        </row>
      </sheetData>
      <sheetData sheetId="6002">
        <row r="5">
          <cell r="I5">
            <v>0</v>
          </cell>
        </row>
      </sheetData>
      <sheetData sheetId="6003">
        <row r="5">
          <cell r="I5">
            <v>0</v>
          </cell>
        </row>
      </sheetData>
      <sheetData sheetId="6004">
        <row r="5">
          <cell r="I5">
            <v>0</v>
          </cell>
        </row>
      </sheetData>
      <sheetData sheetId="6005">
        <row r="5">
          <cell r="I5">
            <v>0</v>
          </cell>
        </row>
      </sheetData>
      <sheetData sheetId="6006">
        <row r="5">
          <cell r="I5">
            <v>0</v>
          </cell>
        </row>
      </sheetData>
      <sheetData sheetId="6007">
        <row r="5">
          <cell r="I5">
            <v>0</v>
          </cell>
        </row>
      </sheetData>
      <sheetData sheetId="6008">
        <row r="5">
          <cell r="I5">
            <v>0</v>
          </cell>
        </row>
      </sheetData>
      <sheetData sheetId="6009">
        <row r="5">
          <cell r="I5">
            <v>0</v>
          </cell>
        </row>
      </sheetData>
      <sheetData sheetId="6010">
        <row r="5">
          <cell r="I5">
            <v>0</v>
          </cell>
        </row>
      </sheetData>
      <sheetData sheetId="6011">
        <row r="5">
          <cell r="I5">
            <v>0</v>
          </cell>
        </row>
      </sheetData>
      <sheetData sheetId="6012">
        <row r="5">
          <cell r="I5">
            <v>0</v>
          </cell>
        </row>
      </sheetData>
      <sheetData sheetId="6013">
        <row r="5">
          <cell r="I5">
            <v>0</v>
          </cell>
        </row>
      </sheetData>
      <sheetData sheetId="6014">
        <row r="5">
          <cell r="I5">
            <v>0</v>
          </cell>
        </row>
      </sheetData>
      <sheetData sheetId="6015">
        <row r="5">
          <cell r="I5">
            <v>0</v>
          </cell>
        </row>
      </sheetData>
      <sheetData sheetId="6016">
        <row r="5">
          <cell r="I5">
            <v>0</v>
          </cell>
        </row>
      </sheetData>
      <sheetData sheetId="6017">
        <row r="5">
          <cell r="I5">
            <v>0</v>
          </cell>
        </row>
      </sheetData>
      <sheetData sheetId="6018">
        <row r="5">
          <cell r="I5">
            <v>0</v>
          </cell>
        </row>
      </sheetData>
      <sheetData sheetId="6019">
        <row r="5">
          <cell r="I5">
            <v>0</v>
          </cell>
        </row>
      </sheetData>
      <sheetData sheetId="6020">
        <row r="5">
          <cell r="I5">
            <v>0</v>
          </cell>
        </row>
      </sheetData>
      <sheetData sheetId="6021">
        <row r="5">
          <cell r="I5">
            <v>0</v>
          </cell>
        </row>
      </sheetData>
      <sheetData sheetId="6022">
        <row r="5">
          <cell r="I5">
            <v>0</v>
          </cell>
        </row>
      </sheetData>
      <sheetData sheetId="6023">
        <row r="5">
          <cell r="I5">
            <v>0</v>
          </cell>
        </row>
      </sheetData>
      <sheetData sheetId="6024">
        <row r="5">
          <cell r="I5">
            <v>0</v>
          </cell>
        </row>
      </sheetData>
      <sheetData sheetId="6025">
        <row r="5">
          <cell r="I5">
            <v>0</v>
          </cell>
        </row>
      </sheetData>
      <sheetData sheetId="6026">
        <row r="5">
          <cell r="I5">
            <v>0</v>
          </cell>
        </row>
      </sheetData>
      <sheetData sheetId="6027">
        <row r="5">
          <cell r="I5">
            <v>0</v>
          </cell>
        </row>
      </sheetData>
      <sheetData sheetId="6028">
        <row r="5">
          <cell r="I5">
            <v>0</v>
          </cell>
        </row>
      </sheetData>
      <sheetData sheetId="6029">
        <row r="5">
          <cell r="I5">
            <v>0</v>
          </cell>
        </row>
      </sheetData>
      <sheetData sheetId="6030">
        <row r="5">
          <cell r="I5">
            <v>0</v>
          </cell>
        </row>
      </sheetData>
      <sheetData sheetId="6031">
        <row r="5">
          <cell r="I5">
            <v>0</v>
          </cell>
        </row>
      </sheetData>
      <sheetData sheetId="6032">
        <row r="5">
          <cell r="I5">
            <v>0</v>
          </cell>
        </row>
      </sheetData>
      <sheetData sheetId="6033">
        <row r="5">
          <cell r="I5">
            <v>0</v>
          </cell>
        </row>
      </sheetData>
      <sheetData sheetId="6034">
        <row r="5">
          <cell r="I5">
            <v>0</v>
          </cell>
        </row>
      </sheetData>
      <sheetData sheetId="6035">
        <row r="5">
          <cell r="I5">
            <v>0</v>
          </cell>
        </row>
      </sheetData>
      <sheetData sheetId="6036">
        <row r="5">
          <cell r="I5">
            <v>0</v>
          </cell>
        </row>
      </sheetData>
      <sheetData sheetId="6037">
        <row r="5">
          <cell r="I5">
            <v>0</v>
          </cell>
        </row>
      </sheetData>
      <sheetData sheetId="6038">
        <row r="5">
          <cell r="I5">
            <v>0</v>
          </cell>
        </row>
      </sheetData>
      <sheetData sheetId="6039">
        <row r="5">
          <cell r="I5">
            <v>0</v>
          </cell>
        </row>
      </sheetData>
      <sheetData sheetId="6040">
        <row r="5">
          <cell r="I5">
            <v>0</v>
          </cell>
        </row>
      </sheetData>
      <sheetData sheetId="6041">
        <row r="5">
          <cell r="I5">
            <v>0</v>
          </cell>
        </row>
      </sheetData>
      <sheetData sheetId="6042">
        <row r="5">
          <cell r="I5">
            <v>0</v>
          </cell>
        </row>
      </sheetData>
      <sheetData sheetId="6043">
        <row r="5">
          <cell r="I5">
            <v>0</v>
          </cell>
        </row>
      </sheetData>
      <sheetData sheetId="6044">
        <row r="5">
          <cell r="I5">
            <v>0</v>
          </cell>
        </row>
      </sheetData>
      <sheetData sheetId="6045">
        <row r="5">
          <cell r="I5">
            <v>0</v>
          </cell>
        </row>
      </sheetData>
      <sheetData sheetId="6046">
        <row r="5">
          <cell r="I5">
            <v>0</v>
          </cell>
        </row>
      </sheetData>
      <sheetData sheetId="6047">
        <row r="5">
          <cell r="I5">
            <v>0</v>
          </cell>
        </row>
      </sheetData>
      <sheetData sheetId="6048">
        <row r="5">
          <cell r="I5">
            <v>0</v>
          </cell>
        </row>
      </sheetData>
      <sheetData sheetId="6049">
        <row r="5">
          <cell r="I5">
            <v>0</v>
          </cell>
        </row>
      </sheetData>
      <sheetData sheetId="6050">
        <row r="5">
          <cell r="I5">
            <v>0</v>
          </cell>
        </row>
      </sheetData>
      <sheetData sheetId="6051">
        <row r="5">
          <cell r="I5">
            <v>0</v>
          </cell>
        </row>
      </sheetData>
      <sheetData sheetId="6052">
        <row r="5">
          <cell r="I5">
            <v>0</v>
          </cell>
        </row>
      </sheetData>
      <sheetData sheetId="6053">
        <row r="5">
          <cell r="I5">
            <v>0</v>
          </cell>
        </row>
      </sheetData>
      <sheetData sheetId="6054">
        <row r="5">
          <cell r="I5">
            <v>0</v>
          </cell>
        </row>
      </sheetData>
      <sheetData sheetId="6055">
        <row r="5">
          <cell r="I5">
            <v>0</v>
          </cell>
        </row>
      </sheetData>
      <sheetData sheetId="6056">
        <row r="5">
          <cell r="I5">
            <v>0</v>
          </cell>
        </row>
      </sheetData>
      <sheetData sheetId="6057">
        <row r="5">
          <cell r="I5">
            <v>0</v>
          </cell>
        </row>
      </sheetData>
      <sheetData sheetId="6058">
        <row r="5">
          <cell r="I5">
            <v>0</v>
          </cell>
        </row>
      </sheetData>
      <sheetData sheetId="6059">
        <row r="5">
          <cell r="I5">
            <v>0</v>
          </cell>
        </row>
      </sheetData>
      <sheetData sheetId="6060">
        <row r="5">
          <cell r="I5">
            <v>0</v>
          </cell>
        </row>
      </sheetData>
      <sheetData sheetId="6061">
        <row r="5">
          <cell r="I5">
            <v>0</v>
          </cell>
        </row>
      </sheetData>
      <sheetData sheetId="6062">
        <row r="5">
          <cell r="I5">
            <v>0</v>
          </cell>
        </row>
      </sheetData>
      <sheetData sheetId="6063">
        <row r="5">
          <cell r="I5">
            <v>0</v>
          </cell>
        </row>
      </sheetData>
      <sheetData sheetId="6064">
        <row r="5">
          <cell r="I5">
            <v>0</v>
          </cell>
        </row>
      </sheetData>
      <sheetData sheetId="6065">
        <row r="5">
          <cell r="I5">
            <v>0</v>
          </cell>
        </row>
      </sheetData>
      <sheetData sheetId="6066">
        <row r="5">
          <cell r="I5">
            <v>0</v>
          </cell>
        </row>
      </sheetData>
      <sheetData sheetId="6067">
        <row r="5">
          <cell r="I5">
            <v>0</v>
          </cell>
        </row>
      </sheetData>
      <sheetData sheetId="6068">
        <row r="19">
          <cell r="J19">
            <v>1.0499999999999999E-3</v>
          </cell>
        </row>
      </sheetData>
      <sheetData sheetId="6069">
        <row r="5">
          <cell r="I5">
            <v>0</v>
          </cell>
        </row>
      </sheetData>
      <sheetData sheetId="6070">
        <row r="5">
          <cell r="I5">
            <v>0</v>
          </cell>
        </row>
      </sheetData>
      <sheetData sheetId="6071">
        <row r="5">
          <cell r="I5">
            <v>0</v>
          </cell>
        </row>
      </sheetData>
      <sheetData sheetId="6072">
        <row r="5">
          <cell r="I5">
            <v>0</v>
          </cell>
        </row>
      </sheetData>
      <sheetData sheetId="6073">
        <row r="5">
          <cell r="I5">
            <v>0</v>
          </cell>
        </row>
      </sheetData>
      <sheetData sheetId="6074">
        <row r="19">
          <cell r="J19">
            <v>1.0499999999999999E-3</v>
          </cell>
        </row>
      </sheetData>
      <sheetData sheetId="6075">
        <row r="5">
          <cell r="I5">
            <v>0</v>
          </cell>
        </row>
      </sheetData>
      <sheetData sheetId="6076">
        <row r="5">
          <cell r="I5">
            <v>0</v>
          </cell>
        </row>
      </sheetData>
      <sheetData sheetId="6077">
        <row r="19">
          <cell r="J19">
            <v>1.0499999999999999E-3</v>
          </cell>
        </row>
      </sheetData>
      <sheetData sheetId="6078">
        <row r="5">
          <cell r="I5">
            <v>0</v>
          </cell>
        </row>
      </sheetData>
      <sheetData sheetId="6079">
        <row r="5">
          <cell r="I5">
            <v>0</v>
          </cell>
        </row>
      </sheetData>
      <sheetData sheetId="6080">
        <row r="5">
          <cell r="I5">
            <v>0</v>
          </cell>
        </row>
      </sheetData>
      <sheetData sheetId="6081">
        <row r="5">
          <cell r="I5">
            <v>0</v>
          </cell>
        </row>
      </sheetData>
      <sheetData sheetId="6082">
        <row r="19">
          <cell r="J19">
            <v>1.0499999999999999E-3</v>
          </cell>
        </row>
      </sheetData>
      <sheetData sheetId="6083">
        <row r="5">
          <cell r="I5">
            <v>0</v>
          </cell>
        </row>
      </sheetData>
      <sheetData sheetId="6084">
        <row r="5">
          <cell r="I5">
            <v>0</v>
          </cell>
        </row>
      </sheetData>
      <sheetData sheetId="6085">
        <row r="5">
          <cell r="I5">
            <v>0</v>
          </cell>
        </row>
      </sheetData>
      <sheetData sheetId="6086">
        <row r="5">
          <cell r="I5">
            <v>0</v>
          </cell>
        </row>
      </sheetData>
      <sheetData sheetId="6087">
        <row r="5">
          <cell r="I5">
            <v>0</v>
          </cell>
        </row>
      </sheetData>
      <sheetData sheetId="6088">
        <row r="19">
          <cell r="J19">
            <v>1.0499999999999999E-3</v>
          </cell>
        </row>
      </sheetData>
      <sheetData sheetId="6089">
        <row r="19">
          <cell r="J19">
            <v>1.0499999999999999E-3</v>
          </cell>
        </row>
      </sheetData>
      <sheetData sheetId="6090">
        <row r="5">
          <cell r="I5">
            <v>0</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5">
          <cell r="I5">
            <v>0</v>
          </cell>
        </row>
      </sheetData>
      <sheetData sheetId="6095">
        <row r="5">
          <cell r="I5">
            <v>0</v>
          </cell>
        </row>
      </sheetData>
      <sheetData sheetId="6096">
        <row r="19">
          <cell r="J19">
            <v>1.0499999999999999E-3</v>
          </cell>
        </row>
      </sheetData>
      <sheetData sheetId="6097">
        <row r="19">
          <cell r="J19">
            <v>1.0499999999999999E-3</v>
          </cell>
        </row>
      </sheetData>
      <sheetData sheetId="6098">
        <row r="5">
          <cell r="I5">
            <v>0</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5">
          <cell r="I5">
            <v>0</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5">
          <cell r="I5">
            <v>0</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ow r="19">
          <cell r="J19">
            <v>1.0499999999999999E-3</v>
          </cell>
        </row>
      </sheetData>
      <sheetData sheetId="6738">
        <row r="19">
          <cell r="J19">
            <v>1.0499999999999999E-3</v>
          </cell>
        </row>
      </sheetData>
      <sheetData sheetId="6739">
        <row r="19">
          <cell r="J19">
            <v>1.0499999999999999E-3</v>
          </cell>
        </row>
      </sheetData>
      <sheetData sheetId="6740">
        <row r="19">
          <cell r="J19">
            <v>1.0499999999999999E-3</v>
          </cell>
        </row>
      </sheetData>
      <sheetData sheetId="6741">
        <row r="19">
          <cell r="J19">
            <v>1.0499999999999999E-3</v>
          </cell>
        </row>
      </sheetData>
      <sheetData sheetId="6742">
        <row r="19">
          <cell r="J19">
            <v>1.0499999999999999E-3</v>
          </cell>
        </row>
      </sheetData>
      <sheetData sheetId="6743">
        <row r="19">
          <cell r="J19">
            <v>1.0499999999999999E-3</v>
          </cell>
        </row>
      </sheetData>
      <sheetData sheetId="6744">
        <row r="19">
          <cell r="J19">
            <v>1.0499999999999999E-3</v>
          </cell>
        </row>
      </sheetData>
      <sheetData sheetId="6745">
        <row r="19">
          <cell r="J19">
            <v>1.0499999999999999E-3</v>
          </cell>
        </row>
      </sheetData>
      <sheetData sheetId="6746">
        <row r="19">
          <cell r="J19">
            <v>1.0499999999999999E-3</v>
          </cell>
        </row>
      </sheetData>
      <sheetData sheetId="6747">
        <row r="19">
          <cell r="J19">
            <v>1.0499999999999999E-3</v>
          </cell>
        </row>
      </sheetData>
      <sheetData sheetId="6748">
        <row r="19">
          <cell r="J19">
            <v>1.0499999999999999E-3</v>
          </cell>
        </row>
      </sheetData>
      <sheetData sheetId="6749">
        <row r="19">
          <cell r="J19">
            <v>1.0499999999999999E-3</v>
          </cell>
        </row>
      </sheetData>
      <sheetData sheetId="6750">
        <row r="19">
          <cell r="J19">
            <v>1.0499999999999999E-3</v>
          </cell>
        </row>
      </sheetData>
      <sheetData sheetId="6751">
        <row r="19">
          <cell r="J19">
            <v>1.0499999999999999E-3</v>
          </cell>
        </row>
      </sheetData>
      <sheetData sheetId="6752">
        <row r="19">
          <cell r="J19">
            <v>1.0499999999999999E-3</v>
          </cell>
        </row>
      </sheetData>
      <sheetData sheetId="6753">
        <row r="19">
          <cell r="J19">
            <v>1.0499999999999999E-3</v>
          </cell>
        </row>
      </sheetData>
      <sheetData sheetId="6754">
        <row r="19">
          <cell r="J19">
            <v>1.0499999999999999E-3</v>
          </cell>
        </row>
      </sheetData>
      <sheetData sheetId="6755">
        <row r="19">
          <cell r="J19">
            <v>1.0499999999999999E-3</v>
          </cell>
        </row>
      </sheetData>
      <sheetData sheetId="6756">
        <row r="19">
          <cell r="J19">
            <v>1.0499999999999999E-3</v>
          </cell>
        </row>
      </sheetData>
      <sheetData sheetId="6757">
        <row r="19">
          <cell r="J19">
            <v>1.0499999999999999E-3</v>
          </cell>
        </row>
      </sheetData>
      <sheetData sheetId="6758">
        <row r="19">
          <cell r="J19">
            <v>1.0499999999999999E-3</v>
          </cell>
        </row>
      </sheetData>
      <sheetData sheetId="6759">
        <row r="19">
          <cell r="J19">
            <v>1.0499999999999999E-3</v>
          </cell>
        </row>
      </sheetData>
      <sheetData sheetId="6760">
        <row r="19">
          <cell r="J19">
            <v>1.0499999999999999E-3</v>
          </cell>
        </row>
      </sheetData>
      <sheetData sheetId="6761">
        <row r="19">
          <cell r="J19">
            <v>1.0499999999999999E-3</v>
          </cell>
        </row>
      </sheetData>
      <sheetData sheetId="6762">
        <row r="19">
          <cell r="J19">
            <v>1.0499999999999999E-3</v>
          </cell>
        </row>
      </sheetData>
      <sheetData sheetId="6763">
        <row r="19">
          <cell r="J19">
            <v>1.0499999999999999E-3</v>
          </cell>
        </row>
      </sheetData>
      <sheetData sheetId="6764">
        <row r="19">
          <cell r="J19">
            <v>1.0499999999999999E-3</v>
          </cell>
        </row>
      </sheetData>
      <sheetData sheetId="6765">
        <row r="19">
          <cell r="J19">
            <v>1.0499999999999999E-3</v>
          </cell>
        </row>
      </sheetData>
      <sheetData sheetId="6766">
        <row r="19">
          <cell r="J19">
            <v>1.0499999999999999E-3</v>
          </cell>
        </row>
      </sheetData>
      <sheetData sheetId="6767">
        <row r="19">
          <cell r="J19">
            <v>1.0499999999999999E-3</v>
          </cell>
        </row>
      </sheetData>
      <sheetData sheetId="6768">
        <row r="19">
          <cell r="J19">
            <v>1.0499999999999999E-3</v>
          </cell>
        </row>
      </sheetData>
      <sheetData sheetId="6769">
        <row r="19">
          <cell r="J19">
            <v>1.0499999999999999E-3</v>
          </cell>
        </row>
      </sheetData>
      <sheetData sheetId="6770">
        <row r="19">
          <cell r="J19">
            <v>1.0499999999999999E-3</v>
          </cell>
        </row>
      </sheetData>
      <sheetData sheetId="6771">
        <row r="19">
          <cell r="J19">
            <v>1.0499999999999999E-3</v>
          </cell>
        </row>
      </sheetData>
      <sheetData sheetId="6772">
        <row r="19">
          <cell r="J19">
            <v>1.0499999999999999E-3</v>
          </cell>
        </row>
      </sheetData>
      <sheetData sheetId="6773">
        <row r="19">
          <cell r="J19">
            <v>1.0499999999999999E-3</v>
          </cell>
        </row>
      </sheetData>
      <sheetData sheetId="6774">
        <row r="19">
          <cell r="J19">
            <v>1.0499999999999999E-3</v>
          </cell>
        </row>
      </sheetData>
      <sheetData sheetId="6775">
        <row r="19">
          <cell r="J19">
            <v>1.0499999999999999E-3</v>
          </cell>
        </row>
      </sheetData>
      <sheetData sheetId="6776">
        <row r="19">
          <cell r="J19">
            <v>1.0499999999999999E-3</v>
          </cell>
        </row>
      </sheetData>
      <sheetData sheetId="6777">
        <row r="19">
          <cell r="J19">
            <v>1.0499999999999999E-3</v>
          </cell>
        </row>
      </sheetData>
      <sheetData sheetId="6778">
        <row r="19">
          <cell r="J19">
            <v>1.0499999999999999E-3</v>
          </cell>
        </row>
      </sheetData>
      <sheetData sheetId="6779">
        <row r="19">
          <cell r="J19">
            <v>1.0499999999999999E-3</v>
          </cell>
        </row>
      </sheetData>
      <sheetData sheetId="6780">
        <row r="19">
          <cell r="J19">
            <v>1.0499999999999999E-3</v>
          </cell>
        </row>
      </sheetData>
      <sheetData sheetId="6781">
        <row r="19">
          <cell r="J19">
            <v>1.0499999999999999E-3</v>
          </cell>
        </row>
      </sheetData>
      <sheetData sheetId="6782">
        <row r="19">
          <cell r="J19">
            <v>1.0499999999999999E-3</v>
          </cell>
        </row>
      </sheetData>
      <sheetData sheetId="6783">
        <row r="19">
          <cell r="J19">
            <v>1.0499999999999999E-3</v>
          </cell>
        </row>
      </sheetData>
      <sheetData sheetId="6784">
        <row r="19">
          <cell r="J19">
            <v>1.0499999999999999E-3</v>
          </cell>
        </row>
      </sheetData>
      <sheetData sheetId="6785">
        <row r="19">
          <cell r="J19">
            <v>1.0499999999999999E-3</v>
          </cell>
        </row>
      </sheetData>
      <sheetData sheetId="6786">
        <row r="19">
          <cell r="J19">
            <v>1.0499999999999999E-3</v>
          </cell>
        </row>
      </sheetData>
      <sheetData sheetId="6787">
        <row r="19">
          <cell r="J19">
            <v>1.0499999999999999E-3</v>
          </cell>
        </row>
      </sheetData>
      <sheetData sheetId="6788">
        <row r="19">
          <cell r="J19">
            <v>1.0499999999999999E-3</v>
          </cell>
        </row>
      </sheetData>
      <sheetData sheetId="6789">
        <row r="19">
          <cell r="J19">
            <v>1.0499999999999999E-3</v>
          </cell>
        </row>
      </sheetData>
      <sheetData sheetId="6790">
        <row r="19">
          <cell r="J19">
            <v>1.0499999999999999E-3</v>
          </cell>
        </row>
      </sheetData>
      <sheetData sheetId="6791">
        <row r="19">
          <cell r="J19">
            <v>1.0499999999999999E-3</v>
          </cell>
        </row>
      </sheetData>
      <sheetData sheetId="6792">
        <row r="19">
          <cell r="J19">
            <v>1.0499999999999999E-3</v>
          </cell>
        </row>
      </sheetData>
      <sheetData sheetId="6793">
        <row r="19">
          <cell r="J19">
            <v>1.0499999999999999E-3</v>
          </cell>
        </row>
      </sheetData>
      <sheetData sheetId="6794">
        <row r="19">
          <cell r="J19">
            <v>1.0499999999999999E-3</v>
          </cell>
        </row>
      </sheetData>
      <sheetData sheetId="6795">
        <row r="19">
          <cell r="J19">
            <v>1.0499999999999999E-3</v>
          </cell>
        </row>
      </sheetData>
      <sheetData sheetId="6796">
        <row r="19">
          <cell r="J19">
            <v>1.0499999999999999E-3</v>
          </cell>
        </row>
      </sheetData>
      <sheetData sheetId="6797">
        <row r="19">
          <cell r="J19">
            <v>1.0499999999999999E-3</v>
          </cell>
        </row>
      </sheetData>
      <sheetData sheetId="6798">
        <row r="19">
          <cell r="J19">
            <v>1.0499999999999999E-3</v>
          </cell>
        </row>
      </sheetData>
      <sheetData sheetId="6799">
        <row r="19">
          <cell r="J19">
            <v>1.0499999999999999E-3</v>
          </cell>
        </row>
      </sheetData>
      <sheetData sheetId="6800">
        <row r="19">
          <cell r="J19">
            <v>1.0499999999999999E-3</v>
          </cell>
        </row>
      </sheetData>
      <sheetData sheetId="6801">
        <row r="19">
          <cell r="J19">
            <v>1.0499999999999999E-3</v>
          </cell>
        </row>
      </sheetData>
      <sheetData sheetId="6802">
        <row r="19">
          <cell r="J19">
            <v>1.0499999999999999E-3</v>
          </cell>
        </row>
      </sheetData>
      <sheetData sheetId="6803">
        <row r="19">
          <cell r="J19">
            <v>1.0499999999999999E-3</v>
          </cell>
        </row>
      </sheetData>
      <sheetData sheetId="6804">
        <row r="19">
          <cell r="J19">
            <v>1.0499999999999999E-3</v>
          </cell>
        </row>
      </sheetData>
      <sheetData sheetId="6805">
        <row r="19">
          <cell r="J19">
            <v>1.0499999999999999E-3</v>
          </cell>
        </row>
      </sheetData>
      <sheetData sheetId="6806">
        <row r="19">
          <cell r="J19">
            <v>1.0499999999999999E-3</v>
          </cell>
        </row>
      </sheetData>
      <sheetData sheetId="6807">
        <row r="19">
          <cell r="J19">
            <v>1.0499999999999999E-3</v>
          </cell>
        </row>
      </sheetData>
      <sheetData sheetId="6808">
        <row r="19">
          <cell r="J19">
            <v>1.0499999999999999E-3</v>
          </cell>
        </row>
      </sheetData>
      <sheetData sheetId="6809">
        <row r="19">
          <cell r="J19">
            <v>1.0499999999999999E-3</v>
          </cell>
        </row>
      </sheetData>
      <sheetData sheetId="6810">
        <row r="19">
          <cell r="J19">
            <v>1.0499999999999999E-3</v>
          </cell>
        </row>
      </sheetData>
      <sheetData sheetId="6811">
        <row r="19">
          <cell r="J19">
            <v>1.0499999999999999E-3</v>
          </cell>
        </row>
      </sheetData>
      <sheetData sheetId="6812">
        <row r="19">
          <cell r="J19">
            <v>1.0499999999999999E-3</v>
          </cell>
        </row>
      </sheetData>
      <sheetData sheetId="6813">
        <row r="19">
          <cell r="J19">
            <v>1.0499999999999999E-3</v>
          </cell>
        </row>
      </sheetData>
      <sheetData sheetId="6814">
        <row r="19">
          <cell r="J19">
            <v>1.0499999999999999E-3</v>
          </cell>
        </row>
      </sheetData>
      <sheetData sheetId="6815">
        <row r="19">
          <cell r="J19">
            <v>1.0499999999999999E-3</v>
          </cell>
        </row>
      </sheetData>
      <sheetData sheetId="6816">
        <row r="19">
          <cell r="J19">
            <v>1.0499999999999999E-3</v>
          </cell>
        </row>
      </sheetData>
      <sheetData sheetId="6817">
        <row r="19">
          <cell r="J19">
            <v>1.0499999999999999E-3</v>
          </cell>
        </row>
      </sheetData>
      <sheetData sheetId="6818">
        <row r="19">
          <cell r="J19">
            <v>1.0499999999999999E-3</v>
          </cell>
        </row>
      </sheetData>
      <sheetData sheetId="6819">
        <row r="19">
          <cell r="J19">
            <v>1.0499999999999999E-3</v>
          </cell>
        </row>
      </sheetData>
      <sheetData sheetId="6820">
        <row r="19">
          <cell r="J19">
            <v>1.0499999999999999E-3</v>
          </cell>
        </row>
      </sheetData>
      <sheetData sheetId="6821">
        <row r="19">
          <cell r="J19">
            <v>1.0499999999999999E-3</v>
          </cell>
        </row>
      </sheetData>
      <sheetData sheetId="6822">
        <row r="19">
          <cell r="J19">
            <v>1.0499999999999999E-3</v>
          </cell>
        </row>
      </sheetData>
      <sheetData sheetId="6823">
        <row r="19">
          <cell r="J19">
            <v>1.0499999999999999E-3</v>
          </cell>
        </row>
      </sheetData>
      <sheetData sheetId="6824">
        <row r="19">
          <cell r="J19">
            <v>1.0499999999999999E-3</v>
          </cell>
        </row>
      </sheetData>
      <sheetData sheetId="6825">
        <row r="19">
          <cell r="J19">
            <v>1.0499999999999999E-3</v>
          </cell>
        </row>
      </sheetData>
      <sheetData sheetId="6826">
        <row r="19">
          <cell r="J19">
            <v>1.0499999999999999E-3</v>
          </cell>
        </row>
      </sheetData>
      <sheetData sheetId="6827">
        <row r="19">
          <cell r="J19">
            <v>1.0499999999999999E-3</v>
          </cell>
        </row>
      </sheetData>
      <sheetData sheetId="6828">
        <row r="19">
          <cell r="J19">
            <v>1.0499999999999999E-3</v>
          </cell>
        </row>
      </sheetData>
      <sheetData sheetId="6829">
        <row r="19">
          <cell r="J19">
            <v>1.0499999999999999E-3</v>
          </cell>
        </row>
      </sheetData>
      <sheetData sheetId="6830">
        <row r="19">
          <cell r="J19">
            <v>1.0499999999999999E-3</v>
          </cell>
        </row>
      </sheetData>
      <sheetData sheetId="6831">
        <row r="19">
          <cell r="J19">
            <v>1.0499999999999999E-3</v>
          </cell>
        </row>
      </sheetData>
      <sheetData sheetId="6832">
        <row r="19">
          <cell r="J19">
            <v>1.0499999999999999E-3</v>
          </cell>
        </row>
      </sheetData>
      <sheetData sheetId="6833">
        <row r="19">
          <cell r="J19">
            <v>1.0499999999999999E-3</v>
          </cell>
        </row>
      </sheetData>
      <sheetData sheetId="6834">
        <row r="19">
          <cell r="J19">
            <v>1.0499999999999999E-3</v>
          </cell>
        </row>
      </sheetData>
      <sheetData sheetId="6835">
        <row r="19">
          <cell r="J19">
            <v>1.0499999999999999E-3</v>
          </cell>
        </row>
      </sheetData>
      <sheetData sheetId="6836">
        <row r="19">
          <cell r="J19">
            <v>1.0499999999999999E-3</v>
          </cell>
        </row>
      </sheetData>
      <sheetData sheetId="6837">
        <row r="19">
          <cell r="J19">
            <v>1.0499999999999999E-3</v>
          </cell>
        </row>
      </sheetData>
      <sheetData sheetId="6838">
        <row r="19">
          <cell r="J19">
            <v>1.0499999999999999E-3</v>
          </cell>
        </row>
      </sheetData>
      <sheetData sheetId="6839">
        <row r="19">
          <cell r="J19">
            <v>1.0499999999999999E-3</v>
          </cell>
        </row>
      </sheetData>
      <sheetData sheetId="6840">
        <row r="19">
          <cell r="J19">
            <v>1.0499999999999999E-3</v>
          </cell>
        </row>
      </sheetData>
      <sheetData sheetId="6841">
        <row r="19">
          <cell r="J19">
            <v>1.0499999999999999E-3</v>
          </cell>
        </row>
      </sheetData>
      <sheetData sheetId="6842">
        <row r="19">
          <cell r="J19">
            <v>1.0499999999999999E-3</v>
          </cell>
        </row>
      </sheetData>
      <sheetData sheetId="6843">
        <row r="19">
          <cell r="J19">
            <v>1.0499999999999999E-3</v>
          </cell>
        </row>
      </sheetData>
      <sheetData sheetId="6844">
        <row r="19">
          <cell r="J19">
            <v>1.0499999999999999E-3</v>
          </cell>
        </row>
      </sheetData>
      <sheetData sheetId="6845">
        <row r="19">
          <cell r="J19">
            <v>1.0499999999999999E-3</v>
          </cell>
        </row>
      </sheetData>
      <sheetData sheetId="6846">
        <row r="19">
          <cell r="J19">
            <v>1.0499999999999999E-3</v>
          </cell>
        </row>
      </sheetData>
      <sheetData sheetId="6847">
        <row r="19">
          <cell r="J19">
            <v>1.0499999999999999E-3</v>
          </cell>
        </row>
      </sheetData>
      <sheetData sheetId="6848">
        <row r="19">
          <cell r="J19">
            <v>1.0499999999999999E-3</v>
          </cell>
        </row>
      </sheetData>
      <sheetData sheetId="6849">
        <row r="19">
          <cell r="J19">
            <v>1.0499999999999999E-3</v>
          </cell>
        </row>
      </sheetData>
      <sheetData sheetId="6850">
        <row r="19">
          <cell r="J19">
            <v>1.0499999999999999E-3</v>
          </cell>
        </row>
      </sheetData>
      <sheetData sheetId="6851">
        <row r="19">
          <cell r="J19">
            <v>1.0499999999999999E-3</v>
          </cell>
        </row>
      </sheetData>
      <sheetData sheetId="6852">
        <row r="19">
          <cell r="J19">
            <v>1.0499999999999999E-3</v>
          </cell>
        </row>
      </sheetData>
      <sheetData sheetId="6853">
        <row r="19">
          <cell r="J19">
            <v>1.0499999999999999E-3</v>
          </cell>
        </row>
      </sheetData>
      <sheetData sheetId="6854">
        <row r="19">
          <cell r="J19">
            <v>1.0499999999999999E-3</v>
          </cell>
        </row>
      </sheetData>
      <sheetData sheetId="6855">
        <row r="19">
          <cell r="J19">
            <v>1.0499999999999999E-3</v>
          </cell>
        </row>
      </sheetData>
      <sheetData sheetId="6856">
        <row r="19">
          <cell r="J19">
            <v>1.0499999999999999E-3</v>
          </cell>
        </row>
      </sheetData>
      <sheetData sheetId="6857">
        <row r="19">
          <cell r="J19">
            <v>1.0499999999999999E-3</v>
          </cell>
        </row>
      </sheetData>
      <sheetData sheetId="6858">
        <row r="19">
          <cell r="J19">
            <v>1.0499999999999999E-3</v>
          </cell>
        </row>
      </sheetData>
      <sheetData sheetId="6859">
        <row r="19">
          <cell r="J19">
            <v>1.0499999999999999E-3</v>
          </cell>
        </row>
      </sheetData>
      <sheetData sheetId="6860">
        <row r="19">
          <cell r="J19">
            <v>1.0499999999999999E-3</v>
          </cell>
        </row>
      </sheetData>
      <sheetData sheetId="6861">
        <row r="19">
          <cell r="J19">
            <v>1.0499999999999999E-3</v>
          </cell>
        </row>
      </sheetData>
      <sheetData sheetId="6862">
        <row r="19">
          <cell r="J19">
            <v>1.0499999999999999E-3</v>
          </cell>
        </row>
      </sheetData>
      <sheetData sheetId="6863">
        <row r="19">
          <cell r="J19">
            <v>1.0499999999999999E-3</v>
          </cell>
        </row>
      </sheetData>
      <sheetData sheetId="6864">
        <row r="19">
          <cell r="J19">
            <v>1.0499999999999999E-3</v>
          </cell>
        </row>
      </sheetData>
      <sheetData sheetId="6865">
        <row r="19">
          <cell r="J19">
            <v>1.0499999999999999E-3</v>
          </cell>
        </row>
      </sheetData>
      <sheetData sheetId="6866">
        <row r="19">
          <cell r="J19">
            <v>1.0499999999999999E-3</v>
          </cell>
        </row>
      </sheetData>
      <sheetData sheetId="6867">
        <row r="19">
          <cell r="J19">
            <v>1.0499999999999999E-3</v>
          </cell>
        </row>
      </sheetData>
      <sheetData sheetId="6868">
        <row r="19">
          <cell r="J19">
            <v>1.0499999999999999E-3</v>
          </cell>
        </row>
      </sheetData>
      <sheetData sheetId="6869">
        <row r="19">
          <cell r="J19">
            <v>1.0499999999999999E-3</v>
          </cell>
        </row>
      </sheetData>
      <sheetData sheetId="6870">
        <row r="19">
          <cell r="J19">
            <v>1.0499999999999999E-3</v>
          </cell>
        </row>
      </sheetData>
      <sheetData sheetId="6871">
        <row r="19">
          <cell r="J19">
            <v>1.0499999999999999E-3</v>
          </cell>
        </row>
      </sheetData>
      <sheetData sheetId="6872">
        <row r="19">
          <cell r="J19">
            <v>1.0499999999999999E-3</v>
          </cell>
        </row>
      </sheetData>
      <sheetData sheetId="6873">
        <row r="19">
          <cell r="J19">
            <v>1.0499999999999999E-3</v>
          </cell>
        </row>
      </sheetData>
      <sheetData sheetId="6874">
        <row r="19">
          <cell r="J19">
            <v>1.0499999999999999E-3</v>
          </cell>
        </row>
      </sheetData>
      <sheetData sheetId="6875">
        <row r="19">
          <cell r="J19">
            <v>1.0499999999999999E-3</v>
          </cell>
        </row>
      </sheetData>
      <sheetData sheetId="6876">
        <row r="19">
          <cell r="J19">
            <v>1.0499999999999999E-3</v>
          </cell>
        </row>
      </sheetData>
      <sheetData sheetId="6877">
        <row r="19">
          <cell r="J19">
            <v>1.0499999999999999E-3</v>
          </cell>
        </row>
      </sheetData>
      <sheetData sheetId="6878">
        <row r="19">
          <cell r="J19">
            <v>1.0499999999999999E-3</v>
          </cell>
        </row>
      </sheetData>
      <sheetData sheetId="6879">
        <row r="19">
          <cell r="J19">
            <v>1.0499999999999999E-3</v>
          </cell>
        </row>
      </sheetData>
      <sheetData sheetId="6880">
        <row r="19">
          <cell r="J19">
            <v>1.0499999999999999E-3</v>
          </cell>
        </row>
      </sheetData>
      <sheetData sheetId="6881">
        <row r="19">
          <cell r="J19">
            <v>1.0499999999999999E-3</v>
          </cell>
        </row>
      </sheetData>
      <sheetData sheetId="6882">
        <row r="19">
          <cell r="J19">
            <v>1.0499999999999999E-3</v>
          </cell>
        </row>
      </sheetData>
      <sheetData sheetId="6883">
        <row r="19">
          <cell r="J19">
            <v>1.0499999999999999E-3</v>
          </cell>
        </row>
      </sheetData>
      <sheetData sheetId="6884">
        <row r="19">
          <cell r="J19">
            <v>1.0499999999999999E-3</v>
          </cell>
        </row>
      </sheetData>
      <sheetData sheetId="6885">
        <row r="19">
          <cell r="J19">
            <v>1.0499999999999999E-3</v>
          </cell>
        </row>
      </sheetData>
      <sheetData sheetId="6886">
        <row r="19">
          <cell r="J19">
            <v>1.0499999999999999E-3</v>
          </cell>
        </row>
      </sheetData>
      <sheetData sheetId="6887">
        <row r="19">
          <cell r="J19">
            <v>1.0499999999999999E-3</v>
          </cell>
        </row>
      </sheetData>
      <sheetData sheetId="6888">
        <row r="19">
          <cell r="J19">
            <v>1.0499999999999999E-3</v>
          </cell>
        </row>
      </sheetData>
      <sheetData sheetId="6889">
        <row r="19">
          <cell r="J19">
            <v>1.0499999999999999E-3</v>
          </cell>
        </row>
      </sheetData>
      <sheetData sheetId="6890">
        <row r="19">
          <cell r="J19">
            <v>1.0499999999999999E-3</v>
          </cell>
        </row>
      </sheetData>
      <sheetData sheetId="6891">
        <row r="19">
          <cell r="J19">
            <v>1.0499999999999999E-3</v>
          </cell>
        </row>
      </sheetData>
      <sheetData sheetId="6892">
        <row r="19">
          <cell r="J19">
            <v>1.0499999999999999E-3</v>
          </cell>
        </row>
      </sheetData>
      <sheetData sheetId="6893">
        <row r="19">
          <cell r="J19">
            <v>1.0499999999999999E-3</v>
          </cell>
        </row>
      </sheetData>
      <sheetData sheetId="6894">
        <row r="19">
          <cell r="J19">
            <v>1.0499999999999999E-3</v>
          </cell>
        </row>
      </sheetData>
      <sheetData sheetId="6895">
        <row r="19">
          <cell r="J19">
            <v>1.0499999999999999E-3</v>
          </cell>
        </row>
      </sheetData>
      <sheetData sheetId="6896">
        <row r="19">
          <cell r="J19">
            <v>1.0499999999999999E-3</v>
          </cell>
        </row>
      </sheetData>
      <sheetData sheetId="6897">
        <row r="19">
          <cell r="J19">
            <v>1.0499999999999999E-3</v>
          </cell>
        </row>
      </sheetData>
      <sheetData sheetId="6898">
        <row r="19">
          <cell r="J19">
            <v>1.0499999999999999E-3</v>
          </cell>
        </row>
      </sheetData>
      <sheetData sheetId="6899">
        <row r="19">
          <cell r="J19">
            <v>1.0499999999999999E-3</v>
          </cell>
        </row>
      </sheetData>
      <sheetData sheetId="6900">
        <row r="19">
          <cell r="J19">
            <v>1.0499999999999999E-3</v>
          </cell>
        </row>
      </sheetData>
      <sheetData sheetId="6901">
        <row r="19">
          <cell r="J19">
            <v>1.0499999999999999E-3</v>
          </cell>
        </row>
      </sheetData>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ow r="19">
          <cell r="J19">
            <v>1.0499999999999999E-3</v>
          </cell>
        </row>
      </sheetData>
      <sheetData sheetId="7836">
        <row r="19">
          <cell r="J19">
            <v>1.0499999999999999E-3</v>
          </cell>
        </row>
      </sheetData>
      <sheetData sheetId="7837">
        <row r="19">
          <cell r="J19">
            <v>1.0499999999999999E-3</v>
          </cell>
        </row>
      </sheetData>
      <sheetData sheetId="7838">
        <row r="19">
          <cell r="J19">
            <v>1.0499999999999999E-3</v>
          </cell>
        </row>
      </sheetData>
      <sheetData sheetId="7839">
        <row r="19">
          <cell r="J19">
            <v>1.0499999999999999E-3</v>
          </cell>
        </row>
      </sheetData>
      <sheetData sheetId="7840">
        <row r="19">
          <cell r="J19">
            <v>1.0499999999999999E-3</v>
          </cell>
        </row>
      </sheetData>
      <sheetData sheetId="7841">
        <row r="19">
          <cell r="J19">
            <v>1.0499999999999999E-3</v>
          </cell>
        </row>
      </sheetData>
      <sheetData sheetId="7842">
        <row r="19">
          <cell r="J19">
            <v>1.0499999999999999E-3</v>
          </cell>
        </row>
      </sheetData>
      <sheetData sheetId="7843">
        <row r="19">
          <cell r="J19">
            <v>1.0499999999999999E-3</v>
          </cell>
        </row>
      </sheetData>
      <sheetData sheetId="7844">
        <row r="19">
          <cell r="J19">
            <v>1.0499999999999999E-3</v>
          </cell>
        </row>
      </sheetData>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ow r="19">
          <cell r="J19">
            <v>1.0499999999999999E-3</v>
          </cell>
        </row>
      </sheetData>
      <sheetData sheetId="7857">
        <row r="19">
          <cell r="J19">
            <v>1.0499999999999999E-3</v>
          </cell>
        </row>
      </sheetData>
      <sheetData sheetId="7858">
        <row r="19">
          <cell r="J19">
            <v>1.0499999999999999E-3</v>
          </cell>
        </row>
      </sheetData>
      <sheetData sheetId="7859">
        <row r="19">
          <cell r="J19">
            <v>1.0499999999999999E-3</v>
          </cell>
        </row>
      </sheetData>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ow r="19">
          <cell r="J19">
            <v>1.0499999999999999E-3</v>
          </cell>
        </row>
      </sheetData>
      <sheetData sheetId="7872">
        <row r="19">
          <cell r="J19">
            <v>1.0499999999999999E-3</v>
          </cell>
        </row>
      </sheetData>
      <sheetData sheetId="7873">
        <row r="19">
          <cell r="J19">
            <v>1.0499999999999999E-3</v>
          </cell>
        </row>
      </sheetData>
      <sheetData sheetId="7874">
        <row r="19">
          <cell r="J19">
            <v>1.0499999999999999E-3</v>
          </cell>
        </row>
      </sheetData>
      <sheetData sheetId="7875">
        <row r="19">
          <cell r="J19">
            <v>1.0499999999999999E-3</v>
          </cell>
        </row>
      </sheetData>
      <sheetData sheetId="7876">
        <row r="19">
          <cell r="J19">
            <v>1.0499999999999999E-3</v>
          </cell>
        </row>
      </sheetData>
      <sheetData sheetId="7877">
        <row r="19">
          <cell r="J19">
            <v>1.0499999999999999E-3</v>
          </cell>
        </row>
      </sheetData>
      <sheetData sheetId="7878">
        <row r="19">
          <cell r="J19">
            <v>1.0499999999999999E-3</v>
          </cell>
        </row>
      </sheetData>
      <sheetData sheetId="7879">
        <row r="19">
          <cell r="J19">
            <v>1.0499999999999999E-3</v>
          </cell>
        </row>
      </sheetData>
      <sheetData sheetId="7880">
        <row r="19">
          <cell r="J19">
            <v>1.0499999999999999E-3</v>
          </cell>
        </row>
      </sheetData>
      <sheetData sheetId="7881">
        <row r="19">
          <cell r="J19">
            <v>1.0499999999999999E-3</v>
          </cell>
        </row>
      </sheetData>
      <sheetData sheetId="7882">
        <row r="19">
          <cell r="J19">
            <v>1.0499999999999999E-3</v>
          </cell>
        </row>
      </sheetData>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ow r="19">
          <cell r="J19">
            <v>1.0499999999999999E-3</v>
          </cell>
        </row>
      </sheetData>
      <sheetData sheetId="7893">
        <row r="19">
          <cell r="J19">
            <v>1.0499999999999999E-3</v>
          </cell>
        </row>
      </sheetData>
      <sheetData sheetId="7894">
        <row r="19">
          <cell r="J19">
            <v>1.0499999999999999E-3</v>
          </cell>
        </row>
      </sheetData>
      <sheetData sheetId="7895">
        <row r="19">
          <cell r="J19">
            <v>1.0499999999999999E-3</v>
          </cell>
        </row>
      </sheetData>
      <sheetData sheetId="7896">
        <row r="19">
          <cell r="J19">
            <v>1.0499999999999999E-3</v>
          </cell>
        </row>
      </sheetData>
      <sheetData sheetId="7897">
        <row r="19">
          <cell r="J19">
            <v>1.0499999999999999E-3</v>
          </cell>
        </row>
      </sheetData>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efreshError="1"/>
      <sheetData sheetId="8001" refreshError="1"/>
      <sheetData sheetId="8002">
        <row r="19">
          <cell r="J19">
            <v>1.0499999999999999E-3</v>
          </cell>
        </row>
      </sheetData>
      <sheetData sheetId="8003">
        <row r="19">
          <cell r="J19">
            <v>1.0499999999999999E-3</v>
          </cell>
        </row>
      </sheetData>
      <sheetData sheetId="8004" refreshError="1"/>
      <sheetData sheetId="8005" refreshError="1"/>
      <sheetData sheetId="8006">
        <row r="19">
          <cell r="J19">
            <v>1.0499999999999999E-3</v>
          </cell>
        </row>
      </sheetData>
      <sheetData sheetId="8007">
        <row r="19">
          <cell r="J19">
            <v>1.0499999999999999E-3</v>
          </cell>
        </row>
      </sheetData>
      <sheetData sheetId="8008" refreshError="1"/>
      <sheetData sheetId="8009" refreshError="1"/>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5">
          <cell r="I5">
            <v>0</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5">
          <cell r="I5">
            <v>0</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5">
          <cell r="I5">
            <v>0</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5">
          <cell r="I5">
            <v>0</v>
          </cell>
        </row>
      </sheetData>
      <sheetData sheetId="8718">
        <row r="19">
          <cell r="J19">
            <v>1.0499999999999999E-3</v>
          </cell>
        </row>
      </sheetData>
      <sheetData sheetId="8719">
        <row r="5">
          <cell r="I5">
            <v>0</v>
          </cell>
        </row>
      </sheetData>
      <sheetData sheetId="8720">
        <row r="19">
          <cell r="J19">
            <v>1.0499999999999999E-3</v>
          </cell>
        </row>
      </sheetData>
      <sheetData sheetId="8721">
        <row r="5">
          <cell r="I5">
            <v>0</v>
          </cell>
        </row>
      </sheetData>
      <sheetData sheetId="8722">
        <row r="19">
          <cell r="J19">
            <v>1.0499999999999999E-3</v>
          </cell>
        </row>
      </sheetData>
      <sheetData sheetId="8723">
        <row r="5">
          <cell r="I5">
            <v>0</v>
          </cell>
        </row>
      </sheetData>
      <sheetData sheetId="8724">
        <row r="19">
          <cell r="J19">
            <v>1.0499999999999999E-3</v>
          </cell>
        </row>
      </sheetData>
      <sheetData sheetId="8725">
        <row r="5">
          <cell r="I5">
            <v>0</v>
          </cell>
        </row>
      </sheetData>
      <sheetData sheetId="8726">
        <row r="19">
          <cell r="J19">
            <v>1.0499999999999999E-3</v>
          </cell>
        </row>
      </sheetData>
      <sheetData sheetId="8727">
        <row r="5">
          <cell r="I5">
            <v>0</v>
          </cell>
        </row>
      </sheetData>
      <sheetData sheetId="8728">
        <row r="19">
          <cell r="J19">
            <v>1.0499999999999999E-3</v>
          </cell>
        </row>
      </sheetData>
      <sheetData sheetId="8729">
        <row r="5">
          <cell r="I5">
            <v>0</v>
          </cell>
        </row>
      </sheetData>
      <sheetData sheetId="8730">
        <row r="19">
          <cell r="J19">
            <v>1.0499999999999999E-3</v>
          </cell>
        </row>
      </sheetData>
      <sheetData sheetId="8731">
        <row r="5">
          <cell r="I5">
            <v>0</v>
          </cell>
        </row>
      </sheetData>
      <sheetData sheetId="8732">
        <row r="19">
          <cell r="J19">
            <v>1.0499999999999999E-3</v>
          </cell>
        </row>
      </sheetData>
      <sheetData sheetId="8733">
        <row r="5">
          <cell r="I5">
            <v>0</v>
          </cell>
        </row>
      </sheetData>
      <sheetData sheetId="8734">
        <row r="19">
          <cell r="J19">
            <v>1.0499999999999999E-3</v>
          </cell>
        </row>
      </sheetData>
      <sheetData sheetId="8735">
        <row r="5">
          <cell r="I5">
            <v>0</v>
          </cell>
        </row>
      </sheetData>
      <sheetData sheetId="8736">
        <row r="19">
          <cell r="J19">
            <v>1.0499999999999999E-3</v>
          </cell>
        </row>
      </sheetData>
      <sheetData sheetId="8737">
        <row r="5">
          <cell r="I5">
            <v>0</v>
          </cell>
        </row>
      </sheetData>
      <sheetData sheetId="8738">
        <row r="19">
          <cell r="J19">
            <v>1.0499999999999999E-3</v>
          </cell>
        </row>
      </sheetData>
      <sheetData sheetId="8739">
        <row r="5">
          <cell r="I5">
            <v>0</v>
          </cell>
        </row>
      </sheetData>
      <sheetData sheetId="8740">
        <row r="19">
          <cell r="J19">
            <v>1.0499999999999999E-3</v>
          </cell>
        </row>
      </sheetData>
      <sheetData sheetId="8741">
        <row r="5">
          <cell r="I5">
            <v>0</v>
          </cell>
        </row>
      </sheetData>
      <sheetData sheetId="8742">
        <row r="19">
          <cell r="J19">
            <v>1.0499999999999999E-3</v>
          </cell>
        </row>
      </sheetData>
      <sheetData sheetId="8743">
        <row r="5">
          <cell r="I5">
            <v>0</v>
          </cell>
        </row>
      </sheetData>
      <sheetData sheetId="8744">
        <row r="19">
          <cell r="J19">
            <v>1.0499999999999999E-3</v>
          </cell>
        </row>
      </sheetData>
      <sheetData sheetId="8745">
        <row r="5">
          <cell r="I5">
            <v>0</v>
          </cell>
        </row>
      </sheetData>
      <sheetData sheetId="8746">
        <row r="19">
          <cell r="J19">
            <v>1.0499999999999999E-3</v>
          </cell>
        </row>
      </sheetData>
      <sheetData sheetId="8747">
        <row r="5">
          <cell r="I5">
            <v>0</v>
          </cell>
        </row>
      </sheetData>
      <sheetData sheetId="8748">
        <row r="19">
          <cell r="J19">
            <v>1.0499999999999999E-3</v>
          </cell>
        </row>
      </sheetData>
      <sheetData sheetId="8749">
        <row r="5">
          <cell r="I5">
            <v>0</v>
          </cell>
        </row>
      </sheetData>
      <sheetData sheetId="8750">
        <row r="5">
          <cell r="I5">
            <v>0</v>
          </cell>
        </row>
      </sheetData>
      <sheetData sheetId="8751">
        <row r="5">
          <cell r="I5">
            <v>0</v>
          </cell>
        </row>
      </sheetData>
      <sheetData sheetId="8752">
        <row r="19">
          <cell r="J19">
            <v>1.0499999999999999E-3</v>
          </cell>
        </row>
      </sheetData>
      <sheetData sheetId="8753">
        <row r="5">
          <cell r="I5">
            <v>0</v>
          </cell>
        </row>
      </sheetData>
      <sheetData sheetId="8754">
        <row r="5">
          <cell r="I5">
            <v>0</v>
          </cell>
        </row>
      </sheetData>
      <sheetData sheetId="8755">
        <row r="5">
          <cell r="I5">
            <v>0</v>
          </cell>
        </row>
      </sheetData>
      <sheetData sheetId="8756">
        <row r="19">
          <cell r="J19">
            <v>1.0499999999999999E-3</v>
          </cell>
        </row>
      </sheetData>
      <sheetData sheetId="8757">
        <row r="5">
          <cell r="I5">
            <v>0</v>
          </cell>
        </row>
      </sheetData>
      <sheetData sheetId="8758">
        <row r="5">
          <cell r="I5">
            <v>0</v>
          </cell>
        </row>
      </sheetData>
      <sheetData sheetId="8759">
        <row r="5">
          <cell r="I5">
            <v>0</v>
          </cell>
        </row>
      </sheetData>
      <sheetData sheetId="8760">
        <row r="19">
          <cell r="J19">
            <v>1.0499999999999999E-3</v>
          </cell>
        </row>
      </sheetData>
      <sheetData sheetId="8761">
        <row r="5">
          <cell r="I5">
            <v>0</v>
          </cell>
        </row>
      </sheetData>
      <sheetData sheetId="8762">
        <row r="5">
          <cell r="I5">
            <v>0</v>
          </cell>
        </row>
      </sheetData>
      <sheetData sheetId="8763">
        <row r="5">
          <cell r="I5">
            <v>0</v>
          </cell>
        </row>
      </sheetData>
      <sheetData sheetId="8764">
        <row r="5">
          <cell r="I5">
            <v>0</v>
          </cell>
        </row>
      </sheetData>
      <sheetData sheetId="8765">
        <row r="5">
          <cell r="I5">
            <v>0</v>
          </cell>
        </row>
      </sheetData>
      <sheetData sheetId="8766">
        <row r="19">
          <cell r="J19">
            <v>1.0499999999999999E-3</v>
          </cell>
        </row>
      </sheetData>
      <sheetData sheetId="8767">
        <row r="5">
          <cell r="I5">
            <v>0</v>
          </cell>
        </row>
      </sheetData>
      <sheetData sheetId="8768">
        <row r="5">
          <cell r="I5">
            <v>0</v>
          </cell>
        </row>
      </sheetData>
      <sheetData sheetId="8769">
        <row r="5">
          <cell r="I5">
            <v>0</v>
          </cell>
        </row>
      </sheetData>
      <sheetData sheetId="8770">
        <row r="5">
          <cell r="I5">
            <v>0</v>
          </cell>
        </row>
      </sheetData>
      <sheetData sheetId="8771">
        <row r="5">
          <cell r="I5">
            <v>0</v>
          </cell>
        </row>
      </sheetData>
      <sheetData sheetId="8772">
        <row r="5">
          <cell r="I5">
            <v>0</v>
          </cell>
        </row>
      </sheetData>
      <sheetData sheetId="8773">
        <row r="5">
          <cell r="I5">
            <v>0</v>
          </cell>
        </row>
      </sheetData>
      <sheetData sheetId="8774">
        <row r="19">
          <cell r="J19">
            <v>1.0499999999999999E-3</v>
          </cell>
        </row>
      </sheetData>
      <sheetData sheetId="8775">
        <row r="5">
          <cell r="I5">
            <v>0</v>
          </cell>
        </row>
      </sheetData>
      <sheetData sheetId="8776">
        <row r="5">
          <cell r="I5">
            <v>0</v>
          </cell>
        </row>
      </sheetData>
      <sheetData sheetId="8777">
        <row r="5">
          <cell r="I5">
            <v>0</v>
          </cell>
        </row>
      </sheetData>
      <sheetData sheetId="8778">
        <row r="5">
          <cell r="I5">
            <v>0</v>
          </cell>
        </row>
      </sheetData>
      <sheetData sheetId="8779">
        <row r="5">
          <cell r="I5">
            <v>0</v>
          </cell>
        </row>
      </sheetData>
      <sheetData sheetId="8780">
        <row r="5">
          <cell r="I5">
            <v>0</v>
          </cell>
        </row>
      </sheetData>
      <sheetData sheetId="8781">
        <row r="5">
          <cell r="I5">
            <v>0</v>
          </cell>
        </row>
      </sheetData>
      <sheetData sheetId="8782">
        <row r="5">
          <cell r="I5">
            <v>0</v>
          </cell>
        </row>
      </sheetData>
      <sheetData sheetId="8783">
        <row r="5">
          <cell r="I5">
            <v>0</v>
          </cell>
        </row>
      </sheetData>
      <sheetData sheetId="8784">
        <row r="5">
          <cell r="I5">
            <v>0</v>
          </cell>
        </row>
      </sheetData>
      <sheetData sheetId="8785">
        <row r="5">
          <cell r="I5">
            <v>0</v>
          </cell>
        </row>
      </sheetData>
      <sheetData sheetId="8786">
        <row r="5">
          <cell r="I5">
            <v>0</v>
          </cell>
        </row>
      </sheetData>
      <sheetData sheetId="8787">
        <row r="5">
          <cell r="I5">
            <v>0</v>
          </cell>
        </row>
      </sheetData>
      <sheetData sheetId="8788">
        <row r="5">
          <cell r="I5">
            <v>0</v>
          </cell>
        </row>
      </sheetData>
      <sheetData sheetId="8789">
        <row r="5">
          <cell r="I5">
            <v>0</v>
          </cell>
        </row>
      </sheetData>
      <sheetData sheetId="8790">
        <row r="5">
          <cell r="I5">
            <v>0</v>
          </cell>
        </row>
      </sheetData>
      <sheetData sheetId="8791">
        <row r="5">
          <cell r="I5">
            <v>0</v>
          </cell>
        </row>
      </sheetData>
      <sheetData sheetId="8792">
        <row r="5">
          <cell r="I5">
            <v>0</v>
          </cell>
        </row>
      </sheetData>
      <sheetData sheetId="8793">
        <row r="5">
          <cell r="I5">
            <v>0</v>
          </cell>
        </row>
      </sheetData>
      <sheetData sheetId="8794">
        <row r="5">
          <cell r="I5">
            <v>0</v>
          </cell>
        </row>
      </sheetData>
      <sheetData sheetId="8795">
        <row r="5">
          <cell r="I5">
            <v>0</v>
          </cell>
        </row>
      </sheetData>
      <sheetData sheetId="8796">
        <row r="5">
          <cell r="I5">
            <v>0</v>
          </cell>
        </row>
      </sheetData>
      <sheetData sheetId="8797">
        <row r="5">
          <cell r="I5">
            <v>0</v>
          </cell>
        </row>
      </sheetData>
      <sheetData sheetId="8798">
        <row r="5">
          <cell r="I5">
            <v>0</v>
          </cell>
        </row>
      </sheetData>
      <sheetData sheetId="8799">
        <row r="5">
          <cell r="I5">
            <v>0</v>
          </cell>
        </row>
      </sheetData>
      <sheetData sheetId="8800">
        <row r="5">
          <cell r="I5">
            <v>0</v>
          </cell>
        </row>
      </sheetData>
      <sheetData sheetId="8801">
        <row r="5">
          <cell r="I5">
            <v>0</v>
          </cell>
        </row>
      </sheetData>
      <sheetData sheetId="8802">
        <row r="5">
          <cell r="I5">
            <v>0</v>
          </cell>
        </row>
      </sheetData>
      <sheetData sheetId="8803">
        <row r="5">
          <cell r="I5">
            <v>0</v>
          </cell>
        </row>
      </sheetData>
      <sheetData sheetId="8804">
        <row r="5">
          <cell r="I5">
            <v>0</v>
          </cell>
        </row>
      </sheetData>
      <sheetData sheetId="8805">
        <row r="5">
          <cell r="I5">
            <v>0</v>
          </cell>
        </row>
      </sheetData>
      <sheetData sheetId="8806">
        <row r="5">
          <cell r="I5">
            <v>0</v>
          </cell>
        </row>
      </sheetData>
      <sheetData sheetId="8807">
        <row r="5">
          <cell r="I5">
            <v>0</v>
          </cell>
        </row>
      </sheetData>
      <sheetData sheetId="8808">
        <row r="5">
          <cell r="I5">
            <v>0</v>
          </cell>
        </row>
      </sheetData>
      <sheetData sheetId="8809">
        <row r="5">
          <cell r="I5">
            <v>0</v>
          </cell>
        </row>
      </sheetData>
      <sheetData sheetId="8810">
        <row r="5">
          <cell r="I5">
            <v>0</v>
          </cell>
        </row>
      </sheetData>
      <sheetData sheetId="8811">
        <row r="5">
          <cell r="I5">
            <v>0</v>
          </cell>
        </row>
      </sheetData>
      <sheetData sheetId="8812">
        <row r="5">
          <cell r="I5">
            <v>0</v>
          </cell>
        </row>
      </sheetData>
      <sheetData sheetId="8813">
        <row r="5">
          <cell r="I5">
            <v>0</v>
          </cell>
        </row>
      </sheetData>
      <sheetData sheetId="8814">
        <row r="5">
          <cell r="I5">
            <v>0</v>
          </cell>
        </row>
      </sheetData>
      <sheetData sheetId="8815">
        <row r="5">
          <cell r="I5">
            <v>0</v>
          </cell>
        </row>
      </sheetData>
      <sheetData sheetId="8816">
        <row r="5">
          <cell r="I5">
            <v>0</v>
          </cell>
        </row>
      </sheetData>
      <sheetData sheetId="8817">
        <row r="5">
          <cell r="I5">
            <v>0</v>
          </cell>
        </row>
      </sheetData>
      <sheetData sheetId="8818">
        <row r="5">
          <cell r="I5">
            <v>0</v>
          </cell>
        </row>
      </sheetData>
      <sheetData sheetId="8819">
        <row r="5">
          <cell r="I5">
            <v>0</v>
          </cell>
        </row>
      </sheetData>
      <sheetData sheetId="8820">
        <row r="5">
          <cell r="I5">
            <v>0</v>
          </cell>
        </row>
      </sheetData>
      <sheetData sheetId="8821">
        <row r="5">
          <cell r="I5">
            <v>0</v>
          </cell>
        </row>
      </sheetData>
      <sheetData sheetId="8822">
        <row r="5">
          <cell r="I5">
            <v>0</v>
          </cell>
        </row>
      </sheetData>
      <sheetData sheetId="8823">
        <row r="5">
          <cell r="I5">
            <v>0</v>
          </cell>
        </row>
      </sheetData>
      <sheetData sheetId="8824">
        <row r="5">
          <cell r="I5">
            <v>0</v>
          </cell>
        </row>
      </sheetData>
      <sheetData sheetId="8825">
        <row r="5">
          <cell r="I5">
            <v>0</v>
          </cell>
        </row>
      </sheetData>
      <sheetData sheetId="8826">
        <row r="5">
          <cell r="I5">
            <v>0</v>
          </cell>
        </row>
      </sheetData>
      <sheetData sheetId="8827">
        <row r="5">
          <cell r="I5">
            <v>0</v>
          </cell>
        </row>
      </sheetData>
      <sheetData sheetId="8828">
        <row r="5">
          <cell r="I5">
            <v>0</v>
          </cell>
        </row>
      </sheetData>
      <sheetData sheetId="8829">
        <row r="5">
          <cell r="I5">
            <v>0</v>
          </cell>
        </row>
      </sheetData>
      <sheetData sheetId="8830">
        <row r="5">
          <cell r="I5">
            <v>0</v>
          </cell>
        </row>
      </sheetData>
      <sheetData sheetId="8831">
        <row r="5">
          <cell r="I5">
            <v>0</v>
          </cell>
        </row>
      </sheetData>
      <sheetData sheetId="8832">
        <row r="5">
          <cell r="I5">
            <v>0</v>
          </cell>
        </row>
      </sheetData>
      <sheetData sheetId="8833">
        <row r="5">
          <cell r="I5">
            <v>0</v>
          </cell>
        </row>
      </sheetData>
      <sheetData sheetId="8834">
        <row r="5">
          <cell r="I5">
            <v>0</v>
          </cell>
        </row>
      </sheetData>
      <sheetData sheetId="8835">
        <row r="5">
          <cell r="I5">
            <v>0</v>
          </cell>
        </row>
      </sheetData>
      <sheetData sheetId="8836">
        <row r="5">
          <cell r="I5">
            <v>0</v>
          </cell>
        </row>
      </sheetData>
      <sheetData sheetId="8837">
        <row r="5">
          <cell r="I5">
            <v>0</v>
          </cell>
        </row>
      </sheetData>
      <sheetData sheetId="8838">
        <row r="5">
          <cell r="I5">
            <v>0</v>
          </cell>
        </row>
      </sheetData>
      <sheetData sheetId="8839">
        <row r="5">
          <cell r="I5">
            <v>0</v>
          </cell>
        </row>
      </sheetData>
      <sheetData sheetId="8840">
        <row r="5">
          <cell r="I5">
            <v>0</v>
          </cell>
        </row>
      </sheetData>
      <sheetData sheetId="8841">
        <row r="5">
          <cell r="I5">
            <v>0</v>
          </cell>
        </row>
      </sheetData>
      <sheetData sheetId="8842">
        <row r="5">
          <cell r="I5">
            <v>0</v>
          </cell>
        </row>
      </sheetData>
      <sheetData sheetId="8843">
        <row r="5">
          <cell r="I5">
            <v>0</v>
          </cell>
        </row>
      </sheetData>
      <sheetData sheetId="8844">
        <row r="5">
          <cell r="I5">
            <v>0</v>
          </cell>
        </row>
      </sheetData>
      <sheetData sheetId="8845">
        <row r="5">
          <cell r="I5">
            <v>0</v>
          </cell>
        </row>
      </sheetData>
      <sheetData sheetId="8846">
        <row r="5">
          <cell r="I5">
            <v>0</v>
          </cell>
        </row>
      </sheetData>
      <sheetData sheetId="8847">
        <row r="5">
          <cell r="I5">
            <v>0</v>
          </cell>
        </row>
      </sheetData>
      <sheetData sheetId="8848">
        <row r="5">
          <cell r="I5">
            <v>0</v>
          </cell>
        </row>
      </sheetData>
      <sheetData sheetId="8849">
        <row r="5">
          <cell r="I5">
            <v>0</v>
          </cell>
        </row>
      </sheetData>
      <sheetData sheetId="8850">
        <row r="5">
          <cell r="I5">
            <v>0</v>
          </cell>
        </row>
      </sheetData>
      <sheetData sheetId="8851">
        <row r="5">
          <cell r="I5">
            <v>0</v>
          </cell>
        </row>
      </sheetData>
      <sheetData sheetId="8852">
        <row r="5">
          <cell r="I5">
            <v>0</v>
          </cell>
        </row>
      </sheetData>
      <sheetData sheetId="8853">
        <row r="5">
          <cell r="I5">
            <v>0</v>
          </cell>
        </row>
      </sheetData>
      <sheetData sheetId="8854">
        <row r="5">
          <cell r="I5">
            <v>0</v>
          </cell>
        </row>
      </sheetData>
      <sheetData sheetId="8855">
        <row r="5">
          <cell r="I5">
            <v>0</v>
          </cell>
        </row>
      </sheetData>
      <sheetData sheetId="8856">
        <row r="5">
          <cell r="I5">
            <v>0</v>
          </cell>
        </row>
      </sheetData>
      <sheetData sheetId="8857">
        <row r="5">
          <cell r="I5">
            <v>0</v>
          </cell>
        </row>
      </sheetData>
      <sheetData sheetId="8858">
        <row r="5">
          <cell r="I5">
            <v>0</v>
          </cell>
        </row>
      </sheetData>
      <sheetData sheetId="8859">
        <row r="5">
          <cell r="I5">
            <v>0</v>
          </cell>
        </row>
      </sheetData>
      <sheetData sheetId="8860">
        <row r="5">
          <cell r="I5">
            <v>0</v>
          </cell>
        </row>
      </sheetData>
      <sheetData sheetId="8861">
        <row r="5">
          <cell r="I5">
            <v>0</v>
          </cell>
        </row>
      </sheetData>
      <sheetData sheetId="8862">
        <row r="5">
          <cell r="I5">
            <v>0</v>
          </cell>
        </row>
      </sheetData>
      <sheetData sheetId="8863">
        <row r="5">
          <cell r="I5">
            <v>0</v>
          </cell>
        </row>
      </sheetData>
      <sheetData sheetId="8864">
        <row r="5">
          <cell r="I5">
            <v>0</v>
          </cell>
        </row>
      </sheetData>
      <sheetData sheetId="8865">
        <row r="5">
          <cell r="I5">
            <v>0</v>
          </cell>
        </row>
      </sheetData>
      <sheetData sheetId="8866">
        <row r="5">
          <cell r="I5">
            <v>0</v>
          </cell>
        </row>
      </sheetData>
      <sheetData sheetId="8867">
        <row r="5">
          <cell r="I5">
            <v>0</v>
          </cell>
        </row>
      </sheetData>
      <sheetData sheetId="8868">
        <row r="5">
          <cell r="I5">
            <v>0</v>
          </cell>
        </row>
      </sheetData>
      <sheetData sheetId="8869">
        <row r="5">
          <cell r="I5">
            <v>0</v>
          </cell>
        </row>
      </sheetData>
      <sheetData sheetId="8870">
        <row r="5">
          <cell r="I5">
            <v>0</v>
          </cell>
        </row>
      </sheetData>
      <sheetData sheetId="8871">
        <row r="5">
          <cell r="I5">
            <v>0</v>
          </cell>
        </row>
      </sheetData>
      <sheetData sheetId="8872">
        <row r="5">
          <cell r="I5">
            <v>0</v>
          </cell>
        </row>
      </sheetData>
      <sheetData sheetId="8873">
        <row r="5">
          <cell r="I5">
            <v>0</v>
          </cell>
        </row>
      </sheetData>
      <sheetData sheetId="8874">
        <row r="5">
          <cell r="I5">
            <v>0</v>
          </cell>
        </row>
      </sheetData>
      <sheetData sheetId="8875">
        <row r="5">
          <cell r="I5">
            <v>0</v>
          </cell>
        </row>
      </sheetData>
      <sheetData sheetId="8876">
        <row r="5">
          <cell r="I5">
            <v>0</v>
          </cell>
        </row>
      </sheetData>
      <sheetData sheetId="8877">
        <row r="5">
          <cell r="I5">
            <v>0</v>
          </cell>
        </row>
      </sheetData>
      <sheetData sheetId="8878">
        <row r="5">
          <cell r="I5">
            <v>0</v>
          </cell>
        </row>
      </sheetData>
      <sheetData sheetId="8879">
        <row r="5">
          <cell r="I5">
            <v>0</v>
          </cell>
        </row>
      </sheetData>
      <sheetData sheetId="8880">
        <row r="5">
          <cell r="I5">
            <v>0</v>
          </cell>
        </row>
      </sheetData>
      <sheetData sheetId="8881">
        <row r="5">
          <cell r="I5">
            <v>0</v>
          </cell>
        </row>
      </sheetData>
      <sheetData sheetId="8882">
        <row r="5">
          <cell r="I5">
            <v>0</v>
          </cell>
        </row>
      </sheetData>
      <sheetData sheetId="8883">
        <row r="5">
          <cell r="I5">
            <v>0</v>
          </cell>
        </row>
      </sheetData>
      <sheetData sheetId="8884">
        <row r="5">
          <cell r="I5">
            <v>0</v>
          </cell>
        </row>
      </sheetData>
      <sheetData sheetId="8885">
        <row r="5">
          <cell r="I5">
            <v>0</v>
          </cell>
        </row>
      </sheetData>
      <sheetData sheetId="8886">
        <row r="5">
          <cell r="I5">
            <v>0</v>
          </cell>
        </row>
      </sheetData>
      <sheetData sheetId="8887">
        <row r="5">
          <cell r="I5">
            <v>0</v>
          </cell>
        </row>
      </sheetData>
      <sheetData sheetId="8888">
        <row r="5">
          <cell r="I5">
            <v>0</v>
          </cell>
        </row>
      </sheetData>
      <sheetData sheetId="8889">
        <row r="5">
          <cell r="I5">
            <v>0</v>
          </cell>
        </row>
      </sheetData>
      <sheetData sheetId="8890">
        <row r="5">
          <cell r="I5">
            <v>0</v>
          </cell>
        </row>
      </sheetData>
      <sheetData sheetId="8891">
        <row r="5">
          <cell r="I5">
            <v>0</v>
          </cell>
        </row>
      </sheetData>
      <sheetData sheetId="8892">
        <row r="5">
          <cell r="I5">
            <v>0</v>
          </cell>
        </row>
      </sheetData>
      <sheetData sheetId="8893">
        <row r="5">
          <cell r="I5">
            <v>0</v>
          </cell>
        </row>
      </sheetData>
      <sheetData sheetId="8894">
        <row r="5">
          <cell r="I5">
            <v>0</v>
          </cell>
        </row>
      </sheetData>
      <sheetData sheetId="8895">
        <row r="5">
          <cell r="I5">
            <v>0</v>
          </cell>
        </row>
      </sheetData>
      <sheetData sheetId="8896">
        <row r="5">
          <cell r="I5">
            <v>0</v>
          </cell>
        </row>
      </sheetData>
      <sheetData sheetId="8897">
        <row r="5">
          <cell r="I5">
            <v>0</v>
          </cell>
        </row>
      </sheetData>
      <sheetData sheetId="8898">
        <row r="5">
          <cell r="I5">
            <v>0</v>
          </cell>
        </row>
      </sheetData>
      <sheetData sheetId="8899">
        <row r="5">
          <cell r="I5">
            <v>0</v>
          </cell>
        </row>
      </sheetData>
      <sheetData sheetId="8900">
        <row r="5">
          <cell r="I5">
            <v>0</v>
          </cell>
        </row>
      </sheetData>
      <sheetData sheetId="8901">
        <row r="5">
          <cell r="I5">
            <v>0</v>
          </cell>
        </row>
      </sheetData>
      <sheetData sheetId="8902">
        <row r="5">
          <cell r="I5">
            <v>0</v>
          </cell>
        </row>
      </sheetData>
      <sheetData sheetId="8903">
        <row r="5">
          <cell r="I5">
            <v>0</v>
          </cell>
        </row>
      </sheetData>
      <sheetData sheetId="8904">
        <row r="5">
          <cell r="I5">
            <v>0</v>
          </cell>
        </row>
      </sheetData>
      <sheetData sheetId="8905">
        <row r="5">
          <cell r="I5">
            <v>0</v>
          </cell>
        </row>
      </sheetData>
      <sheetData sheetId="8906">
        <row r="5">
          <cell r="I5">
            <v>0</v>
          </cell>
        </row>
      </sheetData>
      <sheetData sheetId="8907">
        <row r="5">
          <cell r="I5">
            <v>0</v>
          </cell>
        </row>
      </sheetData>
      <sheetData sheetId="8908">
        <row r="5">
          <cell r="I5">
            <v>0</v>
          </cell>
        </row>
      </sheetData>
      <sheetData sheetId="8909">
        <row r="5">
          <cell r="I5">
            <v>0</v>
          </cell>
        </row>
      </sheetData>
      <sheetData sheetId="8910">
        <row r="5">
          <cell r="I5">
            <v>0</v>
          </cell>
        </row>
      </sheetData>
      <sheetData sheetId="8911">
        <row r="5">
          <cell r="I5">
            <v>0</v>
          </cell>
        </row>
      </sheetData>
      <sheetData sheetId="8912">
        <row r="5">
          <cell r="I5">
            <v>0</v>
          </cell>
        </row>
      </sheetData>
      <sheetData sheetId="8913">
        <row r="5">
          <cell r="I5">
            <v>0</v>
          </cell>
        </row>
      </sheetData>
      <sheetData sheetId="8914">
        <row r="5">
          <cell r="I5">
            <v>0</v>
          </cell>
        </row>
      </sheetData>
      <sheetData sheetId="8915">
        <row r="5">
          <cell r="I5">
            <v>0</v>
          </cell>
        </row>
      </sheetData>
      <sheetData sheetId="8916">
        <row r="5">
          <cell r="I5">
            <v>0</v>
          </cell>
        </row>
      </sheetData>
      <sheetData sheetId="8917">
        <row r="5">
          <cell r="I5">
            <v>0</v>
          </cell>
        </row>
      </sheetData>
      <sheetData sheetId="8918">
        <row r="5">
          <cell r="I5">
            <v>0</v>
          </cell>
        </row>
      </sheetData>
      <sheetData sheetId="8919">
        <row r="5">
          <cell r="I5">
            <v>0</v>
          </cell>
        </row>
      </sheetData>
      <sheetData sheetId="8920">
        <row r="5">
          <cell r="I5">
            <v>0</v>
          </cell>
        </row>
      </sheetData>
      <sheetData sheetId="8921">
        <row r="5">
          <cell r="I5">
            <v>0</v>
          </cell>
        </row>
      </sheetData>
      <sheetData sheetId="8922">
        <row r="5">
          <cell r="I5">
            <v>0</v>
          </cell>
        </row>
      </sheetData>
      <sheetData sheetId="8923">
        <row r="5">
          <cell r="I5">
            <v>0</v>
          </cell>
        </row>
      </sheetData>
      <sheetData sheetId="8924">
        <row r="5">
          <cell r="I5">
            <v>0</v>
          </cell>
        </row>
      </sheetData>
      <sheetData sheetId="8925">
        <row r="5">
          <cell r="I5">
            <v>0</v>
          </cell>
        </row>
      </sheetData>
      <sheetData sheetId="8926">
        <row r="5">
          <cell r="I5">
            <v>0</v>
          </cell>
        </row>
      </sheetData>
      <sheetData sheetId="8927">
        <row r="5">
          <cell r="I5">
            <v>0</v>
          </cell>
        </row>
      </sheetData>
      <sheetData sheetId="8928">
        <row r="5">
          <cell r="I5">
            <v>0</v>
          </cell>
        </row>
      </sheetData>
      <sheetData sheetId="8929">
        <row r="5">
          <cell r="I5">
            <v>0</v>
          </cell>
        </row>
      </sheetData>
      <sheetData sheetId="8930">
        <row r="5">
          <cell r="I5">
            <v>0</v>
          </cell>
        </row>
      </sheetData>
      <sheetData sheetId="8931">
        <row r="5">
          <cell r="I5">
            <v>0</v>
          </cell>
        </row>
      </sheetData>
      <sheetData sheetId="8932">
        <row r="5">
          <cell r="I5">
            <v>0</v>
          </cell>
        </row>
      </sheetData>
      <sheetData sheetId="8933">
        <row r="5">
          <cell r="I5">
            <v>0</v>
          </cell>
        </row>
      </sheetData>
      <sheetData sheetId="8934">
        <row r="5">
          <cell r="I5">
            <v>0</v>
          </cell>
        </row>
      </sheetData>
      <sheetData sheetId="8935">
        <row r="5">
          <cell r="I5">
            <v>0</v>
          </cell>
        </row>
      </sheetData>
      <sheetData sheetId="8936">
        <row r="5">
          <cell r="I5">
            <v>0</v>
          </cell>
        </row>
      </sheetData>
      <sheetData sheetId="8937">
        <row r="5">
          <cell r="I5">
            <v>0</v>
          </cell>
        </row>
      </sheetData>
      <sheetData sheetId="8938">
        <row r="5">
          <cell r="I5">
            <v>0</v>
          </cell>
        </row>
      </sheetData>
      <sheetData sheetId="8939">
        <row r="5">
          <cell r="I5">
            <v>0</v>
          </cell>
        </row>
      </sheetData>
      <sheetData sheetId="8940">
        <row r="5">
          <cell r="I5">
            <v>0</v>
          </cell>
        </row>
      </sheetData>
      <sheetData sheetId="8941">
        <row r="5">
          <cell r="I5">
            <v>0</v>
          </cell>
        </row>
      </sheetData>
      <sheetData sheetId="8942">
        <row r="5">
          <cell r="I5">
            <v>0</v>
          </cell>
        </row>
      </sheetData>
      <sheetData sheetId="8943">
        <row r="5">
          <cell r="I5">
            <v>0</v>
          </cell>
        </row>
      </sheetData>
      <sheetData sheetId="8944">
        <row r="5">
          <cell r="I5">
            <v>0</v>
          </cell>
        </row>
      </sheetData>
      <sheetData sheetId="8945">
        <row r="5">
          <cell r="I5">
            <v>0</v>
          </cell>
        </row>
      </sheetData>
      <sheetData sheetId="8946">
        <row r="5">
          <cell r="I5">
            <v>0</v>
          </cell>
        </row>
      </sheetData>
      <sheetData sheetId="8947">
        <row r="5">
          <cell r="I5">
            <v>0</v>
          </cell>
        </row>
      </sheetData>
      <sheetData sheetId="8948">
        <row r="5">
          <cell r="I5">
            <v>0</v>
          </cell>
        </row>
      </sheetData>
      <sheetData sheetId="8949">
        <row r="5">
          <cell r="I5">
            <v>0</v>
          </cell>
        </row>
      </sheetData>
      <sheetData sheetId="8950">
        <row r="5">
          <cell r="I5">
            <v>0</v>
          </cell>
        </row>
      </sheetData>
      <sheetData sheetId="8951">
        <row r="5">
          <cell r="I5">
            <v>0</v>
          </cell>
        </row>
      </sheetData>
      <sheetData sheetId="8952">
        <row r="5">
          <cell r="I5">
            <v>0</v>
          </cell>
        </row>
      </sheetData>
      <sheetData sheetId="8953">
        <row r="5">
          <cell r="I5">
            <v>0</v>
          </cell>
        </row>
      </sheetData>
      <sheetData sheetId="8954">
        <row r="5">
          <cell r="I5">
            <v>0</v>
          </cell>
        </row>
      </sheetData>
      <sheetData sheetId="8955">
        <row r="5">
          <cell r="I5">
            <v>0</v>
          </cell>
        </row>
      </sheetData>
      <sheetData sheetId="8956">
        <row r="5">
          <cell r="I5">
            <v>0</v>
          </cell>
        </row>
      </sheetData>
      <sheetData sheetId="8957">
        <row r="5">
          <cell r="I5">
            <v>0</v>
          </cell>
        </row>
      </sheetData>
      <sheetData sheetId="8958">
        <row r="5">
          <cell r="I5">
            <v>0</v>
          </cell>
        </row>
      </sheetData>
      <sheetData sheetId="8959">
        <row r="5">
          <cell r="I5">
            <v>0</v>
          </cell>
        </row>
      </sheetData>
      <sheetData sheetId="8960">
        <row r="5">
          <cell r="I5">
            <v>0</v>
          </cell>
        </row>
      </sheetData>
      <sheetData sheetId="8961">
        <row r="5">
          <cell r="I5">
            <v>0</v>
          </cell>
        </row>
      </sheetData>
      <sheetData sheetId="8962">
        <row r="5">
          <cell r="I5">
            <v>0</v>
          </cell>
        </row>
      </sheetData>
      <sheetData sheetId="8963">
        <row r="5">
          <cell r="I5">
            <v>0</v>
          </cell>
        </row>
      </sheetData>
      <sheetData sheetId="8964">
        <row r="5">
          <cell r="I5">
            <v>0</v>
          </cell>
        </row>
      </sheetData>
      <sheetData sheetId="8965">
        <row r="5">
          <cell r="I5">
            <v>0</v>
          </cell>
        </row>
      </sheetData>
      <sheetData sheetId="8966">
        <row r="5">
          <cell r="I5">
            <v>0</v>
          </cell>
        </row>
      </sheetData>
      <sheetData sheetId="8967">
        <row r="5">
          <cell r="I5">
            <v>0</v>
          </cell>
        </row>
      </sheetData>
      <sheetData sheetId="8968">
        <row r="5">
          <cell r="I5">
            <v>0</v>
          </cell>
        </row>
      </sheetData>
      <sheetData sheetId="8969">
        <row r="5">
          <cell r="I5">
            <v>0</v>
          </cell>
        </row>
      </sheetData>
      <sheetData sheetId="8970">
        <row r="5">
          <cell r="I5">
            <v>0</v>
          </cell>
        </row>
      </sheetData>
      <sheetData sheetId="8971">
        <row r="5">
          <cell r="I5">
            <v>0</v>
          </cell>
        </row>
      </sheetData>
      <sheetData sheetId="8972">
        <row r="5">
          <cell r="I5">
            <v>0</v>
          </cell>
        </row>
      </sheetData>
      <sheetData sheetId="8973">
        <row r="5">
          <cell r="I5">
            <v>0</v>
          </cell>
        </row>
      </sheetData>
      <sheetData sheetId="8974">
        <row r="5">
          <cell r="I5">
            <v>0</v>
          </cell>
        </row>
      </sheetData>
      <sheetData sheetId="8975">
        <row r="5">
          <cell r="I5">
            <v>0</v>
          </cell>
        </row>
      </sheetData>
      <sheetData sheetId="8976">
        <row r="5">
          <cell r="I5">
            <v>0</v>
          </cell>
        </row>
      </sheetData>
      <sheetData sheetId="8977">
        <row r="5">
          <cell r="I5">
            <v>0</v>
          </cell>
        </row>
      </sheetData>
      <sheetData sheetId="8978">
        <row r="5">
          <cell r="I5">
            <v>0</v>
          </cell>
        </row>
      </sheetData>
      <sheetData sheetId="8979">
        <row r="5">
          <cell r="I5">
            <v>0</v>
          </cell>
        </row>
      </sheetData>
      <sheetData sheetId="8980">
        <row r="5">
          <cell r="I5">
            <v>0</v>
          </cell>
        </row>
      </sheetData>
      <sheetData sheetId="8981">
        <row r="5">
          <cell r="I5">
            <v>0</v>
          </cell>
        </row>
      </sheetData>
      <sheetData sheetId="8982">
        <row r="5">
          <cell r="I5">
            <v>0</v>
          </cell>
        </row>
      </sheetData>
      <sheetData sheetId="8983">
        <row r="5">
          <cell r="I5">
            <v>0</v>
          </cell>
        </row>
      </sheetData>
      <sheetData sheetId="8984">
        <row r="5">
          <cell r="I5">
            <v>0</v>
          </cell>
        </row>
      </sheetData>
      <sheetData sheetId="8985">
        <row r="5">
          <cell r="I5">
            <v>0</v>
          </cell>
        </row>
      </sheetData>
      <sheetData sheetId="8986">
        <row r="5">
          <cell r="I5">
            <v>0</v>
          </cell>
        </row>
      </sheetData>
      <sheetData sheetId="8987">
        <row r="5">
          <cell r="I5">
            <v>0</v>
          </cell>
        </row>
      </sheetData>
      <sheetData sheetId="8988">
        <row r="5">
          <cell r="I5">
            <v>0</v>
          </cell>
        </row>
      </sheetData>
      <sheetData sheetId="8989">
        <row r="5">
          <cell r="I5">
            <v>0</v>
          </cell>
        </row>
      </sheetData>
      <sheetData sheetId="8990">
        <row r="5">
          <cell r="I5">
            <v>0</v>
          </cell>
        </row>
      </sheetData>
      <sheetData sheetId="8991">
        <row r="5">
          <cell r="I5">
            <v>0</v>
          </cell>
        </row>
      </sheetData>
      <sheetData sheetId="8992">
        <row r="5">
          <cell r="I5">
            <v>0</v>
          </cell>
        </row>
      </sheetData>
      <sheetData sheetId="8993">
        <row r="5">
          <cell r="I5">
            <v>0</v>
          </cell>
        </row>
      </sheetData>
      <sheetData sheetId="8994">
        <row r="5">
          <cell r="I5">
            <v>0</v>
          </cell>
        </row>
      </sheetData>
      <sheetData sheetId="8995">
        <row r="19">
          <cell r="J19">
            <v>1.0499999999999999E-3</v>
          </cell>
        </row>
      </sheetData>
      <sheetData sheetId="8996">
        <row r="5">
          <cell r="I5">
            <v>0</v>
          </cell>
        </row>
      </sheetData>
      <sheetData sheetId="8997">
        <row r="19">
          <cell r="J19">
            <v>1.0499999999999999E-3</v>
          </cell>
        </row>
      </sheetData>
      <sheetData sheetId="8998">
        <row r="5">
          <cell r="I5">
            <v>0</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ow r="19">
          <cell r="J19">
            <v>1.0499999999999999E-3</v>
          </cell>
        </row>
      </sheetData>
      <sheetData sheetId="9384">
        <row r="19">
          <cell r="J19">
            <v>1.0499999999999999E-3</v>
          </cell>
        </row>
      </sheetData>
      <sheetData sheetId="9385">
        <row r="19">
          <cell r="J19">
            <v>1.0499999999999999E-3</v>
          </cell>
        </row>
      </sheetData>
      <sheetData sheetId="9386">
        <row r="19">
          <cell r="J19">
            <v>1.0499999999999999E-3</v>
          </cell>
        </row>
      </sheetData>
      <sheetData sheetId="9387">
        <row r="19">
          <cell r="J19">
            <v>1.0499999999999999E-3</v>
          </cell>
        </row>
      </sheetData>
      <sheetData sheetId="9388">
        <row r="19">
          <cell r="J19">
            <v>1.0499999999999999E-3</v>
          </cell>
        </row>
      </sheetData>
      <sheetData sheetId="9389">
        <row r="19">
          <cell r="J19">
            <v>1.0499999999999999E-3</v>
          </cell>
        </row>
      </sheetData>
      <sheetData sheetId="9390">
        <row r="19">
          <cell r="J19">
            <v>1.0499999999999999E-3</v>
          </cell>
        </row>
      </sheetData>
      <sheetData sheetId="9391">
        <row r="19">
          <cell r="J19">
            <v>1.0499999999999999E-3</v>
          </cell>
        </row>
      </sheetData>
      <sheetData sheetId="9392">
        <row r="19">
          <cell r="J19">
            <v>1.0499999999999999E-3</v>
          </cell>
        </row>
      </sheetData>
      <sheetData sheetId="9393">
        <row r="19">
          <cell r="J19">
            <v>1.0499999999999999E-3</v>
          </cell>
        </row>
      </sheetData>
      <sheetData sheetId="9394">
        <row r="19">
          <cell r="J19">
            <v>1.0499999999999999E-3</v>
          </cell>
        </row>
      </sheetData>
      <sheetData sheetId="9395">
        <row r="19">
          <cell r="J19">
            <v>1.0499999999999999E-3</v>
          </cell>
        </row>
      </sheetData>
      <sheetData sheetId="9396">
        <row r="19">
          <cell r="J19">
            <v>1.0499999999999999E-3</v>
          </cell>
        </row>
      </sheetData>
      <sheetData sheetId="9397">
        <row r="19">
          <cell r="J19">
            <v>1.0499999999999999E-3</v>
          </cell>
        </row>
      </sheetData>
      <sheetData sheetId="9398">
        <row r="19">
          <cell r="J19">
            <v>1.0499999999999999E-3</v>
          </cell>
        </row>
      </sheetData>
      <sheetData sheetId="9399">
        <row r="19">
          <cell r="J19">
            <v>1.0499999999999999E-3</v>
          </cell>
        </row>
      </sheetData>
      <sheetData sheetId="9400">
        <row r="19">
          <cell r="J19">
            <v>1.0499999999999999E-3</v>
          </cell>
        </row>
      </sheetData>
      <sheetData sheetId="9401">
        <row r="19">
          <cell r="J19">
            <v>1.0499999999999999E-3</v>
          </cell>
        </row>
      </sheetData>
      <sheetData sheetId="9402">
        <row r="19">
          <cell r="J19">
            <v>1.0499999999999999E-3</v>
          </cell>
        </row>
      </sheetData>
      <sheetData sheetId="9403">
        <row r="19">
          <cell r="J19">
            <v>1.0499999999999999E-3</v>
          </cell>
        </row>
      </sheetData>
      <sheetData sheetId="9404">
        <row r="19">
          <cell r="J19">
            <v>1.0499999999999999E-3</v>
          </cell>
        </row>
      </sheetData>
      <sheetData sheetId="9405">
        <row r="19">
          <cell r="J19">
            <v>1.0499999999999999E-3</v>
          </cell>
        </row>
      </sheetData>
      <sheetData sheetId="9406">
        <row r="19">
          <cell r="J19">
            <v>1.0499999999999999E-3</v>
          </cell>
        </row>
      </sheetData>
      <sheetData sheetId="9407">
        <row r="19">
          <cell r="J19">
            <v>1.0499999999999999E-3</v>
          </cell>
        </row>
      </sheetData>
      <sheetData sheetId="9408">
        <row r="19">
          <cell r="J19">
            <v>1.0499999999999999E-3</v>
          </cell>
        </row>
      </sheetData>
      <sheetData sheetId="9409">
        <row r="19">
          <cell r="J19">
            <v>1.0499999999999999E-3</v>
          </cell>
        </row>
      </sheetData>
      <sheetData sheetId="9410">
        <row r="19">
          <cell r="J19">
            <v>1.0499999999999999E-3</v>
          </cell>
        </row>
      </sheetData>
      <sheetData sheetId="9411">
        <row r="19">
          <cell r="J19">
            <v>1.0499999999999999E-3</v>
          </cell>
        </row>
      </sheetData>
      <sheetData sheetId="9412">
        <row r="19">
          <cell r="J19">
            <v>1.0499999999999999E-3</v>
          </cell>
        </row>
      </sheetData>
      <sheetData sheetId="9413">
        <row r="19">
          <cell r="J19">
            <v>1.0499999999999999E-3</v>
          </cell>
        </row>
      </sheetData>
      <sheetData sheetId="9414">
        <row r="19">
          <cell r="J19">
            <v>1.0499999999999999E-3</v>
          </cell>
        </row>
      </sheetData>
      <sheetData sheetId="9415">
        <row r="19">
          <cell r="J19">
            <v>1.0499999999999999E-3</v>
          </cell>
        </row>
      </sheetData>
      <sheetData sheetId="9416">
        <row r="19">
          <cell r="J19">
            <v>1.0499999999999999E-3</v>
          </cell>
        </row>
      </sheetData>
      <sheetData sheetId="9417">
        <row r="19">
          <cell r="J19">
            <v>1.0499999999999999E-3</v>
          </cell>
        </row>
      </sheetData>
      <sheetData sheetId="9418">
        <row r="19">
          <cell r="J19">
            <v>1.0499999999999999E-3</v>
          </cell>
        </row>
      </sheetData>
      <sheetData sheetId="9419">
        <row r="19">
          <cell r="J19">
            <v>1.0499999999999999E-3</v>
          </cell>
        </row>
      </sheetData>
      <sheetData sheetId="9420">
        <row r="19">
          <cell r="J19">
            <v>1.0499999999999999E-3</v>
          </cell>
        </row>
      </sheetData>
      <sheetData sheetId="9421">
        <row r="19">
          <cell r="J19">
            <v>1.0499999999999999E-3</v>
          </cell>
        </row>
      </sheetData>
      <sheetData sheetId="9422">
        <row r="19">
          <cell r="J19">
            <v>1.0499999999999999E-3</v>
          </cell>
        </row>
      </sheetData>
      <sheetData sheetId="9423">
        <row r="19">
          <cell r="J19">
            <v>1.0499999999999999E-3</v>
          </cell>
        </row>
      </sheetData>
      <sheetData sheetId="9424">
        <row r="19">
          <cell r="J19">
            <v>1.0499999999999999E-3</v>
          </cell>
        </row>
      </sheetData>
      <sheetData sheetId="9425">
        <row r="19">
          <cell r="J19">
            <v>1.0499999999999999E-3</v>
          </cell>
        </row>
      </sheetData>
      <sheetData sheetId="9426">
        <row r="19">
          <cell r="J19">
            <v>1.0499999999999999E-3</v>
          </cell>
        </row>
      </sheetData>
      <sheetData sheetId="9427">
        <row r="19">
          <cell r="J19">
            <v>1.0499999999999999E-3</v>
          </cell>
        </row>
      </sheetData>
      <sheetData sheetId="9428">
        <row r="19">
          <cell r="J19">
            <v>1.0499999999999999E-3</v>
          </cell>
        </row>
      </sheetData>
      <sheetData sheetId="9429">
        <row r="19">
          <cell r="J19">
            <v>1.0499999999999999E-3</v>
          </cell>
        </row>
      </sheetData>
      <sheetData sheetId="9430">
        <row r="19">
          <cell r="J19">
            <v>1.0499999999999999E-3</v>
          </cell>
        </row>
      </sheetData>
      <sheetData sheetId="9431">
        <row r="19">
          <cell r="J19">
            <v>1.0499999999999999E-3</v>
          </cell>
        </row>
      </sheetData>
      <sheetData sheetId="9432">
        <row r="19">
          <cell r="J19">
            <v>1.0499999999999999E-3</v>
          </cell>
        </row>
      </sheetData>
      <sheetData sheetId="9433">
        <row r="19">
          <cell r="J19">
            <v>1.0499999999999999E-3</v>
          </cell>
        </row>
      </sheetData>
      <sheetData sheetId="9434">
        <row r="19">
          <cell r="J19">
            <v>1.0499999999999999E-3</v>
          </cell>
        </row>
      </sheetData>
      <sheetData sheetId="9435">
        <row r="19">
          <cell r="J19">
            <v>1.0499999999999999E-3</v>
          </cell>
        </row>
      </sheetData>
      <sheetData sheetId="9436">
        <row r="19">
          <cell r="J19">
            <v>1.0499999999999999E-3</v>
          </cell>
        </row>
      </sheetData>
      <sheetData sheetId="9437">
        <row r="19">
          <cell r="J19">
            <v>1.0499999999999999E-3</v>
          </cell>
        </row>
      </sheetData>
      <sheetData sheetId="9438">
        <row r="19">
          <cell r="J19">
            <v>1.0499999999999999E-3</v>
          </cell>
        </row>
      </sheetData>
      <sheetData sheetId="9439">
        <row r="19">
          <cell r="J19">
            <v>1.0499999999999999E-3</v>
          </cell>
        </row>
      </sheetData>
      <sheetData sheetId="9440">
        <row r="19">
          <cell r="J19">
            <v>1.0499999999999999E-3</v>
          </cell>
        </row>
      </sheetData>
      <sheetData sheetId="9441">
        <row r="19">
          <cell r="J19">
            <v>1.0499999999999999E-3</v>
          </cell>
        </row>
      </sheetData>
      <sheetData sheetId="9442">
        <row r="19">
          <cell r="J19">
            <v>1.0499999999999999E-3</v>
          </cell>
        </row>
      </sheetData>
      <sheetData sheetId="9443">
        <row r="19">
          <cell r="J19">
            <v>1.0499999999999999E-3</v>
          </cell>
        </row>
      </sheetData>
      <sheetData sheetId="9444">
        <row r="19">
          <cell r="J19">
            <v>1.0499999999999999E-3</v>
          </cell>
        </row>
      </sheetData>
      <sheetData sheetId="9445">
        <row r="19">
          <cell r="J19">
            <v>1.0499999999999999E-3</v>
          </cell>
        </row>
      </sheetData>
      <sheetData sheetId="9446">
        <row r="19">
          <cell r="J19">
            <v>1.0499999999999999E-3</v>
          </cell>
        </row>
      </sheetData>
      <sheetData sheetId="9447">
        <row r="19">
          <cell r="J19">
            <v>1.0499999999999999E-3</v>
          </cell>
        </row>
      </sheetData>
      <sheetData sheetId="9448">
        <row r="19">
          <cell r="J19">
            <v>1.0499999999999999E-3</v>
          </cell>
        </row>
      </sheetData>
      <sheetData sheetId="9449">
        <row r="19">
          <cell r="J19">
            <v>1.0499999999999999E-3</v>
          </cell>
        </row>
      </sheetData>
      <sheetData sheetId="9450">
        <row r="19">
          <cell r="J19">
            <v>1.0499999999999999E-3</v>
          </cell>
        </row>
      </sheetData>
      <sheetData sheetId="9451">
        <row r="19">
          <cell r="J19">
            <v>1.0499999999999999E-3</v>
          </cell>
        </row>
      </sheetData>
      <sheetData sheetId="9452">
        <row r="19">
          <cell r="J19">
            <v>1.0499999999999999E-3</v>
          </cell>
        </row>
      </sheetData>
      <sheetData sheetId="9453">
        <row r="19">
          <cell r="J19">
            <v>1.0499999999999999E-3</v>
          </cell>
        </row>
      </sheetData>
      <sheetData sheetId="9454">
        <row r="19">
          <cell r="J19">
            <v>1.0499999999999999E-3</v>
          </cell>
        </row>
      </sheetData>
      <sheetData sheetId="9455">
        <row r="19">
          <cell r="J19">
            <v>1.0499999999999999E-3</v>
          </cell>
        </row>
      </sheetData>
      <sheetData sheetId="9456">
        <row r="19">
          <cell r="J19">
            <v>1.0499999999999999E-3</v>
          </cell>
        </row>
      </sheetData>
      <sheetData sheetId="9457">
        <row r="19">
          <cell r="J19">
            <v>1.0499999999999999E-3</v>
          </cell>
        </row>
      </sheetData>
      <sheetData sheetId="9458">
        <row r="19">
          <cell r="J19">
            <v>1.0499999999999999E-3</v>
          </cell>
        </row>
      </sheetData>
      <sheetData sheetId="9459">
        <row r="19">
          <cell r="J19">
            <v>1.0499999999999999E-3</v>
          </cell>
        </row>
      </sheetData>
      <sheetData sheetId="9460">
        <row r="19">
          <cell r="J19">
            <v>1.0499999999999999E-3</v>
          </cell>
        </row>
      </sheetData>
      <sheetData sheetId="9461">
        <row r="19">
          <cell r="J19">
            <v>1.0499999999999999E-3</v>
          </cell>
        </row>
      </sheetData>
      <sheetData sheetId="9462">
        <row r="19">
          <cell r="J19">
            <v>1.0499999999999999E-3</v>
          </cell>
        </row>
      </sheetData>
      <sheetData sheetId="9463">
        <row r="19">
          <cell r="J19">
            <v>1.0499999999999999E-3</v>
          </cell>
        </row>
      </sheetData>
      <sheetData sheetId="9464">
        <row r="19">
          <cell r="J19">
            <v>1.0499999999999999E-3</v>
          </cell>
        </row>
      </sheetData>
      <sheetData sheetId="9465">
        <row r="19">
          <cell r="J19">
            <v>1.0499999999999999E-3</v>
          </cell>
        </row>
      </sheetData>
      <sheetData sheetId="9466">
        <row r="19">
          <cell r="J19">
            <v>1.0499999999999999E-3</v>
          </cell>
        </row>
      </sheetData>
      <sheetData sheetId="9467">
        <row r="19">
          <cell r="J19">
            <v>1.0499999999999999E-3</v>
          </cell>
        </row>
      </sheetData>
      <sheetData sheetId="9468">
        <row r="19">
          <cell r="J19">
            <v>1.0499999999999999E-3</v>
          </cell>
        </row>
      </sheetData>
      <sheetData sheetId="9469">
        <row r="19">
          <cell r="J19">
            <v>1.0499999999999999E-3</v>
          </cell>
        </row>
      </sheetData>
      <sheetData sheetId="9470">
        <row r="19">
          <cell r="J19">
            <v>1.0499999999999999E-3</v>
          </cell>
        </row>
      </sheetData>
      <sheetData sheetId="9471">
        <row r="19">
          <cell r="J19">
            <v>1.0499999999999999E-3</v>
          </cell>
        </row>
      </sheetData>
      <sheetData sheetId="9472">
        <row r="19">
          <cell r="J19">
            <v>1.0499999999999999E-3</v>
          </cell>
        </row>
      </sheetData>
      <sheetData sheetId="9473">
        <row r="19">
          <cell r="J19">
            <v>1.0499999999999999E-3</v>
          </cell>
        </row>
      </sheetData>
      <sheetData sheetId="9474">
        <row r="19">
          <cell r="J19">
            <v>1.0499999999999999E-3</v>
          </cell>
        </row>
      </sheetData>
      <sheetData sheetId="9475">
        <row r="19">
          <cell r="J19">
            <v>1.0499999999999999E-3</v>
          </cell>
        </row>
      </sheetData>
      <sheetData sheetId="9476">
        <row r="19">
          <cell r="J19">
            <v>1.0499999999999999E-3</v>
          </cell>
        </row>
      </sheetData>
      <sheetData sheetId="9477">
        <row r="19">
          <cell r="J19">
            <v>1.0499999999999999E-3</v>
          </cell>
        </row>
      </sheetData>
      <sheetData sheetId="9478">
        <row r="19">
          <cell r="J19">
            <v>1.0499999999999999E-3</v>
          </cell>
        </row>
      </sheetData>
      <sheetData sheetId="9479">
        <row r="19">
          <cell r="J19">
            <v>1.0499999999999999E-3</v>
          </cell>
        </row>
      </sheetData>
      <sheetData sheetId="9480">
        <row r="19">
          <cell r="J19">
            <v>1.0499999999999999E-3</v>
          </cell>
        </row>
      </sheetData>
      <sheetData sheetId="9481">
        <row r="19">
          <cell r="J19">
            <v>1.0499999999999999E-3</v>
          </cell>
        </row>
      </sheetData>
      <sheetData sheetId="9482">
        <row r="19">
          <cell r="J19">
            <v>1.0499999999999999E-3</v>
          </cell>
        </row>
      </sheetData>
      <sheetData sheetId="9483">
        <row r="19">
          <cell r="J19">
            <v>1.0499999999999999E-3</v>
          </cell>
        </row>
      </sheetData>
      <sheetData sheetId="9484">
        <row r="19">
          <cell r="J19">
            <v>1.0499999999999999E-3</v>
          </cell>
        </row>
      </sheetData>
      <sheetData sheetId="9485">
        <row r="19">
          <cell r="J19">
            <v>1.0499999999999999E-3</v>
          </cell>
        </row>
      </sheetData>
      <sheetData sheetId="9486">
        <row r="19">
          <cell r="J19">
            <v>1.0499999999999999E-3</v>
          </cell>
        </row>
      </sheetData>
      <sheetData sheetId="9487">
        <row r="19">
          <cell r="J19">
            <v>1.0499999999999999E-3</v>
          </cell>
        </row>
      </sheetData>
      <sheetData sheetId="9488">
        <row r="19">
          <cell r="J19">
            <v>1.0499999999999999E-3</v>
          </cell>
        </row>
      </sheetData>
      <sheetData sheetId="9489">
        <row r="19">
          <cell r="J19">
            <v>1.0499999999999999E-3</v>
          </cell>
        </row>
      </sheetData>
      <sheetData sheetId="9490">
        <row r="19">
          <cell r="J19">
            <v>1.0499999999999999E-3</v>
          </cell>
        </row>
      </sheetData>
      <sheetData sheetId="9491">
        <row r="19">
          <cell r="J19">
            <v>1.0499999999999999E-3</v>
          </cell>
        </row>
      </sheetData>
      <sheetData sheetId="9492">
        <row r="19">
          <cell r="J19">
            <v>1.0499999999999999E-3</v>
          </cell>
        </row>
      </sheetData>
      <sheetData sheetId="9493">
        <row r="19">
          <cell r="J19">
            <v>1.0499999999999999E-3</v>
          </cell>
        </row>
      </sheetData>
      <sheetData sheetId="9494">
        <row r="19">
          <cell r="J19">
            <v>1.0499999999999999E-3</v>
          </cell>
        </row>
      </sheetData>
      <sheetData sheetId="9495">
        <row r="19">
          <cell r="J19">
            <v>1.0499999999999999E-3</v>
          </cell>
        </row>
      </sheetData>
      <sheetData sheetId="9496">
        <row r="19">
          <cell r="J19">
            <v>1.0499999999999999E-3</v>
          </cell>
        </row>
      </sheetData>
      <sheetData sheetId="9497">
        <row r="19">
          <cell r="J19">
            <v>1.0499999999999999E-3</v>
          </cell>
        </row>
      </sheetData>
      <sheetData sheetId="9498">
        <row r="19">
          <cell r="J19">
            <v>1.0499999999999999E-3</v>
          </cell>
        </row>
      </sheetData>
      <sheetData sheetId="9499">
        <row r="19">
          <cell r="J19">
            <v>1.0499999999999999E-3</v>
          </cell>
        </row>
      </sheetData>
      <sheetData sheetId="9500">
        <row r="19">
          <cell r="J19">
            <v>1.0499999999999999E-3</v>
          </cell>
        </row>
      </sheetData>
      <sheetData sheetId="9501">
        <row r="19">
          <cell r="J19">
            <v>1.0499999999999999E-3</v>
          </cell>
        </row>
      </sheetData>
      <sheetData sheetId="9502">
        <row r="19">
          <cell r="J19">
            <v>1.0499999999999999E-3</v>
          </cell>
        </row>
      </sheetData>
      <sheetData sheetId="9503">
        <row r="19">
          <cell r="J19">
            <v>1.0499999999999999E-3</v>
          </cell>
        </row>
      </sheetData>
      <sheetData sheetId="9504">
        <row r="19">
          <cell r="J19">
            <v>1.0499999999999999E-3</v>
          </cell>
        </row>
      </sheetData>
      <sheetData sheetId="9505">
        <row r="19">
          <cell r="J19">
            <v>1.0499999999999999E-3</v>
          </cell>
        </row>
      </sheetData>
      <sheetData sheetId="9506">
        <row r="19">
          <cell r="J19">
            <v>1.0499999999999999E-3</v>
          </cell>
        </row>
      </sheetData>
      <sheetData sheetId="9507">
        <row r="19">
          <cell r="J19">
            <v>1.0499999999999999E-3</v>
          </cell>
        </row>
      </sheetData>
      <sheetData sheetId="9508">
        <row r="19">
          <cell r="J19">
            <v>1.0499999999999999E-3</v>
          </cell>
        </row>
      </sheetData>
      <sheetData sheetId="9509">
        <row r="19">
          <cell r="J19">
            <v>1.0499999999999999E-3</v>
          </cell>
        </row>
      </sheetData>
      <sheetData sheetId="9510">
        <row r="19">
          <cell r="J19">
            <v>1.0499999999999999E-3</v>
          </cell>
        </row>
      </sheetData>
      <sheetData sheetId="9511">
        <row r="19">
          <cell r="J19">
            <v>1.0499999999999999E-3</v>
          </cell>
        </row>
      </sheetData>
      <sheetData sheetId="9512">
        <row r="19">
          <cell r="J19">
            <v>1.0499999999999999E-3</v>
          </cell>
        </row>
      </sheetData>
      <sheetData sheetId="9513">
        <row r="19">
          <cell r="J19">
            <v>1.0499999999999999E-3</v>
          </cell>
        </row>
      </sheetData>
      <sheetData sheetId="9514">
        <row r="19">
          <cell r="J19">
            <v>1.0499999999999999E-3</v>
          </cell>
        </row>
      </sheetData>
      <sheetData sheetId="9515">
        <row r="19">
          <cell r="J19">
            <v>1.0499999999999999E-3</v>
          </cell>
        </row>
      </sheetData>
      <sheetData sheetId="9516">
        <row r="19">
          <cell r="J19">
            <v>1.0499999999999999E-3</v>
          </cell>
        </row>
      </sheetData>
      <sheetData sheetId="9517">
        <row r="19">
          <cell r="J19">
            <v>1.0499999999999999E-3</v>
          </cell>
        </row>
      </sheetData>
      <sheetData sheetId="9518">
        <row r="19">
          <cell r="J19">
            <v>1.0499999999999999E-3</v>
          </cell>
        </row>
      </sheetData>
      <sheetData sheetId="9519">
        <row r="19">
          <cell r="J19">
            <v>1.0499999999999999E-3</v>
          </cell>
        </row>
      </sheetData>
      <sheetData sheetId="9520">
        <row r="19">
          <cell r="J19">
            <v>1.0499999999999999E-3</v>
          </cell>
        </row>
      </sheetData>
      <sheetData sheetId="9521">
        <row r="19">
          <cell r="J19">
            <v>1.0499999999999999E-3</v>
          </cell>
        </row>
      </sheetData>
      <sheetData sheetId="9522">
        <row r="19">
          <cell r="J19">
            <v>1.0499999999999999E-3</v>
          </cell>
        </row>
      </sheetData>
      <sheetData sheetId="9523">
        <row r="19">
          <cell r="J19">
            <v>1.0499999999999999E-3</v>
          </cell>
        </row>
      </sheetData>
      <sheetData sheetId="9524">
        <row r="19">
          <cell r="J19">
            <v>1.0499999999999999E-3</v>
          </cell>
        </row>
      </sheetData>
      <sheetData sheetId="9525">
        <row r="19">
          <cell r="J19">
            <v>1.0499999999999999E-3</v>
          </cell>
        </row>
      </sheetData>
      <sheetData sheetId="9526">
        <row r="19">
          <cell r="J19">
            <v>1.0499999999999999E-3</v>
          </cell>
        </row>
      </sheetData>
      <sheetData sheetId="9527">
        <row r="19">
          <cell r="J19">
            <v>1.0499999999999999E-3</v>
          </cell>
        </row>
      </sheetData>
      <sheetData sheetId="9528">
        <row r="19">
          <cell r="J19">
            <v>1.0499999999999999E-3</v>
          </cell>
        </row>
      </sheetData>
      <sheetData sheetId="9529">
        <row r="19">
          <cell r="J19">
            <v>1.0499999999999999E-3</v>
          </cell>
        </row>
      </sheetData>
      <sheetData sheetId="9530">
        <row r="19">
          <cell r="J19">
            <v>1.0499999999999999E-3</v>
          </cell>
        </row>
      </sheetData>
      <sheetData sheetId="9531">
        <row r="19">
          <cell r="J19">
            <v>1.0499999999999999E-3</v>
          </cell>
        </row>
      </sheetData>
      <sheetData sheetId="9532">
        <row r="19">
          <cell r="J19">
            <v>1.0499999999999999E-3</v>
          </cell>
        </row>
      </sheetData>
      <sheetData sheetId="9533">
        <row r="19">
          <cell r="J19">
            <v>1.0499999999999999E-3</v>
          </cell>
        </row>
      </sheetData>
      <sheetData sheetId="9534">
        <row r="19">
          <cell r="J19">
            <v>1.0499999999999999E-3</v>
          </cell>
        </row>
      </sheetData>
      <sheetData sheetId="9535">
        <row r="19">
          <cell r="J19">
            <v>1.0499999999999999E-3</v>
          </cell>
        </row>
      </sheetData>
      <sheetData sheetId="9536">
        <row r="19">
          <cell r="J19">
            <v>1.0499999999999999E-3</v>
          </cell>
        </row>
      </sheetData>
      <sheetData sheetId="9537">
        <row r="19">
          <cell r="J19">
            <v>1.0499999999999999E-3</v>
          </cell>
        </row>
      </sheetData>
      <sheetData sheetId="9538">
        <row r="19">
          <cell r="J19">
            <v>1.0499999999999999E-3</v>
          </cell>
        </row>
      </sheetData>
      <sheetData sheetId="9539">
        <row r="19">
          <cell r="J19">
            <v>1.0499999999999999E-3</v>
          </cell>
        </row>
      </sheetData>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ow r="19">
          <cell r="J19">
            <v>1.0499999999999999E-3</v>
          </cell>
        </row>
      </sheetData>
      <sheetData sheetId="9924" refreshError="1"/>
      <sheetData sheetId="9925">
        <row r="19">
          <cell r="J19">
            <v>1.0499999999999999E-3</v>
          </cell>
        </row>
      </sheetData>
      <sheetData sheetId="9926">
        <row r="19">
          <cell r="J19">
            <v>1.0499999999999999E-3</v>
          </cell>
        </row>
      </sheetData>
      <sheetData sheetId="9927">
        <row r="19">
          <cell r="J19">
            <v>1.0499999999999999E-3</v>
          </cell>
        </row>
      </sheetData>
      <sheetData sheetId="9928">
        <row r="19">
          <cell r="J19">
            <v>1.0499999999999999E-3</v>
          </cell>
        </row>
      </sheetData>
      <sheetData sheetId="9929">
        <row r="19">
          <cell r="J19">
            <v>1.0499999999999999E-3</v>
          </cell>
        </row>
      </sheetData>
      <sheetData sheetId="9930">
        <row r="19">
          <cell r="J19">
            <v>1.0499999999999999E-3</v>
          </cell>
        </row>
      </sheetData>
      <sheetData sheetId="9931">
        <row r="19">
          <cell r="J19">
            <v>1.0499999999999999E-3</v>
          </cell>
        </row>
      </sheetData>
      <sheetData sheetId="9932" refreshError="1"/>
      <sheetData sheetId="9933" refreshError="1"/>
      <sheetData sheetId="9934" refreshError="1"/>
      <sheetData sheetId="9935">
        <row r="19">
          <cell r="J19">
            <v>1.0499999999999999E-3</v>
          </cell>
        </row>
      </sheetData>
      <sheetData sheetId="9936">
        <row r="19">
          <cell r="J19">
            <v>1.0499999999999999E-3</v>
          </cell>
        </row>
      </sheetData>
      <sheetData sheetId="9937">
        <row r="19">
          <cell r="J19">
            <v>1.0499999999999999E-3</v>
          </cell>
        </row>
      </sheetData>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ow r="5">
          <cell r="I5">
            <v>0</v>
          </cell>
        </row>
      </sheetData>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refreshError="1"/>
      <sheetData sheetId="10442" refreshError="1"/>
      <sheetData sheetId="10443" refreshError="1"/>
      <sheetData sheetId="10444" refreshError="1"/>
      <sheetData sheetId="10445" refreshError="1"/>
      <sheetData sheetId="10446" refreshError="1"/>
      <sheetData sheetId="10447" refreshError="1"/>
      <sheetData sheetId="10448">
        <row r="5">
          <cell r="I5">
            <v>0</v>
          </cell>
        </row>
      </sheetData>
      <sheetData sheetId="10449">
        <row r="5">
          <cell r="I5">
            <v>0</v>
          </cell>
        </row>
      </sheetData>
      <sheetData sheetId="10450">
        <row r="5">
          <cell r="I5">
            <v>0</v>
          </cell>
        </row>
      </sheetData>
      <sheetData sheetId="10451">
        <row r="5">
          <cell r="I5">
            <v>0</v>
          </cell>
        </row>
      </sheetData>
      <sheetData sheetId="10452">
        <row r="5">
          <cell r="I5">
            <v>0</v>
          </cell>
        </row>
      </sheetData>
      <sheetData sheetId="10453">
        <row r="5">
          <cell r="I5">
            <v>0</v>
          </cell>
        </row>
      </sheetData>
      <sheetData sheetId="10454">
        <row r="5">
          <cell r="I5">
            <v>0</v>
          </cell>
        </row>
      </sheetData>
      <sheetData sheetId="10455">
        <row r="5">
          <cell r="I5">
            <v>0</v>
          </cell>
        </row>
      </sheetData>
      <sheetData sheetId="10456" refreshError="1"/>
      <sheetData sheetId="10457">
        <row r="5">
          <cell r="I5">
            <v>0</v>
          </cell>
        </row>
      </sheetData>
      <sheetData sheetId="10458">
        <row r="5">
          <cell r="I5">
            <v>0</v>
          </cell>
        </row>
      </sheetData>
      <sheetData sheetId="10459">
        <row r="5">
          <cell r="I5">
            <v>0</v>
          </cell>
        </row>
      </sheetData>
      <sheetData sheetId="10460">
        <row r="5">
          <cell r="I5">
            <v>0</v>
          </cell>
        </row>
      </sheetData>
      <sheetData sheetId="10461">
        <row r="5">
          <cell r="I5">
            <v>0</v>
          </cell>
        </row>
      </sheetData>
      <sheetData sheetId="10462">
        <row r="5">
          <cell r="I5">
            <v>0</v>
          </cell>
        </row>
      </sheetData>
      <sheetData sheetId="10463">
        <row r="5">
          <cell r="I5">
            <v>0</v>
          </cell>
        </row>
      </sheetData>
      <sheetData sheetId="10464">
        <row r="5">
          <cell r="I5">
            <v>0</v>
          </cell>
        </row>
      </sheetData>
      <sheetData sheetId="10465">
        <row r="5">
          <cell r="I5">
            <v>0</v>
          </cell>
        </row>
      </sheetData>
      <sheetData sheetId="10466">
        <row r="5">
          <cell r="I5">
            <v>0</v>
          </cell>
        </row>
      </sheetData>
      <sheetData sheetId="10467">
        <row r="5">
          <cell r="I5">
            <v>0</v>
          </cell>
        </row>
      </sheetData>
      <sheetData sheetId="10468">
        <row r="5">
          <cell r="I5">
            <v>0</v>
          </cell>
        </row>
      </sheetData>
      <sheetData sheetId="10469">
        <row r="5">
          <cell r="I5">
            <v>0</v>
          </cell>
        </row>
      </sheetData>
      <sheetData sheetId="10470">
        <row r="5">
          <cell r="I5">
            <v>0</v>
          </cell>
        </row>
      </sheetData>
      <sheetData sheetId="10471">
        <row r="5">
          <cell r="I5">
            <v>0</v>
          </cell>
        </row>
      </sheetData>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efreshError="1"/>
      <sheetData sheetId="10482" refreshError="1"/>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ow r="5">
          <cell r="I5">
            <v>0</v>
          </cell>
        </row>
      </sheetData>
      <sheetData sheetId="10492">
        <row r="5">
          <cell r="I5">
            <v>0</v>
          </cell>
        </row>
      </sheetData>
      <sheetData sheetId="10493" refreshError="1"/>
      <sheetData sheetId="10494" refreshError="1"/>
      <sheetData sheetId="10495" refreshError="1"/>
      <sheetData sheetId="10496">
        <row r="5">
          <cell r="I5">
            <v>0</v>
          </cell>
        </row>
      </sheetData>
      <sheetData sheetId="10497">
        <row r="5">
          <cell r="I5">
            <v>0</v>
          </cell>
        </row>
      </sheetData>
      <sheetData sheetId="10498" refreshError="1"/>
      <sheetData sheetId="10499" refreshError="1"/>
      <sheetData sheetId="10500" refreshError="1"/>
      <sheetData sheetId="10501" refreshError="1"/>
      <sheetData sheetId="10502" refreshError="1"/>
      <sheetData sheetId="10503" refreshError="1"/>
      <sheetData sheetId="10504" refreshError="1"/>
      <sheetData sheetId="10505" refreshError="1"/>
      <sheetData sheetId="10506" refreshError="1"/>
      <sheetData sheetId="10507">
        <row r="5">
          <cell r="I5">
            <v>0</v>
          </cell>
        </row>
      </sheetData>
      <sheetData sheetId="10508" refreshError="1"/>
      <sheetData sheetId="10509">
        <row r="5">
          <cell r="I5">
            <v>0</v>
          </cell>
        </row>
      </sheetData>
      <sheetData sheetId="10510" refreshError="1"/>
      <sheetData sheetId="10511">
        <row r="5">
          <cell r="I5">
            <v>0</v>
          </cell>
        </row>
      </sheetData>
      <sheetData sheetId="10512" refreshError="1"/>
      <sheetData sheetId="10513" refreshError="1"/>
      <sheetData sheetId="10514" refreshError="1"/>
      <sheetData sheetId="10515">
        <row r="5">
          <cell r="I5">
            <v>0</v>
          </cell>
        </row>
      </sheetData>
      <sheetData sheetId="10516" refreshError="1"/>
      <sheetData sheetId="10517" refreshError="1"/>
      <sheetData sheetId="10518" refreshError="1"/>
      <sheetData sheetId="10519" refreshError="1"/>
      <sheetData sheetId="10520" refreshError="1"/>
      <sheetData sheetId="10521" refreshError="1"/>
      <sheetData sheetId="10522" refreshError="1"/>
      <sheetData sheetId="10523" refreshError="1"/>
      <sheetData sheetId="10524" refreshError="1"/>
      <sheetData sheetId="10525" refreshError="1"/>
      <sheetData sheetId="10526" refreshError="1"/>
      <sheetData sheetId="10527" refreshError="1"/>
      <sheetData sheetId="10528" refreshError="1"/>
      <sheetData sheetId="10529" refreshError="1"/>
      <sheetData sheetId="10530" refreshError="1"/>
      <sheetData sheetId="10531" refreshError="1"/>
      <sheetData sheetId="10532" refreshError="1"/>
      <sheetData sheetId="10533">
        <row r="5">
          <cell r="I5">
            <v>0</v>
          </cell>
        </row>
      </sheetData>
      <sheetData sheetId="10534">
        <row r="5">
          <cell r="I5">
            <v>0</v>
          </cell>
        </row>
      </sheetData>
      <sheetData sheetId="10535">
        <row r="5">
          <cell r="I5">
            <v>0</v>
          </cell>
        </row>
      </sheetData>
      <sheetData sheetId="10536">
        <row r="5">
          <cell r="I5">
            <v>0</v>
          </cell>
        </row>
      </sheetData>
      <sheetData sheetId="10537">
        <row r="5">
          <cell r="I5">
            <v>0</v>
          </cell>
        </row>
      </sheetData>
      <sheetData sheetId="10538">
        <row r="5">
          <cell r="I5">
            <v>0</v>
          </cell>
        </row>
      </sheetData>
      <sheetData sheetId="10539">
        <row r="5">
          <cell r="I5">
            <v>0</v>
          </cell>
        </row>
      </sheetData>
      <sheetData sheetId="10540">
        <row r="5">
          <cell r="I5">
            <v>0</v>
          </cell>
        </row>
      </sheetData>
      <sheetData sheetId="10541">
        <row r="5">
          <cell r="I5">
            <v>0</v>
          </cell>
        </row>
      </sheetData>
      <sheetData sheetId="10542">
        <row r="5">
          <cell r="I5">
            <v>0</v>
          </cell>
        </row>
      </sheetData>
      <sheetData sheetId="10543">
        <row r="5">
          <cell r="I5">
            <v>0</v>
          </cell>
        </row>
      </sheetData>
      <sheetData sheetId="10544">
        <row r="5">
          <cell r="I5">
            <v>0</v>
          </cell>
        </row>
      </sheetData>
      <sheetData sheetId="10545">
        <row r="5">
          <cell r="I5">
            <v>0</v>
          </cell>
        </row>
      </sheetData>
      <sheetData sheetId="10546">
        <row r="5">
          <cell r="I5">
            <v>0</v>
          </cell>
        </row>
      </sheetData>
      <sheetData sheetId="10547">
        <row r="5">
          <cell r="I5">
            <v>0</v>
          </cell>
        </row>
      </sheetData>
      <sheetData sheetId="10548">
        <row r="5">
          <cell r="I5">
            <v>0</v>
          </cell>
        </row>
      </sheetData>
      <sheetData sheetId="10549">
        <row r="5">
          <cell r="I5">
            <v>0</v>
          </cell>
        </row>
      </sheetData>
      <sheetData sheetId="10550">
        <row r="5">
          <cell r="I5">
            <v>0</v>
          </cell>
        </row>
      </sheetData>
      <sheetData sheetId="10551">
        <row r="5">
          <cell r="I5">
            <v>0</v>
          </cell>
        </row>
      </sheetData>
      <sheetData sheetId="10552">
        <row r="5">
          <cell r="I5">
            <v>0</v>
          </cell>
        </row>
      </sheetData>
      <sheetData sheetId="10553">
        <row r="5">
          <cell r="I5">
            <v>0</v>
          </cell>
        </row>
      </sheetData>
      <sheetData sheetId="10554">
        <row r="5">
          <cell r="I5">
            <v>0</v>
          </cell>
        </row>
      </sheetData>
      <sheetData sheetId="10555">
        <row r="5">
          <cell r="I5">
            <v>0</v>
          </cell>
        </row>
      </sheetData>
      <sheetData sheetId="10556">
        <row r="5">
          <cell r="I5">
            <v>0</v>
          </cell>
        </row>
      </sheetData>
      <sheetData sheetId="10557">
        <row r="5">
          <cell r="I5">
            <v>0</v>
          </cell>
        </row>
      </sheetData>
      <sheetData sheetId="10558">
        <row r="5">
          <cell r="I5">
            <v>0</v>
          </cell>
        </row>
      </sheetData>
      <sheetData sheetId="10559">
        <row r="5">
          <cell r="I5">
            <v>0</v>
          </cell>
        </row>
      </sheetData>
      <sheetData sheetId="10560">
        <row r="5">
          <cell r="I5">
            <v>0</v>
          </cell>
        </row>
      </sheetData>
      <sheetData sheetId="10561">
        <row r="5">
          <cell r="I5">
            <v>0</v>
          </cell>
        </row>
      </sheetData>
      <sheetData sheetId="10562">
        <row r="5">
          <cell r="I5">
            <v>0</v>
          </cell>
        </row>
      </sheetData>
      <sheetData sheetId="10563">
        <row r="5">
          <cell r="I5">
            <v>0</v>
          </cell>
        </row>
      </sheetData>
      <sheetData sheetId="10564">
        <row r="5">
          <cell r="I5">
            <v>0</v>
          </cell>
        </row>
      </sheetData>
      <sheetData sheetId="10565">
        <row r="5">
          <cell r="I5">
            <v>0</v>
          </cell>
        </row>
      </sheetData>
      <sheetData sheetId="10566">
        <row r="5">
          <cell r="I5">
            <v>0</v>
          </cell>
        </row>
      </sheetData>
      <sheetData sheetId="10567">
        <row r="5">
          <cell r="I5">
            <v>0</v>
          </cell>
        </row>
      </sheetData>
      <sheetData sheetId="10568">
        <row r="5">
          <cell r="I5">
            <v>0</v>
          </cell>
        </row>
      </sheetData>
      <sheetData sheetId="10569">
        <row r="5">
          <cell r="I5">
            <v>0</v>
          </cell>
        </row>
      </sheetData>
      <sheetData sheetId="10570">
        <row r="5">
          <cell r="I5">
            <v>0</v>
          </cell>
        </row>
      </sheetData>
      <sheetData sheetId="10571">
        <row r="5">
          <cell r="I5">
            <v>0</v>
          </cell>
        </row>
      </sheetData>
      <sheetData sheetId="10572">
        <row r="5">
          <cell r="I5">
            <v>0</v>
          </cell>
        </row>
      </sheetData>
      <sheetData sheetId="10573">
        <row r="5">
          <cell r="I5">
            <v>0</v>
          </cell>
        </row>
      </sheetData>
      <sheetData sheetId="10574">
        <row r="5">
          <cell r="I5">
            <v>0</v>
          </cell>
        </row>
      </sheetData>
      <sheetData sheetId="10575">
        <row r="5">
          <cell r="I5">
            <v>0</v>
          </cell>
        </row>
      </sheetData>
      <sheetData sheetId="10576">
        <row r="5">
          <cell r="I5">
            <v>0</v>
          </cell>
        </row>
      </sheetData>
      <sheetData sheetId="10577">
        <row r="5">
          <cell r="I5">
            <v>0</v>
          </cell>
        </row>
      </sheetData>
      <sheetData sheetId="10578">
        <row r="5">
          <cell r="I5">
            <v>0</v>
          </cell>
        </row>
      </sheetData>
      <sheetData sheetId="10579">
        <row r="5">
          <cell r="I5">
            <v>0</v>
          </cell>
        </row>
      </sheetData>
      <sheetData sheetId="10580">
        <row r="5">
          <cell r="I5">
            <v>0</v>
          </cell>
        </row>
      </sheetData>
      <sheetData sheetId="10581">
        <row r="5">
          <cell r="I5">
            <v>0</v>
          </cell>
        </row>
      </sheetData>
      <sheetData sheetId="10582">
        <row r="5">
          <cell r="I5">
            <v>0</v>
          </cell>
        </row>
      </sheetData>
      <sheetData sheetId="10583">
        <row r="5">
          <cell r="I5">
            <v>0</v>
          </cell>
        </row>
      </sheetData>
      <sheetData sheetId="10584">
        <row r="5">
          <cell r="I5">
            <v>0</v>
          </cell>
        </row>
      </sheetData>
      <sheetData sheetId="10585">
        <row r="5">
          <cell r="I5">
            <v>0</v>
          </cell>
        </row>
      </sheetData>
      <sheetData sheetId="10586">
        <row r="5">
          <cell r="I5">
            <v>0</v>
          </cell>
        </row>
      </sheetData>
      <sheetData sheetId="10587">
        <row r="5">
          <cell r="I5">
            <v>0</v>
          </cell>
        </row>
      </sheetData>
      <sheetData sheetId="10588">
        <row r="5">
          <cell r="I5">
            <v>0</v>
          </cell>
        </row>
      </sheetData>
      <sheetData sheetId="10589">
        <row r="5">
          <cell r="I5">
            <v>0</v>
          </cell>
        </row>
      </sheetData>
      <sheetData sheetId="10590">
        <row r="5">
          <cell r="I5">
            <v>0</v>
          </cell>
        </row>
      </sheetData>
      <sheetData sheetId="10591">
        <row r="5">
          <cell r="I5">
            <v>0</v>
          </cell>
        </row>
      </sheetData>
      <sheetData sheetId="10592">
        <row r="5">
          <cell r="I5">
            <v>0</v>
          </cell>
        </row>
      </sheetData>
      <sheetData sheetId="10593">
        <row r="5">
          <cell r="I5">
            <v>0</v>
          </cell>
        </row>
      </sheetData>
      <sheetData sheetId="10594">
        <row r="5">
          <cell r="I5">
            <v>0</v>
          </cell>
        </row>
      </sheetData>
      <sheetData sheetId="10595">
        <row r="5">
          <cell r="I5">
            <v>0</v>
          </cell>
        </row>
      </sheetData>
      <sheetData sheetId="10596">
        <row r="5">
          <cell r="I5">
            <v>0</v>
          </cell>
        </row>
      </sheetData>
      <sheetData sheetId="10597">
        <row r="5">
          <cell r="I5">
            <v>0</v>
          </cell>
        </row>
      </sheetData>
      <sheetData sheetId="10598">
        <row r="5">
          <cell r="I5">
            <v>0</v>
          </cell>
        </row>
      </sheetData>
      <sheetData sheetId="10599">
        <row r="5">
          <cell r="I5">
            <v>0</v>
          </cell>
        </row>
      </sheetData>
      <sheetData sheetId="10600">
        <row r="5">
          <cell r="I5">
            <v>0</v>
          </cell>
        </row>
      </sheetData>
      <sheetData sheetId="10601">
        <row r="5">
          <cell r="I5">
            <v>0</v>
          </cell>
        </row>
      </sheetData>
      <sheetData sheetId="10602">
        <row r="5">
          <cell r="I5">
            <v>0</v>
          </cell>
        </row>
      </sheetData>
      <sheetData sheetId="10603">
        <row r="5">
          <cell r="I5">
            <v>0</v>
          </cell>
        </row>
      </sheetData>
      <sheetData sheetId="10604">
        <row r="5">
          <cell r="I5">
            <v>0</v>
          </cell>
        </row>
      </sheetData>
      <sheetData sheetId="10605">
        <row r="5">
          <cell r="I5">
            <v>0</v>
          </cell>
        </row>
      </sheetData>
      <sheetData sheetId="10606">
        <row r="5">
          <cell r="I5">
            <v>0</v>
          </cell>
        </row>
      </sheetData>
      <sheetData sheetId="10607" refreshError="1"/>
      <sheetData sheetId="10608" refreshError="1"/>
      <sheetData sheetId="10609" refreshError="1"/>
      <sheetData sheetId="10610">
        <row r="5">
          <cell r="I5">
            <v>0</v>
          </cell>
        </row>
      </sheetData>
      <sheetData sheetId="10611">
        <row r="5">
          <cell r="I5">
            <v>0</v>
          </cell>
        </row>
      </sheetData>
      <sheetData sheetId="10612">
        <row r="5">
          <cell r="I5">
            <v>0</v>
          </cell>
        </row>
      </sheetData>
      <sheetData sheetId="10613">
        <row r="5">
          <cell r="I5">
            <v>0</v>
          </cell>
        </row>
      </sheetData>
      <sheetData sheetId="10614">
        <row r="5">
          <cell r="I5">
            <v>0</v>
          </cell>
        </row>
      </sheetData>
      <sheetData sheetId="10615">
        <row r="5">
          <cell r="I5">
            <v>0</v>
          </cell>
        </row>
      </sheetData>
      <sheetData sheetId="10616">
        <row r="5">
          <cell r="I5">
            <v>0</v>
          </cell>
        </row>
      </sheetData>
      <sheetData sheetId="10617">
        <row r="5">
          <cell r="I5">
            <v>0</v>
          </cell>
        </row>
      </sheetData>
      <sheetData sheetId="10618">
        <row r="5">
          <cell r="I5">
            <v>0</v>
          </cell>
        </row>
      </sheetData>
      <sheetData sheetId="10619">
        <row r="5">
          <cell r="I5">
            <v>0</v>
          </cell>
        </row>
      </sheetData>
      <sheetData sheetId="10620">
        <row r="5">
          <cell r="I5">
            <v>0</v>
          </cell>
        </row>
      </sheetData>
      <sheetData sheetId="10621">
        <row r="5">
          <cell r="I5">
            <v>0</v>
          </cell>
        </row>
      </sheetData>
      <sheetData sheetId="10622">
        <row r="5">
          <cell r="I5">
            <v>0</v>
          </cell>
        </row>
      </sheetData>
      <sheetData sheetId="10623">
        <row r="5">
          <cell r="I5">
            <v>0</v>
          </cell>
        </row>
      </sheetData>
      <sheetData sheetId="10624">
        <row r="5">
          <cell r="I5">
            <v>0</v>
          </cell>
        </row>
      </sheetData>
      <sheetData sheetId="10625">
        <row r="5">
          <cell r="I5">
            <v>0</v>
          </cell>
        </row>
      </sheetData>
      <sheetData sheetId="10626">
        <row r="5">
          <cell r="I5">
            <v>0</v>
          </cell>
        </row>
      </sheetData>
      <sheetData sheetId="10627">
        <row r="5">
          <cell r="I5">
            <v>0</v>
          </cell>
        </row>
      </sheetData>
      <sheetData sheetId="10628">
        <row r="5">
          <cell r="I5">
            <v>0</v>
          </cell>
        </row>
      </sheetData>
      <sheetData sheetId="10629">
        <row r="5">
          <cell r="I5">
            <v>0</v>
          </cell>
        </row>
      </sheetData>
      <sheetData sheetId="10630">
        <row r="5">
          <cell r="I5">
            <v>0</v>
          </cell>
        </row>
      </sheetData>
      <sheetData sheetId="10631">
        <row r="5">
          <cell r="I5">
            <v>0</v>
          </cell>
        </row>
      </sheetData>
      <sheetData sheetId="10632">
        <row r="5">
          <cell r="I5">
            <v>0</v>
          </cell>
        </row>
      </sheetData>
      <sheetData sheetId="10633">
        <row r="5">
          <cell r="I5">
            <v>0</v>
          </cell>
        </row>
      </sheetData>
      <sheetData sheetId="10634">
        <row r="5">
          <cell r="I5">
            <v>0</v>
          </cell>
        </row>
      </sheetData>
      <sheetData sheetId="10635">
        <row r="5">
          <cell r="I5">
            <v>0</v>
          </cell>
        </row>
      </sheetData>
      <sheetData sheetId="10636">
        <row r="5">
          <cell r="I5">
            <v>0</v>
          </cell>
        </row>
      </sheetData>
      <sheetData sheetId="10637">
        <row r="5">
          <cell r="I5">
            <v>0</v>
          </cell>
        </row>
      </sheetData>
      <sheetData sheetId="10638">
        <row r="5">
          <cell r="I5">
            <v>0</v>
          </cell>
        </row>
      </sheetData>
      <sheetData sheetId="10639">
        <row r="5">
          <cell r="I5">
            <v>0</v>
          </cell>
        </row>
      </sheetData>
      <sheetData sheetId="10640">
        <row r="5">
          <cell r="I5">
            <v>0</v>
          </cell>
        </row>
      </sheetData>
      <sheetData sheetId="10641">
        <row r="5">
          <cell r="I5">
            <v>0</v>
          </cell>
        </row>
      </sheetData>
      <sheetData sheetId="10642">
        <row r="5">
          <cell r="I5">
            <v>0</v>
          </cell>
        </row>
      </sheetData>
      <sheetData sheetId="10643">
        <row r="5">
          <cell r="I5">
            <v>0</v>
          </cell>
        </row>
      </sheetData>
      <sheetData sheetId="10644">
        <row r="5">
          <cell r="I5">
            <v>0</v>
          </cell>
        </row>
      </sheetData>
      <sheetData sheetId="10645">
        <row r="5">
          <cell r="I5">
            <v>0</v>
          </cell>
        </row>
      </sheetData>
      <sheetData sheetId="10646">
        <row r="5">
          <cell r="I5">
            <v>0</v>
          </cell>
        </row>
      </sheetData>
      <sheetData sheetId="10647">
        <row r="5">
          <cell r="I5">
            <v>0</v>
          </cell>
        </row>
      </sheetData>
      <sheetData sheetId="10648">
        <row r="5">
          <cell r="I5">
            <v>0</v>
          </cell>
        </row>
      </sheetData>
      <sheetData sheetId="10649">
        <row r="5">
          <cell r="I5">
            <v>0</v>
          </cell>
        </row>
      </sheetData>
      <sheetData sheetId="10650">
        <row r="5">
          <cell r="I5">
            <v>0</v>
          </cell>
        </row>
      </sheetData>
      <sheetData sheetId="10651">
        <row r="5">
          <cell r="I5">
            <v>0</v>
          </cell>
        </row>
      </sheetData>
      <sheetData sheetId="10652">
        <row r="5">
          <cell r="I5">
            <v>0</v>
          </cell>
        </row>
      </sheetData>
      <sheetData sheetId="10653">
        <row r="5">
          <cell r="I5">
            <v>0</v>
          </cell>
        </row>
      </sheetData>
      <sheetData sheetId="10654">
        <row r="5">
          <cell r="I5">
            <v>0</v>
          </cell>
        </row>
      </sheetData>
      <sheetData sheetId="10655">
        <row r="5">
          <cell r="I5">
            <v>0</v>
          </cell>
        </row>
      </sheetData>
      <sheetData sheetId="10656">
        <row r="5">
          <cell r="I5">
            <v>0</v>
          </cell>
        </row>
      </sheetData>
      <sheetData sheetId="10657">
        <row r="5">
          <cell r="I5">
            <v>0</v>
          </cell>
        </row>
      </sheetData>
      <sheetData sheetId="10658">
        <row r="5">
          <cell r="I5">
            <v>0</v>
          </cell>
        </row>
      </sheetData>
      <sheetData sheetId="10659">
        <row r="5">
          <cell r="I5">
            <v>0</v>
          </cell>
        </row>
      </sheetData>
      <sheetData sheetId="10660">
        <row r="5">
          <cell r="I5">
            <v>0</v>
          </cell>
        </row>
      </sheetData>
      <sheetData sheetId="10661">
        <row r="5">
          <cell r="I5">
            <v>0</v>
          </cell>
        </row>
      </sheetData>
      <sheetData sheetId="10662">
        <row r="5">
          <cell r="I5">
            <v>0</v>
          </cell>
        </row>
      </sheetData>
      <sheetData sheetId="10663">
        <row r="5">
          <cell r="I5">
            <v>0</v>
          </cell>
        </row>
      </sheetData>
      <sheetData sheetId="10664">
        <row r="5">
          <cell r="I5">
            <v>0</v>
          </cell>
        </row>
      </sheetData>
      <sheetData sheetId="10665">
        <row r="5">
          <cell r="I5">
            <v>0</v>
          </cell>
        </row>
      </sheetData>
      <sheetData sheetId="10666">
        <row r="5">
          <cell r="I5">
            <v>0</v>
          </cell>
        </row>
      </sheetData>
      <sheetData sheetId="10667">
        <row r="5">
          <cell r="I5">
            <v>0</v>
          </cell>
        </row>
      </sheetData>
      <sheetData sheetId="10668">
        <row r="5">
          <cell r="I5">
            <v>0</v>
          </cell>
        </row>
      </sheetData>
      <sheetData sheetId="10669">
        <row r="5">
          <cell r="I5">
            <v>0</v>
          </cell>
        </row>
      </sheetData>
      <sheetData sheetId="10670">
        <row r="5">
          <cell r="I5">
            <v>0</v>
          </cell>
        </row>
      </sheetData>
      <sheetData sheetId="10671">
        <row r="5">
          <cell r="I5">
            <v>0</v>
          </cell>
        </row>
      </sheetData>
      <sheetData sheetId="10672">
        <row r="5">
          <cell r="I5">
            <v>0</v>
          </cell>
        </row>
      </sheetData>
      <sheetData sheetId="10673">
        <row r="5">
          <cell r="I5">
            <v>0</v>
          </cell>
        </row>
      </sheetData>
      <sheetData sheetId="10674">
        <row r="5">
          <cell r="I5">
            <v>0</v>
          </cell>
        </row>
      </sheetData>
      <sheetData sheetId="10675">
        <row r="5">
          <cell r="I5">
            <v>0</v>
          </cell>
        </row>
      </sheetData>
      <sheetData sheetId="10676">
        <row r="5">
          <cell r="I5">
            <v>0</v>
          </cell>
        </row>
      </sheetData>
      <sheetData sheetId="10677">
        <row r="5">
          <cell r="I5">
            <v>0</v>
          </cell>
        </row>
      </sheetData>
      <sheetData sheetId="10678">
        <row r="5">
          <cell r="I5">
            <v>0</v>
          </cell>
        </row>
      </sheetData>
      <sheetData sheetId="10679">
        <row r="5">
          <cell r="I5">
            <v>0</v>
          </cell>
        </row>
      </sheetData>
      <sheetData sheetId="10680">
        <row r="5">
          <cell r="I5">
            <v>0</v>
          </cell>
        </row>
      </sheetData>
      <sheetData sheetId="10681">
        <row r="5">
          <cell r="I5">
            <v>0</v>
          </cell>
        </row>
      </sheetData>
      <sheetData sheetId="10682">
        <row r="5">
          <cell r="I5">
            <v>0</v>
          </cell>
        </row>
      </sheetData>
      <sheetData sheetId="10683">
        <row r="5">
          <cell r="I5">
            <v>0</v>
          </cell>
        </row>
      </sheetData>
      <sheetData sheetId="10684">
        <row r="5">
          <cell r="I5">
            <v>0</v>
          </cell>
        </row>
      </sheetData>
      <sheetData sheetId="10685">
        <row r="5">
          <cell r="I5">
            <v>0</v>
          </cell>
        </row>
      </sheetData>
      <sheetData sheetId="10686">
        <row r="5">
          <cell r="I5">
            <v>0</v>
          </cell>
        </row>
      </sheetData>
      <sheetData sheetId="10687">
        <row r="5">
          <cell r="I5">
            <v>0</v>
          </cell>
        </row>
      </sheetData>
      <sheetData sheetId="10688">
        <row r="5">
          <cell r="I5">
            <v>0</v>
          </cell>
        </row>
      </sheetData>
      <sheetData sheetId="10689">
        <row r="5">
          <cell r="I5">
            <v>0</v>
          </cell>
        </row>
      </sheetData>
      <sheetData sheetId="10690">
        <row r="5">
          <cell r="I5">
            <v>0</v>
          </cell>
        </row>
      </sheetData>
      <sheetData sheetId="10691">
        <row r="5">
          <cell r="I5">
            <v>0</v>
          </cell>
        </row>
      </sheetData>
      <sheetData sheetId="10692">
        <row r="5">
          <cell r="I5">
            <v>0</v>
          </cell>
        </row>
      </sheetData>
      <sheetData sheetId="10693">
        <row r="5">
          <cell r="I5">
            <v>0</v>
          </cell>
        </row>
      </sheetData>
      <sheetData sheetId="10694">
        <row r="5">
          <cell r="I5">
            <v>0</v>
          </cell>
        </row>
      </sheetData>
      <sheetData sheetId="10695">
        <row r="5">
          <cell r="I5">
            <v>0</v>
          </cell>
        </row>
      </sheetData>
      <sheetData sheetId="10696">
        <row r="5">
          <cell r="I5">
            <v>0</v>
          </cell>
        </row>
      </sheetData>
      <sheetData sheetId="10697">
        <row r="5">
          <cell r="I5">
            <v>0</v>
          </cell>
        </row>
      </sheetData>
      <sheetData sheetId="10698">
        <row r="5">
          <cell r="I5">
            <v>0</v>
          </cell>
        </row>
      </sheetData>
      <sheetData sheetId="10699">
        <row r="5">
          <cell r="I5">
            <v>0</v>
          </cell>
        </row>
      </sheetData>
      <sheetData sheetId="10700">
        <row r="5">
          <cell r="I5">
            <v>0</v>
          </cell>
        </row>
      </sheetData>
      <sheetData sheetId="10701">
        <row r="5">
          <cell r="I5">
            <v>0</v>
          </cell>
        </row>
      </sheetData>
      <sheetData sheetId="10702">
        <row r="5">
          <cell r="I5">
            <v>0</v>
          </cell>
        </row>
      </sheetData>
      <sheetData sheetId="10703">
        <row r="5">
          <cell r="I5">
            <v>0</v>
          </cell>
        </row>
      </sheetData>
      <sheetData sheetId="10704">
        <row r="5">
          <cell r="I5">
            <v>0</v>
          </cell>
        </row>
      </sheetData>
      <sheetData sheetId="10705">
        <row r="5">
          <cell r="I5">
            <v>0</v>
          </cell>
        </row>
      </sheetData>
      <sheetData sheetId="10706">
        <row r="5">
          <cell r="I5">
            <v>0</v>
          </cell>
        </row>
      </sheetData>
      <sheetData sheetId="10707">
        <row r="5">
          <cell r="I5">
            <v>0</v>
          </cell>
        </row>
      </sheetData>
      <sheetData sheetId="10708">
        <row r="5">
          <cell r="I5">
            <v>0</v>
          </cell>
        </row>
      </sheetData>
      <sheetData sheetId="10709">
        <row r="5">
          <cell r="I5">
            <v>0</v>
          </cell>
        </row>
      </sheetData>
      <sheetData sheetId="10710">
        <row r="5">
          <cell r="I5">
            <v>0</v>
          </cell>
        </row>
      </sheetData>
      <sheetData sheetId="10711">
        <row r="5">
          <cell r="I5">
            <v>0</v>
          </cell>
        </row>
      </sheetData>
      <sheetData sheetId="10712">
        <row r="5">
          <cell r="I5">
            <v>0</v>
          </cell>
        </row>
      </sheetData>
      <sheetData sheetId="10713">
        <row r="5">
          <cell r="I5">
            <v>0</v>
          </cell>
        </row>
      </sheetData>
      <sheetData sheetId="10714">
        <row r="5">
          <cell r="I5">
            <v>0</v>
          </cell>
        </row>
      </sheetData>
      <sheetData sheetId="10715">
        <row r="5">
          <cell r="I5">
            <v>0</v>
          </cell>
        </row>
      </sheetData>
      <sheetData sheetId="10716">
        <row r="5">
          <cell r="I5">
            <v>0</v>
          </cell>
        </row>
      </sheetData>
      <sheetData sheetId="10717">
        <row r="5">
          <cell r="I5">
            <v>0</v>
          </cell>
        </row>
      </sheetData>
      <sheetData sheetId="10718">
        <row r="5">
          <cell r="I5">
            <v>0</v>
          </cell>
        </row>
      </sheetData>
      <sheetData sheetId="10719">
        <row r="5">
          <cell r="I5">
            <v>0</v>
          </cell>
        </row>
      </sheetData>
      <sheetData sheetId="10720">
        <row r="5">
          <cell r="I5">
            <v>0</v>
          </cell>
        </row>
      </sheetData>
      <sheetData sheetId="10721">
        <row r="5">
          <cell r="I5">
            <v>0</v>
          </cell>
        </row>
      </sheetData>
      <sheetData sheetId="10722">
        <row r="5">
          <cell r="I5">
            <v>0</v>
          </cell>
        </row>
      </sheetData>
      <sheetData sheetId="10723">
        <row r="5">
          <cell r="I5">
            <v>0</v>
          </cell>
        </row>
      </sheetData>
      <sheetData sheetId="10724">
        <row r="5">
          <cell r="I5">
            <v>0</v>
          </cell>
        </row>
      </sheetData>
      <sheetData sheetId="10725">
        <row r="5">
          <cell r="I5">
            <v>0</v>
          </cell>
        </row>
      </sheetData>
      <sheetData sheetId="10726">
        <row r="5">
          <cell r="I5">
            <v>0</v>
          </cell>
        </row>
      </sheetData>
      <sheetData sheetId="10727">
        <row r="5">
          <cell r="I5">
            <v>0</v>
          </cell>
        </row>
      </sheetData>
      <sheetData sheetId="10728">
        <row r="5">
          <cell r="I5">
            <v>0</v>
          </cell>
        </row>
      </sheetData>
      <sheetData sheetId="10729">
        <row r="5">
          <cell r="I5">
            <v>0</v>
          </cell>
        </row>
      </sheetData>
      <sheetData sheetId="10730">
        <row r="5">
          <cell r="I5">
            <v>0</v>
          </cell>
        </row>
      </sheetData>
      <sheetData sheetId="10731">
        <row r="5">
          <cell r="I5">
            <v>0</v>
          </cell>
        </row>
      </sheetData>
      <sheetData sheetId="10732">
        <row r="5">
          <cell r="I5">
            <v>0</v>
          </cell>
        </row>
      </sheetData>
      <sheetData sheetId="10733">
        <row r="5">
          <cell r="I5">
            <v>0</v>
          </cell>
        </row>
      </sheetData>
      <sheetData sheetId="10734">
        <row r="5">
          <cell r="I5">
            <v>0</v>
          </cell>
        </row>
      </sheetData>
      <sheetData sheetId="10735">
        <row r="5">
          <cell r="I5">
            <v>0</v>
          </cell>
        </row>
      </sheetData>
      <sheetData sheetId="10736">
        <row r="5">
          <cell r="I5">
            <v>0</v>
          </cell>
        </row>
      </sheetData>
      <sheetData sheetId="10737">
        <row r="5">
          <cell r="I5">
            <v>0</v>
          </cell>
        </row>
      </sheetData>
      <sheetData sheetId="10738">
        <row r="5">
          <cell r="I5">
            <v>0</v>
          </cell>
        </row>
      </sheetData>
      <sheetData sheetId="10739">
        <row r="5">
          <cell r="I5">
            <v>0</v>
          </cell>
        </row>
      </sheetData>
      <sheetData sheetId="10740">
        <row r="5">
          <cell r="I5">
            <v>0</v>
          </cell>
        </row>
      </sheetData>
      <sheetData sheetId="10741">
        <row r="5">
          <cell r="I5">
            <v>0</v>
          </cell>
        </row>
      </sheetData>
      <sheetData sheetId="10742">
        <row r="5">
          <cell r="I5">
            <v>0</v>
          </cell>
        </row>
      </sheetData>
      <sheetData sheetId="10743">
        <row r="5">
          <cell r="I5">
            <v>0</v>
          </cell>
        </row>
      </sheetData>
      <sheetData sheetId="10744">
        <row r="5">
          <cell r="I5">
            <v>0</v>
          </cell>
        </row>
      </sheetData>
      <sheetData sheetId="10745">
        <row r="5">
          <cell r="I5">
            <v>0</v>
          </cell>
        </row>
      </sheetData>
      <sheetData sheetId="10746">
        <row r="5">
          <cell r="I5">
            <v>0</v>
          </cell>
        </row>
      </sheetData>
      <sheetData sheetId="10747">
        <row r="5">
          <cell r="I5">
            <v>0</v>
          </cell>
        </row>
      </sheetData>
      <sheetData sheetId="10748">
        <row r="5">
          <cell r="I5">
            <v>0</v>
          </cell>
        </row>
      </sheetData>
      <sheetData sheetId="10749">
        <row r="5">
          <cell r="I5">
            <v>0</v>
          </cell>
        </row>
      </sheetData>
      <sheetData sheetId="10750">
        <row r="5">
          <cell r="I5">
            <v>0</v>
          </cell>
        </row>
      </sheetData>
      <sheetData sheetId="10751">
        <row r="5">
          <cell r="I5">
            <v>0</v>
          </cell>
        </row>
      </sheetData>
      <sheetData sheetId="10752">
        <row r="5">
          <cell r="I5">
            <v>0</v>
          </cell>
        </row>
      </sheetData>
      <sheetData sheetId="10753" refreshError="1"/>
      <sheetData sheetId="10754" refreshError="1"/>
      <sheetData sheetId="10755">
        <row r="5">
          <cell r="I5">
            <v>0</v>
          </cell>
        </row>
      </sheetData>
      <sheetData sheetId="10756">
        <row r="5">
          <cell r="I5">
            <v>0</v>
          </cell>
        </row>
      </sheetData>
      <sheetData sheetId="10757">
        <row r="5">
          <cell r="I5">
            <v>0</v>
          </cell>
        </row>
      </sheetData>
      <sheetData sheetId="10758">
        <row r="5">
          <cell r="I5">
            <v>0</v>
          </cell>
        </row>
      </sheetData>
      <sheetData sheetId="10759">
        <row r="5">
          <cell r="I5">
            <v>0</v>
          </cell>
        </row>
      </sheetData>
      <sheetData sheetId="10760">
        <row r="5">
          <cell r="I5">
            <v>0</v>
          </cell>
        </row>
      </sheetData>
      <sheetData sheetId="10761">
        <row r="5">
          <cell r="I5">
            <v>0</v>
          </cell>
        </row>
      </sheetData>
      <sheetData sheetId="10762">
        <row r="5">
          <cell r="I5">
            <v>0</v>
          </cell>
        </row>
      </sheetData>
      <sheetData sheetId="10763">
        <row r="5">
          <cell r="I5">
            <v>0</v>
          </cell>
        </row>
      </sheetData>
      <sheetData sheetId="10764">
        <row r="5">
          <cell r="I5">
            <v>0</v>
          </cell>
        </row>
      </sheetData>
      <sheetData sheetId="10765">
        <row r="5">
          <cell r="I5">
            <v>0</v>
          </cell>
        </row>
      </sheetData>
      <sheetData sheetId="10766">
        <row r="5">
          <cell r="I5">
            <v>0</v>
          </cell>
        </row>
      </sheetData>
      <sheetData sheetId="10767">
        <row r="5">
          <cell r="I5">
            <v>0</v>
          </cell>
        </row>
      </sheetData>
      <sheetData sheetId="10768">
        <row r="5">
          <cell r="I5">
            <v>0</v>
          </cell>
        </row>
      </sheetData>
      <sheetData sheetId="10769">
        <row r="5">
          <cell r="I5">
            <v>0</v>
          </cell>
        </row>
      </sheetData>
      <sheetData sheetId="10770">
        <row r="5">
          <cell r="I5">
            <v>0</v>
          </cell>
        </row>
      </sheetData>
      <sheetData sheetId="10771">
        <row r="5">
          <cell r="I5">
            <v>0</v>
          </cell>
        </row>
      </sheetData>
      <sheetData sheetId="10772">
        <row r="5">
          <cell r="I5">
            <v>0</v>
          </cell>
        </row>
      </sheetData>
      <sheetData sheetId="10773">
        <row r="5">
          <cell r="I5">
            <v>0</v>
          </cell>
        </row>
      </sheetData>
      <sheetData sheetId="10774">
        <row r="5">
          <cell r="I5">
            <v>0</v>
          </cell>
        </row>
      </sheetData>
      <sheetData sheetId="10775">
        <row r="5">
          <cell r="I5">
            <v>0</v>
          </cell>
        </row>
      </sheetData>
      <sheetData sheetId="10776">
        <row r="5">
          <cell r="I5">
            <v>0</v>
          </cell>
        </row>
      </sheetData>
      <sheetData sheetId="10777">
        <row r="5">
          <cell r="I5">
            <v>0</v>
          </cell>
        </row>
      </sheetData>
      <sheetData sheetId="10778">
        <row r="5">
          <cell r="I5">
            <v>0</v>
          </cell>
        </row>
      </sheetData>
      <sheetData sheetId="10779">
        <row r="5">
          <cell r="I5">
            <v>0</v>
          </cell>
        </row>
      </sheetData>
      <sheetData sheetId="10780">
        <row r="5">
          <cell r="I5">
            <v>0</v>
          </cell>
        </row>
      </sheetData>
      <sheetData sheetId="10781">
        <row r="5">
          <cell r="I5">
            <v>0</v>
          </cell>
        </row>
      </sheetData>
      <sheetData sheetId="10782">
        <row r="5">
          <cell r="I5">
            <v>0</v>
          </cell>
        </row>
      </sheetData>
      <sheetData sheetId="10783">
        <row r="5">
          <cell r="I5">
            <v>0</v>
          </cell>
        </row>
      </sheetData>
      <sheetData sheetId="10784">
        <row r="5">
          <cell r="I5">
            <v>0</v>
          </cell>
        </row>
      </sheetData>
      <sheetData sheetId="10785">
        <row r="5">
          <cell r="I5">
            <v>0</v>
          </cell>
        </row>
      </sheetData>
      <sheetData sheetId="10786">
        <row r="5">
          <cell r="I5">
            <v>0</v>
          </cell>
        </row>
      </sheetData>
      <sheetData sheetId="10787">
        <row r="5">
          <cell r="I5">
            <v>0</v>
          </cell>
        </row>
      </sheetData>
      <sheetData sheetId="10788">
        <row r="5">
          <cell r="I5">
            <v>0</v>
          </cell>
        </row>
      </sheetData>
      <sheetData sheetId="10789">
        <row r="5">
          <cell r="I5">
            <v>0</v>
          </cell>
        </row>
      </sheetData>
      <sheetData sheetId="10790">
        <row r="5">
          <cell r="I5">
            <v>0</v>
          </cell>
        </row>
      </sheetData>
      <sheetData sheetId="10791">
        <row r="5">
          <cell r="I5">
            <v>0</v>
          </cell>
        </row>
      </sheetData>
      <sheetData sheetId="10792">
        <row r="5">
          <cell r="I5">
            <v>0</v>
          </cell>
        </row>
      </sheetData>
      <sheetData sheetId="10793">
        <row r="5">
          <cell r="I5">
            <v>0</v>
          </cell>
        </row>
      </sheetData>
      <sheetData sheetId="10794">
        <row r="5">
          <cell r="I5">
            <v>0</v>
          </cell>
        </row>
      </sheetData>
      <sheetData sheetId="10795">
        <row r="5">
          <cell r="I5">
            <v>0</v>
          </cell>
        </row>
      </sheetData>
      <sheetData sheetId="10796">
        <row r="5">
          <cell r="I5">
            <v>0</v>
          </cell>
        </row>
      </sheetData>
      <sheetData sheetId="10797">
        <row r="5">
          <cell r="I5">
            <v>0</v>
          </cell>
        </row>
      </sheetData>
      <sheetData sheetId="10798">
        <row r="5">
          <cell r="I5">
            <v>0</v>
          </cell>
        </row>
      </sheetData>
      <sheetData sheetId="10799">
        <row r="5">
          <cell r="I5">
            <v>0</v>
          </cell>
        </row>
      </sheetData>
      <sheetData sheetId="10800">
        <row r="5">
          <cell r="I5">
            <v>0</v>
          </cell>
        </row>
      </sheetData>
      <sheetData sheetId="10801">
        <row r="5">
          <cell r="I5">
            <v>0</v>
          </cell>
        </row>
      </sheetData>
      <sheetData sheetId="10802">
        <row r="5">
          <cell r="I5">
            <v>0</v>
          </cell>
        </row>
      </sheetData>
      <sheetData sheetId="10803">
        <row r="5">
          <cell r="I5">
            <v>0</v>
          </cell>
        </row>
      </sheetData>
      <sheetData sheetId="10804">
        <row r="5">
          <cell r="I5">
            <v>0</v>
          </cell>
        </row>
      </sheetData>
      <sheetData sheetId="10805">
        <row r="5">
          <cell r="I5">
            <v>0</v>
          </cell>
        </row>
      </sheetData>
      <sheetData sheetId="10806">
        <row r="5">
          <cell r="I5">
            <v>0</v>
          </cell>
        </row>
      </sheetData>
      <sheetData sheetId="10807">
        <row r="5">
          <cell r="I5">
            <v>0</v>
          </cell>
        </row>
      </sheetData>
      <sheetData sheetId="10808">
        <row r="5">
          <cell r="I5">
            <v>0</v>
          </cell>
        </row>
      </sheetData>
      <sheetData sheetId="10809">
        <row r="5">
          <cell r="I5">
            <v>0</v>
          </cell>
        </row>
      </sheetData>
      <sheetData sheetId="10810">
        <row r="5">
          <cell r="I5">
            <v>0</v>
          </cell>
        </row>
      </sheetData>
      <sheetData sheetId="10811">
        <row r="5">
          <cell r="I5">
            <v>0</v>
          </cell>
        </row>
      </sheetData>
      <sheetData sheetId="10812">
        <row r="5">
          <cell r="I5">
            <v>0</v>
          </cell>
        </row>
      </sheetData>
      <sheetData sheetId="10813">
        <row r="5">
          <cell r="I5">
            <v>0</v>
          </cell>
        </row>
      </sheetData>
      <sheetData sheetId="10814">
        <row r="5">
          <cell r="I5">
            <v>0</v>
          </cell>
        </row>
      </sheetData>
      <sheetData sheetId="10815">
        <row r="5">
          <cell r="I5">
            <v>0</v>
          </cell>
        </row>
      </sheetData>
      <sheetData sheetId="10816">
        <row r="5">
          <cell r="I5">
            <v>0</v>
          </cell>
        </row>
      </sheetData>
      <sheetData sheetId="10817">
        <row r="5">
          <cell r="I5">
            <v>0</v>
          </cell>
        </row>
      </sheetData>
      <sheetData sheetId="10818">
        <row r="5">
          <cell r="I5">
            <v>0</v>
          </cell>
        </row>
      </sheetData>
      <sheetData sheetId="10819">
        <row r="5">
          <cell r="I5">
            <v>0</v>
          </cell>
        </row>
      </sheetData>
      <sheetData sheetId="10820">
        <row r="5">
          <cell r="I5">
            <v>0</v>
          </cell>
        </row>
      </sheetData>
      <sheetData sheetId="10821">
        <row r="5">
          <cell r="I5">
            <v>0</v>
          </cell>
        </row>
      </sheetData>
      <sheetData sheetId="10822">
        <row r="5">
          <cell r="I5">
            <v>0</v>
          </cell>
        </row>
      </sheetData>
      <sheetData sheetId="10823">
        <row r="5">
          <cell r="I5">
            <v>0</v>
          </cell>
        </row>
      </sheetData>
      <sheetData sheetId="10824">
        <row r="5">
          <cell r="I5">
            <v>0</v>
          </cell>
        </row>
      </sheetData>
      <sheetData sheetId="10825">
        <row r="5">
          <cell r="I5">
            <v>0</v>
          </cell>
        </row>
      </sheetData>
      <sheetData sheetId="10826">
        <row r="5">
          <cell r="I5">
            <v>0</v>
          </cell>
        </row>
      </sheetData>
      <sheetData sheetId="10827">
        <row r="5">
          <cell r="I5">
            <v>0</v>
          </cell>
        </row>
      </sheetData>
      <sheetData sheetId="10828">
        <row r="5">
          <cell r="I5">
            <v>0</v>
          </cell>
        </row>
      </sheetData>
      <sheetData sheetId="10829">
        <row r="5">
          <cell r="I5">
            <v>0</v>
          </cell>
        </row>
      </sheetData>
      <sheetData sheetId="10830">
        <row r="5">
          <cell r="I5">
            <v>0</v>
          </cell>
        </row>
      </sheetData>
      <sheetData sheetId="10831">
        <row r="5">
          <cell r="I5">
            <v>0</v>
          </cell>
        </row>
      </sheetData>
      <sheetData sheetId="10832">
        <row r="5">
          <cell r="I5">
            <v>0</v>
          </cell>
        </row>
      </sheetData>
      <sheetData sheetId="10833">
        <row r="5">
          <cell r="I5">
            <v>0</v>
          </cell>
        </row>
      </sheetData>
      <sheetData sheetId="10834">
        <row r="5">
          <cell r="I5">
            <v>0</v>
          </cell>
        </row>
      </sheetData>
      <sheetData sheetId="10835">
        <row r="5">
          <cell r="I5">
            <v>0</v>
          </cell>
        </row>
      </sheetData>
      <sheetData sheetId="10836">
        <row r="5">
          <cell r="I5">
            <v>0</v>
          </cell>
        </row>
      </sheetData>
      <sheetData sheetId="10837">
        <row r="5">
          <cell r="I5">
            <v>0</v>
          </cell>
        </row>
      </sheetData>
      <sheetData sheetId="10838">
        <row r="5">
          <cell r="I5">
            <v>0</v>
          </cell>
        </row>
      </sheetData>
      <sheetData sheetId="10839">
        <row r="5">
          <cell r="I5">
            <v>0</v>
          </cell>
        </row>
      </sheetData>
      <sheetData sheetId="10840">
        <row r="5">
          <cell r="I5">
            <v>0</v>
          </cell>
        </row>
      </sheetData>
      <sheetData sheetId="10841">
        <row r="5">
          <cell r="I5">
            <v>0</v>
          </cell>
        </row>
      </sheetData>
      <sheetData sheetId="10842">
        <row r="5">
          <cell r="I5">
            <v>0</v>
          </cell>
        </row>
      </sheetData>
      <sheetData sheetId="10843">
        <row r="5">
          <cell r="I5">
            <v>0</v>
          </cell>
        </row>
      </sheetData>
      <sheetData sheetId="10844">
        <row r="5">
          <cell r="I5">
            <v>0</v>
          </cell>
        </row>
      </sheetData>
      <sheetData sheetId="10845">
        <row r="5">
          <cell r="I5">
            <v>0</v>
          </cell>
        </row>
      </sheetData>
      <sheetData sheetId="10846">
        <row r="5">
          <cell r="I5">
            <v>0</v>
          </cell>
        </row>
      </sheetData>
      <sheetData sheetId="10847">
        <row r="5">
          <cell r="I5">
            <v>0</v>
          </cell>
        </row>
      </sheetData>
      <sheetData sheetId="10848">
        <row r="5">
          <cell r="I5">
            <v>0</v>
          </cell>
        </row>
      </sheetData>
      <sheetData sheetId="10849">
        <row r="5">
          <cell r="I5">
            <v>0</v>
          </cell>
        </row>
      </sheetData>
      <sheetData sheetId="10850">
        <row r="5">
          <cell r="I5">
            <v>0</v>
          </cell>
        </row>
      </sheetData>
      <sheetData sheetId="10851">
        <row r="5">
          <cell r="I5">
            <v>0</v>
          </cell>
        </row>
      </sheetData>
      <sheetData sheetId="10852">
        <row r="5">
          <cell r="I5">
            <v>0</v>
          </cell>
        </row>
      </sheetData>
      <sheetData sheetId="10853">
        <row r="5">
          <cell r="I5">
            <v>0</v>
          </cell>
        </row>
      </sheetData>
      <sheetData sheetId="10854">
        <row r="5">
          <cell r="I5">
            <v>0</v>
          </cell>
        </row>
      </sheetData>
      <sheetData sheetId="10855">
        <row r="5">
          <cell r="I5">
            <v>0</v>
          </cell>
        </row>
      </sheetData>
      <sheetData sheetId="10856">
        <row r="5">
          <cell r="I5">
            <v>0</v>
          </cell>
        </row>
      </sheetData>
      <sheetData sheetId="10857">
        <row r="5">
          <cell r="I5">
            <v>0</v>
          </cell>
        </row>
      </sheetData>
      <sheetData sheetId="10858">
        <row r="5">
          <cell r="I5">
            <v>0</v>
          </cell>
        </row>
      </sheetData>
      <sheetData sheetId="10859">
        <row r="5">
          <cell r="I5">
            <v>0</v>
          </cell>
        </row>
      </sheetData>
      <sheetData sheetId="10860">
        <row r="5">
          <cell r="I5">
            <v>0</v>
          </cell>
        </row>
      </sheetData>
      <sheetData sheetId="10861">
        <row r="5">
          <cell r="I5">
            <v>0</v>
          </cell>
        </row>
      </sheetData>
      <sheetData sheetId="10862">
        <row r="5">
          <cell r="I5">
            <v>0</v>
          </cell>
        </row>
      </sheetData>
      <sheetData sheetId="10863">
        <row r="5">
          <cell r="I5">
            <v>0</v>
          </cell>
        </row>
      </sheetData>
      <sheetData sheetId="10864">
        <row r="5">
          <cell r="I5">
            <v>0</v>
          </cell>
        </row>
      </sheetData>
      <sheetData sheetId="10865">
        <row r="5">
          <cell r="I5">
            <v>0</v>
          </cell>
        </row>
      </sheetData>
      <sheetData sheetId="10866">
        <row r="5">
          <cell r="I5">
            <v>0</v>
          </cell>
        </row>
      </sheetData>
      <sheetData sheetId="10867">
        <row r="5">
          <cell r="I5">
            <v>0</v>
          </cell>
        </row>
      </sheetData>
      <sheetData sheetId="10868">
        <row r="5">
          <cell r="I5">
            <v>0</v>
          </cell>
        </row>
      </sheetData>
      <sheetData sheetId="10869">
        <row r="5">
          <cell r="I5">
            <v>0</v>
          </cell>
        </row>
      </sheetData>
      <sheetData sheetId="10870">
        <row r="5">
          <cell r="I5">
            <v>0</v>
          </cell>
        </row>
      </sheetData>
      <sheetData sheetId="10871">
        <row r="5">
          <cell r="I5">
            <v>0</v>
          </cell>
        </row>
      </sheetData>
      <sheetData sheetId="10872">
        <row r="5">
          <cell r="I5">
            <v>0</v>
          </cell>
        </row>
      </sheetData>
      <sheetData sheetId="10873">
        <row r="5">
          <cell r="I5">
            <v>0</v>
          </cell>
        </row>
      </sheetData>
      <sheetData sheetId="10874">
        <row r="5">
          <cell r="I5">
            <v>0</v>
          </cell>
        </row>
      </sheetData>
      <sheetData sheetId="10875">
        <row r="5">
          <cell r="I5">
            <v>0</v>
          </cell>
        </row>
      </sheetData>
      <sheetData sheetId="10876">
        <row r="5">
          <cell r="I5">
            <v>0</v>
          </cell>
        </row>
      </sheetData>
      <sheetData sheetId="10877">
        <row r="5">
          <cell r="I5">
            <v>0</v>
          </cell>
        </row>
      </sheetData>
      <sheetData sheetId="10878">
        <row r="5">
          <cell r="I5">
            <v>0</v>
          </cell>
        </row>
      </sheetData>
      <sheetData sheetId="10879">
        <row r="5">
          <cell r="I5">
            <v>0</v>
          </cell>
        </row>
      </sheetData>
      <sheetData sheetId="10880">
        <row r="5">
          <cell r="I5">
            <v>0</v>
          </cell>
        </row>
      </sheetData>
      <sheetData sheetId="10881">
        <row r="5">
          <cell r="I5">
            <v>0</v>
          </cell>
        </row>
      </sheetData>
      <sheetData sheetId="10882">
        <row r="5">
          <cell r="I5">
            <v>0</v>
          </cell>
        </row>
      </sheetData>
      <sheetData sheetId="10883">
        <row r="5">
          <cell r="I5">
            <v>0</v>
          </cell>
        </row>
      </sheetData>
      <sheetData sheetId="10884">
        <row r="5">
          <cell r="I5">
            <v>0</v>
          </cell>
        </row>
      </sheetData>
      <sheetData sheetId="10885">
        <row r="5">
          <cell r="I5">
            <v>0</v>
          </cell>
        </row>
      </sheetData>
      <sheetData sheetId="10886">
        <row r="5">
          <cell r="I5">
            <v>0</v>
          </cell>
        </row>
      </sheetData>
      <sheetData sheetId="10887">
        <row r="5">
          <cell r="I5">
            <v>0</v>
          </cell>
        </row>
      </sheetData>
      <sheetData sheetId="10888">
        <row r="5">
          <cell r="I5">
            <v>0</v>
          </cell>
        </row>
      </sheetData>
      <sheetData sheetId="10889">
        <row r="5">
          <cell r="I5">
            <v>0</v>
          </cell>
        </row>
      </sheetData>
      <sheetData sheetId="10890">
        <row r="5">
          <cell r="I5">
            <v>0</v>
          </cell>
        </row>
      </sheetData>
      <sheetData sheetId="10891">
        <row r="5">
          <cell r="I5">
            <v>0</v>
          </cell>
        </row>
      </sheetData>
      <sheetData sheetId="10892">
        <row r="5">
          <cell r="I5">
            <v>0</v>
          </cell>
        </row>
      </sheetData>
      <sheetData sheetId="10893">
        <row r="5">
          <cell r="I5">
            <v>0</v>
          </cell>
        </row>
      </sheetData>
      <sheetData sheetId="10894">
        <row r="5">
          <cell r="I5">
            <v>0</v>
          </cell>
        </row>
      </sheetData>
      <sheetData sheetId="10895">
        <row r="5">
          <cell r="I5">
            <v>0</v>
          </cell>
        </row>
      </sheetData>
      <sheetData sheetId="10896">
        <row r="5">
          <cell r="I5">
            <v>0</v>
          </cell>
        </row>
      </sheetData>
      <sheetData sheetId="10897">
        <row r="5">
          <cell r="I5">
            <v>0</v>
          </cell>
        </row>
      </sheetData>
      <sheetData sheetId="10898">
        <row r="5">
          <cell r="I5">
            <v>0</v>
          </cell>
        </row>
      </sheetData>
      <sheetData sheetId="10899">
        <row r="5">
          <cell r="I5">
            <v>0</v>
          </cell>
        </row>
      </sheetData>
      <sheetData sheetId="10900">
        <row r="5">
          <cell r="I5">
            <v>0</v>
          </cell>
        </row>
      </sheetData>
      <sheetData sheetId="10901">
        <row r="5">
          <cell r="I5">
            <v>0</v>
          </cell>
        </row>
      </sheetData>
      <sheetData sheetId="10902">
        <row r="5">
          <cell r="I5">
            <v>0</v>
          </cell>
        </row>
      </sheetData>
      <sheetData sheetId="10903">
        <row r="5">
          <cell r="I5">
            <v>0</v>
          </cell>
        </row>
      </sheetData>
      <sheetData sheetId="10904">
        <row r="5">
          <cell r="I5">
            <v>0</v>
          </cell>
        </row>
      </sheetData>
      <sheetData sheetId="10905">
        <row r="5">
          <cell r="I5">
            <v>0</v>
          </cell>
        </row>
      </sheetData>
      <sheetData sheetId="10906">
        <row r="5">
          <cell r="I5">
            <v>0</v>
          </cell>
        </row>
      </sheetData>
      <sheetData sheetId="10907">
        <row r="5">
          <cell r="I5">
            <v>0</v>
          </cell>
        </row>
      </sheetData>
      <sheetData sheetId="10908">
        <row r="5">
          <cell r="I5">
            <v>0</v>
          </cell>
        </row>
      </sheetData>
      <sheetData sheetId="10909">
        <row r="5">
          <cell r="I5">
            <v>0</v>
          </cell>
        </row>
      </sheetData>
      <sheetData sheetId="10910">
        <row r="5">
          <cell r="I5">
            <v>0</v>
          </cell>
        </row>
      </sheetData>
      <sheetData sheetId="10911">
        <row r="5">
          <cell r="I5">
            <v>0</v>
          </cell>
        </row>
      </sheetData>
      <sheetData sheetId="10912">
        <row r="5">
          <cell r="I5">
            <v>0</v>
          </cell>
        </row>
      </sheetData>
      <sheetData sheetId="10913">
        <row r="5">
          <cell r="I5">
            <v>0</v>
          </cell>
        </row>
      </sheetData>
      <sheetData sheetId="10914">
        <row r="5">
          <cell r="I5">
            <v>0</v>
          </cell>
        </row>
      </sheetData>
      <sheetData sheetId="10915">
        <row r="5">
          <cell r="I5">
            <v>0</v>
          </cell>
        </row>
      </sheetData>
      <sheetData sheetId="10916">
        <row r="5">
          <cell r="I5">
            <v>0</v>
          </cell>
        </row>
      </sheetData>
      <sheetData sheetId="10917">
        <row r="5">
          <cell r="I5">
            <v>0</v>
          </cell>
        </row>
      </sheetData>
      <sheetData sheetId="10918">
        <row r="5">
          <cell r="I5">
            <v>0</v>
          </cell>
        </row>
      </sheetData>
      <sheetData sheetId="10919">
        <row r="5">
          <cell r="I5">
            <v>0</v>
          </cell>
        </row>
      </sheetData>
      <sheetData sheetId="10920">
        <row r="5">
          <cell r="I5">
            <v>0</v>
          </cell>
        </row>
      </sheetData>
      <sheetData sheetId="10921">
        <row r="5">
          <cell r="I5">
            <v>0</v>
          </cell>
        </row>
      </sheetData>
      <sheetData sheetId="10922">
        <row r="5">
          <cell r="I5">
            <v>0</v>
          </cell>
        </row>
      </sheetData>
      <sheetData sheetId="10923">
        <row r="5">
          <cell r="I5">
            <v>0</v>
          </cell>
        </row>
      </sheetData>
      <sheetData sheetId="10924">
        <row r="5">
          <cell r="I5">
            <v>0</v>
          </cell>
        </row>
      </sheetData>
      <sheetData sheetId="10925">
        <row r="5">
          <cell r="I5">
            <v>0</v>
          </cell>
        </row>
      </sheetData>
      <sheetData sheetId="10926">
        <row r="5">
          <cell r="I5">
            <v>0</v>
          </cell>
        </row>
      </sheetData>
      <sheetData sheetId="10927">
        <row r="5">
          <cell r="I5">
            <v>0</v>
          </cell>
        </row>
      </sheetData>
      <sheetData sheetId="10928">
        <row r="5">
          <cell r="I5">
            <v>0</v>
          </cell>
        </row>
      </sheetData>
      <sheetData sheetId="10929">
        <row r="5">
          <cell r="I5">
            <v>0</v>
          </cell>
        </row>
      </sheetData>
      <sheetData sheetId="10930">
        <row r="5">
          <cell r="I5">
            <v>0</v>
          </cell>
        </row>
      </sheetData>
      <sheetData sheetId="10931">
        <row r="5">
          <cell r="I5">
            <v>0</v>
          </cell>
        </row>
      </sheetData>
      <sheetData sheetId="10932">
        <row r="5">
          <cell r="I5">
            <v>0</v>
          </cell>
        </row>
      </sheetData>
      <sheetData sheetId="10933">
        <row r="5">
          <cell r="I5">
            <v>0</v>
          </cell>
        </row>
      </sheetData>
      <sheetData sheetId="10934">
        <row r="5">
          <cell r="I5">
            <v>0</v>
          </cell>
        </row>
      </sheetData>
      <sheetData sheetId="10935">
        <row r="5">
          <cell r="I5">
            <v>0</v>
          </cell>
        </row>
      </sheetData>
      <sheetData sheetId="10936">
        <row r="5">
          <cell r="I5">
            <v>0</v>
          </cell>
        </row>
      </sheetData>
      <sheetData sheetId="10937">
        <row r="5">
          <cell r="I5">
            <v>0</v>
          </cell>
        </row>
      </sheetData>
      <sheetData sheetId="10938">
        <row r="5">
          <cell r="I5">
            <v>0</v>
          </cell>
        </row>
      </sheetData>
      <sheetData sheetId="10939">
        <row r="5">
          <cell r="I5">
            <v>0</v>
          </cell>
        </row>
      </sheetData>
      <sheetData sheetId="10940">
        <row r="5">
          <cell r="I5">
            <v>0</v>
          </cell>
        </row>
      </sheetData>
      <sheetData sheetId="10941">
        <row r="5">
          <cell r="I5">
            <v>0</v>
          </cell>
        </row>
      </sheetData>
      <sheetData sheetId="10942">
        <row r="5">
          <cell r="I5">
            <v>0</v>
          </cell>
        </row>
      </sheetData>
      <sheetData sheetId="10943">
        <row r="5">
          <cell r="I5">
            <v>0</v>
          </cell>
        </row>
      </sheetData>
      <sheetData sheetId="10944">
        <row r="5">
          <cell r="I5">
            <v>0</v>
          </cell>
        </row>
      </sheetData>
      <sheetData sheetId="10945">
        <row r="5">
          <cell r="I5">
            <v>0</v>
          </cell>
        </row>
      </sheetData>
      <sheetData sheetId="10946">
        <row r="5">
          <cell r="I5">
            <v>0</v>
          </cell>
        </row>
      </sheetData>
      <sheetData sheetId="10947">
        <row r="5">
          <cell r="I5">
            <v>0</v>
          </cell>
        </row>
      </sheetData>
      <sheetData sheetId="10948">
        <row r="5">
          <cell r="I5">
            <v>0</v>
          </cell>
        </row>
      </sheetData>
      <sheetData sheetId="10949">
        <row r="5">
          <cell r="I5">
            <v>0</v>
          </cell>
        </row>
      </sheetData>
      <sheetData sheetId="10950">
        <row r="5">
          <cell r="I5">
            <v>0</v>
          </cell>
        </row>
      </sheetData>
      <sheetData sheetId="10951">
        <row r="5">
          <cell r="I5">
            <v>0</v>
          </cell>
        </row>
      </sheetData>
      <sheetData sheetId="10952">
        <row r="5">
          <cell r="I5">
            <v>0</v>
          </cell>
        </row>
      </sheetData>
      <sheetData sheetId="10953">
        <row r="5">
          <cell r="I5">
            <v>0</v>
          </cell>
        </row>
      </sheetData>
      <sheetData sheetId="10954">
        <row r="5">
          <cell r="I5">
            <v>0</v>
          </cell>
        </row>
      </sheetData>
      <sheetData sheetId="10955">
        <row r="5">
          <cell r="I5">
            <v>0</v>
          </cell>
        </row>
      </sheetData>
      <sheetData sheetId="10956">
        <row r="5">
          <cell r="I5">
            <v>0</v>
          </cell>
        </row>
      </sheetData>
      <sheetData sheetId="10957">
        <row r="5">
          <cell r="I5">
            <v>0</v>
          </cell>
        </row>
      </sheetData>
      <sheetData sheetId="10958">
        <row r="5">
          <cell r="I5">
            <v>0</v>
          </cell>
        </row>
      </sheetData>
      <sheetData sheetId="10959">
        <row r="5">
          <cell r="I5">
            <v>0</v>
          </cell>
        </row>
      </sheetData>
      <sheetData sheetId="10960">
        <row r="5">
          <cell r="I5">
            <v>0</v>
          </cell>
        </row>
      </sheetData>
      <sheetData sheetId="10961">
        <row r="5">
          <cell r="I5">
            <v>0</v>
          </cell>
        </row>
      </sheetData>
      <sheetData sheetId="10962">
        <row r="5">
          <cell r="I5">
            <v>0</v>
          </cell>
        </row>
      </sheetData>
      <sheetData sheetId="10963">
        <row r="5">
          <cell r="I5">
            <v>0</v>
          </cell>
        </row>
      </sheetData>
      <sheetData sheetId="10964">
        <row r="5">
          <cell r="I5">
            <v>0</v>
          </cell>
        </row>
      </sheetData>
      <sheetData sheetId="10965">
        <row r="5">
          <cell r="I5">
            <v>0</v>
          </cell>
        </row>
      </sheetData>
      <sheetData sheetId="10966">
        <row r="5">
          <cell r="I5">
            <v>0</v>
          </cell>
        </row>
      </sheetData>
      <sheetData sheetId="10967">
        <row r="5">
          <cell r="I5">
            <v>0</v>
          </cell>
        </row>
      </sheetData>
      <sheetData sheetId="10968">
        <row r="5">
          <cell r="I5">
            <v>0</v>
          </cell>
        </row>
      </sheetData>
      <sheetData sheetId="10969">
        <row r="5">
          <cell r="I5">
            <v>0</v>
          </cell>
        </row>
      </sheetData>
      <sheetData sheetId="10970">
        <row r="5">
          <cell r="I5">
            <v>0</v>
          </cell>
        </row>
      </sheetData>
      <sheetData sheetId="10971">
        <row r="5">
          <cell r="I5">
            <v>0</v>
          </cell>
        </row>
      </sheetData>
      <sheetData sheetId="10972">
        <row r="5">
          <cell r="I5">
            <v>0</v>
          </cell>
        </row>
      </sheetData>
      <sheetData sheetId="10973">
        <row r="5">
          <cell r="I5">
            <v>0</v>
          </cell>
        </row>
      </sheetData>
      <sheetData sheetId="10974">
        <row r="5">
          <cell r="I5">
            <v>0</v>
          </cell>
        </row>
      </sheetData>
      <sheetData sheetId="10975">
        <row r="5">
          <cell r="I5">
            <v>0</v>
          </cell>
        </row>
      </sheetData>
      <sheetData sheetId="10976">
        <row r="5">
          <cell r="I5">
            <v>0</v>
          </cell>
        </row>
      </sheetData>
      <sheetData sheetId="10977">
        <row r="5">
          <cell r="I5">
            <v>0</v>
          </cell>
        </row>
      </sheetData>
      <sheetData sheetId="10978">
        <row r="5">
          <cell r="I5">
            <v>0</v>
          </cell>
        </row>
      </sheetData>
      <sheetData sheetId="10979">
        <row r="5">
          <cell r="I5">
            <v>0</v>
          </cell>
        </row>
      </sheetData>
      <sheetData sheetId="10980">
        <row r="5">
          <cell r="I5">
            <v>0</v>
          </cell>
        </row>
      </sheetData>
      <sheetData sheetId="10981">
        <row r="5">
          <cell r="I5">
            <v>0</v>
          </cell>
        </row>
      </sheetData>
      <sheetData sheetId="10982">
        <row r="5">
          <cell r="I5">
            <v>0</v>
          </cell>
        </row>
      </sheetData>
      <sheetData sheetId="10983">
        <row r="5">
          <cell r="I5">
            <v>0</v>
          </cell>
        </row>
      </sheetData>
      <sheetData sheetId="10984">
        <row r="5">
          <cell r="I5">
            <v>0</v>
          </cell>
        </row>
      </sheetData>
      <sheetData sheetId="10985">
        <row r="5">
          <cell r="I5">
            <v>0</v>
          </cell>
        </row>
      </sheetData>
      <sheetData sheetId="10986">
        <row r="5">
          <cell r="I5">
            <v>0</v>
          </cell>
        </row>
      </sheetData>
      <sheetData sheetId="10987">
        <row r="5">
          <cell r="I5">
            <v>0</v>
          </cell>
        </row>
      </sheetData>
      <sheetData sheetId="10988">
        <row r="5">
          <cell r="I5">
            <v>0</v>
          </cell>
        </row>
      </sheetData>
      <sheetData sheetId="10989">
        <row r="5">
          <cell r="I5">
            <v>0</v>
          </cell>
        </row>
      </sheetData>
      <sheetData sheetId="10990">
        <row r="5">
          <cell r="I5">
            <v>0</v>
          </cell>
        </row>
      </sheetData>
      <sheetData sheetId="10991">
        <row r="5">
          <cell r="I5">
            <v>0</v>
          </cell>
        </row>
      </sheetData>
      <sheetData sheetId="10992">
        <row r="5">
          <cell r="I5">
            <v>0</v>
          </cell>
        </row>
      </sheetData>
      <sheetData sheetId="10993">
        <row r="5">
          <cell r="I5">
            <v>0</v>
          </cell>
        </row>
      </sheetData>
      <sheetData sheetId="10994">
        <row r="5">
          <cell r="I5">
            <v>0</v>
          </cell>
        </row>
      </sheetData>
      <sheetData sheetId="10995">
        <row r="5">
          <cell r="I5">
            <v>0</v>
          </cell>
        </row>
      </sheetData>
      <sheetData sheetId="10996">
        <row r="5">
          <cell r="I5">
            <v>0</v>
          </cell>
        </row>
      </sheetData>
      <sheetData sheetId="10997">
        <row r="5">
          <cell r="I5">
            <v>0</v>
          </cell>
        </row>
      </sheetData>
      <sheetData sheetId="10998">
        <row r="5">
          <cell r="I5">
            <v>0</v>
          </cell>
        </row>
      </sheetData>
      <sheetData sheetId="10999">
        <row r="5">
          <cell r="I5">
            <v>0</v>
          </cell>
        </row>
      </sheetData>
      <sheetData sheetId="11000" refreshError="1"/>
      <sheetData sheetId="11001" refreshError="1"/>
      <sheetData sheetId="11002" refreshError="1"/>
      <sheetData sheetId="11003" refreshError="1"/>
      <sheetData sheetId="11004" refreshError="1"/>
      <sheetData sheetId="11005">
        <row r="5">
          <cell r="I5">
            <v>0</v>
          </cell>
        </row>
      </sheetData>
      <sheetData sheetId="11006">
        <row r="5">
          <cell r="I5">
            <v>0</v>
          </cell>
        </row>
      </sheetData>
      <sheetData sheetId="11007">
        <row r="5">
          <cell r="I5">
            <v>0</v>
          </cell>
        </row>
      </sheetData>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ow r="5">
          <cell r="I5">
            <v>0</v>
          </cell>
        </row>
      </sheetData>
      <sheetData sheetId="11147" refreshError="1"/>
      <sheetData sheetId="11148" refreshError="1"/>
      <sheetData sheetId="11149" refreshError="1"/>
      <sheetData sheetId="11150">
        <row r="5">
          <cell r="I5">
            <v>0</v>
          </cell>
        </row>
      </sheetData>
      <sheetData sheetId="11151">
        <row r="5">
          <cell r="I5">
            <v>0</v>
          </cell>
        </row>
      </sheetData>
      <sheetData sheetId="11152" refreshError="1"/>
      <sheetData sheetId="11153">
        <row r="5">
          <cell r="I5">
            <v>0</v>
          </cell>
        </row>
      </sheetData>
      <sheetData sheetId="11154">
        <row r="5">
          <cell r="I5">
            <v>0</v>
          </cell>
        </row>
      </sheetData>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ow r="5">
          <cell r="I5">
            <v>0</v>
          </cell>
        </row>
      </sheetData>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ow r="5">
          <cell r="I5">
            <v>0</v>
          </cell>
        </row>
      </sheetData>
      <sheetData sheetId="11174">
        <row r="5">
          <cell r="I5">
            <v>0</v>
          </cell>
        </row>
      </sheetData>
      <sheetData sheetId="11175">
        <row r="5">
          <cell r="I5">
            <v>0</v>
          </cell>
        </row>
      </sheetData>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ow r="5">
          <cell r="I5">
            <v>0</v>
          </cell>
        </row>
      </sheetData>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ow r="5">
          <cell r="I5">
            <v>0</v>
          </cell>
        </row>
      </sheetData>
      <sheetData sheetId="11227">
        <row r="5">
          <cell r="I5">
            <v>0</v>
          </cell>
        </row>
      </sheetData>
      <sheetData sheetId="11228" refreshError="1"/>
      <sheetData sheetId="11229" refreshError="1"/>
      <sheetData sheetId="11230" refreshError="1"/>
      <sheetData sheetId="11231" refreshError="1"/>
      <sheetData sheetId="11232">
        <row r="5">
          <cell r="I5">
            <v>0</v>
          </cell>
        </row>
      </sheetData>
      <sheetData sheetId="11233">
        <row r="5">
          <cell r="I5">
            <v>0</v>
          </cell>
        </row>
      </sheetData>
      <sheetData sheetId="11234">
        <row r="5">
          <cell r="I5">
            <v>0</v>
          </cell>
        </row>
      </sheetData>
      <sheetData sheetId="11235">
        <row r="5">
          <cell r="I5">
            <v>0</v>
          </cell>
        </row>
      </sheetData>
      <sheetData sheetId="11236">
        <row r="5">
          <cell r="I5">
            <v>0</v>
          </cell>
        </row>
      </sheetData>
      <sheetData sheetId="11237">
        <row r="5">
          <cell r="I5">
            <v>0</v>
          </cell>
        </row>
      </sheetData>
      <sheetData sheetId="11238">
        <row r="5">
          <cell r="I5">
            <v>0</v>
          </cell>
        </row>
      </sheetData>
      <sheetData sheetId="11239">
        <row r="5">
          <cell r="I5">
            <v>0</v>
          </cell>
        </row>
      </sheetData>
      <sheetData sheetId="11240">
        <row r="5">
          <cell r="I5">
            <v>0</v>
          </cell>
        </row>
      </sheetData>
      <sheetData sheetId="11241">
        <row r="5">
          <cell r="I5">
            <v>0</v>
          </cell>
        </row>
      </sheetData>
      <sheetData sheetId="11242">
        <row r="5">
          <cell r="I5">
            <v>0</v>
          </cell>
        </row>
      </sheetData>
      <sheetData sheetId="11243">
        <row r="5">
          <cell r="I5">
            <v>0</v>
          </cell>
        </row>
      </sheetData>
      <sheetData sheetId="11244">
        <row r="5">
          <cell r="I5">
            <v>0</v>
          </cell>
        </row>
      </sheetData>
      <sheetData sheetId="11245">
        <row r="5">
          <cell r="I5">
            <v>0</v>
          </cell>
        </row>
      </sheetData>
      <sheetData sheetId="11246">
        <row r="5">
          <cell r="I5">
            <v>0</v>
          </cell>
        </row>
      </sheetData>
      <sheetData sheetId="11247" refreshError="1"/>
      <sheetData sheetId="11248" refreshError="1"/>
      <sheetData sheetId="11249" refreshError="1"/>
      <sheetData sheetId="11250">
        <row r="5">
          <cell r="I5">
            <v>0</v>
          </cell>
        </row>
      </sheetData>
      <sheetData sheetId="11251" refreshError="1"/>
      <sheetData sheetId="11252">
        <row r="5">
          <cell r="I5">
            <v>0</v>
          </cell>
        </row>
      </sheetData>
      <sheetData sheetId="11253">
        <row r="5">
          <cell r="I5">
            <v>0</v>
          </cell>
        </row>
      </sheetData>
      <sheetData sheetId="11254">
        <row r="5">
          <cell r="I5">
            <v>0</v>
          </cell>
        </row>
      </sheetData>
      <sheetData sheetId="11255">
        <row r="5">
          <cell r="I5">
            <v>0</v>
          </cell>
        </row>
      </sheetData>
      <sheetData sheetId="11256" refreshError="1"/>
      <sheetData sheetId="11257" refreshError="1"/>
      <sheetData sheetId="11258">
        <row r="5">
          <cell r="I5">
            <v>0</v>
          </cell>
        </row>
      </sheetData>
      <sheetData sheetId="11259" refreshError="1"/>
      <sheetData sheetId="11260">
        <row r="5">
          <cell r="I5">
            <v>0</v>
          </cell>
        </row>
      </sheetData>
      <sheetData sheetId="11261" refreshError="1"/>
      <sheetData sheetId="11262" refreshError="1"/>
      <sheetData sheetId="11263">
        <row r="5">
          <cell r="I5">
            <v>0</v>
          </cell>
        </row>
      </sheetData>
      <sheetData sheetId="11264" refreshError="1"/>
      <sheetData sheetId="11265">
        <row r="5">
          <cell r="I5">
            <v>0</v>
          </cell>
        </row>
      </sheetData>
      <sheetData sheetId="11266">
        <row r="19">
          <cell r="J19">
            <v>1.0499999999999999E-3</v>
          </cell>
        </row>
      </sheetData>
      <sheetData sheetId="11267">
        <row r="5">
          <cell r="I5">
            <v>0</v>
          </cell>
        </row>
      </sheetData>
      <sheetData sheetId="11268">
        <row r="5">
          <cell r="I5">
            <v>0</v>
          </cell>
        </row>
      </sheetData>
      <sheetData sheetId="11269">
        <row r="5">
          <cell r="I5">
            <v>0</v>
          </cell>
        </row>
      </sheetData>
      <sheetData sheetId="11270" refreshError="1"/>
      <sheetData sheetId="11271">
        <row r="19">
          <cell r="J19">
            <v>1.0499999999999999E-3</v>
          </cell>
        </row>
      </sheetData>
      <sheetData sheetId="11272">
        <row r="5">
          <cell r="I5">
            <v>0</v>
          </cell>
        </row>
      </sheetData>
      <sheetData sheetId="11273">
        <row r="5">
          <cell r="I5">
            <v>0</v>
          </cell>
        </row>
      </sheetData>
      <sheetData sheetId="11274">
        <row r="5">
          <cell r="I5">
            <v>0</v>
          </cell>
        </row>
      </sheetData>
      <sheetData sheetId="11275">
        <row r="5">
          <cell r="I5">
            <v>0</v>
          </cell>
        </row>
      </sheetData>
      <sheetData sheetId="11276">
        <row r="5">
          <cell r="I5">
            <v>0</v>
          </cell>
        </row>
      </sheetData>
      <sheetData sheetId="11277">
        <row r="5">
          <cell r="I5">
            <v>0</v>
          </cell>
        </row>
      </sheetData>
      <sheetData sheetId="11278">
        <row r="5">
          <cell r="I5">
            <v>0</v>
          </cell>
        </row>
      </sheetData>
      <sheetData sheetId="11279">
        <row r="5">
          <cell r="I5">
            <v>0</v>
          </cell>
        </row>
      </sheetData>
      <sheetData sheetId="11280">
        <row r="5">
          <cell r="I5">
            <v>0</v>
          </cell>
        </row>
      </sheetData>
      <sheetData sheetId="11281">
        <row r="5">
          <cell r="I5">
            <v>0</v>
          </cell>
        </row>
      </sheetData>
      <sheetData sheetId="11282">
        <row r="5">
          <cell r="I5">
            <v>0</v>
          </cell>
        </row>
      </sheetData>
      <sheetData sheetId="11283">
        <row r="5">
          <cell r="I5">
            <v>0</v>
          </cell>
        </row>
      </sheetData>
      <sheetData sheetId="11284">
        <row r="5">
          <cell r="I5">
            <v>0</v>
          </cell>
        </row>
      </sheetData>
      <sheetData sheetId="11285">
        <row r="5">
          <cell r="I5">
            <v>0</v>
          </cell>
        </row>
      </sheetData>
      <sheetData sheetId="11286">
        <row r="5">
          <cell r="I5">
            <v>0</v>
          </cell>
        </row>
      </sheetData>
      <sheetData sheetId="11287">
        <row r="5">
          <cell r="I5">
            <v>0</v>
          </cell>
        </row>
      </sheetData>
      <sheetData sheetId="11288">
        <row r="5">
          <cell r="I5">
            <v>0</v>
          </cell>
        </row>
      </sheetData>
      <sheetData sheetId="11289">
        <row r="5">
          <cell r="I5">
            <v>0</v>
          </cell>
        </row>
      </sheetData>
      <sheetData sheetId="11290">
        <row r="5">
          <cell r="I5">
            <v>0</v>
          </cell>
        </row>
      </sheetData>
      <sheetData sheetId="11291">
        <row r="5">
          <cell r="I5">
            <v>0</v>
          </cell>
        </row>
      </sheetData>
      <sheetData sheetId="11292">
        <row r="5">
          <cell r="I5">
            <v>0</v>
          </cell>
        </row>
      </sheetData>
      <sheetData sheetId="11293">
        <row r="5">
          <cell r="I5">
            <v>0</v>
          </cell>
        </row>
      </sheetData>
      <sheetData sheetId="11294">
        <row r="5">
          <cell r="I5">
            <v>0</v>
          </cell>
        </row>
      </sheetData>
      <sheetData sheetId="11295">
        <row r="5">
          <cell r="I5">
            <v>0</v>
          </cell>
        </row>
      </sheetData>
      <sheetData sheetId="11296">
        <row r="5">
          <cell r="I5">
            <v>0</v>
          </cell>
        </row>
      </sheetData>
      <sheetData sheetId="11297">
        <row r="5">
          <cell r="I5">
            <v>0</v>
          </cell>
        </row>
      </sheetData>
      <sheetData sheetId="11298">
        <row r="5">
          <cell r="I5">
            <v>0</v>
          </cell>
        </row>
      </sheetData>
      <sheetData sheetId="11299">
        <row r="5">
          <cell r="I5">
            <v>0</v>
          </cell>
        </row>
      </sheetData>
      <sheetData sheetId="11300">
        <row r="5">
          <cell r="I5">
            <v>0</v>
          </cell>
        </row>
      </sheetData>
      <sheetData sheetId="11301">
        <row r="5">
          <cell r="I5">
            <v>0</v>
          </cell>
        </row>
      </sheetData>
      <sheetData sheetId="11302">
        <row r="5">
          <cell r="I5">
            <v>0</v>
          </cell>
        </row>
      </sheetData>
      <sheetData sheetId="11303">
        <row r="5">
          <cell r="I5">
            <v>0</v>
          </cell>
        </row>
      </sheetData>
      <sheetData sheetId="11304">
        <row r="5">
          <cell r="I5">
            <v>0</v>
          </cell>
        </row>
      </sheetData>
      <sheetData sheetId="11305">
        <row r="5">
          <cell r="I5">
            <v>0</v>
          </cell>
        </row>
      </sheetData>
      <sheetData sheetId="11306">
        <row r="5">
          <cell r="I5">
            <v>0</v>
          </cell>
        </row>
      </sheetData>
      <sheetData sheetId="11307">
        <row r="5">
          <cell r="I5">
            <v>0</v>
          </cell>
        </row>
      </sheetData>
      <sheetData sheetId="11308">
        <row r="5">
          <cell r="I5">
            <v>0</v>
          </cell>
        </row>
      </sheetData>
      <sheetData sheetId="11309">
        <row r="5">
          <cell r="I5">
            <v>0</v>
          </cell>
        </row>
      </sheetData>
      <sheetData sheetId="11310">
        <row r="5">
          <cell r="I5">
            <v>0</v>
          </cell>
        </row>
      </sheetData>
      <sheetData sheetId="11311">
        <row r="5">
          <cell r="I5">
            <v>0</v>
          </cell>
        </row>
      </sheetData>
      <sheetData sheetId="11312">
        <row r="5">
          <cell r="I5">
            <v>0</v>
          </cell>
        </row>
      </sheetData>
      <sheetData sheetId="11313">
        <row r="5">
          <cell r="I5">
            <v>0</v>
          </cell>
        </row>
      </sheetData>
      <sheetData sheetId="11314">
        <row r="5">
          <cell r="I5">
            <v>0</v>
          </cell>
        </row>
      </sheetData>
      <sheetData sheetId="11315">
        <row r="5">
          <cell r="I5">
            <v>0</v>
          </cell>
        </row>
      </sheetData>
      <sheetData sheetId="11316">
        <row r="5">
          <cell r="I5">
            <v>0</v>
          </cell>
        </row>
      </sheetData>
      <sheetData sheetId="11317">
        <row r="5">
          <cell r="I5">
            <v>0</v>
          </cell>
        </row>
      </sheetData>
      <sheetData sheetId="11318">
        <row r="5">
          <cell r="I5">
            <v>0</v>
          </cell>
        </row>
      </sheetData>
      <sheetData sheetId="11319">
        <row r="5">
          <cell r="I5">
            <v>0</v>
          </cell>
        </row>
      </sheetData>
      <sheetData sheetId="11320">
        <row r="5">
          <cell r="I5">
            <v>0</v>
          </cell>
        </row>
      </sheetData>
      <sheetData sheetId="11321">
        <row r="5">
          <cell r="I5">
            <v>0</v>
          </cell>
        </row>
      </sheetData>
      <sheetData sheetId="11322">
        <row r="5">
          <cell r="I5">
            <v>0</v>
          </cell>
        </row>
      </sheetData>
      <sheetData sheetId="11323">
        <row r="5">
          <cell r="I5">
            <v>0</v>
          </cell>
        </row>
      </sheetData>
      <sheetData sheetId="11324">
        <row r="5">
          <cell r="I5">
            <v>0</v>
          </cell>
        </row>
      </sheetData>
      <sheetData sheetId="11325">
        <row r="5">
          <cell r="I5">
            <v>0</v>
          </cell>
        </row>
      </sheetData>
      <sheetData sheetId="11326">
        <row r="5">
          <cell r="I5">
            <v>0</v>
          </cell>
        </row>
      </sheetData>
      <sheetData sheetId="11327">
        <row r="5">
          <cell r="I5">
            <v>0</v>
          </cell>
        </row>
      </sheetData>
      <sheetData sheetId="11328">
        <row r="5">
          <cell r="I5">
            <v>0</v>
          </cell>
        </row>
      </sheetData>
      <sheetData sheetId="11329" refreshError="1"/>
      <sheetData sheetId="11330" refreshError="1"/>
      <sheetData sheetId="11331" refreshError="1"/>
      <sheetData sheetId="11332" refreshError="1"/>
      <sheetData sheetId="11333" refreshError="1"/>
      <sheetData sheetId="11334" refreshError="1"/>
      <sheetData sheetId="11335" refreshError="1"/>
      <sheetData sheetId="11336" refreshError="1"/>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refreshError="1"/>
      <sheetData sheetId="11345" refreshError="1"/>
      <sheetData sheetId="11346" refreshError="1"/>
      <sheetData sheetId="11347" refreshError="1"/>
      <sheetData sheetId="11348" refreshError="1"/>
      <sheetData sheetId="11349" refreshError="1"/>
      <sheetData sheetId="11350" refreshError="1"/>
      <sheetData sheetId="11351" refreshError="1"/>
      <sheetData sheetId="11352" refreshError="1"/>
      <sheetData sheetId="11353" refreshError="1"/>
      <sheetData sheetId="11354" refreshError="1"/>
      <sheetData sheetId="11355" refreshError="1"/>
      <sheetData sheetId="11356" refreshError="1"/>
      <sheetData sheetId="11357" refreshError="1"/>
      <sheetData sheetId="11358" refreshError="1"/>
      <sheetData sheetId="11359" refreshError="1"/>
      <sheetData sheetId="11360" refreshError="1"/>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refreshError="1"/>
      <sheetData sheetId="11369" refreshError="1"/>
      <sheetData sheetId="11370" refreshError="1"/>
      <sheetData sheetId="11371" refreshError="1"/>
      <sheetData sheetId="11372" refreshError="1"/>
      <sheetData sheetId="11373" refreshError="1"/>
      <sheetData sheetId="11374" refreshError="1"/>
      <sheetData sheetId="11375" refreshError="1"/>
      <sheetData sheetId="11376" refreshError="1"/>
      <sheetData sheetId="11377" refreshError="1"/>
      <sheetData sheetId="11378" refreshError="1"/>
      <sheetData sheetId="11379" refreshError="1"/>
      <sheetData sheetId="11380" refreshError="1"/>
      <sheetData sheetId="11381" refreshError="1"/>
      <sheetData sheetId="11382" refreshError="1"/>
      <sheetData sheetId="11383" refreshError="1"/>
      <sheetData sheetId="11384" refreshError="1"/>
      <sheetData sheetId="11385" refreshError="1"/>
      <sheetData sheetId="11386" refreshError="1"/>
      <sheetData sheetId="11387" refreshError="1"/>
      <sheetData sheetId="11388" refreshError="1"/>
      <sheetData sheetId="11389" refreshError="1"/>
      <sheetData sheetId="11390" refreshError="1"/>
      <sheetData sheetId="11391" refreshError="1"/>
      <sheetData sheetId="11392" refreshError="1"/>
      <sheetData sheetId="11393" refreshError="1"/>
      <sheetData sheetId="11394" refreshError="1"/>
      <sheetData sheetId="11395" refreshError="1"/>
      <sheetData sheetId="11396" refreshError="1"/>
      <sheetData sheetId="11397" refreshError="1"/>
      <sheetData sheetId="11398" refreshError="1"/>
      <sheetData sheetId="11399" refreshError="1"/>
      <sheetData sheetId="11400" refreshError="1"/>
      <sheetData sheetId="11401" refreshError="1"/>
      <sheetData sheetId="11402" refreshError="1"/>
      <sheetData sheetId="11403" refreshError="1"/>
      <sheetData sheetId="11404" refreshError="1"/>
      <sheetData sheetId="11405" refreshError="1"/>
      <sheetData sheetId="11406" refreshError="1"/>
      <sheetData sheetId="11407" refreshError="1"/>
      <sheetData sheetId="11408" refreshError="1"/>
      <sheetData sheetId="11409" refreshError="1"/>
      <sheetData sheetId="11410" refreshError="1"/>
      <sheetData sheetId="11411" refreshError="1"/>
      <sheetData sheetId="11412" refreshError="1"/>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ow r="19">
          <cell r="J19">
            <v>1.0499999999999999E-3</v>
          </cell>
        </row>
      </sheetData>
      <sheetData sheetId="11428">
        <row r="19">
          <cell r="J19">
            <v>1.0499999999999999E-3</v>
          </cell>
        </row>
      </sheetData>
      <sheetData sheetId="11429" refreshError="1"/>
      <sheetData sheetId="11430" refreshError="1"/>
      <sheetData sheetId="11431" refreshError="1"/>
      <sheetData sheetId="11432">
        <row r="5">
          <cell r="I5">
            <v>0</v>
          </cell>
        </row>
      </sheetData>
      <sheetData sheetId="11433">
        <row r="19">
          <cell r="J19">
            <v>1.0499999999999999E-3</v>
          </cell>
        </row>
      </sheetData>
      <sheetData sheetId="11434">
        <row r="5">
          <cell r="I5">
            <v>0</v>
          </cell>
        </row>
      </sheetData>
      <sheetData sheetId="11435">
        <row r="19">
          <cell r="J19">
            <v>1.0499999999999999E-3</v>
          </cell>
        </row>
      </sheetData>
      <sheetData sheetId="11436">
        <row r="5">
          <cell r="I5">
            <v>0</v>
          </cell>
        </row>
      </sheetData>
      <sheetData sheetId="11437">
        <row r="19">
          <cell r="J19">
            <v>1.0499999999999999E-3</v>
          </cell>
        </row>
      </sheetData>
      <sheetData sheetId="11438">
        <row r="5">
          <cell r="I5">
            <v>0</v>
          </cell>
        </row>
      </sheetData>
      <sheetData sheetId="11439">
        <row r="19">
          <cell r="J19">
            <v>1.0499999999999999E-3</v>
          </cell>
        </row>
      </sheetData>
      <sheetData sheetId="11440">
        <row r="19">
          <cell r="J19">
            <v>1.0499999999999999E-3</v>
          </cell>
        </row>
      </sheetData>
      <sheetData sheetId="11441">
        <row r="5">
          <cell r="I5">
            <v>0</v>
          </cell>
        </row>
      </sheetData>
      <sheetData sheetId="11442">
        <row r="5">
          <cell r="I5">
            <v>0</v>
          </cell>
        </row>
      </sheetData>
      <sheetData sheetId="11443">
        <row r="5">
          <cell r="I5">
            <v>0</v>
          </cell>
        </row>
      </sheetData>
      <sheetData sheetId="11444">
        <row r="19">
          <cell r="J19">
            <v>1.0499999999999999E-3</v>
          </cell>
        </row>
      </sheetData>
      <sheetData sheetId="11445">
        <row r="19">
          <cell r="J19">
            <v>1.0499999999999999E-3</v>
          </cell>
        </row>
      </sheetData>
      <sheetData sheetId="11446">
        <row r="19">
          <cell r="J19">
            <v>1.0499999999999999E-3</v>
          </cell>
        </row>
      </sheetData>
      <sheetData sheetId="11447">
        <row r="5">
          <cell r="I5">
            <v>0</v>
          </cell>
        </row>
      </sheetData>
      <sheetData sheetId="11448">
        <row r="19">
          <cell r="J19">
            <v>1.0499999999999999E-3</v>
          </cell>
        </row>
      </sheetData>
      <sheetData sheetId="11449">
        <row r="19">
          <cell r="J19">
            <v>1.0499999999999999E-3</v>
          </cell>
        </row>
      </sheetData>
      <sheetData sheetId="11450">
        <row r="5">
          <cell r="I5">
            <v>0</v>
          </cell>
        </row>
      </sheetData>
      <sheetData sheetId="11451">
        <row r="5">
          <cell r="I5">
            <v>0</v>
          </cell>
        </row>
      </sheetData>
      <sheetData sheetId="11452">
        <row r="5">
          <cell r="I5">
            <v>0</v>
          </cell>
        </row>
      </sheetData>
      <sheetData sheetId="11453">
        <row r="5">
          <cell r="I5">
            <v>0</v>
          </cell>
        </row>
      </sheetData>
      <sheetData sheetId="11454">
        <row r="5">
          <cell r="I5">
            <v>0</v>
          </cell>
        </row>
      </sheetData>
      <sheetData sheetId="11455">
        <row r="19">
          <cell r="J19">
            <v>1.0499999999999999E-3</v>
          </cell>
        </row>
      </sheetData>
      <sheetData sheetId="11456" refreshError="1"/>
      <sheetData sheetId="11457">
        <row r="5">
          <cell r="I5">
            <v>0</v>
          </cell>
        </row>
      </sheetData>
      <sheetData sheetId="11458">
        <row r="19">
          <cell r="J19">
            <v>1.0499999999999999E-3</v>
          </cell>
        </row>
      </sheetData>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ow r="19">
          <cell r="J19">
            <v>1.0499999999999999E-3</v>
          </cell>
        </row>
      </sheetData>
      <sheetData sheetId="11471" refreshError="1"/>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refreshError="1"/>
      <sheetData sheetId="11482" refreshError="1"/>
      <sheetData sheetId="11483">
        <row r="5">
          <cell r="I5">
            <v>0</v>
          </cell>
        </row>
      </sheetData>
      <sheetData sheetId="11484" refreshError="1"/>
      <sheetData sheetId="11485" refreshError="1"/>
      <sheetData sheetId="11486">
        <row r="5">
          <cell r="I5">
            <v>0</v>
          </cell>
        </row>
      </sheetData>
      <sheetData sheetId="11487" refreshError="1"/>
      <sheetData sheetId="11488" refreshError="1"/>
      <sheetData sheetId="11489" refreshError="1"/>
      <sheetData sheetId="11490" refreshError="1"/>
      <sheetData sheetId="11491" refreshError="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refreshError="1"/>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ow r="19">
          <cell r="J19">
            <v>1.0499999999999999E-3</v>
          </cell>
        </row>
      </sheetData>
      <sheetData sheetId="11533">
        <row r="19">
          <cell r="J19">
            <v>1.0499999999999999E-3</v>
          </cell>
        </row>
      </sheetData>
      <sheetData sheetId="11534">
        <row r="19">
          <cell r="J19">
            <v>1.0499999999999999E-3</v>
          </cell>
        </row>
      </sheetData>
      <sheetData sheetId="11535" refreshError="1"/>
      <sheetData sheetId="11536" refreshError="1"/>
      <sheetData sheetId="11537" refreshError="1"/>
      <sheetData sheetId="11538" refreshError="1"/>
      <sheetData sheetId="11539" refreshError="1"/>
      <sheetData sheetId="11540" refreshError="1"/>
      <sheetData sheetId="11541" refreshError="1"/>
      <sheetData sheetId="11542" refreshError="1"/>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efreshError="1"/>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efreshError="1"/>
      <sheetData sheetId="11573" refreshError="1"/>
      <sheetData sheetId="11574" refreshError="1"/>
      <sheetData sheetId="11575" refreshError="1"/>
      <sheetData sheetId="11576" refreshError="1"/>
      <sheetData sheetId="11577" refreshError="1"/>
      <sheetData sheetId="11578" refreshError="1"/>
      <sheetData sheetId="11579" refreshError="1"/>
      <sheetData sheetId="11580" refreshError="1"/>
      <sheetData sheetId="11581" refreshError="1"/>
      <sheetData sheetId="11582" refreshError="1"/>
      <sheetData sheetId="11583" refreshError="1"/>
      <sheetData sheetId="11584" refreshError="1"/>
      <sheetData sheetId="11585" refreshError="1"/>
      <sheetData sheetId="11586" refreshError="1"/>
      <sheetData sheetId="11587" refreshError="1"/>
      <sheetData sheetId="11588" refreshError="1"/>
      <sheetData sheetId="11589" refreshError="1"/>
      <sheetData sheetId="11590" refreshError="1"/>
      <sheetData sheetId="11591" refreshError="1"/>
      <sheetData sheetId="11592" refreshError="1"/>
      <sheetData sheetId="11593" refreshError="1"/>
      <sheetData sheetId="11594" refreshError="1"/>
      <sheetData sheetId="11595" refreshError="1"/>
      <sheetData sheetId="11596" refreshError="1"/>
      <sheetData sheetId="11597" refreshError="1"/>
      <sheetData sheetId="11598" refreshError="1"/>
      <sheetData sheetId="11599" refreshError="1"/>
      <sheetData sheetId="11600" refreshError="1"/>
      <sheetData sheetId="11601" refreshError="1"/>
      <sheetData sheetId="11602" refreshError="1"/>
      <sheetData sheetId="11603" refreshError="1"/>
      <sheetData sheetId="11604" refreshError="1"/>
      <sheetData sheetId="11605" refreshError="1"/>
      <sheetData sheetId="11606" refreshError="1"/>
      <sheetData sheetId="11607" refreshError="1"/>
      <sheetData sheetId="11608" refreshError="1"/>
      <sheetData sheetId="11609" refreshError="1"/>
      <sheetData sheetId="11610" refreshError="1"/>
      <sheetData sheetId="11611" refreshError="1"/>
      <sheetData sheetId="11612" refreshError="1"/>
      <sheetData sheetId="11613" refreshError="1"/>
      <sheetData sheetId="11614" refreshError="1"/>
      <sheetData sheetId="11615" refreshError="1"/>
      <sheetData sheetId="11616" refreshError="1"/>
      <sheetData sheetId="11617" refreshError="1"/>
      <sheetData sheetId="11618" refreshError="1"/>
      <sheetData sheetId="11619" refreshError="1"/>
      <sheetData sheetId="11620" refreshError="1"/>
      <sheetData sheetId="11621" refreshError="1"/>
      <sheetData sheetId="11622" refreshError="1"/>
      <sheetData sheetId="11623" refreshError="1"/>
      <sheetData sheetId="11624" refreshError="1"/>
      <sheetData sheetId="11625" refreshError="1"/>
      <sheetData sheetId="11626" refreshError="1"/>
      <sheetData sheetId="11627" refreshError="1"/>
      <sheetData sheetId="11628" refreshError="1"/>
      <sheetData sheetId="11629" refreshError="1"/>
      <sheetData sheetId="11630" refreshError="1"/>
      <sheetData sheetId="11631" refreshError="1"/>
      <sheetData sheetId="11632" refreshError="1"/>
      <sheetData sheetId="11633" refreshError="1"/>
      <sheetData sheetId="11634" refreshError="1"/>
      <sheetData sheetId="11635" refreshError="1"/>
      <sheetData sheetId="11636" refreshError="1"/>
      <sheetData sheetId="11637" refreshError="1"/>
      <sheetData sheetId="11638" refreshError="1"/>
      <sheetData sheetId="11639" refreshError="1"/>
      <sheetData sheetId="11640" refreshError="1"/>
      <sheetData sheetId="11641" refreshError="1"/>
      <sheetData sheetId="11642" refreshError="1"/>
      <sheetData sheetId="11643" refreshError="1"/>
      <sheetData sheetId="11644" refreshError="1"/>
      <sheetData sheetId="11645" refreshError="1"/>
      <sheetData sheetId="11646" refreshError="1"/>
      <sheetData sheetId="11647" refreshError="1"/>
      <sheetData sheetId="11648" refreshError="1"/>
      <sheetData sheetId="11649" refreshError="1"/>
      <sheetData sheetId="11650" refreshError="1"/>
      <sheetData sheetId="11651" refreshError="1"/>
      <sheetData sheetId="11652" refreshError="1"/>
      <sheetData sheetId="11653" refreshError="1"/>
      <sheetData sheetId="11654" refreshError="1"/>
      <sheetData sheetId="11655" refreshError="1"/>
      <sheetData sheetId="11656" refreshError="1"/>
      <sheetData sheetId="11657" refreshError="1"/>
      <sheetData sheetId="11658" refreshError="1"/>
      <sheetData sheetId="11659" refreshError="1"/>
      <sheetData sheetId="11660" refreshError="1"/>
      <sheetData sheetId="11661" refreshError="1"/>
      <sheetData sheetId="11662" refreshError="1"/>
      <sheetData sheetId="11663" refreshError="1"/>
      <sheetData sheetId="11664" refreshError="1"/>
      <sheetData sheetId="11665" refreshError="1"/>
      <sheetData sheetId="11666" refreshError="1"/>
      <sheetData sheetId="11667" refreshError="1"/>
      <sheetData sheetId="11668" refreshError="1"/>
      <sheetData sheetId="11669" refreshError="1"/>
      <sheetData sheetId="11670" refreshError="1"/>
      <sheetData sheetId="11671" refreshError="1"/>
      <sheetData sheetId="11672" refreshError="1"/>
      <sheetData sheetId="11673" refreshError="1"/>
      <sheetData sheetId="11674" refreshError="1"/>
      <sheetData sheetId="11675" refreshError="1"/>
      <sheetData sheetId="11676" refreshError="1"/>
      <sheetData sheetId="11677" refreshError="1"/>
      <sheetData sheetId="11678" refreshError="1"/>
      <sheetData sheetId="11679" refreshError="1"/>
      <sheetData sheetId="11680" refreshError="1"/>
      <sheetData sheetId="11681" refreshError="1"/>
      <sheetData sheetId="11682" refreshError="1"/>
      <sheetData sheetId="11683" refreshError="1"/>
      <sheetData sheetId="11684" refreshError="1"/>
      <sheetData sheetId="11685" refreshError="1"/>
      <sheetData sheetId="11686" refreshError="1"/>
      <sheetData sheetId="11687" refreshError="1"/>
      <sheetData sheetId="11688" refreshError="1"/>
      <sheetData sheetId="11689" refreshError="1"/>
      <sheetData sheetId="11690" refreshError="1"/>
      <sheetData sheetId="11691" refreshError="1"/>
      <sheetData sheetId="11692" refreshError="1"/>
      <sheetData sheetId="11693" refreshError="1"/>
      <sheetData sheetId="11694" refreshError="1"/>
      <sheetData sheetId="11695" refreshError="1"/>
      <sheetData sheetId="11696" refreshError="1"/>
      <sheetData sheetId="11697" refreshError="1"/>
      <sheetData sheetId="11698" refreshError="1"/>
      <sheetData sheetId="11699" refreshError="1"/>
      <sheetData sheetId="11700" refreshError="1"/>
      <sheetData sheetId="11701" refreshError="1"/>
      <sheetData sheetId="11702" refreshError="1"/>
      <sheetData sheetId="11703" refreshError="1"/>
      <sheetData sheetId="11704" refreshError="1"/>
      <sheetData sheetId="11705" refreshError="1"/>
      <sheetData sheetId="11706" refreshError="1"/>
      <sheetData sheetId="11707" refreshError="1"/>
      <sheetData sheetId="11708" refreshError="1"/>
      <sheetData sheetId="11709">
        <row r="5">
          <cell r="I5">
            <v>0</v>
          </cell>
        </row>
      </sheetData>
      <sheetData sheetId="11710" refreshError="1"/>
      <sheetData sheetId="11711" refreshError="1"/>
      <sheetData sheetId="11712" refreshError="1"/>
      <sheetData sheetId="11713" refreshError="1"/>
      <sheetData sheetId="11714" refreshError="1"/>
      <sheetData sheetId="11715" refreshError="1"/>
      <sheetData sheetId="11716" refreshError="1"/>
      <sheetData sheetId="11717" refreshError="1"/>
      <sheetData sheetId="11718" refreshError="1"/>
      <sheetData sheetId="11719" refreshError="1"/>
      <sheetData sheetId="11720" refreshError="1"/>
      <sheetData sheetId="11721" refreshError="1"/>
      <sheetData sheetId="11722" refreshError="1"/>
      <sheetData sheetId="11723" refreshError="1"/>
      <sheetData sheetId="11724" refreshError="1"/>
      <sheetData sheetId="11725" refreshError="1"/>
      <sheetData sheetId="11726">
        <row r="19">
          <cell r="J19">
            <v>1.0499999999999999E-3</v>
          </cell>
        </row>
      </sheetData>
      <sheetData sheetId="11727">
        <row r="19">
          <cell r="J19">
            <v>1.0499999999999999E-3</v>
          </cell>
        </row>
      </sheetData>
      <sheetData sheetId="11728" refreshError="1"/>
      <sheetData sheetId="11729" refreshError="1"/>
      <sheetData sheetId="11730" refreshError="1"/>
      <sheetData sheetId="11731" refreshError="1"/>
      <sheetData sheetId="11732" refreshError="1"/>
      <sheetData sheetId="11733" refreshError="1"/>
      <sheetData sheetId="11734" refreshError="1"/>
      <sheetData sheetId="11735" refreshError="1"/>
      <sheetData sheetId="11736" refreshError="1"/>
      <sheetData sheetId="11737" refreshError="1"/>
      <sheetData sheetId="11738" refreshError="1"/>
      <sheetData sheetId="11739" refreshError="1"/>
      <sheetData sheetId="11740" refreshError="1"/>
      <sheetData sheetId="11741" refreshError="1"/>
      <sheetData sheetId="11742" refreshError="1"/>
      <sheetData sheetId="11743" refreshError="1"/>
      <sheetData sheetId="11744" refreshError="1"/>
      <sheetData sheetId="11745" refreshError="1"/>
      <sheetData sheetId="11746">
        <row r="5">
          <cell r="I5">
            <v>0</v>
          </cell>
        </row>
      </sheetData>
      <sheetData sheetId="11747">
        <row r="19">
          <cell r="J19">
            <v>1.0499999999999999E-3</v>
          </cell>
        </row>
      </sheetData>
      <sheetData sheetId="11748">
        <row r="5">
          <cell r="I5">
            <v>0</v>
          </cell>
        </row>
      </sheetData>
      <sheetData sheetId="11749">
        <row r="19">
          <cell r="J19">
            <v>1.0499999999999999E-3</v>
          </cell>
        </row>
      </sheetData>
      <sheetData sheetId="11750">
        <row r="5">
          <cell r="I5">
            <v>0</v>
          </cell>
        </row>
      </sheetData>
      <sheetData sheetId="11751" refreshError="1"/>
      <sheetData sheetId="11752">
        <row r="5">
          <cell r="I5">
            <v>0</v>
          </cell>
        </row>
      </sheetData>
      <sheetData sheetId="11753" refreshError="1"/>
      <sheetData sheetId="11754">
        <row r="5">
          <cell r="I5">
            <v>0</v>
          </cell>
        </row>
      </sheetData>
      <sheetData sheetId="11755" refreshError="1"/>
      <sheetData sheetId="11756">
        <row r="5">
          <cell r="I5">
            <v>0</v>
          </cell>
        </row>
      </sheetData>
      <sheetData sheetId="11757">
        <row r="5">
          <cell r="I5">
            <v>0</v>
          </cell>
        </row>
      </sheetData>
      <sheetData sheetId="11758">
        <row r="5">
          <cell r="I5">
            <v>0</v>
          </cell>
        </row>
      </sheetData>
      <sheetData sheetId="11759">
        <row r="5">
          <cell r="I5">
            <v>0</v>
          </cell>
        </row>
      </sheetData>
      <sheetData sheetId="11760">
        <row r="5">
          <cell r="I5">
            <v>0</v>
          </cell>
        </row>
      </sheetData>
      <sheetData sheetId="11761">
        <row r="5">
          <cell r="I5">
            <v>0</v>
          </cell>
        </row>
      </sheetData>
      <sheetData sheetId="11762">
        <row r="5">
          <cell r="I5">
            <v>0</v>
          </cell>
        </row>
      </sheetData>
      <sheetData sheetId="11763">
        <row r="5">
          <cell r="I5">
            <v>0</v>
          </cell>
        </row>
      </sheetData>
      <sheetData sheetId="11764">
        <row r="5">
          <cell r="I5">
            <v>0</v>
          </cell>
        </row>
      </sheetData>
      <sheetData sheetId="11765">
        <row r="5">
          <cell r="I5">
            <v>0</v>
          </cell>
        </row>
      </sheetData>
      <sheetData sheetId="11766">
        <row r="5">
          <cell r="I5">
            <v>0</v>
          </cell>
        </row>
      </sheetData>
      <sheetData sheetId="11767">
        <row r="5">
          <cell r="I5">
            <v>0</v>
          </cell>
        </row>
      </sheetData>
      <sheetData sheetId="11768">
        <row r="5">
          <cell r="I5">
            <v>0</v>
          </cell>
        </row>
      </sheetData>
      <sheetData sheetId="11769">
        <row r="5">
          <cell r="I5">
            <v>0</v>
          </cell>
        </row>
      </sheetData>
      <sheetData sheetId="11770">
        <row r="5">
          <cell r="I5">
            <v>0</v>
          </cell>
        </row>
      </sheetData>
      <sheetData sheetId="11771">
        <row r="19">
          <cell r="J19">
            <v>1.0499999999999999E-3</v>
          </cell>
        </row>
      </sheetData>
      <sheetData sheetId="11772">
        <row r="19">
          <cell r="J19">
            <v>1.0499999999999999E-3</v>
          </cell>
        </row>
      </sheetData>
      <sheetData sheetId="11773">
        <row r="19">
          <cell r="J19">
            <v>1.0499999999999999E-3</v>
          </cell>
        </row>
      </sheetData>
      <sheetData sheetId="11774">
        <row r="19">
          <cell r="J19">
            <v>1.0499999999999999E-3</v>
          </cell>
        </row>
      </sheetData>
      <sheetData sheetId="11775">
        <row r="19">
          <cell r="J19">
            <v>1.0499999999999999E-3</v>
          </cell>
        </row>
      </sheetData>
      <sheetData sheetId="11776">
        <row r="19">
          <cell r="J19">
            <v>1.0499999999999999E-3</v>
          </cell>
        </row>
      </sheetData>
      <sheetData sheetId="11777">
        <row r="5">
          <cell r="I5">
            <v>0</v>
          </cell>
        </row>
      </sheetData>
      <sheetData sheetId="11778">
        <row r="5">
          <cell r="I5">
            <v>0</v>
          </cell>
        </row>
      </sheetData>
      <sheetData sheetId="11779">
        <row r="19">
          <cell r="J19">
            <v>1.0499999999999999E-3</v>
          </cell>
        </row>
      </sheetData>
      <sheetData sheetId="11780">
        <row r="19">
          <cell r="J19">
            <v>1.0499999999999999E-3</v>
          </cell>
        </row>
      </sheetData>
      <sheetData sheetId="11781">
        <row r="19">
          <cell r="J19">
            <v>1.0499999999999999E-3</v>
          </cell>
        </row>
      </sheetData>
      <sheetData sheetId="11782">
        <row r="19">
          <cell r="J19">
            <v>1.0499999999999999E-3</v>
          </cell>
        </row>
      </sheetData>
      <sheetData sheetId="11783">
        <row r="19">
          <cell r="J19">
            <v>1.0499999999999999E-3</v>
          </cell>
        </row>
      </sheetData>
      <sheetData sheetId="11784">
        <row r="19">
          <cell r="J19">
            <v>1.0499999999999999E-3</v>
          </cell>
        </row>
      </sheetData>
      <sheetData sheetId="11785">
        <row r="19">
          <cell r="J19">
            <v>1.0499999999999999E-3</v>
          </cell>
        </row>
      </sheetData>
      <sheetData sheetId="11786">
        <row r="19">
          <cell r="J19">
            <v>1.0499999999999999E-3</v>
          </cell>
        </row>
      </sheetData>
      <sheetData sheetId="11787">
        <row r="19">
          <cell r="J19">
            <v>1.0499999999999999E-3</v>
          </cell>
        </row>
      </sheetData>
      <sheetData sheetId="11788">
        <row r="19">
          <cell r="J19">
            <v>1.0499999999999999E-3</v>
          </cell>
        </row>
      </sheetData>
      <sheetData sheetId="11789">
        <row r="19">
          <cell r="J19">
            <v>1.0499999999999999E-3</v>
          </cell>
        </row>
      </sheetData>
      <sheetData sheetId="11790">
        <row r="19">
          <cell r="J19">
            <v>1.0499999999999999E-3</v>
          </cell>
        </row>
      </sheetData>
      <sheetData sheetId="11791">
        <row r="19">
          <cell r="J19">
            <v>1.0499999999999999E-3</v>
          </cell>
        </row>
      </sheetData>
      <sheetData sheetId="11792">
        <row r="19">
          <cell r="J19">
            <v>1.0499999999999999E-3</v>
          </cell>
        </row>
      </sheetData>
      <sheetData sheetId="11793">
        <row r="19">
          <cell r="J19">
            <v>1.0499999999999999E-3</v>
          </cell>
        </row>
      </sheetData>
      <sheetData sheetId="11794">
        <row r="19">
          <cell r="J19">
            <v>1.0499999999999999E-3</v>
          </cell>
        </row>
      </sheetData>
      <sheetData sheetId="11795">
        <row r="19">
          <cell r="J19">
            <v>1.0499999999999999E-3</v>
          </cell>
        </row>
      </sheetData>
      <sheetData sheetId="11796">
        <row r="19">
          <cell r="J19">
            <v>1.0499999999999999E-3</v>
          </cell>
        </row>
      </sheetData>
      <sheetData sheetId="11797">
        <row r="19">
          <cell r="J19">
            <v>1.0499999999999999E-3</v>
          </cell>
        </row>
      </sheetData>
      <sheetData sheetId="11798"/>
      <sheetData sheetId="11799">
        <row r="19">
          <cell r="J19">
            <v>1.0499999999999999E-3</v>
          </cell>
        </row>
      </sheetData>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9">
          <cell r="J19">
            <v>1.0499999999999999E-3</v>
          </cell>
        </row>
      </sheetData>
      <sheetData sheetId="11823">
        <row r="19">
          <cell r="J19">
            <v>1.0499999999999999E-3</v>
          </cell>
        </row>
      </sheetData>
      <sheetData sheetId="11824">
        <row r="19">
          <cell r="J19">
            <v>1.0499999999999999E-3</v>
          </cell>
        </row>
      </sheetData>
      <sheetData sheetId="11825">
        <row r="19">
          <cell r="J19">
            <v>1.0499999999999999E-3</v>
          </cell>
        </row>
      </sheetData>
      <sheetData sheetId="11826">
        <row r="19">
          <cell r="J19">
            <v>1.0499999999999999E-3</v>
          </cell>
        </row>
      </sheetData>
      <sheetData sheetId="11827">
        <row r="19">
          <cell r="J19">
            <v>1.0499999999999999E-3</v>
          </cell>
        </row>
      </sheetData>
      <sheetData sheetId="11828">
        <row r="19">
          <cell r="J19">
            <v>1.0499999999999999E-3</v>
          </cell>
        </row>
      </sheetData>
      <sheetData sheetId="11829">
        <row r="19">
          <cell r="J19">
            <v>1.0499999999999999E-3</v>
          </cell>
        </row>
      </sheetData>
      <sheetData sheetId="11830">
        <row r="19">
          <cell r="J19">
            <v>1.0499999999999999E-3</v>
          </cell>
        </row>
      </sheetData>
      <sheetData sheetId="11831">
        <row r="19">
          <cell r="J19">
            <v>1.0499999999999999E-3</v>
          </cell>
        </row>
      </sheetData>
      <sheetData sheetId="11832"/>
      <sheetData sheetId="11833"/>
      <sheetData sheetId="11834"/>
      <sheetData sheetId="11835">
        <row r="19">
          <cell r="J19">
            <v>1.0499999999999999E-3</v>
          </cell>
        </row>
      </sheetData>
      <sheetData sheetId="11836">
        <row r="5">
          <cell r="I5">
            <v>0</v>
          </cell>
        </row>
      </sheetData>
      <sheetData sheetId="11837">
        <row r="5">
          <cell r="I5">
            <v>0</v>
          </cell>
        </row>
      </sheetData>
      <sheetData sheetId="11838">
        <row r="19">
          <cell r="J19">
            <v>1.0499999999999999E-3</v>
          </cell>
        </row>
      </sheetData>
      <sheetData sheetId="11839">
        <row r="5">
          <cell r="I5">
            <v>0</v>
          </cell>
        </row>
      </sheetData>
      <sheetData sheetId="11840">
        <row r="19">
          <cell r="J19">
            <v>1.0499999999999999E-3</v>
          </cell>
        </row>
      </sheetData>
      <sheetData sheetId="11841">
        <row r="5">
          <cell r="I5">
            <v>0</v>
          </cell>
        </row>
      </sheetData>
      <sheetData sheetId="11842"/>
      <sheetData sheetId="11843"/>
      <sheetData sheetId="11844"/>
      <sheetData sheetId="11845">
        <row r="19">
          <cell r="J19">
            <v>1.0499999999999999E-3</v>
          </cell>
        </row>
      </sheetData>
      <sheetData sheetId="11846"/>
      <sheetData sheetId="11847"/>
      <sheetData sheetId="11848"/>
      <sheetData sheetId="11849"/>
      <sheetData sheetId="11850"/>
      <sheetData sheetId="11851"/>
      <sheetData sheetId="11852">
        <row r="19">
          <cell r="J19">
            <v>1.0499999999999999E-3</v>
          </cell>
        </row>
      </sheetData>
      <sheetData sheetId="11853">
        <row r="19">
          <cell r="J19">
            <v>1.0499999999999999E-3</v>
          </cell>
        </row>
      </sheetData>
      <sheetData sheetId="11854"/>
      <sheetData sheetId="11855"/>
      <sheetData sheetId="11856">
        <row r="19">
          <cell r="J19">
            <v>1.0499999999999999E-3</v>
          </cell>
        </row>
      </sheetData>
      <sheetData sheetId="11857">
        <row r="19">
          <cell r="J19">
            <v>1.0499999999999999E-3</v>
          </cell>
        </row>
      </sheetData>
      <sheetData sheetId="11858"/>
      <sheetData sheetId="11859">
        <row r="19">
          <cell r="J19">
            <v>1.0499999999999999E-3</v>
          </cell>
        </row>
      </sheetData>
      <sheetData sheetId="11860"/>
      <sheetData sheetId="11861">
        <row r="19">
          <cell r="J19">
            <v>1.0499999999999999E-3</v>
          </cell>
        </row>
      </sheetData>
      <sheetData sheetId="11862">
        <row r="19">
          <cell r="J19">
            <v>1.0499999999999999E-3</v>
          </cell>
        </row>
      </sheetData>
      <sheetData sheetId="11863">
        <row r="19">
          <cell r="J19">
            <v>1.0499999999999999E-3</v>
          </cell>
        </row>
      </sheetData>
      <sheetData sheetId="11864">
        <row r="19">
          <cell r="J19">
            <v>1.0499999999999999E-3</v>
          </cell>
        </row>
      </sheetData>
      <sheetData sheetId="11865">
        <row r="19">
          <cell r="J19">
            <v>1.0499999999999999E-3</v>
          </cell>
        </row>
      </sheetData>
      <sheetData sheetId="11866">
        <row r="19">
          <cell r="J19">
            <v>1.0499999999999999E-3</v>
          </cell>
        </row>
      </sheetData>
      <sheetData sheetId="11867"/>
      <sheetData sheetId="11868"/>
      <sheetData sheetId="11869"/>
      <sheetData sheetId="11870"/>
      <sheetData sheetId="11871"/>
      <sheetData sheetId="11872">
        <row r="19">
          <cell r="J19">
            <v>1.0499999999999999E-3</v>
          </cell>
        </row>
      </sheetData>
      <sheetData sheetId="11873"/>
      <sheetData sheetId="11874"/>
      <sheetData sheetId="11875">
        <row r="19">
          <cell r="J19">
            <v>1.0499999999999999E-3</v>
          </cell>
        </row>
      </sheetData>
      <sheetData sheetId="11876">
        <row r="19">
          <cell r="J19">
            <v>1.0499999999999999E-3</v>
          </cell>
        </row>
      </sheetData>
      <sheetData sheetId="11877">
        <row r="19">
          <cell r="J19">
            <v>1.0499999999999999E-3</v>
          </cell>
        </row>
      </sheetData>
      <sheetData sheetId="11878">
        <row r="19">
          <cell r="J19">
            <v>1.0499999999999999E-3</v>
          </cell>
        </row>
      </sheetData>
      <sheetData sheetId="11879">
        <row r="19">
          <cell r="J19">
            <v>1.0499999999999999E-3</v>
          </cell>
        </row>
      </sheetData>
      <sheetData sheetId="11880">
        <row r="19">
          <cell r="J19">
            <v>1.0499999999999999E-3</v>
          </cell>
        </row>
      </sheetData>
      <sheetData sheetId="11881">
        <row r="19">
          <cell r="J19">
            <v>1.0499999999999999E-3</v>
          </cell>
        </row>
      </sheetData>
      <sheetData sheetId="11882"/>
      <sheetData sheetId="11883">
        <row r="19">
          <cell r="J19">
            <v>1.0499999999999999E-3</v>
          </cell>
        </row>
      </sheetData>
      <sheetData sheetId="11884">
        <row r="19">
          <cell r="J19">
            <v>1.0499999999999999E-3</v>
          </cell>
        </row>
      </sheetData>
      <sheetData sheetId="11885">
        <row r="5">
          <cell r="I5">
            <v>0</v>
          </cell>
        </row>
      </sheetData>
      <sheetData sheetId="11886">
        <row r="19">
          <cell r="J19">
            <v>1.0499999999999999E-3</v>
          </cell>
        </row>
      </sheetData>
      <sheetData sheetId="11887">
        <row r="19">
          <cell r="J19">
            <v>1.0499999999999999E-3</v>
          </cell>
        </row>
      </sheetData>
      <sheetData sheetId="11888">
        <row r="5">
          <cell r="I5">
            <v>0</v>
          </cell>
        </row>
      </sheetData>
      <sheetData sheetId="11889">
        <row r="19">
          <cell r="J19">
            <v>1.0499999999999999E-3</v>
          </cell>
        </row>
      </sheetData>
      <sheetData sheetId="11890">
        <row r="19">
          <cell r="J19">
            <v>1.0499999999999999E-3</v>
          </cell>
        </row>
      </sheetData>
      <sheetData sheetId="11891">
        <row r="19">
          <cell r="J19">
            <v>1.0499999999999999E-3</v>
          </cell>
        </row>
      </sheetData>
      <sheetData sheetId="11892">
        <row r="19">
          <cell r="J19">
            <v>1.0499999999999999E-3</v>
          </cell>
        </row>
      </sheetData>
      <sheetData sheetId="11893"/>
      <sheetData sheetId="11894">
        <row r="19">
          <cell r="J19">
            <v>1.0499999999999999E-3</v>
          </cell>
        </row>
      </sheetData>
      <sheetData sheetId="11895">
        <row r="19">
          <cell r="J19">
            <v>1.0499999999999999E-3</v>
          </cell>
        </row>
      </sheetData>
      <sheetData sheetId="11896">
        <row r="5">
          <cell r="I5">
            <v>0</v>
          </cell>
        </row>
      </sheetData>
      <sheetData sheetId="11897">
        <row r="19">
          <cell r="J19">
            <v>1.0499999999999999E-3</v>
          </cell>
        </row>
      </sheetData>
      <sheetData sheetId="11898">
        <row r="19">
          <cell r="J19">
            <v>1.0499999999999999E-3</v>
          </cell>
        </row>
      </sheetData>
      <sheetData sheetId="11899">
        <row r="19">
          <cell r="J19">
            <v>1.0499999999999999E-3</v>
          </cell>
        </row>
      </sheetData>
      <sheetData sheetId="11900">
        <row r="19">
          <cell r="J19">
            <v>1.0499999999999999E-3</v>
          </cell>
        </row>
      </sheetData>
      <sheetData sheetId="11901">
        <row r="5">
          <cell r="I5">
            <v>0</v>
          </cell>
        </row>
      </sheetData>
      <sheetData sheetId="11902">
        <row r="19">
          <cell r="J19">
            <v>1.0499999999999999E-3</v>
          </cell>
        </row>
      </sheetData>
      <sheetData sheetId="11903">
        <row r="19">
          <cell r="J19">
            <v>1.0499999999999999E-3</v>
          </cell>
        </row>
      </sheetData>
      <sheetData sheetId="11904">
        <row r="19">
          <cell r="J19">
            <v>1.0499999999999999E-3</v>
          </cell>
        </row>
      </sheetData>
      <sheetData sheetId="11905"/>
      <sheetData sheetId="11906">
        <row r="19">
          <cell r="J19">
            <v>1.0499999999999999E-3</v>
          </cell>
        </row>
      </sheetData>
      <sheetData sheetId="11907">
        <row r="19">
          <cell r="J19">
            <v>1.0499999999999999E-3</v>
          </cell>
        </row>
      </sheetData>
      <sheetData sheetId="11908">
        <row r="19">
          <cell r="J19">
            <v>1.0499999999999999E-3</v>
          </cell>
        </row>
      </sheetData>
      <sheetData sheetId="11909"/>
      <sheetData sheetId="11910">
        <row r="19">
          <cell r="J19">
            <v>1.0499999999999999E-3</v>
          </cell>
        </row>
      </sheetData>
      <sheetData sheetId="11911">
        <row r="19">
          <cell r="J19">
            <v>1.0499999999999999E-3</v>
          </cell>
        </row>
      </sheetData>
      <sheetData sheetId="11912">
        <row r="19">
          <cell r="J19">
            <v>1.0499999999999999E-3</v>
          </cell>
        </row>
      </sheetData>
      <sheetData sheetId="11913">
        <row r="19">
          <cell r="J19">
            <v>1.0499999999999999E-3</v>
          </cell>
        </row>
      </sheetData>
      <sheetData sheetId="11914">
        <row r="19">
          <cell r="J19">
            <v>1.0499999999999999E-3</v>
          </cell>
        </row>
      </sheetData>
      <sheetData sheetId="11915">
        <row r="5">
          <cell r="I5">
            <v>0</v>
          </cell>
        </row>
      </sheetData>
      <sheetData sheetId="11916">
        <row r="5">
          <cell r="I5">
            <v>0</v>
          </cell>
        </row>
      </sheetData>
      <sheetData sheetId="11917">
        <row r="5">
          <cell r="I5">
            <v>0</v>
          </cell>
        </row>
      </sheetData>
      <sheetData sheetId="11918">
        <row r="19">
          <cell r="J19">
            <v>1.0499999999999999E-3</v>
          </cell>
        </row>
      </sheetData>
      <sheetData sheetId="11919">
        <row r="5">
          <cell r="I5">
            <v>0</v>
          </cell>
        </row>
      </sheetData>
      <sheetData sheetId="11920">
        <row r="5">
          <cell r="I5">
            <v>0</v>
          </cell>
        </row>
      </sheetData>
      <sheetData sheetId="11921">
        <row r="5">
          <cell r="I5">
            <v>0</v>
          </cell>
        </row>
      </sheetData>
      <sheetData sheetId="11922">
        <row r="5">
          <cell r="I5">
            <v>0</v>
          </cell>
        </row>
      </sheetData>
      <sheetData sheetId="11923">
        <row r="5">
          <cell r="I5">
            <v>0</v>
          </cell>
        </row>
      </sheetData>
      <sheetData sheetId="11924">
        <row r="5">
          <cell r="I5">
            <v>0</v>
          </cell>
        </row>
      </sheetData>
      <sheetData sheetId="11925">
        <row r="5">
          <cell r="I5">
            <v>0</v>
          </cell>
        </row>
      </sheetData>
      <sheetData sheetId="11926">
        <row r="5">
          <cell r="I5">
            <v>0</v>
          </cell>
        </row>
      </sheetData>
      <sheetData sheetId="11927">
        <row r="5">
          <cell r="I5">
            <v>0</v>
          </cell>
        </row>
      </sheetData>
      <sheetData sheetId="11928">
        <row r="5">
          <cell r="I5">
            <v>0</v>
          </cell>
        </row>
      </sheetData>
      <sheetData sheetId="11929">
        <row r="5">
          <cell r="I5">
            <v>0</v>
          </cell>
        </row>
      </sheetData>
      <sheetData sheetId="11930">
        <row r="5">
          <cell r="I5">
            <v>0</v>
          </cell>
        </row>
      </sheetData>
      <sheetData sheetId="11931">
        <row r="5">
          <cell r="I5">
            <v>0</v>
          </cell>
        </row>
      </sheetData>
      <sheetData sheetId="11932">
        <row r="5">
          <cell r="I5">
            <v>0</v>
          </cell>
        </row>
      </sheetData>
      <sheetData sheetId="11933">
        <row r="5">
          <cell r="I5">
            <v>0</v>
          </cell>
        </row>
      </sheetData>
      <sheetData sheetId="11934">
        <row r="5">
          <cell r="I5">
            <v>0</v>
          </cell>
        </row>
      </sheetData>
      <sheetData sheetId="11935">
        <row r="5">
          <cell r="I5">
            <v>0</v>
          </cell>
        </row>
      </sheetData>
      <sheetData sheetId="11936">
        <row r="5">
          <cell r="I5">
            <v>0</v>
          </cell>
        </row>
      </sheetData>
      <sheetData sheetId="11937">
        <row r="5">
          <cell r="I5">
            <v>0</v>
          </cell>
        </row>
      </sheetData>
      <sheetData sheetId="11938">
        <row r="5">
          <cell r="I5">
            <v>0</v>
          </cell>
        </row>
      </sheetData>
      <sheetData sheetId="11939">
        <row r="5">
          <cell r="I5">
            <v>0</v>
          </cell>
        </row>
      </sheetData>
      <sheetData sheetId="11940">
        <row r="5">
          <cell r="I5">
            <v>0</v>
          </cell>
        </row>
      </sheetData>
      <sheetData sheetId="11941">
        <row r="5">
          <cell r="I5">
            <v>0</v>
          </cell>
        </row>
      </sheetData>
      <sheetData sheetId="11942">
        <row r="5">
          <cell r="I5">
            <v>0</v>
          </cell>
        </row>
      </sheetData>
      <sheetData sheetId="11943">
        <row r="5">
          <cell r="I5">
            <v>0</v>
          </cell>
        </row>
      </sheetData>
      <sheetData sheetId="11944">
        <row r="5">
          <cell r="I5">
            <v>0</v>
          </cell>
        </row>
      </sheetData>
      <sheetData sheetId="11945">
        <row r="5">
          <cell r="I5">
            <v>0</v>
          </cell>
        </row>
      </sheetData>
      <sheetData sheetId="11946">
        <row r="5">
          <cell r="I5">
            <v>0</v>
          </cell>
        </row>
      </sheetData>
      <sheetData sheetId="11947">
        <row r="5">
          <cell r="I5">
            <v>0</v>
          </cell>
        </row>
      </sheetData>
      <sheetData sheetId="11948">
        <row r="5">
          <cell r="I5">
            <v>0</v>
          </cell>
        </row>
      </sheetData>
      <sheetData sheetId="11949">
        <row r="5">
          <cell r="I5">
            <v>0</v>
          </cell>
        </row>
      </sheetData>
      <sheetData sheetId="11950">
        <row r="5">
          <cell r="I5">
            <v>0</v>
          </cell>
        </row>
      </sheetData>
      <sheetData sheetId="11951">
        <row r="5">
          <cell r="I5">
            <v>0</v>
          </cell>
        </row>
      </sheetData>
      <sheetData sheetId="11952">
        <row r="5">
          <cell r="I5">
            <v>0</v>
          </cell>
        </row>
      </sheetData>
      <sheetData sheetId="11953">
        <row r="5">
          <cell r="I5">
            <v>0</v>
          </cell>
        </row>
      </sheetData>
      <sheetData sheetId="11954">
        <row r="5">
          <cell r="I5">
            <v>0</v>
          </cell>
        </row>
      </sheetData>
      <sheetData sheetId="11955">
        <row r="5">
          <cell r="I5">
            <v>0</v>
          </cell>
        </row>
      </sheetData>
      <sheetData sheetId="11956">
        <row r="5">
          <cell r="I5">
            <v>0</v>
          </cell>
        </row>
      </sheetData>
      <sheetData sheetId="11957">
        <row r="5">
          <cell r="I5">
            <v>0</v>
          </cell>
        </row>
      </sheetData>
      <sheetData sheetId="11958">
        <row r="5">
          <cell r="I5">
            <v>0</v>
          </cell>
        </row>
      </sheetData>
      <sheetData sheetId="11959">
        <row r="5">
          <cell r="I5">
            <v>0</v>
          </cell>
        </row>
      </sheetData>
      <sheetData sheetId="11960">
        <row r="5">
          <cell r="I5">
            <v>0</v>
          </cell>
        </row>
      </sheetData>
      <sheetData sheetId="11961">
        <row r="5">
          <cell r="I5">
            <v>0</v>
          </cell>
        </row>
      </sheetData>
      <sheetData sheetId="11962">
        <row r="5">
          <cell r="I5">
            <v>0</v>
          </cell>
        </row>
      </sheetData>
      <sheetData sheetId="11963">
        <row r="5">
          <cell r="I5">
            <v>0</v>
          </cell>
        </row>
      </sheetData>
      <sheetData sheetId="11964">
        <row r="5">
          <cell r="I5">
            <v>0</v>
          </cell>
        </row>
      </sheetData>
      <sheetData sheetId="11965">
        <row r="5">
          <cell r="I5">
            <v>0</v>
          </cell>
        </row>
      </sheetData>
      <sheetData sheetId="11966">
        <row r="5">
          <cell r="I5">
            <v>0</v>
          </cell>
        </row>
      </sheetData>
      <sheetData sheetId="11967">
        <row r="19">
          <cell r="J19">
            <v>1.0499999999999999E-3</v>
          </cell>
        </row>
      </sheetData>
      <sheetData sheetId="11968">
        <row r="5">
          <cell r="I5">
            <v>0</v>
          </cell>
        </row>
      </sheetData>
      <sheetData sheetId="11969">
        <row r="5">
          <cell r="I5">
            <v>0</v>
          </cell>
        </row>
      </sheetData>
      <sheetData sheetId="11970">
        <row r="5">
          <cell r="I5">
            <v>0</v>
          </cell>
        </row>
      </sheetData>
      <sheetData sheetId="11971">
        <row r="5">
          <cell r="I5">
            <v>0</v>
          </cell>
        </row>
      </sheetData>
      <sheetData sheetId="11972">
        <row r="5">
          <cell r="I5">
            <v>0</v>
          </cell>
        </row>
      </sheetData>
      <sheetData sheetId="11973">
        <row r="5">
          <cell r="I5">
            <v>0</v>
          </cell>
        </row>
      </sheetData>
      <sheetData sheetId="11974">
        <row r="5">
          <cell r="I5">
            <v>0</v>
          </cell>
        </row>
      </sheetData>
      <sheetData sheetId="11975">
        <row r="5">
          <cell r="I5">
            <v>0</v>
          </cell>
        </row>
      </sheetData>
      <sheetData sheetId="11976">
        <row r="5">
          <cell r="I5">
            <v>0</v>
          </cell>
        </row>
      </sheetData>
      <sheetData sheetId="11977">
        <row r="5">
          <cell r="I5">
            <v>0</v>
          </cell>
        </row>
      </sheetData>
      <sheetData sheetId="11978">
        <row r="5">
          <cell r="I5">
            <v>0</v>
          </cell>
        </row>
      </sheetData>
      <sheetData sheetId="11979">
        <row r="5">
          <cell r="I5">
            <v>0</v>
          </cell>
        </row>
      </sheetData>
      <sheetData sheetId="11980">
        <row r="5">
          <cell r="I5">
            <v>0</v>
          </cell>
        </row>
      </sheetData>
      <sheetData sheetId="11981">
        <row r="5">
          <cell r="I5">
            <v>0</v>
          </cell>
        </row>
      </sheetData>
      <sheetData sheetId="11982">
        <row r="5">
          <cell r="I5">
            <v>0</v>
          </cell>
        </row>
      </sheetData>
      <sheetData sheetId="11983">
        <row r="5">
          <cell r="I5">
            <v>0</v>
          </cell>
        </row>
      </sheetData>
      <sheetData sheetId="11984">
        <row r="5">
          <cell r="I5">
            <v>0</v>
          </cell>
        </row>
      </sheetData>
      <sheetData sheetId="11985">
        <row r="5">
          <cell r="I5">
            <v>0</v>
          </cell>
        </row>
      </sheetData>
      <sheetData sheetId="11986">
        <row r="5">
          <cell r="I5">
            <v>0</v>
          </cell>
        </row>
      </sheetData>
      <sheetData sheetId="11987">
        <row r="5">
          <cell r="I5">
            <v>0</v>
          </cell>
        </row>
      </sheetData>
      <sheetData sheetId="11988">
        <row r="5">
          <cell r="I5">
            <v>0</v>
          </cell>
        </row>
      </sheetData>
      <sheetData sheetId="11989">
        <row r="5">
          <cell r="I5">
            <v>0</v>
          </cell>
        </row>
      </sheetData>
      <sheetData sheetId="11990">
        <row r="5">
          <cell r="I5">
            <v>0</v>
          </cell>
        </row>
      </sheetData>
      <sheetData sheetId="11991">
        <row r="5">
          <cell r="I5">
            <v>0</v>
          </cell>
        </row>
      </sheetData>
      <sheetData sheetId="11992">
        <row r="5">
          <cell r="I5">
            <v>0</v>
          </cell>
        </row>
      </sheetData>
      <sheetData sheetId="11993">
        <row r="5">
          <cell r="I5">
            <v>0</v>
          </cell>
        </row>
      </sheetData>
      <sheetData sheetId="11994">
        <row r="5">
          <cell r="I5">
            <v>0</v>
          </cell>
        </row>
      </sheetData>
      <sheetData sheetId="11995">
        <row r="5">
          <cell r="I5">
            <v>0</v>
          </cell>
        </row>
      </sheetData>
      <sheetData sheetId="11996">
        <row r="5">
          <cell r="I5">
            <v>0</v>
          </cell>
        </row>
      </sheetData>
      <sheetData sheetId="11997">
        <row r="5">
          <cell r="I5">
            <v>0</v>
          </cell>
        </row>
      </sheetData>
      <sheetData sheetId="11998">
        <row r="5">
          <cell r="I5">
            <v>0</v>
          </cell>
        </row>
      </sheetData>
      <sheetData sheetId="11999">
        <row r="5">
          <cell r="I5">
            <v>0</v>
          </cell>
        </row>
      </sheetData>
      <sheetData sheetId="12000">
        <row r="5">
          <cell r="I5">
            <v>0</v>
          </cell>
        </row>
      </sheetData>
      <sheetData sheetId="12001">
        <row r="5">
          <cell r="I5">
            <v>0</v>
          </cell>
        </row>
      </sheetData>
      <sheetData sheetId="12002">
        <row r="5">
          <cell r="I5">
            <v>0</v>
          </cell>
        </row>
      </sheetData>
      <sheetData sheetId="12003">
        <row r="5">
          <cell r="I5">
            <v>0</v>
          </cell>
        </row>
      </sheetData>
      <sheetData sheetId="12004">
        <row r="5">
          <cell r="I5">
            <v>0</v>
          </cell>
        </row>
      </sheetData>
      <sheetData sheetId="12005">
        <row r="5">
          <cell r="I5">
            <v>0</v>
          </cell>
        </row>
      </sheetData>
      <sheetData sheetId="12006">
        <row r="5">
          <cell r="I5">
            <v>0</v>
          </cell>
        </row>
      </sheetData>
      <sheetData sheetId="12007">
        <row r="5">
          <cell r="I5">
            <v>0</v>
          </cell>
        </row>
      </sheetData>
      <sheetData sheetId="12008">
        <row r="5">
          <cell r="I5">
            <v>0</v>
          </cell>
        </row>
      </sheetData>
      <sheetData sheetId="12009">
        <row r="5">
          <cell r="I5">
            <v>0</v>
          </cell>
        </row>
      </sheetData>
      <sheetData sheetId="12010">
        <row r="5">
          <cell r="I5">
            <v>0</v>
          </cell>
        </row>
      </sheetData>
      <sheetData sheetId="12011">
        <row r="5">
          <cell r="I5">
            <v>0</v>
          </cell>
        </row>
      </sheetData>
      <sheetData sheetId="12012">
        <row r="5">
          <cell r="I5">
            <v>0</v>
          </cell>
        </row>
      </sheetData>
      <sheetData sheetId="12013">
        <row r="5">
          <cell r="I5">
            <v>0</v>
          </cell>
        </row>
      </sheetData>
      <sheetData sheetId="12014">
        <row r="5">
          <cell r="I5">
            <v>0</v>
          </cell>
        </row>
      </sheetData>
      <sheetData sheetId="12015">
        <row r="5">
          <cell r="I5">
            <v>0</v>
          </cell>
        </row>
      </sheetData>
      <sheetData sheetId="12016">
        <row r="5">
          <cell r="I5">
            <v>0</v>
          </cell>
        </row>
      </sheetData>
      <sheetData sheetId="12017">
        <row r="5">
          <cell r="I5">
            <v>0</v>
          </cell>
        </row>
      </sheetData>
      <sheetData sheetId="12018">
        <row r="5">
          <cell r="I5">
            <v>0</v>
          </cell>
        </row>
      </sheetData>
      <sheetData sheetId="12019">
        <row r="5">
          <cell r="I5">
            <v>0</v>
          </cell>
        </row>
      </sheetData>
      <sheetData sheetId="12020">
        <row r="5">
          <cell r="I5">
            <v>0</v>
          </cell>
        </row>
      </sheetData>
      <sheetData sheetId="12021">
        <row r="5">
          <cell r="I5">
            <v>0</v>
          </cell>
        </row>
      </sheetData>
      <sheetData sheetId="12022">
        <row r="5">
          <cell r="I5">
            <v>0</v>
          </cell>
        </row>
      </sheetData>
      <sheetData sheetId="12023">
        <row r="5">
          <cell r="I5">
            <v>0</v>
          </cell>
        </row>
      </sheetData>
      <sheetData sheetId="12024">
        <row r="5">
          <cell r="I5">
            <v>0</v>
          </cell>
        </row>
      </sheetData>
      <sheetData sheetId="12025">
        <row r="5">
          <cell r="I5">
            <v>0</v>
          </cell>
        </row>
      </sheetData>
      <sheetData sheetId="12026">
        <row r="5">
          <cell r="I5">
            <v>0</v>
          </cell>
        </row>
      </sheetData>
      <sheetData sheetId="12027">
        <row r="5">
          <cell r="I5">
            <v>0</v>
          </cell>
        </row>
      </sheetData>
      <sheetData sheetId="12028">
        <row r="5">
          <cell r="I5">
            <v>0</v>
          </cell>
        </row>
      </sheetData>
      <sheetData sheetId="12029">
        <row r="5">
          <cell r="I5">
            <v>0</v>
          </cell>
        </row>
      </sheetData>
      <sheetData sheetId="12030">
        <row r="5">
          <cell r="I5">
            <v>0</v>
          </cell>
        </row>
      </sheetData>
      <sheetData sheetId="12031">
        <row r="5">
          <cell r="I5">
            <v>0</v>
          </cell>
        </row>
      </sheetData>
      <sheetData sheetId="12032">
        <row r="5">
          <cell r="I5">
            <v>0</v>
          </cell>
        </row>
      </sheetData>
      <sheetData sheetId="12033">
        <row r="5">
          <cell r="I5">
            <v>0</v>
          </cell>
        </row>
      </sheetData>
      <sheetData sheetId="12034">
        <row r="5">
          <cell r="I5">
            <v>0</v>
          </cell>
        </row>
      </sheetData>
      <sheetData sheetId="12035">
        <row r="5">
          <cell r="I5">
            <v>0</v>
          </cell>
        </row>
      </sheetData>
      <sheetData sheetId="12036">
        <row r="5">
          <cell r="I5">
            <v>0</v>
          </cell>
        </row>
      </sheetData>
      <sheetData sheetId="12037">
        <row r="5">
          <cell r="I5">
            <v>0</v>
          </cell>
        </row>
      </sheetData>
      <sheetData sheetId="12038">
        <row r="5">
          <cell r="I5">
            <v>0</v>
          </cell>
        </row>
      </sheetData>
      <sheetData sheetId="12039">
        <row r="5">
          <cell r="I5">
            <v>0</v>
          </cell>
        </row>
      </sheetData>
      <sheetData sheetId="12040">
        <row r="5">
          <cell r="I5">
            <v>0</v>
          </cell>
        </row>
      </sheetData>
      <sheetData sheetId="12041">
        <row r="5">
          <cell r="I5">
            <v>0</v>
          </cell>
        </row>
      </sheetData>
      <sheetData sheetId="12042">
        <row r="5">
          <cell r="I5">
            <v>0</v>
          </cell>
        </row>
      </sheetData>
      <sheetData sheetId="12043">
        <row r="5">
          <cell r="I5">
            <v>0</v>
          </cell>
        </row>
      </sheetData>
      <sheetData sheetId="12044">
        <row r="5">
          <cell r="I5">
            <v>0</v>
          </cell>
        </row>
      </sheetData>
      <sheetData sheetId="12045">
        <row r="5">
          <cell r="I5">
            <v>0</v>
          </cell>
        </row>
      </sheetData>
      <sheetData sheetId="12046">
        <row r="5">
          <cell r="I5">
            <v>0</v>
          </cell>
        </row>
      </sheetData>
      <sheetData sheetId="12047">
        <row r="5">
          <cell r="I5">
            <v>0</v>
          </cell>
        </row>
      </sheetData>
      <sheetData sheetId="12048">
        <row r="5">
          <cell r="I5">
            <v>0</v>
          </cell>
        </row>
      </sheetData>
      <sheetData sheetId="12049">
        <row r="5">
          <cell r="I5">
            <v>0</v>
          </cell>
        </row>
      </sheetData>
      <sheetData sheetId="12050">
        <row r="5">
          <cell r="I5">
            <v>0</v>
          </cell>
        </row>
      </sheetData>
      <sheetData sheetId="12051">
        <row r="5">
          <cell r="I5">
            <v>0</v>
          </cell>
        </row>
      </sheetData>
      <sheetData sheetId="12052">
        <row r="5">
          <cell r="I5">
            <v>0</v>
          </cell>
        </row>
      </sheetData>
      <sheetData sheetId="12053">
        <row r="5">
          <cell r="I5">
            <v>0</v>
          </cell>
        </row>
      </sheetData>
      <sheetData sheetId="12054">
        <row r="5">
          <cell r="I5">
            <v>0</v>
          </cell>
        </row>
      </sheetData>
      <sheetData sheetId="12055">
        <row r="5">
          <cell r="I5">
            <v>0</v>
          </cell>
        </row>
      </sheetData>
      <sheetData sheetId="12056">
        <row r="19">
          <cell r="J19">
            <v>1.0499999999999999E-3</v>
          </cell>
        </row>
      </sheetData>
      <sheetData sheetId="12057">
        <row r="19">
          <cell r="J19">
            <v>1.0499999999999999E-3</v>
          </cell>
        </row>
      </sheetData>
      <sheetData sheetId="12058">
        <row r="19">
          <cell r="J19">
            <v>1.0499999999999999E-3</v>
          </cell>
        </row>
      </sheetData>
      <sheetData sheetId="12059" refreshError="1"/>
      <sheetData sheetId="12060" refreshError="1"/>
      <sheetData sheetId="12061" refreshError="1"/>
      <sheetData sheetId="12062">
        <row r="19">
          <cell r="J19">
            <v>1.0499999999999999E-3</v>
          </cell>
        </row>
      </sheetData>
      <sheetData sheetId="12063">
        <row r="19">
          <cell r="J19">
            <v>1.0499999999999999E-3</v>
          </cell>
        </row>
      </sheetData>
      <sheetData sheetId="12064">
        <row r="19">
          <cell r="J19">
            <v>1.0499999999999999E-3</v>
          </cell>
        </row>
      </sheetData>
      <sheetData sheetId="12065">
        <row r="5">
          <cell r="I5">
            <v>0</v>
          </cell>
        </row>
      </sheetData>
      <sheetData sheetId="12066">
        <row r="19">
          <cell r="J19">
            <v>1.0499999999999999E-3</v>
          </cell>
        </row>
      </sheetData>
      <sheetData sheetId="12067">
        <row r="19">
          <cell r="J19">
            <v>1.0499999999999999E-3</v>
          </cell>
        </row>
      </sheetData>
      <sheetData sheetId="12068">
        <row r="19">
          <cell r="J19">
            <v>1.0499999999999999E-3</v>
          </cell>
        </row>
      </sheetData>
      <sheetData sheetId="12069">
        <row r="19">
          <cell r="J19">
            <v>1.0499999999999999E-3</v>
          </cell>
        </row>
      </sheetData>
      <sheetData sheetId="12070" refreshError="1"/>
      <sheetData sheetId="12071" refreshError="1"/>
      <sheetData sheetId="12072" refreshError="1"/>
      <sheetData sheetId="12073" refreshError="1"/>
      <sheetData sheetId="12074" refreshError="1"/>
      <sheetData sheetId="12075" refreshError="1"/>
      <sheetData sheetId="12076" refreshError="1"/>
      <sheetData sheetId="12077" refreshError="1"/>
      <sheetData sheetId="12078" refreshError="1"/>
      <sheetData sheetId="12079" refreshError="1"/>
      <sheetData sheetId="12080" refreshError="1"/>
      <sheetData sheetId="12081">
        <row r="19">
          <cell r="J19">
            <v>1.0499999999999999E-3</v>
          </cell>
        </row>
      </sheetData>
      <sheetData sheetId="12082">
        <row r="19">
          <cell r="J19">
            <v>1.0499999999999999E-3</v>
          </cell>
        </row>
      </sheetData>
      <sheetData sheetId="12083">
        <row r="19">
          <cell r="J19">
            <v>1.0499999999999999E-3</v>
          </cell>
        </row>
      </sheetData>
      <sheetData sheetId="12084">
        <row r="19">
          <cell r="J19">
            <v>1.0499999999999999E-3</v>
          </cell>
        </row>
      </sheetData>
      <sheetData sheetId="12085">
        <row r="19">
          <cell r="J19">
            <v>1.0499999999999999E-3</v>
          </cell>
        </row>
      </sheetData>
      <sheetData sheetId="12086">
        <row r="19">
          <cell r="J19">
            <v>1.0499999999999999E-3</v>
          </cell>
        </row>
      </sheetData>
      <sheetData sheetId="12087" refreshError="1"/>
      <sheetData sheetId="12088" refreshError="1"/>
      <sheetData sheetId="12089" refreshError="1"/>
      <sheetData sheetId="12090" refreshError="1"/>
      <sheetData sheetId="12091" refreshError="1"/>
      <sheetData sheetId="12092">
        <row r="19">
          <cell r="J19">
            <v>1.0499999999999999E-3</v>
          </cell>
        </row>
      </sheetData>
      <sheetData sheetId="12093">
        <row r="19">
          <cell r="J19">
            <v>1.0499999999999999E-3</v>
          </cell>
        </row>
      </sheetData>
      <sheetData sheetId="12094" refreshError="1"/>
      <sheetData sheetId="12095">
        <row r="19">
          <cell r="J19">
            <v>1.0499999999999999E-3</v>
          </cell>
        </row>
      </sheetData>
      <sheetData sheetId="12096">
        <row r="19">
          <cell r="J19">
            <v>1.0499999999999999E-3</v>
          </cell>
        </row>
      </sheetData>
      <sheetData sheetId="12097">
        <row r="19">
          <cell r="J19">
            <v>1.0499999999999999E-3</v>
          </cell>
        </row>
      </sheetData>
      <sheetData sheetId="12098">
        <row r="19">
          <cell r="J19">
            <v>1.0499999999999999E-3</v>
          </cell>
        </row>
      </sheetData>
      <sheetData sheetId="12099">
        <row r="19">
          <cell r="J19">
            <v>1.0499999999999999E-3</v>
          </cell>
        </row>
      </sheetData>
      <sheetData sheetId="12100">
        <row r="19">
          <cell r="J19">
            <v>1.0499999999999999E-3</v>
          </cell>
        </row>
      </sheetData>
      <sheetData sheetId="12101">
        <row r="19">
          <cell r="J19">
            <v>1.0499999999999999E-3</v>
          </cell>
        </row>
      </sheetData>
      <sheetData sheetId="12102">
        <row r="19">
          <cell r="J19">
            <v>1.0499999999999999E-3</v>
          </cell>
        </row>
      </sheetData>
      <sheetData sheetId="12103">
        <row r="19">
          <cell r="J19">
            <v>1.0499999999999999E-3</v>
          </cell>
        </row>
      </sheetData>
      <sheetData sheetId="12104">
        <row r="19">
          <cell r="J19">
            <v>1.0499999999999999E-3</v>
          </cell>
        </row>
      </sheetData>
      <sheetData sheetId="12105"/>
      <sheetData sheetId="12106">
        <row r="19">
          <cell r="J19">
            <v>1.0499999999999999E-3</v>
          </cell>
        </row>
      </sheetData>
      <sheetData sheetId="12107"/>
      <sheetData sheetId="12108">
        <row r="19">
          <cell r="J19">
            <v>1.0499999999999999E-3</v>
          </cell>
        </row>
      </sheetData>
      <sheetData sheetId="12109">
        <row r="19">
          <cell r="J19">
            <v>1.0499999999999999E-3</v>
          </cell>
        </row>
      </sheetData>
      <sheetData sheetId="12110">
        <row r="19">
          <cell r="J19">
            <v>1.0499999999999999E-3</v>
          </cell>
        </row>
      </sheetData>
      <sheetData sheetId="12111">
        <row r="19">
          <cell r="J19">
            <v>1.0499999999999999E-3</v>
          </cell>
        </row>
      </sheetData>
      <sheetData sheetId="12112">
        <row r="19">
          <cell r="J19">
            <v>1.0499999999999999E-3</v>
          </cell>
        </row>
      </sheetData>
      <sheetData sheetId="12113">
        <row r="19">
          <cell r="J19">
            <v>1.0499999999999999E-3</v>
          </cell>
        </row>
      </sheetData>
      <sheetData sheetId="12114">
        <row r="19">
          <cell r="J19">
            <v>1.0499999999999999E-3</v>
          </cell>
        </row>
      </sheetData>
      <sheetData sheetId="12115">
        <row r="19">
          <cell r="J19">
            <v>1.0499999999999999E-3</v>
          </cell>
        </row>
      </sheetData>
      <sheetData sheetId="12116">
        <row r="19">
          <cell r="J19">
            <v>1.0499999999999999E-3</v>
          </cell>
        </row>
      </sheetData>
      <sheetData sheetId="12117">
        <row r="19">
          <cell r="J19">
            <v>1.0499999999999999E-3</v>
          </cell>
        </row>
      </sheetData>
      <sheetData sheetId="12118">
        <row r="19">
          <cell r="J19">
            <v>1.0499999999999999E-3</v>
          </cell>
        </row>
      </sheetData>
      <sheetData sheetId="12119">
        <row r="19">
          <cell r="J19">
            <v>1.0499999999999999E-3</v>
          </cell>
        </row>
      </sheetData>
      <sheetData sheetId="12120">
        <row r="19">
          <cell r="J19">
            <v>1.0499999999999999E-3</v>
          </cell>
        </row>
      </sheetData>
      <sheetData sheetId="12121">
        <row r="19">
          <cell r="J19">
            <v>1.0499999999999999E-3</v>
          </cell>
        </row>
      </sheetData>
      <sheetData sheetId="12122">
        <row r="19">
          <cell r="J19">
            <v>1.0499999999999999E-3</v>
          </cell>
        </row>
      </sheetData>
      <sheetData sheetId="12123">
        <row r="19">
          <cell r="J19">
            <v>1.0499999999999999E-3</v>
          </cell>
        </row>
      </sheetData>
      <sheetData sheetId="12124">
        <row r="19">
          <cell r="J19">
            <v>0</v>
          </cell>
        </row>
      </sheetData>
      <sheetData sheetId="12125">
        <row r="19">
          <cell r="J19">
            <v>1.0499999999999999E-3</v>
          </cell>
        </row>
      </sheetData>
      <sheetData sheetId="12126">
        <row r="5">
          <cell r="I5">
            <v>0</v>
          </cell>
        </row>
      </sheetData>
      <sheetData sheetId="12127">
        <row r="19">
          <cell r="J19">
            <v>1.0499999999999999E-3</v>
          </cell>
        </row>
      </sheetData>
      <sheetData sheetId="12128">
        <row r="19">
          <cell r="J19">
            <v>1.0499999999999999E-3</v>
          </cell>
        </row>
      </sheetData>
      <sheetData sheetId="12129"/>
      <sheetData sheetId="12130"/>
      <sheetData sheetId="12131">
        <row r="19">
          <cell r="J19">
            <v>1.0499999999999999E-3</v>
          </cell>
        </row>
      </sheetData>
      <sheetData sheetId="12132">
        <row r="19">
          <cell r="J19">
            <v>1.0499999999999999E-3</v>
          </cell>
        </row>
      </sheetData>
      <sheetData sheetId="12133">
        <row r="19">
          <cell r="J19">
            <v>1.0499999999999999E-3</v>
          </cell>
        </row>
      </sheetData>
      <sheetData sheetId="12134">
        <row r="19">
          <cell r="J19">
            <v>1.0499999999999999E-3</v>
          </cell>
        </row>
      </sheetData>
      <sheetData sheetId="12135"/>
      <sheetData sheetId="12136"/>
      <sheetData sheetId="12137"/>
      <sheetData sheetId="12138"/>
      <sheetData sheetId="12139"/>
      <sheetData sheetId="12140"/>
      <sheetData sheetId="12141"/>
      <sheetData sheetId="12142">
        <row r="19">
          <cell r="J19">
            <v>1.0499999999999999E-3</v>
          </cell>
        </row>
      </sheetData>
      <sheetData sheetId="12143"/>
      <sheetData sheetId="12144">
        <row r="19">
          <cell r="J19">
            <v>1.0499999999999999E-3</v>
          </cell>
        </row>
      </sheetData>
      <sheetData sheetId="12145">
        <row r="19">
          <cell r="J19">
            <v>1.0499999999999999E-3</v>
          </cell>
        </row>
      </sheetData>
      <sheetData sheetId="12146">
        <row r="19">
          <cell r="J19">
            <v>1.0499999999999999E-3</v>
          </cell>
        </row>
      </sheetData>
      <sheetData sheetId="12147">
        <row r="19">
          <cell r="J19">
            <v>1.0499999999999999E-3</v>
          </cell>
        </row>
      </sheetData>
      <sheetData sheetId="12148">
        <row r="19">
          <cell r="J19">
            <v>1.0499999999999999E-3</v>
          </cell>
        </row>
      </sheetData>
      <sheetData sheetId="12149">
        <row r="19">
          <cell r="J19">
            <v>1.0499999999999999E-3</v>
          </cell>
        </row>
      </sheetData>
      <sheetData sheetId="12150">
        <row r="19">
          <cell r="J19">
            <v>1.0499999999999999E-3</v>
          </cell>
        </row>
      </sheetData>
      <sheetData sheetId="12151">
        <row r="19">
          <cell r="J19">
            <v>1.0499999999999999E-3</v>
          </cell>
        </row>
      </sheetData>
      <sheetData sheetId="12152">
        <row r="19">
          <cell r="J19">
            <v>1.0499999999999999E-3</v>
          </cell>
        </row>
      </sheetData>
      <sheetData sheetId="12153" refreshError="1"/>
      <sheetData sheetId="12154" refreshError="1"/>
      <sheetData sheetId="12155" refreshError="1"/>
      <sheetData sheetId="12156" refreshError="1"/>
      <sheetData sheetId="12157" refreshError="1"/>
      <sheetData sheetId="12158" refreshError="1"/>
      <sheetData sheetId="12159" refreshError="1"/>
      <sheetData sheetId="12160" refreshError="1"/>
      <sheetData sheetId="12161" refreshError="1"/>
      <sheetData sheetId="12162" refreshError="1"/>
      <sheetData sheetId="12163">
        <row r="5">
          <cell r="I5">
            <v>0</v>
          </cell>
        </row>
      </sheetData>
      <sheetData sheetId="12164" refreshError="1"/>
      <sheetData sheetId="12165">
        <row r="19">
          <cell r="J19">
            <v>1.0499999999999999E-3</v>
          </cell>
        </row>
      </sheetData>
      <sheetData sheetId="12166" refreshError="1"/>
      <sheetData sheetId="12167" refreshError="1"/>
      <sheetData sheetId="12168" refreshError="1"/>
      <sheetData sheetId="12169">
        <row r="19">
          <cell r="J19">
            <v>1.0499999999999999E-3</v>
          </cell>
        </row>
      </sheetData>
      <sheetData sheetId="12170">
        <row r="5">
          <cell r="I5">
            <v>0</v>
          </cell>
        </row>
      </sheetData>
      <sheetData sheetId="12171">
        <row r="5">
          <cell r="I5">
            <v>0</v>
          </cell>
        </row>
      </sheetData>
      <sheetData sheetId="12172">
        <row r="5">
          <cell r="I5">
            <v>0</v>
          </cell>
        </row>
      </sheetData>
      <sheetData sheetId="12173">
        <row r="5">
          <cell r="I5">
            <v>0</v>
          </cell>
        </row>
      </sheetData>
      <sheetData sheetId="12174">
        <row r="19">
          <cell r="J19">
            <v>1.0499999999999999E-3</v>
          </cell>
        </row>
      </sheetData>
      <sheetData sheetId="12175" refreshError="1"/>
      <sheetData sheetId="12176" refreshError="1"/>
      <sheetData sheetId="12177" refreshError="1"/>
      <sheetData sheetId="12178">
        <row r="19">
          <cell r="J19">
            <v>1.0499999999999999E-3</v>
          </cell>
        </row>
      </sheetData>
      <sheetData sheetId="12179">
        <row r="19">
          <cell r="J19">
            <v>1.0499999999999999E-3</v>
          </cell>
        </row>
      </sheetData>
      <sheetData sheetId="12180">
        <row r="5">
          <cell r="I5">
            <v>0</v>
          </cell>
        </row>
      </sheetData>
      <sheetData sheetId="12181" refreshError="1"/>
      <sheetData sheetId="12182" refreshError="1"/>
      <sheetData sheetId="12183" refreshError="1"/>
      <sheetData sheetId="12184">
        <row r="19">
          <cell r="J19">
            <v>1.0499999999999999E-3</v>
          </cell>
        </row>
      </sheetData>
      <sheetData sheetId="12185" refreshError="1"/>
      <sheetData sheetId="12186" refreshError="1"/>
      <sheetData sheetId="12187" refreshError="1"/>
      <sheetData sheetId="12188" refreshError="1"/>
      <sheetData sheetId="12189">
        <row r="19">
          <cell r="J19">
            <v>1.0499999999999999E-3</v>
          </cell>
        </row>
      </sheetData>
      <sheetData sheetId="12190">
        <row r="19">
          <cell r="J19">
            <v>1.0499999999999999E-3</v>
          </cell>
        </row>
      </sheetData>
      <sheetData sheetId="12191" refreshError="1"/>
      <sheetData sheetId="12192" refreshError="1"/>
      <sheetData sheetId="12193">
        <row r="19">
          <cell r="J19">
            <v>1.0499999999999999E-3</v>
          </cell>
        </row>
      </sheetData>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ow r="19">
          <cell r="J19">
            <v>1.0499999999999999E-3</v>
          </cell>
        </row>
      </sheetData>
      <sheetData sheetId="12204">
        <row r="19">
          <cell r="J19">
            <v>1.0499999999999999E-3</v>
          </cell>
        </row>
      </sheetData>
      <sheetData sheetId="12205">
        <row r="5">
          <cell r="I5">
            <v>0</v>
          </cell>
        </row>
      </sheetData>
      <sheetData sheetId="12206">
        <row r="19">
          <cell r="J19">
            <v>1.0499999999999999E-3</v>
          </cell>
        </row>
      </sheetData>
      <sheetData sheetId="12207">
        <row r="5">
          <cell r="I5">
            <v>0</v>
          </cell>
        </row>
      </sheetData>
      <sheetData sheetId="12208">
        <row r="19">
          <cell r="J19">
            <v>1.0499999999999999E-3</v>
          </cell>
        </row>
      </sheetData>
      <sheetData sheetId="12209">
        <row r="5">
          <cell r="I5">
            <v>0</v>
          </cell>
        </row>
      </sheetData>
      <sheetData sheetId="12210">
        <row r="5">
          <cell r="I5">
            <v>0</v>
          </cell>
        </row>
      </sheetData>
      <sheetData sheetId="12211">
        <row r="5">
          <cell r="I5">
            <v>0</v>
          </cell>
        </row>
      </sheetData>
      <sheetData sheetId="12212">
        <row r="5">
          <cell r="I5">
            <v>0</v>
          </cell>
        </row>
      </sheetData>
      <sheetData sheetId="12213">
        <row r="19">
          <cell r="J19">
            <v>1.0499999999999999E-3</v>
          </cell>
        </row>
      </sheetData>
      <sheetData sheetId="12214">
        <row r="5">
          <cell r="I5">
            <v>0</v>
          </cell>
        </row>
      </sheetData>
      <sheetData sheetId="12215">
        <row r="19">
          <cell r="J19">
            <v>1.0499999999999999E-3</v>
          </cell>
        </row>
      </sheetData>
      <sheetData sheetId="12216">
        <row r="5">
          <cell r="I5">
            <v>0</v>
          </cell>
        </row>
      </sheetData>
      <sheetData sheetId="12217" refreshError="1"/>
      <sheetData sheetId="12218">
        <row r="19">
          <cell r="J19">
            <v>1.0499999999999999E-3</v>
          </cell>
        </row>
      </sheetData>
      <sheetData sheetId="12219">
        <row r="19">
          <cell r="J19">
            <v>1.0499999999999999E-3</v>
          </cell>
        </row>
      </sheetData>
      <sheetData sheetId="12220">
        <row r="19">
          <cell r="J19">
            <v>1.0499999999999999E-3</v>
          </cell>
        </row>
      </sheetData>
      <sheetData sheetId="12221">
        <row r="5">
          <cell r="I5">
            <v>0</v>
          </cell>
        </row>
      </sheetData>
      <sheetData sheetId="12222">
        <row r="5">
          <cell r="I5">
            <v>0</v>
          </cell>
        </row>
      </sheetData>
      <sheetData sheetId="12223">
        <row r="5">
          <cell r="I5">
            <v>0</v>
          </cell>
        </row>
      </sheetData>
      <sheetData sheetId="12224">
        <row r="5">
          <cell r="I5">
            <v>0</v>
          </cell>
        </row>
      </sheetData>
      <sheetData sheetId="12225">
        <row r="5">
          <cell r="I5">
            <v>0</v>
          </cell>
        </row>
      </sheetData>
      <sheetData sheetId="12226">
        <row r="5">
          <cell r="I5">
            <v>0</v>
          </cell>
        </row>
      </sheetData>
      <sheetData sheetId="12227">
        <row r="5">
          <cell r="I5">
            <v>0</v>
          </cell>
        </row>
      </sheetData>
      <sheetData sheetId="12228">
        <row r="5">
          <cell r="I5">
            <v>0</v>
          </cell>
        </row>
      </sheetData>
      <sheetData sheetId="12229">
        <row r="5">
          <cell r="I5">
            <v>0</v>
          </cell>
        </row>
      </sheetData>
      <sheetData sheetId="12230">
        <row r="5">
          <cell r="I5">
            <v>0</v>
          </cell>
        </row>
      </sheetData>
      <sheetData sheetId="12231">
        <row r="5">
          <cell r="I5">
            <v>0</v>
          </cell>
        </row>
      </sheetData>
      <sheetData sheetId="12232">
        <row r="5">
          <cell r="I5">
            <v>0</v>
          </cell>
        </row>
      </sheetData>
      <sheetData sheetId="12233">
        <row r="19">
          <cell r="J19">
            <v>1.0499999999999999E-3</v>
          </cell>
        </row>
      </sheetData>
      <sheetData sheetId="12234">
        <row r="19">
          <cell r="J19">
            <v>1.0499999999999999E-3</v>
          </cell>
        </row>
      </sheetData>
      <sheetData sheetId="12235">
        <row r="19">
          <cell r="J19">
            <v>1.0499999999999999E-3</v>
          </cell>
        </row>
      </sheetData>
      <sheetData sheetId="12236">
        <row r="19">
          <cell r="J19">
            <v>1.0499999999999999E-3</v>
          </cell>
        </row>
      </sheetData>
      <sheetData sheetId="12237">
        <row r="19">
          <cell r="J19">
            <v>1.0499999999999999E-3</v>
          </cell>
        </row>
      </sheetData>
      <sheetData sheetId="12238">
        <row r="19">
          <cell r="J19">
            <v>1.0499999999999999E-3</v>
          </cell>
        </row>
      </sheetData>
      <sheetData sheetId="12239">
        <row r="19">
          <cell r="J19">
            <v>1.0499999999999999E-3</v>
          </cell>
        </row>
      </sheetData>
      <sheetData sheetId="12240">
        <row r="19">
          <cell r="J19">
            <v>1.0499999999999999E-3</v>
          </cell>
        </row>
      </sheetData>
      <sheetData sheetId="12241">
        <row r="19">
          <cell r="J19">
            <v>1.0499999999999999E-3</v>
          </cell>
        </row>
      </sheetData>
      <sheetData sheetId="12242">
        <row r="19">
          <cell r="J19">
            <v>1.0499999999999999E-3</v>
          </cell>
        </row>
      </sheetData>
      <sheetData sheetId="12243">
        <row r="19">
          <cell r="J19">
            <v>1.0499999999999999E-3</v>
          </cell>
        </row>
      </sheetData>
      <sheetData sheetId="12244">
        <row r="19">
          <cell r="J19">
            <v>1.0499999999999999E-3</v>
          </cell>
        </row>
      </sheetData>
      <sheetData sheetId="12245"/>
      <sheetData sheetId="12246">
        <row r="19">
          <cell r="J19">
            <v>0</v>
          </cell>
        </row>
      </sheetData>
      <sheetData sheetId="12247">
        <row r="19">
          <cell r="J19">
            <v>0</v>
          </cell>
        </row>
      </sheetData>
      <sheetData sheetId="12248">
        <row r="19">
          <cell r="J19">
            <v>0</v>
          </cell>
        </row>
      </sheetData>
      <sheetData sheetId="12249">
        <row r="19">
          <cell r="J19">
            <v>0</v>
          </cell>
        </row>
      </sheetData>
      <sheetData sheetId="12250">
        <row r="19">
          <cell r="J19">
            <v>0</v>
          </cell>
        </row>
      </sheetData>
      <sheetData sheetId="12251">
        <row r="19">
          <cell r="J19">
            <v>0</v>
          </cell>
        </row>
      </sheetData>
      <sheetData sheetId="12252">
        <row r="19">
          <cell r="J19">
            <v>0</v>
          </cell>
        </row>
      </sheetData>
      <sheetData sheetId="12253">
        <row r="19">
          <cell r="J19">
            <v>0</v>
          </cell>
        </row>
      </sheetData>
      <sheetData sheetId="12254">
        <row r="19">
          <cell r="J19">
            <v>0</v>
          </cell>
        </row>
      </sheetData>
      <sheetData sheetId="12255">
        <row r="19">
          <cell r="J19">
            <v>0</v>
          </cell>
        </row>
      </sheetData>
      <sheetData sheetId="12256"/>
      <sheetData sheetId="12257">
        <row r="19">
          <cell r="J19">
            <v>0</v>
          </cell>
        </row>
      </sheetData>
      <sheetData sheetId="12258">
        <row r="19">
          <cell r="J19">
            <v>1.0499999999999999E-3</v>
          </cell>
        </row>
      </sheetData>
      <sheetData sheetId="12259"/>
      <sheetData sheetId="12260"/>
      <sheetData sheetId="12261"/>
      <sheetData sheetId="12262"/>
      <sheetData sheetId="12263">
        <row r="5">
          <cell r="I5">
            <v>0</v>
          </cell>
        </row>
      </sheetData>
      <sheetData sheetId="12264">
        <row r="5">
          <cell r="I5">
            <v>0</v>
          </cell>
        </row>
      </sheetData>
      <sheetData sheetId="12265">
        <row r="19">
          <cell r="J19">
            <v>1.0499999999999999E-3</v>
          </cell>
        </row>
      </sheetData>
      <sheetData sheetId="12266">
        <row r="19">
          <cell r="J19">
            <v>1.0499999999999999E-3</v>
          </cell>
        </row>
      </sheetData>
      <sheetData sheetId="12267">
        <row r="19">
          <cell r="J19">
            <v>1.0499999999999999E-3</v>
          </cell>
        </row>
      </sheetData>
      <sheetData sheetId="12268">
        <row r="19">
          <cell r="J19">
            <v>1.0499999999999999E-3</v>
          </cell>
        </row>
      </sheetData>
      <sheetData sheetId="12269">
        <row r="5">
          <cell r="I5">
            <v>0</v>
          </cell>
        </row>
      </sheetData>
      <sheetData sheetId="12270">
        <row r="5">
          <cell r="I5">
            <v>0</v>
          </cell>
        </row>
      </sheetData>
      <sheetData sheetId="12271">
        <row r="5">
          <cell r="I5">
            <v>0</v>
          </cell>
        </row>
      </sheetData>
      <sheetData sheetId="12272">
        <row r="5">
          <cell r="I5">
            <v>0</v>
          </cell>
        </row>
      </sheetData>
      <sheetData sheetId="12273">
        <row r="19">
          <cell r="J19">
            <v>1.0499999999999999E-3</v>
          </cell>
        </row>
      </sheetData>
      <sheetData sheetId="12274">
        <row r="19">
          <cell r="J19">
            <v>1.0499999999999999E-3</v>
          </cell>
        </row>
      </sheetData>
      <sheetData sheetId="12275">
        <row r="19">
          <cell r="J19">
            <v>1.0499999999999999E-3</v>
          </cell>
        </row>
      </sheetData>
      <sheetData sheetId="12276">
        <row r="19">
          <cell r="J19">
            <v>1.0499999999999999E-3</v>
          </cell>
        </row>
      </sheetData>
      <sheetData sheetId="12277">
        <row r="19">
          <cell r="J19">
            <v>1.0499999999999999E-3</v>
          </cell>
        </row>
      </sheetData>
      <sheetData sheetId="12278">
        <row r="19">
          <cell r="J19">
            <v>1.0499999999999999E-3</v>
          </cell>
        </row>
      </sheetData>
      <sheetData sheetId="12279">
        <row r="19">
          <cell r="J19">
            <v>1.0499999999999999E-3</v>
          </cell>
        </row>
      </sheetData>
      <sheetData sheetId="12280">
        <row r="19">
          <cell r="J19">
            <v>1.0499999999999999E-3</v>
          </cell>
        </row>
      </sheetData>
      <sheetData sheetId="12281">
        <row r="19">
          <cell r="J19">
            <v>1.0499999999999999E-3</v>
          </cell>
        </row>
      </sheetData>
      <sheetData sheetId="12282">
        <row r="19">
          <cell r="J19">
            <v>1.0499999999999999E-3</v>
          </cell>
        </row>
      </sheetData>
      <sheetData sheetId="12283">
        <row r="19">
          <cell r="J19">
            <v>1.0499999999999999E-3</v>
          </cell>
        </row>
      </sheetData>
      <sheetData sheetId="12284">
        <row r="19">
          <cell r="J19">
            <v>1.0499999999999999E-3</v>
          </cell>
        </row>
      </sheetData>
      <sheetData sheetId="12285">
        <row r="19">
          <cell r="J19">
            <v>1.0499999999999999E-3</v>
          </cell>
        </row>
      </sheetData>
      <sheetData sheetId="12286">
        <row r="5">
          <cell r="I5">
            <v>0</v>
          </cell>
        </row>
      </sheetData>
      <sheetData sheetId="12287">
        <row r="5">
          <cell r="I5">
            <v>0</v>
          </cell>
        </row>
      </sheetData>
      <sheetData sheetId="12288">
        <row r="5">
          <cell r="I5">
            <v>0</v>
          </cell>
        </row>
      </sheetData>
      <sheetData sheetId="12289">
        <row r="19">
          <cell r="J19">
            <v>1.0499999999999999E-3</v>
          </cell>
        </row>
      </sheetData>
      <sheetData sheetId="12290">
        <row r="19">
          <cell r="J19">
            <v>1.0499999999999999E-3</v>
          </cell>
        </row>
      </sheetData>
      <sheetData sheetId="12291">
        <row r="19">
          <cell r="J19">
            <v>1.0499999999999999E-3</v>
          </cell>
        </row>
      </sheetData>
      <sheetData sheetId="12292">
        <row r="19">
          <cell r="J19">
            <v>1.0499999999999999E-3</v>
          </cell>
        </row>
      </sheetData>
      <sheetData sheetId="12293">
        <row r="5">
          <cell r="I5">
            <v>0</v>
          </cell>
        </row>
      </sheetData>
      <sheetData sheetId="12294">
        <row r="5">
          <cell r="I5">
            <v>0</v>
          </cell>
        </row>
      </sheetData>
      <sheetData sheetId="12295">
        <row r="5">
          <cell r="I5">
            <v>0</v>
          </cell>
        </row>
      </sheetData>
      <sheetData sheetId="12296">
        <row r="5">
          <cell r="I5">
            <v>0</v>
          </cell>
        </row>
      </sheetData>
      <sheetData sheetId="12297">
        <row r="5">
          <cell r="I5">
            <v>0</v>
          </cell>
        </row>
      </sheetData>
      <sheetData sheetId="12298">
        <row r="5">
          <cell r="I5">
            <v>0</v>
          </cell>
        </row>
      </sheetData>
      <sheetData sheetId="12299">
        <row r="5">
          <cell r="I5">
            <v>0</v>
          </cell>
        </row>
      </sheetData>
      <sheetData sheetId="12300">
        <row r="5">
          <cell r="I5">
            <v>0</v>
          </cell>
        </row>
      </sheetData>
      <sheetData sheetId="12301">
        <row r="5">
          <cell r="I5">
            <v>0</v>
          </cell>
        </row>
      </sheetData>
      <sheetData sheetId="12302">
        <row r="5">
          <cell r="I5">
            <v>0</v>
          </cell>
        </row>
      </sheetData>
      <sheetData sheetId="12303">
        <row r="5">
          <cell r="I5">
            <v>0</v>
          </cell>
        </row>
      </sheetData>
      <sheetData sheetId="12304">
        <row r="5">
          <cell r="I5">
            <v>0</v>
          </cell>
        </row>
      </sheetData>
      <sheetData sheetId="12305">
        <row r="5">
          <cell r="I5">
            <v>0</v>
          </cell>
        </row>
      </sheetData>
      <sheetData sheetId="12306">
        <row r="5">
          <cell r="I5">
            <v>0</v>
          </cell>
        </row>
      </sheetData>
      <sheetData sheetId="12307">
        <row r="5">
          <cell r="I5">
            <v>0</v>
          </cell>
        </row>
      </sheetData>
      <sheetData sheetId="12308">
        <row r="19">
          <cell r="J19">
            <v>1.0499999999999999E-3</v>
          </cell>
        </row>
      </sheetData>
      <sheetData sheetId="12309">
        <row r="19">
          <cell r="J19">
            <v>1.0499999999999999E-3</v>
          </cell>
        </row>
      </sheetData>
      <sheetData sheetId="12310">
        <row r="19">
          <cell r="J19">
            <v>1.0499999999999999E-3</v>
          </cell>
        </row>
      </sheetData>
      <sheetData sheetId="12311">
        <row r="19">
          <cell r="J19">
            <v>1.0499999999999999E-3</v>
          </cell>
        </row>
      </sheetData>
      <sheetData sheetId="12312">
        <row r="19">
          <cell r="J19">
            <v>1.0499999999999999E-3</v>
          </cell>
        </row>
      </sheetData>
      <sheetData sheetId="12313">
        <row r="19">
          <cell r="J19">
            <v>1.0499999999999999E-3</v>
          </cell>
        </row>
      </sheetData>
      <sheetData sheetId="12314">
        <row r="19">
          <cell r="J19">
            <v>1.0499999999999999E-3</v>
          </cell>
        </row>
      </sheetData>
      <sheetData sheetId="12315">
        <row r="19">
          <cell r="J19">
            <v>1.0499999999999999E-3</v>
          </cell>
        </row>
      </sheetData>
      <sheetData sheetId="12316">
        <row r="19">
          <cell r="J19">
            <v>1.0499999999999999E-3</v>
          </cell>
        </row>
      </sheetData>
      <sheetData sheetId="12317">
        <row r="19">
          <cell r="J19">
            <v>1.0499999999999999E-3</v>
          </cell>
        </row>
      </sheetData>
      <sheetData sheetId="12318">
        <row r="19">
          <cell r="J19">
            <v>1.0499999999999999E-3</v>
          </cell>
        </row>
      </sheetData>
      <sheetData sheetId="12319">
        <row r="19">
          <cell r="J19">
            <v>1.0499999999999999E-3</v>
          </cell>
        </row>
      </sheetData>
      <sheetData sheetId="12320">
        <row r="19">
          <cell r="J19">
            <v>1.0499999999999999E-3</v>
          </cell>
        </row>
      </sheetData>
      <sheetData sheetId="12321">
        <row r="19">
          <cell r="J19">
            <v>1.0499999999999999E-3</v>
          </cell>
        </row>
      </sheetData>
      <sheetData sheetId="12322">
        <row r="19">
          <cell r="J19">
            <v>1.0499999999999999E-3</v>
          </cell>
        </row>
      </sheetData>
      <sheetData sheetId="12323">
        <row r="19">
          <cell r="J19">
            <v>1.0499999999999999E-3</v>
          </cell>
        </row>
      </sheetData>
      <sheetData sheetId="12324">
        <row r="19">
          <cell r="J19">
            <v>1.0499999999999999E-3</v>
          </cell>
        </row>
      </sheetData>
      <sheetData sheetId="12325">
        <row r="19">
          <cell r="J19">
            <v>1.0499999999999999E-3</v>
          </cell>
        </row>
      </sheetData>
      <sheetData sheetId="12326">
        <row r="19">
          <cell r="J19">
            <v>1.0499999999999999E-3</v>
          </cell>
        </row>
      </sheetData>
      <sheetData sheetId="12327">
        <row r="19">
          <cell r="J19">
            <v>1.0499999999999999E-3</v>
          </cell>
        </row>
      </sheetData>
      <sheetData sheetId="12328">
        <row r="19">
          <cell r="J19">
            <v>1.0499999999999999E-3</v>
          </cell>
        </row>
      </sheetData>
      <sheetData sheetId="12329">
        <row r="19">
          <cell r="J19">
            <v>1.0499999999999999E-3</v>
          </cell>
        </row>
      </sheetData>
      <sheetData sheetId="12330">
        <row r="19">
          <cell r="J19">
            <v>1.0499999999999999E-3</v>
          </cell>
        </row>
      </sheetData>
      <sheetData sheetId="12331">
        <row r="19">
          <cell r="J19">
            <v>1.0499999999999999E-3</v>
          </cell>
        </row>
      </sheetData>
      <sheetData sheetId="12332">
        <row r="19">
          <cell r="J19">
            <v>1.0499999999999999E-3</v>
          </cell>
        </row>
      </sheetData>
      <sheetData sheetId="12333">
        <row r="19">
          <cell r="J19">
            <v>1.0499999999999999E-3</v>
          </cell>
        </row>
      </sheetData>
      <sheetData sheetId="12334">
        <row r="19">
          <cell r="J19">
            <v>1.0499999999999999E-3</v>
          </cell>
        </row>
      </sheetData>
      <sheetData sheetId="12335">
        <row r="19">
          <cell r="J19">
            <v>1.0499999999999999E-3</v>
          </cell>
        </row>
      </sheetData>
      <sheetData sheetId="12336">
        <row r="19">
          <cell r="J19">
            <v>1.0499999999999999E-3</v>
          </cell>
        </row>
      </sheetData>
      <sheetData sheetId="12337">
        <row r="19">
          <cell r="J19">
            <v>1.0499999999999999E-3</v>
          </cell>
        </row>
      </sheetData>
      <sheetData sheetId="12338">
        <row r="19">
          <cell r="J19">
            <v>1.0499999999999999E-3</v>
          </cell>
        </row>
      </sheetData>
      <sheetData sheetId="12339">
        <row r="19">
          <cell r="J19">
            <v>1.0499999999999999E-3</v>
          </cell>
        </row>
      </sheetData>
      <sheetData sheetId="12340"/>
      <sheetData sheetId="12341">
        <row r="19">
          <cell r="J19">
            <v>1.0499999999999999E-3</v>
          </cell>
        </row>
      </sheetData>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row r="5">
          <cell r="I5">
            <v>0</v>
          </cell>
        </row>
      </sheetData>
      <sheetData sheetId="12355">
        <row r="5">
          <cell r="I5">
            <v>0</v>
          </cell>
        </row>
      </sheetData>
      <sheetData sheetId="12356">
        <row r="5">
          <cell r="I5">
            <v>0</v>
          </cell>
        </row>
      </sheetData>
      <sheetData sheetId="12357">
        <row r="5">
          <cell r="I5">
            <v>0</v>
          </cell>
        </row>
      </sheetData>
      <sheetData sheetId="12358">
        <row r="5">
          <cell r="I5">
            <v>0</v>
          </cell>
        </row>
      </sheetData>
      <sheetData sheetId="12359">
        <row r="5">
          <cell r="I5">
            <v>0</v>
          </cell>
        </row>
      </sheetData>
      <sheetData sheetId="12360">
        <row r="5">
          <cell r="I5">
            <v>0</v>
          </cell>
        </row>
      </sheetData>
      <sheetData sheetId="12361">
        <row r="5">
          <cell r="I5">
            <v>0</v>
          </cell>
        </row>
      </sheetData>
      <sheetData sheetId="12362">
        <row r="5">
          <cell r="I5">
            <v>0</v>
          </cell>
        </row>
      </sheetData>
      <sheetData sheetId="12363">
        <row r="5">
          <cell r="I5">
            <v>0</v>
          </cell>
        </row>
      </sheetData>
      <sheetData sheetId="12364">
        <row r="5">
          <cell r="I5">
            <v>0</v>
          </cell>
        </row>
      </sheetData>
      <sheetData sheetId="12365">
        <row r="5">
          <cell r="I5">
            <v>0</v>
          </cell>
        </row>
      </sheetData>
      <sheetData sheetId="12366">
        <row r="5">
          <cell r="I5">
            <v>0</v>
          </cell>
        </row>
      </sheetData>
      <sheetData sheetId="12367">
        <row r="5">
          <cell r="I5">
            <v>0</v>
          </cell>
        </row>
      </sheetData>
      <sheetData sheetId="12368">
        <row r="5">
          <cell r="I5">
            <v>0</v>
          </cell>
        </row>
      </sheetData>
      <sheetData sheetId="12369">
        <row r="19">
          <cell r="J19">
            <v>1.0499999999999999E-3</v>
          </cell>
        </row>
      </sheetData>
      <sheetData sheetId="12370">
        <row r="19">
          <cell r="J19">
            <v>1.0499999999999999E-3</v>
          </cell>
        </row>
      </sheetData>
      <sheetData sheetId="12371">
        <row r="19">
          <cell r="J19">
            <v>1.0499999999999999E-3</v>
          </cell>
        </row>
      </sheetData>
      <sheetData sheetId="12372">
        <row r="19">
          <cell r="J19">
            <v>1.0499999999999999E-3</v>
          </cell>
        </row>
      </sheetData>
      <sheetData sheetId="12373">
        <row r="19">
          <cell r="J19">
            <v>1.0499999999999999E-3</v>
          </cell>
        </row>
      </sheetData>
      <sheetData sheetId="12374">
        <row r="19">
          <cell r="J19">
            <v>1.0499999999999999E-3</v>
          </cell>
        </row>
      </sheetData>
      <sheetData sheetId="12375">
        <row r="5">
          <cell r="I5">
            <v>0</v>
          </cell>
        </row>
      </sheetData>
      <sheetData sheetId="12376">
        <row r="5">
          <cell r="I5">
            <v>0</v>
          </cell>
        </row>
      </sheetData>
      <sheetData sheetId="12377">
        <row r="19">
          <cell r="J19">
            <v>1.0499999999999999E-3</v>
          </cell>
        </row>
      </sheetData>
      <sheetData sheetId="12378">
        <row r="19">
          <cell r="J19">
            <v>1.0499999999999999E-3</v>
          </cell>
        </row>
      </sheetData>
      <sheetData sheetId="12379">
        <row r="19">
          <cell r="J19">
            <v>1.0499999999999999E-3</v>
          </cell>
        </row>
      </sheetData>
      <sheetData sheetId="12380">
        <row r="19">
          <cell r="J19">
            <v>1.0499999999999999E-3</v>
          </cell>
        </row>
      </sheetData>
      <sheetData sheetId="12381">
        <row r="19">
          <cell r="J19">
            <v>1.0499999999999999E-3</v>
          </cell>
        </row>
      </sheetData>
      <sheetData sheetId="12382">
        <row r="19">
          <cell r="J19">
            <v>1.0499999999999999E-3</v>
          </cell>
        </row>
      </sheetData>
      <sheetData sheetId="12383">
        <row r="19">
          <cell r="J19">
            <v>1.0499999999999999E-3</v>
          </cell>
        </row>
      </sheetData>
      <sheetData sheetId="12384">
        <row r="19">
          <cell r="J19">
            <v>1.0499999999999999E-3</v>
          </cell>
        </row>
      </sheetData>
      <sheetData sheetId="12385">
        <row r="19">
          <cell r="J19">
            <v>1.0499999999999999E-3</v>
          </cell>
        </row>
      </sheetData>
      <sheetData sheetId="12386">
        <row r="19">
          <cell r="J19">
            <v>1.0499999999999999E-3</v>
          </cell>
        </row>
      </sheetData>
      <sheetData sheetId="12387">
        <row r="19">
          <cell r="J19">
            <v>1.0499999999999999E-3</v>
          </cell>
        </row>
      </sheetData>
      <sheetData sheetId="12388">
        <row r="5">
          <cell r="I5">
            <v>0</v>
          </cell>
        </row>
      </sheetData>
      <sheetData sheetId="12389">
        <row r="5">
          <cell r="I5">
            <v>0</v>
          </cell>
        </row>
      </sheetData>
      <sheetData sheetId="12390">
        <row r="5">
          <cell r="I5">
            <v>0</v>
          </cell>
        </row>
      </sheetData>
      <sheetData sheetId="12391">
        <row r="5">
          <cell r="I5">
            <v>0</v>
          </cell>
        </row>
      </sheetData>
      <sheetData sheetId="12392">
        <row r="5">
          <cell r="I5">
            <v>0</v>
          </cell>
        </row>
      </sheetData>
      <sheetData sheetId="12393">
        <row r="19">
          <cell r="J19">
            <v>1.0499999999999999E-3</v>
          </cell>
        </row>
      </sheetData>
      <sheetData sheetId="12394">
        <row r="19">
          <cell r="J19">
            <v>1.0499999999999999E-3</v>
          </cell>
        </row>
      </sheetData>
      <sheetData sheetId="12395">
        <row r="19">
          <cell r="J19">
            <v>1.0499999999999999E-3</v>
          </cell>
        </row>
      </sheetData>
      <sheetData sheetId="12396">
        <row r="19">
          <cell r="J19">
            <v>1.0499999999999999E-3</v>
          </cell>
        </row>
      </sheetData>
      <sheetData sheetId="12397">
        <row r="19">
          <cell r="J19">
            <v>1.0499999999999999E-3</v>
          </cell>
        </row>
      </sheetData>
      <sheetData sheetId="12398">
        <row r="19">
          <cell r="J19">
            <v>1.0499999999999999E-3</v>
          </cell>
        </row>
      </sheetData>
      <sheetData sheetId="12399">
        <row r="19">
          <cell r="J19">
            <v>1.0499999999999999E-3</v>
          </cell>
        </row>
      </sheetData>
      <sheetData sheetId="12400">
        <row r="19">
          <cell r="J19">
            <v>1.0499999999999999E-3</v>
          </cell>
        </row>
      </sheetData>
      <sheetData sheetId="12401"/>
      <sheetData sheetId="12402">
        <row r="19">
          <cell r="J19">
            <v>1.0499999999999999E-3</v>
          </cell>
        </row>
      </sheetData>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row r="19">
          <cell r="J19">
            <v>1.0499999999999999E-3</v>
          </cell>
        </row>
      </sheetData>
      <sheetData sheetId="12425">
        <row r="19">
          <cell r="J19">
            <v>1.0499999999999999E-3</v>
          </cell>
        </row>
      </sheetData>
      <sheetData sheetId="12426">
        <row r="19">
          <cell r="J19">
            <v>1.0499999999999999E-3</v>
          </cell>
        </row>
      </sheetData>
      <sheetData sheetId="12427">
        <row r="19">
          <cell r="J19">
            <v>1.0499999999999999E-3</v>
          </cell>
        </row>
      </sheetData>
      <sheetData sheetId="12428">
        <row r="19">
          <cell r="J19">
            <v>1.0499999999999999E-3</v>
          </cell>
        </row>
      </sheetData>
      <sheetData sheetId="12429">
        <row r="19">
          <cell r="J19">
            <v>1.0499999999999999E-3</v>
          </cell>
        </row>
      </sheetData>
      <sheetData sheetId="12430">
        <row r="19">
          <cell r="J19">
            <v>1.0499999999999999E-3</v>
          </cell>
        </row>
      </sheetData>
      <sheetData sheetId="12431">
        <row r="19">
          <cell r="J19">
            <v>1.0499999999999999E-3</v>
          </cell>
        </row>
      </sheetData>
      <sheetData sheetId="12432">
        <row r="19">
          <cell r="J19">
            <v>1.0499999999999999E-3</v>
          </cell>
        </row>
      </sheetData>
      <sheetData sheetId="12433">
        <row r="19">
          <cell r="J19">
            <v>1.0499999999999999E-3</v>
          </cell>
        </row>
      </sheetData>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ow r="19">
          <cell r="J19">
            <v>1.0499999999999999E-3</v>
          </cell>
        </row>
      </sheetData>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ow r="19">
          <cell r="J19">
            <v>1.0499999999999999E-3</v>
          </cell>
        </row>
      </sheetData>
      <sheetData sheetId="12501">
        <row r="19">
          <cell r="J19">
            <v>1.0499999999999999E-3</v>
          </cell>
        </row>
      </sheetData>
      <sheetData sheetId="12502">
        <row r="19">
          <cell r="J19">
            <v>1.0499999999999999E-3</v>
          </cell>
        </row>
      </sheetData>
      <sheetData sheetId="12503">
        <row r="19">
          <cell r="J19">
            <v>1.0499999999999999E-3</v>
          </cell>
        </row>
      </sheetData>
      <sheetData sheetId="12504">
        <row r="5">
          <cell r="I5">
            <v>0</v>
          </cell>
        </row>
      </sheetData>
      <sheetData sheetId="12505">
        <row r="19">
          <cell r="J19">
            <v>1.0499999999999999E-3</v>
          </cell>
        </row>
      </sheetData>
      <sheetData sheetId="12506">
        <row r="5">
          <cell r="I5">
            <v>0</v>
          </cell>
        </row>
      </sheetData>
      <sheetData sheetId="12507">
        <row r="19">
          <cell r="J19">
            <v>1.0499999999999999E-3</v>
          </cell>
        </row>
      </sheetData>
      <sheetData sheetId="12508">
        <row r="19">
          <cell r="J19">
            <v>1.0499999999999999E-3</v>
          </cell>
        </row>
      </sheetData>
      <sheetData sheetId="12509">
        <row r="19">
          <cell r="J19">
            <v>1.0499999999999999E-3</v>
          </cell>
        </row>
      </sheetData>
      <sheetData sheetId="12510">
        <row r="19">
          <cell r="J19">
            <v>1.0499999999999999E-3</v>
          </cell>
        </row>
      </sheetData>
      <sheetData sheetId="12511">
        <row r="19">
          <cell r="J19">
            <v>1.0499999999999999E-3</v>
          </cell>
        </row>
      </sheetData>
      <sheetData sheetId="12512">
        <row r="19">
          <cell r="J19">
            <v>1.0499999999999999E-3</v>
          </cell>
        </row>
      </sheetData>
      <sheetData sheetId="12513">
        <row r="19">
          <cell r="J19">
            <v>1.0499999999999999E-3</v>
          </cell>
        </row>
      </sheetData>
      <sheetData sheetId="12514">
        <row r="19">
          <cell r="J19">
            <v>1.0499999999999999E-3</v>
          </cell>
        </row>
      </sheetData>
      <sheetData sheetId="12515">
        <row r="19">
          <cell r="J19">
            <v>1.0499999999999999E-3</v>
          </cell>
        </row>
      </sheetData>
      <sheetData sheetId="12516">
        <row r="19">
          <cell r="J19">
            <v>1.0499999999999999E-3</v>
          </cell>
        </row>
      </sheetData>
      <sheetData sheetId="12517">
        <row r="19">
          <cell r="J19">
            <v>1.0499999999999999E-3</v>
          </cell>
        </row>
      </sheetData>
      <sheetData sheetId="12518">
        <row r="5">
          <cell r="I5">
            <v>0</v>
          </cell>
        </row>
      </sheetData>
      <sheetData sheetId="12519">
        <row r="5">
          <cell r="I5">
            <v>0</v>
          </cell>
        </row>
      </sheetData>
      <sheetData sheetId="12520">
        <row r="5">
          <cell r="I5">
            <v>0</v>
          </cell>
        </row>
      </sheetData>
      <sheetData sheetId="12521">
        <row r="5">
          <cell r="I5">
            <v>0</v>
          </cell>
        </row>
      </sheetData>
      <sheetData sheetId="12522">
        <row r="5">
          <cell r="I5">
            <v>0</v>
          </cell>
        </row>
      </sheetData>
      <sheetData sheetId="12523">
        <row r="5">
          <cell r="I5">
            <v>0</v>
          </cell>
        </row>
      </sheetData>
      <sheetData sheetId="12524">
        <row r="5">
          <cell r="I5">
            <v>0</v>
          </cell>
        </row>
      </sheetData>
      <sheetData sheetId="12525">
        <row r="5">
          <cell r="I5">
            <v>0</v>
          </cell>
        </row>
      </sheetData>
      <sheetData sheetId="12526">
        <row r="5">
          <cell r="I5">
            <v>0</v>
          </cell>
        </row>
      </sheetData>
      <sheetData sheetId="12527">
        <row r="5">
          <cell r="I5">
            <v>0</v>
          </cell>
        </row>
      </sheetData>
      <sheetData sheetId="12528">
        <row r="5">
          <cell r="I5">
            <v>0</v>
          </cell>
        </row>
      </sheetData>
      <sheetData sheetId="12529">
        <row r="5">
          <cell r="I5">
            <v>0</v>
          </cell>
        </row>
      </sheetData>
      <sheetData sheetId="12530">
        <row r="5">
          <cell r="I5">
            <v>0</v>
          </cell>
        </row>
      </sheetData>
      <sheetData sheetId="12531">
        <row r="5">
          <cell r="I5">
            <v>0</v>
          </cell>
        </row>
      </sheetData>
      <sheetData sheetId="12532">
        <row r="5">
          <cell r="I5">
            <v>0</v>
          </cell>
        </row>
      </sheetData>
      <sheetData sheetId="12533">
        <row r="5">
          <cell r="I5">
            <v>0</v>
          </cell>
        </row>
      </sheetData>
      <sheetData sheetId="12534">
        <row r="5">
          <cell r="I5">
            <v>0</v>
          </cell>
        </row>
      </sheetData>
      <sheetData sheetId="12535">
        <row r="5">
          <cell r="I5">
            <v>0</v>
          </cell>
        </row>
      </sheetData>
      <sheetData sheetId="12536">
        <row r="5">
          <cell r="I5">
            <v>0</v>
          </cell>
        </row>
      </sheetData>
      <sheetData sheetId="12537">
        <row r="5">
          <cell r="I5">
            <v>0</v>
          </cell>
        </row>
      </sheetData>
      <sheetData sheetId="12538">
        <row r="5">
          <cell r="I5">
            <v>0</v>
          </cell>
        </row>
      </sheetData>
      <sheetData sheetId="12539">
        <row r="5">
          <cell r="I5">
            <v>0</v>
          </cell>
        </row>
      </sheetData>
      <sheetData sheetId="12540">
        <row r="5">
          <cell r="I5">
            <v>0</v>
          </cell>
        </row>
      </sheetData>
      <sheetData sheetId="12541">
        <row r="5">
          <cell r="I5">
            <v>0</v>
          </cell>
        </row>
      </sheetData>
      <sheetData sheetId="12542">
        <row r="5">
          <cell r="I5">
            <v>0</v>
          </cell>
        </row>
      </sheetData>
      <sheetData sheetId="12543">
        <row r="5">
          <cell r="I5">
            <v>0</v>
          </cell>
        </row>
      </sheetData>
      <sheetData sheetId="12544">
        <row r="5">
          <cell r="I5">
            <v>0</v>
          </cell>
        </row>
      </sheetData>
      <sheetData sheetId="12545">
        <row r="5">
          <cell r="I5">
            <v>0</v>
          </cell>
        </row>
      </sheetData>
      <sheetData sheetId="12546">
        <row r="5">
          <cell r="I5">
            <v>0</v>
          </cell>
        </row>
      </sheetData>
      <sheetData sheetId="12547">
        <row r="5">
          <cell r="I5">
            <v>0</v>
          </cell>
        </row>
      </sheetData>
      <sheetData sheetId="12548">
        <row r="5">
          <cell r="I5">
            <v>0</v>
          </cell>
        </row>
      </sheetData>
      <sheetData sheetId="12549">
        <row r="5">
          <cell r="I5">
            <v>0</v>
          </cell>
        </row>
      </sheetData>
      <sheetData sheetId="12550">
        <row r="5">
          <cell r="I5">
            <v>0</v>
          </cell>
        </row>
      </sheetData>
      <sheetData sheetId="12551">
        <row r="5">
          <cell r="I5">
            <v>0</v>
          </cell>
        </row>
      </sheetData>
      <sheetData sheetId="12552">
        <row r="5">
          <cell r="I5">
            <v>0</v>
          </cell>
        </row>
      </sheetData>
      <sheetData sheetId="12553">
        <row r="5">
          <cell r="I5">
            <v>0</v>
          </cell>
        </row>
      </sheetData>
      <sheetData sheetId="12554">
        <row r="5">
          <cell r="I5">
            <v>0</v>
          </cell>
        </row>
      </sheetData>
      <sheetData sheetId="12555">
        <row r="5">
          <cell r="I5">
            <v>0</v>
          </cell>
        </row>
      </sheetData>
      <sheetData sheetId="12556">
        <row r="5">
          <cell r="I5">
            <v>0</v>
          </cell>
        </row>
      </sheetData>
      <sheetData sheetId="12557">
        <row r="5">
          <cell r="I5">
            <v>0</v>
          </cell>
        </row>
      </sheetData>
      <sheetData sheetId="12558">
        <row r="5">
          <cell r="I5">
            <v>0</v>
          </cell>
        </row>
      </sheetData>
      <sheetData sheetId="12559">
        <row r="5">
          <cell r="I5">
            <v>0</v>
          </cell>
        </row>
      </sheetData>
      <sheetData sheetId="12560">
        <row r="5">
          <cell r="I5">
            <v>0</v>
          </cell>
        </row>
      </sheetData>
      <sheetData sheetId="12561">
        <row r="5">
          <cell r="I5">
            <v>0</v>
          </cell>
        </row>
      </sheetData>
      <sheetData sheetId="12562">
        <row r="5">
          <cell r="I5">
            <v>0</v>
          </cell>
        </row>
      </sheetData>
      <sheetData sheetId="12563">
        <row r="5">
          <cell r="I5">
            <v>0</v>
          </cell>
        </row>
      </sheetData>
      <sheetData sheetId="12564">
        <row r="5">
          <cell r="I5">
            <v>0</v>
          </cell>
        </row>
      </sheetData>
      <sheetData sheetId="12565">
        <row r="5">
          <cell r="I5">
            <v>0</v>
          </cell>
        </row>
      </sheetData>
      <sheetData sheetId="12566">
        <row r="5">
          <cell r="I5">
            <v>0</v>
          </cell>
        </row>
      </sheetData>
      <sheetData sheetId="12567">
        <row r="5">
          <cell r="I5">
            <v>0</v>
          </cell>
        </row>
      </sheetData>
      <sheetData sheetId="12568">
        <row r="5">
          <cell r="I5">
            <v>0</v>
          </cell>
        </row>
      </sheetData>
      <sheetData sheetId="12569">
        <row r="5">
          <cell r="I5">
            <v>0</v>
          </cell>
        </row>
      </sheetData>
      <sheetData sheetId="12570">
        <row r="5">
          <cell r="I5">
            <v>0</v>
          </cell>
        </row>
      </sheetData>
      <sheetData sheetId="12571">
        <row r="5">
          <cell r="I5">
            <v>0</v>
          </cell>
        </row>
      </sheetData>
      <sheetData sheetId="12572">
        <row r="5">
          <cell r="I5">
            <v>0</v>
          </cell>
        </row>
      </sheetData>
      <sheetData sheetId="12573">
        <row r="5">
          <cell r="I5">
            <v>0</v>
          </cell>
        </row>
      </sheetData>
      <sheetData sheetId="12574">
        <row r="5">
          <cell r="I5">
            <v>0</v>
          </cell>
        </row>
      </sheetData>
      <sheetData sheetId="12575">
        <row r="5">
          <cell r="I5">
            <v>0</v>
          </cell>
        </row>
      </sheetData>
      <sheetData sheetId="12576">
        <row r="5">
          <cell r="I5">
            <v>0</v>
          </cell>
        </row>
      </sheetData>
      <sheetData sheetId="12577">
        <row r="5">
          <cell r="I5">
            <v>0</v>
          </cell>
        </row>
      </sheetData>
      <sheetData sheetId="12578">
        <row r="5">
          <cell r="I5">
            <v>0</v>
          </cell>
        </row>
      </sheetData>
      <sheetData sheetId="12579">
        <row r="5">
          <cell r="I5">
            <v>0</v>
          </cell>
        </row>
      </sheetData>
      <sheetData sheetId="12580">
        <row r="5">
          <cell r="I5">
            <v>0</v>
          </cell>
        </row>
      </sheetData>
      <sheetData sheetId="12581">
        <row r="5">
          <cell r="I5">
            <v>0</v>
          </cell>
        </row>
      </sheetData>
      <sheetData sheetId="12582">
        <row r="5">
          <cell r="I5">
            <v>0</v>
          </cell>
        </row>
      </sheetData>
      <sheetData sheetId="12583">
        <row r="5">
          <cell r="I5">
            <v>0</v>
          </cell>
        </row>
      </sheetData>
      <sheetData sheetId="12584">
        <row r="5">
          <cell r="I5">
            <v>0</v>
          </cell>
        </row>
      </sheetData>
      <sheetData sheetId="12585">
        <row r="5">
          <cell r="I5">
            <v>0</v>
          </cell>
        </row>
      </sheetData>
      <sheetData sheetId="12586">
        <row r="5">
          <cell r="I5">
            <v>0</v>
          </cell>
        </row>
      </sheetData>
      <sheetData sheetId="12587">
        <row r="5">
          <cell r="I5">
            <v>0</v>
          </cell>
        </row>
      </sheetData>
      <sheetData sheetId="12588">
        <row r="5">
          <cell r="I5">
            <v>0</v>
          </cell>
        </row>
      </sheetData>
      <sheetData sheetId="12589">
        <row r="5">
          <cell r="I5">
            <v>0</v>
          </cell>
        </row>
      </sheetData>
      <sheetData sheetId="12590">
        <row r="5">
          <cell r="I5">
            <v>0</v>
          </cell>
        </row>
      </sheetData>
      <sheetData sheetId="12591">
        <row r="5">
          <cell r="I5">
            <v>0</v>
          </cell>
        </row>
      </sheetData>
      <sheetData sheetId="12592">
        <row r="5">
          <cell r="I5">
            <v>0</v>
          </cell>
        </row>
      </sheetData>
      <sheetData sheetId="12593">
        <row r="5">
          <cell r="I5">
            <v>0</v>
          </cell>
        </row>
      </sheetData>
      <sheetData sheetId="12594">
        <row r="5">
          <cell r="I5">
            <v>0</v>
          </cell>
        </row>
      </sheetData>
      <sheetData sheetId="12595">
        <row r="5">
          <cell r="I5">
            <v>0</v>
          </cell>
        </row>
      </sheetData>
      <sheetData sheetId="12596">
        <row r="5">
          <cell r="I5">
            <v>0</v>
          </cell>
        </row>
      </sheetData>
      <sheetData sheetId="12597">
        <row r="5">
          <cell r="I5">
            <v>0</v>
          </cell>
        </row>
      </sheetData>
      <sheetData sheetId="12598">
        <row r="5">
          <cell r="I5">
            <v>0</v>
          </cell>
        </row>
      </sheetData>
      <sheetData sheetId="12599">
        <row r="5">
          <cell r="I5">
            <v>0</v>
          </cell>
        </row>
      </sheetData>
      <sheetData sheetId="12600">
        <row r="5">
          <cell r="I5">
            <v>0</v>
          </cell>
        </row>
      </sheetData>
      <sheetData sheetId="12601">
        <row r="5">
          <cell r="I5">
            <v>0</v>
          </cell>
        </row>
      </sheetData>
      <sheetData sheetId="12602">
        <row r="5">
          <cell r="I5">
            <v>0</v>
          </cell>
        </row>
      </sheetData>
      <sheetData sheetId="12603">
        <row r="5">
          <cell r="I5">
            <v>0</v>
          </cell>
        </row>
      </sheetData>
      <sheetData sheetId="12604">
        <row r="5">
          <cell r="I5">
            <v>0</v>
          </cell>
        </row>
      </sheetData>
      <sheetData sheetId="12605">
        <row r="5">
          <cell r="I5">
            <v>0</v>
          </cell>
        </row>
      </sheetData>
      <sheetData sheetId="12606">
        <row r="5">
          <cell r="I5">
            <v>0</v>
          </cell>
        </row>
      </sheetData>
      <sheetData sheetId="12607">
        <row r="5">
          <cell r="I5">
            <v>0</v>
          </cell>
        </row>
      </sheetData>
      <sheetData sheetId="12608">
        <row r="5">
          <cell r="I5">
            <v>0</v>
          </cell>
        </row>
      </sheetData>
      <sheetData sheetId="12609">
        <row r="5">
          <cell r="I5">
            <v>0</v>
          </cell>
        </row>
      </sheetData>
      <sheetData sheetId="12610">
        <row r="5">
          <cell r="I5">
            <v>0</v>
          </cell>
        </row>
      </sheetData>
      <sheetData sheetId="12611">
        <row r="5">
          <cell r="I5">
            <v>0</v>
          </cell>
        </row>
      </sheetData>
      <sheetData sheetId="12612">
        <row r="5">
          <cell r="I5">
            <v>0</v>
          </cell>
        </row>
      </sheetData>
      <sheetData sheetId="12613">
        <row r="5">
          <cell r="I5">
            <v>0</v>
          </cell>
        </row>
      </sheetData>
      <sheetData sheetId="12614">
        <row r="5">
          <cell r="I5">
            <v>0</v>
          </cell>
        </row>
      </sheetData>
      <sheetData sheetId="12615">
        <row r="5">
          <cell r="I5">
            <v>0</v>
          </cell>
        </row>
      </sheetData>
      <sheetData sheetId="12616">
        <row r="5">
          <cell r="I5">
            <v>0</v>
          </cell>
        </row>
      </sheetData>
      <sheetData sheetId="12617">
        <row r="5">
          <cell r="I5">
            <v>0</v>
          </cell>
        </row>
      </sheetData>
      <sheetData sheetId="12618">
        <row r="5">
          <cell r="I5">
            <v>0</v>
          </cell>
        </row>
      </sheetData>
      <sheetData sheetId="12619">
        <row r="5">
          <cell r="I5">
            <v>0</v>
          </cell>
        </row>
      </sheetData>
      <sheetData sheetId="12620">
        <row r="5">
          <cell r="I5">
            <v>0</v>
          </cell>
        </row>
      </sheetData>
      <sheetData sheetId="12621">
        <row r="5">
          <cell r="I5">
            <v>0</v>
          </cell>
        </row>
      </sheetData>
      <sheetData sheetId="12622">
        <row r="5">
          <cell r="I5">
            <v>0</v>
          </cell>
        </row>
      </sheetData>
      <sheetData sheetId="12623">
        <row r="5">
          <cell r="I5">
            <v>0</v>
          </cell>
        </row>
      </sheetData>
      <sheetData sheetId="12624">
        <row r="5">
          <cell r="I5">
            <v>0</v>
          </cell>
        </row>
      </sheetData>
      <sheetData sheetId="12625">
        <row r="5">
          <cell r="I5">
            <v>0</v>
          </cell>
        </row>
      </sheetData>
      <sheetData sheetId="12626">
        <row r="5">
          <cell r="I5">
            <v>0</v>
          </cell>
        </row>
      </sheetData>
      <sheetData sheetId="12627">
        <row r="5">
          <cell r="I5">
            <v>0</v>
          </cell>
        </row>
      </sheetData>
      <sheetData sheetId="12628">
        <row r="5">
          <cell r="I5">
            <v>0</v>
          </cell>
        </row>
      </sheetData>
      <sheetData sheetId="12629">
        <row r="5">
          <cell r="I5">
            <v>0</v>
          </cell>
        </row>
      </sheetData>
      <sheetData sheetId="12630">
        <row r="19">
          <cell r="J19">
            <v>1.0499999999999999E-3</v>
          </cell>
        </row>
      </sheetData>
      <sheetData sheetId="12631">
        <row r="5">
          <cell r="I5">
            <v>0</v>
          </cell>
        </row>
      </sheetData>
      <sheetData sheetId="12632">
        <row r="5">
          <cell r="I5">
            <v>0</v>
          </cell>
        </row>
      </sheetData>
      <sheetData sheetId="12633">
        <row r="5">
          <cell r="I5">
            <v>0</v>
          </cell>
        </row>
      </sheetData>
      <sheetData sheetId="12634">
        <row r="5">
          <cell r="I5">
            <v>0</v>
          </cell>
        </row>
      </sheetData>
      <sheetData sheetId="12635">
        <row r="5">
          <cell r="I5">
            <v>0</v>
          </cell>
        </row>
      </sheetData>
      <sheetData sheetId="12636">
        <row r="5">
          <cell r="I5">
            <v>0</v>
          </cell>
        </row>
      </sheetData>
      <sheetData sheetId="12637">
        <row r="5">
          <cell r="I5">
            <v>0</v>
          </cell>
        </row>
      </sheetData>
      <sheetData sheetId="12638">
        <row r="5">
          <cell r="I5">
            <v>0</v>
          </cell>
        </row>
      </sheetData>
      <sheetData sheetId="12639">
        <row r="5">
          <cell r="I5">
            <v>0</v>
          </cell>
        </row>
      </sheetData>
      <sheetData sheetId="12640">
        <row r="5">
          <cell r="I5">
            <v>0</v>
          </cell>
        </row>
      </sheetData>
      <sheetData sheetId="12641">
        <row r="5">
          <cell r="I5">
            <v>0</v>
          </cell>
        </row>
      </sheetData>
      <sheetData sheetId="12642">
        <row r="5">
          <cell r="I5">
            <v>0</v>
          </cell>
        </row>
      </sheetData>
      <sheetData sheetId="12643">
        <row r="5">
          <cell r="I5">
            <v>0</v>
          </cell>
        </row>
      </sheetData>
      <sheetData sheetId="12644">
        <row r="5">
          <cell r="I5">
            <v>0</v>
          </cell>
        </row>
      </sheetData>
      <sheetData sheetId="12645">
        <row r="5">
          <cell r="I5">
            <v>0</v>
          </cell>
        </row>
      </sheetData>
      <sheetData sheetId="12646">
        <row r="5">
          <cell r="I5">
            <v>0</v>
          </cell>
        </row>
      </sheetData>
      <sheetData sheetId="12647">
        <row r="19">
          <cell r="J19">
            <v>1.0499999999999999E-3</v>
          </cell>
        </row>
      </sheetData>
      <sheetData sheetId="12648">
        <row r="19">
          <cell r="J19">
            <v>1.0499999999999999E-3</v>
          </cell>
        </row>
      </sheetData>
      <sheetData sheetId="12649">
        <row r="5">
          <cell r="I5">
            <v>0</v>
          </cell>
        </row>
      </sheetData>
      <sheetData sheetId="12650">
        <row r="5">
          <cell r="I5">
            <v>0</v>
          </cell>
        </row>
      </sheetData>
      <sheetData sheetId="12651">
        <row r="5">
          <cell r="I5">
            <v>0</v>
          </cell>
        </row>
      </sheetData>
      <sheetData sheetId="12652">
        <row r="5">
          <cell r="I5">
            <v>0</v>
          </cell>
        </row>
      </sheetData>
      <sheetData sheetId="12653">
        <row r="5">
          <cell r="I5">
            <v>0</v>
          </cell>
        </row>
      </sheetData>
      <sheetData sheetId="12654">
        <row r="5">
          <cell r="I5">
            <v>0</v>
          </cell>
        </row>
      </sheetData>
      <sheetData sheetId="12655">
        <row r="19">
          <cell r="J19">
            <v>1.0499999999999999E-3</v>
          </cell>
        </row>
      </sheetData>
      <sheetData sheetId="12656">
        <row r="19">
          <cell r="J19">
            <v>1.0499999999999999E-3</v>
          </cell>
        </row>
      </sheetData>
      <sheetData sheetId="12657">
        <row r="5">
          <cell r="I5">
            <v>0</v>
          </cell>
        </row>
      </sheetData>
      <sheetData sheetId="12658">
        <row r="19">
          <cell r="J19">
            <v>1.0499999999999999E-3</v>
          </cell>
        </row>
      </sheetData>
      <sheetData sheetId="12659">
        <row r="19">
          <cell r="J19">
            <v>1.0499999999999999E-3</v>
          </cell>
        </row>
      </sheetData>
      <sheetData sheetId="12660">
        <row r="19">
          <cell r="J19">
            <v>1.0499999999999999E-3</v>
          </cell>
        </row>
      </sheetData>
      <sheetData sheetId="12661">
        <row r="5">
          <cell r="I5">
            <v>0</v>
          </cell>
        </row>
      </sheetData>
      <sheetData sheetId="12662">
        <row r="19">
          <cell r="J19">
            <v>1.0499999999999999E-3</v>
          </cell>
        </row>
      </sheetData>
      <sheetData sheetId="12663">
        <row r="19">
          <cell r="J19">
            <v>1.0499999999999999E-3</v>
          </cell>
        </row>
      </sheetData>
      <sheetData sheetId="12664">
        <row r="19">
          <cell r="J19">
            <v>1.0499999999999999E-3</v>
          </cell>
        </row>
      </sheetData>
      <sheetData sheetId="12665">
        <row r="19">
          <cell r="J19">
            <v>1.0499999999999999E-3</v>
          </cell>
        </row>
      </sheetData>
      <sheetData sheetId="12666">
        <row r="19">
          <cell r="J19">
            <v>1.0499999999999999E-3</v>
          </cell>
        </row>
      </sheetData>
      <sheetData sheetId="12667">
        <row r="5">
          <cell r="I5">
            <v>0</v>
          </cell>
        </row>
      </sheetData>
      <sheetData sheetId="12668">
        <row r="19">
          <cell r="J19">
            <v>1.0499999999999999E-3</v>
          </cell>
        </row>
      </sheetData>
      <sheetData sheetId="12669">
        <row r="19">
          <cell r="J19">
            <v>1.0499999999999999E-3</v>
          </cell>
        </row>
      </sheetData>
      <sheetData sheetId="12670">
        <row r="19">
          <cell r="J19">
            <v>1.0499999999999999E-3</v>
          </cell>
        </row>
      </sheetData>
      <sheetData sheetId="12671">
        <row r="19">
          <cell r="J19">
            <v>1.0499999999999999E-3</v>
          </cell>
        </row>
      </sheetData>
      <sheetData sheetId="12672">
        <row r="19">
          <cell r="J19">
            <v>1.0499999999999999E-3</v>
          </cell>
        </row>
      </sheetData>
      <sheetData sheetId="12673">
        <row r="19">
          <cell r="J19">
            <v>1.0499999999999999E-3</v>
          </cell>
        </row>
      </sheetData>
      <sheetData sheetId="12674"/>
      <sheetData sheetId="12675">
        <row r="19">
          <cell r="J19">
            <v>1.0499999999999999E-3</v>
          </cell>
        </row>
      </sheetData>
      <sheetData sheetId="12676">
        <row r="19">
          <cell r="J19">
            <v>1.0499999999999999E-3</v>
          </cell>
        </row>
      </sheetData>
      <sheetData sheetId="12677">
        <row r="19">
          <cell r="J19">
            <v>1.0499999999999999E-3</v>
          </cell>
        </row>
      </sheetData>
      <sheetData sheetId="12678">
        <row r="19">
          <cell r="J19">
            <v>1.0499999999999999E-3</v>
          </cell>
        </row>
      </sheetData>
      <sheetData sheetId="12679">
        <row r="19">
          <cell r="J19">
            <v>1.0499999999999999E-3</v>
          </cell>
        </row>
      </sheetData>
      <sheetData sheetId="12680">
        <row r="19">
          <cell r="J19">
            <v>1.0499999999999999E-3</v>
          </cell>
        </row>
      </sheetData>
      <sheetData sheetId="12681">
        <row r="19">
          <cell r="J19">
            <v>1.0499999999999999E-3</v>
          </cell>
        </row>
      </sheetData>
      <sheetData sheetId="12682">
        <row r="5">
          <cell r="I5">
            <v>0</v>
          </cell>
        </row>
      </sheetData>
      <sheetData sheetId="12683">
        <row r="19">
          <cell r="J19">
            <v>1.0499999999999999E-3</v>
          </cell>
        </row>
      </sheetData>
      <sheetData sheetId="12684">
        <row r="19">
          <cell r="J19">
            <v>1.0499999999999999E-3</v>
          </cell>
        </row>
      </sheetData>
      <sheetData sheetId="12685">
        <row r="19">
          <cell r="J19">
            <v>1.0499999999999999E-3</v>
          </cell>
        </row>
      </sheetData>
      <sheetData sheetId="12686">
        <row r="19">
          <cell r="J19">
            <v>1.0499999999999999E-3</v>
          </cell>
        </row>
      </sheetData>
      <sheetData sheetId="12687">
        <row r="19">
          <cell r="J19">
            <v>1.0499999999999999E-3</v>
          </cell>
        </row>
      </sheetData>
      <sheetData sheetId="12688">
        <row r="19">
          <cell r="J19">
            <v>1.0499999999999999E-3</v>
          </cell>
        </row>
      </sheetData>
      <sheetData sheetId="12689">
        <row r="19">
          <cell r="J19">
            <v>1.0499999999999999E-3</v>
          </cell>
        </row>
      </sheetData>
      <sheetData sheetId="12690">
        <row r="19">
          <cell r="J19">
            <v>1.0499999999999999E-3</v>
          </cell>
        </row>
      </sheetData>
      <sheetData sheetId="12691">
        <row r="19">
          <cell r="J19">
            <v>1.0499999999999999E-3</v>
          </cell>
        </row>
      </sheetData>
      <sheetData sheetId="12692">
        <row r="19">
          <cell r="J19">
            <v>1.0499999999999999E-3</v>
          </cell>
        </row>
      </sheetData>
      <sheetData sheetId="12693">
        <row r="19">
          <cell r="J19">
            <v>1.0499999999999999E-3</v>
          </cell>
        </row>
      </sheetData>
      <sheetData sheetId="12694">
        <row r="19">
          <cell r="J19">
            <v>1.0499999999999999E-3</v>
          </cell>
        </row>
      </sheetData>
      <sheetData sheetId="12695">
        <row r="19">
          <cell r="J19">
            <v>1.0499999999999999E-3</v>
          </cell>
        </row>
      </sheetData>
      <sheetData sheetId="12696">
        <row r="19">
          <cell r="J19">
            <v>1.0499999999999999E-3</v>
          </cell>
        </row>
      </sheetData>
      <sheetData sheetId="12697">
        <row r="19">
          <cell r="J19">
            <v>1.0499999999999999E-3</v>
          </cell>
        </row>
      </sheetData>
      <sheetData sheetId="12698">
        <row r="19">
          <cell r="J19">
            <v>1.0499999999999999E-3</v>
          </cell>
        </row>
      </sheetData>
      <sheetData sheetId="12699">
        <row r="19">
          <cell r="J19">
            <v>1.0499999999999999E-3</v>
          </cell>
        </row>
      </sheetData>
      <sheetData sheetId="12700">
        <row r="19">
          <cell r="J19">
            <v>1.0499999999999999E-3</v>
          </cell>
        </row>
      </sheetData>
      <sheetData sheetId="12701">
        <row r="19">
          <cell r="J19">
            <v>1.0499999999999999E-3</v>
          </cell>
        </row>
      </sheetData>
      <sheetData sheetId="12702">
        <row r="19">
          <cell r="J19">
            <v>1.0499999999999999E-3</v>
          </cell>
        </row>
      </sheetData>
      <sheetData sheetId="12703">
        <row r="19">
          <cell r="J19">
            <v>0</v>
          </cell>
        </row>
      </sheetData>
      <sheetData sheetId="12704">
        <row r="19">
          <cell r="J19">
            <v>1.0499999999999999E-3</v>
          </cell>
        </row>
      </sheetData>
      <sheetData sheetId="12705"/>
      <sheetData sheetId="12706"/>
      <sheetData sheetId="12707"/>
      <sheetData sheetId="12708"/>
      <sheetData sheetId="12709"/>
      <sheetData sheetId="12710"/>
      <sheetData sheetId="12711"/>
      <sheetData sheetId="12712">
        <row r="19">
          <cell r="J19">
            <v>1.0499999999999999E-3</v>
          </cell>
        </row>
      </sheetData>
      <sheetData sheetId="12713">
        <row r="19">
          <cell r="J19">
            <v>1.0499999999999999E-3</v>
          </cell>
        </row>
      </sheetData>
      <sheetData sheetId="12714">
        <row r="19">
          <cell r="J19">
            <v>1.0499999999999999E-3</v>
          </cell>
        </row>
      </sheetData>
      <sheetData sheetId="12715">
        <row r="19">
          <cell r="J19">
            <v>0</v>
          </cell>
        </row>
      </sheetData>
      <sheetData sheetId="12716">
        <row r="19">
          <cell r="J19">
            <v>0</v>
          </cell>
        </row>
      </sheetData>
      <sheetData sheetId="12717">
        <row r="19">
          <cell r="J19">
            <v>0</v>
          </cell>
        </row>
      </sheetData>
      <sheetData sheetId="12718">
        <row r="19">
          <cell r="J19">
            <v>0</v>
          </cell>
        </row>
      </sheetData>
      <sheetData sheetId="12719">
        <row r="19">
          <cell r="J19">
            <v>0</v>
          </cell>
        </row>
      </sheetData>
      <sheetData sheetId="12720">
        <row r="19">
          <cell r="J19">
            <v>0</v>
          </cell>
        </row>
      </sheetData>
      <sheetData sheetId="12721">
        <row r="19">
          <cell r="J19">
            <v>0</v>
          </cell>
        </row>
      </sheetData>
      <sheetData sheetId="12722">
        <row r="19">
          <cell r="J19">
            <v>0</v>
          </cell>
        </row>
      </sheetData>
      <sheetData sheetId="12723">
        <row r="19">
          <cell r="J19">
            <v>0</v>
          </cell>
        </row>
      </sheetData>
      <sheetData sheetId="12724">
        <row r="19">
          <cell r="J19">
            <v>0</v>
          </cell>
        </row>
      </sheetData>
      <sheetData sheetId="12725">
        <row r="19">
          <cell r="J19">
            <v>1.0499999999999999E-3</v>
          </cell>
        </row>
      </sheetData>
      <sheetData sheetId="12726">
        <row r="19">
          <cell r="J19">
            <v>0</v>
          </cell>
        </row>
      </sheetData>
      <sheetData sheetId="12727">
        <row r="19">
          <cell r="J19">
            <v>1.0499999999999999E-3</v>
          </cell>
        </row>
      </sheetData>
      <sheetData sheetId="12728">
        <row r="5">
          <cell r="I5">
            <v>0</v>
          </cell>
        </row>
      </sheetData>
      <sheetData sheetId="12729">
        <row r="19">
          <cell r="J19">
            <v>1.0499999999999999E-3</v>
          </cell>
        </row>
      </sheetData>
      <sheetData sheetId="12730">
        <row r="5">
          <cell r="I5">
            <v>0</v>
          </cell>
        </row>
      </sheetData>
      <sheetData sheetId="12731"/>
      <sheetData sheetId="12732"/>
      <sheetData sheetId="12733">
        <row r="19">
          <cell r="J19">
            <v>1.0499999999999999E-3</v>
          </cell>
        </row>
      </sheetData>
      <sheetData sheetId="12734">
        <row r="19">
          <cell r="J19">
            <v>1.0499999999999999E-3</v>
          </cell>
        </row>
      </sheetData>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row r="5">
          <cell r="I5">
            <v>0</v>
          </cell>
        </row>
      </sheetData>
      <sheetData sheetId="12748">
        <row r="5">
          <cell r="I5">
            <v>0</v>
          </cell>
        </row>
      </sheetData>
      <sheetData sheetId="12749"/>
      <sheetData sheetId="12750"/>
      <sheetData sheetId="12751">
        <row r="5">
          <cell r="I5">
            <v>0</v>
          </cell>
        </row>
      </sheetData>
      <sheetData sheetId="12752"/>
      <sheetData sheetId="12753"/>
      <sheetData sheetId="12754"/>
      <sheetData sheetId="12755"/>
      <sheetData sheetId="12756">
        <row r="19">
          <cell r="J19">
            <v>1.0499999999999999E-3</v>
          </cell>
        </row>
      </sheetData>
      <sheetData sheetId="12757">
        <row r="19">
          <cell r="J19">
            <v>1.0499999999999999E-3</v>
          </cell>
        </row>
      </sheetData>
      <sheetData sheetId="12758"/>
      <sheetData sheetId="12759"/>
      <sheetData sheetId="12760"/>
      <sheetData sheetId="12761">
        <row r="5">
          <cell r="I5">
            <v>0</v>
          </cell>
        </row>
      </sheetData>
      <sheetData sheetId="12762">
        <row r="5">
          <cell r="I5">
            <v>0</v>
          </cell>
        </row>
      </sheetData>
      <sheetData sheetId="12763">
        <row r="5">
          <cell r="I5">
            <v>0</v>
          </cell>
        </row>
      </sheetData>
      <sheetData sheetId="12764">
        <row r="5">
          <cell r="I5">
            <v>0</v>
          </cell>
        </row>
      </sheetData>
      <sheetData sheetId="12765">
        <row r="5">
          <cell r="I5">
            <v>0</v>
          </cell>
        </row>
      </sheetData>
      <sheetData sheetId="12766">
        <row r="5">
          <cell r="I5">
            <v>0</v>
          </cell>
        </row>
      </sheetData>
      <sheetData sheetId="12767">
        <row r="19">
          <cell r="J19">
            <v>1.0499999999999999E-3</v>
          </cell>
        </row>
      </sheetData>
      <sheetData sheetId="12768">
        <row r="19">
          <cell r="J19">
            <v>1.0499999999999999E-3</v>
          </cell>
        </row>
      </sheetData>
      <sheetData sheetId="12769">
        <row r="5">
          <cell r="I5">
            <v>0</v>
          </cell>
        </row>
      </sheetData>
      <sheetData sheetId="12770">
        <row r="19">
          <cell r="J19">
            <v>1.0499999999999999E-3</v>
          </cell>
        </row>
      </sheetData>
      <sheetData sheetId="12771">
        <row r="19">
          <cell r="J19">
            <v>1.0499999999999999E-3</v>
          </cell>
        </row>
      </sheetData>
      <sheetData sheetId="12772">
        <row r="19">
          <cell r="J19">
            <v>1.0499999999999999E-3</v>
          </cell>
        </row>
      </sheetData>
      <sheetData sheetId="12773">
        <row r="5">
          <cell r="I5">
            <v>0</v>
          </cell>
        </row>
      </sheetData>
      <sheetData sheetId="12774">
        <row r="5">
          <cell r="I5">
            <v>0</v>
          </cell>
        </row>
      </sheetData>
      <sheetData sheetId="12775">
        <row r="5">
          <cell r="I5">
            <v>0</v>
          </cell>
        </row>
      </sheetData>
      <sheetData sheetId="12776">
        <row r="19">
          <cell r="J19">
            <v>1.0499999999999999E-3</v>
          </cell>
        </row>
      </sheetData>
      <sheetData sheetId="12777">
        <row r="19">
          <cell r="J19">
            <v>1.0499999999999999E-3</v>
          </cell>
        </row>
      </sheetData>
      <sheetData sheetId="12778">
        <row r="19">
          <cell r="J19">
            <v>1.0499999999999999E-3</v>
          </cell>
        </row>
      </sheetData>
      <sheetData sheetId="12779">
        <row r="19">
          <cell r="J19">
            <v>1.0499999999999999E-3</v>
          </cell>
        </row>
      </sheetData>
      <sheetData sheetId="12780">
        <row r="19">
          <cell r="J19">
            <v>1.0499999999999999E-3</v>
          </cell>
        </row>
      </sheetData>
      <sheetData sheetId="12781">
        <row r="19">
          <cell r="J19">
            <v>1.0499999999999999E-3</v>
          </cell>
        </row>
      </sheetData>
      <sheetData sheetId="12782">
        <row r="5">
          <cell r="I5">
            <v>0</v>
          </cell>
        </row>
      </sheetData>
      <sheetData sheetId="12783">
        <row r="19">
          <cell r="J19">
            <v>1.0499999999999999E-3</v>
          </cell>
        </row>
      </sheetData>
      <sheetData sheetId="12784">
        <row r="19">
          <cell r="J19">
            <v>1.0499999999999999E-3</v>
          </cell>
        </row>
      </sheetData>
      <sheetData sheetId="12785">
        <row r="19">
          <cell r="J19">
            <v>1.0499999999999999E-3</v>
          </cell>
        </row>
      </sheetData>
      <sheetData sheetId="12786">
        <row r="19">
          <cell r="J19">
            <v>1.0499999999999999E-3</v>
          </cell>
        </row>
      </sheetData>
      <sheetData sheetId="12787">
        <row r="19">
          <cell r="J19">
            <v>1.0499999999999999E-3</v>
          </cell>
        </row>
      </sheetData>
      <sheetData sheetId="12788">
        <row r="19">
          <cell r="J19">
            <v>1.0499999999999999E-3</v>
          </cell>
        </row>
      </sheetData>
      <sheetData sheetId="12789">
        <row r="19">
          <cell r="J19">
            <v>1.0499999999999999E-3</v>
          </cell>
        </row>
      </sheetData>
      <sheetData sheetId="12790">
        <row r="19">
          <cell r="J19">
            <v>1.0499999999999999E-3</v>
          </cell>
        </row>
      </sheetData>
      <sheetData sheetId="12791">
        <row r="19">
          <cell r="J19">
            <v>1.0499999999999999E-3</v>
          </cell>
        </row>
      </sheetData>
      <sheetData sheetId="12792">
        <row r="19">
          <cell r="J19">
            <v>1.0499999999999999E-3</v>
          </cell>
        </row>
      </sheetData>
      <sheetData sheetId="12793">
        <row r="5">
          <cell r="I5">
            <v>0</v>
          </cell>
        </row>
      </sheetData>
      <sheetData sheetId="12794">
        <row r="5">
          <cell r="I5">
            <v>0</v>
          </cell>
        </row>
      </sheetData>
      <sheetData sheetId="12795">
        <row r="19">
          <cell r="J19">
            <v>1.0499999999999999E-3</v>
          </cell>
        </row>
      </sheetData>
      <sheetData sheetId="12796">
        <row r="19">
          <cell r="J19">
            <v>1.0499999999999999E-3</v>
          </cell>
        </row>
      </sheetData>
      <sheetData sheetId="12797">
        <row r="19">
          <cell r="J19">
            <v>1.0499999999999999E-3</v>
          </cell>
        </row>
      </sheetData>
      <sheetData sheetId="12798">
        <row r="19">
          <cell r="J19">
            <v>1.0499999999999999E-3</v>
          </cell>
        </row>
      </sheetData>
      <sheetData sheetId="12799">
        <row r="19">
          <cell r="J19">
            <v>1.0499999999999999E-3</v>
          </cell>
        </row>
      </sheetData>
      <sheetData sheetId="12800">
        <row r="5">
          <cell r="I5">
            <v>0</v>
          </cell>
        </row>
      </sheetData>
      <sheetData sheetId="12801">
        <row r="19">
          <cell r="J19">
            <v>1.0499999999999999E-3</v>
          </cell>
        </row>
      </sheetData>
      <sheetData sheetId="12802">
        <row r="5">
          <cell r="I5">
            <v>0</v>
          </cell>
        </row>
      </sheetData>
      <sheetData sheetId="12803">
        <row r="5">
          <cell r="I5">
            <v>0</v>
          </cell>
        </row>
      </sheetData>
      <sheetData sheetId="12804">
        <row r="5">
          <cell r="I5">
            <v>0</v>
          </cell>
        </row>
      </sheetData>
      <sheetData sheetId="12805">
        <row r="19">
          <cell r="J19">
            <v>1.0499999999999999E-3</v>
          </cell>
        </row>
      </sheetData>
      <sheetData sheetId="12806">
        <row r="19">
          <cell r="J19">
            <v>1.0499999999999999E-3</v>
          </cell>
        </row>
      </sheetData>
      <sheetData sheetId="12807">
        <row r="5">
          <cell r="I5">
            <v>0</v>
          </cell>
        </row>
      </sheetData>
      <sheetData sheetId="12808">
        <row r="19">
          <cell r="J19">
            <v>1.0499999999999999E-3</v>
          </cell>
        </row>
      </sheetData>
      <sheetData sheetId="12809">
        <row r="19">
          <cell r="J19">
            <v>1.0499999999999999E-3</v>
          </cell>
        </row>
      </sheetData>
      <sheetData sheetId="12810">
        <row r="19">
          <cell r="J19">
            <v>1.0499999999999999E-3</v>
          </cell>
        </row>
      </sheetData>
      <sheetData sheetId="12811">
        <row r="5">
          <cell r="I5">
            <v>0</v>
          </cell>
        </row>
      </sheetData>
      <sheetData sheetId="12812">
        <row r="5">
          <cell r="I5">
            <v>0</v>
          </cell>
        </row>
      </sheetData>
      <sheetData sheetId="12813">
        <row r="5">
          <cell r="I5">
            <v>0</v>
          </cell>
        </row>
      </sheetData>
      <sheetData sheetId="12814">
        <row r="5">
          <cell r="I5">
            <v>0</v>
          </cell>
        </row>
      </sheetData>
      <sheetData sheetId="12815">
        <row r="19">
          <cell r="J19">
            <v>1.0499999999999999E-3</v>
          </cell>
        </row>
      </sheetData>
      <sheetData sheetId="12816">
        <row r="5">
          <cell r="I5">
            <v>0</v>
          </cell>
        </row>
      </sheetData>
      <sheetData sheetId="12817">
        <row r="19">
          <cell r="J19">
            <v>1.0499999999999999E-3</v>
          </cell>
        </row>
      </sheetData>
      <sheetData sheetId="12818">
        <row r="5">
          <cell r="I5">
            <v>0</v>
          </cell>
        </row>
      </sheetData>
      <sheetData sheetId="12819">
        <row r="19">
          <cell r="J19">
            <v>1.0499999999999999E-3</v>
          </cell>
        </row>
      </sheetData>
      <sheetData sheetId="12820">
        <row r="19">
          <cell r="J19">
            <v>1.0499999999999999E-3</v>
          </cell>
        </row>
      </sheetData>
      <sheetData sheetId="12821">
        <row r="19">
          <cell r="J19">
            <v>1.0499999999999999E-3</v>
          </cell>
        </row>
      </sheetData>
      <sheetData sheetId="12822">
        <row r="19">
          <cell r="J19">
            <v>1.0499999999999999E-3</v>
          </cell>
        </row>
      </sheetData>
      <sheetData sheetId="12823">
        <row r="5">
          <cell r="I5">
            <v>0</v>
          </cell>
        </row>
      </sheetData>
      <sheetData sheetId="12824">
        <row r="5">
          <cell r="I5">
            <v>0</v>
          </cell>
        </row>
      </sheetData>
      <sheetData sheetId="12825">
        <row r="5">
          <cell r="I5">
            <v>0</v>
          </cell>
        </row>
      </sheetData>
      <sheetData sheetId="12826">
        <row r="5">
          <cell r="I5">
            <v>0</v>
          </cell>
        </row>
      </sheetData>
      <sheetData sheetId="12827">
        <row r="5">
          <cell r="I5">
            <v>0</v>
          </cell>
        </row>
      </sheetData>
      <sheetData sheetId="12828">
        <row r="5">
          <cell r="I5">
            <v>0</v>
          </cell>
        </row>
      </sheetData>
      <sheetData sheetId="12829">
        <row r="5">
          <cell r="I5">
            <v>0</v>
          </cell>
        </row>
      </sheetData>
      <sheetData sheetId="12830">
        <row r="5">
          <cell r="I5">
            <v>0</v>
          </cell>
        </row>
      </sheetData>
      <sheetData sheetId="12831">
        <row r="5">
          <cell r="I5">
            <v>0</v>
          </cell>
        </row>
      </sheetData>
      <sheetData sheetId="12832">
        <row r="5">
          <cell r="I5">
            <v>0</v>
          </cell>
        </row>
      </sheetData>
      <sheetData sheetId="12833">
        <row r="5">
          <cell r="I5">
            <v>0</v>
          </cell>
        </row>
      </sheetData>
      <sheetData sheetId="12834">
        <row r="5">
          <cell r="I5">
            <v>0</v>
          </cell>
        </row>
      </sheetData>
      <sheetData sheetId="12835">
        <row r="19">
          <cell r="J19">
            <v>1.0499999999999999E-3</v>
          </cell>
        </row>
      </sheetData>
      <sheetData sheetId="12836">
        <row r="19">
          <cell r="J19">
            <v>1.0499999999999999E-3</v>
          </cell>
        </row>
      </sheetData>
      <sheetData sheetId="12837">
        <row r="19">
          <cell r="J19">
            <v>1.0499999999999999E-3</v>
          </cell>
        </row>
      </sheetData>
      <sheetData sheetId="12838">
        <row r="19">
          <cell r="J19">
            <v>1.0499999999999999E-3</v>
          </cell>
        </row>
      </sheetData>
      <sheetData sheetId="12839">
        <row r="19">
          <cell r="J19">
            <v>1.0499999999999999E-3</v>
          </cell>
        </row>
      </sheetData>
      <sheetData sheetId="12840">
        <row r="19">
          <cell r="J19">
            <v>1.0499999999999999E-3</v>
          </cell>
        </row>
      </sheetData>
      <sheetData sheetId="12841">
        <row r="19">
          <cell r="J19">
            <v>1.0499999999999999E-3</v>
          </cell>
        </row>
      </sheetData>
      <sheetData sheetId="12842">
        <row r="19">
          <cell r="J19">
            <v>1.0499999999999999E-3</v>
          </cell>
        </row>
      </sheetData>
      <sheetData sheetId="12843">
        <row r="19">
          <cell r="J19">
            <v>1.0499999999999999E-3</v>
          </cell>
        </row>
      </sheetData>
      <sheetData sheetId="12844">
        <row r="19">
          <cell r="J19">
            <v>1.0499999999999999E-3</v>
          </cell>
        </row>
      </sheetData>
      <sheetData sheetId="12845"/>
      <sheetData sheetId="12846">
        <row r="19">
          <cell r="J19">
            <v>1.0499999999999999E-3</v>
          </cell>
        </row>
      </sheetData>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row r="5">
          <cell r="I5">
            <v>0</v>
          </cell>
        </row>
      </sheetData>
      <sheetData sheetId="12860">
        <row r="5">
          <cell r="I5">
            <v>0</v>
          </cell>
        </row>
      </sheetData>
      <sheetData sheetId="12861"/>
      <sheetData sheetId="12862"/>
      <sheetData sheetId="12863"/>
      <sheetData sheetId="12864"/>
      <sheetData sheetId="12865">
        <row r="5">
          <cell r="I5">
            <v>0</v>
          </cell>
        </row>
      </sheetData>
      <sheetData sheetId="12866">
        <row r="5">
          <cell r="I5">
            <v>0</v>
          </cell>
        </row>
      </sheetData>
      <sheetData sheetId="12867">
        <row r="19">
          <cell r="J19">
            <v>1.0499999999999999E-3</v>
          </cell>
        </row>
      </sheetData>
      <sheetData sheetId="12868">
        <row r="19">
          <cell r="J19">
            <v>1.0499999999999999E-3</v>
          </cell>
        </row>
      </sheetData>
      <sheetData sheetId="12869">
        <row r="19">
          <cell r="J19">
            <v>1.0499999999999999E-3</v>
          </cell>
        </row>
      </sheetData>
      <sheetData sheetId="12870">
        <row r="19">
          <cell r="J19">
            <v>1.0499999999999999E-3</v>
          </cell>
        </row>
      </sheetData>
      <sheetData sheetId="12871">
        <row r="5">
          <cell r="I5">
            <v>0</v>
          </cell>
        </row>
      </sheetData>
      <sheetData sheetId="12872">
        <row r="5">
          <cell r="I5">
            <v>0</v>
          </cell>
        </row>
      </sheetData>
      <sheetData sheetId="12873">
        <row r="5">
          <cell r="I5">
            <v>0</v>
          </cell>
        </row>
      </sheetData>
      <sheetData sheetId="12874">
        <row r="5">
          <cell r="I5">
            <v>0</v>
          </cell>
        </row>
      </sheetData>
      <sheetData sheetId="12875">
        <row r="5">
          <cell r="I5">
            <v>0</v>
          </cell>
        </row>
      </sheetData>
      <sheetData sheetId="12876">
        <row r="5">
          <cell r="I5">
            <v>0</v>
          </cell>
        </row>
      </sheetData>
      <sheetData sheetId="12877">
        <row r="5">
          <cell r="I5">
            <v>0</v>
          </cell>
        </row>
      </sheetData>
      <sheetData sheetId="12878">
        <row r="5">
          <cell r="I5">
            <v>0</v>
          </cell>
        </row>
      </sheetData>
      <sheetData sheetId="12879">
        <row r="19">
          <cell r="J19">
            <v>1.0499999999999999E-3</v>
          </cell>
        </row>
      </sheetData>
      <sheetData sheetId="12880">
        <row r="19">
          <cell r="J19">
            <v>1.0499999999999999E-3</v>
          </cell>
        </row>
      </sheetData>
      <sheetData sheetId="12881">
        <row r="5">
          <cell r="I5">
            <v>0</v>
          </cell>
        </row>
      </sheetData>
      <sheetData sheetId="12882">
        <row r="5">
          <cell r="I5">
            <v>0</v>
          </cell>
        </row>
      </sheetData>
      <sheetData sheetId="12883">
        <row r="19">
          <cell r="J19">
            <v>1.0499999999999999E-3</v>
          </cell>
        </row>
      </sheetData>
      <sheetData sheetId="12884">
        <row r="19">
          <cell r="J19">
            <v>1.0499999999999999E-3</v>
          </cell>
        </row>
      </sheetData>
      <sheetData sheetId="12885">
        <row r="19">
          <cell r="J19">
            <v>1.0499999999999999E-3</v>
          </cell>
        </row>
      </sheetData>
      <sheetData sheetId="12886">
        <row r="19">
          <cell r="J19">
            <v>1.0499999999999999E-3</v>
          </cell>
        </row>
      </sheetData>
      <sheetData sheetId="12887">
        <row r="19">
          <cell r="J19">
            <v>1.0499999999999999E-3</v>
          </cell>
        </row>
      </sheetData>
      <sheetData sheetId="12888">
        <row r="5">
          <cell r="I5">
            <v>0</v>
          </cell>
        </row>
      </sheetData>
      <sheetData sheetId="12889">
        <row r="5">
          <cell r="I5">
            <v>0</v>
          </cell>
        </row>
      </sheetData>
      <sheetData sheetId="12890">
        <row r="5">
          <cell r="I5">
            <v>0</v>
          </cell>
        </row>
      </sheetData>
      <sheetData sheetId="12891">
        <row r="19">
          <cell r="J19">
            <v>1.0499999999999999E-3</v>
          </cell>
        </row>
      </sheetData>
      <sheetData sheetId="12892">
        <row r="19">
          <cell r="J19">
            <v>1.0499999999999999E-3</v>
          </cell>
        </row>
      </sheetData>
      <sheetData sheetId="12893">
        <row r="19">
          <cell r="J19">
            <v>1.0499999999999999E-3</v>
          </cell>
        </row>
      </sheetData>
      <sheetData sheetId="12894">
        <row r="19">
          <cell r="J19">
            <v>1.0499999999999999E-3</v>
          </cell>
        </row>
      </sheetData>
      <sheetData sheetId="12895">
        <row r="19">
          <cell r="J19">
            <v>1.0499999999999999E-3</v>
          </cell>
        </row>
      </sheetData>
      <sheetData sheetId="12896">
        <row r="19">
          <cell r="J19">
            <v>1.0499999999999999E-3</v>
          </cell>
        </row>
      </sheetData>
      <sheetData sheetId="12897">
        <row r="19">
          <cell r="J19">
            <v>1.0499999999999999E-3</v>
          </cell>
        </row>
      </sheetData>
      <sheetData sheetId="12898">
        <row r="19">
          <cell r="J19">
            <v>1.0499999999999999E-3</v>
          </cell>
        </row>
      </sheetData>
      <sheetData sheetId="12899">
        <row r="19">
          <cell r="J19">
            <v>1.0499999999999999E-3</v>
          </cell>
        </row>
      </sheetData>
      <sheetData sheetId="12900">
        <row r="19">
          <cell r="J19">
            <v>1.0499999999999999E-3</v>
          </cell>
        </row>
      </sheetData>
      <sheetData sheetId="12901">
        <row r="19">
          <cell r="J19">
            <v>1.0499999999999999E-3</v>
          </cell>
        </row>
      </sheetData>
      <sheetData sheetId="12902">
        <row r="19">
          <cell r="J19">
            <v>1.0499999999999999E-3</v>
          </cell>
        </row>
      </sheetData>
      <sheetData sheetId="12903">
        <row r="19">
          <cell r="J19">
            <v>1.0499999999999999E-3</v>
          </cell>
        </row>
      </sheetData>
      <sheetData sheetId="12904">
        <row r="19">
          <cell r="J19">
            <v>1.0499999999999999E-3</v>
          </cell>
        </row>
      </sheetData>
      <sheetData sheetId="12905">
        <row r="19">
          <cell r="J19">
            <v>1.0499999999999999E-3</v>
          </cell>
        </row>
      </sheetData>
      <sheetData sheetId="12906">
        <row r="19">
          <cell r="J19">
            <v>1.0499999999999999E-3</v>
          </cell>
        </row>
      </sheetData>
      <sheetData sheetId="12907">
        <row r="19">
          <cell r="J19">
            <v>1.0499999999999999E-3</v>
          </cell>
        </row>
      </sheetData>
      <sheetData sheetId="12908">
        <row r="19">
          <cell r="J19">
            <v>1.0499999999999999E-3</v>
          </cell>
        </row>
      </sheetData>
      <sheetData sheetId="12909">
        <row r="19">
          <cell r="J19">
            <v>1.0499999999999999E-3</v>
          </cell>
        </row>
      </sheetData>
      <sheetData sheetId="12910">
        <row r="19">
          <cell r="J19">
            <v>1.0499999999999999E-3</v>
          </cell>
        </row>
      </sheetData>
      <sheetData sheetId="12911">
        <row r="19">
          <cell r="J19">
            <v>1.0499999999999999E-3</v>
          </cell>
        </row>
      </sheetData>
      <sheetData sheetId="12912">
        <row r="19">
          <cell r="J19">
            <v>1.0499999999999999E-3</v>
          </cell>
        </row>
      </sheetData>
      <sheetData sheetId="12913">
        <row r="19">
          <cell r="J19">
            <v>1.0499999999999999E-3</v>
          </cell>
        </row>
      </sheetData>
      <sheetData sheetId="12914">
        <row r="19">
          <cell r="J19">
            <v>1.0499999999999999E-3</v>
          </cell>
        </row>
      </sheetData>
      <sheetData sheetId="12915">
        <row r="5">
          <cell r="I5">
            <v>0</v>
          </cell>
        </row>
      </sheetData>
      <sheetData sheetId="12916">
        <row r="5">
          <cell r="I5">
            <v>0</v>
          </cell>
        </row>
      </sheetData>
      <sheetData sheetId="12917">
        <row r="5">
          <cell r="I5">
            <v>0</v>
          </cell>
        </row>
      </sheetData>
      <sheetData sheetId="12918">
        <row r="5">
          <cell r="I5">
            <v>0</v>
          </cell>
        </row>
      </sheetData>
      <sheetData sheetId="12919">
        <row r="5">
          <cell r="I5">
            <v>0</v>
          </cell>
        </row>
      </sheetData>
      <sheetData sheetId="12920">
        <row r="5">
          <cell r="I5">
            <v>0</v>
          </cell>
        </row>
      </sheetData>
      <sheetData sheetId="12921">
        <row r="5">
          <cell r="I5">
            <v>0</v>
          </cell>
        </row>
      </sheetData>
      <sheetData sheetId="12922">
        <row r="5">
          <cell r="I5">
            <v>0</v>
          </cell>
        </row>
      </sheetData>
      <sheetData sheetId="12923">
        <row r="5">
          <cell r="I5">
            <v>0</v>
          </cell>
        </row>
      </sheetData>
      <sheetData sheetId="12924">
        <row r="5">
          <cell r="I5">
            <v>0</v>
          </cell>
        </row>
      </sheetData>
      <sheetData sheetId="12925">
        <row r="5">
          <cell r="I5">
            <v>0</v>
          </cell>
        </row>
      </sheetData>
      <sheetData sheetId="12926">
        <row r="5">
          <cell r="I5">
            <v>0</v>
          </cell>
        </row>
      </sheetData>
      <sheetData sheetId="12927">
        <row r="5">
          <cell r="I5">
            <v>0</v>
          </cell>
        </row>
      </sheetData>
      <sheetData sheetId="12928">
        <row r="5">
          <cell r="I5">
            <v>0</v>
          </cell>
        </row>
      </sheetData>
      <sheetData sheetId="12929">
        <row r="19">
          <cell r="J19">
            <v>1.0499999999999999E-3</v>
          </cell>
        </row>
      </sheetData>
      <sheetData sheetId="12930">
        <row r="19">
          <cell r="J19">
            <v>1.0499999999999999E-3</v>
          </cell>
        </row>
      </sheetData>
      <sheetData sheetId="12931">
        <row r="19">
          <cell r="J19">
            <v>1.0499999999999999E-3</v>
          </cell>
        </row>
      </sheetData>
      <sheetData sheetId="12932">
        <row r="19">
          <cell r="J19">
            <v>1.0499999999999999E-3</v>
          </cell>
        </row>
      </sheetData>
      <sheetData sheetId="12933">
        <row r="19">
          <cell r="J19">
            <v>1.0499999999999999E-3</v>
          </cell>
        </row>
      </sheetData>
      <sheetData sheetId="12934">
        <row r="19">
          <cell r="J19">
            <v>1.0499999999999999E-3</v>
          </cell>
        </row>
      </sheetData>
      <sheetData sheetId="12935">
        <row r="5">
          <cell r="I5">
            <v>0</v>
          </cell>
        </row>
      </sheetData>
      <sheetData sheetId="12936">
        <row r="5">
          <cell r="I5">
            <v>0</v>
          </cell>
        </row>
      </sheetData>
      <sheetData sheetId="12937">
        <row r="19">
          <cell r="J19">
            <v>1.0499999999999999E-3</v>
          </cell>
        </row>
      </sheetData>
      <sheetData sheetId="12938">
        <row r="19">
          <cell r="J19">
            <v>1.0499999999999999E-3</v>
          </cell>
        </row>
      </sheetData>
      <sheetData sheetId="12939">
        <row r="19">
          <cell r="J19">
            <v>1.0499999999999999E-3</v>
          </cell>
        </row>
      </sheetData>
      <sheetData sheetId="12940">
        <row r="19">
          <cell r="J19">
            <v>1.0499999999999999E-3</v>
          </cell>
        </row>
      </sheetData>
      <sheetData sheetId="12941">
        <row r="19">
          <cell r="J19">
            <v>1.0499999999999999E-3</v>
          </cell>
        </row>
      </sheetData>
      <sheetData sheetId="12942">
        <row r="19">
          <cell r="J19">
            <v>1.0499999999999999E-3</v>
          </cell>
        </row>
      </sheetData>
      <sheetData sheetId="12943">
        <row r="19">
          <cell r="J19">
            <v>1.0499999999999999E-3</v>
          </cell>
        </row>
      </sheetData>
      <sheetData sheetId="12944">
        <row r="19">
          <cell r="J19">
            <v>1.0499999999999999E-3</v>
          </cell>
        </row>
      </sheetData>
      <sheetData sheetId="12945">
        <row r="19">
          <cell r="J19">
            <v>1.0499999999999999E-3</v>
          </cell>
        </row>
      </sheetData>
      <sheetData sheetId="12946">
        <row r="19">
          <cell r="J19">
            <v>1.0499999999999999E-3</v>
          </cell>
        </row>
      </sheetData>
      <sheetData sheetId="12947">
        <row r="19">
          <cell r="J19">
            <v>1.0499999999999999E-3</v>
          </cell>
        </row>
      </sheetData>
      <sheetData sheetId="12948">
        <row r="19">
          <cell r="J19">
            <v>1.0499999999999999E-3</v>
          </cell>
        </row>
      </sheetData>
      <sheetData sheetId="12949">
        <row r="19">
          <cell r="J19">
            <v>1.0499999999999999E-3</v>
          </cell>
        </row>
      </sheetData>
      <sheetData sheetId="12950">
        <row r="19">
          <cell r="J19">
            <v>1.0499999999999999E-3</v>
          </cell>
        </row>
      </sheetData>
      <sheetData sheetId="12951">
        <row r="19">
          <cell r="J19">
            <v>1.0499999999999999E-3</v>
          </cell>
        </row>
      </sheetData>
      <sheetData sheetId="12952">
        <row r="19">
          <cell r="J19">
            <v>1.0499999999999999E-3</v>
          </cell>
        </row>
      </sheetData>
      <sheetData sheetId="12953">
        <row r="19">
          <cell r="J19">
            <v>1.0499999999999999E-3</v>
          </cell>
        </row>
      </sheetData>
      <sheetData sheetId="12954">
        <row r="19">
          <cell r="J19">
            <v>1.0499999999999999E-3</v>
          </cell>
        </row>
      </sheetData>
      <sheetData sheetId="12955">
        <row r="19">
          <cell r="J19">
            <v>1.0499999999999999E-3</v>
          </cell>
        </row>
      </sheetData>
      <sheetData sheetId="12956">
        <row r="19">
          <cell r="J19">
            <v>1.0499999999999999E-3</v>
          </cell>
        </row>
      </sheetData>
      <sheetData sheetId="12957">
        <row r="19">
          <cell r="J19">
            <v>1.0499999999999999E-3</v>
          </cell>
        </row>
      </sheetData>
      <sheetData sheetId="12958">
        <row r="19">
          <cell r="J19">
            <v>1.0499999999999999E-3</v>
          </cell>
        </row>
      </sheetData>
      <sheetData sheetId="12959">
        <row r="19">
          <cell r="J19">
            <v>1.0499999999999999E-3</v>
          </cell>
        </row>
      </sheetData>
      <sheetData sheetId="12960">
        <row r="19">
          <cell r="J19">
            <v>1.0499999999999999E-3</v>
          </cell>
        </row>
      </sheetData>
      <sheetData sheetId="12961"/>
      <sheetData sheetId="12962">
        <row r="19">
          <cell r="J19">
            <v>1.0499999999999999E-3</v>
          </cell>
        </row>
      </sheetData>
      <sheetData sheetId="12963"/>
      <sheetData sheetId="12964"/>
      <sheetData sheetId="12965"/>
      <sheetData sheetId="12966"/>
      <sheetData sheetId="12967"/>
      <sheetData sheetId="12968"/>
      <sheetData sheetId="12969"/>
      <sheetData sheetId="12970"/>
      <sheetData sheetId="12971"/>
      <sheetData sheetId="12972"/>
      <sheetData sheetId="12973"/>
      <sheetData sheetId="12974"/>
      <sheetData sheetId="12975">
        <row r="19">
          <cell r="J19">
            <v>1.0499999999999999E-3</v>
          </cell>
        </row>
      </sheetData>
      <sheetData sheetId="12976">
        <row r="19">
          <cell r="J19">
            <v>1.0499999999999999E-3</v>
          </cell>
        </row>
      </sheetData>
      <sheetData sheetId="12977"/>
      <sheetData sheetId="12978"/>
      <sheetData sheetId="12979"/>
      <sheetData sheetId="12980"/>
      <sheetData sheetId="12981"/>
      <sheetData sheetId="12982">
        <row r="19">
          <cell r="J19">
            <v>1.0499999999999999E-3</v>
          </cell>
        </row>
      </sheetData>
      <sheetData sheetId="12983">
        <row r="19">
          <cell r="J19">
            <v>1.0499999999999999E-3</v>
          </cell>
        </row>
      </sheetData>
      <sheetData sheetId="12984">
        <row r="19">
          <cell r="J19">
            <v>1.0499999999999999E-3</v>
          </cell>
        </row>
      </sheetData>
      <sheetData sheetId="12985">
        <row r="19">
          <cell r="J19">
            <v>1.0499999999999999E-3</v>
          </cell>
        </row>
      </sheetData>
      <sheetData sheetId="12986">
        <row r="19">
          <cell r="J19">
            <v>1.0499999999999999E-3</v>
          </cell>
        </row>
      </sheetData>
      <sheetData sheetId="12987">
        <row r="19">
          <cell r="J19">
            <v>1.0499999999999999E-3</v>
          </cell>
        </row>
      </sheetData>
      <sheetData sheetId="12988">
        <row r="19">
          <cell r="J19">
            <v>1.0499999999999999E-3</v>
          </cell>
        </row>
      </sheetData>
      <sheetData sheetId="12989">
        <row r="19">
          <cell r="J19">
            <v>1.0499999999999999E-3</v>
          </cell>
        </row>
      </sheetData>
      <sheetData sheetId="12990">
        <row r="19">
          <cell r="J19">
            <v>1.0499999999999999E-3</v>
          </cell>
        </row>
      </sheetData>
      <sheetData sheetId="12991"/>
      <sheetData sheetId="12992"/>
      <sheetData sheetId="12993"/>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sheetData sheetId="13003"/>
      <sheetData sheetId="13004"/>
      <sheetData sheetId="13005"/>
      <sheetData sheetId="13006">
        <row r="19">
          <cell r="J19">
            <v>1.0499999999999999E-3</v>
          </cell>
        </row>
      </sheetData>
      <sheetData sheetId="13007">
        <row r="5">
          <cell r="I5">
            <v>0</v>
          </cell>
        </row>
      </sheetData>
      <sheetData sheetId="13008">
        <row r="5">
          <cell r="I5">
            <v>0</v>
          </cell>
        </row>
      </sheetData>
      <sheetData sheetId="13009"/>
      <sheetData sheetId="13010"/>
      <sheetData sheetId="13011"/>
      <sheetData sheetId="13012"/>
      <sheetData sheetId="13013"/>
      <sheetData sheetId="13014"/>
      <sheetData sheetId="13015"/>
      <sheetData sheetId="13016"/>
      <sheetData sheetId="13017">
        <row r="19">
          <cell r="J19">
            <v>1.0499999999999999E-3</v>
          </cell>
        </row>
      </sheetData>
      <sheetData sheetId="13018">
        <row r="5">
          <cell r="I5">
            <v>0</v>
          </cell>
        </row>
      </sheetData>
      <sheetData sheetId="13019">
        <row r="5">
          <cell r="I5">
            <v>0</v>
          </cell>
        </row>
      </sheetData>
      <sheetData sheetId="13020" refreshError="1"/>
      <sheetData sheetId="13021" refreshError="1"/>
      <sheetData sheetId="13022">
        <row r="19">
          <cell r="J19">
            <v>1.0499999999999999E-3</v>
          </cell>
        </row>
      </sheetData>
      <sheetData sheetId="13023">
        <row r="5">
          <cell r="I5">
            <v>0</v>
          </cell>
        </row>
      </sheetData>
      <sheetData sheetId="13024">
        <row r="5">
          <cell r="I5">
            <v>0</v>
          </cell>
        </row>
      </sheetData>
      <sheetData sheetId="13025">
        <row r="19">
          <cell r="J19">
            <v>1.0499999999999999E-3</v>
          </cell>
        </row>
      </sheetData>
      <sheetData sheetId="13026">
        <row r="19">
          <cell r="J19">
            <v>1.0499999999999999E-3</v>
          </cell>
        </row>
      </sheetData>
      <sheetData sheetId="13027">
        <row r="19">
          <cell r="J19">
            <v>1.0499999999999999E-3</v>
          </cell>
        </row>
      </sheetData>
      <sheetData sheetId="13028">
        <row r="5">
          <cell r="I5">
            <v>0</v>
          </cell>
        </row>
      </sheetData>
      <sheetData sheetId="13029">
        <row r="5">
          <cell r="I5">
            <v>0</v>
          </cell>
        </row>
      </sheetData>
      <sheetData sheetId="13030">
        <row r="19">
          <cell r="J19">
            <v>1.0499999999999999E-3</v>
          </cell>
        </row>
      </sheetData>
      <sheetData sheetId="13031">
        <row r="19">
          <cell r="J19">
            <v>1.0499999999999999E-3</v>
          </cell>
        </row>
      </sheetData>
      <sheetData sheetId="13032">
        <row r="5">
          <cell r="I5">
            <v>0</v>
          </cell>
        </row>
      </sheetData>
      <sheetData sheetId="13033">
        <row r="19">
          <cell r="J19">
            <v>1.0499999999999999E-3</v>
          </cell>
        </row>
      </sheetData>
      <sheetData sheetId="13034">
        <row r="5">
          <cell r="I5">
            <v>0</v>
          </cell>
        </row>
      </sheetData>
      <sheetData sheetId="13035">
        <row r="19">
          <cell r="J19">
            <v>1.0499999999999999E-3</v>
          </cell>
        </row>
      </sheetData>
      <sheetData sheetId="13036">
        <row r="5">
          <cell r="I5">
            <v>0</v>
          </cell>
        </row>
      </sheetData>
      <sheetData sheetId="13037">
        <row r="5">
          <cell r="I5">
            <v>0</v>
          </cell>
        </row>
      </sheetData>
      <sheetData sheetId="13038">
        <row r="19">
          <cell r="J19">
            <v>1.0499999999999999E-3</v>
          </cell>
        </row>
      </sheetData>
      <sheetData sheetId="13039">
        <row r="5">
          <cell r="I5">
            <v>0</v>
          </cell>
        </row>
      </sheetData>
      <sheetData sheetId="13040">
        <row r="19">
          <cell r="J19">
            <v>1.0499999999999999E-3</v>
          </cell>
        </row>
      </sheetData>
      <sheetData sheetId="13041">
        <row r="5">
          <cell r="I5">
            <v>0</v>
          </cell>
        </row>
      </sheetData>
      <sheetData sheetId="13042">
        <row r="5">
          <cell r="I5">
            <v>0</v>
          </cell>
        </row>
      </sheetData>
      <sheetData sheetId="13043">
        <row r="19">
          <cell r="J19">
            <v>1.0499999999999999E-3</v>
          </cell>
        </row>
      </sheetData>
      <sheetData sheetId="13044">
        <row r="5">
          <cell r="I5">
            <v>0</v>
          </cell>
        </row>
      </sheetData>
      <sheetData sheetId="13045">
        <row r="19">
          <cell r="J19">
            <v>1.0499999999999999E-3</v>
          </cell>
        </row>
      </sheetData>
      <sheetData sheetId="13046">
        <row r="5">
          <cell r="I5">
            <v>0</v>
          </cell>
        </row>
      </sheetData>
      <sheetData sheetId="13047">
        <row r="5">
          <cell r="I5">
            <v>0</v>
          </cell>
        </row>
      </sheetData>
      <sheetData sheetId="13048">
        <row r="19">
          <cell r="J19">
            <v>1.0499999999999999E-3</v>
          </cell>
        </row>
      </sheetData>
      <sheetData sheetId="13049">
        <row r="5">
          <cell r="I5">
            <v>0</v>
          </cell>
        </row>
      </sheetData>
      <sheetData sheetId="13050">
        <row r="19">
          <cell r="J19">
            <v>1.0499999999999999E-3</v>
          </cell>
        </row>
      </sheetData>
      <sheetData sheetId="13051">
        <row r="5">
          <cell r="I5">
            <v>0</v>
          </cell>
        </row>
      </sheetData>
      <sheetData sheetId="13052">
        <row r="19">
          <cell r="J19">
            <v>1.0499999999999999E-3</v>
          </cell>
        </row>
      </sheetData>
      <sheetData sheetId="13053"/>
      <sheetData sheetId="13054">
        <row r="19">
          <cell r="J19">
            <v>1.0499999999999999E-3</v>
          </cell>
        </row>
      </sheetData>
      <sheetData sheetId="13055">
        <row r="19">
          <cell r="J19">
            <v>1.0499999999999999E-3</v>
          </cell>
        </row>
      </sheetData>
      <sheetData sheetId="13056">
        <row r="19">
          <cell r="J19">
            <v>1.0499999999999999E-3</v>
          </cell>
        </row>
      </sheetData>
      <sheetData sheetId="13057">
        <row r="19">
          <cell r="J19">
            <v>1.0499999999999999E-3</v>
          </cell>
        </row>
      </sheetData>
      <sheetData sheetId="13058"/>
      <sheetData sheetId="13059"/>
      <sheetData sheetId="13060">
        <row r="19">
          <cell r="J19">
            <v>1.0499999999999999E-3</v>
          </cell>
        </row>
      </sheetData>
      <sheetData sheetId="13061"/>
      <sheetData sheetId="13062"/>
      <sheetData sheetId="13063"/>
      <sheetData sheetId="13064"/>
      <sheetData sheetId="13065">
        <row r="19">
          <cell r="J19">
            <v>1.0499999999999999E-3</v>
          </cell>
        </row>
      </sheetData>
      <sheetData sheetId="13066"/>
      <sheetData sheetId="13067"/>
      <sheetData sheetId="13068"/>
      <sheetData sheetId="13069" refreshError="1"/>
      <sheetData sheetId="13070" refreshError="1"/>
      <sheetData sheetId="13071" refreshError="1"/>
      <sheetData sheetId="13072" refreshError="1"/>
      <sheetData sheetId="13073"/>
      <sheetData sheetId="13074" refreshError="1"/>
      <sheetData sheetId="13075" refreshError="1"/>
      <sheetData sheetId="13076" refreshError="1"/>
      <sheetData sheetId="13077" refreshError="1"/>
      <sheetData sheetId="13078"/>
      <sheetData sheetId="13079">
        <row r="5">
          <cell r="I5">
            <v>0</v>
          </cell>
        </row>
      </sheetData>
      <sheetData sheetId="13080">
        <row r="19">
          <cell r="J19">
            <v>1.0499999999999999E-3</v>
          </cell>
        </row>
      </sheetData>
      <sheetData sheetId="13081"/>
      <sheetData sheetId="13082" refreshError="1"/>
      <sheetData sheetId="13083" refreshError="1"/>
      <sheetData sheetId="13084">
        <row r="5">
          <cell r="I5">
            <v>0</v>
          </cell>
        </row>
      </sheetData>
      <sheetData sheetId="13085">
        <row r="19">
          <cell r="J19">
            <v>1.0499999999999999E-3</v>
          </cell>
        </row>
      </sheetData>
      <sheetData sheetId="13086" refreshError="1"/>
      <sheetData sheetId="13087" refreshError="1"/>
      <sheetData sheetId="13088" refreshError="1"/>
      <sheetData sheetId="13089" refreshError="1"/>
      <sheetData sheetId="13090" refreshError="1"/>
      <sheetData sheetId="13091">
        <row r="5">
          <cell r="I5">
            <v>0</v>
          </cell>
        </row>
      </sheetData>
      <sheetData sheetId="13092">
        <row r="5">
          <cell r="I5">
            <v>0</v>
          </cell>
        </row>
      </sheetData>
      <sheetData sheetId="13093" refreshError="1"/>
      <sheetData sheetId="13094" refreshError="1"/>
      <sheetData sheetId="13095" refreshError="1"/>
      <sheetData sheetId="13096" refreshError="1"/>
      <sheetData sheetId="13097" refreshError="1"/>
      <sheetData sheetId="13098"/>
      <sheetData sheetId="13099"/>
      <sheetData sheetId="13100">
        <row r="5">
          <cell r="I5">
            <v>0</v>
          </cell>
        </row>
      </sheetData>
      <sheetData sheetId="13101"/>
      <sheetData sheetId="13102"/>
      <sheetData sheetId="13103">
        <row r="19">
          <cell r="J19">
            <v>1.0499999999999999E-3</v>
          </cell>
        </row>
      </sheetData>
      <sheetData sheetId="13104"/>
      <sheetData sheetId="13105"/>
      <sheetData sheetId="13106">
        <row r="19">
          <cell r="J19">
            <v>1.0499999999999999E-3</v>
          </cell>
        </row>
      </sheetData>
      <sheetData sheetId="13107">
        <row r="19">
          <cell r="J19">
            <v>1.0499999999999999E-3</v>
          </cell>
        </row>
      </sheetData>
      <sheetData sheetId="13108">
        <row r="19">
          <cell r="J19">
            <v>1.0499999999999999E-3</v>
          </cell>
        </row>
      </sheetData>
      <sheetData sheetId="13109"/>
      <sheetData sheetId="13110"/>
      <sheetData sheetId="13111"/>
      <sheetData sheetId="13112"/>
      <sheetData sheetId="13113"/>
      <sheetData sheetId="13114"/>
      <sheetData sheetId="13115"/>
      <sheetData sheetId="13116"/>
      <sheetData sheetId="13117"/>
      <sheetData sheetId="13118"/>
      <sheetData sheetId="13119"/>
      <sheetData sheetId="13120"/>
      <sheetData sheetId="13121">
        <row r="19">
          <cell r="J19">
            <v>1.0499999999999999E-3</v>
          </cell>
        </row>
      </sheetData>
      <sheetData sheetId="13122">
        <row r="19">
          <cell r="J19">
            <v>1.0499999999999999E-3</v>
          </cell>
        </row>
      </sheetData>
      <sheetData sheetId="13123">
        <row r="19">
          <cell r="J19">
            <v>1.0499999999999999E-3</v>
          </cell>
        </row>
      </sheetData>
      <sheetData sheetId="13124">
        <row r="19">
          <cell r="J19">
            <v>1.0499999999999999E-3</v>
          </cell>
        </row>
      </sheetData>
      <sheetData sheetId="13125">
        <row r="19">
          <cell r="J19">
            <v>1.0499999999999999E-3</v>
          </cell>
        </row>
      </sheetData>
      <sheetData sheetId="13126">
        <row r="19">
          <cell r="J19">
            <v>1.0499999999999999E-3</v>
          </cell>
        </row>
      </sheetData>
      <sheetData sheetId="13127">
        <row r="19">
          <cell r="J19">
            <v>1.0499999999999999E-3</v>
          </cell>
        </row>
      </sheetData>
      <sheetData sheetId="13128">
        <row r="19">
          <cell r="J19">
            <v>1.0499999999999999E-3</v>
          </cell>
        </row>
      </sheetData>
      <sheetData sheetId="13129"/>
      <sheetData sheetId="13130"/>
      <sheetData sheetId="13131"/>
      <sheetData sheetId="13132"/>
      <sheetData sheetId="13133"/>
      <sheetData sheetId="13134"/>
      <sheetData sheetId="13135"/>
      <sheetData sheetId="13136"/>
      <sheetData sheetId="13137"/>
      <sheetData sheetId="13138"/>
      <sheetData sheetId="13139"/>
      <sheetData sheetId="13140"/>
      <sheetData sheetId="13141"/>
      <sheetData sheetId="13142"/>
      <sheetData sheetId="13143"/>
      <sheetData sheetId="13144"/>
      <sheetData sheetId="13145"/>
      <sheetData sheetId="13146"/>
      <sheetData sheetId="13147"/>
      <sheetData sheetId="13148"/>
      <sheetData sheetId="13149"/>
      <sheetData sheetId="13150"/>
      <sheetData sheetId="13151"/>
      <sheetData sheetId="13152"/>
      <sheetData sheetId="13153"/>
      <sheetData sheetId="13154"/>
      <sheetData sheetId="13155"/>
      <sheetData sheetId="13156"/>
      <sheetData sheetId="13157"/>
      <sheetData sheetId="13158"/>
      <sheetData sheetId="13159"/>
      <sheetData sheetId="13160"/>
      <sheetData sheetId="13161"/>
      <sheetData sheetId="13162"/>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row r="19">
          <cell r="J19">
            <v>1.0499999999999999E-3</v>
          </cell>
        </row>
      </sheetData>
      <sheetData sheetId="13210"/>
      <sheetData sheetId="13211"/>
      <sheetData sheetId="13212"/>
      <sheetData sheetId="13213"/>
      <sheetData sheetId="13214"/>
      <sheetData sheetId="13215"/>
      <sheetData sheetId="13216"/>
      <sheetData sheetId="13217"/>
      <sheetData sheetId="13218"/>
      <sheetData sheetId="13219">
        <row r="19">
          <cell r="J19">
            <v>1.0499999999999999E-3</v>
          </cell>
        </row>
      </sheetData>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refreshError="1"/>
      <sheetData sheetId="13280">
        <row r="19">
          <cell r="J19">
            <v>1.0499999999999999E-3</v>
          </cell>
        </row>
      </sheetData>
      <sheetData sheetId="13281">
        <row r="19">
          <cell r="J19">
            <v>1.0499999999999999E-3</v>
          </cell>
        </row>
      </sheetData>
      <sheetData sheetId="13282">
        <row r="19">
          <cell r="J19">
            <v>1.0499999999999999E-3</v>
          </cell>
        </row>
      </sheetData>
      <sheetData sheetId="13283"/>
      <sheetData sheetId="13284">
        <row r="19">
          <cell r="J19">
            <v>1.0499999999999999E-3</v>
          </cell>
        </row>
      </sheetData>
      <sheetData sheetId="13285"/>
      <sheetData sheetId="13286"/>
      <sheetData sheetId="13287"/>
      <sheetData sheetId="13288"/>
      <sheetData sheetId="13289"/>
      <sheetData sheetId="13290"/>
      <sheetData sheetId="13291"/>
      <sheetData sheetId="13292">
        <row r="19">
          <cell r="J19">
            <v>1.0499999999999999E-3</v>
          </cell>
        </row>
      </sheetData>
      <sheetData sheetId="13293">
        <row r="19">
          <cell r="J19">
            <v>1.0499999999999999E-3</v>
          </cell>
        </row>
      </sheetData>
      <sheetData sheetId="13294">
        <row r="19">
          <cell r="J19">
            <v>1.0499999999999999E-3</v>
          </cell>
        </row>
      </sheetData>
      <sheetData sheetId="13295">
        <row r="19">
          <cell r="J19">
            <v>1.0499999999999999E-3</v>
          </cell>
        </row>
      </sheetData>
      <sheetData sheetId="13296">
        <row r="19">
          <cell r="J19">
            <v>1.0499999999999999E-3</v>
          </cell>
        </row>
      </sheetData>
      <sheetData sheetId="13297">
        <row r="19">
          <cell r="J19">
            <v>1.0499999999999999E-3</v>
          </cell>
        </row>
      </sheetData>
      <sheetData sheetId="13298">
        <row r="19">
          <cell r="J19">
            <v>1.0499999999999999E-3</v>
          </cell>
        </row>
      </sheetData>
      <sheetData sheetId="13299">
        <row r="19">
          <cell r="J19">
            <v>1.0499999999999999E-3</v>
          </cell>
        </row>
      </sheetData>
      <sheetData sheetId="13300">
        <row r="19">
          <cell r="J19">
            <v>1.0499999999999999E-3</v>
          </cell>
        </row>
      </sheetData>
      <sheetData sheetId="13301"/>
      <sheetData sheetId="13302"/>
      <sheetData sheetId="13303"/>
      <sheetData sheetId="13304"/>
      <sheetData sheetId="13305"/>
      <sheetData sheetId="13306"/>
      <sheetData sheetId="13307"/>
      <sheetData sheetId="13308"/>
      <sheetData sheetId="13309"/>
      <sheetData sheetId="13310"/>
      <sheetData sheetId="13311"/>
      <sheetData sheetId="13312">
        <row r="5">
          <cell r="I5">
            <v>0</v>
          </cell>
        </row>
      </sheetData>
      <sheetData sheetId="13313">
        <row r="5">
          <cell r="I5">
            <v>0</v>
          </cell>
        </row>
      </sheetData>
      <sheetData sheetId="13314"/>
      <sheetData sheetId="13315">
        <row r="5">
          <cell r="I5">
            <v>0</v>
          </cell>
        </row>
      </sheetData>
      <sheetData sheetId="13316">
        <row r="5">
          <cell r="I5">
            <v>0</v>
          </cell>
        </row>
      </sheetData>
      <sheetData sheetId="13317"/>
      <sheetData sheetId="13318"/>
      <sheetData sheetId="13319"/>
      <sheetData sheetId="13320"/>
      <sheetData sheetId="13321"/>
      <sheetData sheetId="13322"/>
      <sheetData sheetId="13323"/>
      <sheetData sheetId="13324">
        <row r="19">
          <cell r="J19">
            <v>1.0499999999999999E-3</v>
          </cell>
        </row>
      </sheetData>
      <sheetData sheetId="13325"/>
      <sheetData sheetId="13326"/>
      <sheetData sheetId="13327">
        <row r="19">
          <cell r="J19">
            <v>1.0499999999999999E-3</v>
          </cell>
        </row>
      </sheetData>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row r="19">
          <cell r="J19">
            <v>1.0499999999999999E-3</v>
          </cell>
        </row>
      </sheetData>
      <sheetData sheetId="13757">
        <row r="19">
          <cell r="J19">
            <v>1.0499999999999999E-3</v>
          </cell>
        </row>
      </sheetData>
      <sheetData sheetId="13758">
        <row r="19">
          <cell r="J19">
            <v>1.0499999999999999E-3</v>
          </cell>
        </row>
      </sheetData>
      <sheetData sheetId="13759">
        <row r="19">
          <cell r="J19">
            <v>1.0499999999999999E-3</v>
          </cell>
        </row>
      </sheetData>
      <sheetData sheetId="13760">
        <row r="19">
          <cell r="J19">
            <v>1.0499999999999999E-3</v>
          </cell>
        </row>
      </sheetData>
      <sheetData sheetId="13761"/>
      <sheetData sheetId="13762"/>
      <sheetData sheetId="13763">
        <row r="5">
          <cell r="I5">
            <v>0</v>
          </cell>
        </row>
      </sheetData>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ow r="5">
          <cell r="I5">
            <v>0</v>
          </cell>
        </row>
      </sheetData>
      <sheetData sheetId="13801">
        <row r="5">
          <cell r="I5">
            <v>0</v>
          </cell>
        </row>
      </sheetData>
      <sheetData sheetId="13802" refreshError="1"/>
      <sheetData sheetId="13803" refreshError="1"/>
      <sheetData sheetId="13804" refreshError="1"/>
      <sheetData sheetId="13805" refreshError="1"/>
      <sheetData sheetId="13806" refreshError="1"/>
      <sheetData sheetId="13807">
        <row r="5">
          <cell r="I5">
            <v>0</v>
          </cell>
        </row>
      </sheetData>
      <sheetData sheetId="13808">
        <row r="5">
          <cell r="I5">
            <v>0</v>
          </cell>
        </row>
      </sheetData>
      <sheetData sheetId="13809" refreshError="1"/>
      <sheetData sheetId="13810" refreshError="1"/>
      <sheetData sheetId="13811" refreshError="1"/>
      <sheetData sheetId="1381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nting"/>
      <sheetName val="Input"/>
      <sheetName val="P&amp;L"/>
      <sheetName val="15%"/>
      <sheetName val="Notes"/>
      <sheetName val="Notes (2)"/>
      <sheetName val="Trend"/>
      <sheetName val="New Work"/>
      <sheetName val="Lockup"/>
      <sheetName val="Budget"/>
      <sheetName val="DATA"/>
      <sheetName val="Graph_HK"/>
      <sheetName val="Graph_S"/>
      <sheetName val="Graph_C"/>
      <sheetName val="Summary_£"/>
      <sheetName val="Copy Macros"/>
      <sheetName val="Module1"/>
      <sheetName val="Module3"/>
      <sheetName val="Sheet1"/>
      <sheetName val="PLT-SUM"/>
      <sheetName val="FEVA"/>
      <sheetName val="HO Costs"/>
      <sheetName val="Notes_(2)"/>
      <sheetName val="New_Work"/>
      <sheetName val="Copy_Macros"/>
      <sheetName val="HO_Costs"/>
      <sheetName val="Notes_(2)1"/>
      <sheetName val="New_Work1"/>
      <sheetName val="Copy_Macros1"/>
      <sheetName val="HO_Costs1"/>
      <sheetName val="Notes_(2)2"/>
      <sheetName val="New_Work2"/>
      <sheetName val="Copy_Macros2"/>
      <sheetName val="HO_Costs2"/>
      <sheetName val="Notes_(2)3"/>
      <sheetName val="New_Work3"/>
      <sheetName val="Copy_Macros3"/>
      <sheetName val="HO_Costs3"/>
      <sheetName val="P-Sum-Cab"/>
      <sheetName val="CIF COST ITEM"/>
      <sheetName val="Notes_(2)4"/>
      <sheetName val="New_Work4"/>
      <sheetName val="Copy_Macros4"/>
      <sheetName val="HO_Costs4"/>
      <sheetName val="CIF_COST_ITEM"/>
      <sheetName val="Notes_(2)5"/>
      <sheetName val="New_Work5"/>
      <sheetName val="Copy_Macros5"/>
      <sheetName val="HO_Costs5"/>
      <sheetName val="CIF_COST_ITEM1"/>
      <sheetName val="Notes_(2)6"/>
      <sheetName val="New_Work6"/>
      <sheetName val="Copy_Macros6"/>
      <sheetName val="HO_Costs6"/>
      <sheetName val="CIF_COST_ITEM2"/>
      <sheetName val="Notes_(2)7"/>
      <sheetName val="New_Work7"/>
      <sheetName val="Copy_Macros7"/>
      <sheetName val="HO_Costs7"/>
      <sheetName val="CIF_COST_ITEM3"/>
      <sheetName val="Notes_(2)8"/>
      <sheetName val="New_Work8"/>
      <sheetName val="Copy_Macros8"/>
      <sheetName val="HO_Costs8"/>
      <sheetName val="CIF_COST_ITEM4"/>
      <sheetName val="Notes_(2)9"/>
      <sheetName val="New_Work9"/>
      <sheetName val="Copy_Macros9"/>
      <sheetName val="HO_Costs9"/>
      <sheetName val="CIF_COST_ITEM5"/>
      <sheetName val="0405P&amp;L_Dubai"/>
      <sheetName val="Bill 1"/>
      <sheetName val="Bill 2"/>
      <sheetName val="Bill 3"/>
      <sheetName val="Bill 4"/>
      <sheetName val="Bill 5"/>
      <sheetName val="Bill 6"/>
      <sheetName val="Bill 7"/>
      <sheetName val="ancillary"/>
      <sheetName val="Notes_(2)10"/>
      <sheetName val="New_Work10"/>
      <sheetName val="Copy_Macros10"/>
      <sheetName val="HO_Costs10"/>
      <sheetName val="CIF_COST_ITEM6"/>
      <sheetName val="Bill_1"/>
      <sheetName val="Bill_2"/>
      <sheetName val="Bill_3"/>
      <sheetName val="Bill_4"/>
      <sheetName val="Bill_5"/>
      <sheetName val="Bill_6"/>
      <sheetName val="Bill_7"/>
      <sheetName val="③赤紙(日文)"/>
      <sheetName val="Project Budget Worksheet"/>
      <sheetName val="Bill No 8 - A"/>
      <sheetName val="FitOutConfCentre"/>
      <sheetName val="Bill_11"/>
      <sheetName val="Bill_21"/>
      <sheetName val="Bill_31"/>
      <sheetName val="Bill_41"/>
      <sheetName val="Bill_51"/>
      <sheetName val="Bill_61"/>
      <sheetName val="Bill_71"/>
      <sheetName val="Project_Budget_Worksheet1"/>
      <sheetName val="Project_Budget_Worksheet"/>
      <sheetName val="Bill_12"/>
      <sheetName val="Bill_22"/>
      <sheetName val="Bill_32"/>
      <sheetName val="Bill_42"/>
      <sheetName val="Bill_52"/>
      <sheetName val="Bill_62"/>
      <sheetName val="Bill_72"/>
      <sheetName val="Project_Budget_Worksheet2"/>
      <sheetName val="Bill_13"/>
      <sheetName val="Bill_23"/>
      <sheetName val="Bill_33"/>
      <sheetName val="Bill_43"/>
      <sheetName val="Bill_53"/>
      <sheetName val="Bill_63"/>
      <sheetName val="Bill_73"/>
      <sheetName val="Project_Budget_Worksheet3"/>
      <sheetName val="Bill_14"/>
      <sheetName val="Bill_24"/>
      <sheetName val="Bill_34"/>
      <sheetName val="Bill_44"/>
      <sheetName val="Bill_54"/>
      <sheetName val="Bill_64"/>
      <sheetName val="Bill_74"/>
      <sheetName val="Project_Budget_Worksheet4"/>
      <sheetName val="Bill_15"/>
      <sheetName val="Bill_25"/>
      <sheetName val="Bill_35"/>
      <sheetName val="Bill_45"/>
      <sheetName val="Bill_55"/>
      <sheetName val="Bill_65"/>
      <sheetName val="Bill_75"/>
      <sheetName val="Project_Budget_Worksheet5"/>
      <sheetName val="Bill_16"/>
      <sheetName val="Bill_26"/>
      <sheetName val="Bill_36"/>
      <sheetName val="Bill_46"/>
      <sheetName val="Bill_56"/>
      <sheetName val="Bill_66"/>
      <sheetName val="Bill_76"/>
      <sheetName val="Project_Budget_Worksheet6"/>
      <sheetName val="Bill_17"/>
      <sheetName val="Bill_27"/>
      <sheetName val="Bill_37"/>
      <sheetName val="Bill_47"/>
      <sheetName val="Bill_57"/>
      <sheetName val="Bill_67"/>
      <sheetName val="Bill_77"/>
      <sheetName val="Project_Budget_Worksheet7"/>
      <sheetName val="MH Compensate-Nov"/>
      <sheetName val="SPEC"/>
      <sheetName val="공사비 내역 (가)"/>
      <sheetName val="FORM7"/>
      <sheetName val="MATL"/>
      <sheetName val="Bill_No_8_-_A"/>
      <sheetName val="Schedules"/>
      <sheetName val="LAB"/>
      <sheetName val="Controls"/>
      <sheetName val="Project Info"/>
      <sheetName val="SITE WORK"/>
      <sheetName val="Spread_sht"/>
      <sheetName val="Break up Sheet"/>
      <sheetName val="Notes_(2)12"/>
      <sheetName val="New_Work12"/>
      <sheetName val="Copy_Macros12"/>
      <sheetName val="HO_Costs12"/>
      <sheetName val="CIF_COST_ITEM8"/>
      <sheetName val="Bill_No_8_-_A1"/>
      <sheetName val="Notes_(2)11"/>
      <sheetName val="New_Work11"/>
      <sheetName val="Copy_Macros11"/>
      <sheetName val="HO_Costs11"/>
      <sheetName val="CIF_COST_ITEM7"/>
      <sheetName val="MPR_PA_1"/>
      <sheetName val="MATERIALS_masterlist"/>
      <sheetName val="Mp-team 1"/>
      <sheetName val="Graph (LGEN)"/>
      <sheetName val="out_prog"/>
      <sheetName val="선적schedule (2)"/>
      <sheetName val="[0405P&amp;L_Dubai.x"/>
      <sheetName val="Bill_18"/>
      <sheetName val="Bill_28"/>
      <sheetName val="Bill_38"/>
      <sheetName val="Bill_48"/>
      <sheetName val="Bill_58"/>
      <sheetName val="Bill_68"/>
      <sheetName val="Bill_78"/>
      <sheetName val="Project_Budget_Worksheet8"/>
      <sheetName val="Sheet2"/>
      <sheetName val="CPA33-34"/>
      <sheetName val="Bill No.6"/>
      <sheetName val="Publicbuilding"/>
      <sheetName val="Lists"/>
      <sheetName val="Base &amp; Pod (elec)"/>
      <sheetName val="Boiler Curves"/>
      <sheetName val="eval"/>
      <sheetName val="Balustrade"/>
      <sheetName val="POWER"/>
      <sheetName val="基本数据"/>
      <sheetName val="人员工资"/>
      <sheetName val="其他直接费"/>
      <sheetName val="4标价组成表"/>
      <sheetName val="Contents"/>
      <sheetName val="Grap¤_S"/>
      <sheetName val="Day work"/>
      <sheetName val="labour"/>
      <sheetName val="Macro1"/>
      <sheetName val="SeptNSV"/>
      <sheetName val="Sept NSV"/>
      <sheetName val="Cash Flow Working"/>
      <sheetName val="Concrete"/>
      <sheetName val="ok"/>
      <sheetName val="MATER._TO`T"/>
      <sheetName val="TEST_PREL_PROD"/>
      <sheetName val="ITEMS"/>
      <sheetName val="집계"/>
      <sheetName val="Cover Page"/>
      <sheetName val="Approved MTD Proj #'s"/>
      <sheetName val="T&amp;M"/>
      <sheetName val="Rate Analysis"/>
      <sheetName val="RELAYS"/>
      <sheetName val="Division 15B - HVAC"/>
      <sheetName val="Sheet3"/>
      <sheetName val="PROGRAM"/>
      <sheetName val="Bill_110"/>
      <sheetName val="Bill_210"/>
      <sheetName val="Bill_310"/>
      <sheetName val="Bill_410"/>
      <sheetName val="Bill_510"/>
      <sheetName val="Bill_610"/>
      <sheetName val="Bill_710"/>
      <sheetName val="Project_Budget_Worksheet10"/>
      <sheetName val="Bill_No_8_-_A2"/>
      <sheetName val="Bill_19"/>
      <sheetName val="Bill_29"/>
      <sheetName val="Bill_39"/>
      <sheetName val="Bill_49"/>
      <sheetName val="Bill_59"/>
      <sheetName val="Bill_69"/>
      <sheetName val="Bill_79"/>
      <sheetName val="Project_Budget_Worksheet9"/>
      <sheetName val="Bill_111"/>
      <sheetName val="Bill_211"/>
      <sheetName val="Bill_311"/>
      <sheetName val="Bill_411"/>
      <sheetName val="Bill_511"/>
      <sheetName val="Bill_611"/>
      <sheetName val="Bill_711"/>
      <sheetName val="Project_Budget_Worksheet11"/>
      <sheetName val="Bill_No_8_-_A3"/>
      <sheetName val="Construction"/>
      <sheetName val="SECTION 10-TSE"/>
      <sheetName val="Services_InitialEst_UtilityServ"/>
      <sheetName val="Cover"/>
      <sheetName val="Index"/>
      <sheetName val="Summary"/>
      <sheetName val="Consolidated CF"/>
      <sheetName val="Imported Materials"/>
      <sheetName val="August TB"/>
      <sheetName val="Rooms"/>
      <sheetName val="Graph_(LGEN)1"/>
      <sheetName val="선적schedule_(2)1"/>
      <sheetName val="[0405P&amp;L_Dubai_x1"/>
      <sheetName val="Graph_(LGEN)"/>
      <sheetName val="선적schedule_(2)"/>
      <sheetName val="[0405P&amp;L_Dubai_x"/>
      <sheetName val="Data Input"/>
      <sheetName val="Load Details-220kV"/>
      <sheetName val="Sh-6"/>
      <sheetName val="Settings"/>
      <sheetName val="ALternative-Rev.5"/>
      <sheetName val="Trial Bal "/>
      <sheetName val="Overall Summary "/>
      <sheetName val="BQLIST"/>
      <sheetName val="LOCAL RATES"/>
      <sheetName val="ESTIMATE"/>
      <sheetName val="Improvements"/>
      <sheetName val="E_Summary"/>
      <sheetName val="D_Cntnts"/>
      <sheetName val="Mast"/>
      <sheetName val="Cost"/>
      <sheetName val="Variables_x"/>
      <sheetName val="Site Plan"/>
      <sheetName val="基础-HL"/>
      <sheetName val="Panels (DWG)"/>
      <sheetName val="Raw Data"/>
      <sheetName val="LMP"/>
      <sheetName val="materials"/>
      <sheetName val="2-1J1"/>
      <sheetName val="Planned"/>
      <sheetName val="DataInvoice!"/>
      <sheetName val="Section 2-SCHEDULE OF DAYWORK"/>
      <sheetName val="_0405P&amp;L_Dubai.x"/>
      <sheetName val="IDU Rates &amp; Spec."/>
      <sheetName val="ODU Rates &amp; Spec."/>
      <sheetName val="Back up Figures"/>
      <sheetName val="Dropdowns"/>
      <sheetName val="PE"/>
      <sheetName val="UCRef1"/>
      <sheetName val="UCRef3"/>
      <sheetName val="PLANT"/>
      <sheetName val="MASTER"/>
      <sheetName val="Liabilities"/>
      <sheetName val="Notes_(2)13"/>
      <sheetName val="New_Work13"/>
      <sheetName val="Copy_Macros13"/>
      <sheetName val="HO_Costs13"/>
      <sheetName val="Bill_112"/>
      <sheetName val="Bill_212"/>
      <sheetName val="Bill_312"/>
      <sheetName val="Bill_412"/>
      <sheetName val="Bill_512"/>
      <sheetName val="Bill_612"/>
      <sheetName val="Bill_712"/>
      <sheetName val="Project_Budget_Worksheet12"/>
      <sheetName val="Bill_No_8_-_A4"/>
      <sheetName val="Graph_(LGEN)2"/>
      <sheetName val="선적schedule_(2)2"/>
      <sheetName val="CIF_COST_ITEM9"/>
      <sheetName val="[0405P&amp;L_Dubai_x2"/>
      <sheetName val="MH_Compensate-Nov"/>
      <sheetName val="Break_up_Sheet"/>
      <sheetName val="공사비_내역_(가)"/>
      <sheetName val="Mp-team_1"/>
      <sheetName val="Project_Info"/>
      <sheetName val="SITE_WORK"/>
      <sheetName val="Rate_Analysis"/>
      <sheetName val="MATER__TO`T"/>
      <sheetName val="Bill_No_6"/>
      <sheetName val="Boiler_Curves"/>
      <sheetName val="Base_&amp;_Pod_(elec)"/>
      <sheetName val="Day_work"/>
      <sheetName val="Sept_NSV"/>
      <sheetName val="Cash_Flow_Working"/>
      <sheetName val="Cover_Page"/>
      <sheetName val="Approved_MTD_Proj_#'s"/>
      <sheetName val="Site_Plan"/>
      <sheetName val="IDU_Rates_&amp;_Spec_"/>
      <sheetName val="ODU_Rates_&amp;_Spec_"/>
      <sheetName val="Consolidated_CF"/>
      <sheetName val="Back_up_Figures"/>
      <sheetName val="Joseph Record"/>
      <sheetName val="Report"/>
      <sheetName val="Wordsdata"/>
      <sheetName val="Imported_Materials"/>
      <sheetName val="MasterData"/>
      <sheetName val="Instructions"/>
      <sheetName val="Bill No.3"/>
      <sheetName val="Calendar"/>
      <sheetName val="Steel "/>
      <sheetName val="HS"/>
      <sheetName val="RW"/>
      <sheetName val="Area"/>
      <sheetName val="Margin"/>
      <sheetName val="Material"/>
      <sheetName val="Breakdown"/>
      <sheetName val="Names"/>
      <sheetName val="Set"/>
      <sheetName val="Summary "/>
      <sheetName val="Estimate Detail"/>
      <sheetName val="Part-A"/>
      <sheetName val="Basisdaten"/>
      <sheetName val="A"/>
      <sheetName val="B"/>
      <sheetName val="C"/>
      <sheetName val="D"/>
      <sheetName val="E"/>
      <sheetName val="G"/>
      <sheetName val="H"/>
      <sheetName val="I"/>
      <sheetName val="K"/>
      <sheetName val="L"/>
      <sheetName val="M"/>
      <sheetName val="N"/>
      <sheetName val="O"/>
      <sheetName val="T"/>
      <sheetName val="U"/>
      <sheetName val="Vordruck-Nr. 7.1.3_D"/>
      <sheetName val="M&amp;A D"/>
      <sheetName val="M&amp;A E"/>
      <sheetName val="M&amp;A G"/>
      <sheetName val="Joinery"/>
      <sheetName val="Elemental Buildup"/>
      <sheetName val="feuille de saisie"/>
      <sheetName val="Master list"/>
      <sheetName val="Variables"/>
      <sheetName val="col-reinft1"/>
      <sheetName val="ANALYSIS"/>
      <sheetName val="3"/>
      <sheetName val="Initial Data"/>
      <sheetName val="Material List"/>
      <sheetName val="Tk off"/>
      <sheetName val="Assumptions"/>
      <sheetName val="Database"/>
      <sheetName val="schedule nos"/>
      <sheetName val="Division_15B_-_HVAC"/>
      <sheetName val="SECTION_10-TSE"/>
      <sheetName val="Data_Input"/>
      <sheetName val="Load_Details-220kV"/>
      <sheetName val="Trial_Bal_"/>
      <sheetName val="August_TB"/>
      <sheetName val="Overall_Summary_"/>
      <sheetName val="_0405P&amp;L_Dubai_x"/>
      <sheetName val="Panels_(DWG)"/>
      <sheetName val="Raw_Data"/>
      <sheetName val="ALternative-Rev_5"/>
      <sheetName val="LOCAL_RATES"/>
      <sheetName val="Section_2-SCHEDULE_OF_DAYWORK"/>
      <sheetName val="Min r Value"/>
      <sheetName val="合成単価作成表-BLDG"/>
      <sheetName val="Cost IT-OAJV-HP"/>
      <sheetName val="POWER ASSUMPTIONS"/>
      <sheetName val="Personnel Information"/>
      <sheetName val="参数"/>
      <sheetName val="Min_r_Value"/>
      <sheetName val="Bill_No_3"/>
      <sheetName val="Steel_"/>
      <sheetName val="Cost_IT-OAJV-HP"/>
      <sheetName val="POWER_ASSUMPTIONS"/>
      <sheetName val="Personnel_Information"/>
      <sheetName val="Total"/>
      <sheetName val="Bar schedule"/>
      <sheetName val="Balance Sheet"/>
      <sheetName val="Cover Sheet"/>
      <sheetName val="DATE"/>
      <sheetName val="NPV"/>
      <sheetName val="MH_Compensate-Nov1"/>
      <sheetName val="C급보 "/>
      <sheetName val="MONTH"/>
      <sheetName val="Jan 19 -Feb 18 O.T"/>
      <sheetName val="Jan 19 -Feb 18 T.SHEET"/>
      <sheetName val="Takeoff Template"/>
      <sheetName val="LookUp"/>
      <sheetName val="#REF"/>
      <sheetName val="Notes_(2)14"/>
      <sheetName val="New_Work14"/>
      <sheetName val="Copy_Macros14"/>
      <sheetName val="HO_Costs14"/>
      <sheetName val="Bill_No_8_-_A5"/>
      <sheetName val="Bill_113"/>
      <sheetName val="Bill_213"/>
      <sheetName val="Bill_313"/>
      <sheetName val="Bill_413"/>
      <sheetName val="Bill_513"/>
      <sheetName val="Bill_613"/>
      <sheetName val="Bill_713"/>
      <sheetName val="Project_Budget_Worksheet13"/>
      <sheetName val="CIF_COST_ITEM10"/>
      <sheetName val="Project_Info1"/>
      <sheetName val="SITE_WORK1"/>
      <sheetName val="Imported_Materials1"/>
      <sheetName val="공사비_내역_(가)1"/>
      <sheetName val="Break_up_Sheet1"/>
      <sheetName val="Consolidated_CF1"/>
      <sheetName val="Mp-team_11"/>
      <sheetName val="Bill_No_61"/>
      <sheetName val="Sept_NSV1"/>
      <sheetName val="Base_&amp;_Pod_(elec)1"/>
      <sheetName val="Boiler_Curves1"/>
      <sheetName val="Day_work1"/>
      <sheetName val="Cash_Flow_Working1"/>
      <sheetName val="MATER__TO`T1"/>
      <sheetName val="Cover_Page1"/>
      <sheetName val="Approved_MTD_Proj_#'s1"/>
      <sheetName val="Rate_Analysis1"/>
      <sheetName val="SECTION_10-TSE1"/>
      <sheetName val="3-Design"/>
      <sheetName val="Rates"/>
    </sheetNames>
    <sheetDataSet>
      <sheetData sheetId="0">
        <row r="2">
          <cell r="A2" t="str">
            <v>APR</v>
          </cell>
        </row>
      </sheetData>
      <sheetData sheetId="1">
        <row r="2">
          <cell r="A2" t="str">
            <v>APR</v>
          </cell>
        </row>
      </sheetData>
      <sheetData sheetId="2">
        <row r="2">
          <cell r="A2" t="str">
            <v>APR</v>
          </cell>
        </row>
      </sheetData>
      <sheetData sheetId="3">
        <row r="2">
          <cell r="A2" t="str">
            <v>APR</v>
          </cell>
        </row>
      </sheetData>
      <sheetData sheetId="4">
        <row r="2">
          <cell r="A2" t="str">
            <v>APR</v>
          </cell>
        </row>
      </sheetData>
      <sheetData sheetId="5">
        <row r="2">
          <cell r="A2" t="str">
            <v>APR</v>
          </cell>
        </row>
      </sheetData>
      <sheetData sheetId="6">
        <row r="2">
          <cell r="A2" t="str">
            <v>APR</v>
          </cell>
        </row>
      </sheetData>
      <sheetData sheetId="7">
        <row r="2">
          <cell r="A2" t="str">
            <v>APR</v>
          </cell>
        </row>
      </sheetData>
      <sheetData sheetId="8">
        <row r="2">
          <cell r="A2" t="str">
            <v>APR</v>
          </cell>
        </row>
      </sheetData>
      <sheetData sheetId="9">
        <row r="2">
          <cell r="A2" t="str">
            <v>APR</v>
          </cell>
        </row>
      </sheetData>
      <sheetData sheetId="10">
        <row r="2">
          <cell r="A2" t="str">
            <v>APR</v>
          </cell>
          <cell r="B2">
            <v>1</v>
          </cell>
          <cell r="C2" t="str">
            <v>MONTH1</v>
          </cell>
          <cell r="D2">
            <v>38078</v>
          </cell>
        </row>
        <row r="3">
          <cell r="A3" t="str">
            <v>MAY</v>
          </cell>
          <cell r="B3">
            <v>2</v>
          </cell>
          <cell r="C3" t="str">
            <v>MONTH2</v>
          </cell>
          <cell r="D3">
            <v>38108</v>
          </cell>
        </row>
        <row r="4">
          <cell r="A4" t="str">
            <v>JUN</v>
          </cell>
          <cell r="B4">
            <v>3</v>
          </cell>
          <cell r="C4" t="str">
            <v>MONTH3</v>
          </cell>
          <cell r="D4">
            <v>38139</v>
          </cell>
        </row>
        <row r="5">
          <cell r="A5" t="str">
            <v>JUL</v>
          </cell>
          <cell r="B5">
            <v>4</v>
          </cell>
          <cell r="C5" t="str">
            <v>MONTH4</v>
          </cell>
          <cell r="D5">
            <v>38169</v>
          </cell>
        </row>
        <row r="6">
          <cell r="A6" t="str">
            <v>AUG</v>
          </cell>
          <cell r="B6">
            <v>5</v>
          </cell>
          <cell r="C6" t="str">
            <v>MONTH5</v>
          </cell>
          <cell r="D6">
            <v>38200</v>
          </cell>
        </row>
        <row r="7">
          <cell r="A7" t="str">
            <v>SEP</v>
          </cell>
          <cell r="B7">
            <v>6</v>
          </cell>
          <cell r="C7" t="str">
            <v>MONTH6</v>
          </cell>
          <cell r="D7">
            <v>38231</v>
          </cell>
        </row>
        <row r="8">
          <cell r="A8" t="str">
            <v>OCT</v>
          </cell>
          <cell r="B8">
            <v>7</v>
          </cell>
          <cell r="C8" t="str">
            <v>MONTH7</v>
          </cell>
          <cell r="D8">
            <v>38261</v>
          </cell>
        </row>
        <row r="9">
          <cell r="A9" t="str">
            <v>NOV</v>
          </cell>
          <cell r="B9">
            <v>8</v>
          </cell>
          <cell r="C9" t="str">
            <v>MONTH8</v>
          </cell>
          <cell r="D9">
            <v>38292</v>
          </cell>
        </row>
        <row r="10">
          <cell r="A10" t="str">
            <v>DEC</v>
          </cell>
          <cell r="B10">
            <v>9</v>
          </cell>
          <cell r="C10" t="str">
            <v>MONTH9</v>
          </cell>
          <cell r="D10">
            <v>38322</v>
          </cell>
        </row>
        <row r="11">
          <cell r="A11" t="str">
            <v>JAN</v>
          </cell>
          <cell r="B11">
            <v>10</v>
          </cell>
          <cell r="C11" t="str">
            <v>MONTH10</v>
          </cell>
          <cell r="D11">
            <v>38353</v>
          </cell>
        </row>
        <row r="12">
          <cell r="A12" t="str">
            <v>FEB</v>
          </cell>
          <cell r="B12">
            <v>11</v>
          </cell>
          <cell r="C12" t="str">
            <v>MONTH11</v>
          </cell>
          <cell r="D12">
            <v>38384</v>
          </cell>
        </row>
        <row r="13">
          <cell r="A13" t="str">
            <v>MAR</v>
          </cell>
          <cell r="B13">
            <v>12</v>
          </cell>
          <cell r="C13" t="str">
            <v>MONTH12</v>
          </cell>
          <cell r="D13">
            <v>38412</v>
          </cell>
        </row>
      </sheetData>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ow r="2">
          <cell r="A2" t="str">
            <v>APR</v>
          </cell>
        </row>
      </sheetData>
      <sheetData sheetId="23">
        <row r="2">
          <cell r="A2" t="str">
            <v>APR</v>
          </cell>
        </row>
      </sheetData>
      <sheetData sheetId="24">
        <row r="2">
          <cell r="A2" t="str">
            <v>APR</v>
          </cell>
        </row>
      </sheetData>
      <sheetData sheetId="25">
        <row r="2">
          <cell r="A2" t="str">
            <v>APR</v>
          </cell>
        </row>
      </sheetData>
      <sheetData sheetId="26">
        <row r="2">
          <cell r="A2" t="str">
            <v>APR</v>
          </cell>
        </row>
      </sheetData>
      <sheetData sheetId="27">
        <row r="2">
          <cell r="A2" t="str">
            <v>APR</v>
          </cell>
        </row>
      </sheetData>
      <sheetData sheetId="28">
        <row r="2">
          <cell r="A2" t="str">
            <v>APR</v>
          </cell>
        </row>
      </sheetData>
      <sheetData sheetId="29">
        <row r="2">
          <cell r="A2" t="str">
            <v>APR</v>
          </cell>
        </row>
      </sheetData>
      <sheetData sheetId="30">
        <row r="2">
          <cell r="A2" t="str">
            <v>APR</v>
          </cell>
        </row>
      </sheetData>
      <sheetData sheetId="31">
        <row r="2">
          <cell r="A2" t="str">
            <v>APR</v>
          </cell>
        </row>
      </sheetData>
      <sheetData sheetId="32">
        <row r="2">
          <cell r="A2" t="str">
            <v>APR</v>
          </cell>
        </row>
      </sheetData>
      <sheetData sheetId="33">
        <row r="2">
          <cell r="A2" t="str">
            <v>APR</v>
          </cell>
        </row>
      </sheetData>
      <sheetData sheetId="34">
        <row r="2">
          <cell r="A2" t="str">
            <v>APR</v>
          </cell>
        </row>
      </sheetData>
      <sheetData sheetId="35">
        <row r="2">
          <cell r="A2" t="str">
            <v>APR</v>
          </cell>
        </row>
      </sheetData>
      <sheetData sheetId="36">
        <row r="2">
          <cell r="A2" t="str">
            <v>APR</v>
          </cell>
        </row>
      </sheetData>
      <sheetData sheetId="37">
        <row r="2">
          <cell r="A2" t="str">
            <v>APR</v>
          </cell>
        </row>
      </sheetData>
      <sheetData sheetId="38" refreshError="1"/>
      <sheetData sheetId="39" refreshError="1"/>
      <sheetData sheetId="40">
        <row r="2">
          <cell r="A2" t="str">
            <v>APR</v>
          </cell>
        </row>
      </sheetData>
      <sheetData sheetId="41">
        <row r="2">
          <cell r="A2" t="str">
            <v>APR</v>
          </cell>
        </row>
      </sheetData>
      <sheetData sheetId="42">
        <row r="2">
          <cell r="A2" t="str">
            <v>APR</v>
          </cell>
        </row>
      </sheetData>
      <sheetData sheetId="43">
        <row r="2">
          <cell r="A2" t="str">
            <v>APR</v>
          </cell>
        </row>
      </sheetData>
      <sheetData sheetId="44">
        <row r="2">
          <cell r="A2" t="str">
            <v>APR</v>
          </cell>
        </row>
      </sheetData>
      <sheetData sheetId="45">
        <row r="2">
          <cell r="A2" t="str">
            <v>APR</v>
          </cell>
        </row>
      </sheetData>
      <sheetData sheetId="46">
        <row r="2">
          <cell r="A2" t="str">
            <v>APR</v>
          </cell>
        </row>
      </sheetData>
      <sheetData sheetId="47">
        <row r="2">
          <cell r="A2" t="str">
            <v>APR</v>
          </cell>
        </row>
      </sheetData>
      <sheetData sheetId="48">
        <row r="2">
          <cell r="A2" t="str">
            <v>APR</v>
          </cell>
        </row>
      </sheetData>
      <sheetData sheetId="49">
        <row r="2">
          <cell r="A2" t="str">
            <v>APR</v>
          </cell>
        </row>
      </sheetData>
      <sheetData sheetId="50">
        <row r="2">
          <cell r="A2" t="str">
            <v>APR</v>
          </cell>
        </row>
      </sheetData>
      <sheetData sheetId="51">
        <row r="2">
          <cell r="A2" t="str">
            <v>APR</v>
          </cell>
        </row>
      </sheetData>
      <sheetData sheetId="52">
        <row r="2">
          <cell r="A2" t="str">
            <v>APR</v>
          </cell>
        </row>
      </sheetData>
      <sheetData sheetId="53">
        <row r="2">
          <cell r="A2" t="str">
            <v>APR</v>
          </cell>
        </row>
      </sheetData>
      <sheetData sheetId="54">
        <row r="2">
          <cell r="A2" t="str">
            <v>APR</v>
          </cell>
        </row>
      </sheetData>
      <sheetData sheetId="55">
        <row r="2">
          <cell r="A2" t="str">
            <v>APR</v>
          </cell>
        </row>
      </sheetData>
      <sheetData sheetId="56">
        <row r="2">
          <cell r="A2" t="str">
            <v>APR</v>
          </cell>
        </row>
      </sheetData>
      <sheetData sheetId="57">
        <row r="2">
          <cell r="A2" t="str">
            <v>APR</v>
          </cell>
        </row>
      </sheetData>
      <sheetData sheetId="58">
        <row r="2">
          <cell r="A2" t="str">
            <v>APR</v>
          </cell>
        </row>
      </sheetData>
      <sheetData sheetId="59">
        <row r="2">
          <cell r="A2" t="str">
            <v>APR</v>
          </cell>
        </row>
      </sheetData>
      <sheetData sheetId="60">
        <row r="2">
          <cell r="A2" t="str">
            <v>APR</v>
          </cell>
        </row>
      </sheetData>
      <sheetData sheetId="61">
        <row r="2">
          <cell r="A2" t="str">
            <v>APR</v>
          </cell>
        </row>
      </sheetData>
      <sheetData sheetId="62">
        <row r="2">
          <cell r="A2" t="str">
            <v>APR</v>
          </cell>
        </row>
      </sheetData>
      <sheetData sheetId="63">
        <row r="2">
          <cell r="A2" t="str">
            <v>APR</v>
          </cell>
        </row>
      </sheetData>
      <sheetData sheetId="64">
        <row r="2">
          <cell r="A2" t="str">
            <v>APR</v>
          </cell>
        </row>
      </sheetData>
      <sheetData sheetId="65">
        <row r="2">
          <cell r="A2" t="str">
            <v>APR</v>
          </cell>
        </row>
      </sheetData>
      <sheetData sheetId="66">
        <row r="2">
          <cell r="A2" t="str">
            <v>APR</v>
          </cell>
        </row>
      </sheetData>
      <sheetData sheetId="67">
        <row r="2">
          <cell r="A2" t="str">
            <v>APR</v>
          </cell>
        </row>
      </sheetData>
      <sheetData sheetId="68">
        <row r="2">
          <cell r="A2" t="str">
            <v>APR</v>
          </cell>
        </row>
      </sheetData>
      <sheetData sheetId="69">
        <row r="2">
          <cell r="A2" t="str">
            <v>APR</v>
          </cell>
        </row>
      </sheetData>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ow r="2">
          <cell r="A2" t="str">
            <v>APR</v>
          </cell>
        </row>
      </sheetData>
      <sheetData sheetId="80">
        <row r="2">
          <cell r="A2" t="str">
            <v>APR</v>
          </cell>
        </row>
      </sheetData>
      <sheetData sheetId="81">
        <row r="2">
          <cell r="A2" t="str">
            <v>APR</v>
          </cell>
        </row>
      </sheetData>
      <sheetData sheetId="82">
        <row r="2">
          <cell r="A2" t="str">
            <v>APR</v>
          </cell>
        </row>
      </sheetData>
      <sheetData sheetId="83">
        <row r="2">
          <cell r="A2" t="str">
            <v>APR</v>
          </cell>
        </row>
      </sheetData>
      <sheetData sheetId="84">
        <row r="2">
          <cell r="A2" t="str">
            <v>APR</v>
          </cell>
        </row>
      </sheetData>
      <sheetData sheetId="85">
        <row r="2">
          <cell r="A2" t="str">
            <v>APR</v>
          </cell>
        </row>
      </sheetData>
      <sheetData sheetId="86">
        <row r="2">
          <cell r="A2" t="str">
            <v>APR</v>
          </cell>
        </row>
      </sheetData>
      <sheetData sheetId="87">
        <row r="2">
          <cell r="A2" t="str">
            <v>APR</v>
          </cell>
        </row>
      </sheetData>
      <sheetData sheetId="88">
        <row r="2">
          <cell r="A2" t="str">
            <v>APR</v>
          </cell>
        </row>
      </sheetData>
      <sheetData sheetId="89">
        <row r="2">
          <cell r="A2" t="str">
            <v>APR</v>
          </cell>
        </row>
      </sheetData>
      <sheetData sheetId="90">
        <row r="2">
          <cell r="A2" t="str">
            <v>APR</v>
          </cell>
        </row>
      </sheetData>
      <sheetData sheetId="91" refreshError="1"/>
      <sheetData sheetId="92" refreshError="1"/>
      <sheetData sheetId="93" refreshError="1"/>
      <sheetData sheetId="94" refreshError="1"/>
      <sheetData sheetId="95">
        <row r="2">
          <cell r="A2" t="str">
            <v>APR</v>
          </cell>
        </row>
      </sheetData>
      <sheetData sheetId="96">
        <row r="2">
          <cell r="A2" t="str">
            <v>APR</v>
          </cell>
        </row>
      </sheetData>
      <sheetData sheetId="97">
        <row r="2">
          <cell r="A2" t="str">
            <v>APR</v>
          </cell>
        </row>
      </sheetData>
      <sheetData sheetId="98">
        <row r="2">
          <cell r="A2" t="str">
            <v>APR</v>
          </cell>
        </row>
      </sheetData>
      <sheetData sheetId="99">
        <row r="2">
          <cell r="A2" t="str">
            <v>APR</v>
          </cell>
        </row>
      </sheetData>
      <sheetData sheetId="100">
        <row r="2">
          <cell r="A2" t="str">
            <v>APR</v>
          </cell>
        </row>
      </sheetData>
      <sheetData sheetId="101">
        <row r="2">
          <cell r="A2" t="str">
            <v>APR</v>
          </cell>
        </row>
      </sheetData>
      <sheetData sheetId="102">
        <row r="2">
          <cell r="A2" t="str">
            <v>APR</v>
          </cell>
        </row>
      </sheetData>
      <sheetData sheetId="103">
        <row r="2">
          <cell r="A2" t="str">
            <v>APR</v>
          </cell>
        </row>
      </sheetData>
      <sheetData sheetId="104">
        <row r="2">
          <cell r="A2" t="str">
            <v>APR</v>
          </cell>
        </row>
      </sheetData>
      <sheetData sheetId="105">
        <row r="2">
          <cell r="A2" t="str">
            <v>APR</v>
          </cell>
        </row>
      </sheetData>
      <sheetData sheetId="106">
        <row r="2">
          <cell r="A2" t="str">
            <v>APR</v>
          </cell>
        </row>
      </sheetData>
      <sheetData sheetId="107">
        <row r="2">
          <cell r="A2" t="str">
            <v>APR</v>
          </cell>
        </row>
      </sheetData>
      <sheetData sheetId="108">
        <row r="2">
          <cell r="A2" t="str">
            <v>APR</v>
          </cell>
        </row>
      </sheetData>
      <sheetData sheetId="109">
        <row r="2">
          <cell r="A2" t="str">
            <v>APR</v>
          </cell>
        </row>
      </sheetData>
      <sheetData sheetId="110">
        <row r="2">
          <cell r="A2" t="str">
            <v>APR</v>
          </cell>
        </row>
      </sheetData>
      <sheetData sheetId="111">
        <row r="2">
          <cell r="A2" t="str">
            <v>APR</v>
          </cell>
        </row>
      </sheetData>
      <sheetData sheetId="112">
        <row r="2">
          <cell r="A2" t="str">
            <v>APR</v>
          </cell>
        </row>
      </sheetData>
      <sheetData sheetId="113">
        <row r="2">
          <cell r="A2" t="str">
            <v>APR</v>
          </cell>
        </row>
      </sheetData>
      <sheetData sheetId="114">
        <row r="2">
          <cell r="A2" t="str">
            <v>APR</v>
          </cell>
        </row>
      </sheetData>
      <sheetData sheetId="115">
        <row r="2">
          <cell r="A2" t="str">
            <v>APR</v>
          </cell>
        </row>
      </sheetData>
      <sheetData sheetId="116">
        <row r="2">
          <cell r="A2" t="str">
            <v>APR</v>
          </cell>
        </row>
      </sheetData>
      <sheetData sheetId="117">
        <row r="2">
          <cell r="A2" t="str">
            <v>APR</v>
          </cell>
        </row>
      </sheetData>
      <sheetData sheetId="118">
        <row r="2">
          <cell r="A2" t="str">
            <v>APR</v>
          </cell>
        </row>
      </sheetData>
      <sheetData sheetId="119">
        <row r="2">
          <cell r="A2" t="str">
            <v>APR</v>
          </cell>
        </row>
      </sheetData>
      <sheetData sheetId="120">
        <row r="2">
          <cell r="A2" t="str">
            <v>APR</v>
          </cell>
        </row>
      </sheetData>
      <sheetData sheetId="121">
        <row r="2">
          <cell r="A2" t="str">
            <v>APR</v>
          </cell>
        </row>
      </sheetData>
      <sheetData sheetId="122">
        <row r="2">
          <cell r="A2" t="str">
            <v>APR</v>
          </cell>
        </row>
      </sheetData>
      <sheetData sheetId="123">
        <row r="2">
          <cell r="A2" t="str">
            <v>APR</v>
          </cell>
        </row>
      </sheetData>
      <sheetData sheetId="124">
        <row r="2">
          <cell r="A2" t="str">
            <v>APR</v>
          </cell>
        </row>
      </sheetData>
      <sheetData sheetId="125">
        <row r="2">
          <cell r="A2" t="str">
            <v>APR</v>
          </cell>
        </row>
      </sheetData>
      <sheetData sheetId="126">
        <row r="2">
          <cell r="A2" t="str">
            <v>APR</v>
          </cell>
        </row>
      </sheetData>
      <sheetData sheetId="127">
        <row r="2">
          <cell r="A2" t="str">
            <v>APR</v>
          </cell>
        </row>
      </sheetData>
      <sheetData sheetId="128">
        <row r="2">
          <cell r="A2" t="str">
            <v>APR</v>
          </cell>
        </row>
      </sheetData>
      <sheetData sheetId="129">
        <row r="2">
          <cell r="A2" t="str">
            <v>APR</v>
          </cell>
        </row>
      </sheetData>
      <sheetData sheetId="130">
        <row r="2">
          <cell r="A2" t="str">
            <v>APR</v>
          </cell>
        </row>
      </sheetData>
      <sheetData sheetId="131">
        <row r="2">
          <cell r="A2" t="str">
            <v>APR</v>
          </cell>
        </row>
      </sheetData>
      <sheetData sheetId="132">
        <row r="2">
          <cell r="A2" t="str">
            <v>APR</v>
          </cell>
        </row>
      </sheetData>
      <sheetData sheetId="133">
        <row r="2">
          <cell r="A2" t="str">
            <v>APR</v>
          </cell>
        </row>
      </sheetData>
      <sheetData sheetId="134">
        <row r="2">
          <cell r="A2" t="str">
            <v>APR</v>
          </cell>
        </row>
      </sheetData>
      <sheetData sheetId="135">
        <row r="2">
          <cell r="A2" t="str">
            <v>APR</v>
          </cell>
        </row>
      </sheetData>
      <sheetData sheetId="136">
        <row r="2">
          <cell r="A2" t="str">
            <v>APR</v>
          </cell>
        </row>
      </sheetData>
      <sheetData sheetId="137">
        <row r="2">
          <cell r="A2" t="str">
            <v>APR</v>
          </cell>
        </row>
      </sheetData>
      <sheetData sheetId="138">
        <row r="2">
          <cell r="A2" t="str">
            <v>APR</v>
          </cell>
        </row>
      </sheetData>
      <sheetData sheetId="139">
        <row r="2">
          <cell r="A2" t="str">
            <v>APR</v>
          </cell>
        </row>
      </sheetData>
      <sheetData sheetId="140">
        <row r="2">
          <cell r="A2" t="str">
            <v>APR</v>
          </cell>
        </row>
      </sheetData>
      <sheetData sheetId="141">
        <row r="2">
          <cell r="A2" t="str">
            <v>APR</v>
          </cell>
        </row>
      </sheetData>
      <sheetData sheetId="142">
        <row r="2">
          <cell r="A2" t="str">
            <v>APR</v>
          </cell>
        </row>
      </sheetData>
      <sheetData sheetId="143">
        <row r="2">
          <cell r="A2" t="str">
            <v>APR</v>
          </cell>
        </row>
      </sheetData>
      <sheetData sheetId="144">
        <row r="2">
          <cell r="A2" t="str">
            <v>APR</v>
          </cell>
        </row>
      </sheetData>
      <sheetData sheetId="145">
        <row r="2">
          <cell r="A2" t="str">
            <v>APR</v>
          </cell>
        </row>
      </sheetData>
      <sheetData sheetId="146">
        <row r="2">
          <cell r="A2" t="str">
            <v>APR</v>
          </cell>
        </row>
      </sheetData>
      <sheetData sheetId="147">
        <row r="2">
          <cell r="A2" t="str">
            <v>APR</v>
          </cell>
        </row>
      </sheetData>
      <sheetData sheetId="148">
        <row r="2">
          <cell r="A2" t="str">
            <v>APR</v>
          </cell>
        </row>
      </sheetData>
      <sheetData sheetId="149">
        <row r="2">
          <cell r="A2" t="str">
            <v>APR</v>
          </cell>
        </row>
      </sheetData>
      <sheetData sheetId="150">
        <row r="2">
          <cell r="A2" t="str">
            <v>APR</v>
          </cell>
        </row>
      </sheetData>
      <sheetData sheetId="151">
        <row r="2">
          <cell r="A2" t="str">
            <v>APR</v>
          </cell>
        </row>
      </sheetData>
      <sheetData sheetId="152" refreshError="1"/>
      <sheetData sheetId="153" refreshError="1"/>
      <sheetData sheetId="154" refreshError="1"/>
      <sheetData sheetId="155" refreshError="1"/>
      <sheetData sheetId="156" refreshError="1"/>
      <sheetData sheetId="157">
        <row r="2">
          <cell r="A2" t="str">
            <v>APR</v>
          </cell>
        </row>
      </sheetData>
      <sheetData sheetId="158" refreshError="1"/>
      <sheetData sheetId="159" refreshError="1"/>
      <sheetData sheetId="160" refreshError="1"/>
      <sheetData sheetId="161" refreshError="1"/>
      <sheetData sheetId="162" refreshError="1"/>
      <sheetData sheetId="163" refreshError="1"/>
      <sheetData sheetId="164" refreshError="1"/>
      <sheetData sheetId="165">
        <row r="2">
          <cell r="A2" t="str">
            <v>APR</v>
          </cell>
        </row>
      </sheetData>
      <sheetData sheetId="166">
        <row r="2">
          <cell r="A2" t="str">
            <v>APR</v>
          </cell>
        </row>
      </sheetData>
      <sheetData sheetId="167">
        <row r="2">
          <cell r="A2" t="str">
            <v>APR</v>
          </cell>
        </row>
      </sheetData>
      <sheetData sheetId="168">
        <row r="2">
          <cell r="A2" t="str">
            <v>APR</v>
          </cell>
        </row>
      </sheetData>
      <sheetData sheetId="169">
        <row r="2">
          <cell r="A2" t="str">
            <v>APR</v>
          </cell>
        </row>
      </sheetData>
      <sheetData sheetId="170">
        <row r="2">
          <cell r="A2" t="str">
            <v>APR</v>
          </cell>
        </row>
      </sheetData>
      <sheetData sheetId="171">
        <row r="2">
          <cell r="A2" t="str">
            <v>APR</v>
          </cell>
        </row>
      </sheetData>
      <sheetData sheetId="172">
        <row r="2">
          <cell r="A2" t="str">
            <v>APR</v>
          </cell>
        </row>
      </sheetData>
      <sheetData sheetId="173">
        <row r="2">
          <cell r="A2" t="str">
            <v>APR</v>
          </cell>
        </row>
      </sheetData>
      <sheetData sheetId="174">
        <row r="2">
          <cell r="A2" t="str">
            <v>APR</v>
          </cell>
        </row>
      </sheetData>
      <sheetData sheetId="175">
        <row r="2">
          <cell r="A2" t="str">
            <v>APR</v>
          </cell>
        </row>
      </sheetData>
      <sheetData sheetId="176" refreshError="1"/>
      <sheetData sheetId="177" refreshError="1"/>
      <sheetData sheetId="178" refreshError="1"/>
      <sheetData sheetId="179" refreshError="1"/>
      <sheetData sheetId="180" refreshError="1"/>
      <sheetData sheetId="181" refreshError="1"/>
      <sheetData sheetId="182" refreshError="1"/>
      <sheetData sheetId="183">
        <row r="2">
          <cell r="A2" t="str">
            <v>APR</v>
          </cell>
        </row>
      </sheetData>
      <sheetData sheetId="184">
        <row r="2">
          <cell r="A2" t="str">
            <v>APR</v>
          </cell>
        </row>
      </sheetData>
      <sheetData sheetId="185">
        <row r="2">
          <cell r="A2" t="str">
            <v>APR</v>
          </cell>
        </row>
      </sheetData>
      <sheetData sheetId="186">
        <row r="2">
          <cell r="A2" t="str">
            <v>APR</v>
          </cell>
        </row>
      </sheetData>
      <sheetData sheetId="187">
        <row r="2">
          <cell r="A2" t="str">
            <v>APR</v>
          </cell>
        </row>
      </sheetData>
      <sheetData sheetId="188">
        <row r="2">
          <cell r="A2" t="str">
            <v>APR</v>
          </cell>
        </row>
      </sheetData>
      <sheetData sheetId="189">
        <row r="2">
          <cell r="A2" t="str">
            <v>APR</v>
          </cell>
        </row>
      </sheetData>
      <sheetData sheetId="190">
        <row r="2">
          <cell r="A2" t="str">
            <v>APR</v>
          </cell>
        </row>
      </sheetData>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ow r="2">
          <cell r="A2" t="str">
            <v>APR</v>
          </cell>
        </row>
      </sheetData>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ow r="2">
          <cell r="A2" t="str">
            <v>APR</v>
          </cell>
        </row>
      </sheetData>
      <sheetData sheetId="228">
        <row r="2">
          <cell r="A2" t="str">
            <v>APR</v>
          </cell>
        </row>
      </sheetData>
      <sheetData sheetId="229">
        <row r="2">
          <cell r="A2" t="str">
            <v>APR</v>
          </cell>
        </row>
      </sheetData>
      <sheetData sheetId="230">
        <row r="2">
          <cell r="A2" t="str">
            <v>APR</v>
          </cell>
        </row>
      </sheetData>
      <sheetData sheetId="231">
        <row r="2">
          <cell r="A2" t="str">
            <v>APR</v>
          </cell>
        </row>
      </sheetData>
      <sheetData sheetId="232">
        <row r="2">
          <cell r="A2" t="str">
            <v>APR</v>
          </cell>
        </row>
      </sheetData>
      <sheetData sheetId="233">
        <row r="2">
          <cell r="A2" t="str">
            <v>APR</v>
          </cell>
        </row>
      </sheetData>
      <sheetData sheetId="234">
        <row r="2">
          <cell r="A2" t="str">
            <v>APR</v>
          </cell>
        </row>
      </sheetData>
      <sheetData sheetId="235">
        <row r="2">
          <cell r="A2" t="str">
            <v>APR</v>
          </cell>
        </row>
      </sheetData>
      <sheetData sheetId="236">
        <row r="2">
          <cell r="A2" t="str">
            <v>APR</v>
          </cell>
        </row>
      </sheetData>
      <sheetData sheetId="237">
        <row r="2">
          <cell r="A2" t="str">
            <v>APR</v>
          </cell>
        </row>
      </sheetData>
      <sheetData sheetId="238">
        <row r="2">
          <cell r="A2" t="str">
            <v>APR</v>
          </cell>
        </row>
      </sheetData>
      <sheetData sheetId="239">
        <row r="2">
          <cell r="A2" t="str">
            <v>APR</v>
          </cell>
        </row>
      </sheetData>
      <sheetData sheetId="240">
        <row r="2">
          <cell r="A2" t="str">
            <v>APR</v>
          </cell>
        </row>
      </sheetData>
      <sheetData sheetId="241">
        <row r="2">
          <cell r="A2" t="str">
            <v>APR</v>
          </cell>
        </row>
      </sheetData>
      <sheetData sheetId="242">
        <row r="2">
          <cell r="A2" t="str">
            <v>APR</v>
          </cell>
        </row>
      </sheetData>
      <sheetData sheetId="243">
        <row r="2">
          <cell r="A2" t="str">
            <v>APR</v>
          </cell>
        </row>
      </sheetData>
      <sheetData sheetId="244">
        <row r="2">
          <cell r="A2" t="str">
            <v>APR</v>
          </cell>
        </row>
      </sheetData>
      <sheetData sheetId="245">
        <row r="2">
          <cell r="A2" t="str">
            <v>APR</v>
          </cell>
        </row>
      </sheetData>
      <sheetData sheetId="246">
        <row r="2">
          <cell r="A2" t="str">
            <v>APR</v>
          </cell>
        </row>
      </sheetData>
      <sheetData sheetId="247">
        <row r="2">
          <cell r="A2" t="str">
            <v>APR</v>
          </cell>
        </row>
      </sheetData>
      <sheetData sheetId="248">
        <row r="2">
          <cell r="A2" t="str">
            <v>APR</v>
          </cell>
        </row>
      </sheetData>
      <sheetData sheetId="249">
        <row r="2">
          <cell r="A2" t="str">
            <v>APR</v>
          </cell>
        </row>
      </sheetData>
      <sheetData sheetId="250">
        <row r="2">
          <cell r="A2" t="str">
            <v>APR</v>
          </cell>
        </row>
      </sheetData>
      <sheetData sheetId="251">
        <row r="2">
          <cell r="A2" t="str">
            <v>APR</v>
          </cell>
        </row>
      </sheetData>
      <sheetData sheetId="252">
        <row r="2">
          <cell r="A2" t="str">
            <v>APR</v>
          </cell>
        </row>
      </sheetData>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ow r="2">
          <cell r="A2" t="str">
            <v>APR</v>
          </cell>
        </row>
      </sheetData>
      <sheetData sheetId="264">
        <row r="2">
          <cell r="A2" t="str">
            <v>APR</v>
          </cell>
        </row>
      </sheetData>
      <sheetData sheetId="265">
        <row r="2">
          <cell r="A2" t="str">
            <v>APR</v>
          </cell>
        </row>
      </sheetData>
      <sheetData sheetId="266">
        <row r="2">
          <cell r="A2" t="str">
            <v>APR</v>
          </cell>
        </row>
      </sheetData>
      <sheetData sheetId="267">
        <row r="2">
          <cell r="A2" t="str">
            <v>APR</v>
          </cell>
        </row>
      </sheetData>
      <sheetData sheetId="268">
        <row r="2">
          <cell r="A2" t="str">
            <v>APR</v>
          </cell>
        </row>
      </sheetData>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ow r="2">
          <cell r="A2" t="str">
            <v>APR</v>
          </cell>
        </row>
      </sheetData>
      <sheetData sheetId="307">
        <row r="2">
          <cell r="A2" t="str">
            <v>APR</v>
          </cell>
        </row>
      </sheetData>
      <sheetData sheetId="308">
        <row r="2">
          <cell r="A2" t="str">
            <v>APR</v>
          </cell>
        </row>
      </sheetData>
      <sheetData sheetId="309">
        <row r="2">
          <cell r="A2" t="str">
            <v>APR</v>
          </cell>
        </row>
      </sheetData>
      <sheetData sheetId="310">
        <row r="2">
          <cell r="A2" t="str">
            <v>APR</v>
          </cell>
        </row>
      </sheetData>
      <sheetData sheetId="311">
        <row r="2">
          <cell r="A2" t="str">
            <v>APR</v>
          </cell>
        </row>
      </sheetData>
      <sheetData sheetId="312">
        <row r="2">
          <cell r="A2" t="str">
            <v>APR</v>
          </cell>
        </row>
      </sheetData>
      <sheetData sheetId="313">
        <row r="2">
          <cell r="A2" t="str">
            <v>APR</v>
          </cell>
        </row>
      </sheetData>
      <sheetData sheetId="314">
        <row r="2">
          <cell r="A2" t="str">
            <v>APR</v>
          </cell>
        </row>
      </sheetData>
      <sheetData sheetId="315">
        <row r="2">
          <cell r="A2" t="str">
            <v>APR</v>
          </cell>
        </row>
      </sheetData>
      <sheetData sheetId="316">
        <row r="2">
          <cell r="A2" t="str">
            <v>APR</v>
          </cell>
        </row>
      </sheetData>
      <sheetData sheetId="317">
        <row r="2">
          <cell r="A2" t="str">
            <v>APR</v>
          </cell>
        </row>
      </sheetData>
      <sheetData sheetId="318">
        <row r="2">
          <cell r="A2" t="str">
            <v>APR</v>
          </cell>
        </row>
      </sheetData>
      <sheetData sheetId="319">
        <row r="2">
          <cell r="A2" t="str">
            <v>APR</v>
          </cell>
        </row>
      </sheetData>
      <sheetData sheetId="320">
        <row r="2">
          <cell r="A2" t="str">
            <v>APR</v>
          </cell>
        </row>
      </sheetData>
      <sheetData sheetId="321">
        <row r="2">
          <cell r="A2" t="str">
            <v>APR</v>
          </cell>
        </row>
      </sheetData>
      <sheetData sheetId="322">
        <row r="2">
          <cell r="A2" t="str">
            <v>APR</v>
          </cell>
        </row>
      </sheetData>
      <sheetData sheetId="323">
        <row r="2">
          <cell r="A2" t="str">
            <v>APR</v>
          </cell>
        </row>
      </sheetData>
      <sheetData sheetId="324">
        <row r="2">
          <cell r="A2" t="str">
            <v>APR</v>
          </cell>
        </row>
      </sheetData>
      <sheetData sheetId="325">
        <row r="2">
          <cell r="A2" t="str">
            <v>APR</v>
          </cell>
        </row>
      </sheetData>
      <sheetData sheetId="326">
        <row r="2">
          <cell r="A2" t="str">
            <v>APR</v>
          </cell>
        </row>
      </sheetData>
      <sheetData sheetId="327">
        <row r="2">
          <cell r="A2" t="str">
            <v>APR</v>
          </cell>
        </row>
      </sheetData>
      <sheetData sheetId="328">
        <row r="2">
          <cell r="A2" t="str">
            <v>APR</v>
          </cell>
        </row>
      </sheetData>
      <sheetData sheetId="329">
        <row r="2">
          <cell r="A2" t="str">
            <v>APR</v>
          </cell>
        </row>
      </sheetData>
      <sheetData sheetId="330">
        <row r="2">
          <cell r="A2" t="str">
            <v>APR</v>
          </cell>
        </row>
      </sheetData>
      <sheetData sheetId="331">
        <row r="2">
          <cell r="A2" t="str">
            <v>APR</v>
          </cell>
        </row>
      </sheetData>
      <sheetData sheetId="332">
        <row r="2">
          <cell r="A2" t="str">
            <v>APR</v>
          </cell>
        </row>
      </sheetData>
      <sheetData sheetId="333">
        <row r="2">
          <cell r="A2" t="str">
            <v>APR</v>
          </cell>
        </row>
      </sheetData>
      <sheetData sheetId="334">
        <row r="2">
          <cell r="A2" t="str">
            <v>APR</v>
          </cell>
        </row>
      </sheetData>
      <sheetData sheetId="335">
        <row r="2">
          <cell r="A2" t="str">
            <v>APR</v>
          </cell>
        </row>
      </sheetData>
      <sheetData sheetId="336">
        <row r="2">
          <cell r="A2" t="str">
            <v>APR</v>
          </cell>
        </row>
      </sheetData>
      <sheetData sheetId="337">
        <row r="2">
          <cell r="A2" t="str">
            <v>APR</v>
          </cell>
        </row>
      </sheetData>
      <sheetData sheetId="338">
        <row r="2">
          <cell r="A2" t="str">
            <v>APR</v>
          </cell>
        </row>
      </sheetData>
      <sheetData sheetId="339">
        <row r="2">
          <cell r="A2" t="str">
            <v>APR</v>
          </cell>
        </row>
      </sheetData>
      <sheetData sheetId="340">
        <row r="2">
          <cell r="A2" t="str">
            <v>APR</v>
          </cell>
        </row>
      </sheetData>
      <sheetData sheetId="341">
        <row r="2">
          <cell r="A2" t="str">
            <v>APR</v>
          </cell>
        </row>
      </sheetData>
      <sheetData sheetId="342">
        <row r="2">
          <cell r="A2" t="str">
            <v>APR</v>
          </cell>
        </row>
      </sheetData>
      <sheetData sheetId="343">
        <row r="2">
          <cell r="A2" t="str">
            <v>APR</v>
          </cell>
        </row>
      </sheetData>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refreshError="1"/>
      <sheetData sheetId="394" refreshError="1"/>
      <sheetData sheetId="395" refreshError="1"/>
      <sheetData sheetId="396" refreshError="1"/>
      <sheetData sheetId="397" refreshError="1"/>
      <sheetData sheetId="398"/>
      <sheetData sheetId="399"/>
      <sheetData sheetId="400">
        <row r="2">
          <cell r="A2" t="str">
            <v>APR</v>
          </cell>
        </row>
      </sheetData>
      <sheetData sheetId="401">
        <row r="2">
          <cell r="A2" t="str">
            <v>APR</v>
          </cell>
        </row>
      </sheetData>
      <sheetData sheetId="402"/>
      <sheetData sheetId="403"/>
      <sheetData sheetId="404"/>
      <sheetData sheetId="405">
        <row r="2">
          <cell r="A2" t="str">
            <v>APR</v>
          </cell>
        </row>
      </sheetData>
      <sheetData sheetId="406"/>
      <sheetData sheetId="407"/>
      <sheetData sheetId="408"/>
      <sheetData sheetId="409"/>
      <sheetData sheetId="410"/>
      <sheetData sheetId="411" refreshError="1"/>
      <sheetData sheetId="412" refreshError="1"/>
      <sheetData sheetId="413">
        <row r="2">
          <cell r="A2" t="str">
            <v>APR</v>
          </cell>
        </row>
      </sheetData>
      <sheetData sheetId="414">
        <row r="2">
          <cell r="A2" t="str">
            <v>APR</v>
          </cell>
        </row>
      </sheetData>
      <sheetData sheetId="415">
        <row r="2">
          <cell r="A2" t="str">
            <v>APR</v>
          </cell>
        </row>
      </sheetData>
      <sheetData sheetId="416">
        <row r="2">
          <cell r="A2" t="str">
            <v>APR</v>
          </cell>
        </row>
      </sheetData>
      <sheetData sheetId="417"/>
      <sheetData sheetId="418"/>
      <sheetData sheetId="419"/>
      <sheetData sheetId="420"/>
      <sheetData sheetId="421"/>
      <sheetData sheetId="422"/>
      <sheetData sheetId="423" refreshError="1"/>
      <sheetData sheetId="424" refreshError="1"/>
      <sheetData sheetId="425" refreshError="1"/>
      <sheetData sheetId="426" refreshError="1"/>
      <sheetData sheetId="427" refreshError="1"/>
      <sheetData sheetId="428" refreshError="1"/>
      <sheetData sheetId="429"/>
      <sheetData sheetId="430" refreshError="1"/>
      <sheetData sheetId="431" refreshError="1"/>
      <sheetData sheetId="432" refreshError="1"/>
      <sheetData sheetId="433" refreshError="1"/>
      <sheetData sheetId="434" refreshError="1"/>
      <sheetData sheetId="435" refreshError="1"/>
      <sheetData sheetId="436" refreshError="1"/>
      <sheetData sheetId="437">
        <row r="2">
          <cell r="A2" t="str">
            <v>APR</v>
          </cell>
        </row>
      </sheetData>
      <sheetData sheetId="438">
        <row r="2">
          <cell r="A2" t="str">
            <v>APR</v>
          </cell>
        </row>
      </sheetData>
      <sheetData sheetId="439"/>
      <sheetData sheetId="440"/>
      <sheetData sheetId="441"/>
      <sheetData sheetId="442"/>
      <sheetData sheetId="443"/>
      <sheetData sheetId="444"/>
      <sheetData sheetId="445"/>
      <sheetData sheetId="446"/>
      <sheetData sheetId="447"/>
      <sheetData sheetId="448"/>
      <sheetData sheetId="449">
        <row r="2">
          <cell r="A2" t="str">
            <v>APR</v>
          </cell>
        </row>
      </sheetData>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refreshError="1"/>
      <sheetData sheetId="47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ropdowns"/>
      <sheetName val="Fly-Bill 1"/>
      <sheetName val="1B-Site work"/>
      <sheetName val="1C-Conc work"/>
      <sheetName val="1D-Masonry"/>
      <sheetName val="1E-Metalwork"/>
      <sheetName val="1F-Woodwork"/>
      <sheetName val="1G-T&amp;M"/>
      <sheetName val="1H-Doors &amp; Windows"/>
      <sheetName val="1J-Finishes"/>
      <sheetName val="1K-Accessories"/>
      <sheetName val="1Q-Mech"/>
      <sheetName val="1R-Elec"/>
      <sheetName val="TH-2BR DUPLEX Summary"/>
    </sheetNames>
    <sheetDataSet>
      <sheetData sheetId="0">
        <row r="1">
          <cell r="A1" t="str">
            <v>Facilitating_works</v>
          </cell>
          <cell r="B1" t="str">
            <v>Piling</v>
          </cell>
          <cell r="C1" t="str">
            <v>Foundations_and_Base_Slabs</v>
          </cell>
          <cell r="D1" t="str">
            <v>Basement_Walls</v>
          </cell>
          <cell r="E1" t="str">
            <v>Frame</v>
          </cell>
          <cell r="F1" t="str">
            <v>Upper_Floors</v>
          </cell>
          <cell r="G1" t="str">
            <v>Roof</v>
          </cell>
          <cell r="H1" t="str">
            <v>Stairs</v>
          </cell>
          <cell r="I1" t="str">
            <v>External_Walls</v>
          </cell>
          <cell r="J1" t="str">
            <v>Windows_and_External_Doors</v>
          </cell>
          <cell r="K1" t="str">
            <v>Internal_Walls_and_Partitions</v>
          </cell>
          <cell r="L1" t="str">
            <v>Internal_Doors</v>
          </cell>
          <cell r="M1" t="str">
            <v>Wall_Finishes</v>
          </cell>
          <cell r="N1" t="str">
            <v>Floor_and_Stair_Finishes</v>
          </cell>
          <cell r="O1" t="str">
            <v>Ceiling_Finishes</v>
          </cell>
          <cell r="P1" t="str">
            <v>FFE</v>
          </cell>
          <cell r="Q1" t="str">
            <v>Loose_FFE_OSE</v>
          </cell>
          <cell r="R1" t="str">
            <v>Sanitary_Fittings</v>
          </cell>
          <cell r="S1" t="str">
            <v>Services_Equipment</v>
          </cell>
          <cell r="T1" t="str">
            <v>Disposal_Installations</v>
          </cell>
          <cell r="U1" t="str">
            <v>Water_Installations</v>
          </cell>
          <cell r="V1" t="str">
            <v>HVAC</v>
          </cell>
          <cell r="W1" t="str">
            <v>Fire_Fighting_Installations</v>
          </cell>
          <cell r="X1" t="str">
            <v>LPG</v>
          </cell>
          <cell r="Y1" t="str">
            <v>Electrical</v>
          </cell>
          <cell r="Z1" t="str">
            <v>Fire_Alarm</v>
          </cell>
          <cell r="AA1" t="str">
            <v>Communication_Security_and_Control_Systems</v>
          </cell>
          <cell r="AB1" t="str">
            <v>Conveying_Systems</v>
          </cell>
          <cell r="AC1" t="str">
            <v>Prefab_Buildings</v>
          </cell>
          <cell r="AD1" t="str">
            <v>Site_Preparation</v>
          </cell>
          <cell r="AE1" t="str">
            <v>Roads_Paths_Pavings</v>
          </cell>
          <cell r="AF1" t="str">
            <v>Soft_Landscaping</v>
          </cell>
          <cell r="AG1" t="str">
            <v>Swimming_Pools</v>
          </cell>
          <cell r="AH1" t="str">
            <v>Fencing_Railing_and_Walls</v>
          </cell>
          <cell r="AI1" t="str">
            <v>External_Fixtures</v>
          </cell>
          <cell r="AJ1" t="str">
            <v>External_Drainage</v>
          </cell>
          <cell r="AK1" t="str">
            <v>External_Services</v>
          </cell>
          <cell r="AL1" t="str">
            <v>Minor_Building_Works</v>
          </cell>
          <cell r="AM1" t="str">
            <v>Golf_Course</v>
          </cell>
          <cell r="AN1" t="str">
            <v>Demolition_Works</v>
          </cell>
          <cell r="AO1" t="str">
            <v>Alteration_works</v>
          </cell>
          <cell r="AP1" t="str">
            <v xml:space="preserve">Repairs_to_existing_services </v>
          </cell>
          <cell r="AQ1" t="str">
            <v xml:space="preserve">Upgrading_existing_services </v>
          </cell>
          <cell r="AR1" t="str">
            <v xml:space="preserve">Renovation_works </v>
          </cell>
          <cell r="AS1" t="str">
            <v>Spares</v>
          </cell>
          <cell r="AT1" t="str">
            <v>General_Requirements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A (Client)"/>
      <sheetName val="Input B (ProjectSite)"/>
      <sheetName val="Input C (Entity)"/>
      <sheetName val="Use templates"/>
      <sheetName val="Lookups"/>
      <sheetName val="Initial Data"/>
      <sheetName val="Input_A_(Client)"/>
      <sheetName val="Input_B_(ProjectSite)"/>
      <sheetName val="Input_C_(Entity)"/>
      <sheetName val="Use_templates"/>
      <sheetName val="Initial_Data"/>
      <sheetName val="Input_A_(Client)1"/>
      <sheetName val="Input_B_(ProjectSite)1"/>
      <sheetName val="Input_C_(Entity)1"/>
      <sheetName val="Use_templates1"/>
      <sheetName val="Initial_Data1"/>
      <sheetName val="Input_A_(Client)2"/>
      <sheetName val="Input_B_(ProjectSite)2"/>
      <sheetName val="Input_C_(Entity)2"/>
      <sheetName val="Use_templates2"/>
      <sheetName val="Initial_Data2"/>
      <sheetName val="Input_A_(Client)3"/>
      <sheetName val="Input_B_(ProjectSite)3"/>
      <sheetName val="Input_C_(Entity)3"/>
      <sheetName val="Use_templates3"/>
      <sheetName val="Initial_Data3"/>
      <sheetName val="Dropdown list"/>
      <sheetName val="CANDY BOQ"/>
      <sheetName val="Input_A_(Client)4"/>
      <sheetName val="Input_B_(ProjectSite)4"/>
      <sheetName val="Input_C_(Entity)4"/>
      <sheetName val="Use_templates4"/>
      <sheetName val="Initial_Data4"/>
      <sheetName val="Dropdown_list"/>
      <sheetName val="CANDY_BOQ"/>
      <sheetName val="Input_A_(Client)5"/>
      <sheetName val="Input_B_(ProjectSite)5"/>
      <sheetName val="Input_C_(Entity)5"/>
      <sheetName val="Use_templates5"/>
      <sheetName val="Initial_Data5"/>
      <sheetName val="Dropdown_list1"/>
      <sheetName val="CANDY_BOQ1"/>
      <sheetName val="Input_A_(Client)6"/>
      <sheetName val="Input_B_(ProjectSite)6"/>
      <sheetName val="Input_C_(Entity)6"/>
      <sheetName val="Use_templates6"/>
      <sheetName val="Initial_Data6"/>
      <sheetName val="Dropdown_list2"/>
      <sheetName val="CANDY_BOQ2"/>
      <sheetName val="Input_A_(Client)7"/>
      <sheetName val="Input_B_(ProjectSite)7"/>
      <sheetName val="Input_C_(Entity)7"/>
      <sheetName val="Use_templates7"/>
      <sheetName val="Initial_Data7"/>
      <sheetName val="Dropdown_list3"/>
      <sheetName val="CANDY_BOQ3"/>
      <sheetName val="Input_A_(Client)8"/>
      <sheetName val="Input_B_(ProjectSite)8"/>
      <sheetName val="Input_C_(Entity)8"/>
      <sheetName val="Use_templates8"/>
      <sheetName val="Initial_Data8"/>
      <sheetName val="Dropdown_list4"/>
      <sheetName val="CANDY_BOQ4"/>
      <sheetName val="Dropdowns"/>
      <sheetName val="Summary"/>
      <sheetName val="Input_A_(Client)9"/>
      <sheetName val="Input_B_(ProjectSite)9"/>
      <sheetName val="Input_C_(Entity)9"/>
      <sheetName val="Use_templates9"/>
      <sheetName val="Initial_Data9"/>
      <sheetName val="Dropdown_list5"/>
      <sheetName val="CANDY_BOQ5"/>
      <sheetName val="DATA"/>
      <sheetName val="Input_A_(Client)10"/>
      <sheetName val="Input_B_(ProjectSite)10"/>
      <sheetName val="Input_C_(Entity)10"/>
      <sheetName val="Use_templates10"/>
      <sheetName val="Initial_Data10"/>
      <sheetName val="Dropdown_list6"/>
      <sheetName val="CANDY_BOQ6"/>
      <sheetName val="Details for Charts"/>
      <sheetName val="9. Package split - Cost "/>
      <sheetName val="Labor abs-NMR"/>
      <sheetName val="SPEC"/>
      <sheetName val="BoatTMP"/>
      <sheetName val="Inputs"/>
      <sheetName val="Novotel Port Saeed IT sheet"/>
      <sheetName val="BOQ"/>
      <sheetName val="Manning Schedule"/>
      <sheetName val="strand"/>
      <sheetName val="Plot 1"/>
      <sheetName val="Podium Areas"/>
      <sheetName val="Consolidated"/>
      <sheetName val="rc01"/>
      <sheetName val="RA-markate"/>
      <sheetName val="E_Summary"/>
      <sheetName val="D_Cntnts"/>
      <sheetName val="4.boq-site(o)"/>
      <sheetName val="Pipe-Weekly"/>
      <sheetName val="tender allowances"/>
      <sheetName val="RCC,Ret. Wall"/>
      <sheetName val="Contractors"/>
      <sheetName val="Schedules"/>
      <sheetName val="pipes"/>
      <sheetName val="CATV Pojacavac"/>
      <sheetName val="CATV SPLITTER"/>
      <sheetName val="CATV TAP-s"/>
      <sheetName val="BREAK UP SHEET"/>
      <sheetName val="001"/>
      <sheetName val="PRL"/>
      <sheetName val="Budget Analysis"/>
      <sheetName val="Universe of Retailers (INPUT)"/>
      <sheetName val="Build-up"/>
      <sheetName val="Sheet1"/>
      <sheetName val="확정실적"/>
      <sheetName val="Drop Down List"/>
      <sheetName val="DSB"/>
      <sheetName val="SRC-B3U2"/>
      <sheetName val="Plant &amp;  Machinery"/>
      <sheetName val="REL"/>
      <sheetName val="Nov2000"/>
      <sheetName val="Planned"/>
      <sheetName val="Labour &amp; Plant"/>
      <sheetName val="P-Sum-Cab"/>
      <sheetName val="Pivot Nature Initial"/>
      <sheetName val="FORM7"/>
      <sheetName val="Input_A_(Client)11"/>
      <sheetName val="Input_B_(ProjectSite)11"/>
      <sheetName val="Input_C_(Entity)11"/>
      <sheetName val="Use_templates11"/>
      <sheetName val="Initial_Data11"/>
      <sheetName val="Dropdown_list7"/>
      <sheetName val="CANDY_BOQ7"/>
      <sheetName val="Details_for_Charts"/>
      <sheetName val="9__Package_split_-_Cost_"/>
      <sheetName val="Labor_abs-NMR"/>
      <sheetName val="Novotel_Port_Saeed_IT_sheet"/>
      <sheetName val="Manning_Schedule"/>
      <sheetName val="Podium_Areas"/>
      <sheetName val="Budget_Analysis"/>
      <sheetName val="Pivot_Nature_Initial"/>
      <sheetName val="4_boq-site(o)"/>
      <sheetName val="Plot_1"/>
      <sheetName val="tender_allowances"/>
      <sheetName val="RCC,Ret__Wall"/>
      <sheetName val="BREAK_UP_SHEET"/>
      <sheetName val="CATV_Pojacavac"/>
      <sheetName val="CATV_SPLITTER"/>
      <sheetName val="CATV_TAP-s"/>
      <sheetName val="Universe_of_Retailers_(INPUT)"/>
      <sheetName val="Drop_Down_List"/>
      <sheetName val="PFPi Input Sheets"/>
    </sheetNames>
    <sheetDataSet>
      <sheetData sheetId="0"/>
      <sheetData sheetId="1"/>
      <sheetData sheetId="2"/>
      <sheetData sheetId="3"/>
      <sheetData sheetId="4">
        <row r="3">
          <cell r="K3" t="str">
            <v>Feasibility</v>
          </cell>
          <cell r="AV3" t="str">
            <v>Major off-site</v>
          </cell>
        </row>
        <row r="4">
          <cell r="AV4" t="str">
            <v>Minor off-site</v>
          </cell>
        </row>
        <row r="5">
          <cell r="AV5" t="str">
            <v>Not significant</v>
          </cell>
        </row>
      </sheetData>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sheetData sheetId="66"/>
      <sheetData sheetId="67"/>
      <sheetData sheetId="68"/>
      <sheetData sheetId="69"/>
      <sheetData sheetId="70"/>
      <sheetData sheetId="71"/>
      <sheetData sheetId="72" refreshError="1"/>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s"/>
      <sheetName val="Bldg Entity 1"/>
      <sheetName val="Preliminaries"/>
      <sheetName val="Fees"/>
      <sheetName val="Lookup data"/>
      <sheetName val="AldarBD_DIT_v2_081027"/>
      <sheetName val="ancillary"/>
      <sheetName val="Bldg_Entity_1"/>
      <sheetName val="Lookup_data"/>
      <sheetName val="Bldg_Entity_11"/>
      <sheetName val="Lookup_data1"/>
      <sheetName val="Bldg_Entity_12"/>
      <sheetName val="Lookup_data2"/>
      <sheetName val="Bldg_Entity_13"/>
      <sheetName val="Lookup_data3"/>
      <sheetName val="Manning Schedule"/>
      <sheetName val="Lookups"/>
      <sheetName val="Bldg_Entity_14"/>
      <sheetName val="Lookup_data4"/>
      <sheetName val="Manning_Schedule"/>
      <sheetName val="Bldg_Entity_15"/>
      <sheetName val="Lookup_data5"/>
      <sheetName val="Manning_Schedule1"/>
      <sheetName val="Bldg_Entity_16"/>
      <sheetName val="Lookup_data6"/>
      <sheetName val="Manning_Schedule2"/>
      <sheetName val="Bldg_Entity_17"/>
      <sheetName val="Lookup_data7"/>
      <sheetName val="Manning_Schedule3"/>
      <sheetName val="Bldg_Entity_18"/>
      <sheetName val="Lookup_data8"/>
      <sheetName val="Manning_Schedule4"/>
      <sheetName val="Bldg_Entity_19"/>
      <sheetName val="Lookup_data9"/>
      <sheetName val="Manning_Schedule5"/>
      <sheetName val="Bldg_Entity_110"/>
      <sheetName val="Lookup_data10"/>
      <sheetName val="Manning_Schedule6"/>
      <sheetName val="AD ST"/>
      <sheetName val="9. Package split - Cost "/>
      <sheetName val="CANDY BOQ"/>
      <sheetName val="MH Compensate-Nov"/>
      <sheetName val="G"/>
      <sheetName val="Labor abs-NMR"/>
      <sheetName val="Sheet3 (2)"/>
      <sheetName val="MainWork Qty &amp; U.P."/>
      <sheetName val="RA-markate"/>
      <sheetName val="pri-com"/>
      <sheetName val="CF Input"/>
      <sheetName val="Certificates"/>
      <sheetName val="DATA INPUT"/>
      <sheetName val="D_Cntnts"/>
      <sheetName val="Field Values"/>
      <sheetName val="Consolidated"/>
      <sheetName val="Break up Sheet"/>
      <sheetName val="orgoae"/>
      <sheetName val="1. Overview (Vida Resi)"/>
      <sheetName val="1b. Asset Allocation(FOFC)"/>
      <sheetName val="2b. Key Allocation"/>
      <sheetName val="Project Data Guide"/>
      <sheetName val="Manning_Schedule8"/>
      <sheetName val="Key Assumptions"/>
      <sheetName val="RCC,Ret. Wall"/>
      <sheetName val="Inputs"/>
      <sheetName val="rc01"/>
      <sheetName val="ETA"/>
      <sheetName val="ESTIMATE"/>
      <sheetName val="Demand"/>
      <sheetName val="Occ"/>
      <sheetName val="Summ"/>
      <sheetName val="PCC"/>
      <sheetName val="P-Sum-Cab"/>
      <sheetName val="1. Summary Sheet"/>
      <sheetName val="Summary"/>
      <sheetName val="SOA"/>
      <sheetName val="1 BED "/>
      <sheetName val="Podium Areas"/>
      <sheetName val="RFP002"/>
      <sheetName val="Cul_detail"/>
      <sheetName val="Schedules"/>
      <sheetName val="Data"/>
      <sheetName val="Budget Analysis"/>
      <sheetName val="Breakdown"/>
      <sheetName val="충주"/>
      <sheetName val="OBI SNWE"/>
      <sheetName val="Bldg_Entity_111"/>
      <sheetName val="Lookup_data11"/>
      <sheetName val="Manning_Schedule7"/>
      <sheetName val="AD_ST"/>
      <sheetName val="9__Package_split_-_Cost_"/>
      <sheetName val="CANDY_BOQ"/>
      <sheetName val="MH_Compensate-Nov"/>
      <sheetName val="Labor_abs-NMR"/>
      <sheetName val="Sheet3_(2)"/>
      <sheetName val="MainWork_Qty_&amp;_U_P_"/>
      <sheetName val="Break_up_Sheet"/>
      <sheetName val="CF_Input"/>
      <sheetName val="DATA_INPUT"/>
      <sheetName val="Field_Values"/>
      <sheetName val="Key_Assumptions"/>
      <sheetName val="Project_Data_Guide"/>
      <sheetName val="RCC,Ret__Wall"/>
      <sheetName val="1__Overview_(Vida_Resi)"/>
      <sheetName val="1b__Asset_Allocation(FOFC)"/>
      <sheetName val="2b__Key_Allocation"/>
      <sheetName val="1_BED_"/>
      <sheetName val="Podium_Areas"/>
      <sheetName val="1__Summary_Sheet"/>
      <sheetName val="Trial"/>
      <sheetName val="Sched"/>
      <sheetName val="FA_Final"/>
      <sheetName val="Budget_Analysis"/>
      <sheetName val="Ref_Sheet"/>
      <sheetName val="1. NI"/>
      <sheetName val="5. Opex"/>
      <sheetName val="TP1"/>
      <sheetName val="AHU"/>
    </sheetNames>
    <sheetDataSet>
      <sheetData sheetId="0"/>
      <sheetData sheetId="1"/>
      <sheetData sheetId="2"/>
      <sheetData sheetId="3"/>
      <sheetData sheetId="4">
        <row r="3">
          <cell r="A3" t="str">
            <v>Al Gurm Resort</v>
          </cell>
          <cell r="M3" t="str">
            <v>Single stage tender</v>
          </cell>
        </row>
        <row r="4">
          <cell r="M4" t="str">
            <v>Two stage tender</v>
          </cell>
        </row>
        <row r="5">
          <cell r="M5" t="str">
            <v>Negotiated</v>
          </cell>
        </row>
        <row r="6">
          <cell r="M6" t="str">
            <v>Partnering / Framework</v>
          </cell>
        </row>
        <row r="7">
          <cell r="M7" t="str">
            <v>Not Known</v>
          </cell>
        </row>
      </sheetData>
      <sheetData sheetId="5" refreshError="1"/>
      <sheetData sheetId="6" refreshError="1"/>
      <sheetData sheetId="7">
        <row r="3">
          <cell r="A3" t="str">
            <v>Al Gurm Resort</v>
          </cell>
        </row>
      </sheetData>
      <sheetData sheetId="8">
        <row r="3">
          <cell r="A3" t="str">
            <v>Al Gurm Resort</v>
          </cell>
        </row>
      </sheetData>
      <sheetData sheetId="9">
        <row r="3">
          <cell r="A3" t="str">
            <v>Al Gurm Resort</v>
          </cell>
        </row>
      </sheetData>
      <sheetData sheetId="10">
        <row r="3">
          <cell r="A3" t="str">
            <v>Al Gurm Resort</v>
          </cell>
        </row>
      </sheetData>
      <sheetData sheetId="11">
        <row r="3">
          <cell r="A3" t="str">
            <v>Al Gurm Resort</v>
          </cell>
        </row>
      </sheetData>
      <sheetData sheetId="12">
        <row r="3">
          <cell r="A3" t="str">
            <v>Al Gurm Resort</v>
          </cell>
        </row>
      </sheetData>
      <sheetData sheetId="13">
        <row r="3">
          <cell r="A3" t="str">
            <v>Al Gurm Resort</v>
          </cell>
        </row>
      </sheetData>
      <sheetData sheetId="14">
        <row r="3">
          <cell r="A3" t="str">
            <v>Al Gurm Resort</v>
          </cell>
        </row>
      </sheetData>
      <sheetData sheetId="15" refreshError="1"/>
      <sheetData sheetId="16" refreshError="1"/>
      <sheetData sheetId="17"/>
      <sheetData sheetId="18">
        <row r="3">
          <cell r="A3" t="str">
            <v>Al Gurm Resort</v>
          </cell>
        </row>
      </sheetData>
      <sheetData sheetId="19"/>
      <sheetData sheetId="20"/>
      <sheetData sheetId="21">
        <row r="3">
          <cell r="A3" t="str">
            <v>Al Gurm Resort</v>
          </cell>
        </row>
      </sheetData>
      <sheetData sheetId="22"/>
      <sheetData sheetId="23"/>
      <sheetData sheetId="24">
        <row r="3">
          <cell r="A3" t="str">
            <v>Al Gurm Resort</v>
          </cell>
        </row>
      </sheetData>
      <sheetData sheetId="25"/>
      <sheetData sheetId="26"/>
      <sheetData sheetId="27">
        <row r="3">
          <cell r="A3" t="str">
            <v>Al Gurm Resort</v>
          </cell>
        </row>
      </sheetData>
      <sheetData sheetId="28"/>
      <sheetData sheetId="29"/>
      <sheetData sheetId="30">
        <row r="3">
          <cell r="A3" t="str">
            <v>Al Gurm Resort</v>
          </cell>
        </row>
      </sheetData>
      <sheetData sheetId="31"/>
      <sheetData sheetId="32"/>
      <sheetData sheetId="33">
        <row r="3">
          <cell r="A3" t="str">
            <v>Al Gurm Resort</v>
          </cell>
        </row>
      </sheetData>
      <sheetData sheetId="34"/>
      <sheetData sheetId="35">
        <row r="3">
          <cell r="A3" t="str">
            <v>Al Gurm Resort</v>
          </cell>
        </row>
      </sheetData>
      <sheetData sheetId="36">
        <row r="3">
          <cell r="A3" t="str">
            <v>Al Gurm Resort</v>
          </cell>
        </row>
      </sheetData>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row r="3">
          <cell r="A3" t="str">
            <v>Al Gurm Resort</v>
          </cell>
        </row>
      </sheetData>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refreshError="1"/>
      <sheetData sheetId="109" refreshError="1"/>
      <sheetData sheetId="110" refreshError="1"/>
      <sheetData sheetId="111"/>
      <sheetData sheetId="112" refreshError="1"/>
      <sheetData sheetId="113" refreshError="1"/>
      <sheetData sheetId="114" refreshError="1"/>
      <sheetData sheetId="115" refreshError="1"/>
      <sheetData sheetId="1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
      <sheetName val="1"/>
      <sheetName val="2"/>
      <sheetName val="4"/>
      <sheetName val="5"/>
      <sheetName val="6"/>
      <sheetName val="7"/>
      <sheetName val="8"/>
      <sheetName val="9"/>
      <sheetName val="10"/>
      <sheetName val="11"/>
      <sheetName val="Areas"/>
      <sheetName val="Ops"/>
      <sheetName val="Net rent analysis"/>
      <sheetName val="Net_rent_analysis"/>
      <sheetName val="Net_rent_analysis1"/>
      <sheetName val="Net_rent_analysis2"/>
      <sheetName val="Net_rent_analysis3"/>
      <sheetName val="Cover"/>
      <sheetName val="BOQ"/>
      <sheetName val="Lookup data"/>
      <sheetName val="Net_rent_analysis4"/>
      <sheetName val="Lookup_data"/>
      <sheetName val="QUOTE_E"/>
      <sheetName val="13. Steel - Ratio"/>
      <sheetName val="final abstract"/>
      <sheetName val="Labor abs-NMR"/>
      <sheetName val="QS Name"/>
      <sheetName val="10. &amp; 11. Rate Code &amp; BQ"/>
      <sheetName val="Cell 38-Measurements (rev-01)"/>
      <sheetName val="C3"/>
      <sheetName val="Sheet1"/>
      <sheetName val="Lookups"/>
      <sheetName val="CHIFLET"/>
      <sheetName val="NCR LOG"/>
      <sheetName val="Concrete"/>
      <sheetName val="RA-markate"/>
      <sheetName val=" Summary BKG 034"/>
      <sheetName val="UTILITIES"/>
      <sheetName val="Project Data Guide"/>
      <sheetName val="NCR_LOG3"/>
      <sheetName val="Civil Boq"/>
      <sheetName val="改加胶玻璃、室外栏杆"/>
      <sheetName val="Database"/>
      <sheetName val="schedule nos"/>
      <sheetName val="Totowa commitment"/>
      <sheetName val="Summary year Plan"/>
      <sheetName val="I.P. No 1"/>
      <sheetName val="슬래브1"/>
      <sheetName val="REINF-WTM"/>
      <sheetName val="Front Sheet"/>
      <sheetName val="Valesco Paste"/>
      <sheetName val="w't table"/>
      <sheetName val="TAB2 LOAD"/>
      <sheetName val="Pur"/>
      <sheetName val="External Doors"/>
      <sheetName val="Controls"/>
      <sheetName val="lists"/>
      <sheetName val="Demand"/>
    </sheetNames>
    <sheetDataSet>
      <sheetData sheetId="0">
        <row r="7">
          <cell r="D7">
            <v>3550.4100000000003</v>
          </cell>
        </row>
        <row r="41">
          <cell r="C41">
            <v>3550.4100000000003</v>
          </cell>
        </row>
      </sheetData>
      <sheetData sheetId="1"/>
      <sheetData sheetId="2">
        <row r="7">
          <cell r="D7">
            <v>3550.4100000000003</v>
          </cell>
        </row>
      </sheetData>
      <sheetData sheetId="3"/>
      <sheetData sheetId="4"/>
      <sheetData sheetId="5"/>
      <sheetData sheetId="6"/>
      <sheetData sheetId="7"/>
      <sheetData sheetId="8"/>
      <sheetData sheetId="9"/>
      <sheetData sheetId="10"/>
      <sheetData sheetId="11"/>
      <sheetData sheetId="12"/>
      <sheetData sheetId="13" refreshError="1"/>
      <sheetData sheetId="14"/>
      <sheetData sheetId="15"/>
      <sheetData sheetId="16"/>
      <sheetData sheetId="17"/>
      <sheetData sheetId="18"/>
      <sheetData sheetId="19"/>
      <sheetData sheetId="20" refreshError="1"/>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3"/>
      <sheetName val="4"/>
      <sheetName val="5"/>
      <sheetName val="6"/>
      <sheetName val="7"/>
      <sheetName val="8"/>
      <sheetName val="9"/>
      <sheetName val="10"/>
      <sheetName val="11"/>
      <sheetName val="External Doors"/>
      <sheetName val="External_Doors"/>
      <sheetName val="External_Doors1"/>
      <sheetName val="External_Doors2"/>
      <sheetName val="External_Doors3"/>
      <sheetName val="253 Villas"/>
      <sheetName val="External_Doors4"/>
      <sheetName val="253_Villas"/>
      <sheetName val="External_Doors5"/>
      <sheetName val="253_Villas1"/>
      <sheetName val="External_Doors6"/>
      <sheetName val="253_Villas2"/>
      <sheetName val="External_Doors7"/>
      <sheetName val="253_Villas3"/>
      <sheetName val="External_Doors8"/>
      <sheetName val="253_Villas4"/>
      <sheetName val="External_Doors9"/>
      <sheetName val="253_Villas5"/>
      <sheetName val="External_Doors10"/>
      <sheetName val="253_Villas6"/>
      <sheetName val="BOQ"/>
      <sheetName val="final abstract"/>
      <sheetName val="Civil Boq"/>
      <sheetName val="Cover"/>
      <sheetName val="10. &amp; 11. Rate Code &amp; BQ"/>
      <sheetName val="Internal Finishes (Unit types)"/>
      <sheetName val="공사비 내역 (가)"/>
      <sheetName val="Basement, A, C &amp; Podium"/>
      <sheetName val="sept-plan"/>
      <sheetName val="analysis-superstructure"/>
      <sheetName val="Labor abs-NMR"/>
      <sheetName val="Summary year Plan"/>
      <sheetName val="CHIFLET"/>
      <sheetName val="Summary"/>
      <sheetName val="Dropdown"/>
      <sheetName val="PRECAST lightconc-II"/>
      <sheetName val="Option"/>
      <sheetName val="Dropdowns"/>
      <sheetName val="55 Villas"/>
      <sheetName val="INPUT"/>
      <sheetName val="pvc vent"/>
      <sheetName val="Introduction"/>
      <sheetName val="STEEL STRUCTURE"/>
      <sheetName val="A"/>
      <sheetName val="T&amp;M"/>
      <sheetName val="Data"/>
      <sheetName val="Cell 1-Raft-Measurements"/>
      <sheetName val="External_Doors11"/>
      <sheetName val="253_Villas7"/>
      <sheetName val="Civil_Boq"/>
      <sheetName val="final_abstract"/>
      <sheetName val="10__&amp;_11__Rate_Code_&amp;_BQ"/>
      <sheetName val="Basement,_A,_C_&amp;_Podium"/>
      <sheetName val="Internal_Finishes_(Unit_types)"/>
      <sheetName val="공사비_내역_(가)"/>
      <sheetName val="Labor_abs-NMR"/>
      <sheetName val="Summary_year_Plan"/>
      <sheetName val="PRECAST_lightconc-II"/>
      <sheetName val="QUOTE_E"/>
      <sheetName val="Lookups"/>
      <sheetName val="I.P. No 1"/>
      <sheetName val="pvc_vent"/>
    </sheetNames>
    <sheetDataSet>
      <sheetData sheetId="0">
        <row r="3">
          <cell r="B3">
            <v>1</v>
          </cell>
        </row>
      </sheetData>
      <sheetData sheetId="1">
        <row r="7">
          <cell r="D7">
            <v>4028.2618999999981</v>
          </cell>
        </row>
      </sheetData>
      <sheetData sheetId="2">
        <row r="18">
          <cell r="N18">
            <v>2990.54</v>
          </cell>
        </row>
      </sheetData>
      <sheetData sheetId="3">
        <row r="20">
          <cell r="F20">
            <v>1495.27</v>
          </cell>
        </row>
      </sheetData>
      <sheetData sheetId="4">
        <row r="20">
          <cell r="E20">
            <v>0</v>
          </cell>
        </row>
      </sheetData>
      <sheetData sheetId="5">
        <row r="16">
          <cell r="Z16">
            <v>254.41115811486179</v>
          </cell>
        </row>
      </sheetData>
      <sheetData sheetId="6">
        <row r="45">
          <cell r="B45">
            <v>55.66</v>
          </cell>
        </row>
      </sheetData>
      <sheetData sheetId="7">
        <row r="41">
          <cell r="L41">
            <v>20.032992000000014</v>
          </cell>
        </row>
      </sheetData>
      <sheetData sheetId="8">
        <row r="25">
          <cell r="H25">
            <v>139.56</v>
          </cell>
          <cell r="N25">
            <v>411.46300000000002</v>
          </cell>
        </row>
      </sheetData>
      <sheetData sheetId="9">
        <row r="38">
          <cell r="G38">
            <v>18.980000000000004</v>
          </cell>
        </row>
      </sheetData>
      <sheetData sheetId="10">
        <row r="24">
          <cell r="C24">
            <v>490.6</v>
          </cell>
        </row>
      </sheetData>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 Id="rId5" Type="http://schemas.openxmlformats.org/officeDocument/2006/relationships/printerSettings" Target="../printerSettings/printerSettings11.bin"/><Relationship Id="rId4" Type="http://schemas.openxmlformats.org/officeDocument/2006/relationships/printerSettings" Target="../printerSettings/printerSettings10.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printerSettings" Target="../printerSettings/printerSettings13.bin"/><Relationship Id="rId1" Type="http://schemas.openxmlformats.org/officeDocument/2006/relationships/printerSettings" Target="../printerSettings/printerSettings12.bin"/><Relationship Id="rId5" Type="http://schemas.openxmlformats.org/officeDocument/2006/relationships/printerSettings" Target="../printerSettings/printerSettings16.bin"/><Relationship Id="rId4" Type="http://schemas.openxmlformats.org/officeDocument/2006/relationships/printerSettings" Target="../printerSettings/printerSettings15.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 Id="rId5" Type="http://schemas.openxmlformats.org/officeDocument/2006/relationships/printerSettings" Target="../printerSettings/printerSettings21.bin"/><Relationship Id="rId4" Type="http://schemas.openxmlformats.org/officeDocument/2006/relationships/printerSettings" Target="../printerSettings/printerSettings20.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printerSettings" Target="../printerSettings/printerSettings23.bin"/><Relationship Id="rId1" Type="http://schemas.openxmlformats.org/officeDocument/2006/relationships/printerSettings" Target="../printerSettings/printerSettings22.bin"/><Relationship Id="rId5" Type="http://schemas.openxmlformats.org/officeDocument/2006/relationships/printerSettings" Target="../printerSettings/printerSettings26.bin"/><Relationship Id="rId4" Type="http://schemas.openxmlformats.org/officeDocument/2006/relationships/printerSettings" Target="../printerSettings/printerSettings25.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 Id="rId5" Type="http://schemas.openxmlformats.org/officeDocument/2006/relationships/printerSettings" Target="../printerSettings/printerSettings31.bin"/><Relationship Id="rId4" Type="http://schemas.openxmlformats.org/officeDocument/2006/relationships/printerSettings" Target="../printerSettings/printerSettings30.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34.bin"/><Relationship Id="rId2" Type="http://schemas.openxmlformats.org/officeDocument/2006/relationships/printerSettings" Target="../printerSettings/printerSettings33.bin"/><Relationship Id="rId1" Type="http://schemas.openxmlformats.org/officeDocument/2006/relationships/printerSettings" Target="../printerSettings/printerSettings32.bin"/><Relationship Id="rId5" Type="http://schemas.openxmlformats.org/officeDocument/2006/relationships/printerSettings" Target="../printerSettings/printerSettings36.bin"/><Relationship Id="rId4" Type="http://schemas.openxmlformats.org/officeDocument/2006/relationships/printerSettings" Target="../printerSettings/printerSettings35.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 Id="rId5" Type="http://schemas.openxmlformats.org/officeDocument/2006/relationships/printerSettings" Target="../printerSettings/printerSettings41.bin"/><Relationship Id="rId4" Type="http://schemas.openxmlformats.org/officeDocument/2006/relationships/printerSettings" Target="../printerSettings/printerSettings40.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44.bin"/><Relationship Id="rId2" Type="http://schemas.openxmlformats.org/officeDocument/2006/relationships/printerSettings" Target="../printerSettings/printerSettings43.bin"/><Relationship Id="rId1" Type="http://schemas.openxmlformats.org/officeDocument/2006/relationships/printerSettings" Target="../printerSettings/printerSettings42.bin"/><Relationship Id="rId5" Type="http://schemas.openxmlformats.org/officeDocument/2006/relationships/printerSettings" Target="../printerSettings/printerSettings46.bin"/><Relationship Id="rId4" Type="http://schemas.openxmlformats.org/officeDocument/2006/relationships/printerSettings" Target="../printerSettings/printerSettings4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2:J24"/>
  <sheetViews>
    <sheetView view="pageBreakPreview" zoomScale="85" zoomScaleNormal="85" zoomScaleSheetLayoutView="85" workbookViewId="0">
      <selection activeCell="H31" sqref="H31"/>
    </sheetView>
  </sheetViews>
  <sheetFormatPr defaultRowHeight="14.25" x14ac:dyDescent="0.2"/>
  <cols>
    <col min="8" max="8" width="7.625" customWidth="1"/>
  </cols>
  <sheetData>
    <row r="22" spans="1:10" x14ac:dyDescent="0.2">
      <c r="A22" s="517" t="s">
        <v>566</v>
      </c>
      <c r="B22" s="517"/>
      <c r="C22" s="517"/>
      <c r="D22" s="517"/>
      <c r="E22" s="517"/>
      <c r="F22" s="517"/>
      <c r="G22" s="517"/>
      <c r="H22" s="517"/>
      <c r="I22" s="517"/>
      <c r="J22" s="517"/>
    </row>
    <row r="24" spans="1:10" x14ac:dyDescent="0.2">
      <c r="A24" s="517" t="s">
        <v>463</v>
      </c>
      <c r="B24" s="517"/>
      <c r="C24" s="517"/>
      <c r="D24" s="517"/>
      <c r="E24" s="517"/>
      <c r="F24" s="517"/>
      <c r="G24" s="517"/>
      <c r="H24" s="517"/>
      <c r="I24" s="517"/>
      <c r="J24" s="517"/>
    </row>
  </sheetData>
  <customSheetViews>
    <customSheetView guid="{CBA2F18A-D99E-4593-B5C7-F549C46D482A}" scale="85" showPageBreaks="1" printArea="1" view="pageBreakPreview">
      <selection activeCell="D17" sqref="D17"/>
      <pageMargins left="0.51181102362204722" right="0.19685039370078741" top="0.98425196850393704" bottom="0.59055118110236227" header="0.31496062992125984" footer="0.31496062992125984"/>
      <pageSetup paperSize="9" orientation="portrait" r:id="rId1"/>
      <headerFooter>
        <oddFooter>&amp;L&amp;8MBR GPV PH1A BQ ADD3</oddFooter>
      </headerFooter>
    </customSheetView>
    <customSheetView guid="{A5028593-220E-41E5-9B7F-B61B224ADECB}" scale="85" showPageBreaks="1" printArea="1" view="pageBreakPreview" topLeftCell="A13">
      <selection activeCell="B48" sqref="B48"/>
      <pageMargins left="0.51181102362204722" right="0.19685039370078741" top="0.98425196850393704" bottom="0.59055118110236227" header="0.31496062992125984" footer="0.31496062992125984"/>
      <pageSetup paperSize="9" orientation="portrait" r:id="rId2"/>
      <headerFooter>
        <oddFooter>&amp;L&amp;8MBR CV BQ</oddFooter>
      </headerFooter>
    </customSheetView>
    <customSheetView guid="{9B0AB937-A858-4024-AFD2-25458CC5120D}" scale="85" showPageBreaks="1" printArea="1" view="pageBreakPreview" topLeftCell="A13">
      <selection activeCell="B48" sqref="B48"/>
      <pageMargins left="0.51181102362204722" right="0.19685039370078741" top="0.98425196850393704" bottom="0.59055118110236227" header="0.31496062992125984" footer="0.31496062992125984"/>
      <pageSetup paperSize="9" orientation="portrait" r:id="rId3"/>
      <headerFooter>
        <oddFooter>&amp;L&amp;8MBR CV BQ</oddFooter>
      </headerFooter>
    </customSheetView>
    <customSheetView guid="{09AFA358-18AB-4F70-994A-26F8BCF8C7CA}" scale="85" showPageBreaks="1" printArea="1" view="pageBreakPreview" topLeftCell="A13">
      <selection activeCell="B48" sqref="B48"/>
      <pageMargins left="0.51181102362204722" right="0.19685039370078741" top="0.98425196850393704" bottom="0.59055118110236227" header="0.31496062992125984" footer="0.31496062992125984"/>
      <pageSetup paperSize="9" orientation="portrait" r:id="rId4"/>
      <headerFooter>
        <oddFooter>&amp;L&amp;8MBR CV BQ</oddFooter>
      </headerFooter>
    </customSheetView>
  </customSheetViews>
  <mergeCells count="2">
    <mergeCell ref="A22:J22"/>
    <mergeCell ref="A24:J24"/>
  </mergeCells>
  <pageMargins left="0.51181102362204722" right="0.19685039370078741" top="0.98425196850393704" bottom="0.59055118110236227" header="0.31496062992125984" footer="0.31496062992125984"/>
  <pageSetup paperSize="9" orientation="portrait" r:id="rId5"/>
  <headerFooter>
    <oddFooter>&amp;L&amp;8DMS No. 148110 Package 3</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U183"/>
  <sheetViews>
    <sheetView showZeros="0" view="pageBreakPreview" zoomScale="90" zoomScaleNormal="85" zoomScaleSheetLayoutView="90" workbookViewId="0">
      <pane xSplit="2" ySplit="3" topLeftCell="C151" activePane="bottomRight" state="frozen"/>
      <selection activeCell="T57" sqref="T57"/>
      <selection pane="topRight" activeCell="T57" sqref="T57"/>
      <selection pane="bottomLeft" activeCell="T57" sqref="T57"/>
      <selection pane="bottomRight" sqref="A1:R1048576"/>
    </sheetView>
  </sheetViews>
  <sheetFormatPr defaultRowHeight="14.25" x14ac:dyDescent="0.2"/>
  <cols>
    <col min="1" max="1" width="6.125" style="121" customWidth="1"/>
    <col min="2" max="2" width="61.875" style="122" customWidth="1"/>
    <col min="3" max="3" width="11.125" style="204" customWidth="1"/>
    <col min="4" max="4" width="10.625" style="204" hidden="1" customWidth="1"/>
    <col min="5" max="5" width="11.125" style="204" customWidth="1"/>
    <col min="6" max="6" width="10.625" style="204" hidden="1" customWidth="1"/>
    <col min="7" max="7" width="11.125" style="204" customWidth="1"/>
    <col min="8" max="8" width="10.625" style="204" hidden="1" customWidth="1"/>
    <col min="9" max="9" width="11.125" style="204" customWidth="1"/>
    <col min="10" max="10" width="10.625" style="204" hidden="1" customWidth="1"/>
    <col min="11" max="11" width="11.125" style="204" customWidth="1"/>
    <col min="12" max="12" width="10.625" style="204" hidden="1" customWidth="1"/>
    <col min="13" max="13" width="11.125" style="204" customWidth="1"/>
    <col min="14" max="14" width="10.625" style="204" hidden="1" customWidth="1"/>
    <col min="15" max="15" width="12.125" style="204" customWidth="1"/>
    <col min="16" max="16" width="7.125" style="204" customWidth="1"/>
    <col min="17" max="17" width="12.125" style="140" customWidth="1"/>
    <col min="18" max="18" width="16.625" style="140" customWidth="1"/>
    <col min="19" max="19" width="9" style="140"/>
    <col min="20" max="21" width="9.75" style="142" customWidth="1"/>
    <col min="22" max="16384" width="9" style="140"/>
  </cols>
  <sheetData>
    <row r="1" spans="1:21" s="98" customFormat="1" x14ac:dyDescent="0.2">
      <c r="A1" s="521" t="s">
        <v>5</v>
      </c>
      <c r="B1" s="521" t="s">
        <v>4</v>
      </c>
      <c r="C1" s="530" t="s">
        <v>3</v>
      </c>
      <c r="D1" s="530"/>
      <c r="E1" s="530"/>
      <c r="F1" s="530"/>
      <c r="G1" s="530"/>
      <c r="H1" s="530"/>
      <c r="I1" s="530"/>
      <c r="J1" s="530"/>
      <c r="K1" s="530"/>
      <c r="L1" s="530"/>
      <c r="M1" s="530"/>
      <c r="N1" s="530"/>
      <c r="O1" s="530"/>
      <c r="P1" s="531" t="s">
        <v>2</v>
      </c>
      <c r="Q1" s="518" t="s">
        <v>6</v>
      </c>
      <c r="R1" s="521" t="s">
        <v>7</v>
      </c>
      <c r="T1" s="155"/>
      <c r="U1" s="155"/>
    </row>
    <row r="2" spans="1:21" s="98" customFormat="1" ht="28.5" x14ac:dyDescent="0.2">
      <c r="A2" s="522"/>
      <c r="B2" s="522"/>
      <c r="C2" s="427" t="s">
        <v>439</v>
      </c>
      <c r="D2" s="524" t="s">
        <v>23</v>
      </c>
      <c r="E2" s="427" t="s">
        <v>440</v>
      </c>
      <c r="F2" s="524" t="s">
        <v>23</v>
      </c>
      <c r="G2" s="427" t="s">
        <v>441</v>
      </c>
      <c r="H2" s="524" t="s">
        <v>23</v>
      </c>
      <c r="I2" s="427" t="s">
        <v>442</v>
      </c>
      <c r="J2" s="524" t="s">
        <v>23</v>
      </c>
      <c r="K2" s="427" t="s">
        <v>443</v>
      </c>
      <c r="L2" s="524" t="s">
        <v>23</v>
      </c>
      <c r="M2" s="427" t="s">
        <v>444</v>
      </c>
      <c r="N2" s="524" t="s">
        <v>23</v>
      </c>
      <c r="O2" s="526" t="s">
        <v>22</v>
      </c>
      <c r="P2" s="532"/>
      <c r="Q2" s="519"/>
      <c r="R2" s="522"/>
      <c r="T2" s="35" t="s">
        <v>445</v>
      </c>
      <c r="U2" s="75" t="s">
        <v>446</v>
      </c>
    </row>
    <row r="3" spans="1:21" s="98" customFormat="1" x14ac:dyDescent="0.2">
      <c r="A3" s="523"/>
      <c r="B3" s="523"/>
      <c r="C3" s="192">
        <v>1</v>
      </c>
      <c r="D3" s="525"/>
      <c r="E3" s="192">
        <v>1</v>
      </c>
      <c r="F3" s="525"/>
      <c r="G3" s="192">
        <v>5</v>
      </c>
      <c r="H3" s="525"/>
      <c r="I3" s="192">
        <v>1</v>
      </c>
      <c r="J3" s="525"/>
      <c r="K3" s="192">
        <v>3</v>
      </c>
      <c r="L3" s="525"/>
      <c r="M3" s="192">
        <v>1</v>
      </c>
      <c r="N3" s="525"/>
      <c r="O3" s="527"/>
      <c r="P3" s="533"/>
      <c r="Q3" s="520"/>
      <c r="R3" s="523"/>
      <c r="S3" s="95">
        <f>C3+E3+G3+I3+K3+M3</f>
        <v>12</v>
      </c>
      <c r="T3" s="35"/>
      <c r="U3" s="35"/>
    </row>
    <row r="4" spans="1:21" x14ac:dyDescent="0.2">
      <c r="A4" s="127"/>
      <c r="B4" s="136"/>
      <c r="C4" s="128"/>
      <c r="D4" s="120"/>
      <c r="E4" s="120"/>
      <c r="F4" s="120"/>
      <c r="G4" s="120"/>
      <c r="H4" s="120"/>
      <c r="I4" s="120"/>
      <c r="J4" s="120"/>
      <c r="K4" s="120"/>
      <c r="L4" s="120"/>
      <c r="M4" s="120"/>
      <c r="N4" s="120"/>
      <c r="O4" s="120"/>
      <c r="P4" s="154"/>
      <c r="Q4" s="103"/>
      <c r="R4" s="70"/>
    </row>
    <row r="5" spans="1:21" x14ac:dyDescent="0.2">
      <c r="A5" s="139"/>
      <c r="B5" s="14" t="s">
        <v>24</v>
      </c>
      <c r="C5" s="128"/>
      <c r="D5" s="120"/>
      <c r="E5" s="120"/>
      <c r="F5" s="120"/>
      <c r="G5" s="120"/>
      <c r="H5" s="120"/>
      <c r="I5" s="120"/>
      <c r="J5" s="120"/>
      <c r="K5" s="120"/>
      <c r="L5" s="120"/>
      <c r="M5" s="120"/>
      <c r="N5" s="120"/>
      <c r="O5" s="120"/>
      <c r="P5" s="154"/>
      <c r="Q5" s="103"/>
      <c r="R5" s="70"/>
    </row>
    <row r="6" spans="1:21" x14ac:dyDescent="0.2">
      <c r="A6" s="139"/>
      <c r="B6" s="88"/>
      <c r="C6" s="138"/>
      <c r="D6" s="138"/>
      <c r="E6" s="138"/>
      <c r="F6" s="138"/>
      <c r="G6" s="138"/>
      <c r="H6" s="138"/>
      <c r="I6" s="138"/>
      <c r="J6" s="138"/>
      <c r="K6" s="138"/>
      <c r="L6" s="138"/>
      <c r="M6" s="138"/>
      <c r="N6" s="138"/>
      <c r="O6" s="138"/>
      <c r="P6" s="154"/>
      <c r="Q6" s="103"/>
      <c r="R6" s="70"/>
    </row>
    <row r="7" spans="1:21" x14ac:dyDescent="0.2">
      <c r="A7" s="139"/>
      <c r="B7" s="88" t="s">
        <v>295</v>
      </c>
      <c r="C7" s="138"/>
      <c r="D7" s="138"/>
      <c r="E7" s="138"/>
      <c r="F7" s="138"/>
      <c r="G7" s="138"/>
      <c r="H7" s="138"/>
      <c r="I7" s="138"/>
      <c r="J7" s="138"/>
      <c r="K7" s="138"/>
      <c r="L7" s="138"/>
      <c r="M7" s="138"/>
      <c r="N7" s="138"/>
      <c r="O7" s="138"/>
      <c r="P7" s="154"/>
      <c r="Q7" s="103"/>
      <c r="R7" s="70"/>
    </row>
    <row r="8" spans="1:21" x14ac:dyDescent="0.2">
      <c r="A8" s="139"/>
      <c r="B8" s="185" t="s">
        <v>264</v>
      </c>
      <c r="C8" s="138"/>
      <c r="D8" s="138"/>
      <c r="E8" s="138"/>
      <c r="F8" s="138"/>
      <c r="G8" s="138"/>
      <c r="H8" s="138"/>
      <c r="I8" s="138"/>
      <c r="J8" s="138"/>
      <c r="K8" s="138"/>
      <c r="L8" s="138"/>
      <c r="M8" s="138"/>
      <c r="N8" s="138"/>
      <c r="O8" s="138"/>
      <c r="P8" s="154"/>
      <c r="Q8" s="103"/>
      <c r="R8" s="70"/>
    </row>
    <row r="9" spans="1:21" x14ac:dyDescent="0.2">
      <c r="A9" s="139"/>
      <c r="B9" s="185" t="s">
        <v>268</v>
      </c>
      <c r="C9" s="138"/>
      <c r="D9" s="138"/>
      <c r="E9" s="138"/>
      <c r="F9" s="138"/>
      <c r="G9" s="138"/>
      <c r="H9" s="138"/>
      <c r="I9" s="138"/>
      <c r="J9" s="138"/>
      <c r="K9" s="138"/>
      <c r="L9" s="138"/>
      <c r="M9" s="138"/>
      <c r="N9" s="138"/>
      <c r="O9" s="138"/>
      <c r="P9" s="154"/>
      <c r="Q9" s="103"/>
      <c r="R9" s="70"/>
    </row>
    <row r="10" spans="1:21" x14ac:dyDescent="0.2">
      <c r="A10" s="139"/>
      <c r="B10" s="185" t="s">
        <v>267</v>
      </c>
      <c r="C10" s="138"/>
      <c r="D10" s="138"/>
      <c r="E10" s="138"/>
      <c r="F10" s="138"/>
      <c r="G10" s="138"/>
      <c r="H10" s="138"/>
      <c r="I10" s="138"/>
      <c r="J10" s="138"/>
      <c r="K10" s="138"/>
      <c r="L10" s="138"/>
      <c r="M10" s="138"/>
      <c r="N10" s="138"/>
      <c r="O10" s="138"/>
      <c r="P10" s="154"/>
      <c r="Q10" s="103"/>
      <c r="R10" s="70"/>
    </row>
    <row r="11" spans="1:21" x14ac:dyDescent="0.2">
      <c r="A11" s="139"/>
      <c r="B11" s="185"/>
      <c r="C11" s="138"/>
      <c r="D11" s="138"/>
      <c r="E11" s="138"/>
      <c r="F11" s="138"/>
      <c r="G11" s="138"/>
      <c r="H11" s="138"/>
      <c r="I11" s="138"/>
      <c r="J11" s="138"/>
      <c r="K11" s="138"/>
      <c r="L11" s="138"/>
      <c r="M11" s="138"/>
      <c r="N11" s="138"/>
      <c r="O11" s="138"/>
      <c r="P11" s="154"/>
      <c r="Q11" s="103"/>
      <c r="R11" s="70"/>
    </row>
    <row r="12" spans="1:21" x14ac:dyDescent="0.2">
      <c r="A12" s="139"/>
      <c r="B12" s="82" t="s">
        <v>94</v>
      </c>
      <c r="C12" s="138"/>
      <c r="D12" s="138"/>
      <c r="E12" s="138"/>
      <c r="F12" s="138"/>
      <c r="G12" s="138"/>
      <c r="H12" s="138"/>
      <c r="I12" s="138"/>
      <c r="J12" s="138"/>
      <c r="K12" s="138"/>
      <c r="L12" s="138"/>
      <c r="M12" s="138"/>
      <c r="N12" s="138"/>
      <c r="O12" s="138"/>
      <c r="P12" s="154"/>
      <c r="Q12" s="103"/>
      <c r="R12" s="70"/>
    </row>
    <row r="13" spans="1:21" x14ac:dyDescent="0.2">
      <c r="A13" s="139"/>
      <c r="B13" s="82"/>
      <c r="C13" s="138"/>
      <c r="D13" s="138"/>
      <c r="E13" s="138"/>
      <c r="F13" s="138"/>
      <c r="G13" s="138"/>
      <c r="H13" s="138"/>
      <c r="I13" s="138"/>
      <c r="J13" s="138"/>
      <c r="K13" s="138"/>
      <c r="L13" s="138"/>
      <c r="M13" s="138"/>
      <c r="N13" s="138"/>
      <c r="O13" s="138"/>
      <c r="P13" s="154"/>
      <c r="Q13" s="103"/>
      <c r="R13" s="70"/>
    </row>
    <row r="14" spans="1:21" x14ac:dyDescent="0.2">
      <c r="A14" s="139"/>
      <c r="B14" s="82" t="s">
        <v>263</v>
      </c>
      <c r="C14" s="138"/>
      <c r="D14" s="138"/>
      <c r="E14" s="138"/>
      <c r="F14" s="138"/>
      <c r="G14" s="138"/>
      <c r="H14" s="138"/>
      <c r="I14" s="138"/>
      <c r="J14" s="138"/>
      <c r="K14" s="138"/>
      <c r="L14" s="138"/>
      <c r="M14" s="138"/>
      <c r="N14" s="138"/>
      <c r="O14" s="138"/>
      <c r="P14" s="154"/>
      <c r="Q14" s="103"/>
      <c r="R14" s="70"/>
    </row>
    <row r="15" spans="1:21" x14ac:dyDescent="0.2">
      <c r="A15" s="139"/>
      <c r="B15" s="88"/>
      <c r="C15" s="138"/>
      <c r="D15" s="138"/>
      <c r="E15" s="138"/>
      <c r="F15" s="138"/>
      <c r="G15" s="138"/>
      <c r="H15" s="138"/>
      <c r="I15" s="138"/>
      <c r="J15" s="138"/>
      <c r="K15" s="138"/>
      <c r="L15" s="138"/>
      <c r="M15" s="138"/>
      <c r="N15" s="138"/>
      <c r="O15" s="138"/>
      <c r="P15" s="154"/>
      <c r="Q15" s="103"/>
      <c r="R15" s="70"/>
    </row>
    <row r="16" spans="1:21" ht="42.75" x14ac:dyDescent="0.2">
      <c r="A16" s="139" t="s">
        <v>66</v>
      </c>
      <c r="B16" s="136" t="s">
        <v>272</v>
      </c>
      <c r="C16" s="138">
        <v>1148</v>
      </c>
      <c r="D16" s="138">
        <f>C16*$Q16</f>
        <v>0</v>
      </c>
      <c r="E16" s="138">
        <v>1505</v>
      </c>
      <c r="F16" s="138">
        <f>E16*$Q16</f>
        <v>0</v>
      </c>
      <c r="G16" s="138">
        <v>8489</v>
      </c>
      <c r="H16" s="138">
        <f>G16*$Q16</f>
        <v>0</v>
      </c>
      <c r="I16" s="138">
        <v>1995</v>
      </c>
      <c r="J16" s="138">
        <f>I16*$Q16</f>
        <v>0</v>
      </c>
      <c r="K16" s="138">
        <v>6727</v>
      </c>
      <c r="L16" s="138">
        <f>K16*$Q16</f>
        <v>0</v>
      </c>
      <c r="M16" s="138">
        <v>2455</v>
      </c>
      <c r="N16" s="138">
        <f>M16*$Q16</f>
        <v>0</v>
      </c>
      <c r="O16" s="138">
        <f>C16+E16+G16+I16+K16+M16</f>
        <v>22319</v>
      </c>
      <c r="P16" s="154" t="s">
        <v>10</v>
      </c>
      <c r="Q16" s="103"/>
      <c r="R16" s="70">
        <f>O16*Q16</f>
        <v>0</v>
      </c>
    </row>
    <row r="17" spans="1:21" x14ac:dyDescent="0.2">
      <c r="A17" s="139"/>
      <c r="B17" s="82"/>
      <c r="C17" s="138">
        <f>ROUND((2*$T17+2*$U17)*C$3,0)</f>
        <v>0</v>
      </c>
      <c r="D17" s="138">
        <f t="shared" ref="D17:D45" si="0">C17*$Q17</f>
        <v>0</v>
      </c>
      <c r="E17" s="138">
        <f t="shared" ref="E17:E45" si="1">ROUND((2*$T17+3*$U17)*E$3,0)</f>
        <v>0</v>
      </c>
      <c r="F17" s="138">
        <f t="shared" ref="F17:F45" si="2">E17*$Q17</f>
        <v>0</v>
      </c>
      <c r="G17" s="138">
        <f t="shared" ref="G17:G45" si="3">ROUND((2*$T17+4*$U17)*G$3,0)</f>
        <v>0</v>
      </c>
      <c r="H17" s="138">
        <f t="shared" ref="H17:H45" si="4">G17*$Q17</f>
        <v>0</v>
      </c>
      <c r="I17" s="138">
        <f t="shared" ref="I17:I45" si="5">ROUND((2*$T17+5*$U17)*I$3,0)</f>
        <v>0</v>
      </c>
      <c r="J17" s="138">
        <f t="shared" ref="J17:J45" si="6">I17*$Q17</f>
        <v>0</v>
      </c>
      <c r="K17" s="138">
        <f t="shared" ref="K17:K45" si="7">ROUND((2*$T17+6*$U17)*K$3,0)</f>
        <v>0</v>
      </c>
      <c r="L17" s="138">
        <f t="shared" ref="L17:L45" si="8">K17*$Q17</f>
        <v>0</v>
      </c>
      <c r="M17" s="138">
        <f t="shared" ref="M17:M45" si="9">ROUND((2*$T17+7*$U17)*M$3,0)</f>
        <v>0</v>
      </c>
      <c r="N17" s="138">
        <f t="shared" ref="N17:N45" si="10">M17*$Q17</f>
        <v>0</v>
      </c>
      <c r="O17" s="138">
        <f t="shared" ref="O17:O45" si="11">C17+E17+G17+I17+K17+M17</f>
        <v>0</v>
      </c>
      <c r="P17" s="154"/>
      <c r="Q17" s="103"/>
      <c r="R17" s="70"/>
    </row>
    <row r="18" spans="1:21" x14ac:dyDescent="0.2">
      <c r="A18" s="139"/>
      <c r="B18" s="82" t="s">
        <v>265</v>
      </c>
      <c r="C18" s="138">
        <f t="shared" ref="C18:C45" si="12">ROUND((2*$T18+2*$U18)*C$3,0)</f>
        <v>0</v>
      </c>
      <c r="D18" s="138">
        <f t="shared" si="0"/>
        <v>0</v>
      </c>
      <c r="E18" s="138">
        <f t="shared" si="1"/>
        <v>0</v>
      </c>
      <c r="F18" s="138">
        <f t="shared" si="2"/>
        <v>0</v>
      </c>
      <c r="G18" s="138">
        <f t="shared" si="3"/>
        <v>0</v>
      </c>
      <c r="H18" s="138">
        <f t="shared" si="4"/>
        <v>0</v>
      </c>
      <c r="I18" s="138">
        <f t="shared" si="5"/>
        <v>0</v>
      </c>
      <c r="J18" s="138">
        <f t="shared" si="6"/>
        <v>0</v>
      </c>
      <c r="K18" s="138">
        <f t="shared" si="7"/>
        <v>0</v>
      </c>
      <c r="L18" s="138">
        <f t="shared" si="8"/>
        <v>0</v>
      </c>
      <c r="M18" s="138">
        <f t="shared" si="9"/>
        <v>0</v>
      </c>
      <c r="N18" s="138">
        <f t="shared" si="10"/>
        <v>0</v>
      </c>
      <c r="O18" s="138">
        <f t="shared" si="11"/>
        <v>0</v>
      </c>
      <c r="P18" s="154"/>
      <c r="Q18" s="103"/>
      <c r="R18" s="70"/>
    </row>
    <row r="19" spans="1:21" x14ac:dyDescent="0.2">
      <c r="A19" s="139"/>
      <c r="B19" s="82"/>
      <c r="C19" s="138">
        <f t="shared" si="12"/>
        <v>0</v>
      </c>
      <c r="D19" s="138">
        <f t="shared" si="0"/>
        <v>0</v>
      </c>
      <c r="E19" s="138">
        <f t="shared" si="1"/>
        <v>0</v>
      </c>
      <c r="F19" s="138">
        <f t="shared" si="2"/>
        <v>0</v>
      </c>
      <c r="G19" s="138">
        <f t="shared" si="3"/>
        <v>0</v>
      </c>
      <c r="H19" s="138">
        <f t="shared" si="4"/>
        <v>0</v>
      </c>
      <c r="I19" s="138">
        <f t="shared" si="5"/>
        <v>0</v>
      </c>
      <c r="J19" s="138">
        <f t="shared" si="6"/>
        <v>0</v>
      </c>
      <c r="K19" s="138">
        <f t="shared" si="7"/>
        <v>0</v>
      </c>
      <c r="L19" s="138">
        <f t="shared" si="8"/>
        <v>0</v>
      </c>
      <c r="M19" s="138">
        <f t="shared" si="9"/>
        <v>0</v>
      </c>
      <c r="N19" s="138">
        <f t="shared" si="10"/>
        <v>0</v>
      </c>
      <c r="O19" s="138">
        <f t="shared" si="11"/>
        <v>0</v>
      </c>
      <c r="P19" s="154"/>
      <c r="Q19" s="103"/>
      <c r="R19" s="70"/>
    </row>
    <row r="20" spans="1:21" x14ac:dyDescent="0.2">
      <c r="A20" s="139" t="s">
        <v>67</v>
      </c>
      <c r="B20" s="136" t="s">
        <v>449</v>
      </c>
      <c r="C20" s="217">
        <f t="shared" si="12"/>
        <v>896</v>
      </c>
      <c r="D20" s="217">
        <f t="shared" si="0"/>
        <v>0</v>
      </c>
      <c r="E20" s="217">
        <f t="shared" si="1"/>
        <v>1101</v>
      </c>
      <c r="F20" s="217">
        <f t="shared" si="2"/>
        <v>0</v>
      </c>
      <c r="G20" s="217">
        <f t="shared" si="3"/>
        <v>6534</v>
      </c>
      <c r="H20" s="217">
        <f t="shared" si="4"/>
        <v>0</v>
      </c>
      <c r="I20" s="217">
        <f t="shared" si="5"/>
        <v>1512</v>
      </c>
      <c r="J20" s="217">
        <f t="shared" si="6"/>
        <v>0</v>
      </c>
      <c r="K20" s="217">
        <f t="shared" si="7"/>
        <v>5152</v>
      </c>
      <c r="L20" s="217">
        <f t="shared" si="8"/>
        <v>0</v>
      </c>
      <c r="M20" s="217">
        <f t="shared" si="9"/>
        <v>1923</v>
      </c>
      <c r="N20" s="217">
        <f t="shared" si="10"/>
        <v>0</v>
      </c>
      <c r="O20" s="217">
        <f>C20+E20+G20+I20+K20+M20</f>
        <v>17118</v>
      </c>
      <c r="P20" s="154" t="s">
        <v>10</v>
      </c>
      <c r="Q20" s="103"/>
      <c r="R20" s="70">
        <f>O20*Q20</f>
        <v>0</v>
      </c>
      <c r="T20" s="213">
        <f>(10*248+14*239)/24</f>
        <v>242.75</v>
      </c>
      <c r="U20" s="213">
        <f>(29*202+26*209)/55</f>
        <v>205.30909090909091</v>
      </c>
    </row>
    <row r="21" spans="1:21" x14ac:dyDescent="0.2">
      <c r="A21" s="139"/>
      <c r="B21" s="82"/>
      <c r="C21" s="138">
        <f t="shared" si="12"/>
        <v>0</v>
      </c>
      <c r="D21" s="138">
        <f t="shared" si="0"/>
        <v>0</v>
      </c>
      <c r="E21" s="138">
        <f t="shared" si="1"/>
        <v>0</v>
      </c>
      <c r="F21" s="138">
        <f t="shared" si="2"/>
        <v>0</v>
      </c>
      <c r="G21" s="138">
        <f t="shared" si="3"/>
        <v>0</v>
      </c>
      <c r="H21" s="138">
        <f t="shared" si="4"/>
        <v>0</v>
      </c>
      <c r="I21" s="138">
        <f t="shared" si="5"/>
        <v>0</v>
      </c>
      <c r="J21" s="138">
        <f t="shared" si="6"/>
        <v>0</v>
      </c>
      <c r="K21" s="138">
        <f t="shared" si="7"/>
        <v>0</v>
      </c>
      <c r="L21" s="138">
        <f t="shared" si="8"/>
        <v>0</v>
      </c>
      <c r="M21" s="138">
        <f t="shared" si="9"/>
        <v>0</v>
      </c>
      <c r="N21" s="138">
        <f t="shared" si="10"/>
        <v>0</v>
      </c>
      <c r="O21" s="138">
        <f t="shared" ref="O21" si="13">C21+E21+G21+I21+K21+M21</f>
        <v>0</v>
      </c>
      <c r="P21" s="154"/>
      <c r="Q21" s="103"/>
      <c r="R21" s="70"/>
      <c r="T21" s="213"/>
      <c r="U21" s="213"/>
    </row>
    <row r="22" spans="1:21" x14ac:dyDescent="0.2">
      <c r="A22" s="139" t="s">
        <v>68</v>
      </c>
      <c r="B22" s="136" t="s">
        <v>448</v>
      </c>
      <c r="C22" s="217">
        <f t="shared" si="12"/>
        <v>576</v>
      </c>
      <c r="D22" s="217">
        <f t="shared" si="0"/>
        <v>0</v>
      </c>
      <c r="E22" s="217">
        <f t="shared" si="1"/>
        <v>711</v>
      </c>
      <c r="F22" s="217">
        <f t="shared" si="2"/>
        <v>0</v>
      </c>
      <c r="G22" s="217">
        <f t="shared" si="3"/>
        <v>4232</v>
      </c>
      <c r="H22" s="217">
        <f t="shared" si="4"/>
        <v>0</v>
      </c>
      <c r="I22" s="217">
        <f t="shared" si="5"/>
        <v>982</v>
      </c>
      <c r="J22" s="217">
        <f t="shared" si="6"/>
        <v>0</v>
      </c>
      <c r="K22" s="217">
        <f t="shared" si="7"/>
        <v>3351</v>
      </c>
      <c r="L22" s="217">
        <f t="shared" si="8"/>
        <v>0</v>
      </c>
      <c r="M22" s="217">
        <f t="shared" si="9"/>
        <v>1252</v>
      </c>
      <c r="N22" s="217">
        <f t="shared" si="10"/>
        <v>0</v>
      </c>
      <c r="O22" s="217">
        <f>C22+E22+G22+I22+K22+M22</f>
        <v>11104</v>
      </c>
      <c r="P22" s="154" t="s">
        <v>10</v>
      </c>
      <c r="Q22" s="103"/>
      <c r="R22" s="70">
        <f>O22*Q22</f>
        <v>0</v>
      </c>
      <c r="T22" s="213">
        <f>(10*131+14*168)/24</f>
        <v>152.58333333333334</v>
      </c>
      <c r="U22" s="213">
        <f>(29*141+26*129)/55</f>
        <v>135.32727272727271</v>
      </c>
    </row>
    <row r="23" spans="1:21" x14ac:dyDescent="0.2">
      <c r="A23" s="139"/>
      <c r="B23" s="82"/>
      <c r="C23" s="138">
        <f t="shared" si="12"/>
        <v>0</v>
      </c>
      <c r="D23" s="138">
        <f t="shared" si="0"/>
        <v>0</v>
      </c>
      <c r="E23" s="138">
        <f t="shared" si="1"/>
        <v>0</v>
      </c>
      <c r="F23" s="138">
        <f t="shared" si="2"/>
        <v>0</v>
      </c>
      <c r="G23" s="138">
        <f t="shared" si="3"/>
        <v>0</v>
      </c>
      <c r="H23" s="138">
        <f t="shared" si="4"/>
        <v>0</v>
      </c>
      <c r="I23" s="138">
        <f t="shared" si="5"/>
        <v>0</v>
      </c>
      <c r="J23" s="138">
        <f t="shared" si="6"/>
        <v>0</v>
      </c>
      <c r="K23" s="138">
        <f t="shared" si="7"/>
        <v>0</v>
      </c>
      <c r="L23" s="138">
        <f t="shared" si="8"/>
        <v>0</v>
      </c>
      <c r="M23" s="138">
        <f t="shared" si="9"/>
        <v>0</v>
      </c>
      <c r="N23" s="138">
        <f t="shared" si="10"/>
        <v>0</v>
      </c>
      <c r="O23" s="138">
        <f t="shared" si="11"/>
        <v>0</v>
      </c>
      <c r="P23" s="154"/>
      <c r="Q23" s="103"/>
      <c r="R23" s="70"/>
      <c r="T23" s="213"/>
      <c r="U23" s="213"/>
    </row>
    <row r="24" spans="1:21" x14ac:dyDescent="0.2">
      <c r="A24" s="139"/>
      <c r="B24" s="82" t="s">
        <v>95</v>
      </c>
      <c r="C24" s="138">
        <f t="shared" si="12"/>
        <v>0</v>
      </c>
      <c r="D24" s="138">
        <f t="shared" si="0"/>
        <v>0</v>
      </c>
      <c r="E24" s="138">
        <f t="shared" si="1"/>
        <v>0</v>
      </c>
      <c r="F24" s="138">
        <f t="shared" si="2"/>
        <v>0</v>
      </c>
      <c r="G24" s="138">
        <f t="shared" si="3"/>
        <v>0</v>
      </c>
      <c r="H24" s="138">
        <f t="shared" si="4"/>
        <v>0</v>
      </c>
      <c r="I24" s="138">
        <f t="shared" si="5"/>
        <v>0</v>
      </c>
      <c r="J24" s="138">
        <f t="shared" si="6"/>
        <v>0</v>
      </c>
      <c r="K24" s="138">
        <f t="shared" si="7"/>
        <v>0</v>
      </c>
      <c r="L24" s="138">
        <f t="shared" si="8"/>
        <v>0</v>
      </c>
      <c r="M24" s="138">
        <f t="shared" si="9"/>
        <v>0</v>
      </c>
      <c r="N24" s="138">
        <f t="shared" si="10"/>
        <v>0</v>
      </c>
      <c r="O24" s="138">
        <f t="shared" si="11"/>
        <v>0</v>
      </c>
      <c r="P24" s="154"/>
      <c r="Q24" s="103"/>
      <c r="R24" s="70"/>
      <c r="T24" s="213"/>
      <c r="U24" s="213"/>
    </row>
    <row r="25" spans="1:21" x14ac:dyDescent="0.2">
      <c r="A25" s="139"/>
      <c r="B25" s="82"/>
      <c r="C25" s="138">
        <f t="shared" si="12"/>
        <v>0</v>
      </c>
      <c r="D25" s="138">
        <f t="shared" si="0"/>
        <v>0</v>
      </c>
      <c r="E25" s="138">
        <f t="shared" si="1"/>
        <v>0</v>
      </c>
      <c r="F25" s="138">
        <f t="shared" si="2"/>
        <v>0</v>
      </c>
      <c r="G25" s="138">
        <f t="shared" si="3"/>
        <v>0</v>
      </c>
      <c r="H25" s="138">
        <f t="shared" si="4"/>
        <v>0</v>
      </c>
      <c r="I25" s="138">
        <f t="shared" si="5"/>
        <v>0</v>
      </c>
      <c r="J25" s="138">
        <f t="shared" si="6"/>
        <v>0</v>
      </c>
      <c r="K25" s="138">
        <f t="shared" si="7"/>
        <v>0</v>
      </c>
      <c r="L25" s="138">
        <f t="shared" si="8"/>
        <v>0</v>
      </c>
      <c r="M25" s="138">
        <f t="shared" si="9"/>
        <v>0</v>
      </c>
      <c r="N25" s="138">
        <f t="shared" si="10"/>
        <v>0</v>
      </c>
      <c r="O25" s="138">
        <f t="shared" si="11"/>
        <v>0</v>
      </c>
      <c r="P25" s="154"/>
      <c r="Q25" s="103"/>
      <c r="R25" s="70"/>
      <c r="T25" s="213"/>
      <c r="U25" s="213"/>
    </row>
    <row r="26" spans="1:21" x14ac:dyDescent="0.2">
      <c r="A26" s="139"/>
      <c r="B26" s="82" t="s">
        <v>266</v>
      </c>
      <c r="C26" s="138">
        <f t="shared" si="12"/>
        <v>0</v>
      </c>
      <c r="D26" s="138">
        <f t="shared" si="0"/>
        <v>0</v>
      </c>
      <c r="E26" s="138">
        <f t="shared" si="1"/>
        <v>0</v>
      </c>
      <c r="F26" s="138">
        <f t="shared" si="2"/>
        <v>0</v>
      </c>
      <c r="G26" s="138">
        <f t="shared" si="3"/>
        <v>0</v>
      </c>
      <c r="H26" s="138">
        <f t="shared" si="4"/>
        <v>0</v>
      </c>
      <c r="I26" s="138">
        <f t="shared" si="5"/>
        <v>0</v>
      </c>
      <c r="J26" s="138">
        <f t="shared" si="6"/>
        <v>0</v>
      </c>
      <c r="K26" s="138">
        <f t="shared" si="7"/>
        <v>0</v>
      </c>
      <c r="L26" s="138">
        <f t="shared" si="8"/>
        <v>0</v>
      </c>
      <c r="M26" s="138">
        <f t="shared" si="9"/>
        <v>0</v>
      </c>
      <c r="N26" s="138">
        <f t="shared" si="10"/>
        <v>0</v>
      </c>
      <c r="O26" s="138">
        <f t="shared" si="11"/>
        <v>0</v>
      </c>
      <c r="P26" s="154"/>
      <c r="Q26" s="103"/>
      <c r="R26" s="70"/>
      <c r="T26" s="213"/>
      <c r="U26" s="213"/>
    </row>
    <row r="27" spans="1:21" x14ac:dyDescent="0.2">
      <c r="A27" s="139"/>
      <c r="B27" s="136"/>
      <c r="C27" s="138">
        <f t="shared" si="12"/>
        <v>0</v>
      </c>
      <c r="D27" s="138">
        <f t="shared" si="0"/>
        <v>0</v>
      </c>
      <c r="E27" s="138">
        <f t="shared" si="1"/>
        <v>0</v>
      </c>
      <c r="F27" s="138">
        <f t="shared" si="2"/>
        <v>0</v>
      </c>
      <c r="G27" s="138">
        <f t="shared" si="3"/>
        <v>0</v>
      </c>
      <c r="H27" s="138">
        <f t="shared" si="4"/>
        <v>0</v>
      </c>
      <c r="I27" s="138">
        <f t="shared" si="5"/>
        <v>0</v>
      </c>
      <c r="J27" s="138">
        <f t="shared" si="6"/>
        <v>0</v>
      </c>
      <c r="K27" s="138">
        <f t="shared" si="7"/>
        <v>0</v>
      </c>
      <c r="L27" s="138">
        <f t="shared" si="8"/>
        <v>0</v>
      </c>
      <c r="M27" s="138">
        <f t="shared" si="9"/>
        <v>0</v>
      </c>
      <c r="N27" s="138">
        <f t="shared" si="10"/>
        <v>0</v>
      </c>
      <c r="O27" s="138">
        <f t="shared" si="11"/>
        <v>0</v>
      </c>
      <c r="P27" s="154"/>
      <c r="Q27" s="103"/>
      <c r="R27" s="70"/>
      <c r="T27" s="213"/>
      <c r="U27" s="213"/>
    </row>
    <row r="28" spans="1:21" x14ac:dyDescent="0.2">
      <c r="A28" s="139" t="s">
        <v>69</v>
      </c>
      <c r="B28" s="136" t="s">
        <v>447</v>
      </c>
      <c r="C28" s="138">
        <f>ROUND(C16*0.1,0)</f>
        <v>115</v>
      </c>
      <c r="D28" s="138">
        <f t="shared" si="0"/>
        <v>0</v>
      </c>
      <c r="E28" s="138">
        <f>ROUND(E16*0.1,0)</f>
        <v>151</v>
      </c>
      <c r="F28" s="138">
        <f t="shared" si="2"/>
        <v>0</v>
      </c>
      <c r="G28" s="138">
        <f>ROUND(G16*0.1,0)</f>
        <v>849</v>
      </c>
      <c r="H28" s="138">
        <f t="shared" si="4"/>
        <v>0</v>
      </c>
      <c r="I28" s="138">
        <f>ROUND(I16*0.1,0)</f>
        <v>200</v>
      </c>
      <c r="J28" s="138">
        <f t="shared" si="6"/>
        <v>0</v>
      </c>
      <c r="K28" s="138">
        <f>ROUND(K16*0.1,0)</f>
        <v>673</v>
      </c>
      <c r="L28" s="138">
        <f t="shared" si="8"/>
        <v>0</v>
      </c>
      <c r="M28" s="138">
        <f>ROUND(M16*0.1,0)</f>
        <v>246</v>
      </c>
      <c r="N28" s="138">
        <f t="shared" si="10"/>
        <v>0</v>
      </c>
      <c r="O28" s="138">
        <f>C28+E28+G28+I28+K28+M28</f>
        <v>2234</v>
      </c>
      <c r="P28" s="154" t="s">
        <v>96</v>
      </c>
      <c r="Q28" s="103"/>
      <c r="R28" s="128">
        <f>O28*Q28</f>
        <v>0</v>
      </c>
      <c r="T28" s="213"/>
      <c r="U28" s="213"/>
    </row>
    <row r="29" spans="1:21" x14ac:dyDescent="0.2">
      <c r="A29" s="139"/>
      <c r="B29" s="136"/>
      <c r="C29" s="138">
        <f t="shared" si="12"/>
        <v>0</v>
      </c>
      <c r="D29" s="138">
        <f t="shared" si="0"/>
        <v>0</v>
      </c>
      <c r="E29" s="138">
        <f t="shared" si="1"/>
        <v>0</v>
      </c>
      <c r="F29" s="138">
        <f t="shared" si="2"/>
        <v>0</v>
      </c>
      <c r="G29" s="138">
        <f t="shared" si="3"/>
        <v>0</v>
      </c>
      <c r="H29" s="138">
        <f t="shared" si="4"/>
        <v>0</v>
      </c>
      <c r="I29" s="138">
        <f t="shared" si="5"/>
        <v>0</v>
      </c>
      <c r="J29" s="138">
        <f t="shared" si="6"/>
        <v>0</v>
      </c>
      <c r="K29" s="138">
        <f t="shared" si="7"/>
        <v>0</v>
      </c>
      <c r="L29" s="138">
        <f t="shared" si="8"/>
        <v>0</v>
      </c>
      <c r="M29" s="138">
        <f t="shared" si="9"/>
        <v>0</v>
      </c>
      <c r="N29" s="138">
        <f t="shared" si="10"/>
        <v>0</v>
      </c>
      <c r="O29" s="138">
        <f t="shared" si="11"/>
        <v>0</v>
      </c>
      <c r="P29" s="154"/>
      <c r="Q29" s="103"/>
      <c r="R29" s="70"/>
      <c r="T29" s="213"/>
      <c r="U29" s="213"/>
    </row>
    <row r="30" spans="1:21" x14ac:dyDescent="0.2">
      <c r="A30" s="139" t="s">
        <v>70</v>
      </c>
      <c r="B30" s="136" t="s">
        <v>273</v>
      </c>
      <c r="C30" s="217">
        <f t="shared" si="12"/>
        <v>35</v>
      </c>
      <c r="D30" s="217">
        <f t="shared" si="0"/>
        <v>0</v>
      </c>
      <c r="E30" s="217">
        <f t="shared" si="1"/>
        <v>42</v>
      </c>
      <c r="F30" s="217">
        <f t="shared" si="2"/>
        <v>0</v>
      </c>
      <c r="G30" s="217">
        <f t="shared" si="3"/>
        <v>247</v>
      </c>
      <c r="H30" s="217">
        <f t="shared" si="4"/>
        <v>0</v>
      </c>
      <c r="I30" s="217">
        <f t="shared" si="5"/>
        <v>56</v>
      </c>
      <c r="J30" s="217">
        <f t="shared" si="6"/>
        <v>0</v>
      </c>
      <c r="K30" s="217">
        <f t="shared" si="7"/>
        <v>190</v>
      </c>
      <c r="L30" s="217">
        <f t="shared" si="8"/>
        <v>0</v>
      </c>
      <c r="M30" s="217">
        <f t="shared" si="9"/>
        <v>71</v>
      </c>
      <c r="N30" s="217">
        <f t="shared" si="10"/>
        <v>0</v>
      </c>
      <c r="O30" s="217">
        <f>C30+E30+G30+I30+K30+M30</f>
        <v>641</v>
      </c>
      <c r="P30" s="154" t="s">
        <v>96</v>
      </c>
      <c r="Q30" s="103"/>
      <c r="R30" s="70">
        <f t="shared" ref="R30" si="14">O30*Q30</f>
        <v>0</v>
      </c>
      <c r="T30" s="213">
        <f>(10*10+14*11)/24</f>
        <v>10.583333333333334</v>
      </c>
      <c r="U30" s="213">
        <f>(29*8+26*6)/55</f>
        <v>7.0545454545454547</v>
      </c>
    </row>
    <row r="31" spans="1:21" x14ac:dyDescent="0.2">
      <c r="A31" s="139"/>
      <c r="B31" s="136"/>
      <c r="C31" s="138">
        <f t="shared" si="12"/>
        <v>0</v>
      </c>
      <c r="D31" s="138">
        <f t="shared" si="0"/>
        <v>0</v>
      </c>
      <c r="E31" s="138">
        <f t="shared" si="1"/>
        <v>0</v>
      </c>
      <c r="F31" s="138">
        <f t="shared" si="2"/>
        <v>0</v>
      </c>
      <c r="G31" s="138">
        <f t="shared" si="3"/>
        <v>0</v>
      </c>
      <c r="H31" s="138">
        <f t="shared" si="4"/>
        <v>0</v>
      </c>
      <c r="I31" s="138">
        <f t="shared" si="5"/>
        <v>0</v>
      </c>
      <c r="J31" s="138">
        <f t="shared" si="6"/>
        <v>0</v>
      </c>
      <c r="K31" s="138">
        <f t="shared" si="7"/>
        <v>0</v>
      </c>
      <c r="L31" s="138">
        <f t="shared" si="8"/>
        <v>0</v>
      </c>
      <c r="M31" s="138">
        <f t="shared" si="9"/>
        <v>0</v>
      </c>
      <c r="N31" s="138">
        <f t="shared" si="10"/>
        <v>0</v>
      </c>
      <c r="O31" s="138">
        <f t="shared" si="11"/>
        <v>0</v>
      </c>
      <c r="P31" s="154"/>
      <c r="Q31" s="103"/>
      <c r="R31" s="70"/>
      <c r="T31" s="213"/>
      <c r="U31" s="213"/>
    </row>
    <row r="32" spans="1:21" x14ac:dyDescent="0.2">
      <c r="A32" s="139" t="s">
        <v>71</v>
      </c>
      <c r="B32" s="136" t="s">
        <v>453</v>
      </c>
      <c r="C32" s="217">
        <f>ROUND((2*$T32+2*$U32)*C$3,0)</f>
        <v>432</v>
      </c>
      <c r="D32" s="217">
        <f t="shared" si="0"/>
        <v>0</v>
      </c>
      <c r="E32" s="217">
        <f t="shared" si="1"/>
        <v>526</v>
      </c>
      <c r="F32" s="217">
        <f t="shared" si="2"/>
        <v>0</v>
      </c>
      <c r="G32" s="217">
        <f t="shared" si="3"/>
        <v>3103</v>
      </c>
      <c r="H32" s="217">
        <f t="shared" si="4"/>
        <v>0</v>
      </c>
      <c r="I32" s="217">
        <f t="shared" si="5"/>
        <v>715</v>
      </c>
      <c r="J32" s="217">
        <f t="shared" si="6"/>
        <v>0</v>
      </c>
      <c r="K32" s="217">
        <f t="shared" si="7"/>
        <v>2426</v>
      </c>
      <c r="L32" s="217">
        <f t="shared" si="8"/>
        <v>0</v>
      </c>
      <c r="M32" s="217">
        <f t="shared" si="9"/>
        <v>903</v>
      </c>
      <c r="N32" s="217">
        <f t="shared" si="10"/>
        <v>0</v>
      </c>
      <c r="O32" s="217">
        <f>C32+E32+G32+I32+K32+M32</f>
        <v>8105</v>
      </c>
      <c r="P32" s="154" t="s">
        <v>96</v>
      </c>
      <c r="Q32" s="103"/>
      <c r="R32" s="70">
        <f t="shared" ref="R32" si="15">O32*Q32</f>
        <v>0</v>
      </c>
      <c r="T32" s="213">
        <f>(10*118+14*125)/24</f>
        <v>122.08333333333333</v>
      </c>
      <c r="U32" s="213">
        <f>(29*96+26*92)/55</f>
        <v>94.109090909090909</v>
      </c>
    </row>
    <row r="33" spans="1:21" x14ac:dyDescent="0.2">
      <c r="A33" s="139"/>
      <c r="B33" s="136"/>
      <c r="C33" s="138"/>
      <c r="D33" s="138"/>
      <c r="E33" s="138"/>
      <c r="F33" s="138"/>
      <c r="G33" s="138"/>
      <c r="H33" s="138"/>
      <c r="I33" s="138"/>
      <c r="J33" s="138"/>
      <c r="K33" s="138"/>
      <c r="L33" s="138"/>
      <c r="M33" s="138"/>
      <c r="N33" s="138"/>
      <c r="O33" s="138"/>
      <c r="P33" s="154"/>
      <c r="Q33" s="103"/>
      <c r="R33" s="70"/>
      <c r="T33" s="175"/>
      <c r="U33" s="175"/>
    </row>
    <row r="34" spans="1:21" x14ac:dyDescent="0.2">
      <c r="A34" s="139"/>
      <c r="B34" s="136"/>
      <c r="C34" s="138"/>
      <c r="D34" s="138"/>
      <c r="E34" s="138"/>
      <c r="F34" s="138"/>
      <c r="G34" s="138"/>
      <c r="H34" s="138"/>
      <c r="I34" s="138"/>
      <c r="J34" s="138"/>
      <c r="K34" s="138"/>
      <c r="L34" s="138"/>
      <c r="M34" s="138"/>
      <c r="N34" s="138"/>
      <c r="O34" s="138"/>
      <c r="P34" s="154"/>
      <c r="Q34" s="103"/>
      <c r="R34" s="70"/>
      <c r="T34" s="175"/>
      <c r="U34" s="175"/>
    </row>
    <row r="35" spans="1:21" x14ac:dyDescent="0.2">
      <c r="A35" s="139"/>
      <c r="B35" s="136"/>
      <c r="C35" s="138"/>
      <c r="D35" s="138"/>
      <c r="E35" s="138"/>
      <c r="F35" s="138"/>
      <c r="G35" s="138"/>
      <c r="H35" s="138"/>
      <c r="I35" s="138"/>
      <c r="J35" s="138"/>
      <c r="K35" s="138"/>
      <c r="L35" s="138"/>
      <c r="M35" s="138"/>
      <c r="N35" s="138"/>
      <c r="O35" s="138"/>
      <c r="P35" s="154"/>
      <c r="Q35" s="103"/>
      <c r="R35" s="70"/>
      <c r="T35" s="175"/>
      <c r="U35" s="175"/>
    </row>
    <row r="36" spans="1:21" x14ac:dyDescent="0.2">
      <c r="A36" s="139"/>
      <c r="B36" s="136"/>
      <c r="C36" s="138"/>
      <c r="D36" s="138"/>
      <c r="E36" s="138"/>
      <c r="F36" s="138"/>
      <c r="G36" s="138"/>
      <c r="H36" s="138"/>
      <c r="I36" s="138"/>
      <c r="J36" s="138"/>
      <c r="K36" s="138"/>
      <c r="L36" s="138"/>
      <c r="M36" s="138"/>
      <c r="N36" s="138"/>
      <c r="O36" s="138"/>
      <c r="P36" s="154"/>
      <c r="Q36" s="103"/>
      <c r="R36" s="70"/>
      <c r="T36" s="175"/>
      <c r="U36" s="175"/>
    </row>
    <row r="37" spans="1:21" x14ac:dyDescent="0.2">
      <c r="A37" s="139"/>
      <c r="B37" s="136"/>
      <c r="C37" s="138"/>
      <c r="D37" s="138"/>
      <c r="E37" s="138"/>
      <c r="F37" s="138"/>
      <c r="G37" s="138"/>
      <c r="H37" s="138"/>
      <c r="I37" s="138"/>
      <c r="J37" s="138"/>
      <c r="K37" s="138"/>
      <c r="L37" s="138"/>
      <c r="M37" s="138"/>
      <c r="N37" s="138"/>
      <c r="O37" s="138"/>
      <c r="P37" s="154"/>
      <c r="Q37" s="103"/>
      <c r="R37" s="70"/>
      <c r="T37" s="175"/>
      <c r="U37" s="175"/>
    </row>
    <row r="38" spans="1:21" x14ac:dyDescent="0.2">
      <c r="A38" s="139"/>
      <c r="B38" s="136"/>
      <c r="C38" s="138"/>
      <c r="D38" s="138"/>
      <c r="E38" s="138"/>
      <c r="F38" s="138"/>
      <c r="G38" s="138"/>
      <c r="H38" s="138"/>
      <c r="I38" s="138"/>
      <c r="J38" s="138"/>
      <c r="K38" s="138"/>
      <c r="L38" s="138"/>
      <c r="M38" s="138"/>
      <c r="N38" s="138"/>
      <c r="O38" s="138"/>
      <c r="P38" s="154"/>
      <c r="Q38" s="103"/>
      <c r="R38" s="70"/>
      <c r="T38" s="175"/>
      <c r="U38" s="175"/>
    </row>
    <row r="39" spans="1:21" x14ac:dyDescent="0.2">
      <c r="A39" s="139"/>
      <c r="B39" s="136"/>
      <c r="C39" s="138"/>
      <c r="D39" s="138"/>
      <c r="E39" s="138"/>
      <c r="F39" s="138"/>
      <c r="G39" s="138"/>
      <c r="H39" s="138"/>
      <c r="I39" s="138"/>
      <c r="J39" s="138"/>
      <c r="K39" s="138"/>
      <c r="L39" s="138"/>
      <c r="M39" s="138"/>
      <c r="N39" s="138"/>
      <c r="O39" s="138"/>
      <c r="P39" s="154"/>
      <c r="Q39" s="103"/>
      <c r="R39" s="70"/>
      <c r="T39" s="175"/>
      <c r="U39" s="175"/>
    </row>
    <row r="40" spans="1:21" x14ac:dyDescent="0.2">
      <c r="A40" s="139"/>
      <c r="B40" s="136"/>
      <c r="C40" s="138"/>
      <c r="D40" s="138"/>
      <c r="E40" s="138"/>
      <c r="F40" s="138"/>
      <c r="G40" s="138"/>
      <c r="H40" s="138"/>
      <c r="I40" s="138"/>
      <c r="J40" s="138"/>
      <c r="K40" s="138"/>
      <c r="L40" s="138"/>
      <c r="M40" s="138"/>
      <c r="N40" s="138"/>
      <c r="O40" s="138"/>
      <c r="P40" s="154"/>
      <c r="Q40" s="103"/>
      <c r="R40" s="70"/>
      <c r="T40" s="175"/>
      <c r="U40" s="175"/>
    </row>
    <row r="41" spans="1:21" x14ac:dyDescent="0.2">
      <c r="A41" s="139"/>
      <c r="B41" s="136"/>
      <c r="C41" s="138"/>
      <c r="D41" s="138"/>
      <c r="E41" s="138"/>
      <c r="F41" s="138"/>
      <c r="G41" s="138"/>
      <c r="H41" s="138"/>
      <c r="I41" s="138"/>
      <c r="J41" s="138"/>
      <c r="K41" s="138"/>
      <c r="L41" s="138"/>
      <c r="M41" s="138"/>
      <c r="N41" s="138"/>
      <c r="O41" s="138"/>
      <c r="P41" s="154"/>
      <c r="Q41" s="103"/>
      <c r="R41" s="70"/>
      <c r="T41" s="175"/>
      <c r="U41" s="175"/>
    </row>
    <row r="42" spans="1:21" x14ac:dyDescent="0.2">
      <c r="A42" s="139"/>
      <c r="B42" s="136"/>
      <c r="C42" s="138"/>
      <c r="D42" s="138"/>
      <c r="E42" s="138"/>
      <c r="F42" s="138"/>
      <c r="G42" s="138"/>
      <c r="H42" s="138"/>
      <c r="I42" s="138"/>
      <c r="J42" s="138"/>
      <c r="K42" s="138"/>
      <c r="L42" s="138"/>
      <c r="M42" s="138"/>
      <c r="N42" s="138"/>
      <c r="O42" s="138"/>
      <c r="P42" s="154"/>
      <c r="Q42" s="103"/>
      <c r="R42" s="70"/>
      <c r="T42" s="175"/>
      <c r="U42" s="175"/>
    </row>
    <row r="43" spans="1:21" ht="30.75" customHeight="1" x14ac:dyDescent="0.2">
      <c r="A43" s="139"/>
      <c r="B43" s="136"/>
      <c r="C43" s="138"/>
      <c r="D43" s="138"/>
      <c r="E43" s="138"/>
      <c r="F43" s="138"/>
      <c r="G43" s="138"/>
      <c r="H43" s="138"/>
      <c r="I43" s="138"/>
      <c r="J43" s="138"/>
      <c r="K43" s="138"/>
      <c r="L43" s="138"/>
      <c r="M43" s="138"/>
      <c r="N43" s="138"/>
      <c r="O43" s="138"/>
      <c r="P43" s="154"/>
      <c r="Q43" s="103"/>
      <c r="R43" s="70"/>
      <c r="T43" s="175"/>
      <c r="U43" s="175"/>
    </row>
    <row r="44" spans="1:21" x14ac:dyDescent="0.2">
      <c r="A44" s="139"/>
      <c r="B44" s="136"/>
      <c r="C44" s="138"/>
      <c r="D44" s="138"/>
      <c r="E44" s="138"/>
      <c r="F44" s="138"/>
      <c r="G44" s="138"/>
      <c r="H44" s="138"/>
      <c r="I44" s="138"/>
      <c r="J44" s="138"/>
      <c r="K44" s="138"/>
      <c r="L44" s="138"/>
      <c r="M44" s="138"/>
      <c r="N44" s="138"/>
      <c r="O44" s="138"/>
      <c r="P44" s="154"/>
      <c r="Q44" s="103"/>
      <c r="R44" s="70"/>
      <c r="T44" s="175"/>
      <c r="U44" s="175"/>
    </row>
    <row r="45" spans="1:21" x14ac:dyDescent="0.2">
      <c r="A45" s="139"/>
      <c r="B45" s="136"/>
      <c r="C45" s="138">
        <f t="shared" si="12"/>
        <v>0</v>
      </c>
      <c r="D45" s="138">
        <f t="shared" si="0"/>
        <v>0</v>
      </c>
      <c r="E45" s="138">
        <f t="shared" si="1"/>
        <v>0</v>
      </c>
      <c r="F45" s="138">
        <f t="shared" si="2"/>
        <v>0</v>
      </c>
      <c r="G45" s="138">
        <f t="shared" si="3"/>
        <v>0</v>
      </c>
      <c r="H45" s="138">
        <f t="shared" si="4"/>
        <v>0</v>
      </c>
      <c r="I45" s="138">
        <f t="shared" si="5"/>
        <v>0</v>
      </c>
      <c r="J45" s="138">
        <f t="shared" si="6"/>
        <v>0</v>
      </c>
      <c r="K45" s="138">
        <f t="shared" si="7"/>
        <v>0</v>
      </c>
      <c r="L45" s="138">
        <f t="shared" si="8"/>
        <v>0</v>
      </c>
      <c r="M45" s="138">
        <f t="shared" si="9"/>
        <v>0</v>
      </c>
      <c r="N45" s="138">
        <f t="shared" si="10"/>
        <v>0</v>
      </c>
      <c r="O45" s="138">
        <f t="shared" si="11"/>
        <v>0</v>
      </c>
      <c r="P45" s="154"/>
      <c r="Q45" s="103"/>
      <c r="R45" s="70"/>
      <c r="T45" s="175"/>
      <c r="U45" s="175"/>
    </row>
    <row r="46" spans="1:21" x14ac:dyDescent="0.2">
      <c r="A46" s="127"/>
      <c r="B46" s="136"/>
      <c r="C46" s="128"/>
      <c r="D46" s="120"/>
      <c r="E46" s="120"/>
      <c r="F46" s="120"/>
      <c r="G46" s="120"/>
      <c r="H46" s="120"/>
      <c r="I46" s="120"/>
      <c r="J46" s="120"/>
      <c r="K46" s="120"/>
      <c r="L46" s="120"/>
      <c r="M46" s="120"/>
      <c r="N46" s="120"/>
      <c r="O46" s="120"/>
      <c r="P46" s="154"/>
      <c r="Q46" s="103"/>
      <c r="R46" s="70"/>
    </row>
    <row r="47" spans="1:21" x14ac:dyDescent="0.2">
      <c r="A47" s="129"/>
      <c r="B47" s="130"/>
      <c r="C47" s="131"/>
      <c r="D47" s="131"/>
      <c r="E47" s="131"/>
      <c r="F47" s="131"/>
      <c r="G47" s="131"/>
      <c r="H47" s="131"/>
      <c r="I47" s="131"/>
      <c r="J47" s="131"/>
      <c r="K47" s="131"/>
      <c r="L47" s="131"/>
      <c r="M47" s="131"/>
      <c r="N47" s="131"/>
      <c r="O47" s="131"/>
      <c r="P47" s="131"/>
      <c r="Q47" s="104"/>
      <c r="R47" s="105"/>
      <c r="T47" s="134"/>
      <c r="U47" s="134"/>
    </row>
    <row r="48" spans="1:21" x14ac:dyDescent="0.2">
      <c r="C48" s="122"/>
      <c r="D48" s="122"/>
      <c r="E48" s="122"/>
      <c r="F48" s="122"/>
      <c r="G48" s="122"/>
      <c r="H48" s="122"/>
      <c r="I48" s="122"/>
      <c r="J48" s="122"/>
      <c r="K48" s="122"/>
      <c r="L48" s="122"/>
      <c r="M48" s="122"/>
      <c r="N48" s="122"/>
      <c r="O48" s="122"/>
      <c r="P48" s="171" t="s">
        <v>1</v>
      </c>
      <c r="Q48" s="133" t="s">
        <v>0</v>
      </c>
      <c r="R48" s="70">
        <f>SUM(R4:R47)</f>
        <v>0</v>
      </c>
      <c r="T48" s="135"/>
      <c r="U48" s="135"/>
    </row>
    <row r="49" spans="1:21" x14ac:dyDescent="0.2">
      <c r="Q49" s="76"/>
      <c r="R49" s="106"/>
    </row>
    <row r="50" spans="1:21" x14ac:dyDescent="0.2">
      <c r="A50" s="139"/>
      <c r="B50" s="82"/>
      <c r="C50" s="128"/>
      <c r="D50" s="120"/>
      <c r="E50" s="120"/>
      <c r="F50" s="120"/>
      <c r="G50" s="120"/>
      <c r="H50" s="120"/>
      <c r="I50" s="120"/>
      <c r="J50" s="120"/>
      <c r="K50" s="120"/>
      <c r="L50" s="120"/>
      <c r="M50" s="120"/>
      <c r="N50" s="120"/>
      <c r="O50" s="120"/>
      <c r="P50" s="154"/>
      <c r="Q50" s="103"/>
      <c r="R50" s="70"/>
    </row>
    <row r="51" spans="1:21" x14ac:dyDescent="0.2">
      <c r="A51" s="139"/>
      <c r="B51" s="82" t="s">
        <v>97</v>
      </c>
      <c r="C51" s="128"/>
      <c r="D51" s="120"/>
      <c r="E51" s="120"/>
      <c r="F51" s="120"/>
      <c r="G51" s="120"/>
      <c r="H51" s="120"/>
      <c r="I51" s="120"/>
      <c r="J51" s="120"/>
      <c r="K51" s="120"/>
      <c r="L51" s="120"/>
      <c r="M51" s="120"/>
      <c r="N51" s="120"/>
      <c r="O51" s="120"/>
      <c r="P51" s="154"/>
      <c r="Q51" s="103"/>
      <c r="R51" s="70"/>
    </row>
    <row r="52" spans="1:21" x14ac:dyDescent="0.2">
      <c r="A52" s="139"/>
      <c r="B52" s="82"/>
      <c r="C52" s="128"/>
      <c r="D52" s="120"/>
      <c r="E52" s="120"/>
      <c r="F52" s="120"/>
      <c r="G52" s="120"/>
      <c r="H52" s="120"/>
      <c r="I52" s="120"/>
      <c r="J52" s="120"/>
      <c r="K52" s="120"/>
      <c r="L52" s="120"/>
      <c r="M52" s="120"/>
      <c r="N52" s="120"/>
      <c r="O52" s="120"/>
      <c r="P52" s="154"/>
      <c r="Q52" s="103"/>
      <c r="R52" s="70"/>
    </row>
    <row r="53" spans="1:21" x14ac:dyDescent="0.2">
      <c r="A53" s="139"/>
      <c r="B53" s="82" t="s">
        <v>98</v>
      </c>
      <c r="C53" s="138">
        <f t="shared" ref="C53:C67" si="16">ROUND((2*$T53+2*$U53)*C$3,0)</f>
        <v>0</v>
      </c>
      <c r="D53" s="138">
        <f t="shared" ref="D53:D67" si="17">C53*$Q53</f>
        <v>0</v>
      </c>
      <c r="E53" s="138">
        <f t="shared" ref="E53:E67" si="18">ROUND((2*$T53+3*$U53)*E$3,0)</f>
        <v>0</v>
      </c>
      <c r="F53" s="138">
        <f t="shared" ref="F53:F67" si="19">E53*$Q53</f>
        <v>0</v>
      </c>
      <c r="G53" s="138">
        <f t="shared" ref="G53:G67" si="20">ROUND((2*$T53+4*$U53)*G$3,0)</f>
        <v>0</v>
      </c>
      <c r="H53" s="138">
        <f t="shared" ref="H53:H67" si="21">G53*$Q53</f>
        <v>0</v>
      </c>
      <c r="I53" s="138">
        <f t="shared" ref="I53:I67" si="22">ROUND((2*$T53+5*$U53)*I$3,0)</f>
        <v>0</v>
      </c>
      <c r="J53" s="138">
        <f t="shared" ref="J53:J67" si="23">I53*$Q53</f>
        <v>0</v>
      </c>
      <c r="K53" s="138">
        <f t="shared" ref="K53:K67" si="24">ROUND((2*$T53+6*$U53)*K$3,0)</f>
        <v>0</v>
      </c>
      <c r="L53" s="138">
        <f t="shared" ref="L53:L67" si="25">K53*$Q53</f>
        <v>0</v>
      </c>
      <c r="M53" s="138">
        <f t="shared" ref="M53:M67" si="26">ROUND((2*$T53+7*$U53)*M$3,0)</f>
        <v>0</v>
      </c>
      <c r="N53" s="138">
        <f t="shared" ref="N53:N67" si="27">M53*$Q53</f>
        <v>0</v>
      </c>
      <c r="O53" s="138">
        <f t="shared" ref="O53:O66" si="28">C53+E53+G53+I53+K53+M53</f>
        <v>0</v>
      </c>
      <c r="P53" s="154"/>
      <c r="Q53" s="103"/>
      <c r="R53" s="70"/>
    </row>
    <row r="54" spans="1:21" x14ac:dyDescent="0.2">
      <c r="A54" s="139"/>
      <c r="B54" s="82"/>
      <c r="C54" s="138">
        <f t="shared" si="16"/>
        <v>0</v>
      </c>
      <c r="D54" s="138">
        <f t="shared" si="17"/>
        <v>0</v>
      </c>
      <c r="E54" s="138">
        <f t="shared" si="18"/>
        <v>0</v>
      </c>
      <c r="F54" s="138">
        <f t="shared" si="19"/>
        <v>0</v>
      </c>
      <c r="G54" s="138">
        <f t="shared" si="20"/>
        <v>0</v>
      </c>
      <c r="H54" s="138">
        <f t="shared" si="21"/>
        <v>0</v>
      </c>
      <c r="I54" s="138">
        <f t="shared" si="22"/>
        <v>0</v>
      </c>
      <c r="J54" s="138">
        <f t="shared" si="23"/>
        <v>0</v>
      </c>
      <c r="K54" s="138">
        <f t="shared" si="24"/>
        <v>0</v>
      </c>
      <c r="L54" s="138">
        <f t="shared" si="25"/>
        <v>0</v>
      </c>
      <c r="M54" s="138">
        <f t="shared" si="26"/>
        <v>0</v>
      </c>
      <c r="N54" s="138">
        <f t="shared" si="27"/>
        <v>0</v>
      </c>
      <c r="O54" s="138">
        <f t="shared" si="28"/>
        <v>0</v>
      </c>
      <c r="P54" s="154"/>
      <c r="Q54" s="103"/>
      <c r="R54" s="70"/>
    </row>
    <row r="55" spans="1:21" ht="28.5" x14ac:dyDescent="0.2">
      <c r="A55" s="139" t="s">
        <v>66</v>
      </c>
      <c r="B55" s="136" t="s">
        <v>454</v>
      </c>
      <c r="C55" s="217">
        <f t="shared" si="16"/>
        <v>361</v>
      </c>
      <c r="D55" s="217">
        <f t="shared" si="17"/>
        <v>0</v>
      </c>
      <c r="E55" s="217">
        <f t="shared" si="18"/>
        <v>430</v>
      </c>
      <c r="F55" s="217">
        <f t="shared" si="19"/>
        <v>0</v>
      </c>
      <c r="G55" s="217">
        <f t="shared" si="20"/>
        <v>2496</v>
      </c>
      <c r="H55" s="217">
        <f t="shared" si="21"/>
        <v>0</v>
      </c>
      <c r="I55" s="217">
        <f t="shared" si="22"/>
        <v>569</v>
      </c>
      <c r="J55" s="217">
        <f t="shared" si="23"/>
        <v>0</v>
      </c>
      <c r="K55" s="217">
        <f t="shared" si="24"/>
        <v>1914</v>
      </c>
      <c r="L55" s="217">
        <f t="shared" si="25"/>
        <v>0</v>
      </c>
      <c r="M55" s="217">
        <f t="shared" si="26"/>
        <v>707</v>
      </c>
      <c r="N55" s="217">
        <f t="shared" si="27"/>
        <v>0</v>
      </c>
      <c r="O55" s="217">
        <f>C55+E55+G55+I55+K55+M55</f>
        <v>6477</v>
      </c>
      <c r="P55" s="154" t="s">
        <v>96</v>
      </c>
      <c r="Q55" s="103"/>
      <c r="R55" s="70">
        <f t="shared" ref="R55" si="29">O55*Q55</f>
        <v>0</v>
      </c>
      <c r="T55" s="213">
        <f>(10*76+14*136)/24</f>
        <v>111</v>
      </c>
      <c r="U55" s="213">
        <f>(29*92+26*44)/55</f>
        <v>69.309090909090912</v>
      </c>
    </row>
    <row r="56" spans="1:21" x14ac:dyDescent="0.2">
      <c r="A56" s="139"/>
      <c r="B56" s="136"/>
      <c r="C56" s="138">
        <f t="shared" si="16"/>
        <v>0</v>
      </c>
      <c r="D56" s="138">
        <f t="shared" si="17"/>
        <v>0</v>
      </c>
      <c r="E56" s="138">
        <f t="shared" si="18"/>
        <v>0</v>
      </c>
      <c r="F56" s="138">
        <f t="shared" si="19"/>
        <v>0</v>
      </c>
      <c r="G56" s="138">
        <f t="shared" si="20"/>
        <v>0</v>
      </c>
      <c r="H56" s="138">
        <f t="shared" si="21"/>
        <v>0</v>
      </c>
      <c r="I56" s="138">
        <f t="shared" si="22"/>
        <v>0</v>
      </c>
      <c r="J56" s="138">
        <f t="shared" si="23"/>
        <v>0</v>
      </c>
      <c r="K56" s="138">
        <f t="shared" si="24"/>
        <v>0</v>
      </c>
      <c r="L56" s="138">
        <f t="shared" si="25"/>
        <v>0</v>
      </c>
      <c r="M56" s="138">
        <f t="shared" si="26"/>
        <v>0</v>
      </c>
      <c r="N56" s="138">
        <f t="shared" si="27"/>
        <v>0</v>
      </c>
      <c r="O56" s="138">
        <f t="shared" si="28"/>
        <v>0</v>
      </c>
      <c r="P56" s="154"/>
      <c r="Q56" s="103"/>
      <c r="R56" s="70"/>
      <c r="T56" s="213"/>
      <c r="U56" s="213"/>
    </row>
    <row r="57" spans="1:21" x14ac:dyDescent="0.2">
      <c r="A57" s="139" t="s">
        <v>67</v>
      </c>
      <c r="B57" s="136" t="s">
        <v>99</v>
      </c>
      <c r="C57" s="217">
        <f>ROUND((2*$T57+2*$U57)*C$3,0)</f>
        <v>197</v>
      </c>
      <c r="D57" s="217">
        <f t="shared" si="17"/>
        <v>0</v>
      </c>
      <c r="E57" s="217">
        <f>ROUND((2*$T57+3*$U57)*E$3,0)</f>
        <v>246</v>
      </c>
      <c r="F57" s="217">
        <f t="shared" si="19"/>
        <v>0</v>
      </c>
      <c r="G57" s="217">
        <f>ROUND((2*$T57+4*$U57)*G$3,0)</f>
        <v>1471</v>
      </c>
      <c r="H57" s="217">
        <f t="shared" si="21"/>
        <v>0</v>
      </c>
      <c r="I57" s="217">
        <f t="shared" si="22"/>
        <v>343</v>
      </c>
      <c r="J57" s="217">
        <f t="shared" si="23"/>
        <v>0</v>
      </c>
      <c r="K57" s="217">
        <f t="shared" si="24"/>
        <v>1175</v>
      </c>
      <c r="L57" s="217">
        <f t="shared" si="25"/>
        <v>0</v>
      </c>
      <c r="M57" s="217">
        <f t="shared" si="26"/>
        <v>440</v>
      </c>
      <c r="N57" s="217">
        <f t="shared" si="27"/>
        <v>0</v>
      </c>
      <c r="O57" s="217">
        <f>C57+E57+G57+I57+K57+M57</f>
        <v>3872</v>
      </c>
      <c r="P57" s="154" t="s">
        <v>96</v>
      </c>
      <c r="Q57" s="103"/>
      <c r="R57" s="70">
        <f t="shared" ref="R57" si="30">O57*Q57</f>
        <v>0</v>
      </c>
      <c r="T57" s="213">
        <f>(10*52+14*48)/24</f>
        <v>49.666666666666664</v>
      </c>
      <c r="U57" s="213">
        <f>(29*44+26*54)/55</f>
        <v>48.727272727272727</v>
      </c>
    </row>
    <row r="58" spans="1:21" x14ac:dyDescent="0.2">
      <c r="A58" s="214"/>
      <c r="B58" s="218"/>
      <c r="C58" s="215">
        <f t="shared" si="16"/>
        <v>0</v>
      </c>
      <c r="D58" s="215">
        <f t="shared" si="17"/>
        <v>0</v>
      </c>
      <c r="E58" s="215">
        <f t="shared" si="18"/>
        <v>0</v>
      </c>
      <c r="F58" s="215">
        <f t="shared" si="19"/>
        <v>0</v>
      </c>
      <c r="G58" s="215">
        <f t="shared" si="20"/>
        <v>0</v>
      </c>
      <c r="H58" s="215">
        <f t="shared" si="21"/>
        <v>0</v>
      </c>
      <c r="I58" s="215">
        <f t="shared" si="22"/>
        <v>0</v>
      </c>
      <c r="J58" s="215">
        <f t="shared" si="23"/>
        <v>0</v>
      </c>
      <c r="K58" s="215">
        <f t="shared" si="24"/>
        <v>0</v>
      </c>
      <c r="L58" s="215">
        <f t="shared" si="25"/>
        <v>0</v>
      </c>
      <c r="M58" s="215">
        <f t="shared" si="26"/>
        <v>0</v>
      </c>
      <c r="N58" s="215">
        <f t="shared" si="27"/>
        <v>0</v>
      </c>
      <c r="O58" s="215">
        <f t="shared" si="28"/>
        <v>0</v>
      </c>
      <c r="P58" s="216"/>
      <c r="Q58" s="103"/>
      <c r="R58" s="70"/>
      <c r="T58" s="213"/>
      <c r="U58" s="213"/>
    </row>
    <row r="59" spans="1:21" x14ac:dyDescent="0.2">
      <c r="A59" s="225" t="s">
        <v>68</v>
      </c>
      <c r="B59" s="226" t="s">
        <v>239</v>
      </c>
      <c r="C59" s="227">
        <f t="shared" si="16"/>
        <v>0</v>
      </c>
      <c r="D59" s="227">
        <f t="shared" si="17"/>
        <v>0</v>
      </c>
      <c r="E59" s="227">
        <f t="shared" si="18"/>
        <v>0</v>
      </c>
      <c r="F59" s="227">
        <f t="shared" si="19"/>
        <v>0</v>
      </c>
      <c r="G59" s="227">
        <f t="shared" si="20"/>
        <v>0</v>
      </c>
      <c r="H59" s="227">
        <f t="shared" si="21"/>
        <v>0</v>
      </c>
      <c r="I59" s="227">
        <f t="shared" si="22"/>
        <v>0</v>
      </c>
      <c r="J59" s="227">
        <f t="shared" si="23"/>
        <v>0</v>
      </c>
      <c r="K59" s="227">
        <f t="shared" si="24"/>
        <v>0</v>
      </c>
      <c r="L59" s="227">
        <f t="shared" si="25"/>
        <v>0</v>
      </c>
      <c r="M59" s="227">
        <f t="shared" si="26"/>
        <v>0</v>
      </c>
      <c r="N59" s="227">
        <f t="shared" si="27"/>
        <v>0</v>
      </c>
      <c r="O59" s="227">
        <f t="shared" si="28"/>
        <v>0</v>
      </c>
      <c r="P59" s="228" t="s">
        <v>5</v>
      </c>
      <c r="Q59" s="229"/>
      <c r="R59" s="230" t="s">
        <v>904</v>
      </c>
      <c r="T59" s="213"/>
      <c r="U59" s="213"/>
    </row>
    <row r="60" spans="1:21" x14ac:dyDescent="0.2">
      <c r="A60" s="139"/>
      <c r="B60" s="110"/>
      <c r="C60" s="138">
        <f t="shared" si="16"/>
        <v>0</v>
      </c>
      <c r="D60" s="138">
        <f t="shared" si="17"/>
        <v>0</v>
      </c>
      <c r="E60" s="138">
        <f t="shared" si="18"/>
        <v>0</v>
      </c>
      <c r="F60" s="138">
        <f t="shared" si="19"/>
        <v>0</v>
      </c>
      <c r="G60" s="138">
        <f t="shared" si="20"/>
        <v>0</v>
      </c>
      <c r="H60" s="138">
        <f t="shared" si="21"/>
        <v>0</v>
      </c>
      <c r="I60" s="138">
        <f t="shared" si="22"/>
        <v>0</v>
      </c>
      <c r="J60" s="138">
        <f t="shared" si="23"/>
        <v>0</v>
      </c>
      <c r="K60" s="138">
        <f t="shared" si="24"/>
        <v>0</v>
      </c>
      <c r="L60" s="138">
        <f t="shared" si="25"/>
        <v>0</v>
      </c>
      <c r="M60" s="138">
        <f t="shared" si="26"/>
        <v>0</v>
      </c>
      <c r="N60" s="138">
        <f t="shared" si="27"/>
        <v>0</v>
      </c>
      <c r="O60" s="138">
        <f t="shared" si="28"/>
        <v>0</v>
      </c>
      <c r="P60" s="154"/>
      <c r="Q60" s="103"/>
      <c r="R60" s="70"/>
      <c r="T60" s="213"/>
      <c r="U60" s="213"/>
    </row>
    <row r="61" spans="1:21" x14ac:dyDescent="0.2">
      <c r="A61" s="139"/>
      <c r="B61" s="111" t="s">
        <v>262</v>
      </c>
      <c r="C61" s="138">
        <f t="shared" si="16"/>
        <v>0</v>
      </c>
      <c r="D61" s="138">
        <f t="shared" si="17"/>
        <v>0</v>
      </c>
      <c r="E61" s="138">
        <f t="shared" si="18"/>
        <v>0</v>
      </c>
      <c r="F61" s="138">
        <f t="shared" si="19"/>
        <v>0</v>
      </c>
      <c r="G61" s="138">
        <f t="shared" si="20"/>
        <v>0</v>
      </c>
      <c r="H61" s="138">
        <f t="shared" si="21"/>
        <v>0</v>
      </c>
      <c r="I61" s="138">
        <f t="shared" si="22"/>
        <v>0</v>
      </c>
      <c r="J61" s="138">
        <f t="shared" si="23"/>
        <v>0</v>
      </c>
      <c r="K61" s="138">
        <f t="shared" si="24"/>
        <v>0</v>
      </c>
      <c r="L61" s="138">
        <f t="shared" si="25"/>
        <v>0</v>
      </c>
      <c r="M61" s="138">
        <f t="shared" si="26"/>
        <v>0</v>
      </c>
      <c r="N61" s="138">
        <f t="shared" si="27"/>
        <v>0</v>
      </c>
      <c r="O61" s="138">
        <f t="shared" si="28"/>
        <v>0</v>
      </c>
      <c r="P61" s="154"/>
      <c r="Q61" s="103"/>
      <c r="R61" s="128"/>
      <c r="T61" s="213"/>
      <c r="U61" s="213"/>
    </row>
    <row r="62" spans="1:21" x14ac:dyDescent="0.2">
      <c r="A62" s="139"/>
      <c r="B62" s="111"/>
      <c r="C62" s="138">
        <f t="shared" si="16"/>
        <v>0</v>
      </c>
      <c r="D62" s="138">
        <f t="shared" si="17"/>
        <v>0</v>
      </c>
      <c r="E62" s="138">
        <f t="shared" si="18"/>
        <v>0</v>
      </c>
      <c r="F62" s="138">
        <f t="shared" si="19"/>
        <v>0</v>
      </c>
      <c r="G62" s="138">
        <f t="shared" si="20"/>
        <v>0</v>
      </c>
      <c r="H62" s="138">
        <f t="shared" si="21"/>
        <v>0</v>
      </c>
      <c r="I62" s="138">
        <f t="shared" si="22"/>
        <v>0</v>
      </c>
      <c r="J62" s="138">
        <f t="shared" si="23"/>
        <v>0</v>
      </c>
      <c r="K62" s="138">
        <f t="shared" si="24"/>
        <v>0</v>
      </c>
      <c r="L62" s="138">
        <f t="shared" si="25"/>
        <v>0</v>
      </c>
      <c r="M62" s="138">
        <f t="shared" si="26"/>
        <v>0</v>
      </c>
      <c r="N62" s="138">
        <f t="shared" si="27"/>
        <v>0</v>
      </c>
      <c r="O62" s="138">
        <f t="shared" si="28"/>
        <v>0</v>
      </c>
      <c r="P62" s="154"/>
      <c r="Q62" s="103"/>
      <c r="R62" s="128"/>
      <c r="T62" s="213"/>
      <c r="U62" s="213"/>
    </row>
    <row r="63" spans="1:21" x14ac:dyDescent="0.2">
      <c r="A63" s="139" t="s">
        <v>69</v>
      </c>
      <c r="B63" s="110" t="s">
        <v>451</v>
      </c>
      <c r="C63" s="217">
        <f t="shared" si="16"/>
        <v>34</v>
      </c>
      <c r="D63" s="217">
        <f t="shared" si="17"/>
        <v>0</v>
      </c>
      <c r="E63" s="217">
        <f t="shared" si="18"/>
        <v>40</v>
      </c>
      <c r="F63" s="217">
        <f t="shared" si="19"/>
        <v>0</v>
      </c>
      <c r="G63" s="217">
        <f t="shared" si="20"/>
        <v>236</v>
      </c>
      <c r="H63" s="217">
        <f t="shared" si="21"/>
        <v>0</v>
      </c>
      <c r="I63" s="217">
        <f t="shared" si="22"/>
        <v>54</v>
      </c>
      <c r="J63" s="217">
        <f t="shared" si="23"/>
        <v>0</v>
      </c>
      <c r="K63" s="217">
        <f t="shared" si="24"/>
        <v>183</v>
      </c>
      <c r="L63" s="217">
        <f t="shared" si="25"/>
        <v>0</v>
      </c>
      <c r="M63" s="217">
        <f t="shared" si="26"/>
        <v>68</v>
      </c>
      <c r="N63" s="217">
        <f t="shared" si="27"/>
        <v>0</v>
      </c>
      <c r="O63" s="217">
        <f>C63+E63+G63+I63+K63+M63</f>
        <v>615</v>
      </c>
      <c r="P63" s="154" t="s">
        <v>96</v>
      </c>
      <c r="Q63" s="103"/>
      <c r="R63" s="70">
        <f>O63*Q63</f>
        <v>0</v>
      </c>
      <c r="T63" s="213">
        <f>(14*17)/24</f>
        <v>9.9166666666666661</v>
      </c>
      <c r="U63" s="213">
        <f>(29*13)/55</f>
        <v>6.8545454545454545</v>
      </c>
    </row>
    <row r="64" spans="1:21" x14ac:dyDescent="0.2">
      <c r="A64" s="139"/>
      <c r="B64" s="111"/>
      <c r="C64" s="138">
        <f t="shared" si="16"/>
        <v>0</v>
      </c>
      <c r="D64" s="138">
        <f t="shared" si="17"/>
        <v>0</v>
      </c>
      <c r="E64" s="138">
        <f t="shared" si="18"/>
        <v>0</v>
      </c>
      <c r="F64" s="138">
        <f t="shared" si="19"/>
        <v>0</v>
      </c>
      <c r="G64" s="138">
        <f t="shared" si="20"/>
        <v>0</v>
      </c>
      <c r="H64" s="138">
        <f t="shared" si="21"/>
        <v>0</v>
      </c>
      <c r="I64" s="138">
        <f t="shared" si="22"/>
        <v>0</v>
      </c>
      <c r="J64" s="138">
        <f t="shared" si="23"/>
        <v>0</v>
      </c>
      <c r="K64" s="138">
        <f t="shared" si="24"/>
        <v>0</v>
      </c>
      <c r="L64" s="138">
        <f t="shared" si="25"/>
        <v>0</v>
      </c>
      <c r="M64" s="138">
        <f t="shared" si="26"/>
        <v>0</v>
      </c>
      <c r="N64" s="138">
        <f t="shared" si="27"/>
        <v>0</v>
      </c>
      <c r="O64" s="138">
        <f t="shared" ref="O64" si="31">C64+E64+G64+I64+K64+M64</f>
        <v>0</v>
      </c>
      <c r="P64" s="154"/>
      <c r="Q64" s="103"/>
      <c r="R64" s="128"/>
      <c r="T64" s="213"/>
      <c r="U64" s="213"/>
    </row>
    <row r="65" spans="1:21" x14ac:dyDescent="0.2">
      <c r="A65" s="139" t="s">
        <v>70</v>
      </c>
      <c r="B65" s="110" t="s">
        <v>450</v>
      </c>
      <c r="C65" s="217">
        <f t="shared" si="16"/>
        <v>53</v>
      </c>
      <c r="D65" s="217">
        <f t="shared" si="17"/>
        <v>0</v>
      </c>
      <c r="E65" s="217">
        <f t="shared" si="18"/>
        <v>65</v>
      </c>
      <c r="F65" s="217">
        <f t="shared" si="19"/>
        <v>0</v>
      </c>
      <c r="G65" s="217">
        <f t="shared" si="20"/>
        <v>387</v>
      </c>
      <c r="H65" s="217">
        <f t="shared" si="21"/>
        <v>0</v>
      </c>
      <c r="I65" s="217">
        <f t="shared" si="22"/>
        <v>90</v>
      </c>
      <c r="J65" s="217">
        <f t="shared" si="23"/>
        <v>0</v>
      </c>
      <c r="K65" s="217">
        <f t="shared" si="24"/>
        <v>306</v>
      </c>
      <c r="L65" s="217">
        <f t="shared" si="25"/>
        <v>0</v>
      </c>
      <c r="M65" s="217">
        <f t="shared" si="26"/>
        <v>114</v>
      </c>
      <c r="N65" s="217">
        <f t="shared" si="27"/>
        <v>0</v>
      </c>
      <c r="O65" s="217">
        <f>C65+E65+G65+I65+K65+M65</f>
        <v>1015</v>
      </c>
      <c r="P65" s="154" t="s">
        <v>96</v>
      </c>
      <c r="Q65" s="103"/>
      <c r="R65" s="70">
        <f>O65*Q65</f>
        <v>0</v>
      </c>
      <c r="T65" s="213">
        <f>(10*34)/24</f>
        <v>14.166666666666666</v>
      </c>
      <c r="U65" s="213">
        <f>(26*26)/55</f>
        <v>12.290909090909091</v>
      </c>
    </row>
    <row r="66" spans="1:21" x14ac:dyDescent="0.2">
      <c r="A66" s="139"/>
      <c r="B66" s="110"/>
      <c r="C66" s="138">
        <f t="shared" si="16"/>
        <v>0</v>
      </c>
      <c r="D66" s="138">
        <f t="shared" si="17"/>
        <v>0</v>
      </c>
      <c r="E66" s="138">
        <f t="shared" si="18"/>
        <v>0</v>
      </c>
      <c r="F66" s="138">
        <f t="shared" si="19"/>
        <v>0</v>
      </c>
      <c r="G66" s="138">
        <f t="shared" si="20"/>
        <v>0</v>
      </c>
      <c r="H66" s="138">
        <f t="shared" si="21"/>
        <v>0</v>
      </c>
      <c r="I66" s="138">
        <f t="shared" si="22"/>
        <v>0</v>
      </c>
      <c r="J66" s="138">
        <f t="shared" si="23"/>
        <v>0</v>
      </c>
      <c r="K66" s="138">
        <f t="shared" si="24"/>
        <v>0</v>
      </c>
      <c r="L66" s="138">
        <f t="shared" si="25"/>
        <v>0</v>
      </c>
      <c r="M66" s="138">
        <f t="shared" si="26"/>
        <v>0</v>
      </c>
      <c r="N66" s="138">
        <f t="shared" si="27"/>
        <v>0</v>
      </c>
      <c r="O66" s="138">
        <f t="shared" si="28"/>
        <v>0</v>
      </c>
      <c r="P66" s="154"/>
      <c r="Q66" s="103"/>
      <c r="R66" s="70"/>
    </row>
    <row r="67" spans="1:21" x14ac:dyDescent="0.2">
      <c r="A67" s="139" t="s">
        <v>71</v>
      </c>
      <c r="B67" s="176" t="s">
        <v>452</v>
      </c>
      <c r="C67" s="138">
        <f t="shared" si="16"/>
        <v>122</v>
      </c>
      <c r="D67" s="138">
        <f t="shared" si="17"/>
        <v>0</v>
      </c>
      <c r="E67" s="138">
        <f t="shared" si="18"/>
        <v>150</v>
      </c>
      <c r="F67" s="138">
        <f t="shared" si="19"/>
        <v>0</v>
      </c>
      <c r="G67" s="138">
        <f t="shared" si="20"/>
        <v>890</v>
      </c>
      <c r="H67" s="138">
        <f t="shared" si="21"/>
        <v>0</v>
      </c>
      <c r="I67" s="138">
        <f t="shared" si="22"/>
        <v>206</v>
      </c>
      <c r="J67" s="138">
        <f t="shared" si="23"/>
        <v>0</v>
      </c>
      <c r="K67" s="138">
        <f t="shared" si="24"/>
        <v>702</v>
      </c>
      <c r="L67" s="138">
        <f t="shared" si="25"/>
        <v>0</v>
      </c>
      <c r="M67" s="138">
        <f t="shared" si="26"/>
        <v>262</v>
      </c>
      <c r="N67" s="138">
        <f t="shared" si="27"/>
        <v>0</v>
      </c>
      <c r="O67" s="138">
        <f>C67+E67+G67+I67+K67+M67</f>
        <v>2332</v>
      </c>
      <c r="P67" s="154" t="s">
        <v>96</v>
      </c>
      <c r="Q67" s="103"/>
      <c r="R67" s="70">
        <f>O67*Q67</f>
        <v>0</v>
      </c>
      <c r="T67" s="142">
        <v>33</v>
      </c>
      <c r="U67" s="142">
        <v>28</v>
      </c>
    </row>
    <row r="68" spans="1:21" x14ac:dyDescent="0.2">
      <c r="A68" s="139"/>
      <c r="B68" s="12"/>
      <c r="C68" s="138"/>
      <c r="D68" s="138"/>
      <c r="E68" s="138"/>
      <c r="F68" s="138"/>
      <c r="G68" s="138"/>
      <c r="H68" s="138"/>
      <c r="I68" s="138"/>
      <c r="J68" s="138"/>
      <c r="K68" s="138"/>
      <c r="L68" s="138"/>
      <c r="M68" s="138"/>
      <c r="N68" s="138"/>
      <c r="O68" s="138"/>
      <c r="P68" s="154"/>
      <c r="Q68" s="103"/>
      <c r="R68" s="70"/>
    </row>
    <row r="69" spans="1:21" x14ac:dyDescent="0.2">
      <c r="A69" s="139"/>
      <c r="B69" s="12"/>
      <c r="C69" s="138"/>
      <c r="D69" s="138"/>
      <c r="E69" s="138"/>
      <c r="F69" s="138"/>
      <c r="G69" s="138"/>
      <c r="H69" s="138"/>
      <c r="I69" s="138"/>
      <c r="J69" s="138"/>
      <c r="K69" s="138"/>
      <c r="L69" s="138"/>
      <c r="M69" s="138"/>
      <c r="N69" s="138"/>
      <c r="O69" s="138"/>
      <c r="P69" s="154"/>
      <c r="Q69" s="103"/>
      <c r="R69" s="70"/>
    </row>
    <row r="70" spans="1:21" x14ac:dyDescent="0.2">
      <c r="A70" s="139"/>
      <c r="B70" s="12"/>
      <c r="C70" s="138"/>
      <c r="D70" s="138"/>
      <c r="E70" s="138"/>
      <c r="F70" s="138"/>
      <c r="G70" s="138"/>
      <c r="H70" s="138"/>
      <c r="I70" s="138"/>
      <c r="J70" s="138"/>
      <c r="K70" s="138"/>
      <c r="L70" s="138"/>
      <c r="M70" s="138"/>
      <c r="N70" s="138"/>
      <c r="O70" s="138"/>
      <c r="P70" s="154"/>
      <c r="Q70" s="103"/>
      <c r="R70" s="70"/>
    </row>
    <row r="71" spans="1:21" x14ac:dyDescent="0.2">
      <c r="A71" s="139"/>
      <c r="B71" s="12"/>
      <c r="C71" s="138"/>
      <c r="D71" s="138"/>
      <c r="E71" s="138"/>
      <c r="F71" s="138"/>
      <c r="G71" s="138"/>
      <c r="H71" s="138"/>
      <c r="I71" s="138"/>
      <c r="J71" s="138"/>
      <c r="K71" s="138"/>
      <c r="L71" s="138"/>
      <c r="M71" s="138"/>
      <c r="N71" s="138"/>
      <c r="O71" s="138"/>
      <c r="P71" s="154"/>
      <c r="Q71" s="103"/>
      <c r="R71" s="70"/>
    </row>
    <row r="72" spans="1:21" x14ac:dyDescent="0.2">
      <c r="A72" s="139"/>
      <c r="B72" s="12"/>
      <c r="C72" s="138"/>
      <c r="D72" s="138"/>
      <c r="E72" s="138"/>
      <c r="F72" s="138"/>
      <c r="G72" s="138"/>
      <c r="H72" s="138"/>
      <c r="I72" s="138"/>
      <c r="J72" s="138"/>
      <c r="K72" s="138"/>
      <c r="L72" s="138"/>
      <c r="M72" s="138"/>
      <c r="N72" s="138"/>
      <c r="O72" s="138"/>
      <c r="P72" s="154"/>
      <c r="Q72" s="103"/>
      <c r="R72" s="70"/>
    </row>
    <row r="73" spans="1:21" x14ac:dyDescent="0.2">
      <c r="A73" s="139"/>
      <c r="B73" s="12"/>
      <c r="C73" s="138"/>
      <c r="D73" s="138"/>
      <c r="E73" s="138"/>
      <c r="F73" s="138"/>
      <c r="G73" s="138"/>
      <c r="H73" s="138"/>
      <c r="I73" s="138"/>
      <c r="J73" s="138"/>
      <c r="K73" s="138"/>
      <c r="L73" s="138"/>
      <c r="M73" s="138"/>
      <c r="N73" s="138"/>
      <c r="O73" s="138"/>
      <c r="P73" s="154"/>
      <c r="Q73" s="103"/>
      <c r="R73" s="70"/>
    </row>
    <row r="74" spans="1:21" x14ac:dyDescent="0.2">
      <c r="A74" s="139"/>
      <c r="B74" s="12"/>
      <c r="C74" s="138"/>
      <c r="D74" s="138"/>
      <c r="E74" s="138"/>
      <c r="F74" s="138"/>
      <c r="G74" s="138"/>
      <c r="H74" s="138"/>
      <c r="I74" s="138"/>
      <c r="J74" s="138"/>
      <c r="K74" s="138"/>
      <c r="L74" s="138"/>
      <c r="M74" s="138"/>
      <c r="N74" s="138"/>
      <c r="O74" s="138"/>
      <c r="P74" s="154"/>
      <c r="Q74" s="103"/>
      <c r="R74" s="70"/>
    </row>
    <row r="75" spans="1:21" x14ac:dyDescent="0.2">
      <c r="A75" s="139"/>
      <c r="B75" s="12"/>
      <c r="C75" s="138"/>
      <c r="D75" s="138"/>
      <c r="E75" s="138"/>
      <c r="F75" s="138"/>
      <c r="G75" s="138"/>
      <c r="H75" s="138"/>
      <c r="I75" s="138"/>
      <c r="J75" s="138"/>
      <c r="K75" s="138"/>
      <c r="L75" s="138"/>
      <c r="M75" s="138"/>
      <c r="N75" s="138"/>
      <c r="O75" s="138"/>
      <c r="P75" s="154"/>
      <c r="Q75" s="103"/>
      <c r="R75" s="70"/>
    </row>
    <row r="76" spans="1:21" x14ac:dyDescent="0.2">
      <c r="A76" s="139"/>
      <c r="B76" s="12"/>
      <c r="C76" s="138"/>
      <c r="D76" s="138"/>
      <c r="E76" s="138"/>
      <c r="F76" s="138"/>
      <c r="G76" s="138"/>
      <c r="H76" s="138"/>
      <c r="I76" s="138"/>
      <c r="J76" s="138"/>
      <c r="K76" s="138"/>
      <c r="L76" s="138"/>
      <c r="M76" s="138"/>
      <c r="N76" s="138"/>
      <c r="O76" s="138"/>
      <c r="P76" s="154"/>
      <c r="Q76" s="103"/>
      <c r="R76" s="70"/>
    </row>
    <row r="77" spans="1:21" x14ac:dyDescent="0.2">
      <c r="A77" s="139"/>
      <c r="B77" s="12"/>
      <c r="C77" s="138"/>
      <c r="D77" s="138"/>
      <c r="E77" s="138"/>
      <c r="F77" s="138"/>
      <c r="G77" s="138"/>
      <c r="H77" s="138"/>
      <c r="I77" s="138"/>
      <c r="J77" s="138"/>
      <c r="K77" s="138"/>
      <c r="L77" s="138"/>
      <c r="M77" s="138"/>
      <c r="N77" s="138"/>
      <c r="O77" s="138"/>
      <c r="P77" s="154"/>
      <c r="Q77" s="103"/>
      <c r="R77" s="70"/>
    </row>
    <row r="78" spans="1:21" x14ac:dyDescent="0.2">
      <c r="A78" s="139"/>
      <c r="B78" s="12"/>
      <c r="C78" s="138"/>
      <c r="D78" s="138"/>
      <c r="E78" s="138"/>
      <c r="F78" s="138"/>
      <c r="G78" s="138"/>
      <c r="H78" s="138"/>
      <c r="I78" s="138"/>
      <c r="J78" s="138"/>
      <c r="K78" s="138"/>
      <c r="L78" s="138"/>
      <c r="M78" s="138"/>
      <c r="N78" s="138"/>
      <c r="O78" s="138"/>
      <c r="P78" s="154"/>
      <c r="Q78" s="103"/>
      <c r="R78" s="70"/>
    </row>
    <row r="79" spans="1:21" x14ac:dyDescent="0.2">
      <c r="A79" s="139"/>
      <c r="B79" s="12"/>
      <c r="C79" s="138"/>
      <c r="D79" s="138"/>
      <c r="E79" s="138"/>
      <c r="F79" s="138"/>
      <c r="G79" s="138"/>
      <c r="H79" s="138"/>
      <c r="I79" s="138"/>
      <c r="J79" s="138"/>
      <c r="K79" s="138"/>
      <c r="L79" s="138"/>
      <c r="M79" s="138"/>
      <c r="N79" s="138"/>
      <c r="O79" s="138"/>
      <c r="P79" s="154"/>
      <c r="Q79" s="103"/>
      <c r="R79" s="70"/>
    </row>
    <row r="80" spans="1:21" x14ac:dyDescent="0.2">
      <c r="A80" s="139"/>
      <c r="B80" s="12"/>
      <c r="C80" s="138"/>
      <c r="D80" s="138"/>
      <c r="E80" s="138"/>
      <c r="F80" s="138"/>
      <c r="G80" s="138"/>
      <c r="H80" s="138"/>
      <c r="I80" s="138"/>
      <c r="J80" s="138"/>
      <c r="K80" s="138"/>
      <c r="L80" s="138"/>
      <c r="M80" s="138"/>
      <c r="N80" s="138"/>
      <c r="O80" s="138"/>
      <c r="P80" s="154"/>
      <c r="Q80" s="103"/>
      <c r="R80" s="70"/>
    </row>
    <row r="81" spans="1:21" x14ac:dyDescent="0.2">
      <c r="A81" s="139"/>
      <c r="B81" s="12"/>
      <c r="C81" s="138"/>
      <c r="D81" s="138"/>
      <c r="E81" s="138"/>
      <c r="F81" s="138"/>
      <c r="G81" s="138"/>
      <c r="H81" s="138"/>
      <c r="I81" s="138"/>
      <c r="J81" s="138"/>
      <c r="K81" s="138"/>
      <c r="L81" s="138"/>
      <c r="M81" s="138"/>
      <c r="N81" s="138"/>
      <c r="O81" s="138"/>
      <c r="P81" s="154"/>
      <c r="Q81" s="103"/>
      <c r="R81" s="70"/>
    </row>
    <row r="82" spans="1:21" x14ac:dyDescent="0.2">
      <c r="A82" s="139"/>
      <c r="B82" s="12"/>
      <c r="C82" s="138"/>
      <c r="D82" s="138"/>
      <c r="E82" s="138"/>
      <c r="F82" s="138"/>
      <c r="G82" s="138"/>
      <c r="H82" s="138"/>
      <c r="I82" s="138"/>
      <c r="J82" s="138"/>
      <c r="K82" s="138"/>
      <c r="L82" s="138"/>
      <c r="M82" s="138"/>
      <c r="N82" s="138"/>
      <c r="O82" s="138"/>
      <c r="P82" s="154"/>
      <c r="Q82" s="103"/>
      <c r="R82" s="70"/>
    </row>
    <row r="83" spans="1:21" x14ac:dyDescent="0.2">
      <c r="A83" s="139"/>
      <c r="B83" s="12"/>
      <c r="C83" s="138"/>
      <c r="D83" s="138"/>
      <c r="E83" s="138"/>
      <c r="F83" s="138"/>
      <c r="G83" s="138"/>
      <c r="H83" s="138"/>
      <c r="I83" s="138"/>
      <c r="J83" s="138"/>
      <c r="K83" s="138"/>
      <c r="L83" s="138"/>
      <c r="M83" s="138"/>
      <c r="N83" s="138"/>
      <c r="O83" s="138"/>
      <c r="P83" s="154"/>
      <c r="Q83" s="103"/>
      <c r="R83" s="70"/>
    </row>
    <row r="84" spans="1:21" x14ac:dyDescent="0.2">
      <c r="A84" s="139"/>
      <c r="B84" s="12"/>
      <c r="C84" s="138"/>
      <c r="D84" s="138"/>
      <c r="E84" s="138"/>
      <c r="F84" s="138"/>
      <c r="G84" s="138"/>
      <c r="H84" s="138"/>
      <c r="I84" s="138"/>
      <c r="J84" s="138"/>
      <c r="K84" s="138"/>
      <c r="L84" s="138"/>
      <c r="M84" s="138"/>
      <c r="N84" s="138"/>
      <c r="O84" s="138"/>
      <c r="P84" s="154"/>
      <c r="Q84" s="103"/>
      <c r="R84" s="70"/>
    </row>
    <row r="85" spans="1:21" x14ac:dyDescent="0.2">
      <c r="A85" s="139"/>
      <c r="B85" s="12"/>
      <c r="C85" s="138"/>
      <c r="D85" s="138"/>
      <c r="E85" s="138"/>
      <c r="F85" s="138"/>
      <c r="G85" s="138"/>
      <c r="H85" s="138"/>
      <c r="I85" s="138"/>
      <c r="J85" s="138"/>
      <c r="K85" s="138"/>
      <c r="L85" s="138"/>
      <c r="M85" s="138"/>
      <c r="N85" s="138"/>
      <c r="O85" s="138"/>
      <c r="P85" s="154"/>
      <c r="Q85" s="103"/>
      <c r="R85" s="70"/>
    </row>
    <row r="86" spans="1:21" x14ac:dyDescent="0.2">
      <c r="A86" s="139"/>
      <c r="B86" s="12"/>
      <c r="C86" s="138"/>
      <c r="D86" s="138"/>
      <c r="E86" s="138"/>
      <c r="F86" s="138"/>
      <c r="G86" s="138"/>
      <c r="H86" s="138"/>
      <c r="I86" s="138"/>
      <c r="J86" s="138"/>
      <c r="K86" s="138"/>
      <c r="L86" s="138"/>
      <c r="M86" s="138"/>
      <c r="N86" s="138"/>
      <c r="O86" s="138"/>
      <c r="P86" s="154"/>
      <c r="Q86" s="103"/>
      <c r="R86" s="70"/>
    </row>
    <row r="87" spans="1:21" x14ac:dyDescent="0.2">
      <c r="A87" s="139"/>
      <c r="B87" s="12"/>
      <c r="C87" s="138"/>
      <c r="D87" s="138"/>
      <c r="E87" s="138"/>
      <c r="F87" s="138"/>
      <c r="G87" s="138"/>
      <c r="H87" s="138"/>
      <c r="I87" s="138"/>
      <c r="J87" s="138"/>
      <c r="K87" s="138"/>
      <c r="L87" s="138"/>
      <c r="M87" s="138"/>
      <c r="N87" s="138"/>
      <c r="O87" s="138"/>
      <c r="P87" s="154"/>
      <c r="Q87" s="103"/>
      <c r="R87" s="70"/>
    </row>
    <row r="88" spans="1:21" x14ac:dyDescent="0.2">
      <c r="A88" s="139"/>
      <c r="B88" s="12"/>
      <c r="C88" s="138"/>
      <c r="D88" s="138"/>
      <c r="E88" s="138"/>
      <c r="F88" s="138"/>
      <c r="G88" s="138"/>
      <c r="H88" s="138"/>
      <c r="I88" s="138"/>
      <c r="J88" s="138"/>
      <c r="K88" s="138"/>
      <c r="L88" s="138"/>
      <c r="M88" s="138"/>
      <c r="N88" s="138"/>
      <c r="O88" s="138"/>
      <c r="P88" s="154"/>
      <c r="Q88" s="103"/>
      <c r="R88" s="70"/>
    </row>
    <row r="89" spans="1:21" x14ac:dyDescent="0.2">
      <c r="A89" s="139"/>
      <c r="B89" s="12"/>
      <c r="C89" s="138"/>
      <c r="D89" s="138"/>
      <c r="E89" s="138"/>
      <c r="F89" s="138"/>
      <c r="G89" s="138"/>
      <c r="H89" s="138"/>
      <c r="I89" s="138"/>
      <c r="J89" s="138"/>
      <c r="K89" s="138"/>
      <c r="L89" s="138"/>
      <c r="M89" s="138"/>
      <c r="N89" s="138"/>
      <c r="O89" s="138"/>
      <c r="P89" s="154"/>
      <c r="Q89" s="103"/>
      <c r="R89" s="70"/>
    </row>
    <row r="90" spans="1:21" x14ac:dyDescent="0.2">
      <c r="A90" s="139"/>
      <c r="B90" s="12"/>
      <c r="C90" s="138"/>
      <c r="D90" s="138"/>
      <c r="E90" s="138"/>
      <c r="F90" s="138"/>
      <c r="G90" s="138"/>
      <c r="H90" s="138"/>
      <c r="I90" s="138"/>
      <c r="J90" s="138"/>
      <c r="K90" s="138"/>
      <c r="L90" s="138"/>
      <c r="M90" s="138"/>
      <c r="N90" s="138"/>
      <c r="O90" s="138"/>
      <c r="P90" s="154"/>
      <c r="Q90" s="103"/>
      <c r="R90" s="70"/>
    </row>
    <row r="91" spans="1:21" x14ac:dyDescent="0.2">
      <c r="A91" s="139"/>
      <c r="B91" s="12"/>
      <c r="C91" s="138"/>
      <c r="D91" s="138"/>
      <c r="E91" s="138"/>
      <c r="F91" s="138"/>
      <c r="G91" s="138"/>
      <c r="H91" s="138"/>
      <c r="I91" s="138"/>
      <c r="J91" s="138"/>
      <c r="K91" s="138"/>
      <c r="L91" s="138"/>
      <c r="M91" s="138"/>
      <c r="N91" s="138"/>
      <c r="O91" s="138"/>
      <c r="P91" s="154"/>
      <c r="Q91" s="103"/>
      <c r="R91" s="70"/>
    </row>
    <row r="92" spans="1:21" x14ac:dyDescent="0.2">
      <c r="A92" s="139"/>
      <c r="B92" s="12"/>
      <c r="C92" s="138"/>
      <c r="D92" s="138"/>
      <c r="E92" s="138"/>
      <c r="F92" s="138"/>
      <c r="G92" s="138"/>
      <c r="H92" s="138"/>
      <c r="I92" s="138"/>
      <c r="J92" s="138"/>
      <c r="K92" s="138"/>
      <c r="L92" s="138"/>
      <c r="M92" s="138"/>
      <c r="N92" s="138"/>
      <c r="O92" s="138"/>
      <c r="P92" s="154"/>
      <c r="Q92" s="103"/>
      <c r="R92" s="70"/>
    </row>
    <row r="93" spans="1:21" x14ac:dyDescent="0.2">
      <c r="A93" s="139"/>
      <c r="B93" s="6"/>
      <c r="C93" s="138"/>
      <c r="D93" s="138"/>
      <c r="E93" s="138"/>
      <c r="F93" s="138"/>
      <c r="G93" s="138"/>
      <c r="H93" s="138"/>
      <c r="I93" s="138"/>
      <c r="J93" s="138"/>
      <c r="K93" s="138"/>
      <c r="L93" s="138"/>
      <c r="M93" s="138"/>
      <c r="N93" s="138"/>
      <c r="O93" s="138"/>
      <c r="P93" s="154"/>
      <c r="Q93" s="103"/>
      <c r="R93" s="70"/>
    </row>
    <row r="94" spans="1:21" x14ac:dyDescent="0.2">
      <c r="A94" s="127"/>
      <c r="B94" s="136"/>
      <c r="C94" s="128"/>
      <c r="D94" s="120"/>
      <c r="E94" s="120"/>
      <c r="F94" s="120"/>
      <c r="G94" s="120"/>
      <c r="H94" s="120"/>
      <c r="I94" s="120"/>
      <c r="J94" s="120"/>
      <c r="K94" s="120"/>
      <c r="L94" s="120"/>
      <c r="M94" s="120"/>
      <c r="N94" s="120"/>
      <c r="O94" s="120"/>
      <c r="P94" s="154"/>
      <c r="Q94" s="103"/>
      <c r="R94" s="70"/>
    </row>
    <row r="95" spans="1:21" x14ac:dyDescent="0.2">
      <c r="A95" s="129"/>
      <c r="B95" s="130"/>
      <c r="C95" s="131"/>
      <c r="D95" s="131"/>
      <c r="E95" s="131"/>
      <c r="F95" s="131"/>
      <c r="G95" s="131"/>
      <c r="H95" s="131"/>
      <c r="I95" s="131"/>
      <c r="J95" s="131"/>
      <c r="K95" s="131"/>
      <c r="L95" s="131"/>
      <c r="M95" s="131"/>
      <c r="N95" s="131"/>
      <c r="O95" s="131"/>
      <c r="P95" s="131"/>
      <c r="Q95" s="104"/>
      <c r="R95" s="105"/>
      <c r="T95" s="134"/>
      <c r="U95" s="134"/>
    </row>
    <row r="96" spans="1:21" x14ac:dyDescent="0.2">
      <c r="C96" s="122"/>
      <c r="D96" s="122"/>
      <c r="E96" s="122"/>
      <c r="F96" s="122"/>
      <c r="G96" s="122"/>
      <c r="H96" s="122"/>
      <c r="I96" s="122"/>
      <c r="J96" s="122"/>
      <c r="K96" s="122"/>
      <c r="L96" s="122"/>
      <c r="M96" s="122"/>
      <c r="N96" s="122"/>
      <c r="O96" s="122"/>
      <c r="P96" s="171" t="s">
        <v>1</v>
      </c>
      <c r="Q96" s="133" t="s">
        <v>0</v>
      </c>
      <c r="R96" s="70">
        <f>SUM(R51:R94)</f>
        <v>0</v>
      </c>
      <c r="T96" s="135"/>
      <c r="U96" s="135"/>
    </row>
    <row r="97" spans="1:21" x14ac:dyDescent="0.2">
      <c r="Q97" s="76"/>
      <c r="R97" s="106"/>
    </row>
    <row r="98" spans="1:21" x14ac:dyDescent="0.2">
      <c r="A98" s="139"/>
      <c r="B98" s="136"/>
      <c r="C98" s="128"/>
      <c r="D98" s="120"/>
      <c r="E98" s="120"/>
      <c r="F98" s="120"/>
      <c r="G98" s="120"/>
      <c r="H98" s="120"/>
      <c r="I98" s="120"/>
      <c r="J98" s="120"/>
      <c r="K98" s="120"/>
      <c r="L98" s="120"/>
      <c r="M98" s="120"/>
      <c r="N98" s="120"/>
      <c r="O98" s="120"/>
      <c r="P98" s="154"/>
      <c r="Q98" s="103"/>
      <c r="R98" s="70"/>
      <c r="T98" s="135"/>
      <c r="U98" s="135"/>
    </row>
    <row r="99" spans="1:21" x14ac:dyDescent="0.2">
      <c r="A99" s="139"/>
      <c r="B99" s="89" t="s">
        <v>274</v>
      </c>
      <c r="C99" s="128"/>
      <c r="D99" s="120"/>
      <c r="E99" s="120"/>
      <c r="F99" s="120"/>
      <c r="G99" s="120"/>
      <c r="H99" s="120"/>
      <c r="I99" s="120"/>
      <c r="J99" s="120"/>
      <c r="K99" s="120"/>
      <c r="L99" s="120"/>
      <c r="M99" s="120"/>
      <c r="N99" s="120"/>
      <c r="O99" s="120"/>
      <c r="P99" s="154"/>
      <c r="Q99" s="103"/>
      <c r="R99" s="70"/>
      <c r="T99" s="135"/>
      <c r="U99" s="135"/>
    </row>
    <row r="100" spans="1:21" x14ac:dyDescent="0.2">
      <c r="A100" s="139"/>
      <c r="B100" s="88"/>
      <c r="C100" s="138"/>
      <c r="D100" s="138"/>
      <c r="E100" s="138"/>
      <c r="F100" s="138"/>
      <c r="G100" s="138"/>
      <c r="H100" s="138"/>
      <c r="I100" s="138"/>
      <c r="J100" s="138"/>
      <c r="K100" s="138"/>
      <c r="L100" s="138"/>
      <c r="M100" s="138"/>
      <c r="N100" s="138"/>
      <c r="O100" s="138"/>
      <c r="P100" s="154"/>
      <c r="Q100" s="103"/>
      <c r="R100" s="70"/>
    </row>
    <row r="101" spans="1:21" x14ac:dyDescent="0.2">
      <c r="A101" s="139"/>
      <c r="B101" s="88" t="s">
        <v>249</v>
      </c>
      <c r="C101" s="138"/>
      <c r="D101" s="138"/>
      <c r="E101" s="138"/>
      <c r="F101" s="138"/>
      <c r="G101" s="138"/>
      <c r="H101" s="138"/>
      <c r="I101" s="138"/>
      <c r="J101" s="138"/>
      <c r="K101" s="138"/>
      <c r="L101" s="138"/>
      <c r="M101" s="138"/>
      <c r="N101" s="138"/>
      <c r="O101" s="138"/>
      <c r="P101" s="154"/>
      <c r="Q101" s="103"/>
      <c r="R101" s="70"/>
    </row>
    <row r="102" spans="1:21" x14ac:dyDescent="0.2">
      <c r="A102" s="139"/>
      <c r="B102" s="185" t="s">
        <v>411</v>
      </c>
      <c r="C102" s="138"/>
      <c r="D102" s="138"/>
      <c r="E102" s="138"/>
      <c r="F102" s="138"/>
      <c r="G102" s="138"/>
      <c r="H102" s="138"/>
      <c r="I102" s="138"/>
      <c r="J102" s="138"/>
      <c r="K102" s="138"/>
      <c r="L102" s="138"/>
      <c r="M102" s="138"/>
      <c r="N102" s="138"/>
      <c r="O102" s="138"/>
      <c r="P102" s="154"/>
      <c r="Q102" s="103"/>
      <c r="R102" s="70"/>
    </row>
    <row r="103" spans="1:21" x14ac:dyDescent="0.2">
      <c r="A103" s="127"/>
      <c r="B103" s="23"/>
      <c r="C103" s="138"/>
      <c r="D103" s="138"/>
      <c r="E103" s="138"/>
      <c r="F103" s="138"/>
      <c r="G103" s="138"/>
      <c r="H103" s="138"/>
      <c r="I103" s="138"/>
      <c r="J103" s="138"/>
      <c r="K103" s="138"/>
      <c r="L103" s="138"/>
      <c r="M103" s="138"/>
      <c r="N103" s="138"/>
      <c r="O103" s="138"/>
      <c r="P103" s="154"/>
      <c r="Q103" s="103"/>
      <c r="R103" s="178"/>
      <c r="S103" s="177"/>
      <c r="T103" s="175"/>
      <c r="U103" s="175"/>
    </row>
    <row r="104" spans="1:21" ht="57" x14ac:dyDescent="0.2">
      <c r="A104" s="127"/>
      <c r="B104" s="89" t="s">
        <v>275</v>
      </c>
      <c r="C104" s="138">
        <f t="shared" ref="C104:C130" si="32">ROUND((2*$T104+2*$U104)*C$3,0)</f>
        <v>0</v>
      </c>
      <c r="D104" s="138">
        <f t="shared" ref="D104:D130" si="33">C104*$Q104</f>
        <v>0</v>
      </c>
      <c r="E104" s="138">
        <f t="shared" ref="E104:E130" si="34">ROUND((2*$T104+3*$U104)*E$3,0)</f>
        <v>0</v>
      </c>
      <c r="F104" s="138">
        <f t="shared" ref="F104:F130" si="35">E104*$Q104</f>
        <v>0</v>
      </c>
      <c r="G104" s="138">
        <f t="shared" ref="G104:G130" si="36">ROUND((2*$T104+4*$U104)*G$3,0)</f>
        <v>0</v>
      </c>
      <c r="H104" s="138">
        <f t="shared" ref="H104:H130" si="37">G104*$Q104</f>
        <v>0</v>
      </c>
      <c r="I104" s="138">
        <f t="shared" ref="I104:I130" si="38">ROUND((2*$T104+5*$U104)*I$3,0)</f>
        <v>0</v>
      </c>
      <c r="J104" s="138">
        <f t="shared" ref="J104:J130" si="39">I104*$Q104</f>
        <v>0</v>
      </c>
      <c r="K104" s="138">
        <f t="shared" ref="K104:K130" si="40">ROUND((2*$T104+6*$U104)*K$3,0)</f>
        <v>0</v>
      </c>
      <c r="L104" s="138">
        <f t="shared" ref="L104:L130" si="41">K104*$Q104</f>
        <v>0</v>
      </c>
      <c r="M104" s="138">
        <f t="shared" ref="M104:M130" si="42">ROUND((2*$T104+7*$U104)*M$3,0)</f>
        <v>0</v>
      </c>
      <c r="N104" s="138">
        <f t="shared" ref="N104:N130" si="43">M104*$Q104</f>
        <v>0</v>
      </c>
      <c r="O104" s="138">
        <f t="shared" ref="O104:O130" si="44">C104+E104+G104+I104+K104+M104</f>
        <v>0</v>
      </c>
      <c r="P104" s="154"/>
      <c r="Q104" s="103"/>
      <c r="R104" s="70"/>
      <c r="S104" s="177"/>
      <c r="T104" s="175"/>
      <c r="U104" s="175"/>
    </row>
    <row r="105" spans="1:21" x14ac:dyDescent="0.2">
      <c r="A105" s="127"/>
      <c r="B105" s="88"/>
      <c r="C105" s="138">
        <f t="shared" si="32"/>
        <v>0</v>
      </c>
      <c r="D105" s="138">
        <f t="shared" si="33"/>
        <v>0</v>
      </c>
      <c r="E105" s="138">
        <f t="shared" si="34"/>
        <v>0</v>
      </c>
      <c r="F105" s="138">
        <f t="shared" si="35"/>
        <v>0</v>
      </c>
      <c r="G105" s="138">
        <f t="shared" si="36"/>
        <v>0</v>
      </c>
      <c r="H105" s="138">
        <f t="shared" si="37"/>
        <v>0</v>
      </c>
      <c r="I105" s="138">
        <f t="shared" si="38"/>
        <v>0</v>
      </c>
      <c r="J105" s="138">
        <f t="shared" si="39"/>
        <v>0</v>
      </c>
      <c r="K105" s="138">
        <f t="shared" si="40"/>
        <v>0</v>
      </c>
      <c r="L105" s="138">
        <f t="shared" si="41"/>
        <v>0</v>
      </c>
      <c r="M105" s="138">
        <f t="shared" si="42"/>
        <v>0</v>
      </c>
      <c r="N105" s="138">
        <f t="shared" si="43"/>
        <v>0</v>
      </c>
      <c r="O105" s="138">
        <f t="shared" si="44"/>
        <v>0</v>
      </c>
      <c r="P105" s="154"/>
      <c r="Q105" s="103"/>
      <c r="R105" s="178"/>
      <c r="S105" s="177"/>
      <c r="T105" s="175"/>
      <c r="U105" s="175"/>
    </row>
    <row r="106" spans="1:21" x14ac:dyDescent="0.2">
      <c r="A106" s="127" t="s">
        <v>66</v>
      </c>
      <c r="B106" s="136" t="s">
        <v>276</v>
      </c>
      <c r="C106" s="138">
        <f t="shared" si="32"/>
        <v>186</v>
      </c>
      <c r="D106" s="138">
        <f t="shared" si="33"/>
        <v>0</v>
      </c>
      <c r="E106" s="138">
        <f t="shared" si="34"/>
        <v>224</v>
      </c>
      <c r="F106" s="138">
        <f t="shared" si="35"/>
        <v>0</v>
      </c>
      <c r="G106" s="138">
        <f t="shared" si="36"/>
        <v>1310</v>
      </c>
      <c r="H106" s="138">
        <f t="shared" si="37"/>
        <v>0</v>
      </c>
      <c r="I106" s="138">
        <f t="shared" si="38"/>
        <v>300</v>
      </c>
      <c r="J106" s="138">
        <f t="shared" si="39"/>
        <v>0</v>
      </c>
      <c r="K106" s="138">
        <f t="shared" si="40"/>
        <v>1014</v>
      </c>
      <c r="L106" s="138">
        <f t="shared" si="41"/>
        <v>0</v>
      </c>
      <c r="M106" s="138">
        <f t="shared" si="42"/>
        <v>376</v>
      </c>
      <c r="N106" s="138">
        <f t="shared" si="43"/>
        <v>0</v>
      </c>
      <c r="O106" s="138">
        <f>C106+E106+G106+I106+K106+M106</f>
        <v>3410</v>
      </c>
      <c r="P106" s="154" t="s">
        <v>10</v>
      </c>
      <c r="Q106" s="103"/>
      <c r="R106" s="178">
        <f>O106*Q106</f>
        <v>0</v>
      </c>
      <c r="S106" s="177"/>
      <c r="T106" s="175">
        <v>55</v>
      </c>
      <c r="U106" s="175">
        <v>38</v>
      </c>
    </row>
    <row r="107" spans="1:21" x14ac:dyDescent="0.2">
      <c r="A107" s="127"/>
      <c r="B107" s="136"/>
      <c r="C107" s="138">
        <f t="shared" si="32"/>
        <v>0</v>
      </c>
      <c r="D107" s="138">
        <f t="shared" si="33"/>
        <v>0</v>
      </c>
      <c r="E107" s="138">
        <f t="shared" si="34"/>
        <v>0</v>
      </c>
      <c r="F107" s="138">
        <f t="shared" si="35"/>
        <v>0</v>
      </c>
      <c r="G107" s="138">
        <f t="shared" si="36"/>
        <v>0</v>
      </c>
      <c r="H107" s="138">
        <f t="shared" si="37"/>
        <v>0</v>
      </c>
      <c r="I107" s="138">
        <f t="shared" si="38"/>
        <v>0</v>
      </c>
      <c r="J107" s="138">
        <f t="shared" si="39"/>
        <v>0</v>
      </c>
      <c r="K107" s="138">
        <f t="shared" si="40"/>
        <v>0</v>
      </c>
      <c r="L107" s="138">
        <f t="shared" si="41"/>
        <v>0</v>
      </c>
      <c r="M107" s="138">
        <f t="shared" si="42"/>
        <v>0</v>
      </c>
      <c r="N107" s="138">
        <f t="shared" si="43"/>
        <v>0</v>
      </c>
      <c r="O107" s="138">
        <f t="shared" si="44"/>
        <v>0</v>
      </c>
      <c r="P107" s="154"/>
      <c r="Q107" s="103"/>
      <c r="R107" s="178"/>
      <c r="S107" s="177"/>
      <c r="T107" s="175"/>
      <c r="U107" s="175"/>
    </row>
    <row r="108" spans="1:21" ht="57" x14ac:dyDescent="0.2">
      <c r="A108" s="127"/>
      <c r="B108" s="82" t="s">
        <v>279</v>
      </c>
      <c r="C108" s="138">
        <f t="shared" si="32"/>
        <v>0</v>
      </c>
      <c r="D108" s="138">
        <f t="shared" si="33"/>
        <v>0</v>
      </c>
      <c r="E108" s="138">
        <f t="shared" si="34"/>
        <v>0</v>
      </c>
      <c r="F108" s="138">
        <f t="shared" si="35"/>
        <v>0</v>
      </c>
      <c r="G108" s="138">
        <f t="shared" si="36"/>
        <v>0</v>
      </c>
      <c r="H108" s="138">
        <f t="shared" si="37"/>
        <v>0</v>
      </c>
      <c r="I108" s="138">
        <f t="shared" si="38"/>
        <v>0</v>
      </c>
      <c r="J108" s="138">
        <f t="shared" si="39"/>
        <v>0</v>
      </c>
      <c r="K108" s="138">
        <f t="shared" si="40"/>
        <v>0</v>
      </c>
      <c r="L108" s="138">
        <f t="shared" si="41"/>
        <v>0</v>
      </c>
      <c r="M108" s="138">
        <f t="shared" si="42"/>
        <v>0</v>
      </c>
      <c r="N108" s="138">
        <f t="shared" si="43"/>
        <v>0</v>
      </c>
      <c r="O108" s="138">
        <f t="shared" si="44"/>
        <v>0</v>
      </c>
      <c r="P108" s="154"/>
      <c r="Q108" s="103"/>
      <c r="R108" s="178"/>
      <c r="S108" s="177"/>
      <c r="T108" s="175"/>
      <c r="U108" s="175"/>
    </row>
    <row r="109" spans="1:21" x14ac:dyDescent="0.2">
      <c r="A109" s="127"/>
      <c r="B109" s="136"/>
      <c r="C109" s="138">
        <f t="shared" si="32"/>
        <v>0</v>
      </c>
      <c r="D109" s="138">
        <f t="shared" si="33"/>
        <v>0</v>
      </c>
      <c r="E109" s="138">
        <f t="shared" si="34"/>
        <v>0</v>
      </c>
      <c r="F109" s="138">
        <f t="shared" si="35"/>
        <v>0</v>
      </c>
      <c r="G109" s="138">
        <f t="shared" si="36"/>
        <v>0</v>
      </c>
      <c r="H109" s="138">
        <f t="shared" si="37"/>
        <v>0</v>
      </c>
      <c r="I109" s="138">
        <f t="shared" si="38"/>
        <v>0</v>
      </c>
      <c r="J109" s="138">
        <f t="shared" si="39"/>
        <v>0</v>
      </c>
      <c r="K109" s="138">
        <f t="shared" si="40"/>
        <v>0</v>
      </c>
      <c r="L109" s="138">
        <f t="shared" si="41"/>
        <v>0</v>
      </c>
      <c r="M109" s="138">
        <f t="shared" si="42"/>
        <v>0</v>
      </c>
      <c r="N109" s="138">
        <f t="shared" si="43"/>
        <v>0</v>
      </c>
      <c r="O109" s="138">
        <f t="shared" si="44"/>
        <v>0</v>
      </c>
      <c r="P109" s="154"/>
      <c r="Q109" s="103"/>
      <c r="R109" s="178"/>
      <c r="S109" s="177"/>
      <c r="T109" s="175"/>
      <c r="U109" s="175"/>
    </row>
    <row r="110" spans="1:21" x14ac:dyDescent="0.2">
      <c r="A110" s="127" t="s">
        <v>67</v>
      </c>
      <c r="B110" s="88" t="s">
        <v>277</v>
      </c>
      <c r="C110" s="138">
        <f t="shared" si="32"/>
        <v>140</v>
      </c>
      <c r="D110" s="138">
        <f t="shared" si="33"/>
        <v>0</v>
      </c>
      <c r="E110" s="138">
        <f t="shared" si="34"/>
        <v>175</v>
      </c>
      <c r="F110" s="138">
        <f t="shared" si="35"/>
        <v>0</v>
      </c>
      <c r="G110" s="138">
        <f t="shared" si="36"/>
        <v>1050</v>
      </c>
      <c r="H110" s="138">
        <f t="shared" si="37"/>
        <v>0</v>
      </c>
      <c r="I110" s="138">
        <f t="shared" si="38"/>
        <v>245</v>
      </c>
      <c r="J110" s="138">
        <f t="shared" si="39"/>
        <v>0</v>
      </c>
      <c r="K110" s="138">
        <f t="shared" si="40"/>
        <v>840</v>
      </c>
      <c r="L110" s="138">
        <f t="shared" si="41"/>
        <v>0</v>
      </c>
      <c r="M110" s="138">
        <f t="shared" si="42"/>
        <v>315</v>
      </c>
      <c r="N110" s="138">
        <f t="shared" si="43"/>
        <v>0</v>
      </c>
      <c r="O110" s="138">
        <f>C110+E110+G110+I110+K110+M110</f>
        <v>2765</v>
      </c>
      <c r="P110" s="154" t="s">
        <v>10</v>
      </c>
      <c r="Q110" s="103"/>
      <c r="R110" s="178">
        <f>O110*Q110</f>
        <v>0</v>
      </c>
      <c r="S110" s="177"/>
      <c r="T110" s="175">
        <v>35</v>
      </c>
      <c r="U110" s="175">
        <v>35</v>
      </c>
    </row>
    <row r="111" spans="1:21" x14ac:dyDescent="0.2">
      <c r="A111" s="127"/>
      <c r="B111" s="88"/>
      <c r="C111" s="138">
        <f t="shared" si="32"/>
        <v>0</v>
      </c>
      <c r="D111" s="138">
        <f t="shared" si="33"/>
        <v>0</v>
      </c>
      <c r="E111" s="138">
        <f t="shared" si="34"/>
        <v>0</v>
      </c>
      <c r="F111" s="138">
        <f t="shared" si="35"/>
        <v>0</v>
      </c>
      <c r="G111" s="138">
        <f t="shared" si="36"/>
        <v>0</v>
      </c>
      <c r="H111" s="138">
        <f t="shared" si="37"/>
        <v>0</v>
      </c>
      <c r="I111" s="138">
        <f t="shared" si="38"/>
        <v>0</v>
      </c>
      <c r="J111" s="138">
        <f t="shared" si="39"/>
        <v>0</v>
      </c>
      <c r="K111" s="138">
        <f t="shared" si="40"/>
        <v>0</v>
      </c>
      <c r="L111" s="138">
        <f t="shared" si="41"/>
        <v>0</v>
      </c>
      <c r="M111" s="138">
        <f t="shared" si="42"/>
        <v>0</v>
      </c>
      <c r="N111" s="138">
        <f t="shared" si="43"/>
        <v>0</v>
      </c>
      <c r="O111" s="138">
        <f t="shared" si="44"/>
        <v>0</v>
      </c>
      <c r="P111" s="154"/>
      <c r="Q111" s="103"/>
      <c r="R111" s="178"/>
      <c r="S111" s="177"/>
      <c r="T111" s="175"/>
      <c r="U111" s="175"/>
    </row>
    <row r="112" spans="1:21" ht="42.75" x14ac:dyDescent="0.2">
      <c r="A112" s="127"/>
      <c r="B112" s="89" t="s">
        <v>278</v>
      </c>
      <c r="C112" s="138">
        <f t="shared" si="32"/>
        <v>0</v>
      </c>
      <c r="D112" s="138">
        <f t="shared" si="33"/>
        <v>0</v>
      </c>
      <c r="E112" s="138">
        <f t="shared" si="34"/>
        <v>0</v>
      </c>
      <c r="F112" s="138">
        <f t="shared" si="35"/>
        <v>0</v>
      </c>
      <c r="G112" s="138">
        <f t="shared" si="36"/>
        <v>0</v>
      </c>
      <c r="H112" s="138">
        <f t="shared" si="37"/>
        <v>0</v>
      </c>
      <c r="I112" s="138">
        <f t="shared" si="38"/>
        <v>0</v>
      </c>
      <c r="J112" s="138">
        <f t="shared" si="39"/>
        <v>0</v>
      </c>
      <c r="K112" s="138">
        <f t="shared" si="40"/>
        <v>0</v>
      </c>
      <c r="L112" s="138">
        <f t="shared" si="41"/>
        <v>0</v>
      </c>
      <c r="M112" s="138">
        <f t="shared" si="42"/>
        <v>0</v>
      </c>
      <c r="N112" s="138">
        <f t="shared" si="43"/>
        <v>0</v>
      </c>
      <c r="O112" s="138">
        <f t="shared" si="44"/>
        <v>0</v>
      </c>
      <c r="P112" s="154"/>
      <c r="Q112" s="103"/>
      <c r="R112" s="178"/>
      <c r="S112" s="177"/>
      <c r="T112" s="175"/>
      <c r="U112" s="175"/>
    </row>
    <row r="113" spans="1:21" x14ac:dyDescent="0.2">
      <c r="A113" s="127"/>
      <c r="B113" s="88"/>
      <c r="C113" s="138">
        <f t="shared" si="32"/>
        <v>0</v>
      </c>
      <c r="D113" s="138">
        <f t="shared" si="33"/>
        <v>0</v>
      </c>
      <c r="E113" s="138">
        <f t="shared" si="34"/>
        <v>0</v>
      </c>
      <c r="F113" s="138">
        <f t="shared" si="35"/>
        <v>0</v>
      </c>
      <c r="G113" s="138">
        <f t="shared" si="36"/>
        <v>0</v>
      </c>
      <c r="H113" s="138">
        <f t="shared" si="37"/>
        <v>0</v>
      </c>
      <c r="I113" s="138">
        <f t="shared" si="38"/>
        <v>0</v>
      </c>
      <c r="J113" s="138">
        <f t="shared" si="39"/>
        <v>0</v>
      </c>
      <c r="K113" s="138">
        <f t="shared" si="40"/>
        <v>0</v>
      </c>
      <c r="L113" s="138">
        <f t="shared" si="41"/>
        <v>0</v>
      </c>
      <c r="M113" s="138">
        <f t="shared" si="42"/>
        <v>0</v>
      </c>
      <c r="N113" s="138">
        <f t="shared" si="43"/>
        <v>0</v>
      </c>
      <c r="O113" s="138">
        <f t="shared" si="44"/>
        <v>0</v>
      </c>
      <c r="P113" s="154"/>
      <c r="Q113" s="103"/>
      <c r="R113" s="178"/>
      <c r="S113" s="177"/>
      <c r="T113" s="175"/>
      <c r="U113" s="175"/>
    </row>
    <row r="114" spans="1:21" x14ac:dyDescent="0.2">
      <c r="A114" s="127" t="s">
        <v>68</v>
      </c>
      <c r="B114" s="136" t="s">
        <v>281</v>
      </c>
      <c r="C114" s="138">
        <f t="shared" si="32"/>
        <v>114</v>
      </c>
      <c r="D114" s="138">
        <f t="shared" si="33"/>
        <v>0</v>
      </c>
      <c r="E114" s="138">
        <f t="shared" si="34"/>
        <v>125</v>
      </c>
      <c r="F114" s="138">
        <f t="shared" si="35"/>
        <v>0</v>
      </c>
      <c r="G114" s="138">
        <f t="shared" si="36"/>
        <v>680</v>
      </c>
      <c r="H114" s="138">
        <f t="shared" si="37"/>
        <v>0</v>
      </c>
      <c r="I114" s="138">
        <f t="shared" si="38"/>
        <v>147</v>
      </c>
      <c r="J114" s="138">
        <f t="shared" si="39"/>
        <v>0</v>
      </c>
      <c r="K114" s="138">
        <f t="shared" si="40"/>
        <v>474</v>
      </c>
      <c r="L114" s="138">
        <f t="shared" si="41"/>
        <v>0</v>
      </c>
      <c r="M114" s="138">
        <f t="shared" si="42"/>
        <v>169</v>
      </c>
      <c r="N114" s="138">
        <f t="shared" si="43"/>
        <v>0</v>
      </c>
      <c r="O114" s="138">
        <f>C114+E114+G114+I114+K114+M114</f>
        <v>1709</v>
      </c>
      <c r="P114" s="154" t="s">
        <v>12</v>
      </c>
      <c r="Q114" s="103"/>
      <c r="R114" s="178">
        <f>O114*Q114</f>
        <v>0</v>
      </c>
      <c r="S114" s="177"/>
      <c r="T114" s="175">
        <v>46</v>
      </c>
      <c r="U114" s="175">
        <v>11</v>
      </c>
    </row>
    <row r="115" spans="1:21" x14ac:dyDescent="0.2">
      <c r="A115" s="127"/>
      <c r="B115" s="136"/>
      <c r="C115" s="138">
        <f t="shared" si="32"/>
        <v>0</v>
      </c>
      <c r="D115" s="138">
        <f t="shared" si="33"/>
        <v>0</v>
      </c>
      <c r="E115" s="138">
        <f t="shared" si="34"/>
        <v>0</v>
      </c>
      <c r="F115" s="138">
        <f t="shared" si="35"/>
        <v>0</v>
      </c>
      <c r="G115" s="138">
        <f t="shared" si="36"/>
        <v>0</v>
      </c>
      <c r="H115" s="138">
        <f t="shared" si="37"/>
        <v>0</v>
      </c>
      <c r="I115" s="138">
        <f t="shared" si="38"/>
        <v>0</v>
      </c>
      <c r="J115" s="138">
        <f t="shared" si="39"/>
        <v>0</v>
      </c>
      <c r="K115" s="138">
        <f t="shared" si="40"/>
        <v>0</v>
      </c>
      <c r="L115" s="138">
        <f t="shared" si="41"/>
        <v>0</v>
      </c>
      <c r="M115" s="138">
        <f t="shared" si="42"/>
        <v>0</v>
      </c>
      <c r="N115" s="138">
        <f t="shared" si="43"/>
        <v>0</v>
      </c>
      <c r="O115" s="138">
        <f t="shared" si="44"/>
        <v>0</v>
      </c>
      <c r="P115" s="154"/>
      <c r="Q115" s="103"/>
      <c r="R115" s="178"/>
      <c r="S115" s="177"/>
      <c r="T115" s="175"/>
      <c r="U115" s="175"/>
    </row>
    <row r="116" spans="1:21" x14ac:dyDescent="0.2">
      <c r="A116" s="127" t="s">
        <v>69</v>
      </c>
      <c r="B116" s="136" t="s">
        <v>280</v>
      </c>
      <c r="C116" s="138">
        <f t="shared" si="32"/>
        <v>100</v>
      </c>
      <c r="D116" s="138">
        <f t="shared" si="33"/>
        <v>0</v>
      </c>
      <c r="E116" s="138">
        <f t="shared" si="34"/>
        <v>125</v>
      </c>
      <c r="F116" s="138">
        <f t="shared" si="35"/>
        <v>0</v>
      </c>
      <c r="G116" s="138">
        <f t="shared" si="36"/>
        <v>750</v>
      </c>
      <c r="H116" s="138">
        <f t="shared" si="37"/>
        <v>0</v>
      </c>
      <c r="I116" s="138">
        <f t="shared" si="38"/>
        <v>175</v>
      </c>
      <c r="J116" s="138">
        <f t="shared" si="39"/>
        <v>0</v>
      </c>
      <c r="K116" s="138">
        <f t="shared" si="40"/>
        <v>600</v>
      </c>
      <c r="L116" s="138">
        <f t="shared" si="41"/>
        <v>0</v>
      </c>
      <c r="M116" s="138">
        <f t="shared" si="42"/>
        <v>225</v>
      </c>
      <c r="N116" s="138">
        <f t="shared" si="43"/>
        <v>0</v>
      </c>
      <c r="O116" s="138">
        <f>C116+E116+G116+I116+K116+M116</f>
        <v>1975</v>
      </c>
      <c r="P116" s="154" t="s">
        <v>12</v>
      </c>
      <c r="Q116" s="103"/>
      <c r="R116" s="178">
        <f>O116*Q116</f>
        <v>0</v>
      </c>
      <c r="S116" s="177"/>
      <c r="T116" s="175">
        <v>25</v>
      </c>
      <c r="U116" s="175">
        <v>25</v>
      </c>
    </row>
    <row r="117" spans="1:21" x14ac:dyDescent="0.2">
      <c r="A117" s="127"/>
      <c r="B117" s="82"/>
      <c r="C117" s="138">
        <f t="shared" si="32"/>
        <v>0</v>
      </c>
      <c r="D117" s="138">
        <f t="shared" si="33"/>
        <v>0</v>
      </c>
      <c r="E117" s="138">
        <f t="shared" si="34"/>
        <v>0</v>
      </c>
      <c r="F117" s="138">
        <f t="shared" si="35"/>
        <v>0</v>
      </c>
      <c r="G117" s="138">
        <f t="shared" si="36"/>
        <v>0</v>
      </c>
      <c r="H117" s="138">
        <f t="shared" si="37"/>
        <v>0</v>
      </c>
      <c r="I117" s="138">
        <f t="shared" si="38"/>
        <v>0</v>
      </c>
      <c r="J117" s="138">
        <f t="shared" si="39"/>
        <v>0</v>
      </c>
      <c r="K117" s="138">
        <f t="shared" si="40"/>
        <v>0</v>
      </c>
      <c r="L117" s="138">
        <f t="shared" si="41"/>
        <v>0</v>
      </c>
      <c r="M117" s="138">
        <f t="shared" si="42"/>
        <v>0</v>
      </c>
      <c r="N117" s="138">
        <f t="shared" si="43"/>
        <v>0</v>
      </c>
      <c r="O117" s="138">
        <f t="shared" si="44"/>
        <v>0</v>
      </c>
      <c r="P117" s="154"/>
      <c r="Q117" s="103"/>
      <c r="R117" s="178"/>
      <c r="S117" s="177"/>
      <c r="T117" s="175"/>
      <c r="U117" s="175"/>
    </row>
    <row r="118" spans="1:21" x14ac:dyDescent="0.2">
      <c r="A118" s="127"/>
      <c r="B118" s="82" t="s">
        <v>412</v>
      </c>
      <c r="C118" s="138">
        <f t="shared" si="32"/>
        <v>0</v>
      </c>
      <c r="D118" s="138">
        <f t="shared" si="33"/>
        <v>0</v>
      </c>
      <c r="E118" s="138">
        <f t="shared" si="34"/>
        <v>0</v>
      </c>
      <c r="F118" s="138">
        <f t="shared" si="35"/>
        <v>0</v>
      </c>
      <c r="G118" s="138">
        <f t="shared" si="36"/>
        <v>0</v>
      </c>
      <c r="H118" s="138">
        <f t="shared" si="37"/>
        <v>0</v>
      </c>
      <c r="I118" s="138">
        <f t="shared" si="38"/>
        <v>0</v>
      </c>
      <c r="J118" s="138">
        <f t="shared" si="39"/>
        <v>0</v>
      </c>
      <c r="K118" s="138">
        <f t="shared" si="40"/>
        <v>0</v>
      </c>
      <c r="L118" s="138">
        <f t="shared" si="41"/>
        <v>0</v>
      </c>
      <c r="M118" s="138">
        <f t="shared" si="42"/>
        <v>0</v>
      </c>
      <c r="N118" s="138">
        <f t="shared" si="43"/>
        <v>0</v>
      </c>
      <c r="O118" s="138">
        <f t="shared" si="44"/>
        <v>0</v>
      </c>
      <c r="P118" s="154"/>
      <c r="Q118" s="103"/>
      <c r="R118" s="178">
        <f>O118*Q118</f>
        <v>0</v>
      </c>
      <c r="S118" s="177"/>
      <c r="T118" s="175"/>
      <c r="U118" s="175"/>
    </row>
    <row r="119" spans="1:21" x14ac:dyDescent="0.2">
      <c r="A119" s="127"/>
      <c r="B119" s="136"/>
      <c r="C119" s="138">
        <f t="shared" si="32"/>
        <v>0</v>
      </c>
      <c r="D119" s="138">
        <f t="shared" si="33"/>
        <v>0</v>
      </c>
      <c r="E119" s="138">
        <f t="shared" si="34"/>
        <v>0</v>
      </c>
      <c r="F119" s="138">
        <f t="shared" si="35"/>
        <v>0</v>
      </c>
      <c r="G119" s="138">
        <f t="shared" si="36"/>
        <v>0</v>
      </c>
      <c r="H119" s="138">
        <f t="shared" si="37"/>
        <v>0</v>
      </c>
      <c r="I119" s="138">
        <f t="shared" si="38"/>
        <v>0</v>
      </c>
      <c r="J119" s="138">
        <f t="shared" si="39"/>
        <v>0</v>
      </c>
      <c r="K119" s="138">
        <f t="shared" si="40"/>
        <v>0</v>
      </c>
      <c r="L119" s="138">
        <f t="shared" si="41"/>
        <v>0</v>
      </c>
      <c r="M119" s="138">
        <f t="shared" si="42"/>
        <v>0</v>
      </c>
      <c r="N119" s="138">
        <f t="shared" si="43"/>
        <v>0</v>
      </c>
      <c r="O119" s="138">
        <f t="shared" si="44"/>
        <v>0</v>
      </c>
      <c r="P119" s="154"/>
      <c r="Q119" s="103"/>
      <c r="R119" s="178"/>
      <c r="S119" s="177"/>
      <c r="T119" s="175"/>
      <c r="U119" s="175"/>
    </row>
    <row r="120" spans="1:21" ht="28.5" x14ac:dyDescent="0.2">
      <c r="A120" s="127"/>
      <c r="B120" s="82" t="s">
        <v>414</v>
      </c>
      <c r="C120" s="138">
        <f t="shared" si="32"/>
        <v>0</v>
      </c>
      <c r="D120" s="138">
        <f t="shared" si="33"/>
        <v>0</v>
      </c>
      <c r="E120" s="138">
        <f t="shared" si="34"/>
        <v>0</v>
      </c>
      <c r="F120" s="138">
        <f t="shared" si="35"/>
        <v>0</v>
      </c>
      <c r="G120" s="138">
        <f t="shared" si="36"/>
        <v>0</v>
      </c>
      <c r="H120" s="138">
        <f t="shared" si="37"/>
        <v>0</v>
      </c>
      <c r="I120" s="138">
        <f t="shared" si="38"/>
        <v>0</v>
      </c>
      <c r="J120" s="138">
        <f t="shared" si="39"/>
        <v>0</v>
      </c>
      <c r="K120" s="138">
        <f t="shared" si="40"/>
        <v>0</v>
      </c>
      <c r="L120" s="138">
        <f t="shared" si="41"/>
        <v>0</v>
      </c>
      <c r="M120" s="138">
        <f t="shared" si="42"/>
        <v>0</v>
      </c>
      <c r="N120" s="138">
        <f t="shared" si="43"/>
        <v>0</v>
      </c>
      <c r="O120" s="138">
        <f t="shared" si="44"/>
        <v>0</v>
      </c>
      <c r="P120" s="154"/>
      <c r="Q120" s="103"/>
      <c r="R120" s="178">
        <f>O120*Q120</f>
        <v>0</v>
      </c>
      <c r="S120" s="177"/>
      <c r="T120" s="175"/>
      <c r="U120" s="175"/>
    </row>
    <row r="121" spans="1:21" x14ac:dyDescent="0.2">
      <c r="A121" s="127"/>
      <c r="B121" s="136"/>
      <c r="C121" s="138">
        <f t="shared" si="32"/>
        <v>0</v>
      </c>
      <c r="D121" s="138">
        <f t="shared" si="33"/>
        <v>0</v>
      </c>
      <c r="E121" s="138">
        <f t="shared" si="34"/>
        <v>0</v>
      </c>
      <c r="F121" s="138">
        <f t="shared" si="35"/>
        <v>0</v>
      </c>
      <c r="G121" s="138">
        <f t="shared" si="36"/>
        <v>0</v>
      </c>
      <c r="H121" s="138">
        <f t="shared" si="37"/>
        <v>0</v>
      </c>
      <c r="I121" s="138">
        <f t="shared" si="38"/>
        <v>0</v>
      </c>
      <c r="J121" s="138">
        <f t="shared" si="39"/>
        <v>0</v>
      </c>
      <c r="K121" s="138">
        <f t="shared" si="40"/>
        <v>0</v>
      </c>
      <c r="L121" s="138">
        <f t="shared" si="41"/>
        <v>0</v>
      </c>
      <c r="M121" s="138">
        <f t="shared" si="42"/>
        <v>0</v>
      </c>
      <c r="N121" s="138">
        <f t="shared" si="43"/>
        <v>0</v>
      </c>
      <c r="O121" s="138">
        <f t="shared" si="44"/>
        <v>0</v>
      </c>
      <c r="P121" s="154"/>
      <c r="Q121" s="103"/>
      <c r="R121" s="178"/>
      <c r="S121" s="177"/>
      <c r="T121" s="175"/>
      <c r="U121" s="175"/>
    </row>
    <row r="122" spans="1:21" x14ac:dyDescent="0.2">
      <c r="A122" s="127" t="s">
        <v>70</v>
      </c>
      <c r="B122" s="136" t="s">
        <v>413</v>
      </c>
      <c r="C122" s="138">
        <f>C16-2*221-2*182</f>
        <v>342</v>
      </c>
      <c r="D122" s="138">
        <f t="shared" si="33"/>
        <v>0</v>
      </c>
      <c r="E122" s="138">
        <f>E16-2*221-3*182</f>
        <v>517</v>
      </c>
      <c r="F122" s="138">
        <f t="shared" si="35"/>
        <v>0</v>
      </c>
      <c r="G122" s="138">
        <f>G16-5*2*221-5*4*182</f>
        <v>2639</v>
      </c>
      <c r="H122" s="138">
        <f t="shared" si="37"/>
        <v>0</v>
      </c>
      <c r="I122" s="138">
        <f>I16-2*221-5*182</f>
        <v>643</v>
      </c>
      <c r="J122" s="138">
        <f t="shared" si="39"/>
        <v>0</v>
      </c>
      <c r="K122" s="138">
        <f>K16-3*2*221-3*6*182</f>
        <v>2125</v>
      </c>
      <c r="L122" s="138">
        <f t="shared" si="41"/>
        <v>0</v>
      </c>
      <c r="M122" s="138">
        <f>M16-2*221-7*182</f>
        <v>739</v>
      </c>
      <c r="N122" s="138">
        <f t="shared" si="43"/>
        <v>0</v>
      </c>
      <c r="O122" s="138">
        <f>C122+E122+G122+I122+K122+M122</f>
        <v>7005</v>
      </c>
      <c r="P122" s="154" t="s">
        <v>10</v>
      </c>
      <c r="Q122" s="103"/>
      <c r="R122" s="178">
        <f>O122*Q122</f>
        <v>0</v>
      </c>
      <c r="S122" s="177"/>
      <c r="T122" s="175"/>
      <c r="U122" s="175"/>
    </row>
    <row r="123" spans="1:21" x14ac:dyDescent="0.2">
      <c r="A123" s="139"/>
      <c r="B123" s="13"/>
      <c r="C123" s="138"/>
      <c r="D123" s="138"/>
      <c r="E123" s="138"/>
      <c r="F123" s="138"/>
      <c r="G123" s="138"/>
      <c r="H123" s="138"/>
      <c r="I123" s="138"/>
      <c r="J123" s="138"/>
      <c r="K123" s="138"/>
      <c r="L123" s="138"/>
      <c r="M123" s="138"/>
      <c r="N123" s="138"/>
      <c r="O123" s="138"/>
      <c r="P123" s="154"/>
      <c r="Q123" s="141"/>
      <c r="R123" s="137"/>
      <c r="T123" s="119"/>
      <c r="U123" s="119"/>
    </row>
    <row r="124" spans="1:21" x14ac:dyDescent="0.2">
      <c r="A124" s="139"/>
      <c r="B124" s="111"/>
      <c r="C124" s="138"/>
      <c r="D124" s="138"/>
      <c r="E124" s="138"/>
      <c r="F124" s="138"/>
      <c r="G124" s="138"/>
      <c r="H124" s="138"/>
      <c r="I124" s="138"/>
      <c r="J124" s="138"/>
      <c r="K124" s="138"/>
      <c r="L124" s="138"/>
      <c r="M124" s="138"/>
      <c r="N124" s="138"/>
      <c r="O124" s="138"/>
      <c r="P124" s="154"/>
      <c r="Q124" s="141"/>
      <c r="R124" s="137"/>
      <c r="T124" s="119"/>
      <c r="U124" s="119"/>
    </row>
    <row r="125" spans="1:21" x14ac:dyDescent="0.2">
      <c r="A125" s="139"/>
      <c r="B125" s="111"/>
      <c r="C125" s="138"/>
      <c r="D125" s="138"/>
      <c r="E125" s="138"/>
      <c r="F125" s="138"/>
      <c r="G125" s="138"/>
      <c r="H125" s="138"/>
      <c r="I125" s="138"/>
      <c r="J125" s="138"/>
      <c r="K125" s="138"/>
      <c r="L125" s="138"/>
      <c r="M125" s="138"/>
      <c r="N125" s="138"/>
      <c r="O125" s="138"/>
      <c r="P125" s="154"/>
      <c r="Q125" s="141"/>
      <c r="R125" s="137"/>
      <c r="T125" s="119"/>
      <c r="U125" s="119"/>
    </row>
    <row r="126" spans="1:21" x14ac:dyDescent="0.2">
      <c r="A126" s="139"/>
      <c r="B126" s="111"/>
      <c r="C126" s="138"/>
      <c r="D126" s="138"/>
      <c r="E126" s="138"/>
      <c r="F126" s="138"/>
      <c r="G126" s="138"/>
      <c r="H126" s="138"/>
      <c r="I126" s="138"/>
      <c r="J126" s="138"/>
      <c r="K126" s="138"/>
      <c r="L126" s="138"/>
      <c r="M126" s="138"/>
      <c r="N126" s="138"/>
      <c r="O126" s="138"/>
      <c r="P126" s="154"/>
      <c r="Q126" s="141"/>
      <c r="R126" s="137"/>
      <c r="T126" s="119"/>
      <c r="U126" s="119"/>
    </row>
    <row r="127" spans="1:21" x14ac:dyDescent="0.2">
      <c r="A127" s="139"/>
      <c r="B127" s="13"/>
      <c r="C127" s="138"/>
      <c r="D127" s="138"/>
      <c r="E127" s="138"/>
      <c r="F127" s="138"/>
      <c r="G127" s="138"/>
      <c r="H127" s="138"/>
      <c r="I127" s="138"/>
      <c r="J127" s="138"/>
      <c r="K127" s="138"/>
      <c r="L127" s="138"/>
      <c r="M127" s="138"/>
      <c r="N127" s="138"/>
      <c r="O127" s="138"/>
      <c r="P127" s="154"/>
      <c r="Q127" s="141"/>
      <c r="R127" s="137"/>
      <c r="T127" s="119"/>
      <c r="U127" s="119"/>
    </row>
    <row r="128" spans="1:21" x14ac:dyDescent="0.2">
      <c r="A128" s="139"/>
      <c r="B128" s="112"/>
      <c r="C128" s="138"/>
      <c r="D128" s="138"/>
      <c r="E128" s="138"/>
      <c r="F128" s="138"/>
      <c r="G128" s="138"/>
      <c r="H128" s="138"/>
      <c r="I128" s="138"/>
      <c r="J128" s="138"/>
      <c r="K128" s="138"/>
      <c r="L128" s="138"/>
      <c r="M128" s="138"/>
      <c r="N128" s="138"/>
      <c r="O128" s="138"/>
      <c r="P128" s="9"/>
      <c r="Q128" s="141"/>
      <c r="R128" s="137"/>
      <c r="T128" s="119"/>
      <c r="U128" s="119"/>
    </row>
    <row r="129" spans="1:21" x14ac:dyDescent="0.2">
      <c r="A129" s="139"/>
      <c r="B129" s="136"/>
      <c r="C129" s="138">
        <f t="shared" si="32"/>
        <v>0</v>
      </c>
      <c r="D129" s="138">
        <f t="shared" si="33"/>
        <v>0</v>
      </c>
      <c r="E129" s="138">
        <f t="shared" si="34"/>
        <v>0</v>
      </c>
      <c r="F129" s="138">
        <f t="shared" si="35"/>
        <v>0</v>
      </c>
      <c r="G129" s="138">
        <f t="shared" si="36"/>
        <v>0</v>
      </c>
      <c r="H129" s="138">
        <f t="shared" si="37"/>
        <v>0</v>
      </c>
      <c r="I129" s="138">
        <f t="shared" si="38"/>
        <v>0</v>
      </c>
      <c r="J129" s="138">
        <f t="shared" si="39"/>
        <v>0</v>
      </c>
      <c r="K129" s="138">
        <f t="shared" si="40"/>
        <v>0</v>
      </c>
      <c r="L129" s="138">
        <f t="shared" si="41"/>
        <v>0</v>
      </c>
      <c r="M129" s="138">
        <f t="shared" si="42"/>
        <v>0</v>
      </c>
      <c r="N129" s="138">
        <f t="shared" si="43"/>
        <v>0</v>
      </c>
      <c r="O129" s="138">
        <f t="shared" si="44"/>
        <v>0</v>
      </c>
      <c r="P129" s="154"/>
      <c r="Q129" s="103"/>
      <c r="R129" s="70"/>
      <c r="T129" s="135"/>
      <c r="U129" s="135"/>
    </row>
    <row r="130" spans="1:21" x14ac:dyDescent="0.2">
      <c r="A130" s="139"/>
      <c r="B130" s="136"/>
      <c r="C130" s="138">
        <f t="shared" si="32"/>
        <v>0</v>
      </c>
      <c r="D130" s="138">
        <f t="shared" si="33"/>
        <v>0</v>
      </c>
      <c r="E130" s="138">
        <f t="shared" si="34"/>
        <v>0</v>
      </c>
      <c r="F130" s="138">
        <f t="shared" si="35"/>
        <v>0</v>
      </c>
      <c r="G130" s="138">
        <f t="shared" si="36"/>
        <v>0</v>
      </c>
      <c r="H130" s="138">
        <f t="shared" si="37"/>
        <v>0</v>
      </c>
      <c r="I130" s="138">
        <f t="shared" si="38"/>
        <v>0</v>
      </c>
      <c r="J130" s="138">
        <f t="shared" si="39"/>
        <v>0</v>
      </c>
      <c r="K130" s="138">
        <f t="shared" si="40"/>
        <v>0</v>
      </c>
      <c r="L130" s="138">
        <f t="shared" si="41"/>
        <v>0</v>
      </c>
      <c r="M130" s="138">
        <f t="shared" si="42"/>
        <v>0</v>
      </c>
      <c r="N130" s="138">
        <f t="shared" si="43"/>
        <v>0</v>
      </c>
      <c r="O130" s="138">
        <f t="shared" si="44"/>
        <v>0</v>
      </c>
      <c r="P130" s="154"/>
      <c r="Q130" s="103"/>
      <c r="R130" s="70"/>
      <c r="T130" s="135"/>
      <c r="U130" s="135"/>
    </row>
    <row r="131" spans="1:21" x14ac:dyDescent="0.2">
      <c r="A131" s="127"/>
      <c r="B131" s="136"/>
      <c r="C131" s="120"/>
      <c r="D131" s="120"/>
      <c r="E131" s="120"/>
      <c r="F131" s="120"/>
      <c r="G131" s="120"/>
      <c r="H131" s="120"/>
      <c r="I131" s="120"/>
      <c r="J131" s="120"/>
      <c r="K131" s="120"/>
      <c r="L131" s="120"/>
      <c r="M131" s="120"/>
      <c r="N131" s="120"/>
      <c r="O131" s="120"/>
      <c r="P131" s="154"/>
      <c r="Q131" s="103"/>
      <c r="R131" s="70"/>
    </row>
    <row r="132" spans="1:21" x14ac:dyDescent="0.2">
      <c r="A132" s="127"/>
      <c r="B132" s="136"/>
      <c r="C132" s="120"/>
      <c r="D132" s="120"/>
      <c r="E132" s="120"/>
      <c r="F132" s="120"/>
      <c r="G132" s="120"/>
      <c r="H132" s="120"/>
      <c r="I132" s="120"/>
      <c r="J132" s="120"/>
      <c r="K132" s="120"/>
      <c r="L132" s="120"/>
      <c r="M132" s="120"/>
      <c r="N132" s="120"/>
      <c r="O132" s="120"/>
      <c r="P132" s="154"/>
      <c r="Q132" s="103"/>
      <c r="R132" s="70"/>
    </row>
    <row r="133" spans="1:21" x14ac:dyDescent="0.2">
      <c r="A133" s="127"/>
      <c r="B133" s="136"/>
      <c r="C133" s="120"/>
      <c r="D133" s="120"/>
      <c r="E133" s="120"/>
      <c r="F133" s="120"/>
      <c r="G133" s="120"/>
      <c r="H133" s="120"/>
      <c r="I133" s="120"/>
      <c r="J133" s="120"/>
      <c r="K133" s="120"/>
      <c r="L133" s="120"/>
      <c r="M133" s="120"/>
      <c r="N133" s="120"/>
      <c r="O133" s="120"/>
      <c r="P133" s="154"/>
      <c r="Q133" s="103"/>
      <c r="R133" s="70"/>
    </row>
    <row r="134" spans="1:21" x14ac:dyDescent="0.2">
      <c r="A134" s="127"/>
      <c r="B134" s="136"/>
      <c r="C134" s="128"/>
      <c r="D134" s="120"/>
      <c r="E134" s="120"/>
      <c r="F134" s="120"/>
      <c r="G134" s="120"/>
      <c r="H134" s="120"/>
      <c r="I134" s="120"/>
      <c r="J134" s="120"/>
      <c r="K134" s="120"/>
      <c r="L134" s="120"/>
      <c r="M134" s="120"/>
      <c r="N134" s="120"/>
      <c r="O134" s="120"/>
      <c r="P134" s="154"/>
      <c r="Q134" s="103"/>
      <c r="R134" s="70"/>
      <c r="T134" s="52"/>
      <c r="U134" s="52"/>
    </row>
    <row r="135" spans="1:21" x14ac:dyDescent="0.2">
      <c r="A135" s="129"/>
      <c r="B135" s="130"/>
      <c r="C135" s="131"/>
      <c r="D135" s="131"/>
      <c r="E135" s="131"/>
      <c r="F135" s="131"/>
      <c r="G135" s="131"/>
      <c r="H135" s="131"/>
      <c r="I135" s="131"/>
      <c r="J135" s="131"/>
      <c r="K135" s="131"/>
      <c r="L135" s="131"/>
      <c r="M135" s="131"/>
      <c r="N135" s="131"/>
      <c r="O135" s="131"/>
      <c r="P135" s="131"/>
      <c r="Q135" s="104"/>
      <c r="R135" s="105"/>
      <c r="T135" s="134"/>
      <c r="U135" s="134"/>
    </row>
    <row r="136" spans="1:21" x14ac:dyDescent="0.2">
      <c r="C136" s="122"/>
      <c r="D136" s="122"/>
      <c r="E136" s="122"/>
      <c r="F136" s="122"/>
      <c r="G136" s="122"/>
      <c r="H136" s="122"/>
      <c r="I136" s="122"/>
      <c r="J136" s="122"/>
      <c r="K136" s="122"/>
      <c r="L136" s="122"/>
      <c r="M136" s="122"/>
      <c r="N136" s="122"/>
      <c r="O136" s="122"/>
      <c r="P136" s="171" t="s">
        <v>1</v>
      </c>
      <c r="Q136" s="133" t="s">
        <v>0</v>
      </c>
      <c r="R136" s="70">
        <f>SUM(R98:R135)</f>
        <v>0</v>
      </c>
      <c r="T136" s="135"/>
      <c r="U136" s="135"/>
    </row>
    <row r="137" spans="1:21" x14ac:dyDescent="0.2">
      <c r="Q137" s="76"/>
      <c r="R137" s="106"/>
    </row>
    <row r="138" spans="1:21" x14ac:dyDescent="0.2">
      <c r="A138" s="139"/>
      <c r="B138" s="82"/>
      <c r="C138" s="120"/>
      <c r="D138" s="120"/>
      <c r="E138" s="120"/>
      <c r="F138" s="120"/>
      <c r="G138" s="120"/>
      <c r="H138" s="120"/>
      <c r="I138" s="120"/>
      <c r="J138" s="120"/>
      <c r="K138" s="120"/>
      <c r="L138" s="120"/>
      <c r="M138" s="120"/>
      <c r="N138" s="120"/>
      <c r="O138" s="138"/>
      <c r="P138" s="154"/>
      <c r="Q138" s="103"/>
      <c r="R138" s="70"/>
      <c r="T138" s="135"/>
      <c r="U138" s="135"/>
    </row>
    <row r="139" spans="1:21" x14ac:dyDescent="0.2">
      <c r="A139" s="139"/>
      <c r="B139" s="82" t="s">
        <v>8</v>
      </c>
      <c r="C139" s="128"/>
      <c r="D139" s="120"/>
      <c r="E139" s="120"/>
      <c r="F139" s="120"/>
      <c r="G139" s="120"/>
      <c r="H139" s="120"/>
      <c r="I139" s="120"/>
      <c r="J139" s="120"/>
      <c r="K139" s="120"/>
      <c r="L139" s="120"/>
      <c r="M139" s="120"/>
      <c r="N139" s="120"/>
      <c r="O139" s="120"/>
      <c r="P139" s="154"/>
      <c r="Q139" s="103"/>
      <c r="R139" s="70"/>
      <c r="T139" s="135"/>
      <c r="U139" s="135"/>
    </row>
    <row r="140" spans="1:21" x14ac:dyDescent="0.2">
      <c r="A140" s="139"/>
      <c r="B140" s="82"/>
      <c r="C140" s="120"/>
      <c r="D140" s="120"/>
      <c r="E140" s="120"/>
      <c r="F140" s="120"/>
      <c r="G140" s="120"/>
      <c r="H140" s="120"/>
      <c r="I140" s="120"/>
      <c r="J140" s="120"/>
      <c r="K140" s="120"/>
      <c r="L140" s="120"/>
      <c r="M140" s="120"/>
      <c r="N140" s="120"/>
      <c r="O140" s="138"/>
      <c r="P140" s="154"/>
      <c r="Q140" s="103"/>
      <c r="R140" s="70"/>
      <c r="T140" s="135"/>
      <c r="U140" s="135"/>
    </row>
    <row r="141" spans="1:21" ht="42.75" x14ac:dyDescent="0.2">
      <c r="A141" s="1" t="s">
        <v>66</v>
      </c>
      <c r="B141" s="179" t="s">
        <v>100</v>
      </c>
      <c r="C141" s="138"/>
      <c r="D141" s="138"/>
      <c r="E141" s="138"/>
      <c r="F141" s="138"/>
      <c r="G141" s="138"/>
      <c r="H141" s="138"/>
      <c r="I141" s="138"/>
      <c r="J141" s="138"/>
      <c r="K141" s="138"/>
      <c r="L141" s="138"/>
      <c r="M141" s="138"/>
      <c r="N141" s="138">
        <f t="shared" ref="N141" si="45">M141*$Q141</f>
        <v>0</v>
      </c>
      <c r="O141" s="138">
        <f t="shared" ref="O141" si="46">C141+E141+G141+I141+K141+M141</f>
        <v>0</v>
      </c>
      <c r="P141" s="2" t="s">
        <v>5</v>
      </c>
      <c r="Q141" s="103"/>
      <c r="R141" s="70">
        <f>O141*Q141</f>
        <v>0</v>
      </c>
      <c r="T141" s="135"/>
      <c r="U141" s="135"/>
    </row>
    <row r="142" spans="1:21" x14ac:dyDescent="0.2">
      <c r="A142" s="127"/>
      <c r="B142" s="136"/>
      <c r="C142" s="120"/>
      <c r="D142" s="120"/>
      <c r="E142" s="120"/>
      <c r="F142" s="120"/>
      <c r="G142" s="120"/>
      <c r="H142" s="120"/>
      <c r="I142" s="120"/>
      <c r="J142" s="120"/>
      <c r="K142" s="120"/>
      <c r="L142" s="120"/>
      <c r="M142" s="120"/>
      <c r="N142" s="120"/>
      <c r="O142" s="120"/>
      <c r="P142" s="154"/>
      <c r="Q142" s="103"/>
      <c r="R142" s="70"/>
    </row>
    <row r="143" spans="1:21" x14ac:dyDescent="0.2">
      <c r="A143" s="127"/>
      <c r="B143" s="136"/>
      <c r="C143" s="120"/>
      <c r="D143" s="120"/>
      <c r="E143" s="120"/>
      <c r="F143" s="120"/>
      <c r="G143" s="120"/>
      <c r="H143" s="120"/>
      <c r="I143" s="120"/>
      <c r="J143" s="120"/>
      <c r="K143" s="120"/>
      <c r="L143" s="120"/>
      <c r="M143" s="120"/>
      <c r="N143" s="120"/>
      <c r="O143" s="120"/>
      <c r="P143" s="154"/>
      <c r="Q143" s="103"/>
      <c r="R143" s="70"/>
    </row>
    <row r="144" spans="1:21" x14ac:dyDescent="0.2">
      <c r="A144" s="127"/>
      <c r="B144" s="136"/>
      <c r="C144" s="120"/>
      <c r="D144" s="120"/>
      <c r="E144" s="120"/>
      <c r="F144" s="120"/>
      <c r="G144" s="120"/>
      <c r="H144" s="120"/>
      <c r="I144" s="120"/>
      <c r="J144" s="120"/>
      <c r="K144" s="120"/>
      <c r="L144" s="120"/>
      <c r="M144" s="120"/>
      <c r="N144" s="120"/>
      <c r="O144" s="120"/>
      <c r="P144" s="154"/>
      <c r="Q144" s="103"/>
      <c r="R144" s="70"/>
    </row>
    <row r="145" spans="1:21" x14ac:dyDescent="0.2">
      <c r="A145" s="127"/>
      <c r="B145" s="136"/>
      <c r="C145" s="120"/>
      <c r="D145" s="120"/>
      <c r="E145" s="120"/>
      <c r="F145" s="120"/>
      <c r="G145" s="120"/>
      <c r="H145" s="120"/>
      <c r="I145" s="120"/>
      <c r="J145" s="120"/>
      <c r="K145" s="120"/>
      <c r="L145" s="120"/>
      <c r="M145" s="120"/>
      <c r="N145" s="120"/>
      <c r="O145" s="120"/>
      <c r="P145" s="154"/>
      <c r="Q145" s="103"/>
      <c r="R145" s="70"/>
    </row>
    <row r="146" spans="1:21" x14ac:dyDescent="0.2">
      <c r="A146" s="127"/>
      <c r="B146" s="136"/>
      <c r="C146" s="120"/>
      <c r="D146" s="120"/>
      <c r="E146" s="120"/>
      <c r="F146" s="120"/>
      <c r="G146" s="120"/>
      <c r="H146" s="120"/>
      <c r="I146" s="120"/>
      <c r="J146" s="120"/>
      <c r="K146" s="120"/>
      <c r="L146" s="120"/>
      <c r="M146" s="120"/>
      <c r="N146" s="120"/>
      <c r="O146" s="120"/>
      <c r="P146" s="154"/>
      <c r="Q146" s="103"/>
      <c r="R146" s="70"/>
    </row>
    <row r="147" spans="1:21" x14ac:dyDescent="0.2">
      <c r="A147" s="127"/>
      <c r="B147" s="136"/>
      <c r="C147" s="120"/>
      <c r="D147" s="120"/>
      <c r="E147" s="120"/>
      <c r="F147" s="120"/>
      <c r="G147" s="120"/>
      <c r="H147" s="120"/>
      <c r="I147" s="120"/>
      <c r="J147" s="120"/>
      <c r="K147" s="120"/>
      <c r="L147" s="120"/>
      <c r="M147" s="120"/>
      <c r="N147" s="120"/>
      <c r="O147" s="120"/>
      <c r="P147" s="154"/>
      <c r="Q147" s="103"/>
      <c r="R147" s="70"/>
    </row>
    <row r="148" spans="1:21" x14ac:dyDescent="0.2">
      <c r="A148" s="127"/>
      <c r="B148" s="136"/>
      <c r="C148" s="120"/>
      <c r="D148" s="120"/>
      <c r="E148" s="120"/>
      <c r="F148" s="120"/>
      <c r="G148" s="120"/>
      <c r="H148" s="120"/>
      <c r="I148" s="120"/>
      <c r="J148" s="120"/>
      <c r="K148" s="120"/>
      <c r="L148" s="120"/>
      <c r="M148" s="120"/>
      <c r="N148" s="120"/>
      <c r="O148" s="120"/>
      <c r="P148" s="154"/>
      <c r="Q148" s="103"/>
      <c r="R148" s="70"/>
    </row>
    <row r="149" spans="1:21" x14ac:dyDescent="0.2">
      <c r="A149" s="127"/>
      <c r="B149" s="136"/>
      <c r="C149" s="120"/>
      <c r="D149" s="120"/>
      <c r="E149" s="120"/>
      <c r="F149" s="120"/>
      <c r="G149" s="120"/>
      <c r="H149" s="120"/>
      <c r="I149" s="120"/>
      <c r="J149" s="120"/>
      <c r="K149" s="120"/>
      <c r="L149" s="120"/>
      <c r="M149" s="120"/>
      <c r="N149" s="120"/>
      <c r="O149" s="120"/>
      <c r="P149" s="154"/>
      <c r="Q149" s="103"/>
      <c r="R149" s="70"/>
    </row>
    <row r="150" spans="1:21" x14ac:dyDescent="0.2">
      <c r="A150" s="127"/>
      <c r="B150" s="136"/>
      <c r="C150" s="120"/>
      <c r="D150" s="120"/>
      <c r="E150" s="120"/>
      <c r="F150" s="120"/>
      <c r="G150" s="120"/>
      <c r="H150" s="120"/>
      <c r="I150" s="120"/>
      <c r="J150" s="120"/>
      <c r="K150" s="120"/>
      <c r="L150" s="120"/>
      <c r="M150" s="120"/>
      <c r="N150" s="120"/>
      <c r="O150" s="120"/>
      <c r="P150" s="154"/>
      <c r="Q150" s="103"/>
      <c r="R150" s="70"/>
    </row>
    <row r="151" spans="1:21" x14ac:dyDescent="0.2">
      <c r="A151" s="127"/>
      <c r="B151" s="136"/>
      <c r="C151" s="120"/>
      <c r="D151" s="120"/>
      <c r="E151" s="120"/>
      <c r="F151" s="120"/>
      <c r="G151" s="120"/>
      <c r="H151" s="120"/>
      <c r="I151" s="120"/>
      <c r="J151" s="120"/>
      <c r="K151" s="120"/>
      <c r="L151" s="120"/>
      <c r="M151" s="120"/>
      <c r="N151" s="120"/>
      <c r="O151" s="120"/>
      <c r="P151" s="154"/>
      <c r="Q151" s="103"/>
      <c r="R151" s="70"/>
    </row>
    <row r="152" spans="1:21" x14ac:dyDescent="0.2">
      <c r="A152" s="127"/>
      <c r="B152" s="136"/>
      <c r="C152" s="120"/>
      <c r="D152" s="120"/>
      <c r="E152" s="120"/>
      <c r="F152" s="120"/>
      <c r="G152" s="120"/>
      <c r="H152" s="120"/>
      <c r="I152" s="120"/>
      <c r="J152" s="120"/>
      <c r="K152" s="120"/>
      <c r="L152" s="120"/>
      <c r="M152" s="120"/>
      <c r="N152" s="120"/>
      <c r="O152" s="120"/>
      <c r="P152" s="154"/>
      <c r="Q152" s="103"/>
      <c r="R152" s="70"/>
    </row>
    <row r="153" spans="1:21" x14ac:dyDescent="0.2">
      <c r="A153" s="127"/>
      <c r="B153" s="136"/>
      <c r="C153" s="120"/>
      <c r="D153" s="120"/>
      <c r="E153" s="120"/>
      <c r="F153" s="120"/>
      <c r="G153" s="120"/>
      <c r="H153" s="120"/>
      <c r="I153" s="120"/>
      <c r="J153" s="120"/>
      <c r="K153" s="120"/>
      <c r="L153" s="120"/>
      <c r="M153" s="120"/>
      <c r="N153" s="120"/>
      <c r="O153" s="120"/>
      <c r="P153" s="154"/>
      <c r="Q153" s="103"/>
      <c r="R153" s="70"/>
    </row>
    <row r="154" spans="1:21" x14ac:dyDescent="0.2">
      <c r="A154" s="127"/>
      <c r="B154" s="136"/>
      <c r="C154" s="120"/>
      <c r="D154" s="120"/>
      <c r="E154" s="120"/>
      <c r="F154" s="120"/>
      <c r="G154" s="120"/>
      <c r="H154" s="120"/>
      <c r="I154" s="120"/>
      <c r="J154" s="120"/>
      <c r="K154" s="120"/>
      <c r="L154" s="120"/>
      <c r="M154" s="120"/>
      <c r="N154" s="120"/>
      <c r="O154" s="120"/>
      <c r="P154" s="154"/>
      <c r="Q154" s="103"/>
      <c r="R154" s="70"/>
    </row>
    <row r="155" spans="1:21" x14ac:dyDescent="0.2">
      <c r="A155" s="127"/>
      <c r="B155" s="136"/>
      <c r="C155" s="120"/>
      <c r="D155" s="120"/>
      <c r="E155" s="120"/>
      <c r="F155" s="120"/>
      <c r="G155" s="120"/>
      <c r="H155" s="120"/>
      <c r="I155" s="120"/>
      <c r="J155" s="120"/>
      <c r="K155" s="120"/>
      <c r="L155" s="120"/>
      <c r="M155" s="120"/>
      <c r="N155" s="120"/>
      <c r="O155" s="120"/>
      <c r="P155" s="154"/>
      <c r="Q155" s="103"/>
      <c r="R155" s="70"/>
    </row>
    <row r="156" spans="1:21" x14ac:dyDescent="0.2">
      <c r="A156" s="127"/>
      <c r="B156" s="136"/>
      <c r="C156" s="128"/>
      <c r="D156" s="120"/>
      <c r="E156" s="120"/>
      <c r="F156" s="120"/>
      <c r="G156" s="120"/>
      <c r="H156" s="120"/>
      <c r="I156" s="120"/>
      <c r="J156" s="120"/>
      <c r="K156" s="120"/>
      <c r="L156" s="120"/>
      <c r="M156" s="120"/>
      <c r="N156" s="120"/>
      <c r="O156" s="120"/>
      <c r="P156" s="154"/>
      <c r="Q156" s="103"/>
      <c r="R156" s="70"/>
      <c r="T156" s="52"/>
      <c r="U156" s="52"/>
    </row>
    <row r="157" spans="1:21" x14ac:dyDescent="0.2">
      <c r="A157" s="129"/>
      <c r="B157" s="130"/>
      <c r="C157" s="131"/>
      <c r="D157" s="131"/>
      <c r="E157" s="131"/>
      <c r="F157" s="131"/>
      <c r="G157" s="131"/>
      <c r="H157" s="131"/>
      <c r="I157" s="131"/>
      <c r="J157" s="131"/>
      <c r="K157" s="131"/>
      <c r="L157" s="131"/>
      <c r="M157" s="131"/>
      <c r="N157" s="131"/>
      <c r="O157" s="131"/>
      <c r="P157" s="131"/>
      <c r="Q157" s="104"/>
      <c r="R157" s="105"/>
      <c r="T157" s="134"/>
      <c r="U157" s="134"/>
    </row>
    <row r="158" spans="1:21" x14ac:dyDescent="0.2">
      <c r="A158" s="144"/>
      <c r="B158" s="37"/>
      <c r="C158" s="528"/>
      <c r="D158" s="528"/>
      <c r="E158" s="528"/>
      <c r="F158" s="528"/>
      <c r="G158" s="528"/>
      <c r="H158" s="528"/>
      <c r="I158" s="528"/>
      <c r="J158" s="528"/>
      <c r="K158" s="528"/>
      <c r="L158" s="528"/>
      <c r="M158" s="528"/>
      <c r="N158" s="528"/>
      <c r="O158" s="528"/>
      <c r="P158" s="528"/>
      <c r="Q158" s="133" t="s">
        <v>0</v>
      </c>
      <c r="R158" s="70">
        <f>SUM(R138:R157)</f>
        <v>0</v>
      </c>
      <c r="T158" s="135"/>
      <c r="U158" s="135"/>
    </row>
    <row r="159" spans="1:21" x14ac:dyDescent="0.2">
      <c r="A159" s="145"/>
      <c r="B159" s="44"/>
      <c r="C159" s="94"/>
      <c r="D159" s="94"/>
      <c r="E159" s="94"/>
      <c r="F159" s="94"/>
      <c r="G159" s="94"/>
      <c r="H159" s="94"/>
      <c r="I159" s="94"/>
      <c r="J159" s="94"/>
      <c r="K159" s="94"/>
      <c r="L159" s="94"/>
      <c r="M159" s="94"/>
      <c r="N159" s="94"/>
      <c r="O159" s="94"/>
      <c r="P159" s="94"/>
      <c r="Q159" s="180"/>
      <c r="R159" s="106"/>
    </row>
    <row r="160" spans="1:21" x14ac:dyDescent="0.2">
      <c r="A160" s="36"/>
      <c r="Q160" s="76"/>
      <c r="R160" s="105"/>
      <c r="T160" s="134"/>
      <c r="U160" s="134"/>
    </row>
    <row r="161" spans="1:21" x14ac:dyDescent="0.2">
      <c r="A161" s="36"/>
      <c r="R161" s="70"/>
    </row>
    <row r="162" spans="1:21" x14ac:dyDescent="0.2">
      <c r="A162" s="36"/>
      <c r="O162" s="529" t="s">
        <v>17</v>
      </c>
      <c r="P162" s="529"/>
      <c r="R162" s="70"/>
      <c r="T162" s="135"/>
      <c r="U162" s="135"/>
    </row>
    <row r="163" spans="1:21" x14ac:dyDescent="0.2">
      <c r="A163" s="36"/>
      <c r="R163" s="70"/>
    </row>
    <row r="164" spans="1:21" x14ac:dyDescent="0.2">
      <c r="A164" s="36"/>
      <c r="O164" s="204" t="s">
        <v>270</v>
      </c>
      <c r="P164" s="204" t="s">
        <v>573</v>
      </c>
      <c r="R164" s="70">
        <f>R48</f>
        <v>0</v>
      </c>
    </row>
    <row r="165" spans="1:21" x14ac:dyDescent="0.2">
      <c r="A165" s="36"/>
      <c r="R165" s="70"/>
    </row>
    <row r="166" spans="1:21" x14ac:dyDescent="0.2">
      <c r="A166" s="36"/>
      <c r="O166" s="204" t="s">
        <v>270</v>
      </c>
      <c r="P166" s="204" t="s">
        <v>574</v>
      </c>
      <c r="R166" s="70">
        <f>R96</f>
        <v>0</v>
      </c>
    </row>
    <row r="167" spans="1:21" x14ac:dyDescent="0.2">
      <c r="A167" s="36"/>
      <c r="R167" s="70"/>
    </row>
    <row r="168" spans="1:21" x14ac:dyDescent="0.2">
      <c r="A168" s="36"/>
      <c r="O168" s="204" t="s">
        <v>270</v>
      </c>
      <c r="P168" s="204" t="s">
        <v>575</v>
      </c>
      <c r="R168" s="70">
        <f>R136</f>
        <v>0</v>
      </c>
    </row>
    <row r="169" spans="1:21" x14ac:dyDescent="0.2">
      <c r="A169" s="36"/>
      <c r="R169" s="70"/>
    </row>
    <row r="170" spans="1:21" x14ac:dyDescent="0.2">
      <c r="A170" s="36"/>
      <c r="O170" s="204" t="s">
        <v>270</v>
      </c>
      <c r="P170" s="204" t="s">
        <v>576</v>
      </c>
      <c r="R170" s="70">
        <f>R158</f>
        <v>0</v>
      </c>
    </row>
    <row r="171" spans="1:21" x14ac:dyDescent="0.2">
      <c r="A171" s="36"/>
      <c r="R171" s="70"/>
    </row>
    <row r="172" spans="1:21" x14ac:dyDescent="0.2">
      <c r="A172" s="36"/>
      <c r="R172" s="178"/>
    </row>
    <row r="173" spans="1:21" x14ac:dyDescent="0.2">
      <c r="A173" s="36"/>
      <c r="R173" s="70"/>
    </row>
    <row r="174" spans="1:21" x14ac:dyDescent="0.2">
      <c r="A174" s="36"/>
      <c r="R174" s="70"/>
    </row>
    <row r="175" spans="1:21" x14ac:dyDescent="0.2">
      <c r="A175" s="36"/>
      <c r="R175" s="70"/>
    </row>
    <row r="176" spans="1:21" x14ac:dyDescent="0.2">
      <c r="A176" s="36"/>
      <c r="R176" s="70">
        <f>R158</f>
        <v>0</v>
      </c>
    </row>
    <row r="177" spans="1:21" x14ac:dyDescent="0.2">
      <c r="A177" s="36"/>
      <c r="R177" s="70"/>
    </row>
    <row r="178" spans="1:21" x14ac:dyDescent="0.2">
      <c r="A178" s="36"/>
      <c r="R178" s="70"/>
    </row>
    <row r="179" spans="1:21" x14ac:dyDescent="0.2">
      <c r="A179" s="36"/>
      <c r="R179" s="70"/>
    </row>
    <row r="180" spans="1:21" x14ac:dyDescent="0.2">
      <c r="A180" s="43"/>
      <c r="B180" s="44"/>
      <c r="C180" s="94"/>
      <c r="D180" s="94"/>
      <c r="E180" s="94"/>
      <c r="F180" s="94"/>
      <c r="G180" s="94"/>
      <c r="H180" s="94"/>
      <c r="I180" s="94"/>
      <c r="J180" s="94"/>
      <c r="K180" s="94"/>
      <c r="L180" s="94"/>
      <c r="M180" s="94"/>
      <c r="N180" s="94"/>
      <c r="O180" s="94"/>
      <c r="P180" s="94"/>
      <c r="Q180" s="143"/>
      <c r="R180" s="106"/>
      <c r="T180" s="52"/>
      <c r="U180" s="52"/>
    </row>
    <row r="181" spans="1:21" x14ac:dyDescent="0.2">
      <c r="A181" s="129"/>
      <c r="B181" s="186" t="s">
        <v>101</v>
      </c>
      <c r="C181" s="131"/>
      <c r="D181" s="131"/>
      <c r="E181" s="131"/>
      <c r="F181" s="131"/>
      <c r="G181" s="131"/>
      <c r="H181" s="131"/>
      <c r="I181" s="131"/>
      <c r="J181" s="131"/>
      <c r="K181" s="131"/>
      <c r="L181" s="131"/>
      <c r="M181" s="131"/>
      <c r="N181" s="131"/>
      <c r="O181" s="131"/>
      <c r="P181" s="131"/>
      <c r="Q181" s="104"/>
      <c r="R181" s="105"/>
      <c r="T181" s="134"/>
      <c r="U181" s="134"/>
    </row>
    <row r="182" spans="1:21" x14ac:dyDescent="0.2">
      <c r="C182" s="46"/>
      <c r="D182" s="46"/>
      <c r="E182" s="46"/>
      <c r="F182" s="46"/>
      <c r="G182" s="46"/>
      <c r="H182" s="46"/>
      <c r="I182" s="46"/>
      <c r="J182" s="46"/>
      <c r="K182" s="46"/>
      <c r="L182" s="46"/>
      <c r="M182" s="46"/>
      <c r="N182" s="46"/>
      <c r="O182" s="46"/>
      <c r="P182" s="171" t="s">
        <v>15</v>
      </c>
      <c r="Q182" s="133" t="s">
        <v>0</v>
      </c>
      <c r="R182" s="70">
        <f>SUM(R162:R181)</f>
        <v>0</v>
      </c>
      <c r="T182" s="135"/>
      <c r="U182" s="135"/>
    </row>
    <row r="183" spans="1:21" x14ac:dyDescent="0.2">
      <c r="Q183" s="76"/>
      <c r="R183" s="106"/>
    </row>
  </sheetData>
  <mergeCells count="15">
    <mergeCell ref="O162:P162"/>
    <mergeCell ref="A1:A3"/>
    <mergeCell ref="B1:B3"/>
    <mergeCell ref="C1:O1"/>
    <mergeCell ref="P1:P3"/>
    <mergeCell ref="F2:F3"/>
    <mergeCell ref="H2:H3"/>
    <mergeCell ref="J2:J3"/>
    <mergeCell ref="L2:L3"/>
    <mergeCell ref="N2:N3"/>
    <mergeCell ref="Q1:Q3"/>
    <mergeCell ref="R1:R3"/>
    <mergeCell ref="D2:D3"/>
    <mergeCell ref="O2:O3"/>
    <mergeCell ref="C158:P158"/>
  </mergeCells>
  <printOptions horizontalCentered="1"/>
  <pageMargins left="0.51181102362204722" right="0.19685039370078741" top="0.98425196850393704" bottom="0.59055118110236227" header="0.31496062992125984" footer="0.31496062992125984"/>
  <pageSetup paperSize="8" orientation="landscape" useFirstPageNumber="1" r:id="rId1"/>
  <headerFooter>
    <oddHeader>&amp;R&amp;UBILL NO. 3: TOWNHOUSE A 
SITE WORK</oddHeader>
    <oddFooter>&amp;L&amp;8DMS No. 148110 Package 3 (30 Sept 2021)&amp;C&amp;10 3/B/&amp;P</oddFooter>
  </headerFooter>
  <ignoredErrors>
    <ignoredError sqref="H16 J16 L16"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U271"/>
  <sheetViews>
    <sheetView showZeros="0" tabSelected="1" view="pageBreakPreview" zoomScaleNormal="85" zoomScaleSheetLayoutView="100" workbookViewId="0">
      <pane xSplit="2" ySplit="3" topLeftCell="C190" activePane="bottomRight" state="frozen"/>
      <selection activeCell="T57" sqref="T57"/>
      <selection pane="topRight" activeCell="T57" sqref="T57"/>
      <selection pane="bottomLeft" activeCell="T57" sqref="T57"/>
      <selection pane="bottomRight" activeCell="B203" sqref="B203"/>
    </sheetView>
  </sheetViews>
  <sheetFormatPr defaultRowHeight="14.25" x14ac:dyDescent="0.2"/>
  <cols>
    <col min="1" max="1" width="6.125" style="121" customWidth="1"/>
    <col min="2" max="2" width="61.875" style="122" customWidth="1"/>
    <col min="3" max="3" width="11.125" style="204" customWidth="1"/>
    <col min="4" max="4" width="10.625" style="204" hidden="1" customWidth="1"/>
    <col min="5" max="5" width="11.125" style="204" customWidth="1"/>
    <col min="6" max="6" width="10.625" style="204" hidden="1" customWidth="1"/>
    <col min="7" max="7" width="11.125" style="204" customWidth="1"/>
    <col min="8" max="8" width="10.625" style="204" hidden="1" customWidth="1"/>
    <col min="9" max="9" width="11.125" style="204" customWidth="1"/>
    <col min="10" max="10" width="10.625" style="204" hidden="1" customWidth="1"/>
    <col min="11" max="11" width="11.125" style="204" customWidth="1"/>
    <col min="12" max="12" width="10.625" style="204" hidden="1" customWidth="1"/>
    <col min="13" max="13" width="11.125" style="204" customWidth="1"/>
    <col min="14" max="14" width="10.625" style="204" hidden="1" customWidth="1"/>
    <col min="15" max="15" width="12.125" style="204" customWidth="1"/>
    <col min="16" max="16" width="7.125" style="204" customWidth="1"/>
    <col min="17" max="17" width="12.125" style="46" customWidth="1"/>
    <col min="18" max="18" width="16.625" style="46" customWidth="1"/>
    <col min="19" max="19" width="14" style="140" customWidth="1"/>
    <col min="20" max="21" width="9.75" style="142" customWidth="1"/>
    <col min="22" max="16384" width="9" style="140"/>
  </cols>
  <sheetData>
    <row r="1" spans="1:21" s="98" customFormat="1" x14ac:dyDescent="0.2">
      <c r="A1" s="521" t="s">
        <v>5</v>
      </c>
      <c r="B1" s="521" t="s">
        <v>4</v>
      </c>
      <c r="C1" s="530" t="s">
        <v>3</v>
      </c>
      <c r="D1" s="530"/>
      <c r="E1" s="530"/>
      <c r="F1" s="530"/>
      <c r="G1" s="530"/>
      <c r="H1" s="530"/>
      <c r="I1" s="530"/>
      <c r="J1" s="530"/>
      <c r="K1" s="530"/>
      <c r="L1" s="530"/>
      <c r="M1" s="530"/>
      <c r="N1" s="530"/>
      <c r="O1" s="530"/>
      <c r="P1" s="531" t="s">
        <v>2</v>
      </c>
      <c r="Q1" s="518" t="s">
        <v>6</v>
      </c>
      <c r="R1" s="521" t="s">
        <v>7</v>
      </c>
      <c r="T1" s="155"/>
      <c r="U1" s="155"/>
    </row>
    <row r="2" spans="1:21" s="98" customFormat="1" ht="28.5" x14ac:dyDescent="0.2">
      <c r="A2" s="522"/>
      <c r="B2" s="522"/>
      <c r="C2" s="427" t="s">
        <v>439</v>
      </c>
      <c r="D2" s="524" t="s">
        <v>23</v>
      </c>
      <c r="E2" s="427" t="s">
        <v>440</v>
      </c>
      <c r="F2" s="524" t="s">
        <v>23</v>
      </c>
      <c r="G2" s="427" t="s">
        <v>441</v>
      </c>
      <c r="H2" s="524" t="s">
        <v>23</v>
      </c>
      <c r="I2" s="427" t="s">
        <v>442</v>
      </c>
      <c r="J2" s="524" t="s">
        <v>23</v>
      </c>
      <c r="K2" s="427" t="s">
        <v>443</v>
      </c>
      <c r="L2" s="524" t="s">
        <v>23</v>
      </c>
      <c r="M2" s="427" t="s">
        <v>444</v>
      </c>
      <c r="N2" s="524" t="s">
        <v>23</v>
      </c>
      <c r="O2" s="526" t="s">
        <v>22</v>
      </c>
      <c r="P2" s="532"/>
      <c r="Q2" s="519"/>
      <c r="R2" s="522"/>
      <c r="T2" s="35" t="s">
        <v>445</v>
      </c>
      <c r="U2" s="75" t="s">
        <v>446</v>
      </c>
    </row>
    <row r="3" spans="1:21" s="98" customFormat="1" x14ac:dyDescent="0.2">
      <c r="A3" s="523"/>
      <c r="B3" s="523"/>
      <c r="C3" s="192">
        <v>1</v>
      </c>
      <c r="D3" s="525"/>
      <c r="E3" s="192">
        <v>1</v>
      </c>
      <c r="F3" s="525"/>
      <c r="G3" s="192">
        <v>5</v>
      </c>
      <c r="H3" s="525"/>
      <c r="I3" s="192">
        <v>1</v>
      </c>
      <c r="J3" s="525"/>
      <c r="K3" s="192">
        <v>3</v>
      </c>
      <c r="L3" s="525"/>
      <c r="M3" s="192">
        <v>1</v>
      </c>
      <c r="N3" s="525"/>
      <c r="O3" s="527"/>
      <c r="P3" s="533"/>
      <c r="Q3" s="520"/>
      <c r="R3" s="523"/>
      <c r="S3" s="95">
        <f>C3+E3+G3+I3+K3+M3</f>
        <v>12</v>
      </c>
      <c r="T3" s="35"/>
      <c r="U3" s="35"/>
    </row>
    <row r="4" spans="1:21" x14ac:dyDescent="0.2">
      <c r="A4" s="127"/>
      <c r="B4" s="136"/>
      <c r="C4" s="128"/>
      <c r="D4" s="120"/>
      <c r="E4" s="120"/>
      <c r="F4" s="120"/>
      <c r="G4" s="120"/>
      <c r="H4" s="120"/>
      <c r="I4" s="120"/>
      <c r="J4" s="120"/>
      <c r="K4" s="120"/>
      <c r="L4" s="120"/>
      <c r="M4" s="120"/>
      <c r="N4" s="120"/>
      <c r="O4" s="120"/>
      <c r="P4" s="154"/>
      <c r="Q4" s="141"/>
      <c r="R4" s="137"/>
    </row>
    <row r="5" spans="1:21" x14ac:dyDescent="0.2">
      <c r="A5" s="139"/>
      <c r="B5" s="81" t="s">
        <v>25</v>
      </c>
      <c r="C5" s="128"/>
      <c r="D5" s="120"/>
      <c r="E5" s="120"/>
      <c r="F5" s="120"/>
      <c r="G5" s="120"/>
      <c r="H5" s="120"/>
      <c r="I5" s="120"/>
      <c r="J5" s="120"/>
      <c r="K5" s="120"/>
      <c r="L5" s="120"/>
      <c r="M5" s="120"/>
      <c r="N5" s="120"/>
      <c r="O5" s="120"/>
      <c r="P5" s="154"/>
      <c r="Q5" s="141"/>
      <c r="R5" s="137"/>
    </row>
    <row r="6" spans="1:21" x14ac:dyDescent="0.2">
      <c r="A6" s="139"/>
      <c r="B6" s="136"/>
      <c r="C6" s="128"/>
      <c r="D6" s="120"/>
      <c r="E6" s="120"/>
      <c r="F6" s="120"/>
      <c r="G6" s="120"/>
      <c r="H6" s="120"/>
      <c r="I6" s="120"/>
      <c r="J6" s="120"/>
      <c r="K6" s="120"/>
      <c r="L6" s="120"/>
      <c r="M6" s="120"/>
      <c r="N6" s="120"/>
      <c r="O6" s="120"/>
      <c r="P6" s="154"/>
      <c r="Q6" s="141"/>
      <c r="R6" s="137"/>
    </row>
    <row r="7" spans="1:21" x14ac:dyDescent="0.2">
      <c r="A7" s="139"/>
      <c r="B7" s="88" t="s">
        <v>295</v>
      </c>
      <c r="C7" s="128"/>
      <c r="D7" s="120"/>
      <c r="E7" s="120"/>
      <c r="F7" s="120"/>
      <c r="G7" s="120"/>
      <c r="H7" s="120"/>
      <c r="I7" s="120"/>
      <c r="J7" s="120"/>
      <c r="K7" s="120"/>
      <c r="L7" s="120"/>
      <c r="M7" s="120"/>
      <c r="N7" s="120"/>
      <c r="O7" s="120"/>
      <c r="P7" s="154"/>
      <c r="Q7" s="141"/>
      <c r="R7" s="137"/>
    </row>
    <row r="8" spans="1:21" ht="15" customHeight="1" x14ac:dyDescent="0.2">
      <c r="A8" s="139"/>
      <c r="B8" s="136" t="s">
        <v>293</v>
      </c>
      <c r="C8" s="138"/>
      <c r="D8" s="138"/>
      <c r="E8" s="138"/>
      <c r="F8" s="138"/>
      <c r="G8" s="138"/>
      <c r="H8" s="138"/>
      <c r="I8" s="138"/>
      <c r="J8" s="138"/>
      <c r="K8" s="138"/>
      <c r="L8" s="138"/>
      <c r="M8" s="138"/>
      <c r="N8" s="138"/>
      <c r="O8" s="138"/>
      <c r="P8" s="154"/>
      <c r="Q8" s="141"/>
      <c r="R8" s="137"/>
    </row>
    <row r="9" spans="1:21" x14ac:dyDescent="0.2">
      <c r="A9" s="139"/>
      <c r="B9" s="136" t="s">
        <v>294</v>
      </c>
      <c r="C9" s="138"/>
      <c r="D9" s="138"/>
      <c r="E9" s="138"/>
      <c r="F9" s="138"/>
      <c r="G9" s="138"/>
      <c r="H9" s="138"/>
      <c r="I9" s="138"/>
      <c r="J9" s="138"/>
      <c r="K9" s="138"/>
      <c r="L9" s="138"/>
      <c r="M9" s="138"/>
      <c r="N9" s="138"/>
      <c r="O9" s="138"/>
      <c r="P9" s="154"/>
      <c r="Q9" s="141"/>
      <c r="R9" s="137"/>
    </row>
    <row r="10" spans="1:21" x14ac:dyDescent="0.2">
      <c r="A10" s="139"/>
      <c r="B10" s="24"/>
      <c r="C10" s="138"/>
      <c r="D10" s="138"/>
      <c r="E10" s="138"/>
      <c r="F10" s="138"/>
      <c r="G10" s="138"/>
      <c r="H10" s="138"/>
      <c r="I10" s="138"/>
      <c r="J10" s="138"/>
      <c r="K10" s="138"/>
      <c r="L10" s="138"/>
      <c r="M10" s="138"/>
      <c r="N10" s="138"/>
      <c r="O10" s="138"/>
      <c r="P10" s="154"/>
      <c r="Q10" s="141"/>
      <c r="R10" s="137"/>
    </row>
    <row r="11" spans="1:21" x14ac:dyDescent="0.2">
      <c r="A11" s="139"/>
      <c r="B11" s="82" t="s">
        <v>103</v>
      </c>
      <c r="C11" s="138"/>
      <c r="D11" s="138"/>
      <c r="E11" s="138"/>
      <c r="F11" s="138"/>
      <c r="G11" s="138"/>
      <c r="H11" s="138"/>
      <c r="I11" s="138"/>
      <c r="J11" s="138"/>
      <c r="K11" s="138"/>
      <c r="L11" s="138"/>
      <c r="M11" s="138"/>
      <c r="N11" s="138"/>
      <c r="O11" s="138"/>
      <c r="P11" s="154"/>
      <c r="Q11" s="141"/>
      <c r="R11" s="137"/>
    </row>
    <row r="12" spans="1:21" x14ac:dyDescent="0.2">
      <c r="A12" s="139"/>
      <c r="B12" s="24"/>
      <c r="C12" s="138"/>
      <c r="D12" s="138"/>
      <c r="E12" s="138"/>
      <c r="F12" s="138"/>
      <c r="G12" s="138"/>
      <c r="H12" s="138"/>
      <c r="I12" s="138"/>
      <c r="J12" s="138"/>
      <c r="K12" s="138"/>
      <c r="L12" s="138"/>
      <c r="M12" s="138"/>
      <c r="N12" s="138"/>
      <c r="O12" s="138"/>
      <c r="P12" s="154"/>
      <c r="Q12" s="141"/>
      <c r="R12" s="137"/>
    </row>
    <row r="13" spans="1:21" ht="28.5" customHeight="1" x14ac:dyDescent="0.2">
      <c r="A13" s="139"/>
      <c r="B13" s="82" t="s">
        <v>285</v>
      </c>
      <c r="C13" s="138">
        <f t="shared" ref="C13:C34" si="0">ROUND((2*$T13+2*$U13)*C$3,0)</f>
        <v>0</v>
      </c>
      <c r="D13" s="138">
        <f t="shared" ref="D13:D34" si="1">C13*$Q13</f>
        <v>0</v>
      </c>
      <c r="E13" s="138">
        <f t="shared" ref="E13:E34" si="2">ROUND((2*$T13+3*$U13)*E$3,0)</f>
        <v>0</v>
      </c>
      <c r="F13" s="138">
        <f t="shared" ref="F13:F34" si="3">E13*$Q13</f>
        <v>0</v>
      </c>
      <c r="G13" s="138">
        <f t="shared" ref="G13:G34" si="4">ROUND((2*$T13+4*$U13)*G$3,0)</f>
        <v>0</v>
      </c>
      <c r="H13" s="138">
        <f t="shared" ref="H13:H34" si="5">G13*$Q13</f>
        <v>0</v>
      </c>
      <c r="I13" s="138">
        <f t="shared" ref="I13:I34" si="6">ROUND((2*$T13+5*$U13)*I$3,0)</f>
        <v>0</v>
      </c>
      <c r="J13" s="138">
        <f t="shared" ref="J13:J34" si="7">I13*$Q13</f>
        <v>0</v>
      </c>
      <c r="K13" s="138">
        <f t="shared" ref="K13:K34" si="8">ROUND((2*$T13+6*$U13)*K$3,0)</f>
        <v>0</v>
      </c>
      <c r="L13" s="138">
        <f t="shared" ref="L13:L34" si="9">K13*$Q13</f>
        <v>0</v>
      </c>
      <c r="M13" s="138">
        <f t="shared" ref="M13:M34" si="10">ROUND((2*$T13+7*$U13)*M$3,0)</f>
        <v>0</v>
      </c>
      <c r="N13" s="138">
        <f t="shared" ref="N13:N34" si="11">M13*$Q13</f>
        <v>0</v>
      </c>
      <c r="O13" s="138">
        <f t="shared" ref="O13:O34" si="12">C13+E13+G13+I13+K13+M13</f>
        <v>0</v>
      </c>
      <c r="P13" s="154"/>
      <c r="Q13" s="141"/>
      <c r="R13" s="137"/>
    </row>
    <row r="14" spans="1:21" x14ac:dyDescent="0.2">
      <c r="A14" s="139"/>
      <c r="B14" s="24"/>
      <c r="C14" s="138">
        <f t="shared" si="0"/>
        <v>0</v>
      </c>
      <c r="D14" s="138">
        <f t="shared" si="1"/>
        <v>0</v>
      </c>
      <c r="E14" s="138">
        <f t="shared" si="2"/>
        <v>0</v>
      </c>
      <c r="F14" s="138">
        <f t="shared" si="3"/>
        <v>0</v>
      </c>
      <c r="G14" s="138">
        <f t="shared" si="4"/>
        <v>0</v>
      </c>
      <c r="H14" s="138">
        <f t="shared" si="5"/>
        <v>0</v>
      </c>
      <c r="I14" s="138">
        <f t="shared" si="6"/>
        <v>0</v>
      </c>
      <c r="J14" s="138">
        <f t="shared" si="7"/>
        <v>0</v>
      </c>
      <c r="K14" s="138">
        <f t="shared" si="8"/>
        <v>0</v>
      </c>
      <c r="L14" s="138">
        <f t="shared" si="9"/>
        <v>0</v>
      </c>
      <c r="M14" s="138">
        <f t="shared" si="10"/>
        <v>0</v>
      </c>
      <c r="N14" s="138">
        <f t="shared" si="11"/>
        <v>0</v>
      </c>
      <c r="O14" s="138">
        <f t="shared" si="12"/>
        <v>0</v>
      </c>
      <c r="P14" s="154"/>
      <c r="Q14" s="141"/>
      <c r="R14" s="137"/>
    </row>
    <row r="15" spans="1:21" x14ac:dyDescent="0.2">
      <c r="A15" s="139" t="s">
        <v>66</v>
      </c>
      <c r="B15" s="136" t="s">
        <v>104</v>
      </c>
      <c r="C15" s="217">
        <f t="shared" si="0"/>
        <v>14</v>
      </c>
      <c r="D15" s="217">
        <f t="shared" si="1"/>
        <v>0</v>
      </c>
      <c r="E15" s="217">
        <f t="shared" si="2"/>
        <v>17</v>
      </c>
      <c r="F15" s="217">
        <f t="shared" si="3"/>
        <v>0</v>
      </c>
      <c r="G15" s="217">
        <f t="shared" si="4"/>
        <v>100</v>
      </c>
      <c r="H15" s="217">
        <f t="shared" si="5"/>
        <v>0</v>
      </c>
      <c r="I15" s="217">
        <f t="shared" si="6"/>
        <v>23</v>
      </c>
      <c r="J15" s="217">
        <f t="shared" si="7"/>
        <v>0</v>
      </c>
      <c r="K15" s="217">
        <f t="shared" si="8"/>
        <v>78</v>
      </c>
      <c r="L15" s="217">
        <f t="shared" si="9"/>
        <v>0</v>
      </c>
      <c r="M15" s="217">
        <f t="shared" si="10"/>
        <v>29</v>
      </c>
      <c r="N15" s="217">
        <f t="shared" si="11"/>
        <v>0</v>
      </c>
      <c r="O15" s="217">
        <f>C15+E15+G15+I15+K15+M15</f>
        <v>261</v>
      </c>
      <c r="P15" s="154" t="s">
        <v>96</v>
      </c>
      <c r="Q15" s="141"/>
      <c r="R15" s="137">
        <f>O15*Q15</f>
        <v>0</v>
      </c>
      <c r="T15" s="142">
        <v>4</v>
      </c>
      <c r="U15" s="213">
        <v>3</v>
      </c>
    </row>
    <row r="16" spans="1:21" x14ac:dyDescent="0.2">
      <c r="A16" s="139"/>
      <c r="B16" s="82"/>
      <c r="C16" s="138">
        <f t="shared" si="0"/>
        <v>0</v>
      </c>
      <c r="D16" s="138">
        <f t="shared" si="1"/>
        <v>0</v>
      </c>
      <c r="E16" s="138">
        <f t="shared" si="2"/>
        <v>0</v>
      </c>
      <c r="F16" s="138">
        <f t="shared" si="3"/>
        <v>0</v>
      </c>
      <c r="G16" s="138">
        <f t="shared" si="4"/>
        <v>0</v>
      </c>
      <c r="H16" s="138">
        <f t="shared" si="5"/>
        <v>0</v>
      </c>
      <c r="I16" s="138">
        <f t="shared" si="6"/>
        <v>0</v>
      </c>
      <c r="J16" s="138">
        <f t="shared" si="7"/>
        <v>0</v>
      </c>
      <c r="K16" s="138">
        <f t="shared" si="8"/>
        <v>0</v>
      </c>
      <c r="L16" s="138">
        <f t="shared" si="9"/>
        <v>0</v>
      </c>
      <c r="M16" s="138">
        <f t="shared" si="10"/>
        <v>0</v>
      </c>
      <c r="N16" s="138">
        <f t="shared" si="11"/>
        <v>0</v>
      </c>
      <c r="O16" s="138">
        <f t="shared" si="12"/>
        <v>0</v>
      </c>
      <c r="P16" s="154"/>
      <c r="Q16" s="141"/>
      <c r="R16" s="137"/>
    </row>
    <row r="17" spans="1:21" ht="15" customHeight="1" x14ac:dyDescent="0.2">
      <c r="A17" s="139"/>
      <c r="B17" s="82" t="s">
        <v>291</v>
      </c>
      <c r="C17" s="138">
        <f t="shared" si="0"/>
        <v>0</v>
      </c>
      <c r="D17" s="138">
        <f t="shared" si="1"/>
        <v>0</v>
      </c>
      <c r="E17" s="138">
        <f t="shared" si="2"/>
        <v>0</v>
      </c>
      <c r="F17" s="138">
        <f t="shared" si="3"/>
        <v>0</v>
      </c>
      <c r="G17" s="138">
        <f t="shared" si="4"/>
        <v>0</v>
      </c>
      <c r="H17" s="138">
        <f t="shared" si="5"/>
        <v>0</v>
      </c>
      <c r="I17" s="138">
        <f t="shared" si="6"/>
        <v>0</v>
      </c>
      <c r="J17" s="138">
        <f t="shared" si="7"/>
        <v>0</v>
      </c>
      <c r="K17" s="138">
        <f t="shared" si="8"/>
        <v>0</v>
      </c>
      <c r="L17" s="138">
        <f t="shared" si="9"/>
        <v>0</v>
      </c>
      <c r="M17" s="138">
        <f t="shared" si="10"/>
        <v>0</v>
      </c>
      <c r="N17" s="138">
        <f t="shared" si="11"/>
        <v>0</v>
      </c>
      <c r="O17" s="138">
        <f t="shared" si="12"/>
        <v>0</v>
      </c>
      <c r="P17" s="154"/>
      <c r="Q17" s="141"/>
      <c r="R17" s="137"/>
    </row>
    <row r="18" spans="1:21" x14ac:dyDescent="0.2">
      <c r="A18" s="139"/>
      <c r="B18" s="82"/>
      <c r="C18" s="138">
        <f t="shared" si="0"/>
        <v>0</v>
      </c>
      <c r="D18" s="138">
        <f t="shared" si="1"/>
        <v>0</v>
      </c>
      <c r="E18" s="138">
        <f t="shared" si="2"/>
        <v>0</v>
      </c>
      <c r="F18" s="138">
        <f t="shared" si="3"/>
        <v>0</v>
      </c>
      <c r="G18" s="138">
        <f t="shared" si="4"/>
        <v>0</v>
      </c>
      <c r="H18" s="138">
        <f t="shared" si="5"/>
        <v>0</v>
      </c>
      <c r="I18" s="138">
        <f t="shared" si="6"/>
        <v>0</v>
      </c>
      <c r="J18" s="138">
        <f t="shared" si="7"/>
        <v>0</v>
      </c>
      <c r="K18" s="138">
        <f t="shared" si="8"/>
        <v>0</v>
      </c>
      <c r="L18" s="138">
        <f t="shared" si="9"/>
        <v>0</v>
      </c>
      <c r="M18" s="138">
        <f t="shared" si="10"/>
        <v>0</v>
      </c>
      <c r="N18" s="138">
        <f t="shared" si="11"/>
        <v>0</v>
      </c>
      <c r="O18" s="138">
        <f t="shared" si="12"/>
        <v>0</v>
      </c>
      <c r="P18" s="154"/>
      <c r="Q18" s="141"/>
      <c r="R18" s="137"/>
    </row>
    <row r="19" spans="1:21" x14ac:dyDescent="0.2">
      <c r="A19" s="139" t="s">
        <v>67</v>
      </c>
      <c r="B19" s="136" t="s">
        <v>188</v>
      </c>
      <c r="C19" s="138">
        <f t="shared" si="0"/>
        <v>40</v>
      </c>
      <c r="D19" s="138">
        <f t="shared" si="1"/>
        <v>0</v>
      </c>
      <c r="E19" s="138">
        <f t="shared" si="2"/>
        <v>49</v>
      </c>
      <c r="F19" s="138">
        <f t="shared" si="3"/>
        <v>0</v>
      </c>
      <c r="G19" s="138">
        <f t="shared" si="4"/>
        <v>290</v>
      </c>
      <c r="H19" s="138">
        <f t="shared" si="5"/>
        <v>0</v>
      </c>
      <c r="I19" s="138">
        <f t="shared" si="6"/>
        <v>67</v>
      </c>
      <c r="J19" s="138">
        <f t="shared" si="7"/>
        <v>0</v>
      </c>
      <c r="K19" s="138">
        <f t="shared" si="8"/>
        <v>228</v>
      </c>
      <c r="L19" s="138">
        <f t="shared" si="9"/>
        <v>0</v>
      </c>
      <c r="M19" s="138">
        <f t="shared" si="10"/>
        <v>85</v>
      </c>
      <c r="N19" s="138">
        <f t="shared" si="11"/>
        <v>0</v>
      </c>
      <c r="O19" s="138">
        <f>C19+E19+G19+I19+K19+M19</f>
        <v>759</v>
      </c>
      <c r="P19" s="154" t="s">
        <v>96</v>
      </c>
      <c r="Q19" s="141"/>
      <c r="R19" s="137">
        <f t="shared" ref="R19" si="13">O19*Q19</f>
        <v>0</v>
      </c>
      <c r="T19" s="142">
        <v>11</v>
      </c>
      <c r="U19" s="142">
        <v>9</v>
      </c>
    </row>
    <row r="20" spans="1:21" x14ac:dyDescent="0.2">
      <c r="A20" s="139"/>
      <c r="B20" s="82"/>
      <c r="C20" s="138">
        <f t="shared" si="0"/>
        <v>0</v>
      </c>
      <c r="D20" s="138">
        <f t="shared" si="1"/>
        <v>0</v>
      </c>
      <c r="E20" s="138">
        <f t="shared" si="2"/>
        <v>0</v>
      </c>
      <c r="F20" s="138">
        <f t="shared" si="3"/>
        <v>0</v>
      </c>
      <c r="G20" s="138">
        <f t="shared" si="4"/>
        <v>0</v>
      </c>
      <c r="H20" s="138">
        <f t="shared" si="5"/>
        <v>0</v>
      </c>
      <c r="I20" s="138">
        <f t="shared" si="6"/>
        <v>0</v>
      </c>
      <c r="J20" s="138">
        <f t="shared" si="7"/>
        <v>0</v>
      </c>
      <c r="K20" s="138">
        <f t="shared" si="8"/>
        <v>0</v>
      </c>
      <c r="L20" s="138">
        <f t="shared" si="9"/>
        <v>0</v>
      </c>
      <c r="M20" s="138">
        <f t="shared" si="10"/>
        <v>0</v>
      </c>
      <c r="N20" s="138">
        <f t="shared" si="11"/>
        <v>0</v>
      </c>
      <c r="O20" s="138">
        <f t="shared" si="12"/>
        <v>0</v>
      </c>
      <c r="P20" s="154"/>
      <c r="Q20" s="141"/>
      <c r="R20" s="137"/>
    </row>
    <row r="21" spans="1:21" ht="15" customHeight="1" x14ac:dyDescent="0.2">
      <c r="A21" s="139"/>
      <c r="B21" s="82" t="s">
        <v>288</v>
      </c>
      <c r="C21" s="138">
        <f t="shared" si="0"/>
        <v>0</v>
      </c>
      <c r="D21" s="138">
        <f t="shared" si="1"/>
        <v>0</v>
      </c>
      <c r="E21" s="138">
        <f t="shared" si="2"/>
        <v>0</v>
      </c>
      <c r="F21" s="138">
        <f t="shared" si="3"/>
        <v>0</v>
      </c>
      <c r="G21" s="138">
        <f t="shared" si="4"/>
        <v>0</v>
      </c>
      <c r="H21" s="138">
        <f t="shared" si="5"/>
        <v>0</v>
      </c>
      <c r="I21" s="138">
        <f t="shared" si="6"/>
        <v>0</v>
      </c>
      <c r="J21" s="138">
        <f t="shared" si="7"/>
        <v>0</v>
      </c>
      <c r="K21" s="138">
        <f t="shared" si="8"/>
        <v>0</v>
      </c>
      <c r="L21" s="138">
        <f t="shared" si="9"/>
        <v>0</v>
      </c>
      <c r="M21" s="138">
        <f t="shared" si="10"/>
        <v>0</v>
      </c>
      <c r="N21" s="138">
        <f t="shared" si="11"/>
        <v>0</v>
      </c>
      <c r="O21" s="138">
        <f t="shared" si="12"/>
        <v>0</v>
      </c>
      <c r="P21" s="154"/>
      <c r="Q21" s="141"/>
      <c r="R21" s="137"/>
    </row>
    <row r="22" spans="1:21" x14ac:dyDescent="0.2">
      <c r="A22" s="139"/>
      <c r="B22" s="82"/>
      <c r="C22" s="138">
        <f t="shared" si="0"/>
        <v>0</v>
      </c>
      <c r="D22" s="138">
        <f t="shared" si="1"/>
        <v>0</v>
      </c>
      <c r="E22" s="138">
        <f t="shared" si="2"/>
        <v>0</v>
      </c>
      <c r="F22" s="138">
        <f t="shared" si="3"/>
        <v>0</v>
      </c>
      <c r="G22" s="138">
        <f t="shared" si="4"/>
        <v>0</v>
      </c>
      <c r="H22" s="138">
        <f t="shared" si="5"/>
        <v>0</v>
      </c>
      <c r="I22" s="138">
        <f t="shared" si="6"/>
        <v>0</v>
      </c>
      <c r="J22" s="138">
        <f t="shared" si="7"/>
        <v>0</v>
      </c>
      <c r="K22" s="138">
        <f t="shared" si="8"/>
        <v>0</v>
      </c>
      <c r="L22" s="138">
        <f t="shared" si="9"/>
        <v>0</v>
      </c>
      <c r="M22" s="138">
        <f t="shared" si="10"/>
        <v>0</v>
      </c>
      <c r="N22" s="138">
        <f t="shared" si="11"/>
        <v>0</v>
      </c>
      <c r="O22" s="138">
        <f t="shared" si="12"/>
        <v>0</v>
      </c>
      <c r="P22" s="154"/>
      <c r="Q22" s="141"/>
      <c r="R22" s="137"/>
    </row>
    <row r="23" spans="1:21" x14ac:dyDescent="0.2">
      <c r="A23" s="139" t="s">
        <v>68</v>
      </c>
      <c r="B23" s="136" t="s">
        <v>105</v>
      </c>
      <c r="C23" s="217">
        <f t="shared" si="0"/>
        <v>102</v>
      </c>
      <c r="D23" s="217">
        <f t="shared" si="1"/>
        <v>0</v>
      </c>
      <c r="E23" s="217">
        <f t="shared" si="2"/>
        <v>127</v>
      </c>
      <c r="F23" s="217">
        <f t="shared" si="3"/>
        <v>0</v>
      </c>
      <c r="G23" s="217">
        <f t="shared" si="4"/>
        <v>758</v>
      </c>
      <c r="H23" s="217">
        <f t="shared" si="5"/>
        <v>0</v>
      </c>
      <c r="I23" s="217">
        <f t="shared" si="6"/>
        <v>177</v>
      </c>
      <c r="J23" s="217">
        <f t="shared" si="7"/>
        <v>0</v>
      </c>
      <c r="K23" s="217">
        <f t="shared" si="8"/>
        <v>605</v>
      </c>
      <c r="L23" s="217">
        <f t="shared" si="9"/>
        <v>0</v>
      </c>
      <c r="M23" s="217">
        <f t="shared" si="10"/>
        <v>227</v>
      </c>
      <c r="N23" s="217">
        <f t="shared" si="11"/>
        <v>0</v>
      </c>
      <c r="O23" s="217">
        <f>C23+E23+G23+I23+K23+M23</f>
        <v>1996</v>
      </c>
      <c r="P23" s="154" t="s">
        <v>96</v>
      </c>
      <c r="Q23" s="141"/>
      <c r="R23" s="137">
        <f t="shared" ref="R23" si="14">O23*Q23</f>
        <v>0</v>
      </c>
      <c r="T23" s="213">
        <f>(14*25+10*27)/24</f>
        <v>25.833333333333332</v>
      </c>
      <c r="U23" s="213">
        <f>(29*25+26*25)/55</f>
        <v>25</v>
      </c>
    </row>
    <row r="24" spans="1:21" x14ac:dyDescent="0.2">
      <c r="A24" s="139"/>
      <c r="B24" s="136"/>
      <c r="C24" s="138">
        <f t="shared" si="0"/>
        <v>0</v>
      </c>
      <c r="D24" s="138">
        <f t="shared" si="1"/>
        <v>0</v>
      </c>
      <c r="E24" s="138">
        <f t="shared" si="2"/>
        <v>0</v>
      </c>
      <c r="F24" s="138">
        <f t="shared" si="3"/>
        <v>0</v>
      </c>
      <c r="G24" s="138">
        <f t="shared" si="4"/>
        <v>0</v>
      </c>
      <c r="H24" s="138">
        <f t="shared" si="5"/>
        <v>0</v>
      </c>
      <c r="I24" s="138">
        <f t="shared" si="6"/>
        <v>0</v>
      </c>
      <c r="J24" s="138">
        <f t="shared" si="7"/>
        <v>0</v>
      </c>
      <c r="K24" s="138">
        <f t="shared" si="8"/>
        <v>0</v>
      </c>
      <c r="L24" s="138">
        <f t="shared" si="9"/>
        <v>0</v>
      </c>
      <c r="M24" s="138">
        <f t="shared" si="10"/>
        <v>0</v>
      </c>
      <c r="N24" s="138">
        <f t="shared" si="11"/>
        <v>0</v>
      </c>
      <c r="O24" s="138">
        <f t="shared" si="12"/>
        <v>0</v>
      </c>
      <c r="P24" s="154"/>
      <c r="Q24" s="141"/>
      <c r="R24" s="137"/>
    </row>
    <row r="25" spans="1:21" x14ac:dyDescent="0.2">
      <c r="A25" s="139" t="s">
        <v>69</v>
      </c>
      <c r="B25" s="136" t="s">
        <v>187</v>
      </c>
      <c r="C25" s="138">
        <f t="shared" si="0"/>
        <v>6</v>
      </c>
      <c r="D25" s="138">
        <f t="shared" si="1"/>
        <v>0</v>
      </c>
      <c r="E25" s="138">
        <f t="shared" si="2"/>
        <v>7</v>
      </c>
      <c r="F25" s="138">
        <f t="shared" si="3"/>
        <v>0</v>
      </c>
      <c r="G25" s="138">
        <f t="shared" si="4"/>
        <v>40</v>
      </c>
      <c r="H25" s="138">
        <f t="shared" si="5"/>
        <v>0</v>
      </c>
      <c r="I25" s="138">
        <f t="shared" si="6"/>
        <v>9</v>
      </c>
      <c r="J25" s="138">
        <f t="shared" si="7"/>
        <v>0</v>
      </c>
      <c r="K25" s="138">
        <f t="shared" si="8"/>
        <v>30</v>
      </c>
      <c r="L25" s="138">
        <f t="shared" si="9"/>
        <v>0</v>
      </c>
      <c r="M25" s="138">
        <f t="shared" si="10"/>
        <v>11</v>
      </c>
      <c r="N25" s="138">
        <f t="shared" si="11"/>
        <v>0</v>
      </c>
      <c r="O25" s="138">
        <f>C25+E25+G25+I25+K25+M25</f>
        <v>103</v>
      </c>
      <c r="P25" s="154" t="s">
        <v>96</v>
      </c>
      <c r="Q25" s="141"/>
      <c r="R25" s="137">
        <f t="shared" ref="R25" si="15">O25*Q25</f>
        <v>0</v>
      </c>
      <c r="T25" s="142">
        <v>2</v>
      </c>
      <c r="U25" s="142">
        <v>1</v>
      </c>
    </row>
    <row r="26" spans="1:21" x14ac:dyDescent="0.2">
      <c r="A26" s="139"/>
      <c r="B26" s="136"/>
      <c r="C26" s="138">
        <f t="shared" si="0"/>
        <v>0</v>
      </c>
      <c r="D26" s="138">
        <f t="shared" si="1"/>
        <v>0</v>
      </c>
      <c r="E26" s="138">
        <f t="shared" si="2"/>
        <v>0</v>
      </c>
      <c r="F26" s="138">
        <f t="shared" si="3"/>
        <v>0</v>
      </c>
      <c r="G26" s="138">
        <f t="shared" si="4"/>
        <v>0</v>
      </c>
      <c r="H26" s="138">
        <f t="shared" si="5"/>
        <v>0</v>
      </c>
      <c r="I26" s="138">
        <f t="shared" si="6"/>
        <v>0</v>
      </c>
      <c r="J26" s="138">
        <f t="shared" si="7"/>
        <v>0</v>
      </c>
      <c r="K26" s="138">
        <f t="shared" si="8"/>
        <v>0</v>
      </c>
      <c r="L26" s="138">
        <f t="shared" si="9"/>
        <v>0</v>
      </c>
      <c r="M26" s="138">
        <f t="shared" si="10"/>
        <v>0</v>
      </c>
      <c r="N26" s="138">
        <f t="shared" si="11"/>
        <v>0</v>
      </c>
      <c r="O26" s="138">
        <f t="shared" si="12"/>
        <v>0</v>
      </c>
      <c r="P26" s="154"/>
      <c r="Q26" s="141"/>
      <c r="R26" s="137"/>
    </row>
    <row r="27" spans="1:21" x14ac:dyDescent="0.2">
      <c r="A27" s="139" t="s">
        <v>70</v>
      </c>
      <c r="B27" s="136" t="s">
        <v>282</v>
      </c>
      <c r="C27" s="217">
        <f t="shared" si="0"/>
        <v>2</v>
      </c>
      <c r="D27" s="217">
        <f t="shared" si="1"/>
        <v>0</v>
      </c>
      <c r="E27" s="217">
        <f t="shared" si="2"/>
        <v>2</v>
      </c>
      <c r="F27" s="217">
        <f t="shared" si="3"/>
        <v>0</v>
      </c>
      <c r="G27" s="217">
        <f t="shared" si="4"/>
        <v>10</v>
      </c>
      <c r="H27" s="217">
        <f t="shared" si="5"/>
        <v>0</v>
      </c>
      <c r="I27" s="217">
        <f t="shared" si="6"/>
        <v>2</v>
      </c>
      <c r="J27" s="217">
        <f t="shared" si="7"/>
        <v>0</v>
      </c>
      <c r="K27" s="217">
        <f t="shared" si="8"/>
        <v>6</v>
      </c>
      <c r="L27" s="217">
        <f t="shared" si="9"/>
        <v>0</v>
      </c>
      <c r="M27" s="217">
        <f t="shared" si="10"/>
        <v>2</v>
      </c>
      <c r="N27" s="217">
        <f t="shared" si="11"/>
        <v>0</v>
      </c>
      <c r="O27" s="217">
        <f>C27+E27+G27+I27+K27+M27</f>
        <v>24</v>
      </c>
      <c r="P27" s="154" t="s">
        <v>96</v>
      </c>
      <c r="Q27" s="141"/>
      <c r="R27" s="137">
        <f t="shared" ref="R27" si="16">O27*Q27</f>
        <v>0</v>
      </c>
      <c r="T27" s="213">
        <v>1</v>
      </c>
      <c r="U27" s="213">
        <v>0</v>
      </c>
    </row>
    <row r="28" spans="1:21" x14ac:dyDescent="0.2">
      <c r="A28" s="139"/>
      <c r="B28" s="136"/>
      <c r="C28" s="138">
        <f t="shared" si="0"/>
        <v>0</v>
      </c>
      <c r="D28" s="138">
        <f t="shared" si="1"/>
        <v>0</v>
      </c>
      <c r="E28" s="138">
        <f t="shared" si="2"/>
        <v>0</v>
      </c>
      <c r="F28" s="138">
        <f t="shared" si="3"/>
        <v>0</v>
      </c>
      <c r="G28" s="138">
        <f t="shared" si="4"/>
        <v>0</v>
      </c>
      <c r="H28" s="138">
        <f t="shared" si="5"/>
        <v>0</v>
      </c>
      <c r="I28" s="138">
        <f t="shared" si="6"/>
        <v>0</v>
      </c>
      <c r="J28" s="138">
        <f t="shared" si="7"/>
        <v>0</v>
      </c>
      <c r="K28" s="138">
        <f t="shared" si="8"/>
        <v>0</v>
      </c>
      <c r="L28" s="138">
        <f t="shared" si="9"/>
        <v>0</v>
      </c>
      <c r="M28" s="138">
        <f t="shared" si="10"/>
        <v>0</v>
      </c>
      <c r="N28" s="138">
        <f t="shared" si="11"/>
        <v>0</v>
      </c>
      <c r="O28" s="138">
        <f t="shared" si="12"/>
        <v>0</v>
      </c>
      <c r="P28" s="154"/>
      <c r="Q28" s="141"/>
      <c r="R28" s="137"/>
    </row>
    <row r="29" spans="1:21" x14ac:dyDescent="0.2">
      <c r="A29" s="139" t="s">
        <v>71</v>
      </c>
      <c r="B29" s="136" t="s">
        <v>283</v>
      </c>
      <c r="C29" s="138">
        <f t="shared" si="0"/>
        <v>18</v>
      </c>
      <c r="D29" s="138">
        <f t="shared" si="1"/>
        <v>0</v>
      </c>
      <c r="E29" s="138">
        <f t="shared" si="2"/>
        <v>23</v>
      </c>
      <c r="F29" s="138">
        <f t="shared" si="3"/>
        <v>0</v>
      </c>
      <c r="G29" s="138">
        <f t="shared" si="4"/>
        <v>140</v>
      </c>
      <c r="H29" s="138">
        <f t="shared" si="5"/>
        <v>0</v>
      </c>
      <c r="I29" s="138">
        <f t="shared" si="6"/>
        <v>33</v>
      </c>
      <c r="J29" s="138">
        <f t="shared" si="7"/>
        <v>0</v>
      </c>
      <c r="K29" s="138">
        <f t="shared" si="8"/>
        <v>114</v>
      </c>
      <c r="L29" s="138">
        <f t="shared" si="9"/>
        <v>0</v>
      </c>
      <c r="M29" s="138">
        <f t="shared" si="10"/>
        <v>43</v>
      </c>
      <c r="N29" s="138">
        <f t="shared" si="11"/>
        <v>0</v>
      </c>
      <c r="O29" s="138">
        <f>C29+E29+G29+I29+K29+M29</f>
        <v>371</v>
      </c>
      <c r="P29" s="154" t="s">
        <v>96</v>
      </c>
      <c r="Q29" s="141"/>
      <c r="R29" s="137">
        <f t="shared" ref="R29" si="17">O29*Q29</f>
        <v>0</v>
      </c>
      <c r="T29" s="142">
        <v>4</v>
      </c>
      <c r="U29" s="142">
        <v>5</v>
      </c>
    </row>
    <row r="30" spans="1:21" x14ac:dyDescent="0.2">
      <c r="A30" s="139"/>
      <c r="B30" s="136"/>
      <c r="C30" s="138">
        <f t="shared" si="0"/>
        <v>0</v>
      </c>
      <c r="D30" s="138">
        <f t="shared" si="1"/>
        <v>0</v>
      </c>
      <c r="E30" s="138">
        <f t="shared" si="2"/>
        <v>0</v>
      </c>
      <c r="F30" s="138">
        <f t="shared" si="3"/>
        <v>0</v>
      </c>
      <c r="G30" s="138">
        <f t="shared" si="4"/>
        <v>0</v>
      </c>
      <c r="H30" s="138">
        <f t="shared" si="5"/>
        <v>0</v>
      </c>
      <c r="I30" s="138">
        <f t="shared" si="6"/>
        <v>0</v>
      </c>
      <c r="J30" s="138">
        <f t="shared" si="7"/>
        <v>0</v>
      </c>
      <c r="K30" s="138">
        <f t="shared" si="8"/>
        <v>0</v>
      </c>
      <c r="L30" s="138">
        <f t="shared" si="9"/>
        <v>0</v>
      </c>
      <c r="M30" s="138">
        <f t="shared" si="10"/>
        <v>0</v>
      </c>
      <c r="N30" s="138">
        <f t="shared" si="11"/>
        <v>0</v>
      </c>
      <c r="O30" s="138">
        <f t="shared" si="12"/>
        <v>0</v>
      </c>
      <c r="P30" s="154"/>
      <c r="Q30" s="141"/>
      <c r="R30" s="137"/>
    </row>
    <row r="31" spans="1:21" x14ac:dyDescent="0.2">
      <c r="A31" s="139" t="s">
        <v>72</v>
      </c>
      <c r="B31" s="136" t="s">
        <v>106</v>
      </c>
      <c r="C31" s="138">
        <f t="shared" si="0"/>
        <v>7</v>
      </c>
      <c r="D31" s="138">
        <f t="shared" si="1"/>
        <v>0</v>
      </c>
      <c r="E31" s="138">
        <f t="shared" si="2"/>
        <v>9</v>
      </c>
      <c r="F31" s="138">
        <f t="shared" si="3"/>
        <v>0</v>
      </c>
      <c r="G31" s="138">
        <f t="shared" si="4"/>
        <v>51</v>
      </c>
      <c r="H31" s="138">
        <f t="shared" si="5"/>
        <v>0</v>
      </c>
      <c r="I31" s="138">
        <f t="shared" si="6"/>
        <v>12</v>
      </c>
      <c r="J31" s="138">
        <f t="shared" si="7"/>
        <v>0</v>
      </c>
      <c r="K31" s="138">
        <f t="shared" si="8"/>
        <v>39</v>
      </c>
      <c r="L31" s="138">
        <f t="shared" si="9"/>
        <v>0</v>
      </c>
      <c r="M31" s="138">
        <f t="shared" si="10"/>
        <v>15</v>
      </c>
      <c r="N31" s="138">
        <f t="shared" si="11"/>
        <v>0</v>
      </c>
      <c r="O31" s="138">
        <f>C31+E31+G31+I31+K31+M31</f>
        <v>133</v>
      </c>
      <c r="P31" s="154" t="s">
        <v>96</v>
      </c>
      <c r="Q31" s="141"/>
      <c r="R31" s="137">
        <f t="shared" ref="R31" si="18">O31*Q31</f>
        <v>0</v>
      </c>
      <c r="T31" s="142">
        <f>(14*2+10*2)/24</f>
        <v>2</v>
      </c>
      <c r="U31" s="142">
        <f>(29*2+26*1)/55</f>
        <v>1.5272727272727273</v>
      </c>
    </row>
    <row r="32" spans="1:21" x14ac:dyDescent="0.2">
      <c r="A32" s="139"/>
      <c r="B32" s="136"/>
      <c r="C32" s="138">
        <f t="shared" si="0"/>
        <v>0</v>
      </c>
      <c r="D32" s="138">
        <f t="shared" ref="D32:D33" si="19">C32*$Q32</f>
        <v>0</v>
      </c>
      <c r="E32" s="138">
        <f t="shared" si="2"/>
        <v>0</v>
      </c>
      <c r="F32" s="138">
        <f t="shared" ref="F32:F33" si="20">E32*$Q32</f>
        <v>0</v>
      </c>
      <c r="G32" s="138">
        <f t="shared" si="4"/>
        <v>0</v>
      </c>
      <c r="H32" s="138">
        <f t="shared" ref="H32:H33" si="21">G32*$Q32</f>
        <v>0</v>
      </c>
      <c r="I32" s="138">
        <f t="shared" si="6"/>
        <v>0</v>
      </c>
      <c r="J32" s="138">
        <f t="shared" ref="J32:J33" si="22">I32*$Q32</f>
        <v>0</v>
      </c>
      <c r="K32" s="138">
        <f t="shared" si="8"/>
        <v>0</v>
      </c>
      <c r="L32" s="138">
        <f t="shared" ref="L32:L33" si="23">K32*$Q32</f>
        <v>0</v>
      </c>
      <c r="M32" s="138">
        <f t="shared" si="10"/>
        <v>0</v>
      </c>
      <c r="N32" s="138">
        <f t="shared" ref="N32:N33" si="24">M32*$Q32</f>
        <v>0</v>
      </c>
      <c r="O32" s="138">
        <f t="shared" ref="O32" si="25">C32+E32+G32+I32+K32+M32</f>
        <v>0</v>
      </c>
      <c r="P32" s="154"/>
      <c r="Q32" s="141"/>
      <c r="R32" s="137"/>
    </row>
    <row r="33" spans="1:21" x14ac:dyDescent="0.2">
      <c r="A33" s="220" t="s">
        <v>73</v>
      </c>
      <c r="B33" s="221" t="s">
        <v>905</v>
      </c>
      <c r="C33" s="217">
        <f t="shared" si="0"/>
        <v>4</v>
      </c>
      <c r="D33" s="217">
        <f t="shared" si="19"/>
        <v>0</v>
      </c>
      <c r="E33" s="217">
        <f t="shared" si="2"/>
        <v>5</v>
      </c>
      <c r="F33" s="217">
        <f t="shared" si="20"/>
        <v>0</v>
      </c>
      <c r="G33" s="217">
        <f t="shared" si="4"/>
        <v>30</v>
      </c>
      <c r="H33" s="217">
        <f t="shared" si="21"/>
        <v>0</v>
      </c>
      <c r="I33" s="217">
        <f t="shared" si="6"/>
        <v>7</v>
      </c>
      <c r="J33" s="217">
        <f t="shared" si="22"/>
        <v>0</v>
      </c>
      <c r="K33" s="217">
        <f t="shared" si="8"/>
        <v>24</v>
      </c>
      <c r="L33" s="217">
        <f t="shared" si="23"/>
        <v>0</v>
      </c>
      <c r="M33" s="217">
        <f t="shared" si="10"/>
        <v>9</v>
      </c>
      <c r="N33" s="217">
        <f t="shared" si="24"/>
        <v>0</v>
      </c>
      <c r="O33" s="217">
        <f>C33+E33+G33+I33+K33+M33</f>
        <v>79</v>
      </c>
      <c r="P33" s="222" t="s">
        <v>96</v>
      </c>
      <c r="Q33" s="141"/>
      <c r="R33" s="137">
        <f t="shared" ref="R33" si="26">O33*Q33</f>
        <v>0</v>
      </c>
      <c r="T33" s="213">
        <f>(14*1+10*1)/24</f>
        <v>1</v>
      </c>
      <c r="U33" s="213">
        <f>(14*1+10*1)/24</f>
        <v>1</v>
      </c>
    </row>
    <row r="34" spans="1:21" x14ac:dyDescent="0.2">
      <c r="A34" s="139"/>
      <c r="B34" s="136"/>
      <c r="C34" s="138">
        <f t="shared" si="0"/>
        <v>0</v>
      </c>
      <c r="D34" s="138">
        <f t="shared" si="1"/>
        <v>0</v>
      </c>
      <c r="E34" s="138">
        <f t="shared" si="2"/>
        <v>0</v>
      </c>
      <c r="F34" s="138">
        <f t="shared" si="3"/>
        <v>0</v>
      </c>
      <c r="G34" s="138">
        <f t="shared" si="4"/>
        <v>0</v>
      </c>
      <c r="H34" s="138">
        <f t="shared" si="5"/>
        <v>0</v>
      </c>
      <c r="I34" s="138">
        <f t="shared" si="6"/>
        <v>0</v>
      </c>
      <c r="J34" s="138">
        <f t="shared" si="7"/>
        <v>0</v>
      </c>
      <c r="K34" s="138">
        <f t="shared" si="8"/>
        <v>0</v>
      </c>
      <c r="L34" s="138">
        <f t="shared" si="9"/>
        <v>0</v>
      </c>
      <c r="M34" s="138">
        <f t="shared" si="10"/>
        <v>0</v>
      </c>
      <c r="N34" s="138">
        <f t="shared" si="11"/>
        <v>0</v>
      </c>
      <c r="O34" s="138">
        <f t="shared" si="12"/>
        <v>0</v>
      </c>
      <c r="P34" s="154"/>
      <c r="Q34" s="141"/>
      <c r="R34" s="137"/>
      <c r="T34" s="189"/>
      <c r="U34" s="189"/>
    </row>
    <row r="35" spans="1:21" x14ac:dyDescent="0.2">
      <c r="A35" s="139"/>
      <c r="B35" s="136"/>
      <c r="C35" s="138"/>
      <c r="D35" s="138"/>
      <c r="E35" s="138"/>
      <c r="F35" s="138"/>
      <c r="G35" s="138"/>
      <c r="H35" s="138"/>
      <c r="I35" s="138"/>
      <c r="J35" s="138"/>
      <c r="K35" s="138"/>
      <c r="L35" s="138"/>
      <c r="M35" s="138"/>
      <c r="N35" s="138"/>
      <c r="O35" s="138"/>
      <c r="P35" s="154"/>
      <c r="Q35" s="141"/>
      <c r="R35" s="137"/>
      <c r="T35" s="189"/>
      <c r="U35" s="189"/>
    </row>
    <row r="36" spans="1:21" x14ac:dyDescent="0.2">
      <c r="A36" s="139"/>
      <c r="B36" s="136"/>
      <c r="C36" s="138"/>
      <c r="D36" s="138"/>
      <c r="E36" s="138"/>
      <c r="F36" s="138"/>
      <c r="G36" s="138"/>
      <c r="H36" s="138"/>
      <c r="I36" s="138"/>
      <c r="J36" s="138"/>
      <c r="K36" s="138"/>
      <c r="L36" s="138"/>
      <c r="M36" s="138"/>
      <c r="N36" s="138"/>
      <c r="O36" s="138"/>
      <c r="P36" s="154"/>
      <c r="Q36" s="141"/>
      <c r="R36" s="137"/>
      <c r="T36" s="189"/>
      <c r="U36" s="189"/>
    </row>
    <row r="37" spans="1:21" x14ac:dyDescent="0.2">
      <c r="A37" s="139"/>
      <c r="B37" s="136"/>
      <c r="C37" s="138"/>
      <c r="D37" s="138"/>
      <c r="E37" s="138"/>
      <c r="F37" s="138"/>
      <c r="G37" s="138"/>
      <c r="H37" s="138"/>
      <c r="I37" s="138"/>
      <c r="J37" s="138"/>
      <c r="K37" s="138"/>
      <c r="L37" s="138"/>
      <c r="M37" s="138"/>
      <c r="N37" s="138"/>
      <c r="O37" s="138"/>
      <c r="P37" s="154"/>
      <c r="Q37" s="141"/>
      <c r="R37" s="137"/>
      <c r="T37" s="189"/>
      <c r="U37" s="189"/>
    </row>
    <row r="38" spans="1:21" x14ac:dyDescent="0.2">
      <c r="A38" s="139"/>
      <c r="B38" s="136"/>
      <c r="C38" s="138"/>
      <c r="D38" s="138"/>
      <c r="E38" s="138"/>
      <c r="F38" s="138"/>
      <c r="G38" s="138"/>
      <c r="H38" s="138"/>
      <c r="I38" s="138"/>
      <c r="J38" s="138"/>
      <c r="K38" s="138"/>
      <c r="L38" s="138"/>
      <c r="M38" s="138"/>
      <c r="N38" s="138"/>
      <c r="O38" s="138"/>
      <c r="P38" s="154"/>
      <c r="Q38" s="141"/>
      <c r="R38" s="137"/>
      <c r="T38" s="189"/>
      <c r="U38" s="189"/>
    </row>
    <row r="39" spans="1:21" x14ac:dyDescent="0.2">
      <c r="A39" s="139"/>
      <c r="B39" s="136"/>
      <c r="C39" s="138"/>
      <c r="D39" s="138"/>
      <c r="E39" s="138"/>
      <c r="F39" s="138"/>
      <c r="G39" s="138"/>
      <c r="H39" s="138"/>
      <c r="I39" s="138"/>
      <c r="J39" s="138"/>
      <c r="K39" s="138"/>
      <c r="L39" s="138"/>
      <c r="M39" s="138"/>
      <c r="N39" s="138"/>
      <c r="O39" s="138"/>
      <c r="P39" s="154"/>
      <c r="Q39" s="141"/>
      <c r="R39" s="137"/>
      <c r="T39" s="189"/>
      <c r="U39" s="189"/>
    </row>
    <row r="40" spans="1:21" x14ac:dyDescent="0.2">
      <c r="A40" s="139"/>
      <c r="B40" s="136"/>
      <c r="C40" s="138"/>
      <c r="D40" s="138"/>
      <c r="E40" s="138"/>
      <c r="F40" s="138"/>
      <c r="G40" s="138"/>
      <c r="H40" s="138"/>
      <c r="I40" s="138"/>
      <c r="J40" s="138"/>
      <c r="K40" s="138"/>
      <c r="L40" s="138"/>
      <c r="M40" s="138"/>
      <c r="N40" s="138"/>
      <c r="O40" s="138"/>
      <c r="P40" s="154"/>
      <c r="Q40" s="141"/>
      <c r="R40" s="137"/>
      <c r="T40" s="189"/>
      <c r="U40" s="189"/>
    </row>
    <row r="41" spans="1:21" x14ac:dyDescent="0.2">
      <c r="A41" s="139"/>
      <c r="B41" s="82"/>
      <c r="C41" s="138"/>
      <c r="D41" s="138"/>
      <c r="E41" s="138"/>
      <c r="F41" s="138"/>
      <c r="G41" s="138"/>
      <c r="H41" s="138"/>
      <c r="I41" s="138"/>
      <c r="J41" s="138"/>
      <c r="K41" s="138"/>
      <c r="L41" s="138"/>
      <c r="M41" s="138"/>
      <c r="N41" s="138"/>
      <c r="O41" s="138"/>
      <c r="P41" s="154"/>
      <c r="Q41" s="141"/>
      <c r="R41" s="137"/>
    </row>
    <row r="42" spans="1:21" x14ac:dyDescent="0.2">
      <c r="A42" s="139"/>
      <c r="B42" s="136"/>
      <c r="C42" s="138"/>
      <c r="D42" s="138"/>
      <c r="E42" s="138"/>
      <c r="F42" s="138"/>
      <c r="G42" s="138"/>
      <c r="H42" s="138"/>
      <c r="I42" s="138"/>
      <c r="J42" s="138"/>
      <c r="K42" s="138"/>
      <c r="L42" s="138"/>
      <c r="M42" s="138"/>
      <c r="N42" s="138"/>
      <c r="O42" s="138"/>
      <c r="P42" s="154"/>
      <c r="Q42" s="141"/>
      <c r="R42" s="137"/>
    </row>
    <row r="43" spans="1:21" x14ac:dyDescent="0.2">
      <c r="A43" s="139"/>
      <c r="B43" s="82"/>
      <c r="C43" s="138"/>
      <c r="D43" s="138"/>
      <c r="E43" s="138"/>
      <c r="F43" s="138"/>
      <c r="G43" s="138"/>
      <c r="H43" s="138"/>
      <c r="I43" s="138"/>
      <c r="J43" s="138"/>
      <c r="K43" s="138"/>
      <c r="L43" s="138"/>
      <c r="M43" s="138"/>
      <c r="N43" s="138"/>
      <c r="O43" s="138"/>
      <c r="P43" s="154"/>
      <c r="Q43" s="141"/>
      <c r="R43" s="137"/>
    </row>
    <row r="44" spans="1:21" x14ac:dyDescent="0.2">
      <c r="A44" s="139"/>
      <c r="B44" s="136"/>
      <c r="C44" s="138"/>
      <c r="D44" s="138"/>
      <c r="E44" s="138"/>
      <c r="F44" s="138"/>
      <c r="G44" s="138"/>
      <c r="H44" s="138"/>
      <c r="I44" s="138"/>
      <c r="J44" s="138"/>
      <c r="K44" s="138"/>
      <c r="L44" s="138"/>
      <c r="M44" s="138"/>
      <c r="N44" s="138"/>
      <c r="O44" s="138"/>
      <c r="P44" s="154"/>
      <c r="Q44" s="141"/>
      <c r="R44" s="137"/>
    </row>
    <row r="45" spans="1:21" x14ac:dyDescent="0.2">
      <c r="A45" s="139"/>
      <c r="B45" s="136"/>
      <c r="C45" s="138">
        <f>ROUND(T45*C$3,0)</f>
        <v>0</v>
      </c>
      <c r="D45" s="138">
        <f>C45*$Q45</f>
        <v>0</v>
      </c>
      <c r="E45" s="138"/>
      <c r="F45" s="138"/>
      <c r="G45" s="138"/>
      <c r="H45" s="138"/>
      <c r="I45" s="138"/>
      <c r="J45" s="138"/>
      <c r="K45" s="138"/>
      <c r="L45" s="138"/>
      <c r="M45" s="138"/>
      <c r="N45" s="138"/>
      <c r="O45" s="138"/>
      <c r="P45" s="154"/>
      <c r="Q45" s="141"/>
      <c r="R45" s="137"/>
    </row>
    <row r="46" spans="1:21" x14ac:dyDescent="0.2">
      <c r="A46" s="139"/>
      <c r="B46" s="110"/>
      <c r="C46" s="138"/>
      <c r="D46" s="138"/>
      <c r="E46" s="138"/>
      <c r="F46" s="138"/>
      <c r="G46" s="138"/>
      <c r="H46" s="138"/>
      <c r="I46" s="138"/>
      <c r="J46" s="138"/>
      <c r="K46" s="138"/>
      <c r="L46" s="138"/>
      <c r="M46" s="138"/>
      <c r="N46" s="138"/>
      <c r="O46" s="138"/>
      <c r="P46" s="154"/>
      <c r="Q46" s="141"/>
      <c r="R46" s="137"/>
    </row>
    <row r="47" spans="1:21" x14ac:dyDescent="0.2">
      <c r="A47" s="139"/>
      <c r="B47" s="136"/>
      <c r="C47" s="138"/>
      <c r="D47" s="138"/>
      <c r="E47" s="138"/>
      <c r="F47" s="138"/>
      <c r="G47" s="138"/>
      <c r="H47" s="138"/>
      <c r="I47" s="138"/>
      <c r="J47" s="138"/>
      <c r="K47" s="138"/>
      <c r="L47" s="138"/>
      <c r="M47" s="138"/>
      <c r="N47" s="138"/>
      <c r="O47" s="138"/>
      <c r="P47" s="154"/>
      <c r="Q47" s="141"/>
      <c r="R47" s="137"/>
    </row>
    <row r="48" spans="1:21" ht="6" customHeight="1" x14ac:dyDescent="0.2">
      <c r="A48" s="127"/>
      <c r="B48" s="136"/>
      <c r="C48" s="128"/>
      <c r="D48" s="120"/>
      <c r="E48" s="120"/>
      <c r="F48" s="120"/>
      <c r="G48" s="120"/>
      <c r="H48" s="120"/>
      <c r="I48" s="120"/>
      <c r="J48" s="120"/>
      <c r="K48" s="120"/>
      <c r="L48" s="120"/>
      <c r="M48" s="120"/>
      <c r="N48" s="120"/>
      <c r="O48" s="120"/>
      <c r="P48" s="154"/>
      <c r="Q48" s="141"/>
      <c r="R48" s="137"/>
    </row>
    <row r="49" spans="1:21" x14ac:dyDescent="0.2">
      <c r="A49" s="129"/>
      <c r="B49" s="130"/>
      <c r="C49" s="131"/>
      <c r="D49" s="131"/>
      <c r="E49" s="131"/>
      <c r="F49" s="131"/>
      <c r="G49" s="131"/>
      <c r="H49" s="131"/>
      <c r="I49" s="131"/>
      <c r="J49" s="131"/>
      <c r="K49" s="131"/>
      <c r="L49" s="131"/>
      <c r="M49" s="131"/>
      <c r="N49" s="131"/>
      <c r="O49" s="131"/>
      <c r="P49" s="131"/>
      <c r="Q49" s="132"/>
      <c r="R49" s="126"/>
      <c r="T49" s="134"/>
      <c r="U49" s="134"/>
    </row>
    <row r="50" spans="1:21" x14ac:dyDescent="0.2">
      <c r="C50" s="122"/>
      <c r="D50" s="122"/>
      <c r="E50" s="122"/>
      <c r="F50" s="122"/>
      <c r="G50" s="122"/>
      <c r="H50" s="122"/>
      <c r="I50" s="122"/>
      <c r="J50" s="122"/>
      <c r="K50" s="122"/>
      <c r="L50" s="122"/>
      <c r="M50" s="122"/>
      <c r="N50" s="122"/>
      <c r="O50" s="122"/>
      <c r="P50" s="171" t="s">
        <v>1</v>
      </c>
      <c r="Q50" s="133" t="s">
        <v>0</v>
      </c>
      <c r="R50" s="137">
        <f>SUM(R4:R49)</f>
        <v>0</v>
      </c>
      <c r="T50" s="135"/>
      <c r="U50" s="135"/>
    </row>
    <row r="51" spans="1:21" x14ac:dyDescent="0.2">
      <c r="P51" s="188"/>
      <c r="Q51" s="124"/>
      <c r="R51" s="125"/>
    </row>
    <row r="52" spans="1:21" x14ac:dyDescent="0.2">
      <c r="A52" s="139"/>
      <c r="B52" s="24"/>
      <c r="C52" s="138"/>
      <c r="D52" s="138"/>
      <c r="E52" s="138"/>
      <c r="F52" s="138"/>
      <c r="G52" s="138"/>
      <c r="H52" s="138"/>
      <c r="I52" s="138"/>
      <c r="J52" s="138"/>
      <c r="K52" s="138"/>
      <c r="L52" s="138"/>
      <c r="M52" s="138"/>
      <c r="N52" s="138"/>
      <c r="O52" s="138"/>
      <c r="P52" s="154"/>
      <c r="Q52" s="141"/>
      <c r="R52" s="137"/>
    </row>
    <row r="53" spans="1:21" x14ac:dyDescent="0.2">
      <c r="A53" s="139"/>
      <c r="B53" s="82" t="s">
        <v>191</v>
      </c>
      <c r="C53" s="138"/>
      <c r="D53" s="138"/>
      <c r="E53" s="138"/>
      <c r="F53" s="138"/>
      <c r="G53" s="138"/>
      <c r="H53" s="138"/>
      <c r="I53" s="138"/>
      <c r="J53" s="138"/>
      <c r="K53" s="138"/>
      <c r="L53" s="138"/>
      <c r="M53" s="138"/>
      <c r="N53" s="138"/>
      <c r="O53" s="138"/>
      <c r="P53" s="154"/>
      <c r="Q53" s="141"/>
      <c r="R53" s="137"/>
    </row>
    <row r="54" spans="1:21" x14ac:dyDescent="0.2">
      <c r="A54" s="139"/>
      <c r="B54" s="82"/>
      <c r="C54" s="138">
        <f t="shared" ref="C54:C72" si="27">ROUND((2*$T54+2*$U54)*C$3,0)</f>
        <v>0</v>
      </c>
      <c r="D54" s="138">
        <f t="shared" ref="D54:D72" si="28">C54*$Q54</f>
        <v>0</v>
      </c>
      <c r="E54" s="138">
        <f t="shared" ref="E54:E72" si="29">ROUND((2*$T54+3*$U54)*E$3,0)</f>
        <v>0</v>
      </c>
      <c r="F54" s="138">
        <f t="shared" ref="F54:F72" si="30">E54*$Q54</f>
        <v>0</v>
      </c>
      <c r="G54" s="138">
        <f t="shared" ref="G54:G72" si="31">ROUND((2*$T54+4*$U54)*G$3,0)</f>
        <v>0</v>
      </c>
      <c r="H54" s="138">
        <f t="shared" ref="H54:H72" si="32">G54*$Q54</f>
        <v>0</v>
      </c>
      <c r="I54" s="138">
        <f t="shared" ref="I54:I72" si="33">ROUND((2*$T54+5*$U54)*I$3,0)</f>
        <v>0</v>
      </c>
      <c r="J54" s="138">
        <f t="shared" ref="J54:J72" si="34">I54*$Q54</f>
        <v>0</v>
      </c>
      <c r="K54" s="138">
        <f t="shared" ref="K54:K72" si="35">ROUND((2*$T54+6*$U54)*K$3,0)</f>
        <v>0</v>
      </c>
      <c r="L54" s="138">
        <f t="shared" ref="L54:L72" si="36">K54*$Q54</f>
        <v>0</v>
      </c>
      <c r="M54" s="138">
        <f t="shared" ref="M54:M72" si="37">ROUND((2*$T54+7*$U54)*M$3,0)</f>
        <v>0</v>
      </c>
      <c r="N54" s="138">
        <f t="shared" ref="N54:N72" si="38">M54*$Q54</f>
        <v>0</v>
      </c>
      <c r="O54" s="138">
        <f t="shared" ref="O54:O72" si="39">C54+E54+G54+I54+K54+M54</f>
        <v>0</v>
      </c>
      <c r="P54" s="154"/>
      <c r="Q54" s="141"/>
      <c r="R54" s="137"/>
    </row>
    <row r="55" spans="1:21" x14ac:dyDescent="0.2">
      <c r="A55" s="139"/>
      <c r="B55" s="82" t="s">
        <v>284</v>
      </c>
      <c r="C55" s="138">
        <f t="shared" si="27"/>
        <v>0</v>
      </c>
      <c r="D55" s="138">
        <f t="shared" si="28"/>
        <v>0</v>
      </c>
      <c r="E55" s="138">
        <f t="shared" si="29"/>
        <v>0</v>
      </c>
      <c r="F55" s="138">
        <f t="shared" si="30"/>
        <v>0</v>
      </c>
      <c r="G55" s="138">
        <f t="shared" si="31"/>
        <v>0</v>
      </c>
      <c r="H55" s="138">
        <f t="shared" si="32"/>
        <v>0</v>
      </c>
      <c r="I55" s="138">
        <f t="shared" si="33"/>
        <v>0</v>
      </c>
      <c r="J55" s="138">
        <f t="shared" si="34"/>
        <v>0</v>
      </c>
      <c r="K55" s="138">
        <f t="shared" si="35"/>
        <v>0</v>
      </c>
      <c r="L55" s="138">
        <f t="shared" si="36"/>
        <v>0</v>
      </c>
      <c r="M55" s="138">
        <f t="shared" si="37"/>
        <v>0</v>
      </c>
      <c r="N55" s="138">
        <f t="shared" si="38"/>
        <v>0</v>
      </c>
      <c r="O55" s="138">
        <f t="shared" si="39"/>
        <v>0</v>
      </c>
      <c r="P55" s="154"/>
      <c r="Q55" s="141"/>
      <c r="R55" s="137"/>
    </row>
    <row r="56" spans="1:21" x14ac:dyDescent="0.2">
      <c r="A56" s="139"/>
      <c r="B56" s="82"/>
      <c r="C56" s="138">
        <f t="shared" si="27"/>
        <v>0</v>
      </c>
      <c r="D56" s="138">
        <f t="shared" si="28"/>
        <v>0</v>
      </c>
      <c r="E56" s="138">
        <f t="shared" si="29"/>
        <v>0</v>
      </c>
      <c r="F56" s="138">
        <f t="shared" si="30"/>
        <v>0</v>
      </c>
      <c r="G56" s="138">
        <f t="shared" si="31"/>
        <v>0</v>
      </c>
      <c r="H56" s="138">
        <f t="shared" si="32"/>
        <v>0</v>
      </c>
      <c r="I56" s="138">
        <f t="shared" si="33"/>
        <v>0</v>
      </c>
      <c r="J56" s="138">
        <f t="shared" si="34"/>
        <v>0</v>
      </c>
      <c r="K56" s="138">
        <f t="shared" si="35"/>
        <v>0</v>
      </c>
      <c r="L56" s="138">
        <f t="shared" si="36"/>
        <v>0</v>
      </c>
      <c r="M56" s="138">
        <f t="shared" si="37"/>
        <v>0</v>
      </c>
      <c r="N56" s="138">
        <f t="shared" si="38"/>
        <v>0</v>
      </c>
      <c r="O56" s="138">
        <f t="shared" si="39"/>
        <v>0</v>
      </c>
      <c r="P56" s="154"/>
      <c r="Q56" s="141"/>
      <c r="R56" s="137"/>
    </row>
    <row r="57" spans="1:21" x14ac:dyDescent="0.2">
      <c r="A57" s="139" t="s">
        <v>66</v>
      </c>
      <c r="B57" s="136" t="s">
        <v>107</v>
      </c>
      <c r="C57" s="138">
        <f t="shared" si="27"/>
        <v>36</v>
      </c>
      <c r="D57" s="138">
        <f t="shared" si="28"/>
        <v>0</v>
      </c>
      <c r="E57" s="138">
        <f t="shared" si="29"/>
        <v>44</v>
      </c>
      <c r="F57" s="138">
        <f t="shared" si="30"/>
        <v>0</v>
      </c>
      <c r="G57" s="138">
        <f t="shared" si="31"/>
        <v>260</v>
      </c>
      <c r="H57" s="138">
        <f t="shared" si="32"/>
        <v>0</v>
      </c>
      <c r="I57" s="138">
        <f t="shared" si="33"/>
        <v>60</v>
      </c>
      <c r="J57" s="138">
        <f t="shared" si="34"/>
        <v>0</v>
      </c>
      <c r="K57" s="138">
        <f t="shared" si="35"/>
        <v>204</v>
      </c>
      <c r="L57" s="138">
        <f t="shared" si="36"/>
        <v>0</v>
      </c>
      <c r="M57" s="138">
        <f t="shared" si="37"/>
        <v>76</v>
      </c>
      <c r="N57" s="138">
        <f t="shared" si="38"/>
        <v>0</v>
      </c>
      <c r="O57" s="138">
        <f>C57+E57+G57+I57+K57+M57</f>
        <v>680</v>
      </c>
      <c r="P57" s="154" t="s">
        <v>96</v>
      </c>
      <c r="Q57" s="141"/>
      <c r="R57" s="137">
        <f>O57*Q57</f>
        <v>0</v>
      </c>
      <c r="T57" s="142">
        <v>10</v>
      </c>
      <c r="U57" s="142">
        <v>8</v>
      </c>
    </row>
    <row r="58" spans="1:21" x14ac:dyDescent="0.2">
      <c r="A58" s="139"/>
      <c r="B58" s="136"/>
      <c r="C58" s="138">
        <f t="shared" si="27"/>
        <v>0</v>
      </c>
      <c r="D58" s="138">
        <f t="shared" si="28"/>
        <v>0</v>
      </c>
      <c r="E58" s="138">
        <f t="shared" si="29"/>
        <v>0</v>
      </c>
      <c r="F58" s="138">
        <f t="shared" si="30"/>
        <v>0</v>
      </c>
      <c r="G58" s="138">
        <f t="shared" si="31"/>
        <v>0</v>
      </c>
      <c r="H58" s="138">
        <f t="shared" si="32"/>
        <v>0</v>
      </c>
      <c r="I58" s="138">
        <f t="shared" si="33"/>
        <v>0</v>
      </c>
      <c r="J58" s="138">
        <f t="shared" si="34"/>
        <v>0</v>
      </c>
      <c r="K58" s="138">
        <f t="shared" si="35"/>
        <v>0</v>
      </c>
      <c r="L58" s="138">
        <f t="shared" si="36"/>
        <v>0</v>
      </c>
      <c r="M58" s="138">
        <f t="shared" si="37"/>
        <v>0</v>
      </c>
      <c r="N58" s="138">
        <f t="shared" si="38"/>
        <v>0</v>
      </c>
      <c r="O58" s="138">
        <f t="shared" si="39"/>
        <v>0</v>
      </c>
      <c r="P58" s="154"/>
      <c r="Q58" s="141"/>
      <c r="R58" s="137"/>
    </row>
    <row r="59" spans="1:21" x14ac:dyDescent="0.2">
      <c r="A59" s="139" t="s">
        <v>67</v>
      </c>
      <c r="B59" s="136" t="s">
        <v>286</v>
      </c>
      <c r="C59" s="138">
        <f t="shared" si="27"/>
        <v>124</v>
      </c>
      <c r="D59" s="138">
        <f t="shared" si="28"/>
        <v>0</v>
      </c>
      <c r="E59" s="138">
        <f t="shared" si="29"/>
        <v>154</v>
      </c>
      <c r="F59" s="138">
        <f t="shared" si="30"/>
        <v>0</v>
      </c>
      <c r="G59" s="138">
        <f t="shared" si="31"/>
        <v>920</v>
      </c>
      <c r="H59" s="138">
        <f t="shared" si="32"/>
        <v>0</v>
      </c>
      <c r="I59" s="138">
        <f t="shared" si="33"/>
        <v>214</v>
      </c>
      <c r="J59" s="138">
        <f t="shared" si="34"/>
        <v>0</v>
      </c>
      <c r="K59" s="138">
        <f t="shared" si="35"/>
        <v>732</v>
      </c>
      <c r="L59" s="138">
        <f t="shared" si="36"/>
        <v>0</v>
      </c>
      <c r="M59" s="138">
        <f t="shared" si="37"/>
        <v>274</v>
      </c>
      <c r="N59" s="138">
        <f t="shared" si="38"/>
        <v>0</v>
      </c>
      <c r="O59" s="138">
        <f>C59+E59+G59+I59+K59+M59</f>
        <v>2418</v>
      </c>
      <c r="P59" s="154" t="s">
        <v>96</v>
      </c>
      <c r="Q59" s="141"/>
      <c r="R59" s="137">
        <f t="shared" ref="R59" si="40">O59*Q59</f>
        <v>0</v>
      </c>
      <c r="T59" s="142">
        <v>32</v>
      </c>
      <c r="U59" s="142">
        <v>30</v>
      </c>
    </row>
    <row r="60" spans="1:21" x14ac:dyDescent="0.2">
      <c r="A60" s="139"/>
      <c r="B60" s="136"/>
      <c r="C60" s="138">
        <f t="shared" si="27"/>
        <v>0</v>
      </c>
      <c r="D60" s="138">
        <f t="shared" si="28"/>
        <v>0</v>
      </c>
      <c r="E60" s="138">
        <f t="shared" si="29"/>
        <v>0</v>
      </c>
      <c r="F60" s="138">
        <f t="shared" si="30"/>
        <v>0</v>
      </c>
      <c r="G60" s="138">
        <f t="shared" si="31"/>
        <v>0</v>
      </c>
      <c r="H60" s="138">
        <f t="shared" si="32"/>
        <v>0</v>
      </c>
      <c r="I60" s="138">
        <f t="shared" si="33"/>
        <v>0</v>
      </c>
      <c r="J60" s="138">
        <f t="shared" si="34"/>
        <v>0</v>
      </c>
      <c r="K60" s="138">
        <f t="shared" si="35"/>
        <v>0</v>
      </c>
      <c r="L60" s="138">
        <f t="shared" si="36"/>
        <v>0</v>
      </c>
      <c r="M60" s="138">
        <f t="shared" si="37"/>
        <v>0</v>
      </c>
      <c r="N60" s="138">
        <f t="shared" si="38"/>
        <v>0</v>
      </c>
      <c r="O60" s="138">
        <f t="shared" si="39"/>
        <v>0</v>
      </c>
      <c r="P60" s="154"/>
      <c r="Q60" s="141"/>
      <c r="R60" s="137"/>
    </row>
    <row r="61" spans="1:21" x14ac:dyDescent="0.2">
      <c r="A61" s="139" t="s">
        <v>68</v>
      </c>
      <c r="B61" s="136" t="s">
        <v>455</v>
      </c>
      <c r="C61" s="138">
        <f t="shared" si="27"/>
        <v>28</v>
      </c>
      <c r="D61" s="138">
        <f t="shared" si="28"/>
        <v>0</v>
      </c>
      <c r="E61" s="138">
        <f t="shared" si="29"/>
        <v>35</v>
      </c>
      <c r="F61" s="138">
        <f t="shared" si="30"/>
        <v>0</v>
      </c>
      <c r="G61" s="138">
        <f t="shared" si="31"/>
        <v>210</v>
      </c>
      <c r="H61" s="138">
        <f t="shared" si="32"/>
        <v>0</v>
      </c>
      <c r="I61" s="138">
        <f t="shared" si="33"/>
        <v>49</v>
      </c>
      <c r="J61" s="138">
        <f t="shared" si="34"/>
        <v>0</v>
      </c>
      <c r="K61" s="138">
        <f t="shared" si="35"/>
        <v>168</v>
      </c>
      <c r="L61" s="138">
        <f t="shared" si="36"/>
        <v>0</v>
      </c>
      <c r="M61" s="138">
        <f t="shared" si="37"/>
        <v>63</v>
      </c>
      <c r="N61" s="138">
        <f t="shared" si="38"/>
        <v>0</v>
      </c>
      <c r="O61" s="138">
        <f>C61+E61+G61+I61+K61+M61</f>
        <v>553</v>
      </c>
      <c r="P61" s="154" t="s">
        <v>96</v>
      </c>
      <c r="Q61" s="141"/>
      <c r="R61" s="137">
        <f t="shared" ref="R61" si="41">O61*Q61</f>
        <v>0</v>
      </c>
      <c r="T61" s="142">
        <v>7</v>
      </c>
      <c r="U61" s="142">
        <v>7</v>
      </c>
    </row>
    <row r="62" spans="1:21" x14ac:dyDescent="0.2">
      <c r="A62" s="139"/>
      <c r="B62" s="136"/>
      <c r="C62" s="138">
        <f t="shared" si="27"/>
        <v>0</v>
      </c>
      <c r="D62" s="138">
        <f t="shared" si="28"/>
        <v>0</v>
      </c>
      <c r="E62" s="138">
        <f t="shared" si="29"/>
        <v>0</v>
      </c>
      <c r="F62" s="138">
        <f t="shared" si="30"/>
        <v>0</v>
      </c>
      <c r="G62" s="138">
        <f t="shared" si="31"/>
        <v>0</v>
      </c>
      <c r="H62" s="138">
        <f t="shared" si="32"/>
        <v>0</v>
      </c>
      <c r="I62" s="138">
        <f t="shared" si="33"/>
        <v>0</v>
      </c>
      <c r="J62" s="138">
        <f t="shared" si="34"/>
        <v>0</v>
      </c>
      <c r="K62" s="138">
        <f t="shared" si="35"/>
        <v>0</v>
      </c>
      <c r="L62" s="138">
        <f t="shared" si="36"/>
        <v>0</v>
      </c>
      <c r="M62" s="138">
        <f t="shared" si="37"/>
        <v>0</v>
      </c>
      <c r="N62" s="138">
        <f t="shared" si="38"/>
        <v>0</v>
      </c>
      <c r="O62" s="138">
        <f t="shared" si="39"/>
        <v>0</v>
      </c>
      <c r="P62" s="154"/>
      <c r="Q62" s="141"/>
      <c r="R62" s="137"/>
    </row>
    <row r="63" spans="1:21" x14ac:dyDescent="0.2">
      <c r="A63" s="139" t="s">
        <v>69</v>
      </c>
      <c r="B63" s="136" t="s">
        <v>109</v>
      </c>
      <c r="C63" s="138">
        <f t="shared" si="27"/>
        <v>4</v>
      </c>
      <c r="D63" s="138">
        <f t="shared" si="28"/>
        <v>0</v>
      </c>
      <c r="E63" s="138">
        <f t="shared" si="29"/>
        <v>5</v>
      </c>
      <c r="F63" s="138">
        <f t="shared" si="30"/>
        <v>0</v>
      </c>
      <c r="G63" s="138">
        <f t="shared" si="31"/>
        <v>30</v>
      </c>
      <c r="H63" s="138">
        <f t="shared" si="32"/>
        <v>0</v>
      </c>
      <c r="I63" s="138">
        <f t="shared" si="33"/>
        <v>7</v>
      </c>
      <c r="J63" s="138">
        <f t="shared" si="34"/>
        <v>0</v>
      </c>
      <c r="K63" s="138">
        <f t="shared" si="35"/>
        <v>24</v>
      </c>
      <c r="L63" s="138">
        <f t="shared" si="36"/>
        <v>0</v>
      </c>
      <c r="M63" s="138">
        <f t="shared" si="37"/>
        <v>9</v>
      </c>
      <c r="N63" s="138">
        <f t="shared" si="38"/>
        <v>0</v>
      </c>
      <c r="O63" s="138">
        <f>C63+E63+G63+I63+K63+M63</f>
        <v>79</v>
      </c>
      <c r="P63" s="154" t="s">
        <v>96</v>
      </c>
      <c r="Q63" s="141"/>
      <c r="R63" s="137">
        <f t="shared" ref="R63" si="42">O63*Q63</f>
        <v>0</v>
      </c>
      <c r="T63" s="142">
        <v>1</v>
      </c>
      <c r="U63" s="142">
        <v>1</v>
      </c>
    </row>
    <row r="64" spans="1:21" x14ac:dyDescent="0.2">
      <c r="A64" s="139"/>
      <c r="B64" s="136"/>
      <c r="C64" s="138">
        <f t="shared" si="27"/>
        <v>0</v>
      </c>
      <c r="D64" s="138">
        <f t="shared" si="28"/>
        <v>0</v>
      </c>
      <c r="E64" s="138">
        <f t="shared" si="29"/>
        <v>0</v>
      </c>
      <c r="F64" s="138">
        <f t="shared" si="30"/>
        <v>0</v>
      </c>
      <c r="G64" s="138">
        <f t="shared" si="31"/>
        <v>0</v>
      </c>
      <c r="H64" s="138">
        <f t="shared" si="32"/>
        <v>0</v>
      </c>
      <c r="I64" s="138">
        <f t="shared" si="33"/>
        <v>0</v>
      </c>
      <c r="J64" s="138">
        <f t="shared" si="34"/>
        <v>0</v>
      </c>
      <c r="K64" s="138">
        <f t="shared" si="35"/>
        <v>0</v>
      </c>
      <c r="L64" s="138">
        <f t="shared" si="36"/>
        <v>0</v>
      </c>
      <c r="M64" s="138">
        <f t="shared" si="37"/>
        <v>0</v>
      </c>
      <c r="N64" s="138">
        <f t="shared" si="38"/>
        <v>0</v>
      </c>
      <c r="O64" s="138">
        <f t="shared" si="39"/>
        <v>0</v>
      </c>
      <c r="P64" s="154"/>
      <c r="Q64" s="141"/>
      <c r="R64" s="137"/>
    </row>
    <row r="65" spans="1:21" x14ac:dyDescent="0.2">
      <c r="A65" s="139" t="s">
        <v>70</v>
      </c>
      <c r="B65" s="136" t="s">
        <v>108</v>
      </c>
      <c r="C65" s="138">
        <f t="shared" si="27"/>
        <v>4</v>
      </c>
      <c r="D65" s="138">
        <f t="shared" si="28"/>
        <v>0</v>
      </c>
      <c r="E65" s="138">
        <f t="shared" si="29"/>
        <v>5</v>
      </c>
      <c r="F65" s="138">
        <f t="shared" si="30"/>
        <v>0</v>
      </c>
      <c r="G65" s="138">
        <f t="shared" si="31"/>
        <v>30</v>
      </c>
      <c r="H65" s="138">
        <f t="shared" si="32"/>
        <v>0</v>
      </c>
      <c r="I65" s="138">
        <f t="shared" si="33"/>
        <v>7</v>
      </c>
      <c r="J65" s="138">
        <f t="shared" si="34"/>
        <v>0</v>
      </c>
      <c r="K65" s="138">
        <f t="shared" si="35"/>
        <v>24</v>
      </c>
      <c r="L65" s="138">
        <f t="shared" si="36"/>
        <v>0</v>
      </c>
      <c r="M65" s="138">
        <f t="shared" si="37"/>
        <v>9</v>
      </c>
      <c r="N65" s="138">
        <f t="shared" si="38"/>
        <v>0</v>
      </c>
      <c r="O65" s="138">
        <f>C65+E65+G65+I65+K65+M65</f>
        <v>79</v>
      </c>
      <c r="P65" s="154" t="s">
        <v>96</v>
      </c>
      <c r="Q65" s="141"/>
      <c r="R65" s="137">
        <f t="shared" ref="R65" si="43">O65*Q65</f>
        <v>0</v>
      </c>
      <c r="T65" s="142">
        <v>1</v>
      </c>
      <c r="U65" s="142">
        <v>1</v>
      </c>
    </row>
    <row r="66" spans="1:21" x14ac:dyDescent="0.2">
      <c r="A66" s="139"/>
      <c r="B66" s="136"/>
      <c r="C66" s="138">
        <f t="shared" si="27"/>
        <v>0</v>
      </c>
      <c r="D66" s="138">
        <f t="shared" si="28"/>
        <v>0</v>
      </c>
      <c r="E66" s="138">
        <f t="shared" si="29"/>
        <v>0</v>
      </c>
      <c r="F66" s="138">
        <f t="shared" si="30"/>
        <v>0</v>
      </c>
      <c r="G66" s="138">
        <f t="shared" si="31"/>
        <v>0</v>
      </c>
      <c r="H66" s="138">
        <f t="shared" si="32"/>
        <v>0</v>
      </c>
      <c r="I66" s="138">
        <f t="shared" si="33"/>
        <v>0</v>
      </c>
      <c r="J66" s="138">
        <f t="shared" si="34"/>
        <v>0</v>
      </c>
      <c r="K66" s="138">
        <f t="shared" si="35"/>
        <v>0</v>
      </c>
      <c r="L66" s="138">
        <f t="shared" si="36"/>
        <v>0</v>
      </c>
      <c r="M66" s="138">
        <f t="shared" si="37"/>
        <v>0</v>
      </c>
      <c r="N66" s="138">
        <f t="shared" si="38"/>
        <v>0</v>
      </c>
      <c r="O66" s="138">
        <f t="shared" si="39"/>
        <v>0</v>
      </c>
      <c r="P66" s="154"/>
      <c r="Q66" s="141"/>
      <c r="R66" s="137"/>
    </row>
    <row r="67" spans="1:21" x14ac:dyDescent="0.2">
      <c r="A67" s="139" t="s">
        <v>71</v>
      </c>
      <c r="B67" s="136" t="s">
        <v>189</v>
      </c>
      <c r="C67" s="138">
        <f t="shared" si="27"/>
        <v>30</v>
      </c>
      <c r="D67" s="138">
        <f t="shared" si="28"/>
        <v>0</v>
      </c>
      <c r="E67" s="138">
        <f t="shared" si="29"/>
        <v>36</v>
      </c>
      <c r="F67" s="138">
        <f t="shared" si="30"/>
        <v>0</v>
      </c>
      <c r="G67" s="138">
        <f t="shared" si="31"/>
        <v>210</v>
      </c>
      <c r="H67" s="138">
        <f t="shared" si="32"/>
        <v>0</v>
      </c>
      <c r="I67" s="138">
        <f t="shared" si="33"/>
        <v>48</v>
      </c>
      <c r="J67" s="138">
        <f t="shared" si="34"/>
        <v>0</v>
      </c>
      <c r="K67" s="138">
        <f t="shared" si="35"/>
        <v>162</v>
      </c>
      <c r="L67" s="138">
        <f t="shared" si="36"/>
        <v>0</v>
      </c>
      <c r="M67" s="138">
        <f t="shared" si="37"/>
        <v>60</v>
      </c>
      <c r="N67" s="138">
        <f t="shared" si="38"/>
        <v>0</v>
      </c>
      <c r="O67" s="138">
        <f>C67+E67+G67+I67+K67+M67</f>
        <v>546</v>
      </c>
      <c r="P67" s="154" t="s">
        <v>96</v>
      </c>
      <c r="Q67" s="141"/>
      <c r="R67" s="137">
        <f>O67*Q67</f>
        <v>0</v>
      </c>
      <c r="T67" s="142">
        <v>9</v>
      </c>
      <c r="U67" s="142">
        <v>6</v>
      </c>
    </row>
    <row r="68" spans="1:21" x14ac:dyDescent="0.2">
      <c r="A68" s="139"/>
      <c r="B68" s="136"/>
      <c r="C68" s="138">
        <f t="shared" si="27"/>
        <v>0</v>
      </c>
      <c r="D68" s="138">
        <f t="shared" si="28"/>
        <v>0</v>
      </c>
      <c r="E68" s="138">
        <f t="shared" si="29"/>
        <v>0</v>
      </c>
      <c r="F68" s="138">
        <f t="shared" si="30"/>
        <v>0</v>
      </c>
      <c r="G68" s="138">
        <f t="shared" si="31"/>
        <v>0</v>
      </c>
      <c r="H68" s="138">
        <f t="shared" si="32"/>
        <v>0</v>
      </c>
      <c r="I68" s="138">
        <f t="shared" si="33"/>
        <v>0</v>
      </c>
      <c r="J68" s="138">
        <f t="shared" si="34"/>
        <v>0</v>
      </c>
      <c r="K68" s="138">
        <f t="shared" si="35"/>
        <v>0</v>
      </c>
      <c r="L68" s="138">
        <f t="shared" si="36"/>
        <v>0</v>
      </c>
      <c r="M68" s="138">
        <f t="shared" si="37"/>
        <v>0</v>
      </c>
      <c r="N68" s="138">
        <f t="shared" si="38"/>
        <v>0</v>
      </c>
      <c r="O68" s="138">
        <f t="shared" si="39"/>
        <v>0</v>
      </c>
      <c r="P68" s="154"/>
      <c r="Q68" s="141"/>
      <c r="R68" s="137"/>
    </row>
    <row r="69" spans="1:21" x14ac:dyDescent="0.2">
      <c r="A69" s="139" t="s">
        <v>72</v>
      </c>
      <c r="B69" s="136" t="s">
        <v>241</v>
      </c>
      <c r="C69" s="138">
        <f t="shared" si="27"/>
        <v>8</v>
      </c>
      <c r="D69" s="138">
        <f t="shared" si="28"/>
        <v>0</v>
      </c>
      <c r="E69" s="138">
        <f t="shared" si="29"/>
        <v>10</v>
      </c>
      <c r="F69" s="138">
        <f t="shared" si="30"/>
        <v>0</v>
      </c>
      <c r="G69" s="138">
        <f t="shared" si="31"/>
        <v>60</v>
      </c>
      <c r="H69" s="138">
        <f t="shared" si="32"/>
        <v>0</v>
      </c>
      <c r="I69" s="138">
        <f t="shared" si="33"/>
        <v>14</v>
      </c>
      <c r="J69" s="138">
        <f t="shared" si="34"/>
        <v>0</v>
      </c>
      <c r="K69" s="138">
        <f t="shared" si="35"/>
        <v>48</v>
      </c>
      <c r="L69" s="138">
        <f t="shared" si="36"/>
        <v>0</v>
      </c>
      <c r="M69" s="138">
        <f t="shared" si="37"/>
        <v>18</v>
      </c>
      <c r="N69" s="138">
        <f t="shared" si="38"/>
        <v>0</v>
      </c>
      <c r="O69" s="138">
        <f>C69+E69+G69+I69+K69+M69</f>
        <v>158</v>
      </c>
      <c r="P69" s="154" t="s">
        <v>96</v>
      </c>
      <c r="Q69" s="141"/>
      <c r="R69" s="137">
        <f>O69*Q69</f>
        <v>0</v>
      </c>
      <c r="T69" s="142">
        <v>2</v>
      </c>
      <c r="U69" s="142">
        <v>2</v>
      </c>
    </row>
    <row r="70" spans="1:21" x14ac:dyDescent="0.2">
      <c r="A70" s="139"/>
      <c r="B70" s="136"/>
      <c r="C70" s="138">
        <f t="shared" si="27"/>
        <v>0</v>
      </c>
      <c r="D70" s="138">
        <f t="shared" si="28"/>
        <v>0</v>
      </c>
      <c r="E70" s="138">
        <f t="shared" si="29"/>
        <v>0</v>
      </c>
      <c r="F70" s="138">
        <f t="shared" si="30"/>
        <v>0</v>
      </c>
      <c r="G70" s="138">
        <f t="shared" si="31"/>
        <v>0</v>
      </c>
      <c r="H70" s="138">
        <f t="shared" si="32"/>
        <v>0</v>
      </c>
      <c r="I70" s="138">
        <f t="shared" si="33"/>
        <v>0</v>
      </c>
      <c r="J70" s="138">
        <f t="shared" si="34"/>
        <v>0</v>
      </c>
      <c r="K70" s="138">
        <f t="shared" si="35"/>
        <v>0</v>
      </c>
      <c r="L70" s="138">
        <f t="shared" si="36"/>
        <v>0</v>
      </c>
      <c r="M70" s="138">
        <f t="shared" si="37"/>
        <v>0</v>
      </c>
      <c r="N70" s="138">
        <f t="shared" si="38"/>
        <v>0</v>
      </c>
      <c r="O70" s="138">
        <f t="shared" si="39"/>
        <v>0</v>
      </c>
      <c r="P70" s="154"/>
      <c r="Q70" s="141"/>
      <c r="R70" s="137"/>
    </row>
    <row r="71" spans="1:21" x14ac:dyDescent="0.2">
      <c r="A71" s="139" t="s">
        <v>73</v>
      </c>
      <c r="B71" s="136" t="s">
        <v>367</v>
      </c>
      <c r="C71" s="138">
        <f t="shared" si="27"/>
        <v>4</v>
      </c>
      <c r="D71" s="138">
        <f t="shared" si="28"/>
        <v>0</v>
      </c>
      <c r="E71" s="138">
        <f t="shared" si="29"/>
        <v>5</v>
      </c>
      <c r="F71" s="138">
        <f t="shared" si="30"/>
        <v>0</v>
      </c>
      <c r="G71" s="138">
        <f t="shared" si="31"/>
        <v>30</v>
      </c>
      <c r="H71" s="138">
        <f t="shared" si="32"/>
        <v>0</v>
      </c>
      <c r="I71" s="138">
        <f t="shared" si="33"/>
        <v>7</v>
      </c>
      <c r="J71" s="138">
        <f t="shared" si="34"/>
        <v>0</v>
      </c>
      <c r="K71" s="138">
        <f t="shared" si="35"/>
        <v>24</v>
      </c>
      <c r="L71" s="138">
        <f t="shared" si="36"/>
        <v>0</v>
      </c>
      <c r="M71" s="138">
        <f t="shared" si="37"/>
        <v>9</v>
      </c>
      <c r="N71" s="138">
        <f t="shared" si="38"/>
        <v>0</v>
      </c>
      <c r="O71" s="138">
        <f>C71+E71+G71+I71+K71+M71</f>
        <v>79</v>
      </c>
      <c r="P71" s="154" t="s">
        <v>96</v>
      </c>
      <c r="Q71" s="141"/>
      <c r="R71" s="137">
        <f>O71*Q71</f>
        <v>0</v>
      </c>
      <c r="T71" s="142">
        <v>1</v>
      </c>
      <c r="U71" s="142">
        <v>1</v>
      </c>
    </row>
    <row r="72" spans="1:21" x14ac:dyDescent="0.2">
      <c r="A72" s="139"/>
      <c r="B72" s="136"/>
      <c r="C72" s="138">
        <f t="shared" si="27"/>
        <v>0</v>
      </c>
      <c r="D72" s="138">
        <f t="shared" si="28"/>
        <v>0</v>
      </c>
      <c r="E72" s="138">
        <f t="shared" si="29"/>
        <v>0</v>
      </c>
      <c r="F72" s="138">
        <f t="shared" si="30"/>
        <v>0</v>
      </c>
      <c r="G72" s="138">
        <f t="shared" si="31"/>
        <v>0</v>
      </c>
      <c r="H72" s="138">
        <f t="shared" si="32"/>
        <v>0</v>
      </c>
      <c r="I72" s="138">
        <f t="shared" si="33"/>
        <v>0</v>
      </c>
      <c r="J72" s="138">
        <f t="shared" si="34"/>
        <v>0</v>
      </c>
      <c r="K72" s="138">
        <f t="shared" si="35"/>
        <v>0</v>
      </c>
      <c r="L72" s="138">
        <f t="shared" si="36"/>
        <v>0</v>
      </c>
      <c r="M72" s="138">
        <f t="shared" si="37"/>
        <v>0</v>
      </c>
      <c r="N72" s="138">
        <f t="shared" si="38"/>
        <v>0</v>
      </c>
      <c r="O72" s="138">
        <f t="shared" si="39"/>
        <v>0</v>
      </c>
      <c r="P72" s="154"/>
      <c r="Q72" s="141"/>
      <c r="R72" s="137"/>
    </row>
    <row r="73" spans="1:21" x14ac:dyDescent="0.2">
      <c r="A73" s="139"/>
      <c r="B73" s="136"/>
      <c r="C73" s="138"/>
      <c r="D73" s="138"/>
      <c r="E73" s="138"/>
      <c r="F73" s="138"/>
      <c r="G73" s="138"/>
      <c r="H73" s="138"/>
      <c r="I73" s="138"/>
      <c r="J73" s="138"/>
      <c r="K73" s="138"/>
      <c r="L73" s="138"/>
      <c r="M73" s="138"/>
      <c r="N73" s="138"/>
      <c r="O73" s="138"/>
      <c r="P73" s="154"/>
      <c r="Q73" s="141"/>
      <c r="R73" s="137"/>
    </row>
    <row r="74" spans="1:21" x14ac:dyDescent="0.2">
      <c r="A74" s="139"/>
      <c r="B74" s="136"/>
      <c r="C74" s="138"/>
      <c r="D74" s="138"/>
      <c r="E74" s="138"/>
      <c r="F74" s="138"/>
      <c r="G74" s="138"/>
      <c r="H74" s="138"/>
      <c r="I74" s="138"/>
      <c r="J74" s="138"/>
      <c r="K74" s="138"/>
      <c r="L74" s="138"/>
      <c r="M74" s="138"/>
      <c r="N74" s="138"/>
      <c r="O74" s="138"/>
      <c r="P74" s="154"/>
      <c r="Q74" s="141"/>
      <c r="R74" s="137"/>
    </row>
    <row r="75" spans="1:21" x14ac:dyDescent="0.2">
      <c r="A75" s="139"/>
      <c r="B75" s="136"/>
      <c r="C75" s="138"/>
      <c r="D75" s="138"/>
      <c r="E75" s="138"/>
      <c r="F75" s="138"/>
      <c r="G75" s="138"/>
      <c r="H75" s="138"/>
      <c r="I75" s="138"/>
      <c r="J75" s="138"/>
      <c r="K75" s="138"/>
      <c r="L75" s="138"/>
      <c r="M75" s="138"/>
      <c r="N75" s="138"/>
      <c r="O75" s="138"/>
      <c r="P75" s="154"/>
      <c r="Q75" s="141"/>
      <c r="R75" s="137"/>
    </row>
    <row r="76" spans="1:21" x14ac:dyDescent="0.2">
      <c r="A76" s="139"/>
      <c r="B76" s="136"/>
      <c r="C76" s="138"/>
      <c r="D76" s="138"/>
      <c r="E76" s="138"/>
      <c r="F76" s="138"/>
      <c r="G76" s="138"/>
      <c r="H76" s="138"/>
      <c r="I76" s="138"/>
      <c r="J76" s="138"/>
      <c r="K76" s="138"/>
      <c r="L76" s="138"/>
      <c r="M76" s="138"/>
      <c r="N76" s="138"/>
      <c r="O76" s="138"/>
      <c r="P76" s="154"/>
      <c r="Q76" s="141"/>
      <c r="R76" s="137"/>
    </row>
    <row r="77" spans="1:21" x14ac:dyDescent="0.2">
      <c r="A77" s="139"/>
      <c r="B77" s="136"/>
      <c r="C77" s="138"/>
      <c r="D77" s="138"/>
      <c r="E77" s="138"/>
      <c r="F77" s="138"/>
      <c r="G77" s="138"/>
      <c r="H77" s="138"/>
      <c r="I77" s="138"/>
      <c r="J77" s="138"/>
      <c r="K77" s="138"/>
      <c r="L77" s="138"/>
      <c r="M77" s="138"/>
      <c r="N77" s="138"/>
      <c r="O77" s="138"/>
      <c r="P77" s="154"/>
      <c r="Q77" s="141"/>
      <c r="R77" s="137"/>
    </row>
    <row r="78" spans="1:21" x14ac:dyDescent="0.2">
      <c r="A78" s="139"/>
      <c r="B78" s="136"/>
      <c r="C78" s="138"/>
      <c r="D78" s="138"/>
      <c r="E78" s="138"/>
      <c r="F78" s="138"/>
      <c r="G78" s="138"/>
      <c r="H78" s="138"/>
      <c r="I78" s="138"/>
      <c r="J78" s="138"/>
      <c r="K78" s="138"/>
      <c r="L78" s="138"/>
      <c r="M78" s="138"/>
      <c r="N78" s="138"/>
      <c r="O78" s="138"/>
      <c r="P78" s="154"/>
      <c r="Q78" s="141"/>
      <c r="R78" s="137"/>
    </row>
    <row r="79" spans="1:21" x14ac:dyDescent="0.2">
      <c r="A79" s="139"/>
      <c r="B79" s="136"/>
      <c r="C79" s="138"/>
      <c r="D79" s="138"/>
      <c r="E79" s="138"/>
      <c r="F79" s="138"/>
      <c r="G79" s="138"/>
      <c r="H79" s="138"/>
      <c r="I79" s="138"/>
      <c r="J79" s="138"/>
      <c r="K79" s="138"/>
      <c r="L79" s="138"/>
      <c r="M79" s="138"/>
      <c r="N79" s="138"/>
      <c r="O79" s="138"/>
      <c r="P79" s="154"/>
      <c r="Q79" s="141"/>
      <c r="R79" s="137"/>
    </row>
    <row r="80" spans="1:21" x14ac:dyDescent="0.2">
      <c r="A80" s="139"/>
      <c r="B80" s="136"/>
      <c r="C80" s="138"/>
      <c r="D80" s="138"/>
      <c r="E80" s="138"/>
      <c r="F80" s="138"/>
      <c r="G80" s="138"/>
      <c r="H80" s="138"/>
      <c r="I80" s="138"/>
      <c r="J80" s="138"/>
      <c r="K80" s="138"/>
      <c r="L80" s="138"/>
      <c r="M80" s="138"/>
      <c r="N80" s="138"/>
      <c r="O80" s="138"/>
      <c r="P80" s="154"/>
      <c r="Q80" s="141"/>
      <c r="R80" s="137"/>
    </row>
    <row r="81" spans="1:18" x14ac:dyDescent="0.2">
      <c r="A81" s="139"/>
      <c r="B81" s="136"/>
      <c r="C81" s="138"/>
      <c r="D81" s="138"/>
      <c r="E81" s="138"/>
      <c r="F81" s="138"/>
      <c r="G81" s="138"/>
      <c r="H81" s="138"/>
      <c r="I81" s="138"/>
      <c r="J81" s="138"/>
      <c r="K81" s="138"/>
      <c r="L81" s="138"/>
      <c r="M81" s="138"/>
      <c r="N81" s="138"/>
      <c r="O81" s="138"/>
      <c r="P81" s="154"/>
      <c r="Q81" s="141"/>
      <c r="R81" s="137"/>
    </row>
    <row r="82" spans="1:18" x14ac:dyDescent="0.2">
      <c r="A82" s="139"/>
      <c r="B82" s="136"/>
      <c r="C82" s="138"/>
      <c r="D82" s="138"/>
      <c r="E82" s="138"/>
      <c r="F82" s="138"/>
      <c r="G82" s="138"/>
      <c r="H82" s="138"/>
      <c r="I82" s="138"/>
      <c r="J82" s="138"/>
      <c r="K82" s="138"/>
      <c r="L82" s="138"/>
      <c r="M82" s="138"/>
      <c r="N82" s="138"/>
      <c r="O82" s="138"/>
      <c r="P82" s="154"/>
      <c r="Q82" s="141"/>
      <c r="R82" s="137"/>
    </row>
    <row r="83" spans="1:18" x14ac:dyDescent="0.2">
      <c r="A83" s="139"/>
      <c r="B83" s="136"/>
      <c r="C83" s="138"/>
      <c r="D83" s="138"/>
      <c r="E83" s="138"/>
      <c r="F83" s="138"/>
      <c r="G83" s="138"/>
      <c r="H83" s="138"/>
      <c r="I83" s="138"/>
      <c r="J83" s="138"/>
      <c r="K83" s="138"/>
      <c r="L83" s="138"/>
      <c r="M83" s="138"/>
      <c r="N83" s="138"/>
      <c r="O83" s="138"/>
      <c r="P83" s="154"/>
      <c r="Q83" s="141"/>
      <c r="R83" s="137"/>
    </row>
    <row r="84" spans="1:18" x14ac:dyDescent="0.2">
      <c r="A84" s="139"/>
      <c r="B84" s="136"/>
      <c r="C84" s="138"/>
      <c r="D84" s="138"/>
      <c r="E84" s="138"/>
      <c r="F84" s="138"/>
      <c r="G84" s="138"/>
      <c r="H84" s="138"/>
      <c r="I84" s="138"/>
      <c r="J84" s="138"/>
      <c r="K84" s="138"/>
      <c r="L84" s="138"/>
      <c r="M84" s="138"/>
      <c r="N84" s="138"/>
      <c r="O84" s="138"/>
      <c r="P84" s="154"/>
      <c r="Q84" s="141"/>
      <c r="R84" s="137"/>
    </row>
    <row r="85" spans="1:18" x14ac:dyDescent="0.2">
      <c r="A85" s="139"/>
      <c r="B85" s="136"/>
      <c r="C85" s="138"/>
      <c r="D85" s="138"/>
      <c r="E85" s="138"/>
      <c r="F85" s="138"/>
      <c r="G85" s="138"/>
      <c r="H85" s="138"/>
      <c r="I85" s="138"/>
      <c r="J85" s="138"/>
      <c r="K85" s="138"/>
      <c r="L85" s="138"/>
      <c r="M85" s="138"/>
      <c r="N85" s="138"/>
      <c r="O85" s="138"/>
      <c r="P85" s="154"/>
      <c r="Q85" s="141"/>
      <c r="R85" s="137"/>
    </row>
    <row r="86" spans="1:18" x14ac:dyDescent="0.2">
      <c r="A86" s="139"/>
      <c r="B86" s="136"/>
      <c r="C86" s="138"/>
      <c r="D86" s="138"/>
      <c r="E86" s="138"/>
      <c r="F86" s="138"/>
      <c r="G86" s="138"/>
      <c r="H86" s="138"/>
      <c r="I86" s="138"/>
      <c r="J86" s="138"/>
      <c r="K86" s="138"/>
      <c r="L86" s="138"/>
      <c r="M86" s="138"/>
      <c r="N86" s="138"/>
      <c r="O86" s="138"/>
      <c r="P86" s="154"/>
      <c r="Q86" s="141"/>
      <c r="R86" s="137"/>
    </row>
    <row r="87" spans="1:18" x14ac:dyDescent="0.2">
      <c r="A87" s="139"/>
      <c r="B87" s="136"/>
      <c r="C87" s="138"/>
      <c r="D87" s="138"/>
      <c r="E87" s="138"/>
      <c r="F87" s="138"/>
      <c r="G87" s="138"/>
      <c r="H87" s="138"/>
      <c r="I87" s="138"/>
      <c r="J87" s="138"/>
      <c r="K87" s="138"/>
      <c r="L87" s="138"/>
      <c r="M87" s="138"/>
      <c r="N87" s="138"/>
      <c r="O87" s="138"/>
      <c r="P87" s="154"/>
      <c r="Q87" s="141"/>
      <c r="R87" s="137"/>
    </row>
    <row r="88" spans="1:18" x14ac:dyDescent="0.2">
      <c r="A88" s="139"/>
      <c r="B88" s="136"/>
      <c r="C88" s="138"/>
      <c r="D88" s="138"/>
      <c r="E88" s="138"/>
      <c r="F88" s="138"/>
      <c r="G88" s="138"/>
      <c r="H88" s="138"/>
      <c r="I88" s="138"/>
      <c r="J88" s="138"/>
      <c r="K88" s="138"/>
      <c r="L88" s="138"/>
      <c r="M88" s="138"/>
      <c r="N88" s="138"/>
      <c r="O88" s="138"/>
      <c r="P88" s="154"/>
      <c r="Q88" s="141"/>
      <c r="R88" s="137"/>
    </row>
    <row r="89" spans="1:18" x14ac:dyDescent="0.2">
      <c r="A89" s="139"/>
      <c r="B89" s="136"/>
      <c r="C89" s="138"/>
      <c r="D89" s="138"/>
      <c r="E89" s="138"/>
      <c r="F89" s="138"/>
      <c r="G89" s="138"/>
      <c r="H89" s="138"/>
      <c r="I89" s="138"/>
      <c r="J89" s="138"/>
      <c r="K89" s="138"/>
      <c r="L89" s="138"/>
      <c r="M89" s="138"/>
      <c r="N89" s="138"/>
      <c r="O89" s="138"/>
      <c r="P89" s="154"/>
      <c r="Q89" s="141"/>
      <c r="R89" s="137"/>
    </row>
    <row r="90" spans="1:18" x14ac:dyDescent="0.2">
      <c r="A90" s="139"/>
      <c r="B90" s="136"/>
      <c r="C90" s="138"/>
      <c r="D90" s="138"/>
      <c r="E90" s="138"/>
      <c r="F90" s="138"/>
      <c r="G90" s="138"/>
      <c r="H90" s="138"/>
      <c r="I90" s="138"/>
      <c r="J90" s="138"/>
      <c r="K90" s="138"/>
      <c r="L90" s="138"/>
      <c r="M90" s="138"/>
      <c r="N90" s="138"/>
      <c r="O90" s="138"/>
      <c r="P90" s="154"/>
      <c r="Q90" s="141"/>
      <c r="R90" s="137"/>
    </row>
    <row r="91" spans="1:18" x14ac:dyDescent="0.2">
      <c r="A91" s="139"/>
      <c r="B91" s="136"/>
      <c r="C91" s="138"/>
      <c r="D91" s="138"/>
      <c r="E91" s="138"/>
      <c r="F91" s="138"/>
      <c r="G91" s="138"/>
      <c r="H91" s="138"/>
      <c r="I91" s="138"/>
      <c r="J91" s="138"/>
      <c r="K91" s="138"/>
      <c r="L91" s="138"/>
      <c r="M91" s="138"/>
      <c r="N91" s="138"/>
      <c r="O91" s="138"/>
      <c r="P91" s="154"/>
      <c r="Q91" s="141"/>
      <c r="R91" s="137"/>
    </row>
    <row r="92" spans="1:18" x14ac:dyDescent="0.2">
      <c r="A92" s="139"/>
      <c r="B92" s="136"/>
      <c r="C92" s="138"/>
      <c r="D92" s="138"/>
      <c r="E92" s="138"/>
      <c r="F92" s="138"/>
      <c r="G92" s="138"/>
      <c r="H92" s="138"/>
      <c r="I92" s="138"/>
      <c r="J92" s="138"/>
      <c r="K92" s="138"/>
      <c r="L92" s="138"/>
      <c r="M92" s="138"/>
      <c r="N92" s="138"/>
      <c r="O92" s="138"/>
      <c r="P92" s="154"/>
      <c r="Q92" s="141"/>
      <c r="R92" s="137"/>
    </row>
    <row r="93" spans="1:18" x14ac:dyDescent="0.2">
      <c r="A93" s="139"/>
      <c r="B93" s="110"/>
      <c r="C93" s="41"/>
      <c r="D93" s="41"/>
      <c r="E93" s="41"/>
      <c r="F93" s="41"/>
      <c r="G93" s="41"/>
      <c r="H93" s="41"/>
      <c r="I93" s="41"/>
      <c r="J93" s="41"/>
      <c r="K93" s="41"/>
      <c r="L93" s="41"/>
      <c r="M93" s="41"/>
      <c r="N93" s="41"/>
      <c r="O93" s="107"/>
      <c r="P93" s="154"/>
      <c r="Q93" s="141"/>
      <c r="R93" s="137"/>
    </row>
    <row r="94" spans="1:18" x14ac:dyDescent="0.2">
      <c r="A94" s="139"/>
      <c r="B94" s="110"/>
      <c r="C94" s="41"/>
      <c r="D94" s="41"/>
      <c r="E94" s="41"/>
      <c r="F94" s="41"/>
      <c r="G94" s="41"/>
      <c r="H94" s="41"/>
      <c r="I94" s="41"/>
      <c r="J94" s="41"/>
      <c r="K94" s="41"/>
      <c r="L94" s="41"/>
      <c r="M94" s="41"/>
      <c r="N94" s="41"/>
      <c r="O94" s="107"/>
      <c r="P94" s="154"/>
      <c r="Q94" s="141"/>
      <c r="R94" s="137"/>
    </row>
    <row r="95" spans="1:18" x14ac:dyDescent="0.2">
      <c r="A95" s="139"/>
      <c r="B95" s="110"/>
      <c r="C95" s="41"/>
      <c r="D95" s="41"/>
      <c r="E95" s="41"/>
      <c r="F95" s="41"/>
      <c r="G95" s="41"/>
      <c r="H95" s="41"/>
      <c r="I95" s="41"/>
      <c r="J95" s="41"/>
      <c r="K95" s="41"/>
      <c r="L95" s="41"/>
      <c r="M95" s="41"/>
      <c r="N95" s="41"/>
      <c r="O95" s="107"/>
      <c r="P95" s="154"/>
      <c r="Q95" s="141"/>
      <c r="R95" s="137"/>
    </row>
    <row r="96" spans="1:18" x14ac:dyDescent="0.2">
      <c r="A96" s="139"/>
      <c r="B96" s="110"/>
      <c r="C96" s="41"/>
      <c r="D96" s="41"/>
      <c r="E96" s="41"/>
      <c r="F96" s="41"/>
      <c r="G96" s="41"/>
      <c r="H96" s="41"/>
      <c r="I96" s="41"/>
      <c r="J96" s="41"/>
      <c r="K96" s="41"/>
      <c r="L96" s="41"/>
      <c r="M96" s="41"/>
      <c r="N96" s="41"/>
      <c r="O96" s="107"/>
      <c r="P96" s="154"/>
      <c r="Q96" s="141"/>
      <c r="R96" s="137"/>
    </row>
    <row r="97" spans="1:21" x14ac:dyDescent="0.2">
      <c r="A97" s="127"/>
      <c r="B97" s="136"/>
      <c r="C97" s="128"/>
      <c r="D97" s="120"/>
      <c r="E97" s="120"/>
      <c r="F97" s="120"/>
      <c r="G97" s="120"/>
      <c r="H97" s="120"/>
      <c r="I97" s="120"/>
      <c r="J97" s="120"/>
      <c r="K97" s="120"/>
      <c r="L97" s="120"/>
      <c r="M97" s="120"/>
      <c r="N97" s="120"/>
      <c r="O97" s="120"/>
      <c r="P97" s="154"/>
      <c r="Q97" s="141"/>
      <c r="R97" s="137"/>
    </row>
    <row r="98" spans="1:21" x14ac:dyDescent="0.2">
      <c r="A98" s="129"/>
      <c r="B98" s="130"/>
      <c r="C98" s="131"/>
      <c r="D98" s="131"/>
      <c r="E98" s="131"/>
      <c r="F98" s="131"/>
      <c r="G98" s="131"/>
      <c r="H98" s="131"/>
      <c r="I98" s="131"/>
      <c r="J98" s="131"/>
      <c r="K98" s="131"/>
      <c r="L98" s="131"/>
      <c r="M98" s="131"/>
      <c r="N98" s="131"/>
      <c r="O98" s="131"/>
      <c r="P98" s="131"/>
      <c r="Q98" s="132"/>
      <c r="R98" s="126"/>
      <c r="T98" s="134"/>
      <c r="U98" s="134"/>
    </row>
    <row r="99" spans="1:21" x14ac:dyDescent="0.2">
      <c r="C99" s="122"/>
      <c r="D99" s="122"/>
      <c r="E99" s="122"/>
      <c r="F99" s="122"/>
      <c r="G99" s="122"/>
      <c r="H99" s="122"/>
      <c r="I99" s="122"/>
      <c r="J99" s="122"/>
      <c r="K99" s="122"/>
      <c r="L99" s="122"/>
      <c r="M99" s="122"/>
      <c r="N99" s="122"/>
      <c r="O99" s="122"/>
      <c r="P99" s="171" t="s">
        <v>1</v>
      </c>
      <c r="Q99" s="133" t="s">
        <v>0</v>
      </c>
      <c r="R99" s="137">
        <f>SUM(R52:R97)</f>
        <v>0</v>
      </c>
      <c r="T99" s="135"/>
      <c r="U99" s="135"/>
    </row>
    <row r="100" spans="1:21" x14ac:dyDescent="0.2">
      <c r="P100" s="188"/>
      <c r="Q100" s="124"/>
      <c r="R100" s="125"/>
    </row>
    <row r="101" spans="1:21" x14ac:dyDescent="0.2">
      <c r="A101" s="139"/>
      <c r="B101" s="136"/>
      <c r="C101" s="138"/>
      <c r="D101" s="138"/>
      <c r="E101" s="138"/>
      <c r="F101" s="138"/>
      <c r="G101" s="138"/>
      <c r="H101" s="138"/>
      <c r="I101" s="138"/>
      <c r="J101" s="138"/>
      <c r="K101" s="138"/>
      <c r="L101" s="138"/>
      <c r="M101" s="138"/>
      <c r="N101" s="138"/>
      <c r="O101" s="138"/>
      <c r="P101" s="154"/>
      <c r="Q101" s="141"/>
      <c r="R101" s="137"/>
    </row>
    <row r="102" spans="1:21" x14ac:dyDescent="0.2">
      <c r="A102" s="139"/>
      <c r="B102" s="174" t="s">
        <v>110</v>
      </c>
      <c r="C102" s="128"/>
      <c r="D102" s="120"/>
      <c r="E102" s="120"/>
      <c r="F102" s="120"/>
      <c r="G102" s="120"/>
      <c r="H102" s="120"/>
      <c r="I102" s="120"/>
      <c r="J102" s="120"/>
      <c r="K102" s="120"/>
      <c r="L102" s="120"/>
      <c r="M102" s="120"/>
      <c r="N102" s="120"/>
      <c r="O102" s="120"/>
      <c r="P102" s="154"/>
      <c r="Q102" s="141"/>
      <c r="R102" s="137"/>
    </row>
    <row r="103" spans="1:21" x14ac:dyDescent="0.2">
      <c r="A103" s="139"/>
      <c r="B103" s="111"/>
      <c r="C103" s="138"/>
      <c r="D103" s="138"/>
      <c r="E103" s="138"/>
      <c r="F103" s="138"/>
      <c r="G103" s="138"/>
      <c r="H103" s="138"/>
      <c r="I103" s="138"/>
      <c r="J103" s="138"/>
      <c r="K103" s="138"/>
      <c r="L103" s="138"/>
      <c r="M103" s="138"/>
      <c r="N103" s="138"/>
      <c r="O103" s="138"/>
      <c r="P103" s="154"/>
      <c r="Q103" s="141"/>
      <c r="R103" s="137"/>
    </row>
    <row r="104" spans="1:21" ht="28.5" x14ac:dyDescent="0.2">
      <c r="A104" s="139"/>
      <c r="B104" s="114" t="s">
        <v>287</v>
      </c>
      <c r="C104" s="138">
        <f t="shared" ref="C104:C133" si="44">ROUND((2*$T104+2*$U104)*C$3,0)</f>
        <v>0</v>
      </c>
      <c r="D104" s="138">
        <f t="shared" ref="D104:D133" si="45">C104*$Q104</f>
        <v>0</v>
      </c>
      <c r="E104" s="138">
        <f t="shared" ref="E104:E133" si="46">ROUND((2*$T104+3*$U104)*E$3,0)</f>
        <v>0</v>
      </c>
      <c r="F104" s="138">
        <f t="shared" ref="F104:F133" si="47">E104*$Q104</f>
        <v>0</v>
      </c>
      <c r="G104" s="138">
        <f t="shared" ref="G104:G133" si="48">ROUND((2*$T104+4*$U104)*G$3,0)</f>
        <v>0</v>
      </c>
      <c r="H104" s="138">
        <f t="shared" ref="H104:H133" si="49">G104*$Q104</f>
        <v>0</v>
      </c>
      <c r="I104" s="138">
        <f t="shared" ref="I104:I133" si="50">ROUND((2*$T104+5*$U104)*I$3,0)</f>
        <v>0</v>
      </c>
      <c r="J104" s="138">
        <f t="shared" ref="J104:J133" si="51">I104*$Q104</f>
        <v>0</v>
      </c>
      <c r="K104" s="138">
        <f t="shared" ref="K104:K133" si="52">ROUND((2*$T104+6*$U104)*K$3,0)</f>
        <v>0</v>
      </c>
      <c r="L104" s="138">
        <f t="shared" ref="L104:L133" si="53">K104*$Q104</f>
        <v>0</v>
      </c>
      <c r="M104" s="138">
        <f t="shared" ref="M104:M133" si="54">ROUND((2*$T104+7*$U104)*M$3,0)</f>
        <v>0</v>
      </c>
      <c r="N104" s="138">
        <f t="shared" ref="N104:N133" si="55">M104*$Q104</f>
        <v>0</v>
      </c>
      <c r="O104" s="138">
        <f t="shared" ref="O104:O133" si="56">C104+E104+G104+I104+K104+M104</f>
        <v>0</v>
      </c>
      <c r="P104" s="154"/>
      <c r="Q104" s="141"/>
      <c r="R104" s="137"/>
    </row>
    <row r="105" spans="1:21" x14ac:dyDescent="0.2">
      <c r="A105" s="139"/>
      <c r="B105" s="110"/>
      <c r="C105" s="138">
        <f t="shared" si="44"/>
        <v>0</v>
      </c>
      <c r="D105" s="138">
        <f t="shared" si="45"/>
        <v>0</v>
      </c>
      <c r="E105" s="138">
        <f t="shared" si="46"/>
        <v>0</v>
      </c>
      <c r="F105" s="138">
        <f t="shared" si="47"/>
        <v>0</v>
      </c>
      <c r="G105" s="138">
        <f t="shared" si="48"/>
        <v>0</v>
      </c>
      <c r="H105" s="138">
        <f t="shared" si="49"/>
        <v>0</v>
      </c>
      <c r="I105" s="138">
        <f t="shared" si="50"/>
        <v>0</v>
      </c>
      <c r="J105" s="138">
        <f t="shared" si="51"/>
        <v>0</v>
      </c>
      <c r="K105" s="138">
        <f t="shared" si="52"/>
        <v>0</v>
      </c>
      <c r="L105" s="138">
        <f t="shared" si="53"/>
        <v>0</v>
      </c>
      <c r="M105" s="138">
        <f t="shared" si="54"/>
        <v>0</v>
      </c>
      <c r="N105" s="138">
        <f t="shared" si="55"/>
        <v>0</v>
      </c>
      <c r="O105" s="138">
        <f t="shared" si="56"/>
        <v>0</v>
      </c>
      <c r="P105" s="154"/>
      <c r="Q105" s="141"/>
      <c r="R105" s="137"/>
    </row>
    <row r="106" spans="1:21" x14ac:dyDescent="0.2">
      <c r="A106" s="139" t="s">
        <v>66</v>
      </c>
      <c r="B106" s="110" t="s">
        <v>105</v>
      </c>
      <c r="C106" s="223">
        <f>(2*$T106+2*$U106)*C$3</f>
        <v>5.5883333333333329</v>
      </c>
      <c r="D106" s="223">
        <f t="shared" si="45"/>
        <v>0</v>
      </c>
      <c r="E106" s="223">
        <f>(2*$T106+3*$U106)*E$3</f>
        <v>7.0133333333333336</v>
      </c>
      <c r="F106" s="223">
        <f t="shared" si="47"/>
        <v>0</v>
      </c>
      <c r="G106" s="223">
        <f>(2*$T106+4*$U106)*G$3</f>
        <v>42.191666666666663</v>
      </c>
      <c r="H106" s="223">
        <f t="shared" si="49"/>
        <v>0</v>
      </c>
      <c r="I106" s="223">
        <f>(2*$T106+5*$U106)*I$3</f>
        <v>9.8633333333333333</v>
      </c>
      <c r="J106" s="223">
        <f t="shared" si="51"/>
        <v>0</v>
      </c>
      <c r="K106" s="223">
        <f>(2*$T106+6*$U106)*K$3</f>
        <v>33.865000000000002</v>
      </c>
      <c r="L106" s="217">
        <f t="shared" si="53"/>
        <v>0</v>
      </c>
      <c r="M106" s="223">
        <f>(2*$T106+7*$U106)*M$3</f>
        <v>12.713333333333333</v>
      </c>
      <c r="N106" s="217">
        <f t="shared" si="55"/>
        <v>0</v>
      </c>
      <c r="O106" s="223">
        <f>C106+E106+G106+I106+K106+M106</f>
        <v>111.23500000000001</v>
      </c>
      <c r="P106" s="154" t="s">
        <v>111</v>
      </c>
      <c r="Q106" s="141"/>
      <c r="R106" s="137">
        <f t="shared" ref="R106" si="57">O106*Q106</f>
        <v>0</v>
      </c>
      <c r="T106" s="142">
        <f>0.053*T23</f>
        <v>1.3691666666666666</v>
      </c>
      <c r="U106" s="142">
        <f>0.057*U23</f>
        <v>1.425</v>
      </c>
    </row>
    <row r="107" spans="1:21" x14ac:dyDescent="0.2">
      <c r="A107" s="139"/>
      <c r="B107" s="110"/>
      <c r="C107" s="205">
        <f t="shared" ref="C107:C128" si="58">(2*$T107+2*$U107)*C$3</f>
        <v>0</v>
      </c>
      <c r="D107" s="205">
        <f t="shared" ref="D107:D126" si="59">C107*$Q107</f>
        <v>0</v>
      </c>
      <c r="E107" s="205">
        <f t="shared" ref="E107:E128" si="60">(2*$T107+3*$U107)*E$3</f>
        <v>0</v>
      </c>
      <c r="F107" s="205">
        <f t="shared" ref="F107:F126" si="61">E107*$Q107</f>
        <v>0</v>
      </c>
      <c r="G107" s="205">
        <f t="shared" ref="G107:G128" si="62">(2*$T107+4*$U107)*G$3</f>
        <v>0</v>
      </c>
      <c r="H107" s="205">
        <f t="shared" ref="H107:H126" si="63">G107*$Q107</f>
        <v>0</v>
      </c>
      <c r="I107" s="205">
        <f t="shared" ref="I107:I128" si="64">(2*$T107+5*$U107)*I$3</f>
        <v>0</v>
      </c>
      <c r="J107" s="205">
        <f t="shared" ref="J107:J126" si="65">I107*$Q107</f>
        <v>0</v>
      </c>
      <c r="K107" s="205">
        <f t="shared" ref="K107:K128" si="66">(2*$T107+6*$U107)*K$3</f>
        <v>0</v>
      </c>
      <c r="L107" s="138">
        <f t="shared" ref="L107:L126" si="67">K107*$Q107</f>
        <v>0</v>
      </c>
      <c r="M107" s="205">
        <f t="shared" ref="M107:M128" si="68">(2*$T107+7*$U107)*M$3</f>
        <v>0</v>
      </c>
      <c r="N107" s="138">
        <f t="shared" si="55"/>
        <v>0</v>
      </c>
      <c r="O107" s="41">
        <f t="shared" si="56"/>
        <v>0</v>
      </c>
      <c r="P107" s="154"/>
      <c r="Q107" s="141"/>
      <c r="R107" s="137"/>
    </row>
    <row r="108" spans="1:21" x14ac:dyDescent="0.2">
      <c r="A108" s="139" t="s">
        <v>67</v>
      </c>
      <c r="B108" s="110" t="s">
        <v>187</v>
      </c>
      <c r="C108" s="205">
        <f t="shared" si="58"/>
        <v>0.60000000000000009</v>
      </c>
      <c r="D108" s="205">
        <f t="shared" si="59"/>
        <v>0</v>
      </c>
      <c r="E108" s="205">
        <f t="shared" si="60"/>
        <v>0.74</v>
      </c>
      <c r="F108" s="205">
        <f t="shared" si="61"/>
        <v>0</v>
      </c>
      <c r="G108" s="205">
        <f t="shared" si="62"/>
        <v>4.4000000000000004</v>
      </c>
      <c r="H108" s="205">
        <f t="shared" si="63"/>
        <v>0</v>
      </c>
      <c r="I108" s="205">
        <f t="shared" si="64"/>
        <v>1.02</v>
      </c>
      <c r="J108" s="205">
        <f t="shared" si="65"/>
        <v>0</v>
      </c>
      <c r="K108" s="205">
        <f>(2*$T108+6*$U108)*K$3</f>
        <v>3.4800000000000004</v>
      </c>
      <c r="L108" s="138">
        <f t="shared" si="67"/>
        <v>0</v>
      </c>
      <c r="M108" s="205">
        <f t="shared" si="68"/>
        <v>1.3</v>
      </c>
      <c r="N108" s="138">
        <f t="shared" si="55"/>
        <v>0</v>
      </c>
      <c r="O108" s="41">
        <f>C108+E108+G108+I108+K108+M108</f>
        <v>11.540000000000001</v>
      </c>
      <c r="P108" s="154" t="s">
        <v>111</v>
      </c>
      <c r="Q108" s="141"/>
      <c r="R108" s="137">
        <f t="shared" ref="R108" si="69">O108*Q108</f>
        <v>0</v>
      </c>
      <c r="T108" s="142">
        <v>0.16</v>
      </c>
      <c r="U108" s="142">
        <v>0.14000000000000001</v>
      </c>
    </row>
    <row r="109" spans="1:21" x14ac:dyDescent="0.2">
      <c r="A109" s="139"/>
      <c r="B109" s="136"/>
      <c r="C109" s="205">
        <f t="shared" si="58"/>
        <v>0</v>
      </c>
      <c r="D109" s="205">
        <f t="shared" si="59"/>
        <v>0</v>
      </c>
      <c r="E109" s="205">
        <f t="shared" si="60"/>
        <v>0</v>
      </c>
      <c r="F109" s="205">
        <f t="shared" si="61"/>
        <v>0</v>
      </c>
      <c r="G109" s="205">
        <f t="shared" si="62"/>
        <v>0</v>
      </c>
      <c r="H109" s="205">
        <f t="shared" si="63"/>
        <v>0</v>
      </c>
      <c r="I109" s="205">
        <f t="shared" si="64"/>
        <v>0</v>
      </c>
      <c r="J109" s="205">
        <f t="shared" si="65"/>
        <v>0</v>
      </c>
      <c r="K109" s="205">
        <f t="shared" si="66"/>
        <v>0</v>
      </c>
      <c r="L109" s="138">
        <f t="shared" si="67"/>
        <v>0</v>
      </c>
      <c r="M109" s="205">
        <f t="shared" si="68"/>
        <v>0</v>
      </c>
      <c r="N109" s="138">
        <f t="shared" si="55"/>
        <v>0</v>
      </c>
      <c r="O109" s="41">
        <f t="shared" si="56"/>
        <v>0</v>
      </c>
      <c r="P109" s="154"/>
      <c r="Q109" s="141"/>
      <c r="R109" s="137"/>
    </row>
    <row r="110" spans="1:21" x14ac:dyDescent="0.2">
      <c r="A110" s="139" t="s">
        <v>68</v>
      </c>
      <c r="B110" s="136" t="s">
        <v>282</v>
      </c>
      <c r="C110" s="223">
        <f t="shared" si="58"/>
        <v>0.29799999999999999</v>
      </c>
      <c r="D110" s="223">
        <f t="shared" si="59"/>
        <v>0</v>
      </c>
      <c r="E110" s="223">
        <f t="shared" si="60"/>
        <v>0.29799999999999999</v>
      </c>
      <c r="F110" s="223">
        <f t="shared" si="61"/>
        <v>0</v>
      </c>
      <c r="G110" s="223">
        <f t="shared" si="62"/>
        <v>1.49</v>
      </c>
      <c r="H110" s="223">
        <f t="shared" si="63"/>
        <v>0</v>
      </c>
      <c r="I110" s="223">
        <f t="shared" si="64"/>
        <v>0.29799999999999999</v>
      </c>
      <c r="J110" s="223">
        <f t="shared" si="65"/>
        <v>0</v>
      </c>
      <c r="K110" s="223">
        <f t="shared" si="66"/>
        <v>0.89399999999999991</v>
      </c>
      <c r="L110" s="217">
        <f t="shared" si="67"/>
        <v>0</v>
      </c>
      <c r="M110" s="223">
        <f t="shared" si="68"/>
        <v>0.29799999999999999</v>
      </c>
      <c r="N110" s="217">
        <f t="shared" si="55"/>
        <v>0</v>
      </c>
      <c r="O110" s="223">
        <f>C110+E110+G110+I110+K110+M110</f>
        <v>3.5759999999999996</v>
      </c>
      <c r="P110" s="154" t="s">
        <v>111</v>
      </c>
      <c r="Q110" s="141"/>
      <c r="R110" s="137">
        <f t="shared" ref="R110" si="70">O110*Q110</f>
        <v>0</v>
      </c>
      <c r="T110" s="142">
        <f>0.149*T27</f>
        <v>0.14899999999999999</v>
      </c>
      <c r="U110" s="142">
        <f>0.166*U27</f>
        <v>0</v>
      </c>
    </row>
    <row r="111" spans="1:21" x14ac:dyDescent="0.2">
      <c r="A111" s="139"/>
      <c r="B111" s="110"/>
      <c r="C111" s="205">
        <f t="shared" si="58"/>
        <v>0</v>
      </c>
      <c r="D111" s="205">
        <f t="shared" si="59"/>
        <v>0</v>
      </c>
      <c r="E111" s="205">
        <f t="shared" si="60"/>
        <v>0</v>
      </c>
      <c r="F111" s="205">
        <f t="shared" si="61"/>
        <v>0</v>
      </c>
      <c r="G111" s="205">
        <f t="shared" si="62"/>
        <v>0</v>
      </c>
      <c r="H111" s="205">
        <f t="shared" si="63"/>
        <v>0</v>
      </c>
      <c r="I111" s="205">
        <f t="shared" si="64"/>
        <v>0</v>
      </c>
      <c r="J111" s="205">
        <f t="shared" si="65"/>
        <v>0</v>
      </c>
      <c r="K111" s="205">
        <f t="shared" si="66"/>
        <v>0</v>
      </c>
      <c r="L111" s="138">
        <f t="shared" si="67"/>
        <v>0</v>
      </c>
      <c r="M111" s="205">
        <f t="shared" si="68"/>
        <v>0</v>
      </c>
      <c r="N111" s="138">
        <f t="shared" si="55"/>
        <v>0</v>
      </c>
      <c r="O111" s="41">
        <f t="shared" si="56"/>
        <v>0</v>
      </c>
      <c r="P111" s="154"/>
      <c r="Q111" s="141"/>
      <c r="R111" s="137"/>
    </row>
    <row r="112" spans="1:21" x14ac:dyDescent="0.2">
      <c r="A112" s="139" t="s">
        <v>69</v>
      </c>
      <c r="B112" s="110" t="s">
        <v>283</v>
      </c>
      <c r="C112" s="205">
        <f t="shared" si="58"/>
        <v>1.1659999999999999</v>
      </c>
      <c r="D112" s="205">
        <f t="shared" si="59"/>
        <v>0</v>
      </c>
      <c r="E112" s="205">
        <f t="shared" si="60"/>
        <v>1.4609999999999999</v>
      </c>
      <c r="F112" s="205">
        <f t="shared" si="61"/>
        <v>0</v>
      </c>
      <c r="G112" s="205">
        <f t="shared" si="62"/>
        <v>8.7799999999999994</v>
      </c>
      <c r="H112" s="205">
        <f t="shared" si="63"/>
        <v>0</v>
      </c>
      <c r="I112" s="205">
        <f t="shared" si="64"/>
        <v>2.0509999999999997</v>
      </c>
      <c r="J112" s="205">
        <f t="shared" si="65"/>
        <v>0</v>
      </c>
      <c r="K112" s="205">
        <f t="shared" si="66"/>
        <v>7.0380000000000003</v>
      </c>
      <c r="L112" s="138">
        <f t="shared" si="67"/>
        <v>0</v>
      </c>
      <c r="M112" s="205">
        <f t="shared" si="68"/>
        <v>2.641</v>
      </c>
      <c r="N112" s="138">
        <f t="shared" si="55"/>
        <v>0</v>
      </c>
      <c r="O112" s="41">
        <f>C112+E112+G112+I112+K112+M112</f>
        <v>23.137</v>
      </c>
      <c r="P112" s="154" t="s">
        <v>111</v>
      </c>
      <c r="Q112" s="141"/>
      <c r="R112" s="137">
        <f t="shared" ref="R112" si="71">O112*Q112</f>
        <v>0</v>
      </c>
      <c r="T112" s="142">
        <f>0.072*T29</f>
        <v>0.28799999999999998</v>
      </c>
      <c r="U112" s="142">
        <f>0.059*U29</f>
        <v>0.29499999999999998</v>
      </c>
    </row>
    <row r="113" spans="1:21" x14ac:dyDescent="0.2">
      <c r="A113" s="139"/>
      <c r="B113" s="110"/>
      <c r="C113" s="205">
        <f t="shared" si="58"/>
        <v>0</v>
      </c>
      <c r="D113" s="205">
        <f t="shared" si="59"/>
        <v>0</v>
      </c>
      <c r="E113" s="205">
        <f t="shared" si="60"/>
        <v>0</v>
      </c>
      <c r="F113" s="205">
        <f t="shared" si="61"/>
        <v>0</v>
      </c>
      <c r="G113" s="205">
        <f t="shared" si="62"/>
        <v>0</v>
      </c>
      <c r="H113" s="205">
        <f t="shared" si="63"/>
        <v>0</v>
      </c>
      <c r="I113" s="205">
        <f t="shared" si="64"/>
        <v>0</v>
      </c>
      <c r="J113" s="205">
        <f t="shared" si="65"/>
        <v>0</v>
      </c>
      <c r="K113" s="205">
        <f t="shared" si="66"/>
        <v>0</v>
      </c>
      <c r="L113" s="138">
        <f t="shared" si="67"/>
        <v>0</v>
      </c>
      <c r="M113" s="205">
        <f t="shared" si="68"/>
        <v>0</v>
      </c>
      <c r="N113" s="138">
        <f t="shared" si="55"/>
        <v>0</v>
      </c>
      <c r="O113" s="41">
        <f t="shared" si="56"/>
        <v>0</v>
      </c>
      <c r="P113" s="154"/>
      <c r="Q113" s="141"/>
      <c r="R113" s="137"/>
    </row>
    <row r="114" spans="1:21" x14ac:dyDescent="0.2">
      <c r="A114" s="139" t="s">
        <v>70</v>
      </c>
      <c r="B114" s="110" t="s">
        <v>106</v>
      </c>
      <c r="C114" s="205">
        <f t="shared" si="58"/>
        <v>1.8355636363636363</v>
      </c>
      <c r="D114" s="205">
        <f t="shared" si="59"/>
        <v>0</v>
      </c>
      <c r="E114" s="205">
        <f t="shared" si="60"/>
        <v>2.1593454545454547</v>
      </c>
      <c r="F114" s="205">
        <f t="shared" si="61"/>
        <v>0</v>
      </c>
      <c r="G114" s="205">
        <f t="shared" si="62"/>
        <v>12.415636363636363</v>
      </c>
      <c r="H114" s="205">
        <f t="shared" si="63"/>
        <v>0</v>
      </c>
      <c r="I114" s="205">
        <f t="shared" si="64"/>
        <v>2.806909090909091</v>
      </c>
      <c r="J114" s="205">
        <f t="shared" si="65"/>
        <v>0</v>
      </c>
      <c r="K114" s="205">
        <f t="shared" si="66"/>
        <v>9.3920727272727262</v>
      </c>
      <c r="L114" s="138">
        <f t="shared" si="67"/>
        <v>0</v>
      </c>
      <c r="M114" s="205">
        <f t="shared" si="68"/>
        <v>3.4544727272727274</v>
      </c>
      <c r="N114" s="138">
        <f t="shared" si="55"/>
        <v>0</v>
      </c>
      <c r="O114" s="41">
        <f>C114+E114+G114+I114+K114+M114</f>
        <v>32.064</v>
      </c>
      <c r="P114" s="154" t="s">
        <v>111</v>
      </c>
      <c r="Q114" s="141"/>
      <c r="R114" s="137">
        <f t="shared" ref="R114" si="72">O114*Q114</f>
        <v>0</v>
      </c>
      <c r="T114" s="142">
        <f>0.297*T31</f>
        <v>0.59399999999999997</v>
      </c>
      <c r="U114" s="142">
        <f>0.212*U31</f>
        <v>0.32378181818181817</v>
      </c>
    </row>
    <row r="115" spans="1:21" x14ac:dyDescent="0.2">
      <c r="A115" s="139"/>
      <c r="B115" s="110"/>
      <c r="C115" s="205">
        <f t="shared" si="58"/>
        <v>0</v>
      </c>
      <c r="D115" s="205">
        <f t="shared" si="59"/>
        <v>0</v>
      </c>
      <c r="E115" s="205">
        <f t="shared" si="60"/>
        <v>0</v>
      </c>
      <c r="F115" s="205">
        <f t="shared" si="61"/>
        <v>0</v>
      </c>
      <c r="G115" s="205">
        <f t="shared" si="62"/>
        <v>0</v>
      </c>
      <c r="H115" s="205">
        <f t="shared" si="63"/>
        <v>0</v>
      </c>
      <c r="I115" s="205">
        <f t="shared" si="64"/>
        <v>0</v>
      </c>
      <c r="J115" s="205">
        <f t="shared" si="65"/>
        <v>0</v>
      </c>
      <c r="K115" s="205">
        <f t="shared" si="66"/>
        <v>0</v>
      </c>
      <c r="L115" s="138">
        <f t="shared" si="67"/>
        <v>0</v>
      </c>
      <c r="M115" s="205">
        <f t="shared" si="68"/>
        <v>0</v>
      </c>
      <c r="N115" s="138">
        <f t="shared" si="55"/>
        <v>0</v>
      </c>
      <c r="O115" s="41">
        <f t="shared" si="56"/>
        <v>0</v>
      </c>
      <c r="P115" s="154"/>
      <c r="Q115" s="141"/>
      <c r="R115" s="137"/>
    </row>
    <row r="116" spans="1:21" x14ac:dyDescent="0.2">
      <c r="A116" s="139" t="s">
        <v>71</v>
      </c>
      <c r="B116" s="110" t="s">
        <v>107</v>
      </c>
      <c r="C116" s="205">
        <f t="shared" si="58"/>
        <v>5.88</v>
      </c>
      <c r="D116" s="205">
        <f t="shared" si="59"/>
        <v>0</v>
      </c>
      <c r="E116" s="205">
        <f t="shared" si="60"/>
        <v>6.84</v>
      </c>
      <c r="F116" s="205">
        <f t="shared" si="61"/>
        <v>0</v>
      </c>
      <c r="G116" s="205">
        <f t="shared" si="62"/>
        <v>39</v>
      </c>
      <c r="H116" s="205">
        <f t="shared" si="63"/>
        <v>0</v>
      </c>
      <c r="I116" s="205">
        <f t="shared" si="64"/>
        <v>8.76</v>
      </c>
      <c r="J116" s="205">
        <f t="shared" si="65"/>
        <v>0</v>
      </c>
      <c r="K116" s="205">
        <f t="shared" si="66"/>
        <v>29.159999999999997</v>
      </c>
      <c r="L116" s="138">
        <f t="shared" si="67"/>
        <v>0</v>
      </c>
      <c r="M116" s="205">
        <f t="shared" si="68"/>
        <v>10.68</v>
      </c>
      <c r="N116" s="138">
        <f t="shared" si="55"/>
        <v>0</v>
      </c>
      <c r="O116" s="41">
        <f>C116+E116+G116+I116+K116+M116</f>
        <v>100.32</v>
      </c>
      <c r="P116" s="154" t="s">
        <v>111</v>
      </c>
      <c r="Q116" s="141"/>
      <c r="R116" s="137">
        <f t="shared" ref="R116" si="73">O116*Q116</f>
        <v>0</v>
      </c>
      <c r="T116" s="142">
        <f>0.198*T57</f>
        <v>1.98</v>
      </c>
      <c r="U116" s="142">
        <f>0.12*U57</f>
        <v>0.96</v>
      </c>
    </row>
    <row r="117" spans="1:21" x14ac:dyDescent="0.2">
      <c r="A117" s="139"/>
      <c r="B117" s="110"/>
      <c r="C117" s="205">
        <f t="shared" si="58"/>
        <v>0</v>
      </c>
      <c r="D117" s="205">
        <f t="shared" si="59"/>
        <v>0</v>
      </c>
      <c r="E117" s="205">
        <f t="shared" si="60"/>
        <v>0</v>
      </c>
      <c r="F117" s="205">
        <f t="shared" si="61"/>
        <v>0</v>
      </c>
      <c r="G117" s="205">
        <f t="shared" si="62"/>
        <v>0</v>
      </c>
      <c r="H117" s="205">
        <f t="shared" si="63"/>
        <v>0</v>
      </c>
      <c r="I117" s="205">
        <f t="shared" si="64"/>
        <v>0</v>
      </c>
      <c r="J117" s="205">
        <f t="shared" si="65"/>
        <v>0</v>
      </c>
      <c r="K117" s="205">
        <f t="shared" si="66"/>
        <v>0</v>
      </c>
      <c r="L117" s="138">
        <f t="shared" si="67"/>
        <v>0</v>
      </c>
      <c r="M117" s="205">
        <f t="shared" si="68"/>
        <v>0</v>
      </c>
      <c r="N117" s="138">
        <f t="shared" si="55"/>
        <v>0</v>
      </c>
      <c r="O117" s="41">
        <f t="shared" si="56"/>
        <v>0</v>
      </c>
      <c r="P117" s="154"/>
      <c r="Q117" s="141"/>
      <c r="R117" s="137"/>
    </row>
    <row r="118" spans="1:21" x14ac:dyDescent="0.2">
      <c r="A118" s="139" t="s">
        <v>72</v>
      </c>
      <c r="B118" s="110" t="s">
        <v>112</v>
      </c>
      <c r="C118" s="205">
        <f t="shared" si="58"/>
        <v>15.988000000000001</v>
      </c>
      <c r="D118" s="205">
        <f t="shared" si="59"/>
        <v>0</v>
      </c>
      <c r="E118" s="205">
        <f t="shared" si="60"/>
        <v>19.614000000000001</v>
      </c>
      <c r="F118" s="205">
        <f t="shared" si="61"/>
        <v>0</v>
      </c>
      <c r="G118" s="205">
        <f t="shared" si="62"/>
        <v>116.20000000000002</v>
      </c>
      <c r="H118" s="205">
        <f t="shared" si="63"/>
        <v>0</v>
      </c>
      <c r="I118" s="205">
        <f t="shared" si="64"/>
        <v>26.866000000000003</v>
      </c>
      <c r="J118" s="205">
        <f t="shared" si="65"/>
        <v>0</v>
      </c>
      <c r="K118" s="205">
        <f t="shared" si="66"/>
        <v>91.475999999999999</v>
      </c>
      <c r="L118" s="138">
        <f t="shared" si="67"/>
        <v>0</v>
      </c>
      <c r="M118" s="205">
        <f t="shared" si="68"/>
        <v>34.118000000000002</v>
      </c>
      <c r="N118" s="138">
        <f t="shared" si="55"/>
        <v>0</v>
      </c>
      <c r="O118" s="41">
        <f>C118+E118+G118+I118+K118+M118</f>
        <v>304.262</v>
      </c>
      <c r="P118" s="154" t="s">
        <v>111</v>
      </c>
      <c r="Q118" s="141"/>
      <c r="R118" s="137">
        <f t="shared" ref="R118" si="74">O118*Q118</f>
        <v>0</v>
      </c>
      <c r="T118" s="142">
        <f>0.112*(T59+T61)</f>
        <v>4.3680000000000003</v>
      </c>
      <c r="U118" s="142">
        <f>0.098*(U59+U61)</f>
        <v>3.6260000000000003</v>
      </c>
    </row>
    <row r="119" spans="1:21" x14ac:dyDescent="0.2">
      <c r="A119" s="139"/>
      <c r="B119" s="110"/>
      <c r="C119" s="205">
        <f t="shared" si="58"/>
        <v>0</v>
      </c>
      <c r="D119" s="205">
        <f t="shared" si="59"/>
        <v>0</v>
      </c>
      <c r="E119" s="205">
        <f t="shared" si="60"/>
        <v>0</v>
      </c>
      <c r="F119" s="205">
        <f t="shared" si="61"/>
        <v>0</v>
      </c>
      <c r="G119" s="205">
        <f t="shared" si="62"/>
        <v>0</v>
      </c>
      <c r="H119" s="205">
        <f t="shared" si="63"/>
        <v>0</v>
      </c>
      <c r="I119" s="205">
        <f t="shared" si="64"/>
        <v>0</v>
      </c>
      <c r="J119" s="205">
        <f t="shared" si="65"/>
        <v>0</v>
      </c>
      <c r="K119" s="205">
        <f t="shared" si="66"/>
        <v>0</v>
      </c>
      <c r="L119" s="138">
        <f t="shared" si="67"/>
        <v>0</v>
      </c>
      <c r="M119" s="205">
        <f t="shared" si="68"/>
        <v>0</v>
      </c>
      <c r="N119" s="138">
        <f t="shared" si="55"/>
        <v>0</v>
      </c>
      <c r="O119" s="41">
        <f t="shared" si="56"/>
        <v>0</v>
      </c>
      <c r="P119" s="154"/>
      <c r="Q119" s="141"/>
      <c r="R119" s="137"/>
    </row>
    <row r="120" spans="1:21" x14ac:dyDescent="0.2">
      <c r="A120" s="139" t="s">
        <v>73</v>
      </c>
      <c r="B120" s="110" t="s">
        <v>109</v>
      </c>
      <c r="C120" s="205">
        <f t="shared" si="58"/>
        <v>0.51</v>
      </c>
      <c r="D120" s="205">
        <f t="shared" si="59"/>
        <v>0</v>
      </c>
      <c r="E120" s="205">
        <f t="shared" si="60"/>
        <v>0.63300000000000001</v>
      </c>
      <c r="F120" s="205">
        <f t="shared" si="61"/>
        <v>0</v>
      </c>
      <c r="G120" s="205">
        <f t="shared" si="62"/>
        <v>3.7800000000000002</v>
      </c>
      <c r="H120" s="205">
        <f t="shared" si="63"/>
        <v>0</v>
      </c>
      <c r="I120" s="205">
        <f t="shared" si="64"/>
        <v>0.879</v>
      </c>
      <c r="J120" s="205">
        <f t="shared" si="65"/>
        <v>0</v>
      </c>
      <c r="K120" s="205">
        <f t="shared" si="66"/>
        <v>3.0060000000000002</v>
      </c>
      <c r="L120" s="138">
        <f t="shared" si="67"/>
        <v>0</v>
      </c>
      <c r="M120" s="205">
        <f t="shared" si="68"/>
        <v>1.125</v>
      </c>
      <c r="N120" s="138">
        <f t="shared" si="55"/>
        <v>0</v>
      </c>
      <c r="O120" s="41">
        <f>C120+E120+G120+I120+K120+M120</f>
        <v>9.9329999999999998</v>
      </c>
      <c r="P120" s="154" t="s">
        <v>111</v>
      </c>
      <c r="Q120" s="141"/>
      <c r="R120" s="137">
        <f t="shared" ref="R120" si="75">O120*Q120</f>
        <v>0</v>
      </c>
      <c r="T120" s="142">
        <f>0.132*T63</f>
        <v>0.13200000000000001</v>
      </c>
      <c r="U120" s="142">
        <f>0.123*U63</f>
        <v>0.123</v>
      </c>
    </row>
    <row r="121" spans="1:21" x14ac:dyDescent="0.2">
      <c r="A121" s="139"/>
      <c r="B121" s="110"/>
      <c r="C121" s="205">
        <f t="shared" si="58"/>
        <v>0</v>
      </c>
      <c r="D121" s="205">
        <f t="shared" si="59"/>
        <v>0</v>
      </c>
      <c r="E121" s="205">
        <f t="shared" si="60"/>
        <v>0</v>
      </c>
      <c r="F121" s="205">
        <f t="shared" si="61"/>
        <v>0</v>
      </c>
      <c r="G121" s="205">
        <f t="shared" si="62"/>
        <v>0</v>
      </c>
      <c r="H121" s="205">
        <f t="shared" si="63"/>
        <v>0</v>
      </c>
      <c r="I121" s="205">
        <f t="shared" si="64"/>
        <v>0</v>
      </c>
      <c r="J121" s="205">
        <f t="shared" si="65"/>
        <v>0</v>
      </c>
      <c r="K121" s="205">
        <f t="shared" si="66"/>
        <v>0</v>
      </c>
      <c r="L121" s="138">
        <f t="shared" si="67"/>
        <v>0</v>
      </c>
      <c r="M121" s="205">
        <f t="shared" si="68"/>
        <v>0</v>
      </c>
      <c r="N121" s="138">
        <f t="shared" si="55"/>
        <v>0</v>
      </c>
      <c r="O121" s="41">
        <f t="shared" si="56"/>
        <v>0</v>
      </c>
      <c r="P121" s="154"/>
      <c r="Q121" s="141"/>
      <c r="R121" s="137"/>
    </row>
    <row r="122" spans="1:21" x14ac:dyDescent="0.2">
      <c r="A122" s="139" t="s">
        <v>74</v>
      </c>
      <c r="B122" s="110" t="s">
        <v>108</v>
      </c>
      <c r="C122" s="205">
        <f t="shared" si="58"/>
        <v>0.6419999999999999</v>
      </c>
      <c r="D122" s="205">
        <f t="shared" si="59"/>
        <v>0</v>
      </c>
      <c r="E122" s="205">
        <f t="shared" si="60"/>
        <v>0.81400000000000006</v>
      </c>
      <c r="F122" s="205">
        <f t="shared" si="61"/>
        <v>0</v>
      </c>
      <c r="G122" s="205">
        <f t="shared" si="62"/>
        <v>4.93</v>
      </c>
      <c r="H122" s="205">
        <f t="shared" si="63"/>
        <v>0</v>
      </c>
      <c r="I122" s="205">
        <f t="shared" si="64"/>
        <v>1.1579999999999999</v>
      </c>
      <c r="J122" s="205">
        <f t="shared" si="65"/>
        <v>0</v>
      </c>
      <c r="K122" s="205">
        <f t="shared" si="66"/>
        <v>3.99</v>
      </c>
      <c r="L122" s="138">
        <f t="shared" si="67"/>
        <v>0</v>
      </c>
      <c r="M122" s="205">
        <f t="shared" si="68"/>
        <v>1.502</v>
      </c>
      <c r="N122" s="138">
        <f t="shared" si="55"/>
        <v>0</v>
      </c>
      <c r="O122" s="41">
        <f>C122+E122+G122+I122+K122+M122</f>
        <v>13.036</v>
      </c>
      <c r="P122" s="154" t="s">
        <v>111</v>
      </c>
      <c r="Q122" s="141"/>
      <c r="R122" s="137">
        <f t="shared" ref="R122" si="76">O122*Q122</f>
        <v>0</v>
      </c>
      <c r="T122" s="142">
        <f>0.149*T65</f>
        <v>0.14899999999999999</v>
      </c>
      <c r="U122" s="142">
        <f>0.172*U65</f>
        <v>0.17199999999999999</v>
      </c>
    </row>
    <row r="123" spans="1:21" x14ac:dyDescent="0.2">
      <c r="A123" s="139"/>
      <c r="B123" s="110"/>
      <c r="C123" s="205">
        <f t="shared" si="58"/>
        <v>0</v>
      </c>
      <c r="D123" s="205">
        <f t="shared" si="59"/>
        <v>0</v>
      </c>
      <c r="E123" s="205">
        <f t="shared" si="60"/>
        <v>0</v>
      </c>
      <c r="F123" s="205">
        <f t="shared" si="61"/>
        <v>0</v>
      </c>
      <c r="G123" s="205">
        <f t="shared" si="62"/>
        <v>0</v>
      </c>
      <c r="H123" s="205">
        <f t="shared" si="63"/>
        <v>0</v>
      </c>
      <c r="I123" s="205">
        <f t="shared" si="64"/>
        <v>0</v>
      </c>
      <c r="J123" s="205">
        <f t="shared" si="65"/>
        <v>0</v>
      </c>
      <c r="K123" s="205">
        <f t="shared" si="66"/>
        <v>0</v>
      </c>
      <c r="L123" s="138">
        <f t="shared" si="67"/>
        <v>0</v>
      </c>
      <c r="M123" s="205">
        <f t="shared" si="68"/>
        <v>0</v>
      </c>
      <c r="N123" s="138">
        <f t="shared" si="55"/>
        <v>0</v>
      </c>
      <c r="O123" s="41">
        <f t="shared" si="56"/>
        <v>0</v>
      </c>
      <c r="P123" s="154"/>
      <c r="Q123" s="141"/>
      <c r="R123" s="137"/>
    </row>
    <row r="124" spans="1:21" x14ac:dyDescent="0.2">
      <c r="A124" s="139" t="s">
        <v>75</v>
      </c>
      <c r="B124" s="110" t="s">
        <v>189</v>
      </c>
      <c r="C124" s="205">
        <f t="shared" si="58"/>
        <v>2.2199999999999998</v>
      </c>
      <c r="D124" s="205">
        <f t="shared" si="59"/>
        <v>0</v>
      </c>
      <c r="E124" s="205">
        <f t="shared" si="60"/>
        <v>2.6280000000000001</v>
      </c>
      <c r="F124" s="205">
        <f t="shared" si="61"/>
        <v>0</v>
      </c>
      <c r="G124" s="205">
        <f t="shared" si="62"/>
        <v>15.18</v>
      </c>
      <c r="H124" s="205">
        <f t="shared" si="63"/>
        <v>0</v>
      </c>
      <c r="I124" s="205">
        <f t="shared" si="64"/>
        <v>3.444</v>
      </c>
      <c r="J124" s="205">
        <f t="shared" si="65"/>
        <v>0</v>
      </c>
      <c r="K124" s="205">
        <f t="shared" si="66"/>
        <v>11.556000000000001</v>
      </c>
      <c r="L124" s="138">
        <f t="shared" si="67"/>
        <v>0</v>
      </c>
      <c r="M124" s="205">
        <f t="shared" si="68"/>
        <v>4.26</v>
      </c>
      <c r="N124" s="138">
        <f t="shared" si="55"/>
        <v>0</v>
      </c>
      <c r="O124" s="41">
        <f>C124+E124+G124+I124+K124+M124</f>
        <v>39.287999999999997</v>
      </c>
      <c r="P124" s="154" t="s">
        <v>111</v>
      </c>
      <c r="Q124" s="141"/>
      <c r="R124" s="137">
        <f t="shared" ref="R124" si="77">O124*Q124</f>
        <v>0</v>
      </c>
      <c r="T124" s="142">
        <f>0.078*T67</f>
        <v>0.70199999999999996</v>
      </c>
      <c r="U124" s="142">
        <f>0.068*U67</f>
        <v>0.40800000000000003</v>
      </c>
    </row>
    <row r="125" spans="1:21" x14ac:dyDescent="0.2">
      <c r="A125" s="139"/>
      <c r="B125" s="110"/>
      <c r="C125" s="205">
        <f t="shared" si="58"/>
        <v>0</v>
      </c>
      <c r="D125" s="205">
        <f t="shared" si="59"/>
        <v>0</v>
      </c>
      <c r="E125" s="205">
        <f t="shared" si="60"/>
        <v>0</v>
      </c>
      <c r="F125" s="205">
        <f t="shared" si="61"/>
        <v>0</v>
      </c>
      <c r="G125" s="205">
        <f t="shared" si="62"/>
        <v>0</v>
      </c>
      <c r="H125" s="205">
        <f t="shared" si="63"/>
        <v>0</v>
      </c>
      <c r="I125" s="205">
        <f t="shared" si="64"/>
        <v>0</v>
      </c>
      <c r="J125" s="205">
        <f t="shared" si="65"/>
        <v>0</v>
      </c>
      <c r="K125" s="205">
        <f t="shared" si="66"/>
        <v>0</v>
      </c>
      <c r="L125" s="138">
        <f t="shared" si="67"/>
        <v>0</v>
      </c>
      <c r="M125" s="205">
        <f t="shared" si="68"/>
        <v>0</v>
      </c>
      <c r="N125" s="138">
        <f t="shared" si="55"/>
        <v>0</v>
      </c>
      <c r="O125" s="41">
        <f t="shared" si="56"/>
        <v>0</v>
      </c>
      <c r="P125" s="154"/>
      <c r="Q125" s="141"/>
      <c r="R125" s="137"/>
    </row>
    <row r="126" spans="1:21" x14ac:dyDescent="0.2">
      <c r="A126" s="139" t="s">
        <v>76</v>
      </c>
      <c r="B126" s="110" t="s">
        <v>241</v>
      </c>
      <c r="C126" s="205">
        <f t="shared" si="58"/>
        <v>0.83199999999999996</v>
      </c>
      <c r="D126" s="205">
        <f t="shared" si="59"/>
        <v>0</v>
      </c>
      <c r="E126" s="205">
        <f t="shared" si="60"/>
        <v>1.04</v>
      </c>
      <c r="F126" s="205">
        <f t="shared" si="61"/>
        <v>0</v>
      </c>
      <c r="G126" s="205">
        <f t="shared" si="62"/>
        <v>6.24</v>
      </c>
      <c r="H126" s="205">
        <f t="shared" si="63"/>
        <v>0</v>
      </c>
      <c r="I126" s="205">
        <f t="shared" si="64"/>
        <v>1.456</v>
      </c>
      <c r="J126" s="205">
        <f t="shared" si="65"/>
        <v>0</v>
      </c>
      <c r="K126" s="205">
        <f t="shared" si="66"/>
        <v>4.992</v>
      </c>
      <c r="L126" s="138">
        <f t="shared" si="67"/>
        <v>0</v>
      </c>
      <c r="M126" s="205">
        <f t="shared" si="68"/>
        <v>1.8719999999999999</v>
      </c>
      <c r="N126" s="138">
        <f t="shared" si="55"/>
        <v>0</v>
      </c>
      <c r="O126" s="41">
        <f>C126+E126+G126+I126+K126+M126</f>
        <v>16.431999999999999</v>
      </c>
      <c r="P126" s="154" t="s">
        <v>111</v>
      </c>
      <c r="Q126" s="141"/>
      <c r="R126" s="137">
        <f>O126*Q126</f>
        <v>0</v>
      </c>
      <c r="T126" s="142">
        <f>0.104*T69</f>
        <v>0.20799999999999999</v>
      </c>
      <c r="U126" s="142">
        <f>0.104*U69</f>
        <v>0.20799999999999999</v>
      </c>
    </row>
    <row r="127" spans="1:21" x14ac:dyDescent="0.2">
      <c r="A127" s="139"/>
      <c r="B127" s="110"/>
      <c r="C127" s="205">
        <f t="shared" si="58"/>
        <v>0</v>
      </c>
      <c r="D127" s="205">
        <f t="shared" ref="D127:D128" si="78">C127*$Q127</f>
        <v>0</v>
      </c>
      <c r="E127" s="205">
        <f t="shared" si="60"/>
        <v>0</v>
      </c>
      <c r="F127" s="205">
        <f t="shared" ref="F127:F128" si="79">E127*$Q127</f>
        <v>0</v>
      </c>
      <c r="G127" s="205">
        <f t="shared" si="62"/>
        <v>0</v>
      </c>
      <c r="H127" s="205">
        <f t="shared" ref="H127:H128" si="80">G127*$Q127</f>
        <v>0</v>
      </c>
      <c r="I127" s="205">
        <f t="shared" si="64"/>
        <v>0</v>
      </c>
      <c r="J127" s="205">
        <f t="shared" ref="J127:J128" si="81">I127*$Q127</f>
        <v>0</v>
      </c>
      <c r="K127" s="205">
        <f t="shared" si="66"/>
        <v>0</v>
      </c>
      <c r="L127" s="138">
        <f t="shared" ref="L127:L128" si="82">K127*$Q127</f>
        <v>0</v>
      </c>
      <c r="M127" s="205">
        <f t="shared" si="68"/>
        <v>0</v>
      </c>
      <c r="N127" s="138">
        <f t="shared" ref="N127:N128" si="83">M127*$Q127</f>
        <v>0</v>
      </c>
      <c r="O127" s="41">
        <f t="shared" ref="O127" si="84">C127+E127+G127+I127+K127+M127</f>
        <v>0</v>
      </c>
      <c r="P127" s="154"/>
      <c r="Q127" s="141"/>
      <c r="R127" s="137"/>
    </row>
    <row r="128" spans="1:21" x14ac:dyDescent="0.2">
      <c r="A128" s="139" t="s">
        <v>77</v>
      </c>
      <c r="B128" s="206" t="s">
        <v>656</v>
      </c>
      <c r="C128" s="205">
        <f t="shared" si="58"/>
        <v>0.44399999999999995</v>
      </c>
      <c r="D128" s="205">
        <f t="shared" si="78"/>
        <v>0</v>
      </c>
      <c r="E128" s="205">
        <f t="shared" si="60"/>
        <v>0.56199999999999994</v>
      </c>
      <c r="F128" s="205">
        <f t="shared" si="79"/>
        <v>0</v>
      </c>
      <c r="G128" s="205">
        <f t="shared" si="62"/>
        <v>3.3999999999999995</v>
      </c>
      <c r="H128" s="205">
        <f t="shared" si="80"/>
        <v>0</v>
      </c>
      <c r="I128" s="205">
        <f t="shared" si="64"/>
        <v>0.79799999999999993</v>
      </c>
      <c r="J128" s="205">
        <f t="shared" si="81"/>
        <v>0</v>
      </c>
      <c r="K128" s="205">
        <f t="shared" si="66"/>
        <v>2.7479999999999998</v>
      </c>
      <c r="L128" s="138">
        <f t="shared" si="82"/>
        <v>0</v>
      </c>
      <c r="M128" s="205">
        <f t="shared" si="68"/>
        <v>1.034</v>
      </c>
      <c r="N128" s="138">
        <f t="shared" si="83"/>
        <v>0</v>
      </c>
      <c r="O128" s="41">
        <f>C128+E128+G128+I128+K128+M128</f>
        <v>8.9859999999999989</v>
      </c>
      <c r="P128" s="154" t="s">
        <v>111</v>
      </c>
      <c r="Q128" s="141"/>
      <c r="R128" s="137">
        <f>O128*Q128</f>
        <v>0</v>
      </c>
      <c r="T128" s="142">
        <f>0.104*T71</f>
        <v>0.104</v>
      </c>
      <c r="U128" s="142">
        <f>0.118*U71</f>
        <v>0.11799999999999999</v>
      </c>
    </row>
    <row r="129" spans="1:21" x14ac:dyDescent="0.2">
      <c r="A129" s="139"/>
      <c r="B129" s="111"/>
      <c r="C129" s="138">
        <f t="shared" si="44"/>
        <v>0</v>
      </c>
      <c r="D129" s="138">
        <f t="shared" si="45"/>
        <v>0</v>
      </c>
      <c r="E129" s="138">
        <f t="shared" si="46"/>
        <v>0</v>
      </c>
      <c r="F129" s="138">
        <f t="shared" si="47"/>
        <v>0</v>
      </c>
      <c r="G129" s="138">
        <f t="shared" si="48"/>
        <v>0</v>
      </c>
      <c r="H129" s="138">
        <f t="shared" si="49"/>
        <v>0</v>
      </c>
      <c r="I129" s="138">
        <f t="shared" si="50"/>
        <v>0</v>
      </c>
      <c r="J129" s="138">
        <f t="shared" si="51"/>
        <v>0</v>
      </c>
      <c r="K129" s="138">
        <f t="shared" si="52"/>
        <v>0</v>
      </c>
      <c r="L129" s="138">
        <f t="shared" si="53"/>
        <v>0</v>
      </c>
      <c r="M129" s="138">
        <f t="shared" si="54"/>
        <v>0</v>
      </c>
      <c r="N129" s="138">
        <f t="shared" si="55"/>
        <v>0</v>
      </c>
      <c r="O129" s="138">
        <f t="shared" si="56"/>
        <v>0</v>
      </c>
      <c r="P129" s="154"/>
      <c r="Q129" s="141"/>
      <c r="R129" s="137"/>
    </row>
    <row r="130" spans="1:21" x14ac:dyDescent="0.2">
      <c r="A130" s="139"/>
      <c r="B130" s="7" t="s">
        <v>292</v>
      </c>
      <c r="C130" s="138">
        <f t="shared" si="44"/>
        <v>0</v>
      </c>
      <c r="D130" s="138">
        <f t="shared" si="45"/>
        <v>0</v>
      </c>
      <c r="E130" s="138">
        <f t="shared" si="46"/>
        <v>0</v>
      </c>
      <c r="F130" s="138">
        <f t="shared" si="47"/>
        <v>0</v>
      </c>
      <c r="G130" s="138">
        <f t="shared" si="48"/>
        <v>0</v>
      </c>
      <c r="H130" s="138">
        <f t="shared" si="49"/>
        <v>0</v>
      </c>
      <c r="I130" s="138">
        <f t="shared" si="50"/>
        <v>0</v>
      </c>
      <c r="J130" s="138">
        <f t="shared" si="51"/>
        <v>0</v>
      </c>
      <c r="K130" s="138">
        <f t="shared" si="52"/>
        <v>0</v>
      </c>
      <c r="L130" s="138">
        <f t="shared" si="53"/>
        <v>0</v>
      </c>
      <c r="M130" s="138">
        <f t="shared" si="54"/>
        <v>0</v>
      </c>
      <c r="N130" s="138">
        <f t="shared" si="55"/>
        <v>0</v>
      </c>
      <c r="O130" s="138">
        <f t="shared" si="56"/>
        <v>0</v>
      </c>
      <c r="P130" s="154"/>
      <c r="Q130" s="141"/>
      <c r="R130" s="137"/>
    </row>
    <row r="131" spans="1:21" x14ac:dyDescent="0.2">
      <c r="A131" s="139"/>
      <c r="B131" s="110"/>
      <c r="C131" s="138">
        <f t="shared" si="44"/>
        <v>0</v>
      </c>
      <c r="D131" s="138">
        <f t="shared" si="45"/>
        <v>0</v>
      </c>
      <c r="E131" s="138">
        <f t="shared" si="46"/>
        <v>0</v>
      </c>
      <c r="F131" s="138">
        <f t="shared" si="47"/>
        <v>0</v>
      </c>
      <c r="G131" s="138">
        <f t="shared" si="48"/>
        <v>0</v>
      </c>
      <c r="H131" s="138">
        <f t="shared" si="49"/>
        <v>0</v>
      </c>
      <c r="I131" s="138">
        <f t="shared" si="50"/>
        <v>0</v>
      </c>
      <c r="J131" s="138">
        <f t="shared" si="51"/>
        <v>0</v>
      </c>
      <c r="K131" s="138">
        <f t="shared" si="52"/>
        <v>0</v>
      </c>
      <c r="L131" s="138">
        <f t="shared" si="53"/>
        <v>0</v>
      </c>
      <c r="M131" s="138">
        <f t="shared" si="54"/>
        <v>0</v>
      </c>
      <c r="N131" s="138">
        <f t="shared" si="55"/>
        <v>0</v>
      </c>
      <c r="O131" s="138">
        <f t="shared" si="56"/>
        <v>0</v>
      </c>
      <c r="P131" s="154"/>
      <c r="Q131" s="141"/>
      <c r="R131" s="137"/>
    </row>
    <row r="132" spans="1:21" x14ac:dyDescent="0.2">
      <c r="A132" s="139" t="s">
        <v>79</v>
      </c>
      <c r="B132" s="110" t="s">
        <v>113</v>
      </c>
      <c r="C132" s="138">
        <f t="shared" si="44"/>
        <v>448</v>
      </c>
      <c r="D132" s="138">
        <f t="shared" si="45"/>
        <v>0</v>
      </c>
      <c r="E132" s="138">
        <f t="shared" si="46"/>
        <v>550</v>
      </c>
      <c r="F132" s="138">
        <f t="shared" si="47"/>
        <v>0</v>
      </c>
      <c r="G132" s="138">
        <f t="shared" si="48"/>
        <v>3260</v>
      </c>
      <c r="H132" s="138">
        <f t="shared" si="49"/>
        <v>0</v>
      </c>
      <c r="I132" s="138">
        <f t="shared" si="50"/>
        <v>754</v>
      </c>
      <c r="J132" s="138">
        <f t="shared" si="51"/>
        <v>0</v>
      </c>
      <c r="K132" s="138">
        <f t="shared" si="52"/>
        <v>2568</v>
      </c>
      <c r="L132" s="138">
        <f t="shared" si="53"/>
        <v>0</v>
      </c>
      <c r="M132" s="138">
        <f t="shared" si="54"/>
        <v>958</v>
      </c>
      <c r="N132" s="138">
        <f t="shared" si="55"/>
        <v>0</v>
      </c>
      <c r="O132" s="138">
        <f>C132+E132+G132+I132+K132+M132</f>
        <v>8538</v>
      </c>
      <c r="P132" s="154" t="s">
        <v>10</v>
      </c>
      <c r="Q132" s="141"/>
      <c r="R132" s="137">
        <f>O132*Q132</f>
        <v>0</v>
      </c>
      <c r="T132" s="142">
        <v>122</v>
      </c>
      <c r="U132" s="142">
        <v>102</v>
      </c>
    </row>
    <row r="133" spans="1:21" x14ac:dyDescent="0.2">
      <c r="A133" s="139"/>
      <c r="B133" s="110"/>
      <c r="C133" s="138">
        <f t="shared" si="44"/>
        <v>0</v>
      </c>
      <c r="D133" s="138">
        <f t="shared" si="45"/>
        <v>0</v>
      </c>
      <c r="E133" s="138">
        <f t="shared" si="46"/>
        <v>0</v>
      </c>
      <c r="F133" s="138">
        <f t="shared" si="47"/>
        <v>0</v>
      </c>
      <c r="G133" s="138">
        <f t="shared" si="48"/>
        <v>0</v>
      </c>
      <c r="H133" s="138">
        <f t="shared" si="49"/>
        <v>0</v>
      </c>
      <c r="I133" s="138">
        <f t="shared" si="50"/>
        <v>0</v>
      </c>
      <c r="J133" s="138">
        <f t="shared" si="51"/>
        <v>0</v>
      </c>
      <c r="K133" s="138">
        <f t="shared" si="52"/>
        <v>0</v>
      </c>
      <c r="L133" s="138">
        <f t="shared" si="53"/>
        <v>0</v>
      </c>
      <c r="M133" s="138">
        <f t="shared" si="54"/>
        <v>0</v>
      </c>
      <c r="N133" s="138">
        <f t="shared" si="55"/>
        <v>0</v>
      </c>
      <c r="O133" s="138">
        <f t="shared" si="56"/>
        <v>0</v>
      </c>
      <c r="P133" s="154"/>
      <c r="Q133" s="141"/>
      <c r="R133" s="137"/>
    </row>
    <row r="134" spans="1:21" x14ac:dyDescent="0.2">
      <c r="A134" s="139"/>
      <c r="B134" s="110"/>
      <c r="C134" s="138"/>
      <c r="D134" s="138"/>
      <c r="E134" s="138"/>
      <c r="F134" s="138"/>
      <c r="G134" s="138"/>
      <c r="H134" s="138"/>
      <c r="I134" s="138"/>
      <c r="J134" s="138"/>
      <c r="K134" s="138"/>
      <c r="L134" s="138"/>
      <c r="M134" s="138"/>
      <c r="N134" s="138"/>
      <c r="O134" s="138"/>
      <c r="P134" s="154"/>
      <c r="Q134" s="141"/>
      <c r="R134" s="137"/>
    </row>
    <row r="135" spans="1:21" x14ac:dyDescent="0.2">
      <c r="A135" s="139"/>
      <c r="B135" s="110"/>
      <c r="C135" s="138"/>
      <c r="D135" s="138"/>
      <c r="E135" s="138"/>
      <c r="F135" s="138"/>
      <c r="G135" s="138"/>
      <c r="H135" s="138"/>
      <c r="I135" s="138"/>
      <c r="J135" s="138"/>
      <c r="K135" s="138"/>
      <c r="L135" s="138"/>
      <c r="M135" s="138"/>
      <c r="N135" s="138"/>
      <c r="O135" s="138"/>
      <c r="P135" s="154"/>
      <c r="Q135" s="141"/>
      <c r="R135" s="137"/>
    </row>
    <row r="136" spans="1:21" x14ac:dyDescent="0.2">
      <c r="A136" s="139"/>
      <c r="B136" s="110"/>
      <c r="C136" s="138"/>
      <c r="D136" s="138"/>
      <c r="E136" s="138"/>
      <c r="F136" s="138"/>
      <c r="G136" s="138"/>
      <c r="H136" s="138"/>
      <c r="I136" s="138"/>
      <c r="J136" s="138"/>
      <c r="K136" s="138"/>
      <c r="L136" s="138"/>
      <c r="M136" s="138"/>
      <c r="N136" s="138"/>
      <c r="O136" s="138"/>
      <c r="P136" s="154"/>
      <c r="Q136" s="141"/>
      <c r="R136" s="137"/>
    </row>
    <row r="137" spans="1:21" x14ac:dyDescent="0.2">
      <c r="A137" s="139"/>
      <c r="B137" s="110"/>
      <c r="C137" s="138"/>
      <c r="D137" s="138"/>
      <c r="E137" s="138"/>
      <c r="F137" s="138"/>
      <c r="G137" s="138"/>
      <c r="H137" s="138"/>
      <c r="I137" s="138"/>
      <c r="J137" s="138"/>
      <c r="K137" s="138"/>
      <c r="L137" s="138"/>
      <c r="M137" s="138"/>
      <c r="N137" s="138"/>
      <c r="O137" s="138"/>
      <c r="P137" s="154"/>
      <c r="Q137" s="141"/>
      <c r="R137" s="137"/>
    </row>
    <row r="138" spans="1:21" x14ac:dyDescent="0.2">
      <c r="A138" s="139"/>
      <c r="B138" s="110"/>
      <c r="C138" s="138"/>
      <c r="D138" s="138"/>
      <c r="E138" s="138"/>
      <c r="F138" s="138"/>
      <c r="G138" s="138"/>
      <c r="H138" s="138"/>
      <c r="I138" s="138"/>
      <c r="J138" s="138"/>
      <c r="K138" s="138"/>
      <c r="L138" s="138"/>
      <c r="M138" s="138"/>
      <c r="N138" s="138"/>
      <c r="O138" s="138"/>
      <c r="P138" s="154"/>
      <c r="Q138" s="141"/>
      <c r="R138" s="137"/>
    </row>
    <row r="139" spans="1:21" x14ac:dyDescent="0.2">
      <c r="A139" s="139"/>
      <c r="B139" s="110"/>
      <c r="C139" s="138"/>
      <c r="D139" s="138"/>
      <c r="E139" s="138"/>
      <c r="F139" s="138"/>
      <c r="G139" s="138"/>
      <c r="H139" s="138"/>
      <c r="I139" s="138"/>
      <c r="J139" s="138"/>
      <c r="K139" s="138"/>
      <c r="L139" s="138"/>
      <c r="M139" s="138"/>
      <c r="N139" s="138"/>
      <c r="O139" s="138"/>
      <c r="P139" s="154"/>
      <c r="Q139" s="141"/>
      <c r="R139" s="137"/>
    </row>
    <row r="140" spans="1:21" x14ac:dyDescent="0.2">
      <c r="A140" s="139"/>
      <c r="B140" s="110"/>
      <c r="C140" s="138"/>
      <c r="D140" s="138"/>
      <c r="E140" s="138"/>
      <c r="F140" s="138"/>
      <c r="G140" s="138"/>
      <c r="H140" s="138"/>
      <c r="I140" s="138"/>
      <c r="J140" s="138"/>
      <c r="K140" s="138"/>
      <c r="L140" s="138"/>
      <c r="M140" s="138"/>
      <c r="N140" s="138"/>
      <c r="O140" s="138"/>
      <c r="P140" s="154"/>
      <c r="Q140" s="141"/>
      <c r="R140" s="137"/>
    </row>
    <row r="141" spans="1:21" x14ac:dyDescent="0.2">
      <c r="A141" s="139"/>
      <c r="B141" s="110"/>
      <c r="C141" s="138"/>
      <c r="D141" s="138"/>
      <c r="E141" s="138"/>
      <c r="F141" s="138"/>
      <c r="G141" s="138"/>
      <c r="H141" s="138"/>
      <c r="I141" s="138"/>
      <c r="J141" s="138"/>
      <c r="K141" s="138"/>
      <c r="L141" s="138"/>
      <c r="M141" s="138"/>
      <c r="N141" s="138"/>
      <c r="O141" s="138"/>
      <c r="P141" s="154"/>
      <c r="Q141" s="141"/>
      <c r="R141" s="137"/>
    </row>
    <row r="142" spans="1:21" x14ac:dyDescent="0.2">
      <c r="A142" s="139"/>
      <c r="B142" s="110"/>
      <c r="C142" s="138"/>
      <c r="D142" s="138"/>
      <c r="E142" s="138"/>
      <c r="F142" s="138"/>
      <c r="G142" s="138"/>
      <c r="H142" s="138"/>
      <c r="I142" s="138"/>
      <c r="J142" s="138"/>
      <c r="K142" s="138"/>
      <c r="L142" s="138"/>
      <c r="M142" s="138"/>
      <c r="N142" s="138"/>
      <c r="O142" s="138"/>
      <c r="P142" s="154"/>
      <c r="Q142" s="141"/>
      <c r="R142" s="137"/>
    </row>
    <row r="143" spans="1:21" x14ac:dyDescent="0.2">
      <c r="A143" s="139"/>
      <c r="B143" s="110"/>
      <c r="C143" s="138"/>
      <c r="D143" s="138"/>
      <c r="E143" s="138"/>
      <c r="F143" s="138"/>
      <c r="G143" s="138"/>
      <c r="H143" s="138"/>
      <c r="I143" s="138"/>
      <c r="J143" s="138"/>
      <c r="K143" s="138"/>
      <c r="L143" s="138"/>
      <c r="M143" s="138"/>
      <c r="N143" s="138"/>
      <c r="O143" s="138"/>
      <c r="P143" s="154"/>
      <c r="Q143" s="141"/>
      <c r="R143" s="137"/>
    </row>
    <row r="144" spans="1:21" x14ac:dyDescent="0.2">
      <c r="A144" s="139"/>
      <c r="B144" s="110"/>
      <c r="C144" s="138"/>
      <c r="D144" s="138"/>
      <c r="E144" s="138"/>
      <c r="F144" s="138"/>
      <c r="G144" s="138"/>
      <c r="H144" s="138"/>
      <c r="I144" s="138"/>
      <c r="J144" s="138"/>
      <c r="K144" s="138"/>
      <c r="L144" s="138"/>
      <c r="M144" s="138"/>
      <c r="N144" s="138"/>
      <c r="O144" s="138"/>
      <c r="P144" s="154"/>
      <c r="Q144" s="141"/>
      <c r="R144" s="137"/>
    </row>
    <row r="145" spans="1:21" x14ac:dyDescent="0.2">
      <c r="A145" s="127"/>
      <c r="B145" s="136"/>
      <c r="C145" s="128"/>
      <c r="D145" s="120"/>
      <c r="E145" s="120"/>
      <c r="F145" s="120"/>
      <c r="G145" s="120"/>
      <c r="H145" s="120"/>
      <c r="I145" s="120"/>
      <c r="J145" s="120"/>
      <c r="K145" s="120"/>
      <c r="L145" s="120"/>
      <c r="M145" s="120"/>
      <c r="N145" s="120"/>
      <c r="O145" s="120"/>
      <c r="P145" s="154"/>
      <c r="Q145" s="141"/>
      <c r="R145" s="137"/>
    </row>
    <row r="146" spans="1:21" x14ac:dyDescent="0.2">
      <c r="A146" s="129"/>
      <c r="B146" s="130"/>
      <c r="C146" s="131"/>
      <c r="D146" s="131"/>
      <c r="E146" s="131"/>
      <c r="F146" s="131"/>
      <c r="G146" s="131"/>
      <c r="H146" s="131"/>
      <c r="I146" s="131"/>
      <c r="J146" s="131"/>
      <c r="K146" s="131"/>
      <c r="L146" s="131"/>
      <c r="M146" s="131"/>
      <c r="N146" s="131"/>
      <c r="O146" s="131"/>
      <c r="P146" s="131"/>
      <c r="Q146" s="132"/>
      <c r="R146" s="126"/>
      <c r="T146" s="134"/>
      <c r="U146" s="134"/>
    </row>
    <row r="147" spans="1:21" x14ac:dyDescent="0.2">
      <c r="C147" s="122"/>
      <c r="D147" s="122"/>
      <c r="E147" s="122"/>
      <c r="F147" s="122"/>
      <c r="G147" s="122"/>
      <c r="H147" s="122"/>
      <c r="I147" s="122"/>
      <c r="J147" s="122"/>
      <c r="K147" s="122"/>
      <c r="L147" s="122"/>
      <c r="M147" s="122"/>
      <c r="N147" s="122"/>
      <c r="O147" s="122"/>
      <c r="P147" s="171" t="s">
        <v>1</v>
      </c>
      <c r="Q147" s="133" t="s">
        <v>0</v>
      </c>
      <c r="R147" s="137">
        <f>SUM(R101:R145)</f>
        <v>0</v>
      </c>
      <c r="T147" s="135"/>
      <c r="U147" s="135"/>
    </row>
    <row r="148" spans="1:21" x14ac:dyDescent="0.2">
      <c r="P148" s="188"/>
      <c r="Q148" s="124"/>
      <c r="R148" s="125"/>
    </row>
    <row r="149" spans="1:21" x14ac:dyDescent="0.2">
      <c r="A149" s="139"/>
      <c r="B149" s="110"/>
      <c r="C149" s="138">
        <f t="shared" ref="C149:C191" si="85">ROUND((2*$T149+2*$U149)*C$3,0)</f>
        <v>0</v>
      </c>
      <c r="D149" s="138">
        <f t="shared" ref="D149:D191" si="86">C149*$Q149</f>
        <v>0</v>
      </c>
      <c r="E149" s="138">
        <f t="shared" ref="E149:E191" si="87">ROUND((2*$T149+3*$U149)*E$3,0)</f>
        <v>0</v>
      </c>
      <c r="F149" s="138">
        <f t="shared" ref="F149:F191" si="88">E149*$Q149</f>
        <v>0</v>
      </c>
      <c r="G149" s="138">
        <f t="shared" ref="G149:G191" si="89">ROUND((2*$T149+4*$U149)*G$3,0)</f>
        <v>0</v>
      </c>
      <c r="H149" s="138">
        <f t="shared" ref="H149:H191" si="90">G149*$Q149</f>
        <v>0</v>
      </c>
      <c r="I149" s="138">
        <f t="shared" ref="I149:I191" si="91">ROUND((2*$T149+5*$U149)*I$3,0)</f>
        <v>0</v>
      </c>
      <c r="J149" s="138">
        <f t="shared" ref="J149:J191" si="92">I149*$Q149</f>
        <v>0</v>
      </c>
      <c r="K149" s="138">
        <f t="shared" ref="K149:K191" si="93">ROUND((2*$T149+6*$U149)*K$3,0)</f>
        <v>0</v>
      </c>
      <c r="L149" s="138">
        <f t="shared" ref="L149:L191" si="94">K149*$Q149</f>
        <v>0</v>
      </c>
      <c r="M149" s="138">
        <f t="shared" ref="M149:M191" si="95">ROUND((2*$T149+7*$U149)*M$3,0)</f>
        <v>0</v>
      </c>
      <c r="N149" s="138">
        <f t="shared" ref="N149:N191" si="96">M149*$Q149</f>
        <v>0</v>
      </c>
      <c r="O149" s="138">
        <f t="shared" ref="O149:O191" si="97">C149+E149+G149+I149+K149+M149</f>
        <v>0</v>
      </c>
      <c r="P149" s="154"/>
      <c r="Q149" s="141"/>
      <c r="R149" s="137"/>
    </row>
    <row r="150" spans="1:21" x14ac:dyDescent="0.2">
      <c r="A150" s="139"/>
      <c r="B150" s="7" t="s">
        <v>114</v>
      </c>
      <c r="C150" s="138">
        <f t="shared" si="85"/>
        <v>0</v>
      </c>
      <c r="D150" s="138">
        <f t="shared" si="86"/>
        <v>0</v>
      </c>
      <c r="E150" s="138">
        <f t="shared" si="87"/>
        <v>0</v>
      </c>
      <c r="F150" s="138">
        <f t="shared" si="88"/>
        <v>0</v>
      </c>
      <c r="G150" s="138">
        <f t="shared" si="89"/>
        <v>0</v>
      </c>
      <c r="H150" s="138">
        <f t="shared" si="90"/>
        <v>0</v>
      </c>
      <c r="I150" s="138">
        <f t="shared" si="91"/>
        <v>0</v>
      </c>
      <c r="J150" s="138">
        <f t="shared" si="92"/>
        <v>0</v>
      </c>
      <c r="K150" s="138">
        <f t="shared" si="93"/>
        <v>0</v>
      </c>
      <c r="L150" s="138">
        <f t="shared" si="94"/>
        <v>0</v>
      </c>
      <c r="M150" s="138">
        <f t="shared" si="95"/>
        <v>0</v>
      </c>
      <c r="N150" s="138">
        <f t="shared" si="96"/>
        <v>0</v>
      </c>
      <c r="O150" s="138">
        <f t="shared" si="97"/>
        <v>0</v>
      </c>
      <c r="P150" s="154"/>
      <c r="Q150" s="141"/>
      <c r="R150" s="137"/>
    </row>
    <row r="151" spans="1:21" x14ac:dyDescent="0.2">
      <c r="A151" s="139"/>
      <c r="B151" s="7"/>
      <c r="C151" s="138">
        <f t="shared" si="85"/>
        <v>0</v>
      </c>
      <c r="D151" s="138">
        <f t="shared" si="86"/>
        <v>0</v>
      </c>
      <c r="E151" s="138">
        <f t="shared" si="87"/>
        <v>0</v>
      </c>
      <c r="F151" s="138">
        <f t="shared" si="88"/>
        <v>0</v>
      </c>
      <c r="G151" s="138">
        <f t="shared" si="89"/>
        <v>0</v>
      </c>
      <c r="H151" s="138">
        <f t="shared" si="90"/>
        <v>0</v>
      </c>
      <c r="I151" s="138">
        <f t="shared" si="91"/>
        <v>0</v>
      </c>
      <c r="J151" s="138">
        <f t="shared" si="92"/>
        <v>0</v>
      </c>
      <c r="K151" s="138">
        <f t="shared" si="93"/>
        <v>0</v>
      </c>
      <c r="L151" s="138">
        <f t="shared" si="94"/>
        <v>0</v>
      </c>
      <c r="M151" s="138">
        <f t="shared" si="95"/>
        <v>0</v>
      </c>
      <c r="N151" s="138">
        <f t="shared" si="96"/>
        <v>0</v>
      </c>
      <c r="O151" s="138">
        <f t="shared" si="97"/>
        <v>0</v>
      </c>
      <c r="P151" s="154"/>
      <c r="Q151" s="141"/>
      <c r="R151" s="137"/>
    </row>
    <row r="152" spans="1:21" x14ac:dyDescent="0.2">
      <c r="A152" s="139"/>
      <c r="B152" s="7" t="s">
        <v>126</v>
      </c>
      <c r="C152" s="138">
        <f t="shared" si="85"/>
        <v>0</v>
      </c>
      <c r="D152" s="138">
        <f t="shared" si="86"/>
        <v>0</v>
      </c>
      <c r="E152" s="138">
        <f t="shared" si="87"/>
        <v>0</v>
      </c>
      <c r="F152" s="138">
        <f t="shared" si="88"/>
        <v>0</v>
      </c>
      <c r="G152" s="138">
        <f t="shared" si="89"/>
        <v>0</v>
      </c>
      <c r="H152" s="138">
        <f t="shared" si="90"/>
        <v>0</v>
      </c>
      <c r="I152" s="138">
        <f t="shared" si="91"/>
        <v>0</v>
      </c>
      <c r="J152" s="138">
        <f t="shared" si="92"/>
        <v>0</v>
      </c>
      <c r="K152" s="138">
        <f t="shared" si="93"/>
        <v>0</v>
      </c>
      <c r="L152" s="138">
        <f t="shared" si="94"/>
        <v>0</v>
      </c>
      <c r="M152" s="138">
        <f t="shared" si="95"/>
        <v>0</v>
      </c>
      <c r="N152" s="138">
        <f t="shared" si="96"/>
        <v>0</v>
      </c>
      <c r="O152" s="138">
        <f t="shared" si="97"/>
        <v>0</v>
      </c>
      <c r="P152" s="154"/>
      <c r="Q152" s="141"/>
      <c r="R152" s="137"/>
    </row>
    <row r="153" spans="1:21" x14ac:dyDescent="0.2">
      <c r="A153" s="139"/>
      <c r="B153" s="110"/>
      <c r="C153" s="138">
        <f t="shared" si="85"/>
        <v>0</v>
      </c>
      <c r="D153" s="138">
        <f t="shared" si="86"/>
        <v>0</v>
      </c>
      <c r="E153" s="138">
        <f t="shared" si="87"/>
        <v>0</v>
      </c>
      <c r="F153" s="138">
        <f t="shared" si="88"/>
        <v>0</v>
      </c>
      <c r="G153" s="138">
        <f t="shared" si="89"/>
        <v>0</v>
      </c>
      <c r="H153" s="138">
        <f t="shared" si="90"/>
        <v>0</v>
      </c>
      <c r="I153" s="138">
        <f t="shared" si="91"/>
        <v>0</v>
      </c>
      <c r="J153" s="138">
        <f t="shared" si="92"/>
        <v>0</v>
      </c>
      <c r="K153" s="138">
        <f t="shared" si="93"/>
        <v>0</v>
      </c>
      <c r="L153" s="138">
        <f t="shared" si="94"/>
        <v>0</v>
      </c>
      <c r="M153" s="138">
        <f t="shared" si="95"/>
        <v>0</v>
      </c>
      <c r="N153" s="138">
        <f t="shared" si="96"/>
        <v>0</v>
      </c>
      <c r="O153" s="138">
        <f t="shared" si="97"/>
        <v>0</v>
      </c>
      <c r="P153" s="154"/>
      <c r="Q153" s="141"/>
      <c r="R153" s="137"/>
    </row>
    <row r="154" spans="1:21" x14ac:dyDescent="0.2">
      <c r="A154" s="139" t="s">
        <v>66</v>
      </c>
      <c r="B154" s="110" t="s">
        <v>115</v>
      </c>
      <c r="C154" s="217">
        <f t="shared" si="85"/>
        <v>172</v>
      </c>
      <c r="D154" s="217">
        <f t="shared" si="86"/>
        <v>0</v>
      </c>
      <c r="E154" s="217">
        <f t="shared" si="87"/>
        <v>212</v>
      </c>
      <c r="F154" s="217">
        <f t="shared" si="88"/>
        <v>0</v>
      </c>
      <c r="G154" s="217">
        <f t="shared" si="89"/>
        <v>1258</v>
      </c>
      <c r="H154" s="217">
        <f t="shared" si="90"/>
        <v>0</v>
      </c>
      <c r="I154" s="217">
        <f t="shared" si="91"/>
        <v>291</v>
      </c>
      <c r="J154" s="217">
        <f t="shared" si="92"/>
        <v>0</v>
      </c>
      <c r="K154" s="217">
        <f t="shared" si="93"/>
        <v>993</v>
      </c>
      <c r="L154" s="217">
        <f t="shared" si="94"/>
        <v>0</v>
      </c>
      <c r="M154" s="217">
        <f t="shared" si="95"/>
        <v>371</v>
      </c>
      <c r="N154" s="217">
        <f t="shared" si="96"/>
        <v>0</v>
      </c>
      <c r="O154" s="217">
        <f>C154+E154+G154+I154+K154+M154</f>
        <v>3297</v>
      </c>
      <c r="P154" s="154" t="s">
        <v>10</v>
      </c>
      <c r="Q154" s="141"/>
      <c r="R154" s="137">
        <f>O154*Q154</f>
        <v>0</v>
      </c>
      <c r="T154" s="213">
        <f>(14*48+10*44)/24</f>
        <v>46.333333333333336</v>
      </c>
      <c r="U154" s="213">
        <f>(29*44+26*35)/55</f>
        <v>39.745454545454542</v>
      </c>
    </row>
    <row r="155" spans="1:21" x14ac:dyDescent="0.2">
      <c r="A155" s="139"/>
      <c r="B155" s="110"/>
      <c r="C155" s="138">
        <f t="shared" si="85"/>
        <v>0</v>
      </c>
      <c r="D155" s="138">
        <f t="shared" si="86"/>
        <v>0</v>
      </c>
      <c r="E155" s="138">
        <f t="shared" si="87"/>
        <v>0</v>
      </c>
      <c r="F155" s="138">
        <f t="shared" si="88"/>
        <v>0</v>
      </c>
      <c r="G155" s="138">
        <f t="shared" si="89"/>
        <v>0</v>
      </c>
      <c r="H155" s="138">
        <f t="shared" si="90"/>
        <v>0</v>
      </c>
      <c r="I155" s="138">
        <f t="shared" si="91"/>
        <v>0</v>
      </c>
      <c r="J155" s="138">
        <f t="shared" si="92"/>
        <v>0</v>
      </c>
      <c r="K155" s="138">
        <f t="shared" si="93"/>
        <v>0</v>
      </c>
      <c r="L155" s="138">
        <f t="shared" si="94"/>
        <v>0</v>
      </c>
      <c r="M155" s="138">
        <f t="shared" si="95"/>
        <v>0</v>
      </c>
      <c r="N155" s="138">
        <f t="shared" si="96"/>
        <v>0</v>
      </c>
      <c r="O155" s="138">
        <f t="shared" si="97"/>
        <v>0</v>
      </c>
      <c r="P155" s="154"/>
      <c r="Q155" s="141"/>
      <c r="R155" s="137"/>
      <c r="T155" s="213"/>
      <c r="U155" s="213"/>
    </row>
    <row r="156" spans="1:21" x14ac:dyDescent="0.2">
      <c r="A156" s="139" t="s">
        <v>67</v>
      </c>
      <c r="B156" s="110" t="s">
        <v>289</v>
      </c>
      <c r="C156" s="217">
        <f t="shared" si="85"/>
        <v>8</v>
      </c>
      <c r="D156" s="217">
        <f t="shared" si="86"/>
        <v>0</v>
      </c>
      <c r="E156" s="217">
        <f t="shared" si="87"/>
        <v>8</v>
      </c>
      <c r="F156" s="217">
        <f t="shared" si="88"/>
        <v>0</v>
      </c>
      <c r="G156" s="217">
        <f t="shared" si="89"/>
        <v>40</v>
      </c>
      <c r="H156" s="217">
        <f t="shared" si="90"/>
        <v>0</v>
      </c>
      <c r="I156" s="217">
        <f t="shared" si="91"/>
        <v>8</v>
      </c>
      <c r="J156" s="217">
        <f t="shared" si="92"/>
        <v>0</v>
      </c>
      <c r="K156" s="217">
        <f t="shared" si="93"/>
        <v>24</v>
      </c>
      <c r="L156" s="217">
        <f t="shared" si="94"/>
        <v>0</v>
      </c>
      <c r="M156" s="217">
        <f t="shared" si="95"/>
        <v>8</v>
      </c>
      <c r="N156" s="217">
        <f t="shared" si="96"/>
        <v>0</v>
      </c>
      <c r="O156" s="217">
        <f>C156+E156+G156+I156+K156+M156</f>
        <v>96</v>
      </c>
      <c r="P156" s="154" t="s">
        <v>10</v>
      </c>
      <c r="Q156" s="141"/>
      <c r="R156" s="137">
        <f>O156*Q156</f>
        <v>0</v>
      </c>
      <c r="T156" s="213">
        <v>4</v>
      </c>
      <c r="U156" s="213">
        <v>0</v>
      </c>
    </row>
    <row r="157" spans="1:21" x14ac:dyDescent="0.2">
      <c r="A157" s="139"/>
      <c r="B157" s="110"/>
      <c r="C157" s="138">
        <f t="shared" si="85"/>
        <v>0</v>
      </c>
      <c r="D157" s="138">
        <f t="shared" si="86"/>
        <v>0</v>
      </c>
      <c r="E157" s="138">
        <f t="shared" si="87"/>
        <v>0</v>
      </c>
      <c r="F157" s="138">
        <f t="shared" si="88"/>
        <v>0</v>
      </c>
      <c r="G157" s="138">
        <f t="shared" si="89"/>
        <v>0</v>
      </c>
      <c r="H157" s="138">
        <f t="shared" si="90"/>
        <v>0</v>
      </c>
      <c r="I157" s="138">
        <f t="shared" si="91"/>
        <v>0</v>
      </c>
      <c r="J157" s="138">
        <f t="shared" si="92"/>
        <v>0</v>
      </c>
      <c r="K157" s="138">
        <f t="shared" si="93"/>
        <v>0</v>
      </c>
      <c r="L157" s="138">
        <f t="shared" si="94"/>
        <v>0</v>
      </c>
      <c r="M157" s="138">
        <f t="shared" si="95"/>
        <v>0</v>
      </c>
      <c r="N157" s="138">
        <f t="shared" si="96"/>
        <v>0</v>
      </c>
      <c r="O157" s="138">
        <f t="shared" si="97"/>
        <v>0</v>
      </c>
      <c r="P157" s="154"/>
      <c r="Q157" s="141"/>
      <c r="R157" s="137"/>
      <c r="T157" s="213"/>
      <c r="U157" s="213"/>
    </row>
    <row r="158" spans="1:21" x14ac:dyDescent="0.2">
      <c r="A158" s="139" t="s">
        <v>68</v>
      </c>
      <c r="B158" s="110" t="s">
        <v>290</v>
      </c>
      <c r="C158" s="217">
        <f t="shared" si="85"/>
        <v>150</v>
      </c>
      <c r="D158" s="217">
        <f t="shared" si="86"/>
        <v>0</v>
      </c>
      <c r="E158" s="217">
        <f t="shared" si="87"/>
        <v>193</v>
      </c>
      <c r="F158" s="217">
        <f t="shared" si="88"/>
        <v>0</v>
      </c>
      <c r="G158" s="217">
        <f t="shared" si="89"/>
        <v>1180</v>
      </c>
      <c r="H158" s="217">
        <f t="shared" si="90"/>
        <v>0</v>
      </c>
      <c r="I158" s="217">
        <f t="shared" si="91"/>
        <v>279</v>
      </c>
      <c r="J158" s="217">
        <f t="shared" si="92"/>
        <v>0</v>
      </c>
      <c r="K158" s="217">
        <f t="shared" si="93"/>
        <v>966</v>
      </c>
      <c r="L158" s="217">
        <f t="shared" si="94"/>
        <v>0</v>
      </c>
      <c r="M158" s="217">
        <f t="shared" si="95"/>
        <v>365</v>
      </c>
      <c r="N158" s="217">
        <f t="shared" si="96"/>
        <v>0</v>
      </c>
      <c r="O158" s="217">
        <f>C158+E158+G158+I158+K158+M158</f>
        <v>3133</v>
      </c>
      <c r="P158" s="154" t="s">
        <v>10</v>
      </c>
      <c r="Q158" s="141"/>
      <c r="R158" s="137">
        <f>O158*Q158</f>
        <v>0</v>
      </c>
      <c r="T158" s="213">
        <v>32</v>
      </c>
      <c r="U158" s="213">
        <v>43</v>
      </c>
    </row>
    <row r="159" spans="1:21" x14ac:dyDescent="0.2">
      <c r="A159" s="139"/>
      <c r="B159" s="136"/>
      <c r="C159" s="138">
        <f t="shared" si="85"/>
        <v>0</v>
      </c>
      <c r="D159" s="138">
        <f t="shared" si="86"/>
        <v>0</v>
      </c>
      <c r="E159" s="138">
        <f t="shared" si="87"/>
        <v>0</v>
      </c>
      <c r="F159" s="138">
        <f t="shared" si="88"/>
        <v>0</v>
      </c>
      <c r="G159" s="138">
        <f t="shared" si="89"/>
        <v>0</v>
      </c>
      <c r="H159" s="138">
        <f t="shared" si="90"/>
        <v>0</v>
      </c>
      <c r="I159" s="138">
        <f t="shared" si="91"/>
        <v>0</v>
      </c>
      <c r="J159" s="138">
        <f t="shared" si="92"/>
        <v>0</v>
      </c>
      <c r="K159" s="138">
        <f t="shared" si="93"/>
        <v>0</v>
      </c>
      <c r="L159" s="138">
        <f t="shared" si="94"/>
        <v>0</v>
      </c>
      <c r="M159" s="138">
        <f t="shared" si="95"/>
        <v>0</v>
      </c>
      <c r="N159" s="138">
        <f t="shared" si="96"/>
        <v>0</v>
      </c>
      <c r="O159" s="138">
        <f t="shared" si="97"/>
        <v>0</v>
      </c>
      <c r="P159" s="154"/>
      <c r="Q159" s="141"/>
      <c r="R159" s="137"/>
    </row>
    <row r="160" spans="1:21" x14ac:dyDescent="0.2">
      <c r="A160" s="139" t="s">
        <v>69</v>
      </c>
      <c r="B160" s="136" t="s">
        <v>116</v>
      </c>
      <c r="C160" s="217">
        <f t="shared" si="85"/>
        <v>108</v>
      </c>
      <c r="D160" s="217">
        <f t="shared" si="86"/>
        <v>0</v>
      </c>
      <c r="E160" s="217">
        <f t="shared" si="87"/>
        <v>134</v>
      </c>
      <c r="F160" s="217">
        <f t="shared" si="88"/>
        <v>0</v>
      </c>
      <c r="G160" s="217">
        <f t="shared" si="89"/>
        <v>796</v>
      </c>
      <c r="H160" s="217">
        <f t="shared" si="90"/>
        <v>0</v>
      </c>
      <c r="I160" s="217">
        <f t="shared" si="91"/>
        <v>185</v>
      </c>
      <c r="J160" s="217">
        <f t="shared" si="92"/>
        <v>0</v>
      </c>
      <c r="K160" s="217">
        <f t="shared" si="93"/>
        <v>630</v>
      </c>
      <c r="L160" s="217">
        <f t="shared" si="94"/>
        <v>0</v>
      </c>
      <c r="M160" s="217">
        <f t="shared" si="95"/>
        <v>236</v>
      </c>
      <c r="N160" s="217">
        <f t="shared" si="96"/>
        <v>0</v>
      </c>
      <c r="O160" s="217">
        <f>C160+E160+G160+I160+K160+M160</f>
        <v>2089</v>
      </c>
      <c r="P160" s="154" t="s">
        <v>10</v>
      </c>
      <c r="Q160" s="141"/>
      <c r="R160" s="137">
        <f>O160*Q160</f>
        <v>0</v>
      </c>
      <c r="T160" s="213">
        <f>(14*35+10*20)/24</f>
        <v>28.75</v>
      </c>
      <c r="U160" s="142">
        <f>(29*33+26*17)/55</f>
        <v>25.436363636363637</v>
      </c>
    </row>
    <row r="161" spans="1:21" x14ac:dyDescent="0.2">
      <c r="A161" s="139"/>
      <c r="B161" s="110"/>
      <c r="C161" s="138">
        <f t="shared" si="85"/>
        <v>0</v>
      </c>
      <c r="D161" s="138">
        <f t="shared" si="86"/>
        <v>0</v>
      </c>
      <c r="E161" s="138">
        <f t="shared" si="87"/>
        <v>0</v>
      </c>
      <c r="F161" s="138">
        <f t="shared" si="88"/>
        <v>0</v>
      </c>
      <c r="G161" s="138">
        <f t="shared" si="89"/>
        <v>0</v>
      </c>
      <c r="H161" s="138">
        <f t="shared" si="90"/>
        <v>0</v>
      </c>
      <c r="I161" s="138">
        <f t="shared" si="91"/>
        <v>0</v>
      </c>
      <c r="J161" s="138">
        <f t="shared" si="92"/>
        <v>0</v>
      </c>
      <c r="K161" s="138">
        <f t="shared" si="93"/>
        <v>0</v>
      </c>
      <c r="L161" s="138">
        <f t="shared" si="94"/>
        <v>0</v>
      </c>
      <c r="M161" s="138">
        <f t="shared" si="95"/>
        <v>0</v>
      </c>
      <c r="N161" s="138">
        <f t="shared" si="96"/>
        <v>0</v>
      </c>
      <c r="O161" s="138">
        <f t="shared" si="97"/>
        <v>0</v>
      </c>
      <c r="P161" s="154"/>
      <c r="Q161" s="141"/>
      <c r="R161" s="137"/>
      <c r="T161" s="213"/>
    </row>
    <row r="162" spans="1:21" x14ac:dyDescent="0.2">
      <c r="A162" s="139" t="s">
        <v>70</v>
      </c>
      <c r="B162" s="110" t="s">
        <v>121</v>
      </c>
      <c r="C162" s="217">
        <f t="shared" si="85"/>
        <v>196</v>
      </c>
      <c r="D162" s="217">
        <f t="shared" si="86"/>
        <v>0</v>
      </c>
      <c r="E162" s="217">
        <f t="shared" si="87"/>
        <v>236</v>
      </c>
      <c r="F162" s="217">
        <f t="shared" si="88"/>
        <v>0</v>
      </c>
      <c r="G162" s="217">
        <f t="shared" si="89"/>
        <v>1380</v>
      </c>
      <c r="H162" s="217">
        <f t="shared" si="90"/>
        <v>0</v>
      </c>
      <c r="I162" s="217">
        <f t="shared" si="91"/>
        <v>316</v>
      </c>
      <c r="J162" s="217">
        <f t="shared" si="92"/>
        <v>0</v>
      </c>
      <c r="K162" s="217">
        <f t="shared" si="93"/>
        <v>1068</v>
      </c>
      <c r="L162" s="217">
        <f t="shared" si="94"/>
        <v>0</v>
      </c>
      <c r="M162" s="217">
        <f t="shared" si="95"/>
        <v>396</v>
      </c>
      <c r="N162" s="217">
        <f t="shared" si="96"/>
        <v>0</v>
      </c>
      <c r="O162" s="217">
        <f>C162+E162+G162+I162+K162+M162</f>
        <v>3592</v>
      </c>
      <c r="P162" s="154" t="s">
        <v>12</v>
      </c>
      <c r="Q162" s="141"/>
      <c r="R162" s="137">
        <f>O162*Q162</f>
        <v>0</v>
      </c>
      <c r="T162" s="213">
        <v>58</v>
      </c>
      <c r="U162" s="142">
        <v>40</v>
      </c>
    </row>
    <row r="163" spans="1:21" x14ac:dyDescent="0.2">
      <c r="A163" s="139"/>
      <c r="B163" s="136"/>
      <c r="C163" s="138">
        <f t="shared" si="85"/>
        <v>0</v>
      </c>
      <c r="D163" s="138">
        <f t="shared" ref="D163:D166" si="98">C163*$Q163</f>
        <v>0</v>
      </c>
      <c r="E163" s="138">
        <f t="shared" si="87"/>
        <v>0</v>
      </c>
      <c r="F163" s="138">
        <f t="shared" ref="F163:F166" si="99">E163*$Q163</f>
        <v>0</v>
      </c>
      <c r="G163" s="138">
        <f t="shared" si="89"/>
        <v>0</v>
      </c>
      <c r="H163" s="138">
        <f t="shared" ref="H163:H166" si="100">G163*$Q163</f>
        <v>0</v>
      </c>
      <c r="I163" s="138">
        <f t="shared" si="91"/>
        <v>0</v>
      </c>
      <c r="J163" s="138">
        <f t="shared" ref="J163:J166" si="101">I163*$Q163</f>
        <v>0</v>
      </c>
      <c r="K163" s="138">
        <f t="shared" si="93"/>
        <v>0</v>
      </c>
      <c r="L163" s="138">
        <f t="shared" ref="L163:L166" si="102">K163*$Q163</f>
        <v>0</v>
      </c>
      <c r="M163" s="138">
        <f t="shared" si="95"/>
        <v>0</v>
      </c>
      <c r="N163" s="138">
        <f t="shared" ref="N163:N166" si="103">M163*$Q163</f>
        <v>0</v>
      </c>
      <c r="O163" s="138">
        <f t="shared" ref="O163" si="104">C163+E163+G163+I163+K163+M163</f>
        <v>0</v>
      </c>
      <c r="P163" s="154"/>
      <c r="Q163" s="141"/>
      <c r="R163" s="137"/>
    </row>
    <row r="164" spans="1:21" x14ac:dyDescent="0.2">
      <c r="A164" s="220" t="s">
        <v>71</v>
      </c>
      <c r="B164" s="221" t="s">
        <v>906</v>
      </c>
      <c r="C164" s="217">
        <f t="shared" si="85"/>
        <v>12</v>
      </c>
      <c r="D164" s="217">
        <f t="shared" si="98"/>
        <v>0</v>
      </c>
      <c r="E164" s="217">
        <f t="shared" si="87"/>
        <v>15</v>
      </c>
      <c r="F164" s="217">
        <f t="shared" si="99"/>
        <v>0</v>
      </c>
      <c r="G164" s="217">
        <f t="shared" si="89"/>
        <v>90</v>
      </c>
      <c r="H164" s="217">
        <f t="shared" si="100"/>
        <v>0</v>
      </c>
      <c r="I164" s="217">
        <f t="shared" si="91"/>
        <v>21</v>
      </c>
      <c r="J164" s="217">
        <f t="shared" si="101"/>
        <v>0</v>
      </c>
      <c r="K164" s="217">
        <f t="shared" si="93"/>
        <v>72</v>
      </c>
      <c r="L164" s="217">
        <f t="shared" si="102"/>
        <v>0</v>
      </c>
      <c r="M164" s="217">
        <f t="shared" si="95"/>
        <v>27</v>
      </c>
      <c r="N164" s="217">
        <f t="shared" si="103"/>
        <v>0</v>
      </c>
      <c r="O164" s="217">
        <f>C164+E164+G164+I164+K164+M164</f>
        <v>237</v>
      </c>
      <c r="P164" s="222" t="s">
        <v>10</v>
      </c>
      <c r="Q164" s="141"/>
      <c r="R164" s="137">
        <f>O164*Q164</f>
        <v>0</v>
      </c>
      <c r="T164" s="213">
        <v>3</v>
      </c>
      <c r="U164" s="213">
        <v>3</v>
      </c>
    </row>
    <row r="165" spans="1:21" x14ac:dyDescent="0.2">
      <c r="A165" s="139"/>
      <c r="B165" s="110"/>
      <c r="C165" s="138">
        <f t="shared" si="85"/>
        <v>0</v>
      </c>
      <c r="D165" s="138">
        <f t="shared" si="98"/>
        <v>0</v>
      </c>
      <c r="E165" s="138">
        <f t="shared" si="87"/>
        <v>0</v>
      </c>
      <c r="F165" s="138">
        <f t="shared" si="99"/>
        <v>0</v>
      </c>
      <c r="G165" s="138">
        <f t="shared" si="89"/>
        <v>0</v>
      </c>
      <c r="H165" s="138">
        <f t="shared" si="100"/>
        <v>0</v>
      </c>
      <c r="I165" s="138">
        <f t="shared" si="91"/>
        <v>0</v>
      </c>
      <c r="J165" s="138">
        <f t="shared" si="101"/>
        <v>0</v>
      </c>
      <c r="K165" s="138">
        <f t="shared" si="93"/>
        <v>0</v>
      </c>
      <c r="L165" s="138">
        <f t="shared" si="102"/>
        <v>0</v>
      </c>
      <c r="M165" s="138">
        <f t="shared" si="95"/>
        <v>0</v>
      </c>
      <c r="N165" s="138">
        <f t="shared" si="103"/>
        <v>0</v>
      </c>
      <c r="O165" s="138">
        <f t="shared" ref="O165" si="105">C165+E165+G165+I165+K165+M165</f>
        <v>0</v>
      </c>
      <c r="P165" s="154"/>
      <c r="Q165" s="141"/>
      <c r="R165" s="137"/>
      <c r="T165" s="213"/>
      <c r="U165" s="213"/>
    </row>
    <row r="166" spans="1:21" x14ac:dyDescent="0.2">
      <c r="A166" s="220" t="s">
        <v>72</v>
      </c>
      <c r="B166" s="224" t="s">
        <v>907</v>
      </c>
      <c r="C166" s="217">
        <f t="shared" si="85"/>
        <v>14</v>
      </c>
      <c r="D166" s="217">
        <f t="shared" si="98"/>
        <v>0</v>
      </c>
      <c r="E166" s="217">
        <f t="shared" si="87"/>
        <v>18</v>
      </c>
      <c r="F166" s="217">
        <f t="shared" si="99"/>
        <v>0</v>
      </c>
      <c r="G166" s="217">
        <f t="shared" si="89"/>
        <v>106</v>
      </c>
      <c r="H166" s="217">
        <f t="shared" si="100"/>
        <v>0</v>
      </c>
      <c r="I166" s="217">
        <f t="shared" si="91"/>
        <v>25</v>
      </c>
      <c r="J166" s="217">
        <f t="shared" si="101"/>
        <v>0</v>
      </c>
      <c r="K166" s="217">
        <f t="shared" si="93"/>
        <v>85</v>
      </c>
      <c r="L166" s="217">
        <f t="shared" si="102"/>
        <v>0</v>
      </c>
      <c r="M166" s="217">
        <f t="shared" si="95"/>
        <v>32</v>
      </c>
      <c r="N166" s="217">
        <f t="shared" si="103"/>
        <v>0</v>
      </c>
      <c r="O166" s="217">
        <f>C166+E166+G166+I166+K166+M166</f>
        <v>280</v>
      </c>
      <c r="P166" s="222" t="s">
        <v>10</v>
      </c>
      <c r="Q166" s="141"/>
      <c r="R166" s="137">
        <f>O166*Q166</f>
        <v>0</v>
      </c>
      <c r="T166" s="213">
        <f>(14*4+10*3)/24</f>
        <v>3.5833333333333335</v>
      </c>
      <c r="U166" s="213">
        <f>(29*4+26*3)/55</f>
        <v>3.5272727272727273</v>
      </c>
    </row>
    <row r="167" spans="1:21" x14ac:dyDescent="0.2">
      <c r="A167" s="139"/>
      <c r="B167" s="136"/>
      <c r="C167" s="138">
        <f t="shared" si="85"/>
        <v>0</v>
      </c>
      <c r="D167" s="138">
        <f t="shared" si="86"/>
        <v>0</v>
      </c>
      <c r="E167" s="138">
        <f t="shared" si="87"/>
        <v>0</v>
      </c>
      <c r="F167" s="138">
        <f t="shared" si="88"/>
        <v>0</v>
      </c>
      <c r="G167" s="138">
        <f t="shared" si="89"/>
        <v>0</v>
      </c>
      <c r="H167" s="138">
        <f t="shared" si="90"/>
        <v>0</v>
      </c>
      <c r="I167" s="138">
        <f t="shared" si="91"/>
        <v>0</v>
      </c>
      <c r="J167" s="138">
        <f t="shared" si="92"/>
        <v>0</v>
      </c>
      <c r="K167" s="138">
        <f t="shared" si="93"/>
        <v>0</v>
      </c>
      <c r="L167" s="138">
        <f t="shared" si="94"/>
        <v>0</v>
      </c>
      <c r="M167" s="138">
        <f t="shared" si="95"/>
        <v>0</v>
      </c>
      <c r="N167" s="138">
        <f t="shared" si="96"/>
        <v>0</v>
      </c>
      <c r="O167" s="138">
        <f t="shared" si="97"/>
        <v>0</v>
      </c>
      <c r="P167" s="154"/>
      <c r="Q167" s="141"/>
      <c r="R167" s="137"/>
    </row>
    <row r="168" spans="1:21" x14ac:dyDescent="0.2">
      <c r="A168" s="139"/>
      <c r="B168" s="7" t="s">
        <v>125</v>
      </c>
      <c r="C168" s="138">
        <f t="shared" si="85"/>
        <v>0</v>
      </c>
      <c r="D168" s="138">
        <f t="shared" si="86"/>
        <v>0</v>
      </c>
      <c r="E168" s="138">
        <f t="shared" si="87"/>
        <v>0</v>
      </c>
      <c r="F168" s="138">
        <f t="shared" si="88"/>
        <v>0</v>
      </c>
      <c r="G168" s="138">
        <f t="shared" si="89"/>
        <v>0</v>
      </c>
      <c r="H168" s="138">
        <f t="shared" si="90"/>
        <v>0</v>
      </c>
      <c r="I168" s="138">
        <f t="shared" si="91"/>
        <v>0</v>
      </c>
      <c r="J168" s="138">
        <f t="shared" si="92"/>
        <v>0</v>
      </c>
      <c r="K168" s="138">
        <f t="shared" si="93"/>
        <v>0</v>
      </c>
      <c r="L168" s="138">
        <f t="shared" si="94"/>
        <v>0</v>
      </c>
      <c r="M168" s="138">
        <f t="shared" si="95"/>
        <v>0</v>
      </c>
      <c r="N168" s="138">
        <f t="shared" si="96"/>
        <v>0</v>
      </c>
      <c r="O168" s="138">
        <f t="shared" si="97"/>
        <v>0</v>
      </c>
      <c r="P168" s="154"/>
      <c r="Q168" s="141"/>
      <c r="R168" s="137"/>
    </row>
    <row r="169" spans="1:21" x14ac:dyDescent="0.2">
      <c r="A169" s="139"/>
      <c r="B169" s="136"/>
      <c r="C169" s="138">
        <f t="shared" si="85"/>
        <v>0</v>
      </c>
      <c r="D169" s="138">
        <f t="shared" si="86"/>
        <v>0</v>
      </c>
      <c r="E169" s="138">
        <f t="shared" si="87"/>
        <v>0</v>
      </c>
      <c r="F169" s="138">
        <f t="shared" si="88"/>
        <v>0</v>
      </c>
      <c r="G169" s="138">
        <f t="shared" si="89"/>
        <v>0</v>
      </c>
      <c r="H169" s="138">
        <f t="shared" si="90"/>
        <v>0</v>
      </c>
      <c r="I169" s="138">
        <f t="shared" si="91"/>
        <v>0</v>
      </c>
      <c r="J169" s="138">
        <f t="shared" si="92"/>
        <v>0</v>
      </c>
      <c r="K169" s="138">
        <f t="shared" si="93"/>
        <v>0</v>
      </c>
      <c r="L169" s="138">
        <f t="shared" si="94"/>
        <v>0</v>
      </c>
      <c r="M169" s="138">
        <f t="shared" si="95"/>
        <v>0</v>
      </c>
      <c r="N169" s="138">
        <f t="shared" si="96"/>
        <v>0</v>
      </c>
      <c r="O169" s="138">
        <f t="shared" si="97"/>
        <v>0</v>
      </c>
      <c r="P169" s="154"/>
      <c r="Q169" s="141"/>
      <c r="R169" s="137"/>
    </row>
    <row r="170" spans="1:21" x14ac:dyDescent="0.2">
      <c r="A170" s="220" t="s">
        <v>73</v>
      </c>
      <c r="B170" s="110" t="s">
        <v>117</v>
      </c>
      <c r="C170" s="138">
        <f t="shared" si="85"/>
        <v>852</v>
      </c>
      <c r="D170" s="138">
        <f t="shared" si="86"/>
        <v>0</v>
      </c>
      <c r="E170" s="138">
        <f t="shared" si="87"/>
        <v>1059</v>
      </c>
      <c r="F170" s="138">
        <f t="shared" si="88"/>
        <v>0</v>
      </c>
      <c r="G170" s="138">
        <f t="shared" si="89"/>
        <v>6330</v>
      </c>
      <c r="H170" s="138">
        <f t="shared" si="90"/>
        <v>0</v>
      </c>
      <c r="I170" s="138">
        <f t="shared" si="91"/>
        <v>1473</v>
      </c>
      <c r="J170" s="138">
        <f t="shared" si="92"/>
        <v>0</v>
      </c>
      <c r="K170" s="138">
        <f t="shared" si="93"/>
        <v>5040</v>
      </c>
      <c r="L170" s="138">
        <f t="shared" si="94"/>
        <v>0</v>
      </c>
      <c r="M170" s="138">
        <f t="shared" si="95"/>
        <v>1887</v>
      </c>
      <c r="N170" s="138">
        <f t="shared" si="96"/>
        <v>0</v>
      </c>
      <c r="O170" s="138">
        <f>C170+E170+G170+I170+K170+M170</f>
        <v>16641</v>
      </c>
      <c r="P170" s="154" t="s">
        <v>10</v>
      </c>
      <c r="Q170" s="141"/>
      <c r="R170" s="137">
        <f>O170*Q170</f>
        <v>0</v>
      </c>
      <c r="T170" s="142">
        <v>219</v>
      </c>
      <c r="U170" s="142">
        <v>207</v>
      </c>
    </row>
    <row r="171" spans="1:21" x14ac:dyDescent="0.2">
      <c r="A171" s="139"/>
      <c r="B171" s="110"/>
      <c r="C171" s="138">
        <f t="shared" si="85"/>
        <v>0</v>
      </c>
      <c r="D171" s="138">
        <f t="shared" si="86"/>
        <v>0</v>
      </c>
      <c r="E171" s="138">
        <f t="shared" si="87"/>
        <v>0</v>
      </c>
      <c r="F171" s="138">
        <f t="shared" si="88"/>
        <v>0</v>
      </c>
      <c r="G171" s="138">
        <f t="shared" si="89"/>
        <v>0</v>
      </c>
      <c r="H171" s="138">
        <f t="shared" si="90"/>
        <v>0</v>
      </c>
      <c r="I171" s="138">
        <f t="shared" si="91"/>
        <v>0</v>
      </c>
      <c r="J171" s="138">
        <f t="shared" si="92"/>
        <v>0</v>
      </c>
      <c r="K171" s="138">
        <f t="shared" si="93"/>
        <v>0</v>
      </c>
      <c r="L171" s="138">
        <f t="shared" si="94"/>
        <v>0</v>
      </c>
      <c r="M171" s="138">
        <f t="shared" si="95"/>
        <v>0</v>
      </c>
      <c r="N171" s="138">
        <f t="shared" si="96"/>
        <v>0</v>
      </c>
      <c r="O171" s="138">
        <f t="shared" si="97"/>
        <v>0</v>
      </c>
      <c r="P171" s="154"/>
      <c r="Q171" s="141"/>
      <c r="R171" s="137"/>
    </row>
    <row r="172" spans="1:21" x14ac:dyDescent="0.2">
      <c r="A172" s="220" t="s">
        <v>74</v>
      </c>
      <c r="B172" s="110" t="s">
        <v>118</v>
      </c>
      <c r="C172" s="138">
        <f t="shared" si="85"/>
        <v>570</v>
      </c>
      <c r="D172" s="138">
        <f t="shared" si="86"/>
        <v>0</v>
      </c>
      <c r="E172" s="138">
        <f t="shared" si="87"/>
        <v>713</v>
      </c>
      <c r="F172" s="138">
        <f t="shared" si="88"/>
        <v>0</v>
      </c>
      <c r="G172" s="138">
        <f t="shared" si="89"/>
        <v>4280</v>
      </c>
      <c r="H172" s="138">
        <f t="shared" si="90"/>
        <v>0</v>
      </c>
      <c r="I172" s="138">
        <f t="shared" si="91"/>
        <v>999</v>
      </c>
      <c r="J172" s="138">
        <f t="shared" si="92"/>
        <v>0</v>
      </c>
      <c r="K172" s="138">
        <f t="shared" si="93"/>
        <v>3426</v>
      </c>
      <c r="L172" s="138">
        <f t="shared" si="94"/>
        <v>0</v>
      </c>
      <c r="M172" s="138">
        <f t="shared" si="95"/>
        <v>1285</v>
      </c>
      <c r="N172" s="138">
        <f t="shared" si="96"/>
        <v>0</v>
      </c>
      <c r="O172" s="138">
        <f>C172+E172+G172+I172+K172+M172</f>
        <v>11273</v>
      </c>
      <c r="P172" s="154" t="s">
        <v>10</v>
      </c>
      <c r="Q172" s="141"/>
      <c r="R172" s="137">
        <f>O172*Q172</f>
        <v>0</v>
      </c>
      <c r="T172" s="142">
        <v>142</v>
      </c>
      <c r="U172" s="142">
        <v>143</v>
      </c>
    </row>
    <row r="173" spans="1:21" x14ac:dyDescent="0.2">
      <c r="A173" s="139"/>
      <c r="B173" s="110"/>
      <c r="C173" s="138">
        <f t="shared" si="85"/>
        <v>0</v>
      </c>
      <c r="D173" s="138">
        <f t="shared" si="86"/>
        <v>0</v>
      </c>
      <c r="E173" s="138">
        <f t="shared" si="87"/>
        <v>0</v>
      </c>
      <c r="F173" s="138">
        <f t="shared" si="88"/>
        <v>0</v>
      </c>
      <c r="G173" s="138">
        <f t="shared" si="89"/>
        <v>0</v>
      </c>
      <c r="H173" s="138">
        <f t="shared" si="90"/>
        <v>0</v>
      </c>
      <c r="I173" s="138">
        <f t="shared" si="91"/>
        <v>0</v>
      </c>
      <c r="J173" s="138">
        <f t="shared" si="92"/>
        <v>0</v>
      </c>
      <c r="K173" s="138">
        <f t="shared" si="93"/>
        <v>0</v>
      </c>
      <c r="L173" s="138">
        <f t="shared" si="94"/>
        <v>0</v>
      </c>
      <c r="M173" s="138">
        <f t="shared" si="95"/>
        <v>0</v>
      </c>
      <c r="N173" s="138">
        <f t="shared" si="96"/>
        <v>0</v>
      </c>
      <c r="O173" s="138">
        <f t="shared" si="97"/>
        <v>0</v>
      </c>
      <c r="P173" s="154"/>
      <c r="Q173" s="141"/>
      <c r="R173" s="137"/>
    </row>
    <row r="174" spans="1:21" x14ac:dyDescent="0.2">
      <c r="A174" s="220" t="s">
        <v>75</v>
      </c>
      <c r="B174" s="110" t="s">
        <v>119</v>
      </c>
      <c r="C174" s="217">
        <f t="shared" si="85"/>
        <v>58</v>
      </c>
      <c r="D174" s="217">
        <f t="shared" si="86"/>
        <v>0</v>
      </c>
      <c r="E174" s="217">
        <f t="shared" si="87"/>
        <v>78</v>
      </c>
      <c r="F174" s="217">
        <f t="shared" si="88"/>
        <v>0</v>
      </c>
      <c r="G174" s="217">
        <f t="shared" si="89"/>
        <v>490</v>
      </c>
      <c r="H174" s="217">
        <f t="shared" si="90"/>
        <v>0</v>
      </c>
      <c r="I174" s="217">
        <f t="shared" si="91"/>
        <v>118</v>
      </c>
      <c r="J174" s="217">
        <f t="shared" si="92"/>
        <v>0</v>
      </c>
      <c r="K174" s="217">
        <f t="shared" si="93"/>
        <v>414</v>
      </c>
      <c r="L174" s="217">
        <f t="shared" si="94"/>
        <v>0</v>
      </c>
      <c r="M174" s="217">
        <f t="shared" si="95"/>
        <v>158</v>
      </c>
      <c r="N174" s="217">
        <f t="shared" si="96"/>
        <v>0</v>
      </c>
      <c r="O174" s="217">
        <f>C174+E174+G174+I174+K174+M174</f>
        <v>1316</v>
      </c>
      <c r="P174" s="154" t="s">
        <v>10</v>
      </c>
      <c r="Q174" s="141"/>
      <c r="R174" s="137">
        <f>O174*Q174</f>
        <v>0</v>
      </c>
      <c r="T174" s="213">
        <v>9</v>
      </c>
      <c r="U174" s="213">
        <v>20</v>
      </c>
    </row>
    <row r="175" spans="1:21" x14ac:dyDescent="0.2">
      <c r="A175" s="139"/>
      <c r="B175" s="110"/>
      <c r="C175" s="138">
        <f t="shared" si="85"/>
        <v>0</v>
      </c>
      <c r="D175" s="138">
        <f t="shared" si="86"/>
        <v>0</v>
      </c>
      <c r="E175" s="138">
        <f t="shared" si="87"/>
        <v>0</v>
      </c>
      <c r="F175" s="138">
        <f t="shared" si="88"/>
        <v>0</v>
      </c>
      <c r="G175" s="138">
        <f t="shared" si="89"/>
        <v>0</v>
      </c>
      <c r="H175" s="138">
        <f t="shared" si="90"/>
        <v>0</v>
      </c>
      <c r="I175" s="138">
        <f t="shared" si="91"/>
        <v>0</v>
      </c>
      <c r="J175" s="138">
        <f t="shared" si="92"/>
        <v>0</v>
      </c>
      <c r="K175" s="138">
        <f t="shared" si="93"/>
        <v>0</v>
      </c>
      <c r="L175" s="138">
        <f t="shared" si="94"/>
        <v>0</v>
      </c>
      <c r="M175" s="138">
        <f t="shared" si="95"/>
        <v>0</v>
      </c>
      <c r="N175" s="138">
        <f t="shared" si="96"/>
        <v>0</v>
      </c>
      <c r="O175" s="138">
        <f t="shared" si="97"/>
        <v>0</v>
      </c>
      <c r="P175" s="154"/>
      <c r="Q175" s="141"/>
      <c r="R175" s="137"/>
    </row>
    <row r="176" spans="1:21" x14ac:dyDescent="0.2">
      <c r="A176" s="220" t="s">
        <v>76</v>
      </c>
      <c r="B176" s="110" t="s">
        <v>120</v>
      </c>
      <c r="C176" s="138">
        <f t="shared" si="85"/>
        <v>66</v>
      </c>
      <c r="D176" s="138">
        <f t="shared" si="86"/>
        <v>0</v>
      </c>
      <c r="E176" s="138">
        <f t="shared" si="87"/>
        <v>81</v>
      </c>
      <c r="F176" s="138">
        <f t="shared" si="88"/>
        <v>0</v>
      </c>
      <c r="G176" s="138">
        <f t="shared" si="89"/>
        <v>480</v>
      </c>
      <c r="H176" s="138">
        <f t="shared" si="90"/>
        <v>0</v>
      </c>
      <c r="I176" s="138">
        <f t="shared" si="91"/>
        <v>111</v>
      </c>
      <c r="J176" s="138">
        <f t="shared" si="92"/>
        <v>0</v>
      </c>
      <c r="K176" s="138">
        <f t="shared" si="93"/>
        <v>378</v>
      </c>
      <c r="L176" s="138">
        <f t="shared" si="94"/>
        <v>0</v>
      </c>
      <c r="M176" s="138">
        <f t="shared" si="95"/>
        <v>141</v>
      </c>
      <c r="N176" s="138">
        <f t="shared" si="96"/>
        <v>0</v>
      </c>
      <c r="O176" s="138">
        <f>C176+E176+G176+I176+K176+M176</f>
        <v>1257</v>
      </c>
      <c r="P176" s="154" t="s">
        <v>10</v>
      </c>
      <c r="Q176" s="141"/>
      <c r="R176" s="137">
        <f>O176*Q176</f>
        <v>0</v>
      </c>
      <c r="T176" s="142">
        <v>18</v>
      </c>
      <c r="U176" s="142">
        <v>15</v>
      </c>
    </row>
    <row r="177" spans="1:21" x14ac:dyDescent="0.2">
      <c r="A177" s="139"/>
      <c r="B177" s="110"/>
      <c r="C177" s="138">
        <f t="shared" si="85"/>
        <v>0</v>
      </c>
      <c r="D177" s="138">
        <f t="shared" si="86"/>
        <v>0</v>
      </c>
      <c r="E177" s="138">
        <f t="shared" si="87"/>
        <v>0</v>
      </c>
      <c r="F177" s="138">
        <f t="shared" si="88"/>
        <v>0</v>
      </c>
      <c r="G177" s="138">
        <f t="shared" si="89"/>
        <v>0</v>
      </c>
      <c r="H177" s="138">
        <f t="shared" si="90"/>
        <v>0</v>
      </c>
      <c r="I177" s="138">
        <f t="shared" si="91"/>
        <v>0</v>
      </c>
      <c r="J177" s="138">
        <f t="shared" si="92"/>
        <v>0</v>
      </c>
      <c r="K177" s="138">
        <f t="shared" si="93"/>
        <v>0</v>
      </c>
      <c r="L177" s="138">
        <f t="shared" si="94"/>
        <v>0</v>
      </c>
      <c r="M177" s="138">
        <f t="shared" si="95"/>
        <v>0</v>
      </c>
      <c r="N177" s="138">
        <f t="shared" si="96"/>
        <v>0</v>
      </c>
      <c r="O177" s="138">
        <f t="shared" si="97"/>
        <v>0</v>
      </c>
      <c r="P177" s="154"/>
      <c r="Q177" s="141"/>
      <c r="R177" s="137"/>
    </row>
    <row r="178" spans="1:21" x14ac:dyDescent="0.2">
      <c r="A178" s="220" t="s">
        <v>77</v>
      </c>
      <c r="B178" s="110" t="s">
        <v>190</v>
      </c>
      <c r="C178" s="138">
        <f t="shared" si="85"/>
        <v>306</v>
      </c>
      <c r="D178" s="138">
        <f t="shared" si="86"/>
        <v>0</v>
      </c>
      <c r="E178" s="138">
        <f t="shared" si="87"/>
        <v>367</v>
      </c>
      <c r="F178" s="138">
        <f t="shared" si="88"/>
        <v>0</v>
      </c>
      <c r="G178" s="138">
        <f t="shared" si="89"/>
        <v>2140</v>
      </c>
      <c r="H178" s="138">
        <f t="shared" si="90"/>
        <v>0</v>
      </c>
      <c r="I178" s="138">
        <f t="shared" si="91"/>
        <v>489</v>
      </c>
      <c r="J178" s="138">
        <f t="shared" si="92"/>
        <v>0</v>
      </c>
      <c r="K178" s="138">
        <f t="shared" si="93"/>
        <v>1650</v>
      </c>
      <c r="L178" s="138">
        <f t="shared" si="94"/>
        <v>0</v>
      </c>
      <c r="M178" s="138">
        <f t="shared" si="95"/>
        <v>611</v>
      </c>
      <c r="N178" s="138">
        <f t="shared" si="96"/>
        <v>0</v>
      </c>
      <c r="O178" s="138">
        <f>C178+E178+G178+I178+K178+M178</f>
        <v>5563</v>
      </c>
      <c r="P178" s="154" t="s">
        <v>10</v>
      </c>
      <c r="Q178" s="141"/>
      <c r="R178" s="137">
        <f>O178*Q178</f>
        <v>0</v>
      </c>
      <c r="T178" s="142">
        <v>92</v>
      </c>
      <c r="U178" s="142">
        <v>61</v>
      </c>
    </row>
    <row r="179" spans="1:21" x14ac:dyDescent="0.2">
      <c r="A179" s="139"/>
      <c r="B179" s="110"/>
      <c r="C179" s="138">
        <f t="shared" si="85"/>
        <v>0</v>
      </c>
      <c r="D179" s="138">
        <f t="shared" si="86"/>
        <v>0</v>
      </c>
      <c r="E179" s="138">
        <f t="shared" si="87"/>
        <v>0</v>
      </c>
      <c r="F179" s="138">
        <f t="shared" si="88"/>
        <v>0</v>
      </c>
      <c r="G179" s="138">
        <f t="shared" si="89"/>
        <v>0</v>
      </c>
      <c r="H179" s="138">
        <f t="shared" si="90"/>
        <v>0</v>
      </c>
      <c r="I179" s="138">
        <f t="shared" si="91"/>
        <v>0</v>
      </c>
      <c r="J179" s="138">
        <f t="shared" si="92"/>
        <v>0</v>
      </c>
      <c r="K179" s="138">
        <f t="shared" si="93"/>
        <v>0</v>
      </c>
      <c r="L179" s="138">
        <f t="shared" si="94"/>
        <v>0</v>
      </c>
      <c r="M179" s="138">
        <f t="shared" si="95"/>
        <v>0</v>
      </c>
      <c r="N179" s="138">
        <f t="shared" si="96"/>
        <v>0</v>
      </c>
      <c r="O179" s="138">
        <f t="shared" si="97"/>
        <v>0</v>
      </c>
      <c r="P179" s="154"/>
      <c r="Q179" s="141"/>
      <c r="R179" s="137"/>
    </row>
    <row r="180" spans="1:21" x14ac:dyDescent="0.2">
      <c r="A180" s="220" t="s">
        <v>79</v>
      </c>
      <c r="B180" s="110" t="s">
        <v>241</v>
      </c>
      <c r="C180" s="138">
        <f t="shared" si="85"/>
        <v>62</v>
      </c>
      <c r="D180" s="138">
        <f t="shared" si="86"/>
        <v>0</v>
      </c>
      <c r="E180" s="138">
        <f t="shared" si="87"/>
        <v>77</v>
      </c>
      <c r="F180" s="138">
        <f t="shared" si="88"/>
        <v>0</v>
      </c>
      <c r="G180" s="138">
        <f t="shared" si="89"/>
        <v>460</v>
      </c>
      <c r="H180" s="138">
        <f t="shared" si="90"/>
        <v>0</v>
      </c>
      <c r="I180" s="138">
        <f t="shared" si="91"/>
        <v>107</v>
      </c>
      <c r="J180" s="138">
        <f t="shared" si="92"/>
        <v>0</v>
      </c>
      <c r="K180" s="138">
        <f t="shared" si="93"/>
        <v>366</v>
      </c>
      <c r="L180" s="138">
        <f t="shared" si="94"/>
        <v>0</v>
      </c>
      <c r="M180" s="138">
        <f t="shared" si="95"/>
        <v>137</v>
      </c>
      <c r="N180" s="138">
        <f t="shared" si="96"/>
        <v>0</v>
      </c>
      <c r="O180" s="138">
        <f>C180+E180+G180+I180+K180+M180</f>
        <v>1209</v>
      </c>
      <c r="P180" s="154" t="s">
        <v>10</v>
      </c>
      <c r="Q180" s="141"/>
      <c r="R180" s="137">
        <f>O180*Q180</f>
        <v>0</v>
      </c>
      <c r="T180" s="142">
        <v>16</v>
      </c>
      <c r="U180" s="142">
        <v>15</v>
      </c>
    </row>
    <row r="181" spans="1:21" x14ac:dyDescent="0.2">
      <c r="A181" s="139"/>
      <c r="B181" s="110"/>
      <c r="C181" s="138">
        <f t="shared" si="85"/>
        <v>0</v>
      </c>
      <c r="D181" s="138">
        <f t="shared" si="86"/>
        <v>0</v>
      </c>
      <c r="E181" s="138">
        <f t="shared" si="87"/>
        <v>0</v>
      </c>
      <c r="F181" s="138">
        <f t="shared" si="88"/>
        <v>0</v>
      </c>
      <c r="G181" s="138">
        <f t="shared" si="89"/>
        <v>0</v>
      </c>
      <c r="H181" s="138">
        <f t="shared" si="90"/>
        <v>0</v>
      </c>
      <c r="I181" s="138">
        <f t="shared" si="91"/>
        <v>0</v>
      </c>
      <c r="J181" s="138">
        <f t="shared" si="92"/>
        <v>0</v>
      </c>
      <c r="K181" s="138">
        <f t="shared" si="93"/>
        <v>0</v>
      </c>
      <c r="L181" s="138">
        <f t="shared" si="94"/>
        <v>0</v>
      </c>
      <c r="M181" s="138">
        <f t="shared" si="95"/>
        <v>0</v>
      </c>
      <c r="N181" s="138">
        <f t="shared" si="96"/>
        <v>0</v>
      </c>
      <c r="O181" s="138">
        <f t="shared" si="97"/>
        <v>0</v>
      </c>
      <c r="P181" s="154"/>
      <c r="Q181" s="141"/>
      <c r="R181" s="137"/>
    </row>
    <row r="182" spans="1:21" x14ac:dyDescent="0.2">
      <c r="A182" s="220" t="s">
        <v>80</v>
      </c>
      <c r="B182" s="110" t="s">
        <v>368</v>
      </c>
      <c r="C182" s="138">
        <f t="shared" si="85"/>
        <v>48</v>
      </c>
      <c r="D182" s="138">
        <f t="shared" si="86"/>
        <v>0</v>
      </c>
      <c r="E182" s="138">
        <f t="shared" si="87"/>
        <v>59</v>
      </c>
      <c r="F182" s="138">
        <f t="shared" si="88"/>
        <v>0</v>
      </c>
      <c r="G182" s="138">
        <f t="shared" si="89"/>
        <v>350</v>
      </c>
      <c r="H182" s="138">
        <f t="shared" si="90"/>
        <v>0</v>
      </c>
      <c r="I182" s="138">
        <f t="shared" si="91"/>
        <v>81</v>
      </c>
      <c r="J182" s="138">
        <f t="shared" si="92"/>
        <v>0</v>
      </c>
      <c r="K182" s="138">
        <f t="shared" si="93"/>
        <v>276</v>
      </c>
      <c r="L182" s="138">
        <f t="shared" si="94"/>
        <v>0</v>
      </c>
      <c r="M182" s="138">
        <f t="shared" si="95"/>
        <v>103</v>
      </c>
      <c r="N182" s="138">
        <f t="shared" si="96"/>
        <v>0</v>
      </c>
      <c r="O182" s="138">
        <f>C182+E182+G182+I182+K182+M182</f>
        <v>917</v>
      </c>
      <c r="P182" s="154" t="s">
        <v>10</v>
      </c>
      <c r="Q182" s="141"/>
      <c r="R182" s="137">
        <f>O182*Q182</f>
        <v>0</v>
      </c>
      <c r="T182" s="142">
        <v>13</v>
      </c>
      <c r="U182" s="142">
        <v>11</v>
      </c>
    </row>
    <row r="183" spans="1:21" x14ac:dyDescent="0.2">
      <c r="A183" s="139"/>
      <c r="B183" s="110"/>
      <c r="C183" s="138">
        <f t="shared" si="85"/>
        <v>0</v>
      </c>
      <c r="D183" s="138">
        <f t="shared" si="86"/>
        <v>0</v>
      </c>
      <c r="E183" s="138">
        <f t="shared" si="87"/>
        <v>0</v>
      </c>
      <c r="F183" s="138">
        <f t="shared" si="88"/>
        <v>0</v>
      </c>
      <c r="G183" s="138">
        <f t="shared" si="89"/>
        <v>0</v>
      </c>
      <c r="H183" s="138">
        <f t="shared" si="90"/>
        <v>0</v>
      </c>
      <c r="I183" s="138">
        <f t="shared" si="91"/>
        <v>0</v>
      </c>
      <c r="J183" s="138">
        <f t="shared" si="92"/>
        <v>0</v>
      </c>
      <c r="K183" s="138">
        <f t="shared" si="93"/>
        <v>0</v>
      </c>
      <c r="L183" s="138">
        <f t="shared" si="94"/>
        <v>0</v>
      </c>
      <c r="M183" s="138">
        <f t="shared" si="95"/>
        <v>0</v>
      </c>
      <c r="N183" s="138">
        <f t="shared" si="96"/>
        <v>0</v>
      </c>
      <c r="O183" s="138">
        <f t="shared" si="97"/>
        <v>0</v>
      </c>
      <c r="P183" s="154"/>
      <c r="Q183" s="141"/>
      <c r="R183" s="137"/>
    </row>
    <row r="184" spans="1:21" x14ac:dyDescent="0.2">
      <c r="A184" s="220" t="s">
        <v>81</v>
      </c>
      <c r="B184" s="110" t="s">
        <v>121</v>
      </c>
      <c r="C184" s="138">
        <f t="shared" si="85"/>
        <v>344</v>
      </c>
      <c r="D184" s="138">
        <f t="shared" si="86"/>
        <v>0</v>
      </c>
      <c r="E184" s="138">
        <f t="shared" si="87"/>
        <v>417</v>
      </c>
      <c r="F184" s="138">
        <f t="shared" si="88"/>
        <v>0</v>
      </c>
      <c r="G184" s="138">
        <f t="shared" si="89"/>
        <v>2450</v>
      </c>
      <c r="H184" s="138">
        <f t="shared" si="90"/>
        <v>0</v>
      </c>
      <c r="I184" s="138">
        <f t="shared" si="91"/>
        <v>563</v>
      </c>
      <c r="J184" s="138">
        <f t="shared" si="92"/>
        <v>0</v>
      </c>
      <c r="K184" s="138">
        <f t="shared" si="93"/>
        <v>1908</v>
      </c>
      <c r="L184" s="138">
        <f t="shared" si="94"/>
        <v>0</v>
      </c>
      <c r="M184" s="138">
        <f t="shared" si="95"/>
        <v>709</v>
      </c>
      <c r="N184" s="138">
        <f t="shared" si="96"/>
        <v>0</v>
      </c>
      <c r="O184" s="138">
        <f>C184+E184+G184+I184+K184+M184</f>
        <v>6391</v>
      </c>
      <c r="P184" s="154" t="s">
        <v>12</v>
      </c>
      <c r="Q184" s="141"/>
      <c r="R184" s="137">
        <f>O184*Q184</f>
        <v>0</v>
      </c>
      <c r="T184" s="142">
        <v>99</v>
      </c>
      <c r="U184" s="142">
        <v>73</v>
      </c>
    </row>
    <row r="185" spans="1:21" x14ac:dyDescent="0.2">
      <c r="A185" s="139"/>
      <c r="B185" s="110"/>
      <c r="C185" s="138">
        <f t="shared" si="85"/>
        <v>0</v>
      </c>
      <c r="D185" s="138">
        <f t="shared" si="86"/>
        <v>0</v>
      </c>
      <c r="E185" s="138">
        <f t="shared" si="87"/>
        <v>0</v>
      </c>
      <c r="F185" s="138">
        <f t="shared" si="88"/>
        <v>0</v>
      </c>
      <c r="G185" s="138">
        <f t="shared" si="89"/>
        <v>0</v>
      </c>
      <c r="H185" s="138">
        <f t="shared" si="90"/>
        <v>0</v>
      </c>
      <c r="I185" s="138">
        <f t="shared" si="91"/>
        <v>0</v>
      </c>
      <c r="J185" s="138">
        <f t="shared" si="92"/>
        <v>0</v>
      </c>
      <c r="K185" s="138">
        <f t="shared" si="93"/>
        <v>0</v>
      </c>
      <c r="L185" s="138">
        <f t="shared" si="94"/>
        <v>0</v>
      </c>
      <c r="M185" s="138">
        <f t="shared" si="95"/>
        <v>0</v>
      </c>
      <c r="N185" s="138">
        <f t="shared" si="96"/>
        <v>0</v>
      </c>
      <c r="O185" s="138">
        <f t="shared" si="97"/>
        <v>0</v>
      </c>
      <c r="P185" s="154"/>
      <c r="Q185" s="141"/>
      <c r="R185" s="137"/>
    </row>
    <row r="186" spans="1:21" x14ac:dyDescent="0.2">
      <c r="A186" s="139"/>
      <c r="B186" s="110"/>
      <c r="C186" s="138">
        <f t="shared" si="85"/>
        <v>0</v>
      </c>
      <c r="D186" s="138">
        <f t="shared" si="86"/>
        <v>0</v>
      </c>
      <c r="E186" s="138">
        <f t="shared" si="87"/>
        <v>0</v>
      </c>
      <c r="F186" s="138">
        <f t="shared" si="88"/>
        <v>0</v>
      </c>
      <c r="G186" s="138">
        <f t="shared" si="89"/>
        <v>0</v>
      </c>
      <c r="H186" s="138">
        <f t="shared" si="90"/>
        <v>0</v>
      </c>
      <c r="I186" s="138">
        <f t="shared" si="91"/>
        <v>0</v>
      </c>
      <c r="J186" s="138">
        <f t="shared" si="92"/>
        <v>0</v>
      </c>
      <c r="K186" s="138">
        <f t="shared" si="93"/>
        <v>0</v>
      </c>
      <c r="L186" s="138">
        <f t="shared" si="94"/>
        <v>0</v>
      </c>
      <c r="M186" s="138">
        <f t="shared" si="95"/>
        <v>0</v>
      </c>
      <c r="N186" s="138">
        <f t="shared" si="96"/>
        <v>0</v>
      </c>
      <c r="O186" s="138">
        <f t="shared" si="97"/>
        <v>0</v>
      </c>
      <c r="P186" s="154"/>
      <c r="Q186" s="141"/>
      <c r="R186" s="137"/>
    </row>
    <row r="187" spans="1:21" x14ac:dyDescent="0.2">
      <c r="A187" s="139"/>
      <c r="B187" s="110"/>
      <c r="C187" s="138">
        <f t="shared" si="85"/>
        <v>0</v>
      </c>
      <c r="D187" s="138">
        <f t="shared" si="86"/>
        <v>0</v>
      </c>
      <c r="E187" s="138">
        <f t="shared" si="87"/>
        <v>0</v>
      </c>
      <c r="F187" s="138">
        <f t="shared" si="88"/>
        <v>0</v>
      </c>
      <c r="G187" s="138">
        <f t="shared" si="89"/>
        <v>0</v>
      </c>
      <c r="H187" s="138">
        <f t="shared" si="90"/>
        <v>0</v>
      </c>
      <c r="I187" s="138">
        <f t="shared" si="91"/>
        <v>0</v>
      </c>
      <c r="J187" s="138">
        <f t="shared" si="92"/>
        <v>0</v>
      </c>
      <c r="K187" s="138">
        <f t="shared" si="93"/>
        <v>0</v>
      </c>
      <c r="L187" s="138">
        <f t="shared" si="94"/>
        <v>0</v>
      </c>
      <c r="M187" s="138">
        <f t="shared" si="95"/>
        <v>0</v>
      </c>
      <c r="N187" s="138">
        <f t="shared" si="96"/>
        <v>0</v>
      </c>
      <c r="O187" s="138">
        <f t="shared" si="97"/>
        <v>0</v>
      </c>
      <c r="P187" s="154"/>
      <c r="Q187" s="141"/>
      <c r="R187" s="137"/>
    </row>
    <row r="188" spans="1:21" x14ac:dyDescent="0.2">
      <c r="A188" s="139"/>
      <c r="B188" s="110"/>
      <c r="C188" s="138">
        <f t="shared" si="85"/>
        <v>0</v>
      </c>
      <c r="D188" s="138">
        <f t="shared" si="86"/>
        <v>0</v>
      </c>
      <c r="E188" s="138">
        <f t="shared" si="87"/>
        <v>0</v>
      </c>
      <c r="F188" s="138">
        <f t="shared" si="88"/>
        <v>0</v>
      </c>
      <c r="G188" s="138">
        <f t="shared" si="89"/>
        <v>0</v>
      </c>
      <c r="H188" s="138">
        <f t="shared" si="90"/>
        <v>0</v>
      </c>
      <c r="I188" s="138">
        <f t="shared" si="91"/>
        <v>0</v>
      </c>
      <c r="J188" s="138">
        <f t="shared" si="92"/>
        <v>0</v>
      </c>
      <c r="K188" s="138">
        <f t="shared" si="93"/>
        <v>0</v>
      </c>
      <c r="L188" s="138">
        <f t="shared" si="94"/>
        <v>0</v>
      </c>
      <c r="M188" s="138">
        <f t="shared" si="95"/>
        <v>0</v>
      </c>
      <c r="N188" s="138">
        <f t="shared" si="96"/>
        <v>0</v>
      </c>
      <c r="O188" s="138">
        <f t="shared" si="97"/>
        <v>0</v>
      </c>
      <c r="P188" s="154"/>
      <c r="Q188" s="141"/>
      <c r="R188" s="137"/>
    </row>
    <row r="189" spans="1:21" x14ac:dyDescent="0.2">
      <c r="A189" s="139"/>
      <c r="B189" s="110"/>
      <c r="C189" s="138">
        <f t="shared" si="85"/>
        <v>0</v>
      </c>
      <c r="D189" s="138">
        <f t="shared" si="86"/>
        <v>0</v>
      </c>
      <c r="E189" s="138">
        <f t="shared" si="87"/>
        <v>0</v>
      </c>
      <c r="F189" s="138">
        <f t="shared" si="88"/>
        <v>0</v>
      </c>
      <c r="G189" s="138">
        <f t="shared" si="89"/>
        <v>0</v>
      </c>
      <c r="H189" s="138">
        <f t="shared" si="90"/>
        <v>0</v>
      </c>
      <c r="I189" s="138">
        <f t="shared" si="91"/>
        <v>0</v>
      </c>
      <c r="J189" s="138">
        <f t="shared" si="92"/>
        <v>0</v>
      </c>
      <c r="K189" s="138">
        <f t="shared" si="93"/>
        <v>0</v>
      </c>
      <c r="L189" s="138">
        <f t="shared" si="94"/>
        <v>0</v>
      </c>
      <c r="M189" s="138">
        <f t="shared" si="95"/>
        <v>0</v>
      </c>
      <c r="N189" s="138">
        <f t="shared" si="96"/>
        <v>0</v>
      </c>
      <c r="O189" s="138">
        <f t="shared" si="97"/>
        <v>0</v>
      </c>
      <c r="P189" s="154"/>
      <c r="Q189" s="141"/>
      <c r="R189" s="137"/>
    </row>
    <row r="190" spans="1:21" x14ac:dyDescent="0.2">
      <c r="A190" s="139"/>
      <c r="B190" s="110"/>
      <c r="C190" s="138">
        <f t="shared" si="85"/>
        <v>0</v>
      </c>
      <c r="D190" s="138">
        <f t="shared" si="86"/>
        <v>0</v>
      </c>
      <c r="E190" s="138">
        <f t="shared" si="87"/>
        <v>0</v>
      </c>
      <c r="F190" s="138">
        <f t="shared" si="88"/>
        <v>0</v>
      </c>
      <c r="G190" s="138">
        <f t="shared" si="89"/>
        <v>0</v>
      </c>
      <c r="H190" s="138">
        <f t="shared" si="90"/>
        <v>0</v>
      </c>
      <c r="I190" s="138">
        <f t="shared" si="91"/>
        <v>0</v>
      </c>
      <c r="J190" s="138">
        <f t="shared" si="92"/>
        <v>0</v>
      </c>
      <c r="K190" s="138">
        <f t="shared" si="93"/>
        <v>0</v>
      </c>
      <c r="L190" s="138">
        <f t="shared" si="94"/>
        <v>0</v>
      </c>
      <c r="M190" s="138">
        <f t="shared" si="95"/>
        <v>0</v>
      </c>
      <c r="N190" s="138">
        <f t="shared" si="96"/>
        <v>0</v>
      </c>
      <c r="O190" s="138">
        <f t="shared" si="97"/>
        <v>0</v>
      </c>
      <c r="P190" s="154"/>
      <c r="Q190" s="141"/>
      <c r="R190" s="137"/>
    </row>
    <row r="191" spans="1:21" x14ac:dyDescent="0.2">
      <c r="A191" s="139"/>
      <c r="B191" s="110"/>
      <c r="C191" s="138">
        <f t="shared" si="85"/>
        <v>0</v>
      </c>
      <c r="D191" s="138">
        <f t="shared" si="86"/>
        <v>0</v>
      </c>
      <c r="E191" s="138">
        <f t="shared" si="87"/>
        <v>0</v>
      </c>
      <c r="F191" s="138">
        <f t="shared" si="88"/>
        <v>0</v>
      </c>
      <c r="G191" s="138">
        <f t="shared" si="89"/>
        <v>0</v>
      </c>
      <c r="H191" s="138">
        <f t="shared" si="90"/>
        <v>0</v>
      </c>
      <c r="I191" s="138">
        <f t="shared" si="91"/>
        <v>0</v>
      </c>
      <c r="J191" s="138">
        <f t="shared" si="92"/>
        <v>0</v>
      </c>
      <c r="K191" s="138">
        <f t="shared" si="93"/>
        <v>0</v>
      </c>
      <c r="L191" s="138">
        <f t="shared" si="94"/>
        <v>0</v>
      </c>
      <c r="M191" s="138">
        <f t="shared" si="95"/>
        <v>0</v>
      </c>
      <c r="N191" s="138">
        <f t="shared" si="96"/>
        <v>0</v>
      </c>
      <c r="O191" s="138">
        <f t="shared" si="97"/>
        <v>0</v>
      </c>
      <c r="P191" s="154"/>
      <c r="Q191" s="141"/>
      <c r="R191" s="137"/>
    </row>
    <row r="192" spans="1:21" x14ac:dyDescent="0.2">
      <c r="A192" s="139"/>
      <c r="B192" s="110"/>
      <c r="C192" s="138"/>
      <c r="D192" s="138"/>
      <c r="E192" s="138"/>
      <c r="F192" s="138"/>
      <c r="G192" s="138"/>
      <c r="H192" s="138"/>
      <c r="I192" s="138"/>
      <c r="J192" s="138"/>
      <c r="K192" s="138"/>
      <c r="L192" s="138"/>
      <c r="M192" s="138"/>
      <c r="N192" s="138"/>
      <c r="O192" s="138"/>
      <c r="P192" s="154"/>
      <c r="Q192" s="141"/>
      <c r="R192" s="137"/>
    </row>
    <row r="193" spans="1:21" x14ac:dyDescent="0.2">
      <c r="A193" s="139"/>
      <c r="B193" s="136"/>
      <c r="C193" s="138"/>
      <c r="D193" s="138"/>
      <c r="E193" s="138"/>
      <c r="F193" s="138"/>
      <c r="G193" s="138"/>
      <c r="H193" s="138"/>
      <c r="I193" s="138"/>
      <c r="J193" s="138"/>
      <c r="K193" s="138"/>
      <c r="L193" s="138"/>
      <c r="M193" s="138"/>
      <c r="N193" s="138"/>
      <c r="O193" s="138"/>
      <c r="P193" s="154"/>
      <c r="Q193" s="141"/>
      <c r="R193" s="137"/>
    </row>
    <row r="194" spans="1:21" x14ac:dyDescent="0.2">
      <c r="A194" s="127"/>
      <c r="B194" s="136"/>
      <c r="C194" s="128"/>
      <c r="D194" s="120"/>
      <c r="E194" s="120"/>
      <c r="F194" s="120"/>
      <c r="G194" s="120"/>
      <c r="H194" s="120"/>
      <c r="I194" s="120"/>
      <c r="J194" s="120"/>
      <c r="K194" s="120"/>
      <c r="L194" s="120"/>
      <c r="M194" s="120"/>
      <c r="N194" s="120"/>
      <c r="O194" s="120"/>
      <c r="P194" s="154"/>
      <c r="Q194" s="141"/>
      <c r="R194" s="137"/>
    </row>
    <row r="195" spans="1:21" x14ac:dyDescent="0.2">
      <c r="A195" s="129"/>
      <c r="B195" s="130"/>
      <c r="C195" s="131"/>
      <c r="D195" s="131"/>
      <c r="E195" s="131"/>
      <c r="F195" s="131"/>
      <c r="G195" s="131"/>
      <c r="H195" s="131"/>
      <c r="I195" s="131"/>
      <c r="J195" s="131"/>
      <c r="K195" s="131"/>
      <c r="L195" s="131"/>
      <c r="M195" s="131"/>
      <c r="N195" s="131"/>
      <c r="O195" s="131"/>
      <c r="P195" s="131"/>
      <c r="Q195" s="132"/>
      <c r="R195" s="126"/>
      <c r="T195" s="134"/>
      <c r="U195" s="134"/>
    </row>
    <row r="196" spans="1:21" x14ac:dyDescent="0.2">
      <c r="C196" s="122"/>
      <c r="D196" s="122"/>
      <c r="E196" s="122"/>
      <c r="F196" s="122"/>
      <c r="G196" s="122"/>
      <c r="H196" s="122"/>
      <c r="I196" s="122"/>
      <c r="J196" s="122"/>
      <c r="K196" s="122"/>
      <c r="L196" s="122"/>
      <c r="M196" s="122"/>
      <c r="N196" s="122"/>
      <c r="O196" s="122"/>
      <c r="P196" s="171" t="s">
        <v>1</v>
      </c>
      <c r="Q196" s="133" t="s">
        <v>0</v>
      </c>
      <c r="R196" s="137">
        <f>SUM(R149:R195)</f>
        <v>0</v>
      </c>
      <c r="T196" s="135"/>
      <c r="U196" s="135"/>
    </row>
    <row r="197" spans="1:21" x14ac:dyDescent="0.2">
      <c r="P197" s="188"/>
      <c r="Q197" s="124"/>
      <c r="R197" s="125"/>
    </row>
    <row r="198" spans="1:21" x14ac:dyDescent="0.2">
      <c r="A198" s="139"/>
      <c r="B198" s="110"/>
      <c r="C198" s="138">
        <f t="shared" ref="C198:C222" si="106">ROUND((2*$T198+2*$U198)*C$3,0)</f>
        <v>0</v>
      </c>
      <c r="D198" s="138">
        <f t="shared" ref="D198:D222" si="107">C198*$Q198</f>
        <v>0</v>
      </c>
      <c r="E198" s="138">
        <f t="shared" ref="E198:E222" si="108">ROUND((2*$T198+3*$U198)*E$3,0)</f>
        <v>0</v>
      </c>
      <c r="F198" s="138">
        <f t="shared" ref="F198:F222" si="109">E198*$Q198</f>
        <v>0</v>
      </c>
      <c r="G198" s="138">
        <f t="shared" ref="G198:G222" si="110">ROUND((2*$T198+4*$U198)*G$3,0)</f>
        <v>0</v>
      </c>
      <c r="H198" s="138">
        <f t="shared" ref="H198:H222" si="111">G198*$Q198</f>
        <v>0</v>
      </c>
      <c r="I198" s="138">
        <f t="shared" ref="I198:I222" si="112">ROUND((2*$T198+5*$U198)*I$3,0)</f>
        <v>0</v>
      </c>
      <c r="J198" s="138">
        <f t="shared" ref="J198:J222" si="113">I198*$Q198</f>
        <v>0</v>
      </c>
      <c r="K198" s="138">
        <f t="shared" ref="K198:K222" si="114">ROUND((2*$T198+6*$U198)*K$3,0)</f>
        <v>0</v>
      </c>
      <c r="L198" s="138">
        <f t="shared" ref="L198:L222" si="115">K198*$Q198</f>
        <v>0</v>
      </c>
      <c r="M198" s="138">
        <f t="shared" ref="M198:M222" si="116">ROUND((2*$T198+7*$U198)*M$3,0)</f>
        <v>0</v>
      </c>
      <c r="N198" s="138">
        <f t="shared" ref="N198:N222" si="117">M198*$Q198</f>
        <v>0</v>
      </c>
      <c r="O198" s="138">
        <f t="shared" ref="O198:O222" si="118">C198+E198+G198+I198+K198+M198</f>
        <v>0</v>
      </c>
      <c r="P198" s="154"/>
      <c r="Q198" s="141"/>
      <c r="R198" s="137"/>
    </row>
    <row r="199" spans="1:21" x14ac:dyDescent="0.2">
      <c r="A199" s="139"/>
      <c r="B199" s="7" t="s">
        <v>369</v>
      </c>
      <c r="C199" s="138">
        <f t="shared" si="106"/>
        <v>0</v>
      </c>
      <c r="D199" s="138">
        <f t="shared" si="107"/>
        <v>0</v>
      </c>
      <c r="E199" s="138">
        <f t="shared" si="108"/>
        <v>0</v>
      </c>
      <c r="F199" s="138">
        <f t="shared" si="109"/>
        <v>0</v>
      </c>
      <c r="G199" s="138">
        <f t="shared" si="110"/>
        <v>0</v>
      </c>
      <c r="H199" s="138">
        <f t="shared" si="111"/>
        <v>0</v>
      </c>
      <c r="I199" s="138">
        <f t="shared" si="112"/>
        <v>0</v>
      </c>
      <c r="J199" s="138">
        <f t="shared" si="113"/>
        <v>0</v>
      </c>
      <c r="K199" s="138">
        <f t="shared" si="114"/>
        <v>0</v>
      </c>
      <c r="L199" s="138">
        <f t="shared" si="115"/>
        <v>0</v>
      </c>
      <c r="M199" s="138">
        <f t="shared" si="116"/>
        <v>0</v>
      </c>
      <c r="N199" s="138">
        <f t="shared" si="117"/>
        <v>0</v>
      </c>
      <c r="O199" s="138">
        <f t="shared" si="118"/>
        <v>0</v>
      </c>
      <c r="P199" s="154"/>
      <c r="Q199" s="141"/>
      <c r="R199" s="137"/>
    </row>
    <row r="200" spans="1:21" x14ac:dyDescent="0.2">
      <c r="A200" s="139"/>
      <c r="B200" s="110"/>
      <c r="C200" s="138">
        <f t="shared" si="106"/>
        <v>0</v>
      </c>
      <c r="D200" s="138">
        <f t="shared" si="107"/>
        <v>0</v>
      </c>
      <c r="E200" s="138">
        <f t="shared" si="108"/>
        <v>0</v>
      </c>
      <c r="F200" s="138">
        <f t="shared" si="109"/>
        <v>0</v>
      </c>
      <c r="G200" s="138">
        <f t="shared" si="110"/>
        <v>0</v>
      </c>
      <c r="H200" s="138">
        <f t="shared" si="111"/>
        <v>0</v>
      </c>
      <c r="I200" s="138">
        <f t="shared" si="112"/>
        <v>0</v>
      </c>
      <c r="J200" s="138">
        <f t="shared" si="113"/>
        <v>0</v>
      </c>
      <c r="K200" s="138">
        <f t="shared" si="114"/>
        <v>0</v>
      </c>
      <c r="L200" s="138">
        <f t="shared" si="115"/>
        <v>0</v>
      </c>
      <c r="M200" s="138">
        <f t="shared" si="116"/>
        <v>0</v>
      </c>
      <c r="N200" s="138">
        <f t="shared" si="117"/>
        <v>0</v>
      </c>
      <c r="O200" s="138">
        <f t="shared" si="118"/>
        <v>0</v>
      </c>
      <c r="P200" s="154"/>
      <c r="Q200" s="141"/>
      <c r="R200" s="137"/>
    </row>
    <row r="201" spans="1:21" x14ac:dyDescent="0.2">
      <c r="A201" s="139"/>
      <c r="B201" s="7" t="s">
        <v>370</v>
      </c>
      <c r="C201" s="138">
        <f t="shared" si="106"/>
        <v>0</v>
      </c>
      <c r="D201" s="138">
        <f t="shared" si="107"/>
        <v>0</v>
      </c>
      <c r="E201" s="138">
        <f t="shared" si="108"/>
        <v>0</v>
      </c>
      <c r="F201" s="138">
        <f t="shared" si="109"/>
        <v>0</v>
      </c>
      <c r="G201" s="138">
        <f t="shared" si="110"/>
        <v>0</v>
      </c>
      <c r="H201" s="138">
        <f t="shared" si="111"/>
        <v>0</v>
      </c>
      <c r="I201" s="138">
        <f t="shared" si="112"/>
        <v>0</v>
      </c>
      <c r="J201" s="138">
        <f t="shared" si="113"/>
        <v>0</v>
      </c>
      <c r="K201" s="138">
        <f t="shared" si="114"/>
        <v>0</v>
      </c>
      <c r="L201" s="138">
        <f t="shared" si="115"/>
        <v>0</v>
      </c>
      <c r="M201" s="138">
        <f t="shared" si="116"/>
        <v>0</v>
      </c>
      <c r="N201" s="138">
        <f t="shared" si="117"/>
        <v>0</v>
      </c>
      <c r="O201" s="138">
        <f t="shared" si="118"/>
        <v>0</v>
      </c>
      <c r="P201" s="154"/>
      <c r="Q201" s="141"/>
      <c r="R201" s="137"/>
    </row>
    <row r="202" spans="1:21" x14ac:dyDescent="0.2">
      <c r="A202" s="139"/>
      <c r="B202" s="110"/>
      <c r="C202" s="138">
        <f t="shared" si="106"/>
        <v>0</v>
      </c>
      <c r="D202" s="138">
        <f t="shared" si="107"/>
        <v>0</v>
      </c>
      <c r="E202" s="138">
        <f t="shared" si="108"/>
        <v>0</v>
      </c>
      <c r="F202" s="138">
        <f t="shared" si="109"/>
        <v>0</v>
      </c>
      <c r="G202" s="138">
        <f t="shared" si="110"/>
        <v>0</v>
      </c>
      <c r="H202" s="138">
        <f t="shared" si="111"/>
        <v>0</v>
      </c>
      <c r="I202" s="138">
        <f t="shared" si="112"/>
        <v>0</v>
      </c>
      <c r="J202" s="138">
        <f t="shared" si="113"/>
        <v>0</v>
      </c>
      <c r="K202" s="138">
        <f t="shared" si="114"/>
        <v>0</v>
      </c>
      <c r="L202" s="138">
        <f t="shared" si="115"/>
        <v>0</v>
      </c>
      <c r="M202" s="138">
        <f t="shared" si="116"/>
        <v>0</v>
      </c>
      <c r="N202" s="138">
        <f t="shared" si="117"/>
        <v>0</v>
      </c>
      <c r="O202" s="138">
        <f t="shared" si="118"/>
        <v>0</v>
      </c>
      <c r="P202" s="154"/>
      <c r="Q202" s="141"/>
      <c r="R202" s="137"/>
    </row>
    <row r="203" spans="1:21" x14ac:dyDescent="0.2">
      <c r="A203" s="139" t="s">
        <v>66</v>
      </c>
      <c r="B203" s="487" t="s">
        <v>955</v>
      </c>
      <c r="C203" s="138">
        <f t="shared" si="106"/>
        <v>8</v>
      </c>
      <c r="D203" s="138">
        <f t="shared" si="107"/>
        <v>0</v>
      </c>
      <c r="E203" s="138">
        <f t="shared" si="108"/>
        <v>10</v>
      </c>
      <c r="F203" s="138">
        <f t="shared" si="109"/>
        <v>0</v>
      </c>
      <c r="G203" s="138">
        <f t="shared" si="110"/>
        <v>60</v>
      </c>
      <c r="H203" s="138">
        <f t="shared" si="111"/>
        <v>0</v>
      </c>
      <c r="I203" s="138">
        <f t="shared" si="112"/>
        <v>14</v>
      </c>
      <c r="J203" s="138">
        <f t="shared" si="113"/>
        <v>0</v>
      </c>
      <c r="K203" s="138">
        <f t="shared" si="114"/>
        <v>48</v>
      </c>
      <c r="L203" s="138">
        <f t="shared" si="115"/>
        <v>0</v>
      </c>
      <c r="M203" s="138">
        <f t="shared" si="116"/>
        <v>18</v>
      </c>
      <c r="N203" s="138">
        <f t="shared" si="117"/>
        <v>0</v>
      </c>
      <c r="O203" s="138">
        <f>C203+E203+G203+I203+K203+M203</f>
        <v>158</v>
      </c>
      <c r="P203" s="154" t="s">
        <v>10</v>
      </c>
      <c r="Q203" s="141"/>
      <c r="R203" s="137">
        <f>O203*Q203</f>
        <v>0</v>
      </c>
      <c r="T203" s="142">
        <v>2</v>
      </c>
      <c r="U203" s="142">
        <v>2</v>
      </c>
    </row>
    <row r="204" spans="1:21" x14ac:dyDescent="0.2">
      <c r="A204" s="139"/>
      <c r="B204" s="110"/>
      <c r="C204" s="138">
        <f t="shared" si="106"/>
        <v>0</v>
      </c>
      <c r="D204" s="138">
        <f t="shared" si="107"/>
        <v>0</v>
      </c>
      <c r="E204" s="138">
        <f t="shared" si="108"/>
        <v>0</v>
      </c>
      <c r="F204" s="138">
        <f t="shared" si="109"/>
        <v>0</v>
      </c>
      <c r="G204" s="138">
        <f t="shared" si="110"/>
        <v>0</v>
      </c>
      <c r="H204" s="138">
        <f t="shared" si="111"/>
        <v>0</v>
      </c>
      <c r="I204" s="138">
        <f t="shared" si="112"/>
        <v>0</v>
      </c>
      <c r="J204" s="138">
        <f t="shared" si="113"/>
        <v>0</v>
      </c>
      <c r="K204" s="138">
        <f t="shared" si="114"/>
        <v>0</v>
      </c>
      <c r="L204" s="138">
        <f t="shared" si="115"/>
        <v>0</v>
      </c>
      <c r="M204" s="138">
        <f t="shared" si="116"/>
        <v>0</v>
      </c>
      <c r="N204" s="138">
        <f t="shared" si="117"/>
        <v>0</v>
      </c>
      <c r="O204" s="138">
        <f t="shared" si="118"/>
        <v>0</v>
      </c>
      <c r="P204" s="154"/>
      <c r="Q204" s="141"/>
      <c r="R204" s="137"/>
    </row>
    <row r="205" spans="1:21" x14ac:dyDescent="0.2">
      <c r="A205" s="139"/>
      <c r="B205" s="7" t="s">
        <v>54</v>
      </c>
      <c r="C205" s="138">
        <f t="shared" si="106"/>
        <v>0</v>
      </c>
      <c r="D205" s="138">
        <f t="shared" si="107"/>
        <v>0</v>
      </c>
      <c r="E205" s="138">
        <f t="shared" si="108"/>
        <v>0</v>
      </c>
      <c r="F205" s="138">
        <f t="shared" si="109"/>
        <v>0</v>
      </c>
      <c r="G205" s="138">
        <f t="shared" si="110"/>
        <v>0</v>
      </c>
      <c r="H205" s="138">
        <f t="shared" si="111"/>
        <v>0</v>
      </c>
      <c r="I205" s="138">
        <f t="shared" si="112"/>
        <v>0</v>
      </c>
      <c r="J205" s="138">
        <f t="shared" si="113"/>
        <v>0</v>
      </c>
      <c r="K205" s="138">
        <f t="shared" si="114"/>
        <v>0</v>
      </c>
      <c r="L205" s="138">
        <f t="shared" si="115"/>
        <v>0</v>
      </c>
      <c r="M205" s="138">
        <f t="shared" si="116"/>
        <v>0</v>
      </c>
      <c r="N205" s="138">
        <f t="shared" si="117"/>
        <v>0</v>
      </c>
      <c r="O205" s="138">
        <f t="shared" si="118"/>
        <v>0</v>
      </c>
      <c r="P205" s="154"/>
      <c r="Q205" s="141"/>
      <c r="R205" s="137"/>
    </row>
    <row r="206" spans="1:21" x14ac:dyDescent="0.2">
      <c r="A206" s="139"/>
      <c r="B206" s="110"/>
      <c r="C206" s="138">
        <f t="shared" si="106"/>
        <v>0</v>
      </c>
      <c r="D206" s="138">
        <f t="shared" si="107"/>
        <v>0</v>
      </c>
      <c r="E206" s="138">
        <f t="shared" si="108"/>
        <v>0</v>
      </c>
      <c r="F206" s="138">
        <f t="shared" si="109"/>
        <v>0</v>
      </c>
      <c r="G206" s="138">
        <f t="shared" si="110"/>
        <v>0</v>
      </c>
      <c r="H206" s="138">
        <f t="shared" si="111"/>
        <v>0</v>
      </c>
      <c r="I206" s="138">
        <f t="shared" si="112"/>
        <v>0</v>
      </c>
      <c r="J206" s="138">
        <f t="shared" si="113"/>
        <v>0</v>
      </c>
      <c r="K206" s="138">
        <f t="shared" si="114"/>
        <v>0</v>
      </c>
      <c r="L206" s="138">
        <f t="shared" si="115"/>
        <v>0</v>
      </c>
      <c r="M206" s="138">
        <f t="shared" si="116"/>
        <v>0</v>
      </c>
      <c r="N206" s="138">
        <f t="shared" si="117"/>
        <v>0</v>
      </c>
      <c r="O206" s="138">
        <f t="shared" si="118"/>
        <v>0</v>
      </c>
      <c r="P206" s="154"/>
      <c r="Q206" s="141"/>
      <c r="R206" s="137"/>
    </row>
    <row r="207" spans="1:21" x14ac:dyDescent="0.2">
      <c r="A207" s="139" t="s">
        <v>67</v>
      </c>
      <c r="B207" s="110" t="s">
        <v>122</v>
      </c>
      <c r="C207" s="138">
        <f t="shared" si="106"/>
        <v>0</v>
      </c>
      <c r="D207" s="138">
        <f t="shared" si="107"/>
        <v>0</v>
      </c>
      <c r="E207" s="138">
        <f t="shared" si="108"/>
        <v>0</v>
      </c>
      <c r="F207" s="138">
        <f t="shared" si="109"/>
        <v>0</v>
      </c>
      <c r="G207" s="138">
        <f t="shared" si="110"/>
        <v>0</v>
      </c>
      <c r="H207" s="138">
        <f t="shared" si="111"/>
        <v>0</v>
      </c>
      <c r="I207" s="138">
        <f t="shared" si="112"/>
        <v>0</v>
      </c>
      <c r="J207" s="138">
        <f t="shared" si="113"/>
        <v>0</v>
      </c>
      <c r="K207" s="138">
        <f t="shared" si="114"/>
        <v>0</v>
      </c>
      <c r="L207" s="138">
        <f t="shared" si="115"/>
        <v>0</v>
      </c>
      <c r="M207" s="138">
        <f t="shared" si="116"/>
        <v>0</v>
      </c>
      <c r="N207" s="138">
        <f t="shared" si="117"/>
        <v>0</v>
      </c>
      <c r="O207" s="138">
        <f>C207+E207+G207+I207+K207+M207</f>
        <v>0</v>
      </c>
      <c r="P207" s="154" t="s">
        <v>5</v>
      </c>
      <c r="Q207" s="141"/>
      <c r="R207" s="137">
        <f>O207*Q207</f>
        <v>0</v>
      </c>
    </row>
    <row r="208" spans="1:21" x14ac:dyDescent="0.2">
      <c r="A208" s="139"/>
      <c r="B208" s="110"/>
      <c r="C208" s="138">
        <f t="shared" si="106"/>
        <v>0</v>
      </c>
      <c r="D208" s="138">
        <f t="shared" ref="D208:D209" si="119">C208*$Q208</f>
        <v>0</v>
      </c>
      <c r="E208" s="138">
        <f t="shared" si="108"/>
        <v>0</v>
      </c>
      <c r="F208" s="138">
        <f t="shared" ref="F208:F209" si="120">E208*$Q208</f>
        <v>0</v>
      </c>
      <c r="G208" s="138">
        <f t="shared" si="110"/>
        <v>0</v>
      </c>
      <c r="H208" s="138">
        <f t="shared" ref="H208:H209" si="121">G208*$Q208</f>
        <v>0</v>
      </c>
      <c r="I208" s="138">
        <f t="shared" si="112"/>
        <v>0</v>
      </c>
      <c r="J208" s="138">
        <f t="shared" ref="J208:J209" si="122">I208*$Q208</f>
        <v>0</v>
      </c>
      <c r="K208" s="138">
        <f t="shared" si="114"/>
        <v>0</v>
      </c>
      <c r="L208" s="138">
        <f t="shared" ref="L208:L209" si="123">K208*$Q208</f>
        <v>0</v>
      </c>
      <c r="M208" s="138">
        <f t="shared" si="116"/>
        <v>0</v>
      </c>
      <c r="N208" s="138">
        <f t="shared" ref="N208:N209" si="124">M208*$Q208</f>
        <v>0</v>
      </c>
      <c r="O208" s="138">
        <f t="shared" ref="O208" si="125">C208+E208+G208+I208+K208+M208</f>
        <v>0</v>
      </c>
      <c r="P208" s="154"/>
      <c r="Q208" s="141"/>
      <c r="R208" s="137"/>
    </row>
    <row r="209" spans="1:21" ht="28.5" x14ac:dyDescent="0.2">
      <c r="A209" s="486" t="s">
        <v>68</v>
      </c>
      <c r="B209" s="487" t="s">
        <v>950</v>
      </c>
      <c r="C209" s="488">
        <f t="shared" si="106"/>
        <v>24</v>
      </c>
      <c r="D209" s="488">
        <f t="shared" si="119"/>
        <v>0</v>
      </c>
      <c r="E209" s="488">
        <f t="shared" si="108"/>
        <v>30</v>
      </c>
      <c r="F209" s="488">
        <f t="shared" si="120"/>
        <v>0</v>
      </c>
      <c r="G209" s="488">
        <f t="shared" si="110"/>
        <v>180</v>
      </c>
      <c r="H209" s="488">
        <f t="shared" si="121"/>
        <v>0</v>
      </c>
      <c r="I209" s="488">
        <f t="shared" si="112"/>
        <v>42</v>
      </c>
      <c r="J209" s="488">
        <f t="shared" si="122"/>
        <v>0</v>
      </c>
      <c r="K209" s="488">
        <f t="shared" si="114"/>
        <v>144</v>
      </c>
      <c r="L209" s="488">
        <f t="shared" si="123"/>
        <v>0</v>
      </c>
      <c r="M209" s="488">
        <f t="shared" si="116"/>
        <v>54</v>
      </c>
      <c r="N209" s="488">
        <f t="shared" si="124"/>
        <v>0</v>
      </c>
      <c r="O209" s="488">
        <f>C209+E209+G209+I209+K209+M209</f>
        <v>474</v>
      </c>
      <c r="P209" s="489" t="s">
        <v>10</v>
      </c>
      <c r="Q209" s="141"/>
      <c r="R209" s="137">
        <f>O209*Q209</f>
        <v>0</v>
      </c>
      <c r="T209" s="142">
        <v>6</v>
      </c>
      <c r="U209" s="142">
        <v>6</v>
      </c>
    </row>
    <row r="210" spans="1:21" x14ac:dyDescent="0.2">
      <c r="A210" s="139"/>
      <c r="B210" s="110"/>
      <c r="C210" s="138">
        <f t="shared" si="106"/>
        <v>0</v>
      </c>
      <c r="D210" s="138">
        <f t="shared" si="107"/>
        <v>0</v>
      </c>
      <c r="E210" s="138">
        <f t="shared" si="108"/>
        <v>0</v>
      </c>
      <c r="F210" s="138">
        <f t="shared" si="109"/>
        <v>0</v>
      </c>
      <c r="G210" s="138">
        <f t="shared" si="110"/>
        <v>0</v>
      </c>
      <c r="H210" s="138">
        <f t="shared" si="111"/>
        <v>0</v>
      </c>
      <c r="I210" s="138">
        <f t="shared" si="112"/>
        <v>0</v>
      </c>
      <c r="J210" s="138">
        <f t="shared" si="113"/>
        <v>0</v>
      </c>
      <c r="K210" s="138">
        <f t="shared" si="114"/>
        <v>0</v>
      </c>
      <c r="L210" s="138">
        <f t="shared" si="115"/>
        <v>0</v>
      </c>
      <c r="M210" s="138">
        <f t="shared" si="116"/>
        <v>0</v>
      </c>
      <c r="N210" s="138">
        <f t="shared" si="117"/>
        <v>0</v>
      </c>
      <c r="O210" s="138">
        <f t="shared" si="118"/>
        <v>0</v>
      </c>
      <c r="P210" s="154"/>
      <c r="Q210" s="141"/>
      <c r="R210" s="137"/>
    </row>
    <row r="211" spans="1:21" x14ac:dyDescent="0.2">
      <c r="A211" s="139"/>
      <c r="B211" s="7" t="s">
        <v>8</v>
      </c>
      <c r="C211" s="138">
        <f t="shared" si="106"/>
        <v>0</v>
      </c>
      <c r="D211" s="138">
        <f t="shared" si="107"/>
        <v>0</v>
      </c>
      <c r="E211" s="138">
        <f t="shared" si="108"/>
        <v>0</v>
      </c>
      <c r="F211" s="138">
        <f t="shared" si="109"/>
        <v>0</v>
      </c>
      <c r="G211" s="138">
        <f t="shared" si="110"/>
        <v>0</v>
      </c>
      <c r="H211" s="138">
        <f t="shared" si="111"/>
        <v>0</v>
      </c>
      <c r="I211" s="138">
        <f t="shared" si="112"/>
        <v>0</v>
      </c>
      <c r="J211" s="138">
        <f t="shared" si="113"/>
        <v>0</v>
      </c>
      <c r="K211" s="138">
        <f t="shared" si="114"/>
        <v>0</v>
      </c>
      <c r="L211" s="138">
        <f t="shared" si="115"/>
        <v>0</v>
      </c>
      <c r="M211" s="138">
        <f t="shared" si="116"/>
        <v>0</v>
      </c>
      <c r="N211" s="138">
        <f t="shared" si="117"/>
        <v>0</v>
      </c>
      <c r="O211" s="138">
        <f t="shared" si="118"/>
        <v>0</v>
      </c>
      <c r="P211" s="154"/>
      <c r="Q211" s="141"/>
      <c r="R211" s="137"/>
    </row>
    <row r="212" spans="1:21" x14ac:dyDescent="0.2">
      <c r="A212" s="139"/>
      <c r="B212" s="110"/>
      <c r="C212" s="138">
        <f t="shared" si="106"/>
        <v>0</v>
      </c>
      <c r="D212" s="138">
        <f t="shared" si="107"/>
        <v>0</v>
      </c>
      <c r="E212" s="138">
        <f t="shared" si="108"/>
        <v>0</v>
      </c>
      <c r="F212" s="138">
        <f t="shared" si="109"/>
        <v>0</v>
      </c>
      <c r="G212" s="138">
        <f t="shared" si="110"/>
        <v>0</v>
      </c>
      <c r="H212" s="138">
        <f t="shared" si="111"/>
        <v>0</v>
      </c>
      <c r="I212" s="138">
        <f t="shared" si="112"/>
        <v>0</v>
      </c>
      <c r="J212" s="138">
        <f t="shared" si="113"/>
        <v>0</v>
      </c>
      <c r="K212" s="138">
        <f t="shared" si="114"/>
        <v>0</v>
      </c>
      <c r="L212" s="138">
        <f t="shared" si="115"/>
        <v>0</v>
      </c>
      <c r="M212" s="138">
        <f t="shared" si="116"/>
        <v>0</v>
      </c>
      <c r="N212" s="138">
        <f t="shared" si="117"/>
        <v>0</v>
      </c>
      <c r="O212" s="138">
        <f t="shared" si="118"/>
        <v>0</v>
      </c>
      <c r="P212" s="154"/>
      <c r="Q212" s="141"/>
      <c r="R212" s="137"/>
    </row>
    <row r="213" spans="1:21" ht="42.75" x14ac:dyDescent="0.2">
      <c r="A213" s="139" t="s">
        <v>69</v>
      </c>
      <c r="B213" s="110" t="s">
        <v>123</v>
      </c>
      <c r="C213" s="138">
        <f t="shared" si="106"/>
        <v>0</v>
      </c>
      <c r="D213" s="138">
        <f t="shared" si="107"/>
        <v>0</v>
      </c>
      <c r="E213" s="138">
        <f t="shared" si="108"/>
        <v>0</v>
      </c>
      <c r="F213" s="138">
        <f t="shared" si="109"/>
        <v>0</v>
      </c>
      <c r="G213" s="138">
        <f t="shared" si="110"/>
        <v>0</v>
      </c>
      <c r="H213" s="138">
        <f t="shared" si="111"/>
        <v>0</v>
      </c>
      <c r="I213" s="138">
        <f t="shared" si="112"/>
        <v>0</v>
      </c>
      <c r="J213" s="138">
        <f t="shared" si="113"/>
        <v>0</v>
      </c>
      <c r="K213" s="138">
        <f t="shared" si="114"/>
        <v>0</v>
      </c>
      <c r="L213" s="138">
        <f t="shared" si="115"/>
        <v>0</v>
      </c>
      <c r="M213" s="138">
        <f t="shared" si="116"/>
        <v>0</v>
      </c>
      <c r="N213" s="138">
        <f t="shared" si="117"/>
        <v>0</v>
      </c>
      <c r="O213" s="138">
        <f>C213+E213+G213+I213+K213+M213</f>
        <v>0</v>
      </c>
      <c r="P213" s="154" t="s">
        <v>5</v>
      </c>
      <c r="Q213" s="141"/>
      <c r="R213" s="137">
        <f>O213*Q213</f>
        <v>0</v>
      </c>
    </row>
    <row r="214" spans="1:21" x14ac:dyDescent="0.2">
      <c r="A214" s="139"/>
      <c r="B214" s="110"/>
      <c r="C214" s="138">
        <f t="shared" si="106"/>
        <v>0</v>
      </c>
      <c r="D214" s="138">
        <f t="shared" si="107"/>
        <v>0</v>
      </c>
      <c r="E214" s="138">
        <f t="shared" si="108"/>
        <v>0</v>
      </c>
      <c r="F214" s="138">
        <f t="shared" si="109"/>
        <v>0</v>
      </c>
      <c r="G214" s="138">
        <f t="shared" si="110"/>
        <v>0</v>
      </c>
      <c r="H214" s="138">
        <f t="shared" si="111"/>
        <v>0</v>
      </c>
      <c r="I214" s="138">
        <f t="shared" si="112"/>
        <v>0</v>
      </c>
      <c r="J214" s="138">
        <f t="shared" si="113"/>
        <v>0</v>
      </c>
      <c r="K214" s="138">
        <f t="shared" si="114"/>
        <v>0</v>
      </c>
      <c r="L214" s="138">
        <f t="shared" si="115"/>
        <v>0</v>
      </c>
      <c r="M214" s="138">
        <f t="shared" si="116"/>
        <v>0</v>
      </c>
      <c r="N214" s="138">
        <f t="shared" si="117"/>
        <v>0</v>
      </c>
      <c r="O214" s="138">
        <f t="shared" si="118"/>
        <v>0</v>
      </c>
      <c r="P214" s="154"/>
      <c r="Q214" s="141"/>
      <c r="R214" s="137"/>
    </row>
    <row r="215" spans="1:21" x14ac:dyDescent="0.2">
      <c r="A215" s="139"/>
      <c r="B215" s="110"/>
      <c r="C215" s="138">
        <f t="shared" si="106"/>
        <v>0</v>
      </c>
      <c r="D215" s="138">
        <f t="shared" si="107"/>
        <v>0</v>
      </c>
      <c r="E215" s="138">
        <f t="shared" si="108"/>
        <v>0</v>
      </c>
      <c r="F215" s="138">
        <f t="shared" si="109"/>
        <v>0</v>
      </c>
      <c r="G215" s="138">
        <f t="shared" si="110"/>
        <v>0</v>
      </c>
      <c r="H215" s="138">
        <f t="shared" si="111"/>
        <v>0</v>
      </c>
      <c r="I215" s="138">
        <f t="shared" si="112"/>
        <v>0</v>
      </c>
      <c r="J215" s="138">
        <f t="shared" si="113"/>
        <v>0</v>
      </c>
      <c r="K215" s="138">
        <f t="shared" si="114"/>
        <v>0</v>
      </c>
      <c r="L215" s="138">
        <f t="shared" si="115"/>
        <v>0</v>
      </c>
      <c r="M215" s="138">
        <f t="shared" si="116"/>
        <v>0</v>
      </c>
      <c r="N215" s="138">
        <f t="shared" si="117"/>
        <v>0</v>
      </c>
      <c r="O215" s="138">
        <f t="shared" si="118"/>
        <v>0</v>
      </c>
      <c r="P215" s="154"/>
      <c r="Q215" s="141"/>
      <c r="R215" s="137"/>
    </row>
    <row r="216" spans="1:21" x14ac:dyDescent="0.2">
      <c r="A216" s="139"/>
      <c r="B216" s="110"/>
      <c r="C216" s="138">
        <f t="shared" si="106"/>
        <v>0</v>
      </c>
      <c r="D216" s="138">
        <f t="shared" si="107"/>
        <v>0</v>
      </c>
      <c r="E216" s="138">
        <f t="shared" si="108"/>
        <v>0</v>
      </c>
      <c r="F216" s="138">
        <f t="shared" si="109"/>
        <v>0</v>
      </c>
      <c r="G216" s="138">
        <f t="shared" si="110"/>
        <v>0</v>
      </c>
      <c r="H216" s="138">
        <f t="shared" si="111"/>
        <v>0</v>
      </c>
      <c r="I216" s="138">
        <f t="shared" si="112"/>
        <v>0</v>
      </c>
      <c r="J216" s="138">
        <f t="shared" si="113"/>
        <v>0</v>
      </c>
      <c r="K216" s="138">
        <f t="shared" si="114"/>
        <v>0</v>
      </c>
      <c r="L216" s="138">
        <f t="shared" si="115"/>
        <v>0</v>
      </c>
      <c r="M216" s="138">
        <f t="shared" si="116"/>
        <v>0</v>
      </c>
      <c r="N216" s="138">
        <f t="shared" si="117"/>
        <v>0</v>
      </c>
      <c r="O216" s="138">
        <f t="shared" si="118"/>
        <v>0</v>
      </c>
      <c r="P216" s="154"/>
      <c r="Q216" s="141"/>
      <c r="R216" s="137"/>
    </row>
    <row r="217" spans="1:21" x14ac:dyDescent="0.2">
      <c r="A217" s="139"/>
      <c r="B217" s="110"/>
      <c r="C217" s="138">
        <f t="shared" si="106"/>
        <v>0</v>
      </c>
      <c r="D217" s="138">
        <f t="shared" si="107"/>
        <v>0</v>
      </c>
      <c r="E217" s="138">
        <f t="shared" si="108"/>
        <v>0</v>
      </c>
      <c r="F217" s="138">
        <f t="shared" si="109"/>
        <v>0</v>
      </c>
      <c r="G217" s="138">
        <f t="shared" si="110"/>
        <v>0</v>
      </c>
      <c r="H217" s="138">
        <f t="shared" si="111"/>
        <v>0</v>
      </c>
      <c r="I217" s="138">
        <f t="shared" si="112"/>
        <v>0</v>
      </c>
      <c r="J217" s="138">
        <f t="shared" si="113"/>
        <v>0</v>
      </c>
      <c r="K217" s="138">
        <f t="shared" si="114"/>
        <v>0</v>
      </c>
      <c r="L217" s="138">
        <f t="shared" si="115"/>
        <v>0</v>
      </c>
      <c r="M217" s="138">
        <f t="shared" si="116"/>
        <v>0</v>
      </c>
      <c r="N217" s="138">
        <f t="shared" si="117"/>
        <v>0</v>
      </c>
      <c r="O217" s="138">
        <f t="shared" si="118"/>
        <v>0</v>
      </c>
      <c r="P217" s="154"/>
      <c r="Q217" s="141"/>
      <c r="R217" s="137"/>
    </row>
    <row r="218" spans="1:21" x14ac:dyDescent="0.2">
      <c r="A218" s="139"/>
      <c r="B218" s="110"/>
      <c r="C218" s="138">
        <f t="shared" si="106"/>
        <v>0</v>
      </c>
      <c r="D218" s="138">
        <f t="shared" si="107"/>
        <v>0</v>
      </c>
      <c r="E218" s="138">
        <f t="shared" si="108"/>
        <v>0</v>
      </c>
      <c r="F218" s="138">
        <f t="shared" si="109"/>
        <v>0</v>
      </c>
      <c r="G218" s="138">
        <f t="shared" si="110"/>
        <v>0</v>
      </c>
      <c r="H218" s="138">
        <f t="shared" si="111"/>
        <v>0</v>
      </c>
      <c r="I218" s="138">
        <f t="shared" si="112"/>
        <v>0</v>
      </c>
      <c r="J218" s="138">
        <f t="shared" si="113"/>
        <v>0</v>
      </c>
      <c r="K218" s="138">
        <f t="shared" si="114"/>
        <v>0</v>
      </c>
      <c r="L218" s="138">
        <f t="shared" si="115"/>
        <v>0</v>
      </c>
      <c r="M218" s="138">
        <f t="shared" si="116"/>
        <v>0</v>
      </c>
      <c r="N218" s="138">
        <f t="shared" si="117"/>
        <v>0</v>
      </c>
      <c r="O218" s="138">
        <f t="shared" si="118"/>
        <v>0</v>
      </c>
      <c r="P218" s="154"/>
      <c r="Q218" s="141"/>
      <c r="R218" s="137"/>
    </row>
    <row r="219" spans="1:21" x14ac:dyDescent="0.2">
      <c r="A219" s="139"/>
      <c r="B219" s="110"/>
      <c r="C219" s="138">
        <f t="shared" si="106"/>
        <v>0</v>
      </c>
      <c r="D219" s="138">
        <f t="shared" si="107"/>
        <v>0</v>
      </c>
      <c r="E219" s="138">
        <f t="shared" si="108"/>
        <v>0</v>
      </c>
      <c r="F219" s="138">
        <f t="shared" si="109"/>
        <v>0</v>
      </c>
      <c r="G219" s="138">
        <f t="shared" si="110"/>
        <v>0</v>
      </c>
      <c r="H219" s="138">
        <f t="shared" si="111"/>
        <v>0</v>
      </c>
      <c r="I219" s="138">
        <f t="shared" si="112"/>
        <v>0</v>
      </c>
      <c r="J219" s="138">
        <f t="shared" si="113"/>
        <v>0</v>
      </c>
      <c r="K219" s="138">
        <f t="shared" si="114"/>
        <v>0</v>
      </c>
      <c r="L219" s="138">
        <f t="shared" si="115"/>
        <v>0</v>
      </c>
      <c r="M219" s="138">
        <f t="shared" si="116"/>
        <v>0</v>
      </c>
      <c r="N219" s="138">
        <f t="shared" si="117"/>
        <v>0</v>
      </c>
      <c r="O219" s="138">
        <f t="shared" si="118"/>
        <v>0</v>
      </c>
      <c r="P219" s="154"/>
      <c r="Q219" s="141"/>
      <c r="R219" s="137"/>
    </row>
    <row r="220" spans="1:21" x14ac:dyDescent="0.2">
      <c r="A220" s="139"/>
      <c r="B220" s="110"/>
      <c r="C220" s="138">
        <f t="shared" si="106"/>
        <v>0</v>
      </c>
      <c r="D220" s="138">
        <f t="shared" si="107"/>
        <v>0</v>
      </c>
      <c r="E220" s="138">
        <f t="shared" si="108"/>
        <v>0</v>
      </c>
      <c r="F220" s="138">
        <f t="shared" si="109"/>
        <v>0</v>
      </c>
      <c r="G220" s="138">
        <f t="shared" si="110"/>
        <v>0</v>
      </c>
      <c r="H220" s="138">
        <f t="shared" si="111"/>
        <v>0</v>
      </c>
      <c r="I220" s="138">
        <f t="shared" si="112"/>
        <v>0</v>
      </c>
      <c r="J220" s="138">
        <f t="shared" si="113"/>
        <v>0</v>
      </c>
      <c r="K220" s="138">
        <f t="shared" si="114"/>
        <v>0</v>
      </c>
      <c r="L220" s="138">
        <f t="shared" si="115"/>
        <v>0</v>
      </c>
      <c r="M220" s="138">
        <f t="shared" si="116"/>
        <v>0</v>
      </c>
      <c r="N220" s="138">
        <f t="shared" si="117"/>
        <v>0</v>
      </c>
      <c r="O220" s="138">
        <f t="shared" si="118"/>
        <v>0</v>
      </c>
      <c r="P220" s="154"/>
      <c r="Q220" s="141"/>
      <c r="R220" s="137"/>
    </row>
    <row r="221" spans="1:21" x14ac:dyDescent="0.2">
      <c r="A221" s="139"/>
      <c r="B221" s="110"/>
      <c r="C221" s="138">
        <f t="shared" si="106"/>
        <v>0</v>
      </c>
      <c r="D221" s="138">
        <f t="shared" si="107"/>
        <v>0</v>
      </c>
      <c r="E221" s="138">
        <f t="shared" si="108"/>
        <v>0</v>
      </c>
      <c r="F221" s="138">
        <f t="shared" si="109"/>
        <v>0</v>
      </c>
      <c r="G221" s="138">
        <f t="shared" si="110"/>
        <v>0</v>
      </c>
      <c r="H221" s="138">
        <f t="shared" si="111"/>
        <v>0</v>
      </c>
      <c r="I221" s="138">
        <f t="shared" si="112"/>
        <v>0</v>
      </c>
      <c r="J221" s="138">
        <f t="shared" si="113"/>
        <v>0</v>
      </c>
      <c r="K221" s="138">
        <f t="shared" si="114"/>
        <v>0</v>
      </c>
      <c r="L221" s="138">
        <f t="shared" si="115"/>
        <v>0</v>
      </c>
      <c r="M221" s="138">
        <f t="shared" si="116"/>
        <v>0</v>
      </c>
      <c r="N221" s="138">
        <f t="shared" si="117"/>
        <v>0</v>
      </c>
      <c r="O221" s="138">
        <f t="shared" si="118"/>
        <v>0</v>
      </c>
      <c r="P221" s="154"/>
      <c r="Q221" s="141"/>
      <c r="R221" s="137"/>
    </row>
    <row r="222" spans="1:21" x14ac:dyDescent="0.2">
      <c r="A222" s="139"/>
      <c r="B222" s="110"/>
      <c r="C222" s="138">
        <f t="shared" si="106"/>
        <v>0</v>
      </c>
      <c r="D222" s="138">
        <f t="shared" si="107"/>
        <v>0</v>
      </c>
      <c r="E222" s="138">
        <f t="shared" si="108"/>
        <v>0</v>
      </c>
      <c r="F222" s="138">
        <f t="shared" si="109"/>
        <v>0</v>
      </c>
      <c r="G222" s="138">
        <f t="shared" si="110"/>
        <v>0</v>
      </c>
      <c r="H222" s="138">
        <f t="shared" si="111"/>
        <v>0</v>
      </c>
      <c r="I222" s="138">
        <f t="shared" si="112"/>
        <v>0</v>
      </c>
      <c r="J222" s="138">
        <f t="shared" si="113"/>
        <v>0</v>
      </c>
      <c r="K222" s="138">
        <f t="shared" si="114"/>
        <v>0</v>
      </c>
      <c r="L222" s="138">
        <f t="shared" si="115"/>
        <v>0</v>
      </c>
      <c r="M222" s="138">
        <f t="shared" si="116"/>
        <v>0</v>
      </c>
      <c r="N222" s="138">
        <f t="shared" si="117"/>
        <v>0</v>
      </c>
      <c r="O222" s="138">
        <f t="shared" si="118"/>
        <v>0</v>
      </c>
      <c r="P222" s="154"/>
      <c r="Q222" s="141"/>
      <c r="R222" s="137"/>
    </row>
    <row r="223" spans="1:21" x14ac:dyDescent="0.2">
      <c r="A223" s="139"/>
      <c r="B223" s="110"/>
      <c r="C223" s="138"/>
      <c r="D223" s="138"/>
      <c r="E223" s="138"/>
      <c r="F223" s="138"/>
      <c r="G223" s="138"/>
      <c r="H223" s="138"/>
      <c r="I223" s="138"/>
      <c r="J223" s="138"/>
      <c r="K223" s="138"/>
      <c r="L223" s="138"/>
      <c r="M223" s="138"/>
      <c r="N223" s="138"/>
      <c r="O223" s="138"/>
      <c r="P223" s="154"/>
      <c r="Q223" s="141"/>
      <c r="R223" s="137"/>
    </row>
    <row r="224" spans="1:21" x14ac:dyDescent="0.2">
      <c r="A224" s="139"/>
      <c r="B224" s="110"/>
      <c r="C224" s="138"/>
      <c r="D224" s="138"/>
      <c r="E224" s="138"/>
      <c r="F224" s="138"/>
      <c r="G224" s="138"/>
      <c r="H224" s="138"/>
      <c r="I224" s="138"/>
      <c r="J224" s="138"/>
      <c r="K224" s="138"/>
      <c r="L224" s="138"/>
      <c r="M224" s="138"/>
      <c r="N224" s="138"/>
      <c r="O224" s="138"/>
      <c r="P224" s="154"/>
      <c r="Q224" s="141"/>
      <c r="R224" s="137"/>
    </row>
    <row r="225" spans="1:18" x14ac:dyDescent="0.2">
      <c r="A225" s="139"/>
      <c r="B225" s="110"/>
      <c r="C225" s="138"/>
      <c r="D225" s="138"/>
      <c r="E225" s="138"/>
      <c r="F225" s="138"/>
      <c r="G225" s="138"/>
      <c r="H225" s="138"/>
      <c r="I225" s="138"/>
      <c r="J225" s="138"/>
      <c r="K225" s="138"/>
      <c r="L225" s="138"/>
      <c r="M225" s="138"/>
      <c r="N225" s="138"/>
      <c r="O225" s="138"/>
      <c r="P225" s="154"/>
      <c r="Q225" s="141"/>
      <c r="R225" s="137"/>
    </row>
    <row r="226" spans="1:18" x14ac:dyDescent="0.2">
      <c r="A226" s="139"/>
      <c r="B226" s="110"/>
      <c r="C226" s="138"/>
      <c r="D226" s="138"/>
      <c r="E226" s="138"/>
      <c r="F226" s="138"/>
      <c r="G226" s="138"/>
      <c r="H226" s="138"/>
      <c r="I226" s="138"/>
      <c r="J226" s="138"/>
      <c r="K226" s="138"/>
      <c r="L226" s="138"/>
      <c r="M226" s="138"/>
      <c r="N226" s="138"/>
      <c r="O226" s="138"/>
      <c r="P226" s="154"/>
      <c r="Q226" s="141"/>
      <c r="R226" s="137"/>
    </row>
    <row r="227" spans="1:18" x14ac:dyDescent="0.2">
      <c r="A227" s="139"/>
      <c r="B227" s="110"/>
      <c r="C227" s="138"/>
      <c r="D227" s="138"/>
      <c r="E227" s="138"/>
      <c r="F227" s="138"/>
      <c r="G227" s="138"/>
      <c r="H227" s="138"/>
      <c r="I227" s="138"/>
      <c r="J227" s="138"/>
      <c r="K227" s="138"/>
      <c r="L227" s="138"/>
      <c r="M227" s="138"/>
      <c r="N227" s="138"/>
      <c r="O227" s="138"/>
      <c r="P227" s="154"/>
      <c r="Q227" s="141"/>
      <c r="R227" s="137"/>
    </row>
    <row r="228" spans="1:18" x14ac:dyDescent="0.2">
      <c r="A228" s="139"/>
      <c r="B228" s="110"/>
      <c r="C228" s="138"/>
      <c r="D228" s="138"/>
      <c r="E228" s="138"/>
      <c r="F228" s="138"/>
      <c r="G228" s="138"/>
      <c r="H228" s="138"/>
      <c r="I228" s="138"/>
      <c r="J228" s="138"/>
      <c r="K228" s="138"/>
      <c r="L228" s="138"/>
      <c r="M228" s="138"/>
      <c r="N228" s="138"/>
      <c r="O228" s="138"/>
      <c r="P228" s="154"/>
      <c r="Q228" s="141"/>
      <c r="R228" s="137"/>
    </row>
    <row r="229" spans="1:18" x14ac:dyDescent="0.2">
      <c r="A229" s="139"/>
      <c r="B229" s="110"/>
      <c r="C229" s="138"/>
      <c r="D229" s="138"/>
      <c r="E229" s="138"/>
      <c r="F229" s="138"/>
      <c r="G229" s="138"/>
      <c r="H229" s="138"/>
      <c r="I229" s="138"/>
      <c r="J229" s="138"/>
      <c r="K229" s="138"/>
      <c r="L229" s="138"/>
      <c r="M229" s="138"/>
      <c r="N229" s="138"/>
      <c r="O229" s="138"/>
      <c r="P229" s="154"/>
      <c r="Q229" s="141"/>
      <c r="R229" s="137"/>
    </row>
    <row r="230" spans="1:18" x14ac:dyDescent="0.2">
      <c r="A230" s="139"/>
      <c r="B230" s="110"/>
      <c r="C230" s="138"/>
      <c r="D230" s="138"/>
      <c r="E230" s="138"/>
      <c r="F230" s="138"/>
      <c r="G230" s="138"/>
      <c r="H230" s="138"/>
      <c r="I230" s="138"/>
      <c r="J230" s="138"/>
      <c r="K230" s="138"/>
      <c r="L230" s="138"/>
      <c r="M230" s="138"/>
      <c r="N230" s="138"/>
      <c r="O230" s="138"/>
      <c r="P230" s="154"/>
      <c r="Q230" s="141"/>
      <c r="R230" s="137"/>
    </row>
    <row r="231" spans="1:18" x14ac:dyDescent="0.2">
      <c r="A231" s="139"/>
      <c r="B231" s="110"/>
      <c r="C231" s="138"/>
      <c r="D231" s="138"/>
      <c r="E231" s="138"/>
      <c r="F231" s="138"/>
      <c r="G231" s="138"/>
      <c r="H231" s="138"/>
      <c r="I231" s="138"/>
      <c r="J231" s="138"/>
      <c r="K231" s="138"/>
      <c r="L231" s="138"/>
      <c r="M231" s="138"/>
      <c r="N231" s="138"/>
      <c r="O231" s="138"/>
      <c r="P231" s="154"/>
      <c r="Q231" s="141"/>
      <c r="R231" s="137"/>
    </row>
    <row r="232" spans="1:18" x14ac:dyDescent="0.2">
      <c r="A232" s="139"/>
      <c r="B232" s="110"/>
      <c r="C232" s="138"/>
      <c r="D232" s="138"/>
      <c r="E232" s="138"/>
      <c r="F232" s="138"/>
      <c r="G232" s="138"/>
      <c r="H232" s="138"/>
      <c r="I232" s="138"/>
      <c r="J232" s="138"/>
      <c r="K232" s="138"/>
      <c r="L232" s="138"/>
      <c r="M232" s="138"/>
      <c r="N232" s="138"/>
      <c r="O232" s="138"/>
      <c r="P232" s="154"/>
      <c r="Q232" s="141"/>
      <c r="R232" s="137"/>
    </row>
    <row r="233" spans="1:18" x14ac:dyDescent="0.2">
      <c r="A233" s="139"/>
      <c r="B233" s="110"/>
      <c r="C233" s="138"/>
      <c r="D233" s="138"/>
      <c r="E233" s="138"/>
      <c r="F233" s="138"/>
      <c r="G233" s="138"/>
      <c r="H233" s="138"/>
      <c r="I233" s="138"/>
      <c r="J233" s="138"/>
      <c r="K233" s="138"/>
      <c r="L233" s="138"/>
      <c r="M233" s="138"/>
      <c r="N233" s="138"/>
      <c r="O233" s="138"/>
      <c r="P233" s="154"/>
      <c r="Q233" s="141"/>
      <c r="R233" s="137"/>
    </row>
    <row r="234" spans="1:18" x14ac:dyDescent="0.2">
      <c r="A234" s="139"/>
      <c r="B234" s="110"/>
      <c r="C234" s="138"/>
      <c r="D234" s="138"/>
      <c r="E234" s="138"/>
      <c r="F234" s="138"/>
      <c r="G234" s="138"/>
      <c r="H234" s="138"/>
      <c r="I234" s="138"/>
      <c r="J234" s="138"/>
      <c r="K234" s="138"/>
      <c r="L234" s="138"/>
      <c r="M234" s="138"/>
      <c r="N234" s="138"/>
      <c r="O234" s="138"/>
      <c r="P234" s="154"/>
      <c r="Q234" s="141"/>
      <c r="R234" s="137"/>
    </row>
    <row r="235" spans="1:18" x14ac:dyDescent="0.2">
      <c r="A235" s="139"/>
      <c r="B235" s="110"/>
      <c r="C235" s="138"/>
      <c r="D235" s="138"/>
      <c r="E235" s="138"/>
      <c r="F235" s="138"/>
      <c r="G235" s="138"/>
      <c r="H235" s="138"/>
      <c r="I235" s="138"/>
      <c r="J235" s="138"/>
      <c r="K235" s="138"/>
      <c r="L235" s="138"/>
      <c r="M235" s="138"/>
      <c r="N235" s="138"/>
      <c r="O235" s="138"/>
      <c r="P235" s="154"/>
      <c r="Q235" s="141"/>
      <c r="R235" s="137"/>
    </row>
    <row r="236" spans="1:18" x14ac:dyDescent="0.2">
      <c r="A236" s="139"/>
      <c r="B236" s="110"/>
      <c r="C236" s="138"/>
      <c r="D236" s="138"/>
      <c r="E236" s="138"/>
      <c r="F236" s="138"/>
      <c r="G236" s="138"/>
      <c r="H236" s="138"/>
      <c r="I236" s="138"/>
      <c r="J236" s="138"/>
      <c r="K236" s="138"/>
      <c r="L236" s="138"/>
      <c r="M236" s="138"/>
      <c r="N236" s="138"/>
      <c r="O236" s="138"/>
      <c r="P236" s="154"/>
      <c r="Q236" s="141"/>
      <c r="R236" s="137"/>
    </row>
    <row r="237" spans="1:18" x14ac:dyDescent="0.2">
      <c r="A237" s="139"/>
      <c r="B237" s="110"/>
      <c r="C237" s="138"/>
      <c r="D237" s="138"/>
      <c r="E237" s="138"/>
      <c r="F237" s="138"/>
      <c r="G237" s="138"/>
      <c r="H237" s="138"/>
      <c r="I237" s="138"/>
      <c r="J237" s="138"/>
      <c r="K237" s="138"/>
      <c r="L237" s="138"/>
      <c r="M237" s="138"/>
      <c r="N237" s="138"/>
      <c r="O237" s="138"/>
      <c r="P237" s="154"/>
      <c r="Q237" s="141"/>
      <c r="R237" s="137"/>
    </row>
    <row r="238" spans="1:18" x14ac:dyDescent="0.2">
      <c r="A238" s="139"/>
      <c r="B238" s="110"/>
      <c r="C238" s="138"/>
      <c r="D238" s="138"/>
      <c r="E238" s="138"/>
      <c r="F238" s="138"/>
      <c r="G238" s="138"/>
      <c r="H238" s="138"/>
      <c r="I238" s="138"/>
      <c r="J238" s="138"/>
      <c r="K238" s="138"/>
      <c r="L238" s="138"/>
      <c r="M238" s="138"/>
      <c r="N238" s="138"/>
      <c r="O238" s="138"/>
      <c r="P238" s="154"/>
      <c r="Q238" s="141"/>
      <c r="R238" s="137"/>
    </row>
    <row r="239" spans="1:18" x14ac:dyDescent="0.2">
      <c r="A239" s="139"/>
      <c r="B239" s="110"/>
      <c r="C239" s="138"/>
      <c r="D239" s="138"/>
      <c r="E239" s="138"/>
      <c r="F239" s="138"/>
      <c r="G239" s="138"/>
      <c r="H239" s="138"/>
      <c r="I239" s="138"/>
      <c r="J239" s="138"/>
      <c r="K239" s="138"/>
      <c r="L239" s="138"/>
      <c r="M239" s="138"/>
      <c r="N239" s="138"/>
      <c r="O239" s="138"/>
      <c r="P239" s="154"/>
      <c r="Q239" s="141"/>
      <c r="R239" s="137"/>
    </row>
    <row r="240" spans="1:18" x14ac:dyDescent="0.2">
      <c r="A240" s="127"/>
      <c r="B240" s="136"/>
      <c r="C240" s="128"/>
      <c r="D240" s="120"/>
      <c r="E240" s="120"/>
      <c r="F240" s="120"/>
      <c r="G240" s="120"/>
      <c r="H240" s="120"/>
      <c r="I240" s="120"/>
      <c r="J240" s="120"/>
      <c r="K240" s="120"/>
      <c r="L240" s="120"/>
      <c r="M240" s="120"/>
      <c r="N240" s="120"/>
      <c r="O240" s="120"/>
      <c r="P240" s="154"/>
      <c r="Q240" s="141"/>
      <c r="R240" s="137"/>
    </row>
    <row r="241" spans="1:21" x14ac:dyDescent="0.2">
      <c r="A241" s="129"/>
      <c r="B241" s="130"/>
      <c r="C241" s="131"/>
      <c r="D241" s="131"/>
      <c r="E241" s="131"/>
      <c r="F241" s="131"/>
      <c r="G241" s="131"/>
      <c r="H241" s="131"/>
      <c r="I241" s="131"/>
      <c r="J241" s="131"/>
      <c r="K241" s="131"/>
      <c r="L241" s="131"/>
      <c r="M241" s="131"/>
      <c r="N241" s="131"/>
      <c r="O241" s="131"/>
      <c r="P241" s="131"/>
      <c r="Q241" s="132"/>
      <c r="R241" s="126"/>
      <c r="T241" s="134"/>
      <c r="U241" s="134"/>
    </row>
    <row r="242" spans="1:21" x14ac:dyDescent="0.2">
      <c r="C242" s="122"/>
      <c r="D242" s="122"/>
      <c r="E242" s="122"/>
      <c r="F242" s="122"/>
      <c r="G242" s="122"/>
      <c r="H242" s="122"/>
      <c r="I242" s="122"/>
      <c r="J242" s="122"/>
      <c r="K242" s="122"/>
      <c r="L242" s="122"/>
      <c r="M242" s="122"/>
      <c r="N242" s="122"/>
      <c r="O242" s="122"/>
      <c r="P242" s="171" t="s">
        <v>1</v>
      </c>
      <c r="Q242" s="133" t="s">
        <v>0</v>
      </c>
      <c r="R242" s="137">
        <f>SUM(R198:R241)</f>
        <v>0</v>
      </c>
      <c r="T242" s="135"/>
      <c r="U242" s="135"/>
    </row>
    <row r="243" spans="1:21" x14ac:dyDescent="0.2">
      <c r="P243" s="188"/>
      <c r="Q243" s="124"/>
      <c r="R243" s="125"/>
    </row>
    <row r="244" spans="1:21" x14ac:dyDescent="0.2">
      <c r="A244" s="36"/>
      <c r="B244" s="37"/>
      <c r="C244" s="188"/>
      <c r="D244" s="188"/>
      <c r="E244" s="188"/>
      <c r="F244" s="188"/>
      <c r="G244" s="188"/>
      <c r="H244" s="188"/>
      <c r="I244" s="188"/>
      <c r="J244" s="188"/>
      <c r="K244" s="188"/>
      <c r="L244" s="188"/>
      <c r="M244" s="188"/>
      <c r="N244" s="188"/>
      <c r="O244" s="188"/>
      <c r="P244" s="188"/>
      <c r="Q244" s="124"/>
      <c r="R244" s="137"/>
      <c r="T244" s="134"/>
      <c r="U244" s="134"/>
    </row>
    <row r="245" spans="1:21" x14ac:dyDescent="0.2">
      <c r="A245" s="36"/>
      <c r="B245" s="37"/>
      <c r="C245" s="188"/>
      <c r="D245" s="188"/>
      <c r="E245" s="188"/>
      <c r="F245" s="188"/>
      <c r="G245" s="188"/>
      <c r="H245" s="188"/>
      <c r="I245" s="188"/>
      <c r="J245" s="188"/>
      <c r="K245" s="188"/>
      <c r="L245" s="188"/>
      <c r="M245" s="188"/>
      <c r="N245" s="188"/>
      <c r="O245" s="188"/>
      <c r="P245" s="188"/>
      <c r="Q245" s="42"/>
      <c r="R245" s="137"/>
    </row>
    <row r="246" spans="1:21" x14ac:dyDescent="0.2">
      <c r="A246" s="36"/>
      <c r="B246" s="37"/>
      <c r="C246" s="188"/>
      <c r="D246" s="188"/>
      <c r="E246" s="188"/>
      <c r="F246" s="188"/>
      <c r="G246" s="188"/>
      <c r="H246" s="188"/>
      <c r="I246" s="188"/>
      <c r="J246" s="188"/>
      <c r="K246" s="188"/>
      <c r="L246" s="188"/>
      <c r="M246" s="188"/>
      <c r="N246" s="188"/>
      <c r="O246" s="534" t="s">
        <v>17</v>
      </c>
      <c r="P246" s="534"/>
      <c r="Q246" s="42"/>
      <c r="R246" s="137"/>
      <c r="T246" s="135"/>
      <c r="U246" s="135"/>
    </row>
    <row r="247" spans="1:21" x14ac:dyDescent="0.2">
      <c r="A247" s="36"/>
      <c r="B247" s="37"/>
      <c r="C247" s="188"/>
      <c r="D247" s="188"/>
      <c r="E247" s="188"/>
      <c r="F247" s="188"/>
      <c r="G247" s="188"/>
      <c r="H247" s="188"/>
      <c r="I247" s="188"/>
      <c r="J247" s="188"/>
      <c r="K247" s="188"/>
      <c r="L247" s="188"/>
      <c r="M247" s="188"/>
      <c r="N247" s="188"/>
      <c r="O247" s="188"/>
      <c r="P247" s="188"/>
      <c r="Q247" s="42"/>
      <c r="R247" s="137"/>
    </row>
    <row r="248" spans="1:21" x14ac:dyDescent="0.2">
      <c r="A248" s="36"/>
      <c r="B248" s="37"/>
      <c r="C248" s="188"/>
      <c r="D248" s="188"/>
      <c r="E248" s="188"/>
      <c r="F248" s="188"/>
      <c r="G248" s="188"/>
      <c r="H248" s="188"/>
      <c r="I248" s="188"/>
      <c r="J248" s="188"/>
      <c r="K248" s="188"/>
      <c r="L248" s="188"/>
      <c r="M248" s="188"/>
      <c r="N248" s="188"/>
      <c r="O248" s="188" t="s">
        <v>270</v>
      </c>
      <c r="P248" s="188" t="s">
        <v>577</v>
      </c>
      <c r="Q248" s="42"/>
      <c r="R248" s="137">
        <f>R50</f>
        <v>0</v>
      </c>
    </row>
    <row r="249" spans="1:21" x14ac:dyDescent="0.2">
      <c r="A249" s="36"/>
      <c r="B249" s="37"/>
      <c r="C249" s="188"/>
      <c r="D249" s="188"/>
      <c r="E249" s="188"/>
      <c r="F249" s="188"/>
      <c r="G249" s="188"/>
      <c r="H249" s="188"/>
      <c r="I249" s="188"/>
      <c r="J249" s="188"/>
      <c r="K249" s="188"/>
      <c r="L249" s="188"/>
      <c r="M249" s="188"/>
      <c r="N249" s="188"/>
      <c r="O249" s="188"/>
      <c r="P249" s="188"/>
      <c r="Q249" s="42"/>
      <c r="R249" s="137"/>
    </row>
    <row r="250" spans="1:21" x14ac:dyDescent="0.2">
      <c r="A250" s="36"/>
      <c r="B250" s="37"/>
      <c r="C250" s="188"/>
      <c r="D250" s="188"/>
      <c r="E250" s="188"/>
      <c r="F250" s="188"/>
      <c r="G250" s="188"/>
      <c r="H250" s="188"/>
      <c r="I250" s="188"/>
      <c r="J250" s="188"/>
      <c r="K250" s="188"/>
      <c r="L250" s="188"/>
      <c r="M250" s="188"/>
      <c r="N250" s="188"/>
      <c r="O250" s="188" t="s">
        <v>270</v>
      </c>
      <c r="P250" s="188" t="s">
        <v>578</v>
      </c>
      <c r="Q250" s="42"/>
      <c r="R250" s="137">
        <f>R99</f>
        <v>0</v>
      </c>
    </row>
    <row r="251" spans="1:21" x14ac:dyDescent="0.2">
      <c r="A251" s="36"/>
      <c r="B251" s="37"/>
      <c r="C251" s="188"/>
      <c r="D251" s="188"/>
      <c r="E251" s="188"/>
      <c r="F251" s="188"/>
      <c r="G251" s="188"/>
      <c r="H251" s="188"/>
      <c r="I251" s="188"/>
      <c r="J251" s="188"/>
      <c r="K251" s="188"/>
      <c r="L251" s="188"/>
      <c r="M251" s="188"/>
      <c r="N251" s="188"/>
      <c r="O251" s="188"/>
      <c r="P251" s="188"/>
      <c r="Q251" s="42"/>
      <c r="R251" s="137"/>
    </row>
    <row r="252" spans="1:21" x14ac:dyDescent="0.2">
      <c r="A252" s="36"/>
      <c r="B252" s="37"/>
      <c r="C252" s="188"/>
      <c r="D252" s="188"/>
      <c r="E252" s="188"/>
      <c r="F252" s="188"/>
      <c r="G252" s="188"/>
      <c r="H252" s="188"/>
      <c r="I252" s="188"/>
      <c r="J252" s="188"/>
      <c r="K252" s="188"/>
      <c r="L252" s="188"/>
      <c r="M252" s="188"/>
      <c r="N252" s="188"/>
      <c r="O252" s="188" t="s">
        <v>270</v>
      </c>
      <c r="P252" s="188" t="s">
        <v>579</v>
      </c>
      <c r="Q252" s="42"/>
      <c r="R252" s="137">
        <f>R147</f>
        <v>0</v>
      </c>
    </row>
    <row r="253" spans="1:21" x14ac:dyDescent="0.2">
      <c r="A253" s="36"/>
      <c r="B253" s="37"/>
      <c r="C253" s="188"/>
      <c r="D253" s="188"/>
      <c r="E253" s="188"/>
      <c r="F253" s="188"/>
      <c r="G253" s="188"/>
      <c r="H253" s="188"/>
      <c r="I253" s="188"/>
      <c r="J253" s="188"/>
      <c r="K253" s="188"/>
      <c r="L253" s="188"/>
      <c r="M253" s="188"/>
      <c r="N253" s="188"/>
      <c r="O253" s="188"/>
      <c r="P253" s="188"/>
      <c r="Q253" s="42"/>
      <c r="R253" s="137"/>
    </row>
    <row r="254" spans="1:21" x14ac:dyDescent="0.2">
      <c r="A254" s="36"/>
      <c r="B254" s="37"/>
      <c r="C254" s="188"/>
      <c r="D254" s="188"/>
      <c r="E254" s="188"/>
      <c r="F254" s="188"/>
      <c r="G254" s="188"/>
      <c r="H254" s="188"/>
      <c r="I254" s="188"/>
      <c r="J254" s="188"/>
      <c r="K254" s="188"/>
      <c r="L254" s="188"/>
      <c r="M254" s="188"/>
      <c r="N254" s="188"/>
      <c r="O254" s="188" t="s">
        <v>270</v>
      </c>
      <c r="P254" s="188" t="s">
        <v>580</v>
      </c>
      <c r="Q254" s="42"/>
      <c r="R254" s="137">
        <f>R196</f>
        <v>0</v>
      </c>
    </row>
    <row r="255" spans="1:21" x14ac:dyDescent="0.2">
      <c r="A255" s="36"/>
      <c r="B255" s="37"/>
      <c r="C255" s="188"/>
      <c r="D255" s="188"/>
      <c r="E255" s="188"/>
      <c r="F255" s="188"/>
      <c r="G255" s="188"/>
      <c r="H255" s="188"/>
      <c r="I255" s="188"/>
      <c r="J255" s="188"/>
      <c r="K255" s="188"/>
      <c r="L255" s="188"/>
      <c r="M255" s="188"/>
      <c r="N255" s="188"/>
      <c r="O255" s="188"/>
      <c r="P255" s="188"/>
      <c r="Q255" s="42"/>
      <c r="R255" s="137"/>
    </row>
    <row r="256" spans="1:21" x14ac:dyDescent="0.2">
      <c r="A256" s="36"/>
      <c r="B256" s="37"/>
      <c r="C256" s="188"/>
      <c r="D256" s="188"/>
      <c r="E256" s="188"/>
      <c r="F256" s="188"/>
      <c r="G256" s="188"/>
      <c r="H256" s="188"/>
      <c r="I256" s="188"/>
      <c r="J256" s="188"/>
      <c r="K256" s="188"/>
      <c r="L256" s="188"/>
      <c r="M256" s="188"/>
      <c r="N256" s="188"/>
      <c r="O256" s="188" t="s">
        <v>270</v>
      </c>
      <c r="P256" s="188" t="s">
        <v>581</v>
      </c>
      <c r="Q256" s="42"/>
      <c r="R256" s="137">
        <f>R242</f>
        <v>0</v>
      </c>
    </row>
    <row r="257" spans="1:21" x14ac:dyDescent="0.2">
      <c r="A257" s="36"/>
      <c r="B257" s="37"/>
      <c r="C257" s="188"/>
      <c r="D257" s="188"/>
      <c r="E257" s="188"/>
      <c r="F257" s="188"/>
      <c r="G257" s="188"/>
      <c r="H257" s="188"/>
      <c r="I257" s="188"/>
      <c r="J257" s="188"/>
      <c r="K257" s="188"/>
      <c r="L257" s="188"/>
      <c r="M257" s="188"/>
      <c r="N257" s="188"/>
      <c r="O257" s="188"/>
      <c r="P257" s="188"/>
      <c r="Q257" s="42"/>
      <c r="R257" s="137"/>
    </row>
    <row r="258" spans="1:21" x14ac:dyDescent="0.2">
      <c r="A258" s="36"/>
      <c r="B258" s="37"/>
      <c r="C258" s="188"/>
      <c r="D258" s="188"/>
      <c r="E258" s="188"/>
      <c r="F258" s="188"/>
      <c r="G258" s="188"/>
      <c r="H258" s="188"/>
      <c r="I258" s="188"/>
      <c r="J258" s="188"/>
      <c r="K258" s="188"/>
      <c r="L258" s="188"/>
      <c r="M258" s="188"/>
      <c r="N258" s="188"/>
      <c r="O258" s="188"/>
      <c r="P258" s="188"/>
      <c r="Q258" s="42"/>
      <c r="R258" s="137"/>
    </row>
    <row r="259" spans="1:21" x14ac:dyDescent="0.2">
      <c r="A259" s="36"/>
      <c r="B259" s="37"/>
      <c r="C259" s="188"/>
      <c r="D259" s="188"/>
      <c r="E259" s="188"/>
      <c r="F259" s="188"/>
      <c r="G259" s="188"/>
      <c r="H259" s="188"/>
      <c r="I259" s="188"/>
      <c r="J259" s="188"/>
      <c r="K259" s="188"/>
      <c r="L259" s="188"/>
      <c r="M259" s="188"/>
      <c r="N259" s="188"/>
      <c r="O259" s="188"/>
      <c r="P259" s="188"/>
      <c r="Q259" s="42"/>
      <c r="R259" s="137"/>
    </row>
    <row r="260" spans="1:21" x14ac:dyDescent="0.2">
      <c r="A260" s="36"/>
      <c r="B260" s="37"/>
      <c r="C260" s="188"/>
      <c r="D260" s="188"/>
      <c r="E260" s="188"/>
      <c r="F260" s="188"/>
      <c r="G260" s="188"/>
      <c r="H260" s="188"/>
      <c r="I260" s="188"/>
      <c r="J260" s="188"/>
      <c r="K260" s="188"/>
      <c r="L260" s="188"/>
      <c r="M260" s="188"/>
      <c r="N260" s="188"/>
      <c r="O260" s="188"/>
      <c r="P260" s="188"/>
      <c r="Q260" s="42"/>
      <c r="R260" s="137"/>
    </row>
    <row r="261" spans="1:21" x14ac:dyDescent="0.2">
      <c r="A261" s="36"/>
      <c r="B261" s="37"/>
      <c r="C261" s="188"/>
      <c r="D261" s="188"/>
      <c r="E261" s="188"/>
      <c r="F261" s="188"/>
      <c r="G261" s="188"/>
      <c r="H261" s="188"/>
      <c r="I261" s="188"/>
      <c r="J261" s="188"/>
      <c r="K261" s="188"/>
      <c r="L261" s="188"/>
      <c r="M261" s="188"/>
      <c r="N261" s="188"/>
      <c r="O261" s="188"/>
      <c r="P261" s="188"/>
      <c r="Q261" s="42"/>
      <c r="R261" s="137"/>
    </row>
    <row r="262" spans="1:21" x14ac:dyDescent="0.2">
      <c r="A262" s="36"/>
      <c r="B262" s="37"/>
      <c r="C262" s="188"/>
      <c r="D262" s="188"/>
      <c r="E262" s="188"/>
      <c r="F262" s="188"/>
      <c r="G262" s="188"/>
      <c r="H262" s="188"/>
      <c r="I262" s="188"/>
      <c r="J262" s="188"/>
      <c r="K262" s="188"/>
      <c r="L262" s="188"/>
      <c r="M262" s="188"/>
      <c r="N262" s="188"/>
      <c r="O262" s="188"/>
      <c r="P262" s="188"/>
      <c r="Q262" s="42"/>
      <c r="R262" s="137"/>
    </row>
    <row r="263" spans="1:21" x14ac:dyDescent="0.2">
      <c r="A263" s="36"/>
      <c r="B263" s="37"/>
      <c r="C263" s="188"/>
      <c r="D263" s="188"/>
      <c r="E263" s="188"/>
      <c r="F263" s="188"/>
      <c r="G263" s="188"/>
      <c r="H263" s="188"/>
      <c r="I263" s="188"/>
      <c r="J263" s="188"/>
      <c r="K263" s="188"/>
      <c r="L263" s="188"/>
      <c r="M263" s="188"/>
      <c r="N263" s="188"/>
      <c r="O263" s="188"/>
      <c r="P263" s="188"/>
      <c r="Q263" s="42"/>
      <c r="R263" s="137"/>
    </row>
    <row r="264" spans="1:21" x14ac:dyDescent="0.2">
      <c r="A264" s="36"/>
      <c r="B264" s="37"/>
      <c r="C264" s="188"/>
      <c r="D264" s="188"/>
      <c r="E264" s="188"/>
      <c r="F264" s="188"/>
      <c r="G264" s="188"/>
      <c r="H264" s="188"/>
      <c r="I264" s="188"/>
      <c r="J264" s="188"/>
      <c r="K264" s="188"/>
      <c r="L264" s="188"/>
      <c r="M264" s="188"/>
      <c r="N264" s="188"/>
      <c r="O264" s="188"/>
      <c r="P264" s="188"/>
      <c r="Q264" s="42"/>
      <c r="R264" s="137"/>
    </row>
    <row r="265" spans="1:21" x14ac:dyDescent="0.2">
      <c r="A265" s="36"/>
      <c r="B265" s="37"/>
      <c r="C265" s="188"/>
      <c r="D265" s="188"/>
      <c r="E265" s="188"/>
      <c r="F265" s="188"/>
      <c r="G265" s="188"/>
      <c r="H265" s="188"/>
      <c r="I265" s="188"/>
      <c r="J265" s="188"/>
      <c r="K265" s="188"/>
      <c r="L265" s="188"/>
      <c r="M265" s="188"/>
      <c r="N265" s="188"/>
      <c r="O265" s="188"/>
      <c r="P265" s="188"/>
      <c r="Q265" s="42"/>
      <c r="R265" s="137"/>
    </row>
    <row r="266" spans="1:21" x14ac:dyDescent="0.2">
      <c r="A266" s="36"/>
      <c r="B266" s="37"/>
      <c r="C266" s="188"/>
      <c r="D266" s="188"/>
      <c r="E266" s="188"/>
      <c r="F266" s="188"/>
      <c r="G266" s="188"/>
      <c r="H266" s="188"/>
      <c r="I266" s="188"/>
      <c r="J266" s="188"/>
      <c r="K266" s="188"/>
      <c r="L266" s="188"/>
      <c r="M266" s="188"/>
      <c r="N266" s="188"/>
      <c r="O266" s="188"/>
      <c r="P266" s="188"/>
      <c r="Q266" s="42"/>
      <c r="R266" s="137"/>
    </row>
    <row r="267" spans="1:21" x14ac:dyDescent="0.2">
      <c r="A267" s="36"/>
      <c r="B267" s="37"/>
      <c r="C267" s="188"/>
      <c r="D267" s="188"/>
      <c r="E267" s="188"/>
      <c r="F267" s="188"/>
      <c r="G267" s="188"/>
      <c r="H267" s="188"/>
      <c r="I267" s="188"/>
      <c r="J267" s="188"/>
      <c r="K267" s="188"/>
      <c r="L267" s="188"/>
      <c r="M267" s="188"/>
      <c r="N267" s="188"/>
      <c r="O267" s="188"/>
      <c r="P267" s="188"/>
      <c r="Q267" s="42"/>
      <c r="R267" s="137"/>
    </row>
    <row r="268" spans="1:21" x14ac:dyDescent="0.2">
      <c r="A268" s="43"/>
      <c r="B268" s="44"/>
      <c r="C268" s="94"/>
      <c r="D268" s="94"/>
      <c r="E268" s="94"/>
      <c r="F268" s="94"/>
      <c r="G268" s="94"/>
      <c r="H268" s="94"/>
      <c r="I268" s="94"/>
      <c r="J268" s="94"/>
      <c r="K268" s="94"/>
      <c r="L268" s="94"/>
      <c r="M268" s="94"/>
      <c r="N268" s="94"/>
      <c r="O268" s="94"/>
      <c r="P268" s="94"/>
      <c r="Q268" s="45"/>
      <c r="R268" s="125"/>
      <c r="T268" s="52"/>
      <c r="U268" s="52"/>
    </row>
    <row r="269" spans="1:21" x14ac:dyDescent="0.2">
      <c r="A269" s="129"/>
      <c r="B269" s="130" t="s">
        <v>124</v>
      </c>
      <c r="C269" s="131"/>
      <c r="D269" s="131"/>
      <c r="E269" s="131"/>
      <c r="F269" s="131"/>
      <c r="G269" s="131"/>
      <c r="H269" s="131"/>
      <c r="I269" s="131"/>
      <c r="J269" s="131"/>
      <c r="K269" s="131"/>
      <c r="L269" s="131"/>
      <c r="M269" s="131"/>
      <c r="N269" s="131"/>
      <c r="O269" s="131"/>
      <c r="P269" s="131"/>
      <c r="Q269" s="132"/>
      <c r="R269" s="126"/>
      <c r="T269" s="134"/>
      <c r="U269" s="134"/>
    </row>
    <row r="270" spans="1:21" x14ac:dyDescent="0.2">
      <c r="C270" s="46"/>
      <c r="D270" s="46"/>
      <c r="E270" s="46"/>
      <c r="F270" s="46"/>
      <c r="G270" s="46"/>
      <c r="H270" s="46"/>
      <c r="I270" s="46"/>
      <c r="J270" s="46"/>
      <c r="K270" s="46"/>
      <c r="L270" s="46"/>
      <c r="M270" s="46"/>
      <c r="N270" s="46"/>
      <c r="O270" s="46"/>
      <c r="P270" s="171" t="s">
        <v>15</v>
      </c>
      <c r="Q270" s="133" t="s">
        <v>0</v>
      </c>
      <c r="R270" s="137">
        <f>SUM(R244:R269)</f>
        <v>0</v>
      </c>
      <c r="T270" s="135"/>
      <c r="U270" s="135"/>
    </row>
    <row r="271" spans="1:21" x14ac:dyDescent="0.2">
      <c r="P271" s="188"/>
      <c r="Q271" s="124"/>
      <c r="R271" s="125"/>
    </row>
  </sheetData>
  <customSheetViews>
    <customSheetView guid="{CBA2F18A-D99E-4593-B5C7-F549C46D482A}" scale="70" showPageBreaks="1" zeroValues="0" printArea="1" hiddenColumns="1" view="pageBreakPreview">
      <pane xSplit="2" ySplit="3" topLeftCell="G31" activePane="bottomRight" state="frozen"/>
      <selection pane="bottomRight" activeCell="Z64" sqref="Z64"/>
      <pageMargins left="0.51181102362204722" right="0.19685039370078741" top="0.98425196850393704" bottom="0.59055118110236227" header="0.31496062992125984" footer="0.31496062992125984"/>
      <pageSetup paperSize="8" scale="90" orientation="landscape" useFirstPageNumber="1" r:id="rId1"/>
      <headerFooter>
        <oddHeader>&amp;R&amp;UBILL NO. 2
CONCRETE WORK</oddHeader>
        <oddFooter>&amp;L&amp;8MBR GPV PH1A BQ ADD5&amp;C&amp;10 2/C/&amp;P</oddFooter>
      </headerFooter>
    </customSheetView>
    <customSheetView guid="{A5028593-220E-41E5-9B7F-B61B224ADECB}" scale="85" showPageBreaks="1" zeroValues="0" printArea="1" hiddenColumns="1" view="pageBreakPreview">
      <pane xSplit="2" ySplit="3" topLeftCell="S121" activePane="bottomRight" state="frozen"/>
      <selection pane="bottomRight" activeCell="AF1" sqref="AF1:AQ1048576"/>
      <pageMargins left="0.51181102362204722" right="0.19685039370078741" top="0.98425196850393704" bottom="0.59055118110236227" header="0.31496062992125984" footer="0.31496062992125984"/>
      <pageSetup paperSize="8" scale="84" orientation="landscape" useFirstPageNumber="1" r:id="rId2"/>
      <headerFooter>
        <oddHeader>&amp;R&amp;UBILL NO. 2
CONCRETE WORK</oddHeader>
        <oddFooter>&amp;L&amp;8MBR CV BQ&amp;C&amp;10 2/C/&amp;P</oddFooter>
      </headerFooter>
    </customSheetView>
    <customSheetView guid="{9B0AB937-A858-4024-AFD2-25458CC5120D}" scale="85" showPageBreaks="1" zeroValues="0" printArea="1" hiddenColumns="1" view="pageBreakPreview">
      <pane xSplit="2" ySplit="3" topLeftCell="S121" activePane="bottomRight" state="frozen"/>
      <selection pane="bottomRight" activeCell="AF1" sqref="AF1:AQ1048576"/>
      <pageMargins left="0.51181102362204722" right="0.19685039370078741" top="0.98425196850393704" bottom="0.59055118110236227" header="0.31496062992125984" footer="0.31496062992125984"/>
      <pageSetup paperSize="8" scale="84" orientation="landscape" useFirstPageNumber="1" r:id="rId3"/>
      <headerFooter>
        <oddHeader>&amp;R&amp;UBILL NO. 2
CONCRETE WORK</oddHeader>
        <oddFooter>&amp;L&amp;8MBR CV BQ&amp;C&amp;10 2/C/&amp;P</oddFooter>
      </headerFooter>
    </customSheetView>
    <customSheetView guid="{09AFA358-18AB-4F70-994A-26F8BCF8C7CA}" scale="85" showPageBreaks="1" zeroValues="0" printArea="1" hiddenColumns="1" view="pageBreakPreview">
      <pane xSplit="2" ySplit="3" topLeftCell="S121" activePane="bottomRight" state="frozen"/>
      <selection pane="bottomRight" activeCell="AF1" sqref="AF1:AQ1048576"/>
      <pageMargins left="0.51181102362204722" right="0.19685039370078741" top="0.98425196850393704" bottom="0.59055118110236227" header="0.31496062992125984" footer="0.31496062992125984"/>
      <pageSetup paperSize="8" scale="84" orientation="landscape" useFirstPageNumber="1" r:id="rId4"/>
      <headerFooter>
        <oddHeader>&amp;R&amp;UBILL NO. 2
CONCRETE WORK</oddHeader>
        <oddFooter>&amp;L&amp;8MBR CV BQ&amp;C&amp;10 2/C/&amp;P</oddFooter>
      </headerFooter>
    </customSheetView>
  </customSheetViews>
  <mergeCells count="14">
    <mergeCell ref="R1:R3"/>
    <mergeCell ref="D2:D3"/>
    <mergeCell ref="F2:F3"/>
    <mergeCell ref="H2:H3"/>
    <mergeCell ref="A1:A3"/>
    <mergeCell ref="B1:B3"/>
    <mergeCell ref="C1:O1"/>
    <mergeCell ref="P1:P3"/>
    <mergeCell ref="Q1:Q3"/>
    <mergeCell ref="O246:P246"/>
    <mergeCell ref="O2:O3"/>
    <mergeCell ref="J2:J3"/>
    <mergeCell ref="L2:L3"/>
    <mergeCell ref="N2:N3"/>
  </mergeCells>
  <printOptions horizontalCentered="1"/>
  <pageMargins left="0.51181102362204722" right="0.19685039370078741" top="0.98425196850393704" bottom="0.59055118110236227" header="0.31496062992125984" footer="0.31496062992125984"/>
  <pageSetup paperSize="8" orientation="landscape" useFirstPageNumber="1" r:id="rId5"/>
  <headerFooter>
    <oddHeader>&amp;R&amp;UBILL NO. 3: TOWNHOUSE A 
CONCRETE WORK</oddHeader>
    <oddFooter>&amp;L&amp;8DMS No. 148110 Package 3 (05 Oct 2021)&amp;C&amp;10 3/C/&amp;P</oddFooter>
  </headerFooter>
  <ignoredErrors>
    <ignoredError sqref="E91:M103 E240:M243 E192:M194 E48:M53"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U163"/>
  <sheetViews>
    <sheetView showZeros="0" view="pageBreakPreview" zoomScale="90" zoomScaleNormal="85" zoomScaleSheetLayoutView="90" workbookViewId="0">
      <pane xSplit="2" ySplit="4" topLeftCell="C17" activePane="bottomRight" state="frozen"/>
      <selection activeCell="T57" sqref="T57"/>
      <selection pane="topRight" activeCell="T57" sqref="T57"/>
      <selection pane="bottomLeft" activeCell="T57" sqref="T57"/>
      <selection pane="bottomRight" sqref="A1:R1048576"/>
    </sheetView>
  </sheetViews>
  <sheetFormatPr defaultRowHeight="14.25" x14ac:dyDescent="0.2"/>
  <cols>
    <col min="1" max="1" width="6.125" style="121" customWidth="1"/>
    <col min="2" max="2" width="61.875" style="122" customWidth="1"/>
    <col min="3" max="3" width="11.125" style="204" customWidth="1"/>
    <col min="4" max="4" width="10.625" style="204" hidden="1" customWidth="1"/>
    <col min="5" max="5" width="11.125" style="204" customWidth="1"/>
    <col min="6" max="6" width="10.625" style="204" hidden="1" customWidth="1"/>
    <col min="7" max="7" width="11.125" style="204" customWidth="1"/>
    <col min="8" max="8" width="10.625" style="204" hidden="1" customWidth="1"/>
    <col min="9" max="9" width="11.125" style="204" customWidth="1"/>
    <col min="10" max="10" width="10.625" style="204" hidden="1" customWidth="1"/>
    <col min="11" max="11" width="11.125" style="204" customWidth="1"/>
    <col min="12" max="12" width="10.625" style="204" hidden="1" customWidth="1"/>
    <col min="13" max="13" width="11.125" style="204" customWidth="1"/>
    <col min="14" max="14" width="10.625" style="204" hidden="1" customWidth="1"/>
    <col min="15" max="15" width="12.125" style="204" customWidth="1"/>
    <col min="16" max="16" width="7.125" style="204" customWidth="1"/>
    <col min="17" max="17" width="12.125" style="46" customWidth="1"/>
    <col min="18" max="18" width="16.625" style="46" customWidth="1"/>
    <col min="19" max="19" width="12.375" style="140" customWidth="1"/>
    <col min="20" max="21" width="9.75" style="142" customWidth="1"/>
    <col min="22" max="16384" width="9" style="140"/>
  </cols>
  <sheetData>
    <row r="1" spans="1:21" s="98" customFormat="1" x14ac:dyDescent="0.2">
      <c r="A1" s="521" t="s">
        <v>5</v>
      </c>
      <c r="B1" s="521" t="s">
        <v>4</v>
      </c>
      <c r="C1" s="530" t="s">
        <v>3</v>
      </c>
      <c r="D1" s="530"/>
      <c r="E1" s="530"/>
      <c r="F1" s="530"/>
      <c r="G1" s="530"/>
      <c r="H1" s="530"/>
      <c r="I1" s="530"/>
      <c r="J1" s="530"/>
      <c r="K1" s="530"/>
      <c r="L1" s="530"/>
      <c r="M1" s="530"/>
      <c r="N1" s="530"/>
      <c r="O1" s="530"/>
      <c r="P1" s="531" t="s">
        <v>2</v>
      </c>
      <c r="Q1" s="518" t="s">
        <v>6</v>
      </c>
      <c r="R1" s="521" t="s">
        <v>7</v>
      </c>
      <c r="T1" s="155"/>
      <c r="U1" s="155"/>
    </row>
    <row r="2" spans="1:21" s="98" customFormat="1" ht="28.5" x14ac:dyDescent="0.2">
      <c r="A2" s="522"/>
      <c r="B2" s="522"/>
      <c r="C2" s="427" t="s">
        <v>439</v>
      </c>
      <c r="D2" s="524" t="s">
        <v>23</v>
      </c>
      <c r="E2" s="427" t="s">
        <v>440</v>
      </c>
      <c r="F2" s="524" t="s">
        <v>23</v>
      </c>
      <c r="G2" s="427" t="s">
        <v>441</v>
      </c>
      <c r="H2" s="524" t="s">
        <v>23</v>
      </c>
      <c r="I2" s="427" t="s">
        <v>442</v>
      </c>
      <c r="J2" s="524" t="s">
        <v>23</v>
      </c>
      <c r="K2" s="427" t="s">
        <v>443</v>
      </c>
      <c r="L2" s="524" t="s">
        <v>23</v>
      </c>
      <c r="M2" s="427" t="s">
        <v>444</v>
      </c>
      <c r="N2" s="524" t="s">
        <v>23</v>
      </c>
      <c r="O2" s="526" t="s">
        <v>22</v>
      </c>
      <c r="P2" s="532"/>
      <c r="Q2" s="519"/>
      <c r="R2" s="522"/>
      <c r="T2" s="35" t="s">
        <v>445</v>
      </c>
      <c r="U2" s="75" t="s">
        <v>446</v>
      </c>
    </row>
    <row r="3" spans="1:21" s="98" customFormat="1" x14ac:dyDescent="0.2">
      <c r="A3" s="523"/>
      <c r="B3" s="523"/>
      <c r="C3" s="192">
        <v>1</v>
      </c>
      <c r="D3" s="525"/>
      <c r="E3" s="192">
        <v>1</v>
      </c>
      <c r="F3" s="525"/>
      <c r="G3" s="192">
        <v>5</v>
      </c>
      <c r="H3" s="525"/>
      <c r="I3" s="192">
        <v>1</v>
      </c>
      <c r="J3" s="525"/>
      <c r="K3" s="192">
        <v>3</v>
      </c>
      <c r="L3" s="525"/>
      <c r="M3" s="192">
        <v>1</v>
      </c>
      <c r="N3" s="525"/>
      <c r="O3" s="527"/>
      <c r="P3" s="533"/>
      <c r="Q3" s="520"/>
      <c r="R3" s="523"/>
      <c r="S3" s="95">
        <f>C3+E3+G3+I3+K3+M3</f>
        <v>12</v>
      </c>
      <c r="T3" s="35"/>
      <c r="U3" s="35"/>
    </row>
    <row r="4" spans="1:21" x14ac:dyDescent="0.2">
      <c r="A4" s="127"/>
      <c r="B4" s="136"/>
      <c r="C4" s="128"/>
      <c r="D4" s="120"/>
      <c r="E4" s="120"/>
      <c r="F4" s="120"/>
      <c r="G4" s="120"/>
      <c r="H4" s="120"/>
      <c r="I4" s="120"/>
      <c r="J4" s="120"/>
      <c r="K4" s="120"/>
      <c r="L4" s="120"/>
      <c r="M4" s="120"/>
      <c r="N4" s="120"/>
      <c r="O4" s="120"/>
      <c r="P4" s="154"/>
      <c r="Q4" s="141"/>
      <c r="R4" s="137"/>
    </row>
    <row r="5" spans="1:21" x14ac:dyDescent="0.2">
      <c r="A5" s="139"/>
      <c r="B5" s="14" t="s">
        <v>26</v>
      </c>
      <c r="C5" s="128"/>
      <c r="D5" s="120"/>
      <c r="E5" s="120"/>
      <c r="F5" s="120"/>
      <c r="G5" s="120"/>
      <c r="H5" s="120"/>
      <c r="I5" s="120"/>
      <c r="J5" s="120"/>
      <c r="K5" s="120"/>
      <c r="L5" s="120"/>
      <c r="M5" s="120"/>
      <c r="N5" s="120"/>
      <c r="O5" s="120"/>
      <c r="P5" s="154"/>
      <c r="Q5" s="141"/>
      <c r="R5" s="137"/>
    </row>
    <row r="6" spans="1:21" x14ac:dyDescent="0.2">
      <c r="A6" s="139"/>
      <c r="B6" s="136"/>
      <c r="C6" s="128"/>
      <c r="D6" s="120"/>
      <c r="E6" s="120"/>
      <c r="F6" s="120"/>
      <c r="G6" s="120"/>
      <c r="H6" s="120"/>
      <c r="I6" s="120"/>
      <c r="J6" s="120"/>
      <c r="K6" s="120"/>
      <c r="L6" s="120"/>
      <c r="M6" s="120"/>
      <c r="N6" s="120"/>
      <c r="O6" s="120"/>
      <c r="P6" s="154"/>
      <c r="Q6" s="141"/>
      <c r="R6" s="137"/>
    </row>
    <row r="7" spans="1:21" x14ac:dyDescent="0.2">
      <c r="A7" s="139"/>
      <c r="B7" s="88" t="s">
        <v>295</v>
      </c>
      <c r="C7" s="128"/>
      <c r="D7" s="120"/>
      <c r="E7" s="120"/>
      <c r="F7" s="120"/>
      <c r="G7" s="120"/>
      <c r="H7" s="120"/>
      <c r="I7" s="120"/>
      <c r="J7" s="120"/>
      <c r="K7" s="120"/>
      <c r="L7" s="120"/>
      <c r="M7" s="120"/>
      <c r="N7" s="120"/>
      <c r="O7" s="120"/>
      <c r="P7" s="154"/>
      <c r="Q7" s="141"/>
      <c r="R7" s="137"/>
    </row>
    <row r="8" spans="1:21" x14ac:dyDescent="0.2">
      <c r="A8" s="139"/>
      <c r="B8" s="88" t="s">
        <v>296</v>
      </c>
      <c r="C8" s="128"/>
      <c r="D8" s="120"/>
      <c r="E8" s="120"/>
      <c r="F8" s="120"/>
      <c r="G8" s="120"/>
      <c r="H8" s="120"/>
      <c r="I8" s="120"/>
      <c r="J8" s="120"/>
      <c r="K8" s="120"/>
      <c r="L8" s="120"/>
      <c r="M8" s="120"/>
      <c r="N8" s="120"/>
      <c r="O8" s="120"/>
      <c r="P8" s="154"/>
      <c r="Q8" s="141"/>
      <c r="R8" s="137"/>
    </row>
    <row r="9" spans="1:21" x14ac:dyDescent="0.2">
      <c r="A9" s="139"/>
      <c r="B9" s="88" t="s">
        <v>297</v>
      </c>
      <c r="C9" s="128"/>
      <c r="D9" s="120"/>
      <c r="E9" s="120"/>
      <c r="F9" s="120"/>
      <c r="G9" s="120"/>
      <c r="H9" s="120"/>
      <c r="I9" s="120"/>
      <c r="J9" s="120"/>
      <c r="K9" s="120"/>
      <c r="L9" s="120"/>
      <c r="M9" s="120"/>
      <c r="N9" s="120"/>
      <c r="O9" s="120"/>
      <c r="P9" s="154"/>
      <c r="Q9" s="141"/>
      <c r="R9" s="137"/>
    </row>
    <row r="10" spans="1:21" x14ac:dyDescent="0.2">
      <c r="A10" s="139"/>
      <c r="B10" s="136"/>
      <c r="C10" s="128"/>
      <c r="D10" s="120"/>
      <c r="E10" s="120"/>
      <c r="F10" s="120"/>
      <c r="G10" s="120"/>
      <c r="H10" s="120"/>
      <c r="I10" s="120"/>
      <c r="J10" s="120"/>
      <c r="K10" s="120"/>
      <c r="L10" s="120"/>
      <c r="M10" s="120"/>
      <c r="N10" s="120"/>
      <c r="O10" s="120"/>
      <c r="P10" s="154"/>
      <c r="Q10" s="141"/>
      <c r="R10" s="137"/>
    </row>
    <row r="11" spans="1:21" x14ac:dyDescent="0.2">
      <c r="A11" s="139"/>
      <c r="B11" s="111" t="s">
        <v>53</v>
      </c>
      <c r="C11" s="128"/>
      <c r="D11" s="120"/>
      <c r="E11" s="120"/>
      <c r="F11" s="120"/>
      <c r="G11" s="120"/>
      <c r="H11" s="120"/>
      <c r="I11" s="120"/>
      <c r="J11" s="120"/>
      <c r="K11" s="120"/>
      <c r="L11" s="120"/>
      <c r="M11" s="120"/>
      <c r="N11" s="120"/>
      <c r="O11" s="120"/>
      <c r="P11" s="154"/>
      <c r="Q11" s="141"/>
      <c r="R11" s="137"/>
    </row>
    <row r="12" spans="1:21" x14ac:dyDescent="0.2">
      <c r="A12" s="139"/>
      <c r="B12" s="136"/>
      <c r="C12" s="138"/>
      <c r="D12" s="138"/>
      <c r="E12" s="138"/>
      <c r="F12" s="138"/>
      <c r="G12" s="138"/>
      <c r="H12" s="138"/>
      <c r="I12" s="138"/>
      <c r="J12" s="138"/>
      <c r="K12" s="138"/>
      <c r="L12" s="138"/>
      <c r="M12" s="138"/>
      <c r="N12" s="138"/>
      <c r="O12" s="138"/>
      <c r="P12" s="154"/>
      <c r="Q12" s="141"/>
      <c r="R12" s="137"/>
    </row>
    <row r="13" spans="1:21" ht="57" x14ac:dyDescent="0.2">
      <c r="A13" s="139"/>
      <c r="B13" s="82" t="s">
        <v>197</v>
      </c>
      <c r="C13" s="138"/>
      <c r="D13" s="138"/>
      <c r="E13" s="138"/>
      <c r="F13" s="138"/>
      <c r="G13" s="138"/>
      <c r="H13" s="138"/>
      <c r="I13" s="138"/>
      <c r="J13" s="138"/>
      <c r="K13" s="138"/>
      <c r="L13" s="138"/>
      <c r="M13" s="138"/>
      <c r="N13" s="138"/>
      <c r="O13" s="138"/>
      <c r="P13" s="154"/>
      <c r="Q13" s="141"/>
      <c r="R13" s="137"/>
    </row>
    <row r="14" spans="1:21" x14ac:dyDescent="0.2">
      <c r="A14" s="139"/>
      <c r="B14" s="166"/>
      <c r="C14" s="138">
        <f t="shared" ref="C14:C25" si="0">ROUND((2*$T14+2*$U14)*C$3,0)</f>
        <v>0</v>
      </c>
      <c r="D14" s="138">
        <f t="shared" ref="D14:D25" si="1">C14*$Q14</f>
        <v>0</v>
      </c>
      <c r="E14" s="138">
        <f t="shared" ref="E14:E25" si="2">ROUND((2*$T14+3*$U14)*E$3,0)</f>
        <v>0</v>
      </c>
      <c r="F14" s="138">
        <f t="shared" ref="F14:F25" si="3">E14*$Q14</f>
        <v>0</v>
      </c>
      <c r="G14" s="138">
        <f t="shared" ref="G14:G25" si="4">ROUND((2*$T14+4*$U14)*G$3,0)</f>
        <v>0</v>
      </c>
      <c r="H14" s="138">
        <f t="shared" ref="H14:H25" si="5">G14*$Q14</f>
        <v>0</v>
      </c>
      <c r="I14" s="138">
        <f t="shared" ref="I14:I25" si="6">ROUND((2*$T14+5*$U14)*I$3,0)</f>
        <v>0</v>
      </c>
      <c r="J14" s="138">
        <f t="shared" ref="J14:J25" si="7">I14*$Q14</f>
        <v>0</v>
      </c>
      <c r="K14" s="138">
        <f t="shared" ref="K14:K25" si="8">ROUND((2*$T14+6*$U14)*K$3,0)</f>
        <v>0</v>
      </c>
      <c r="L14" s="138">
        <f t="shared" ref="L14:L25" si="9">K14*$Q14</f>
        <v>0</v>
      </c>
      <c r="M14" s="138">
        <f t="shared" ref="M14:M25" si="10">ROUND((2*$T14+7*$U14)*M$3,0)</f>
        <v>0</v>
      </c>
      <c r="N14" s="138">
        <f t="shared" ref="N14:N25" si="11">M14*$Q14</f>
        <v>0</v>
      </c>
      <c r="O14" s="138">
        <f t="shared" ref="O14:O25" si="12">C14+E14+G14+I14+K14+M14</f>
        <v>0</v>
      </c>
      <c r="P14" s="9"/>
      <c r="Q14" s="141"/>
      <c r="R14" s="137"/>
    </row>
    <row r="15" spans="1:21" ht="15" x14ac:dyDescent="0.25">
      <c r="A15" s="220" t="s">
        <v>66</v>
      </c>
      <c r="B15" s="231" t="s">
        <v>299</v>
      </c>
      <c r="C15" s="227">
        <v>6</v>
      </c>
      <c r="D15" s="227">
        <f t="shared" si="1"/>
        <v>0</v>
      </c>
      <c r="E15" s="227">
        <v>9</v>
      </c>
      <c r="F15" s="227">
        <f t="shared" si="3"/>
        <v>0</v>
      </c>
      <c r="G15" s="227">
        <v>60</v>
      </c>
      <c r="H15" s="227">
        <f t="shared" si="5"/>
        <v>0</v>
      </c>
      <c r="I15" s="227">
        <v>15</v>
      </c>
      <c r="J15" s="227">
        <f t="shared" si="7"/>
        <v>0</v>
      </c>
      <c r="K15" s="227">
        <v>54</v>
      </c>
      <c r="L15" s="227">
        <f t="shared" si="9"/>
        <v>0</v>
      </c>
      <c r="M15" s="227">
        <v>21</v>
      </c>
      <c r="N15" s="227">
        <f t="shared" si="11"/>
        <v>0</v>
      </c>
      <c r="O15" s="227">
        <f>C15+E15+G15+I15+K15+M15</f>
        <v>165</v>
      </c>
      <c r="P15" s="232" t="s">
        <v>10</v>
      </c>
      <c r="Q15" s="233"/>
      <c r="R15" s="230" t="s">
        <v>904</v>
      </c>
      <c r="T15" s="219"/>
      <c r="U15" s="219">
        <v>0</v>
      </c>
    </row>
    <row r="16" spans="1:21" ht="15" x14ac:dyDescent="0.25">
      <c r="A16" s="139"/>
      <c r="B16" s="166"/>
      <c r="C16" s="138">
        <f t="shared" si="0"/>
        <v>0</v>
      </c>
      <c r="D16" s="138">
        <f t="shared" si="1"/>
        <v>0</v>
      </c>
      <c r="E16" s="138">
        <f t="shared" si="2"/>
        <v>0</v>
      </c>
      <c r="F16" s="138">
        <f t="shared" si="3"/>
        <v>0</v>
      </c>
      <c r="G16" s="138">
        <f t="shared" si="4"/>
        <v>0</v>
      </c>
      <c r="H16" s="138">
        <f t="shared" si="5"/>
        <v>0</v>
      </c>
      <c r="I16" s="138">
        <f t="shared" si="6"/>
        <v>0</v>
      </c>
      <c r="J16" s="138">
        <f t="shared" si="7"/>
        <v>0</v>
      </c>
      <c r="K16" s="138">
        <f t="shared" si="8"/>
        <v>0</v>
      </c>
      <c r="L16" s="138">
        <f t="shared" si="9"/>
        <v>0</v>
      </c>
      <c r="M16" s="138">
        <f t="shared" si="10"/>
        <v>0</v>
      </c>
      <c r="N16" s="138">
        <f t="shared" si="11"/>
        <v>0</v>
      </c>
      <c r="O16" s="138">
        <f t="shared" si="12"/>
        <v>0</v>
      </c>
      <c r="P16" s="9"/>
      <c r="Q16" s="141"/>
      <c r="R16" s="137"/>
      <c r="T16" s="219"/>
      <c r="U16" s="219"/>
    </row>
    <row r="17" spans="1:21" ht="15" x14ac:dyDescent="0.25">
      <c r="A17" s="139" t="s">
        <v>67</v>
      </c>
      <c r="B17" s="166" t="s">
        <v>372</v>
      </c>
      <c r="C17" s="217">
        <f t="shared" si="0"/>
        <v>64</v>
      </c>
      <c r="D17" s="217">
        <f t="shared" si="1"/>
        <v>0</v>
      </c>
      <c r="E17" s="217">
        <f t="shared" si="2"/>
        <v>78</v>
      </c>
      <c r="F17" s="217">
        <f t="shared" si="3"/>
        <v>0</v>
      </c>
      <c r="G17" s="217">
        <f t="shared" si="4"/>
        <v>454</v>
      </c>
      <c r="H17" s="217">
        <f t="shared" si="5"/>
        <v>0</v>
      </c>
      <c r="I17" s="217">
        <f t="shared" si="6"/>
        <v>104</v>
      </c>
      <c r="J17" s="217">
        <f t="shared" si="7"/>
        <v>0</v>
      </c>
      <c r="K17" s="217">
        <f t="shared" si="8"/>
        <v>351</v>
      </c>
      <c r="L17" s="217">
        <f t="shared" si="9"/>
        <v>0</v>
      </c>
      <c r="M17" s="217">
        <f t="shared" si="10"/>
        <v>130</v>
      </c>
      <c r="N17" s="217">
        <f t="shared" si="11"/>
        <v>0</v>
      </c>
      <c r="O17" s="217">
        <f>C17+E17+G17+I17+K17+M17</f>
        <v>1181</v>
      </c>
      <c r="P17" s="9" t="s">
        <v>10</v>
      </c>
      <c r="Q17" s="141"/>
      <c r="R17" s="137">
        <f>O17*Q17</f>
        <v>0</v>
      </c>
      <c r="T17" s="219">
        <f>(14*22+10*15)/24</f>
        <v>19.083333333333332</v>
      </c>
      <c r="U17" s="219">
        <f>(29*16+26*10)/55</f>
        <v>13.163636363636364</v>
      </c>
    </row>
    <row r="18" spans="1:21" ht="15" x14ac:dyDescent="0.25">
      <c r="A18" s="139"/>
      <c r="B18" s="24"/>
      <c r="C18" s="138">
        <f t="shared" si="0"/>
        <v>0</v>
      </c>
      <c r="D18" s="138">
        <f t="shared" si="1"/>
        <v>0</v>
      </c>
      <c r="E18" s="138">
        <f t="shared" si="2"/>
        <v>0</v>
      </c>
      <c r="F18" s="138">
        <f t="shared" si="3"/>
        <v>0</v>
      </c>
      <c r="G18" s="138">
        <f t="shared" si="4"/>
        <v>0</v>
      </c>
      <c r="H18" s="138">
        <f t="shared" si="5"/>
        <v>0</v>
      </c>
      <c r="I18" s="138">
        <f t="shared" si="6"/>
        <v>0</v>
      </c>
      <c r="J18" s="138">
        <f t="shared" si="7"/>
        <v>0</v>
      </c>
      <c r="K18" s="138">
        <f t="shared" si="8"/>
        <v>0</v>
      </c>
      <c r="L18" s="138">
        <f t="shared" si="9"/>
        <v>0</v>
      </c>
      <c r="M18" s="138">
        <f t="shared" si="10"/>
        <v>0</v>
      </c>
      <c r="N18" s="138">
        <f t="shared" si="11"/>
        <v>0</v>
      </c>
      <c r="O18" s="138">
        <f t="shared" si="12"/>
        <v>0</v>
      </c>
      <c r="P18" s="154"/>
      <c r="Q18" s="141"/>
      <c r="R18" s="137"/>
      <c r="T18" s="219"/>
      <c r="U18" s="219"/>
    </row>
    <row r="19" spans="1:21" ht="15" x14ac:dyDescent="0.25">
      <c r="A19" s="220" t="s">
        <v>68</v>
      </c>
      <c r="B19" s="231" t="s">
        <v>298</v>
      </c>
      <c r="C19" s="227">
        <v>5</v>
      </c>
      <c r="D19" s="227">
        <f t="shared" si="1"/>
        <v>0</v>
      </c>
      <c r="E19" s="227">
        <v>8</v>
      </c>
      <c r="F19" s="227">
        <f t="shared" si="3"/>
        <v>0</v>
      </c>
      <c r="G19" s="227">
        <v>51</v>
      </c>
      <c r="H19" s="227">
        <f t="shared" si="5"/>
        <v>0</v>
      </c>
      <c r="I19" s="227">
        <v>13</v>
      </c>
      <c r="J19" s="227">
        <f t="shared" si="7"/>
        <v>0</v>
      </c>
      <c r="K19" s="227">
        <v>45</v>
      </c>
      <c r="L19" s="227">
        <f t="shared" si="9"/>
        <v>0</v>
      </c>
      <c r="M19" s="227">
        <v>18</v>
      </c>
      <c r="N19" s="227">
        <f t="shared" si="11"/>
        <v>0</v>
      </c>
      <c r="O19" s="227">
        <f>C19+E19+G19+I19+K19+M19</f>
        <v>140</v>
      </c>
      <c r="P19" s="232" t="s">
        <v>10</v>
      </c>
      <c r="Q19" s="229"/>
      <c r="R19" s="230" t="s">
        <v>904</v>
      </c>
      <c r="T19" s="219"/>
      <c r="U19" s="219">
        <v>0</v>
      </c>
    </row>
    <row r="20" spans="1:21" ht="15" x14ac:dyDescent="0.25">
      <c r="A20" s="139"/>
      <c r="B20" s="24"/>
      <c r="C20" s="138">
        <f t="shared" si="0"/>
        <v>0</v>
      </c>
      <c r="D20" s="138">
        <f t="shared" si="1"/>
        <v>0</v>
      </c>
      <c r="E20" s="138">
        <f t="shared" si="2"/>
        <v>0</v>
      </c>
      <c r="F20" s="138">
        <f t="shared" si="3"/>
        <v>0</v>
      </c>
      <c r="G20" s="138">
        <f t="shared" si="4"/>
        <v>0</v>
      </c>
      <c r="H20" s="138">
        <f t="shared" si="5"/>
        <v>0</v>
      </c>
      <c r="I20" s="138">
        <f t="shared" si="6"/>
        <v>0</v>
      </c>
      <c r="J20" s="138">
        <f t="shared" si="7"/>
        <v>0</v>
      </c>
      <c r="K20" s="138">
        <f t="shared" si="8"/>
        <v>0</v>
      </c>
      <c r="L20" s="138">
        <f t="shared" si="9"/>
        <v>0</v>
      </c>
      <c r="M20" s="138">
        <f t="shared" si="10"/>
        <v>0</v>
      </c>
      <c r="N20" s="138">
        <f t="shared" si="11"/>
        <v>0</v>
      </c>
      <c r="O20" s="138">
        <f t="shared" si="12"/>
        <v>0</v>
      </c>
      <c r="P20" s="154"/>
      <c r="Q20" s="141"/>
      <c r="R20" s="137"/>
      <c r="T20" s="219"/>
      <c r="U20" s="219"/>
    </row>
    <row r="21" spans="1:21" ht="15" x14ac:dyDescent="0.25">
      <c r="A21" s="139" t="s">
        <v>69</v>
      </c>
      <c r="B21" s="166" t="s">
        <v>373</v>
      </c>
      <c r="C21" s="217">
        <f t="shared" si="0"/>
        <v>54</v>
      </c>
      <c r="D21" s="217">
        <f t="shared" si="1"/>
        <v>0</v>
      </c>
      <c r="E21" s="217">
        <f t="shared" si="2"/>
        <v>65</v>
      </c>
      <c r="F21" s="217">
        <f t="shared" si="3"/>
        <v>0</v>
      </c>
      <c r="G21" s="217">
        <f t="shared" si="4"/>
        <v>378</v>
      </c>
      <c r="H21" s="217">
        <f t="shared" si="5"/>
        <v>0</v>
      </c>
      <c r="I21" s="217">
        <f t="shared" si="6"/>
        <v>86</v>
      </c>
      <c r="J21" s="217">
        <f t="shared" si="7"/>
        <v>0</v>
      </c>
      <c r="K21" s="217">
        <f t="shared" si="8"/>
        <v>290</v>
      </c>
      <c r="L21" s="217">
        <f t="shared" si="9"/>
        <v>0</v>
      </c>
      <c r="M21" s="217">
        <f t="shared" si="10"/>
        <v>107</v>
      </c>
      <c r="N21" s="217">
        <f t="shared" si="11"/>
        <v>0</v>
      </c>
      <c r="O21" s="217">
        <f>C21+E21+G21+I21+K21+M21</f>
        <v>980</v>
      </c>
      <c r="P21" s="9" t="s">
        <v>10</v>
      </c>
      <c r="Q21" s="141"/>
      <c r="R21" s="137">
        <f>O21*Q21</f>
        <v>0</v>
      </c>
      <c r="T21" s="219">
        <f>(14*20+10*12)/24</f>
        <v>16.666666666666668</v>
      </c>
      <c r="U21" s="219">
        <f>(29*12+26*9)/55</f>
        <v>10.581818181818182</v>
      </c>
    </row>
    <row r="22" spans="1:21" x14ac:dyDescent="0.2">
      <c r="A22" s="139"/>
      <c r="B22" s="166"/>
      <c r="C22" s="138">
        <f t="shared" si="0"/>
        <v>0</v>
      </c>
      <c r="D22" s="138">
        <f t="shared" si="1"/>
        <v>0</v>
      </c>
      <c r="E22" s="138">
        <f t="shared" si="2"/>
        <v>0</v>
      </c>
      <c r="F22" s="138">
        <f t="shared" si="3"/>
        <v>0</v>
      </c>
      <c r="G22" s="138">
        <f t="shared" si="4"/>
        <v>0</v>
      </c>
      <c r="H22" s="138">
        <f t="shared" si="5"/>
        <v>0</v>
      </c>
      <c r="I22" s="138">
        <f t="shared" si="6"/>
        <v>0</v>
      </c>
      <c r="J22" s="138">
        <f t="shared" si="7"/>
        <v>0</v>
      </c>
      <c r="K22" s="138">
        <f t="shared" si="8"/>
        <v>0</v>
      </c>
      <c r="L22" s="138">
        <f t="shared" si="9"/>
        <v>0</v>
      </c>
      <c r="M22" s="138">
        <f t="shared" si="10"/>
        <v>0</v>
      </c>
      <c r="N22" s="138">
        <f t="shared" si="11"/>
        <v>0</v>
      </c>
      <c r="O22" s="138">
        <f t="shared" si="12"/>
        <v>0</v>
      </c>
      <c r="P22" s="154"/>
      <c r="Q22" s="141"/>
      <c r="R22" s="137"/>
    </row>
    <row r="23" spans="1:21" x14ac:dyDescent="0.2">
      <c r="A23" s="139" t="s">
        <v>70</v>
      </c>
      <c r="B23" s="166" t="s">
        <v>371</v>
      </c>
      <c r="C23" s="138">
        <f t="shared" si="0"/>
        <v>1</v>
      </c>
      <c r="D23" s="138">
        <f t="shared" si="1"/>
        <v>0</v>
      </c>
      <c r="E23" s="138">
        <f t="shared" si="2"/>
        <v>1</v>
      </c>
      <c r="F23" s="138">
        <f t="shared" si="3"/>
        <v>0</v>
      </c>
      <c r="G23" s="138">
        <f t="shared" si="4"/>
        <v>5</v>
      </c>
      <c r="H23" s="138">
        <f t="shared" si="5"/>
        <v>0</v>
      </c>
      <c r="I23" s="138">
        <f t="shared" si="6"/>
        <v>1</v>
      </c>
      <c r="J23" s="138">
        <f t="shared" si="7"/>
        <v>0</v>
      </c>
      <c r="K23" s="138">
        <f t="shared" si="8"/>
        <v>4</v>
      </c>
      <c r="L23" s="138">
        <f t="shared" si="9"/>
        <v>0</v>
      </c>
      <c r="M23" s="138">
        <f t="shared" si="10"/>
        <v>1</v>
      </c>
      <c r="N23" s="138">
        <f t="shared" si="11"/>
        <v>0</v>
      </c>
      <c r="O23" s="138">
        <f>C23+E23+G23+I23+K23+M23</f>
        <v>13</v>
      </c>
      <c r="P23" s="9" t="s">
        <v>10</v>
      </c>
      <c r="Q23" s="141"/>
      <c r="R23" s="137">
        <f>O23*Q23</f>
        <v>0</v>
      </c>
      <c r="T23" s="142">
        <v>0.15</v>
      </c>
      <c r="U23" s="142">
        <v>0.15</v>
      </c>
    </row>
    <row r="24" spans="1:21" x14ac:dyDescent="0.2">
      <c r="A24" s="139"/>
      <c r="B24" s="165"/>
      <c r="C24" s="138">
        <f t="shared" si="0"/>
        <v>0</v>
      </c>
      <c r="D24" s="138">
        <f t="shared" si="1"/>
        <v>0</v>
      </c>
      <c r="E24" s="138">
        <f t="shared" si="2"/>
        <v>0</v>
      </c>
      <c r="F24" s="138">
        <f t="shared" si="3"/>
        <v>0</v>
      </c>
      <c r="G24" s="138">
        <f t="shared" si="4"/>
        <v>0</v>
      </c>
      <c r="H24" s="138">
        <f t="shared" si="5"/>
        <v>0</v>
      </c>
      <c r="I24" s="138">
        <f t="shared" si="6"/>
        <v>0</v>
      </c>
      <c r="J24" s="138">
        <f t="shared" si="7"/>
        <v>0</v>
      </c>
      <c r="K24" s="138">
        <f t="shared" si="8"/>
        <v>0</v>
      </c>
      <c r="L24" s="138">
        <f t="shared" si="9"/>
        <v>0</v>
      </c>
      <c r="M24" s="138">
        <f t="shared" si="10"/>
        <v>0</v>
      </c>
      <c r="N24" s="138">
        <f t="shared" si="11"/>
        <v>0</v>
      </c>
      <c r="O24" s="138">
        <f t="shared" si="12"/>
        <v>0</v>
      </c>
      <c r="P24" s="154"/>
      <c r="Q24" s="141"/>
      <c r="R24" s="137"/>
    </row>
    <row r="25" spans="1:21" x14ac:dyDescent="0.2">
      <c r="A25" s="139"/>
      <c r="B25" s="447" t="s">
        <v>305</v>
      </c>
      <c r="C25" s="138">
        <f t="shared" si="0"/>
        <v>0</v>
      </c>
      <c r="D25" s="138">
        <f t="shared" si="1"/>
        <v>0</v>
      </c>
      <c r="E25" s="138">
        <f t="shared" si="2"/>
        <v>0</v>
      </c>
      <c r="F25" s="138">
        <f t="shared" si="3"/>
        <v>0</v>
      </c>
      <c r="G25" s="138">
        <f t="shared" si="4"/>
        <v>0</v>
      </c>
      <c r="H25" s="138">
        <f t="shared" si="5"/>
        <v>0</v>
      </c>
      <c r="I25" s="138">
        <f t="shared" si="6"/>
        <v>0</v>
      </c>
      <c r="J25" s="138">
        <f t="shared" si="7"/>
        <v>0</v>
      </c>
      <c r="K25" s="138">
        <f t="shared" si="8"/>
        <v>0</v>
      </c>
      <c r="L25" s="138">
        <f t="shared" si="9"/>
        <v>0</v>
      </c>
      <c r="M25" s="138">
        <f t="shared" si="10"/>
        <v>0</v>
      </c>
      <c r="N25" s="138">
        <f t="shared" si="11"/>
        <v>0</v>
      </c>
      <c r="O25" s="138">
        <f t="shared" si="12"/>
        <v>0</v>
      </c>
      <c r="P25" s="154"/>
      <c r="Q25" s="141"/>
      <c r="R25" s="137"/>
    </row>
    <row r="26" spans="1:21" x14ac:dyDescent="0.2">
      <c r="A26" s="139"/>
      <c r="B26" s="24"/>
      <c r="C26" s="138"/>
      <c r="D26" s="138"/>
      <c r="E26" s="138"/>
      <c r="F26" s="138"/>
      <c r="G26" s="138"/>
      <c r="H26" s="138"/>
      <c r="I26" s="138"/>
      <c r="J26" s="138"/>
      <c r="K26" s="138"/>
      <c r="L26" s="138"/>
      <c r="M26" s="138"/>
      <c r="N26" s="138"/>
      <c r="O26" s="138"/>
      <c r="P26" s="154"/>
      <c r="Q26" s="141"/>
      <c r="R26" s="137"/>
    </row>
    <row r="27" spans="1:21" x14ac:dyDescent="0.2">
      <c r="A27" s="139" t="s">
        <v>71</v>
      </c>
      <c r="B27" s="166" t="s">
        <v>456</v>
      </c>
      <c r="C27" s="138">
        <f t="shared" ref="C27:C37" si="13">ROUND((2*$T27+2*$U27)*C$3,0)</f>
        <v>70</v>
      </c>
      <c r="D27" s="138">
        <f t="shared" ref="D27:D37" si="14">C27*$Q27</f>
        <v>0</v>
      </c>
      <c r="E27" s="138">
        <f t="shared" ref="E27:E37" si="15">ROUND((2*$T27+3*$U27)*E$3,0)</f>
        <v>92</v>
      </c>
      <c r="F27" s="138">
        <f t="shared" ref="F27:F37" si="16">E27*$Q27</f>
        <v>0</v>
      </c>
      <c r="G27" s="138">
        <f t="shared" ref="G27:G37" si="17">ROUND((2*$T27+4*$U27)*G$3,0)</f>
        <v>570</v>
      </c>
      <c r="H27" s="138">
        <f t="shared" ref="H27:H37" si="18">G27*$Q27</f>
        <v>0</v>
      </c>
      <c r="I27" s="138">
        <f t="shared" ref="I27:I37" si="19">ROUND((2*$T27+5*$U27)*I$3,0)</f>
        <v>136</v>
      </c>
      <c r="J27" s="138">
        <f t="shared" ref="J27:J37" si="20">I27*$Q27</f>
        <v>0</v>
      </c>
      <c r="K27" s="138">
        <f t="shared" ref="K27:K37" si="21">ROUND((2*$T27+6*$U27)*K$3,0)</f>
        <v>474</v>
      </c>
      <c r="L27" s="138">
        <f t="shared" ref="L27:L37" si="22">K27*$Q27</f>
        <v>0</v>
      </c>
      <c r="M27" s="138">
        <f t="shared" ref="M27:M37" si="23">ROUND((2*$T27+7*$U27)*M$3,0)</f>
        <v>180</v>
      </c>
      <c r="N27" s="138">
        <f t="shared" ref="N27:N37" si="24">M27*$Q27</f>
        <v>0</v>
      </c>
      <c r="O27" s="138">
        <f>C27+E27+G27+I27+K27+M27</f>
        <v>1522</v>
      </c>
      <c r="P27" s="9" t="s">
        <v>10</v>
      </c>
      <c r="Q27" s="141"/>
      <c r="R27" s="137">
        <f>O27*Q27</f>
        <v>0</v>
      </c>
      <c r="T27" s="142">
        <v>13</v>
      </c>
      <c r="U27" s="142">
        <v>22</v>
      </c>
    </row>
    <row r="28" spans="1:21" x14ac:dyDescent="0.2">
      <c r="A28" s="139"/>
      <c r="B28" s="24"/>
      <c r="C28" s="138">
        <f t="shared" si="13"/>
        <v>0</v>
      </c>
      <c r="D28" s="138">
        <f t="shared" si="14"/>
        <v>0</v>
      </c>
      <c r="E28" s="138">
        <f t="shared" si="15"/>
        <v>0</v>
      </c>
      <c r="F28" s="138">
        <f t="shared" si="16"/>
        <v>0</v>
      </c>
      <c r="G28" s="138">
        <f t="shared" si="17"/>
        <v>0</v>
      </c>
      <c r="H28" s="138">
        <f t="shared" si="18"/>
        <v>0</v>
      </c>
      <c r="I28" s="138">
        <f t="shared" si="19"/>
        <v>0</v>
      </c>
      <c r="J28" s="138">
        <f t="shared" si="20"/>
        <v>0</v>
      </c>
      <c r="K28" s="138">
        <f t="shared" si="21"/>
        <v>0</v>
      </c>
      <c r="L28" s="138">
        <f t="shared" si="22"/>
        <v>0</v>
      </c>
      <c r="M28" s="138">
        <f t="shared" si="23"/>
        <v>0</v>
      </c>
      <c r="N28" s="138">
        <f t="shared" si="24"/>
        <v>0</v>
      </c>
      <c r="O28" s="138">
        <f t="shared" ref="O28:O36" si="25">C28+E28+G28+I28+K28+M28</f>
        <v>0</v>
      </c>
      <c r="P28" s="154"/>
      <c r="Q28" s="141"/>
      <c r="R28" s="137"/>
    </row>
    <row r="29" spans="1:21" x14ac:dyDescent="0.2">
      <c r="A29" s="139" t="s">
        <v>72</v>
      </c>
      <c r="B29" s="166" t="s">
        <v>568</v>
      </c>
      <c r="C29" s="138">
        <f t="shared" si="13"/>
        <v>152</v>
      </c>
      <c r="D29" s="138">
        <f t="shared" si="14"/>
        <v>0</v>
      </c>
      <c r="E29" s="138">
        <f t="shared" si="15"/>
        <v>190</v>
      </c>
      <c r="F29" s="138">
        <f t="shared" si="16"/>
        <v>0</v>
      </c>
      <c r="G29" s="138">
        <f t="shared" si="17"/>
        <v>1140</v>
      </c>
      <c r="H29" s="138">
        <f t="shared" si="18"/>
        <v>0</v>
      </c>
      <c r="I29" s="138">
        <f t="shared" si="19"/>
        <v>266</v>
      </c>
      <c r="J29" s="138">
        <f t="shared" si="20"/>
        <v>0</v>
      </c>
      <c r="K29" s="138">
        <f t="shared" si="21"/>
        <v>912</v>
      </c>
      <c r="L29" s="138">
        <f t="shared" si="22"/>
        <v>0</v>
      </c>
      <c r="M29" s="138">
        <f t="shared" si="23"/>
        <v>342</v>
      </c>
      <c r="N29" s="138">
        <f t="shared" si="24"/>
        <v>0</v>
      </c>
      <c r="O29" s="138">
        <f>C29+E29+G29+I29+K29+M29</f>
        <v>3002</v>
      </c>
      <c r="P29" s="9" t="s">
        <v>10</v>
      </c>
      <c r="Q29" s="141"/>
      <c r="R29" s="137">
        <f>O29*Q29</f>
        <v>0</v>
      </c>
      <c r="T29" s="142">
        <v>38</v>
      </c>
      <c r="U29" s="142">
        <v>38</v>
      </c>
    </row>
    <row r="30" spans="1:21" x14ac:dyDescent="0.2">
      <c r="A30" s="139"/>
      <c r="B30" s="24"/>
      <c r="C30" s="138">
        <f t="shared" si="13"/>
        <v>0</v>
      </c>
      <c r="D30" s="138">
        <f t="shared" si="14"/>
        <v>0</v>
      </c>
      <c r="E30" s="138">
        <f t="shared" si="15"/>
        <v>0</v>
      </c>
      <c r="F30" s="138">
        <f t="shared" si="16"/>
        <v>0</v>
      </c>
      <c r="G30" s="138">
        <f t="shared" si="17"/>
        <v>0</v>
      </c>
      <c r="H30" s="138">
        <f t="shared" si="18"/>
        <v>0</v>
      </c>
      <c r="I30" s="138">
        <f t="shared" si="19"/>
        <v>0</v>
      </c>
      <c r="J30" s="138">
        <f t="shared" si="20"/>
        <v>0</v>
      </c>
      <c r="K30" s="138">
        <f t="shared" si="21"/>
        <v>0</v>
      </c>
      <c r="L30" s="138">
        <f t="shared" si="22"/>
        <v>0</v>
      </c>
      <c r="M30" s="138">
        <f t="shared" si="23"/>
        <v>0</v>
      </c>
      <c r="N30" s="138">
        <f t="shared" si="24"/>
        <v>0</v>
      </c>
      <c r="O30" s="138">
        <f t="shared" si="25"/>
        <v>0</v>
      </c>
      <c r="P30" s="154"/>
      <c r="Q30" s="141"/>
      <c r="R30" s="137"/>
    </row>
    <row r="31" spans="1:21" x14ac:dyDescent="0.2">
      <c r="A31" s="139" t="s">
        <v>73</v>
      </c>
      <c r="B31" s="166" t="s">
        <v>457</v>
      </c>
      <c r="C31" s="138">
        <f t="shared" si="13"/>
        <v>86</v>
      </c>
      <c r="D31" s="138">
        <f t="shared" si="14"/>
        <v>0</v>
      </c>
      <c r="E31" s="138">
        <f t="shared" si="15"/>
        <v>111</v>
      </c>
      <c r="F31" s="138">
        <f t="shared" si="16"/>
        <v>0</v>
      </c>
      <c r="G31" s="138">
        <f t="shared" si="17"/>
        <v>680</v>
      </c>
      <c r="H31" s="138">
        <f t="shared" si="18"/>
        <v>0</v>
      </c>
      <c r="I31" s="138">
        <f t="shared" si="19"/>
        <v>161</v>
      </c>
      <c r="J31" s="138">
        <f t="shared" si="20"/>
        <v>0</v>
      </c>
      <c r="K31" s="138">
        <f t="shared" si="21"/>
        <v>558</v>
      </c>
      <c r="L31" s="138">
        <f t="shared" si="22"/>
        <v>0</v>
      </c>
      <c r="M31" s="138">
        <f t="shared" si="23"/>
        <v>211</v>
      </c>
      <c r="N31" s="138">
        <f t="shared" si="24"/>
        <v>0</v>
      </c>
      <c r="O31" s="138">
        <f>C31+E31+G31+I31+K31+M31</f>
        <v>1807</v>
      </c>
      <c r="P31" s="9" t="s">
        <v>10</v>
      </c>
      <c r="Q31" s="141"/>
      <c r="R31" s="137">
        <f>O31*Q31</f>
        <v>0</v>
      </c>
      <c r="T31" s="142">
        <v>18</v>
      </c>
      <c r="U31" s="142">
        <v>25</v>
      </c>
    </row>
    <row r="32" spans="1:21" x14ac:dyDescent="0.2">
      <c r="A32" s="139"/>
      <c r="B32" s="24"/>
      <c r="C32" s="138">
        <f t="shared" si="13"/>
        <v>0</v>
      </c>
      <c r="D32" s="138">
        <f t="shared" si="14"/>
        <v>0</v>
      </c>
      <c r="E32" s="138">
        <f t="shared" si="15"/>
        <v>0</v>
      </c>
      <c r="F32" s="138">
        <f t="shared" si="16"/>
        <v>0</v>
      </c>
      <c r="G32" s="138">
        <f t="shared" si="17"/>
        <v>0</v>
      </c>
      <c r="H32" s="138">
        <f t="shared" si="18"/>
        <v>0</v>
      </c>
      <c r="I32" s="138">
        <f t="shared" si="19"/>
        <v>0</v>
      </c>
      <c r="J32" s="138">
        <f t="shared" si="20"/>
        <v>0</v>
      </c>
      <c r="K32" s="138">
        <f t="shared" si="21"/>
        <v>0</v>
      </c>
      <c r="L32" s="138">
        <f t="shared" si="22"/>
        <v>0</v>
      </c>
      <c r="M32" s="138">
        <f t="shared" si="23"/>
        <v>0</v>
      </c>
      <c r="N32" s="138">
        <f t="shared" si="24"/>
        <v>0</v>
      </c>
      <c r="O32" s="138">
        <f t="shared" si="25"/>
        <v>0</v>
      </c>
      <c r="P32" s="154"/>
      <c r="Q32" s="141"/>
      <c r="R32" s="137"/>
    </row>
    <row r="33" spans="1:21" x14ac:dyDescent="0.2">
      <c r="A33" s="139" t="s">
        <v>74</v>
      </c>
      <c r="B33" s="166" t="s">
        <v>458</v>
      </c>
      <c r="C33" s="138">
        <f t="shared" si="13"/>
        <v>98</v>
      </c>
      <c r="D33" s="138">
        <f t="shared" si="14"/>
        <v>0</v>
      </c>
      <c r="E33" s="138">
        <f t="shared" si="15"/>
        <v>129</v>
      </c>
      <c r="F33" s="138">
        <f t="shared" si="16"/>
        <v>0</v>
      </c>
      <c r="G33" s="138">
        <f t="shared" si="17"/>
        <v>800</v>
      </c>
      <c r="H33" s="138">
        <f t="shared" si="18"/>
        <v>0</v>
      </c>
      <c r="I33" s="138">
        <f t="shared" si="19"/>
        <v>191</v>
      </c>
      <c r="J33" s="138">
        <f t="shared" si="20"/>
        <v>0</v>
      </c>
      <c r="K33" s="138">
        <f t="shared" si="21"/>
        <v>666</v>
      </c>
      <c r="L33" s="138">
        <f t="shared" si="22"/>
        <v>0</v>
      </c>
      <c r="M33" s="138">
        <f t="shared" si="23"/>
        <v>253</v>
      </c>
      <c r="N33" s="138">
        <f t="shared" si="24"/>
        <v>0</v>
      </c>
      <c r="O33" s="138">
        <f>C33+E33+G33+I33+K33+M33</f>
        <v>2137</v>
      </c>
      <c r="P33" s="9" t="s">
        <v>10</v>
      </c>
      <c r="Q33" s="141"/>
      <c r="R33" s="137">
        <f>O33*Q33</f>
        <v>0</v>
      </c>
      <c r="T33" s="142">
        <v>18</v>
      </c>
      <c r="U33" s="142">
        <v>31</v>
      </c>
    </row>
    <row r="34" spans="1:21" x14ac:dyDescent="0.2">
      <c r="A34" s="139"/>
      <c r="B34" s="165"/>
      <c r="C34" s="138">
        <f t="shared" si="13"/>
        <v>0</v>
      </c>
      <c r="D34" s="138">
        <f t="shared" si="14"/>
        <v>0</v>
      </c>
      <c r="E34" s="138">
        <f t="shared" si="15"/>
        <v>0</v>
      </c>
      <c r="F34" s="138">
        <f t="shared" si="16"/>
        <v>0</v>
      </c>
      <c r="G34" s="138">
        <f t="shared" si="17"/>
        <v>0</v>
      </c>
      <c r="H34" s="138">
        <f t="shared" si="18"/>
        <v>0</v>
      </c>
      <c r="I34" s="138">
        <f t="shared" si="19"/>
        <v>0</v>
      </c>
      <c r="J34" s="138">
        <f t="shared" si="20"/>
        <v>0</v>
      </c>
      <c r="K34" s="138">
        <f t="shared" si="21"/>
        <v>0</v>
      </c>
      <c r="L34" s="138">
        <f t="shared" si="22"/>
        <v>0</v>
      </c>
      <c r="M34" s="138">
        <f t="shared" si="23"/>
        <v>0</v>
      </c>
      <c r="N34" s="138">
        <f t="shared" si="24"/>
        <v>0</v>
      </c>
      <c r="O34" s="138">
        <f t="shared" si="25"/>
        <v>0</v>
      </c>
      <c r="P34" s="154"/>
      <c r="Q34" s="141"/>
      <c r="R34" s="137"/>
    </row>
    <row r="35" spans="1:21" x14ac:dyDescent="0.2">
      <c r="A35" s="139"/>
      <c r="B35" s="447" t="s">
        <v>307</v>
      </c>
      <c r="C35" s="138">
        <f t="shared" si="13"/>
        <v>0</v>
      </c>
      <c r="D35" s="138">
        <f t="shared" si="14"/>
        <v>0</v>
      </c>
      <c r="E35" s="138">
        <f t="shared" si="15"/>
        <v>0</v>
      </c>
      <c r="F35" s="138">
        <f t="shared" si="16"/>
        <v>0</v>
      </c>
      <c r="G35" s="138">
        <f t="shared" si="17"/>
        <v>0</v>
      </c>
      <c r="H35" s="138">
        <f t="shared" si="18"/>
        <v>0</v>
      </c>
      <c r="I35" s="138">
        <f t="shared" si="19"/>
        <v>0</v>
      </c>
      <c r="J35" s="138">
        <f t="shared" si="20"/>
        <v>0</v>
      </c>
      <c r="K35" s="138">
        <f t="shared" si="21"/>
        <v>0</v>
      </c>
      <c r="L35" s="138">
        <f t="shared" si="22"/>
        <v>0</v>
      </c>
      <c r="M35" s="138">
        <f t="shared" si="23"/>
        <v>0</v>
      </c>
      <c r="N35" s="138">
        <f t="shared" si="24"/>
        <v>0</v>
      </c>
      <c r="O35" s="138">
        <f t="shared" si="25"/>
        <v>0</v>
      </c>
      <c r="P35" s="154"/>
      <c r="Q35" s="141"/>
      <c r="R35" s="137"/>
    </row>
    <row r="36" spans="1:21" x14ac:dyDescent="0.2">
      <c r="A36" s="139"/>
      <c r="B36" s="136"/>
      <c r="C36" s="138">
        <f t="shared" si="13"/>
        <v>0</v>
      </c>
      <c r="D36" s="138">
        <f t="shared" si="14"/>
        <v>0</v>
      </c>
      <c r="E36" s="138">
        <f t="shared" si="15"/>
        <v>0</v>
      </c>
      <c r="F36" s="138">
        <f t="shared" si="16"/>
        <v>0</v>
      </c>
      <c r="G36" s="138">
        <f t="shared" si="17"/>
        <v>0</v>
      </c>
      <c r="H36" s="138">
        <f t="shared" si="18"/>
        <v>0</v>
      </c>
      <c r="I36" s="138">
        <f t="shared" si="19"/>
        <v>0</v>
      </c>
      <c r="J36" s="138">
        <f t="shared" si="20"/>
        <v>0</v>
      </c>
      <c r="K36" s="138">
        <f t="shared" si="21"/>
        <v>0</v>
      </c>
      <c r="L36" s="138">
        <f t="shared" si="22"/>
        <v>0</v>
      </c>
      <c r="M36" s="138">
        <f t="shared" si="23"/>
        <v>0</v>
      </c>
      <c r="N36" s="138">
        <f t="shared" si="24"/>
        <v>0</v>
      </c>
      <c r="O36" s="138">
        <f t="shared" si="25"/>
        <v>0</v>
      </c>
      <c r="P36" s="154"/>
      <c r="Q36" s="141"/>
      <c r="R36" s="137"/>
    </row>
    <row r="37" spans="1:21" x14ac:dyDescent="0.2">
      <c r="A37" s="139" t="s">
        <v>75</v>
      </c>
      <c r="B37" s="12" t="s">
        <v>460</v>
      </c>
      <c r="C37" s="138">
        <f t="shared" si="13"/>
        <v>12</v>
      </c>
      <c r="D37" s="138">
        <f t="shared" si="14"/>
        <v>0</v>
      </c>
      <c r="E37" s="138">
        <f t="shared" si="15"/>
        <v>15</v>
      </c>
      <c r="F37" s="138">
        <f t="shared" si="16"/>
        <v>0</v>
      </c>
      <c r="G37" s="138">
        <f t="shared" si="17"/>
        <v>90</v>
      </c>
      <c r="H37" s="138">
        <f t="shared" si="18"/>
        <v>0</v>
      </c>
      <c r="I37" s="138">
        <f t="shared" si="19"/>
        <v>21</v>
      </c>
      <c r="J37" s="138">
        <f t="shared" si="20"/>
        <v>0</v>
      </c>
      <c r="K37" s="138">
        <f t="shared" si="21"/>
        <v>72</v>
      </c>
      <c r="L37" s="138">
        <f t="shared" si="22"/>
        <v>0</v>
      </c>
      <c r="M37" s="138">
        <f t="shared" si="23"/>
        <v>27</v>
      </c>
      <c r="N37" s="138">
        <f t="shared" si="24"/>
        <v>0</v>
      </c>
      <c r="O37" s="138">
        <f>C37+E37+G37+I37+K37+M37</f>
        <v>237</v>
      </c>
      <c r="P37" s="9" t="s">
        <v>10</v>
      </c>
      <c r="Q37" s="141"/>
      <c r="R37" s="137">
        <f>O37*Q37</f>
        <v>0</v>
      </c>
      <c r="T37" s="142">
        <v>3</v>
      </c>
      <c r="U37" s="142">
        <v>3</v>
      </c>
    </row>
    <row r="38" spans="1:21" x14ac:dyDescent="0.2">
      <c r="A38" s="139"/>
      <c r="B38" s="136"/>
      <c r="C38" s="138">
        <f t="shared" ref="C38:C43" si="26">ROUND((2*$T38+2*$U38)*C$3,0)</f>
        <v>0</v>
      </c>
      <c r="D38" s="138">
        <f t="shared" ref="D38:D43" si="27">C38*$Q38</f>
        <v>0</v>
      </c>
      <c r="E38" s="138">
        <f t="shared" ref="E38:E43" si="28">ROUND((2*$T38+3*$U38)*E$3,0)</f>
        <v>0</v>
      </c>
      <c r="F38" s="138">
        <f t="shared" ref="F38:F43" si="29">E38*$Q38</f>
        <v>0</v>
      </c>
      <c r="G38" s="138">
        <f t="shared" ref="G38:G43" si="30">ROUND((2*$T38+4*$U38)*G$3,0)</f>
        <v>0</v>
      </c>
      <c r="H38" s="138">
        <f t="shared" ref="H38:H43" si="31">G38*$Q38</f>
        <v>0</v>
      </c>
      <c r="I38" s="138">
        <f t="shared" ref="I38:I43" si="32">ROUND((2*$T38+5*$U38)*I$3,0)</f>
        <v>0</v>
      </c>
      <c r="J38" s="138">
        <f t="shared" ref="J38:J43" si="33">I38*$Q38</f>
        <v>0</v>
      </c>
      <c r="K38" s="138">
        <f t="shared" ref="K38:K43" si="34">ROUND((2*$T38+6*$U38)*K$3,0)</f>
        <v>0</v>
      </c>
      <c r="L38" s="138">
        <f t="shared" ref="L38:L43" si="35">K38*$Q38</f>
        <v>0</v>
      </c>
      <c r="M38" s="138">
        <f t="shared" ref="M38:M43" si="36">ROUND((2*$T38+7*$U38)*M$3,0)</f>
        <v>0</v>
      </c>
      <c r="N38" s="138">
        <f t="shared" ref="N38:N43" si="37">M38*$Q38</f>
        <v>0</v>
      </c>
      <c r="O38" s="138">
        <f t="shared" ref="O38:O42" si="38">C38+E38+G38+I38+K38+M38</f>
        <v>0</v>
      </c>
      <c r="P38" s="154"/>
      <c r="Q38" s="141"/>
      <c r="R38" s="137"/>
    </row>
    <row r="39" spans="1:21" x14ac:dyDescent="0.2">
      <c r="A39" s="139" t="s">
        <v>76</v>
      </c>
      <c r="B39" s="12" t="s">
        <v>459</v>
      </c>
      <c r="C39" s="138">
        <f t="shared" si="26"/>
        <v>104</v>
      </c>
      <c r="D39" s="138">
        <f t="shared" si="27"/>
        <v>0</v>
      </c>
      <c r="E39" s="138">
        <f t="shared" si="28"/>
        <v>128</v>
      </c>
      <c r="F39" s="138">
        <f t="shared" si="29"/>
        <v>0</v>
      </c>
      <c r="G39" s="138">
        <f t="shared" si="30"/>
        <v>760</v>
      </c>
      <c r="H39" s="138">
        <f t="shared" si="31"/>
        <v>0</v>
      </c>
      <c r="I39" s="138">
        <f t="shared" si="32"/>
        <v>176</v>
      </c>
      <c r="J39" s="138">
        <f t="shared" si="33"/>
        <v>0</v>
      </c>
      <c r="K39" s="138">
        <f t="shared" si="34"/>
        <v>600</v>
      </c>
      <c r="L39" s="138">
        <f t="shared" si="35"/>
        <v>0</v>
      </c>
      <c r="M39" s="138">
        <f t="shared" si="36"/>
        <v>224</v>
      </c>
      <c r="N39" s="138">
        <f t="shared" si="37"/>
        <v>0</v>
      </c>
      <c r="O39" s="138">
        <f>C39+E39+G39+I39+K39+M39</f>
        <v>1992</v>
      </c>
      <c r="P39" s="9" t="s">
        <v>10</v>
      </c>
      <c r="Q39" s="141"/>
      <c r="R39" s="137">
        <f>O39*Q39</f>
        <v>0</v>
      </c>
      <c r="T39" s="142">
        <v>28</v>
      </c>
      <c r="U39" s="142">
        <v>24</v>
      </c>
    </row>
    <row r="40" spans="1:21" x14ac:dyDescent="0.2">
      <c r="A40" s="139"/>
      <c r="B40" s="166"/>
      <c r="C40" s="138">
        <f t="shared" si="26"/>
        <v>0</v>
      </c>
      <c r="D40" s="138">
        <f t="shared" si="27"/>
        <v>0</v>
      </c>
      <c r="E40" s="138">
        <f t="shared" si="28"/>
        <v>0</v>
      </c>
      <c r="F40" s="138">
        <f t="shared" si="29"/>
        <v>0</v>
      </c>
      <c r="G40" s="138">
        <f t="shared" si="30"/>
        <v>0</v>
      </c>
      <c r="H40" s="138">
        <f t="shared" si="31"/>
        <v>0</v>
      </c>
      <c r="I40" s="138">
        <f t="shared" si="32"/>
        <v>0</v>
      </c>
      <c r="J40" s="138">
        <f t="shared" si="33"/>
        <v>0</v>
      </c>
      <c r="K40" s="138">
        <f t="shared" si="34"/>
        <v>0</v>
      </c>
      <c r="L40" s="138">
        <f t="shared" si="35"/>
        <v>0</v>
      </c>
      <c r="M40" s="138">
        <f t="shared" si="36"/>
        <v>0</v>
      </c>
      <c r="N40" s="138">
        <f t="shared" si="37"/>
        <v>0</v>
      </c>
      <c r="O40" s="138">
        <f t="shared" si="38"/>
        <v>0</v>
      </c>
      <c r="P40" s="154"/>
      <c r="Q40" s="141"/>
      <c r="R40" s="137"/>
    </row>
    <row r="41" spans="1:21" x14ac:dyDescent="0.2">
      <c r="A41" s="139" t="s">
        <v>77</v>
      </c>
      <c r="B41" s="166" t="s">
        <v>550</v>
      </c>
      <c r="C41" s="217">
        <f t="shared" si="26"/>
        <v>18</v>
      </c>
      <c r="D41" s="217">
        <f t="shared" si="27"/>
        <v>0</v>
      </c>
      <c r="E41" s="217">
        <f t="shared" si="28"/>
        <v>27</v>
      </c>
      <c r="F41" s="217">
        <f t="shared" si="29"/>
        <v>0</v>
      </c>
      <c r="G41" s="217">
        <f t="shared" si="30"/>
        <v>180</v>
      </c>
      <c r="H41" s="217">
        <f t="shared" si="31"/>
        <v>0</v>
      </c>
      <c r="I41" s="217">
        <f t="shared" si="32"/>
        <v>45</v>
      </c>
      <c r="J41" s="217">
        <f t="shared" si="33"/>
        <v>0</v>
      </c>
      <c r="K41" s="217">
        <f t="shared" si="34"/>
        <v>162</v>
      </c>
      <c r="L41" s="217">
        <f t="shared" si="35"/>
        <v>0</v>
      </c>
      <c r="M41" s="217">
        <f t="shared" si="36"/>
        <v>63</v>
      </c>
      <c r="N41" s="217">
        <f t="shared" si="37"/>
        <v>0</v>
      </c>
      <c r="O41" s="217">
        <f>C41+E41+G41+I41+K41+M41</f>
        <v>495</v>
      </c>
      <c r="P41" s="9" t="s">
        <v>10</v>
      </c>
      <c r="Q41" s="141"/>
      <c r="R41" s="137">
        <f>O41*Q41</f>
        <v>0</v>
      </c>
      <c r="U41" s="213">
        <v>9</v>
      </c>
    </row>
    <row r="42" spans="1:21" x14ac:dyDescent="0.2">
      <c r="A42" s="139"/>
      <c r="B42" s="136"/>
      <c r="C42" s="138">
        <f t="shared" si="26"/>
        <v>0</v>
      </c>
      <c r="D42" s="138">
        <f t="shared" si="27"/>
        <v>0</v>
      </c>
      <c r="E42" s="138">
        <f t="shared" si="28"/>
        <v>0</v>
      </c>
      <c r="F42" s="138">
        <f t="shared" si="29"/>
        <v>0</v>
      </c>
      <c r="G42" s="138">
        <f t="shared" si="30"/>
        <v>0</v>
      </c>
      <c r="H42" s="138">
        <f t="shared" si="31"/>
        <v>0</v>
      </c>
      <c r="I42" s="138">
        <f t="shared" si="32"/>
        <v>0</v>
      </c>
      <c r="J42" s="138">
        <f t="shared" si="33"/>
        <v>0</v>
      </c>
      <c r="K42" s="138">
        <f t="shared" si="34"/>
        <v>0</v>
      </c>
      <c r="L42" s="138">
        <f t="shared" si="35"/>
        <v>0</v>
      </c>
      <c r="M42" s="138">
        <f t="shared" si="36"/>
        <v>0</v>
      </c>
      <c r="N42" s="138">
        <f t="shared" si="37"/>
        <v>0</v>
      </c>
      <c r="O42" s="138">
        <f t="shared" si="38"/>
        <v>0</v>
      </c>
      <c r="P42" s="154"/>
      <c r="Q42" s="141"/>
      <c r="R42" s="137"/>
      <c r="U42" s="213"/>
    </row>
    <row r="43" spans="1:21" x14ac:dyDescent="0.2">
      <c r="A43" s="139" t="s">
        <v>79</v>
      </c>
      <c r="B43" s="12" t="s">
        <v>461</v>
      </c>
      <c r="C43" s="217">
        <f t="shared" si="26"/>
        <v>2</v>
      </c>
      <c r="D43" s="217">
        <f t="shared" si="27"/>
        <v>0</v>
      </c>
      <c r="E43" s="217">
        <f t="shared" si="28"/>
        <v>3</v>
      </c>
      <c r="F43" s="217">
        <f t="shared" si="29"/>
        <v>0</v>
      </c>
      <c r="G43" s="217">
        <f t="shared" si="30"/>
        <v>20</v>
      </c>
      <c r="H43" s="217">
        <f t="shared" si="31"/>
        <v>0</v>
      </c>
      <c r="I43" s="217">
        <f t="shared" si="32"/>
        <v>5</v>
      </c>
      <c r="J43" s="217">
        <f t="shared" si="33"/>
        <v>0</v>
      </c>
      <c r="K43" s="217">
        <f t="shared" si="34"/>
        <v>18</v>
      </c>
      <c r="L43" s="217">
        <f t="shared" si="35"/>
        <v>0</v>
      </c>
      <c r="M43" s="217">
        <f t="shared" si="36"/>
        <v>7</v>
      </c>
      <c r="N43" s="217">
        <f t="shared" si="37"/>
        <v>0</v>
      </c>
      <c r="O43" s="217">
        <f>C43+E43+G43+I43+K43+M43</f>
        <v>55</v>
      </c>
      <c r="P43" s="9" t="s">
        <v>10</v>
      </c>
      <c r="Q43" s="141"/>
      <c r="R43" s="137">
        <f>O43*Q43</f>
        <v>0</v>
      </c>
      <c r="U43" s="213">
        <v>1</v>
      </c>
    </row>
    <row r="44" spans="1:21" x14ac:dyDescent="0.2">
      <c r="A44" s="139"/>
      <c r="B44" s="12"/>
      <c r="C44" s="138"/>
      <c r="D44" s="138"/>
      <c r="E44" s="138"/>
      <c r="F44" s="138"/>
      <c r="G44" s="138"/>
      <c r="H44" s="138"/>
      <c r="I44" s="138"/>
      <c r="J44" s="138"/>
      <c r="K44" s="138"/>
      <c r="L44" s="138"/>
      <c r="M44" s="138"/>
      <c r="N44" s="138"/>
      <c r="O44" s="138"/>
      <c r="P44" s="9"/>
      <c r="Q44" s="141"/>
      <c r="R44" s="137"/>
    </row>
    <row r="45" spans="1:21" x14ac:dyDescent="0.2">
      <c r="A45" s="139"/>
      <c r="B45" s="12"/>
      <c r="C45" s="138"/>
      <c r="D45" s="138"/>
      <c r="E45" s="138"/>
      <c r="F45" s="138"/>
      <c r="G45" s="138"/>
      <c r="H45" s="138"/>
      <c r="I45" s="138"/>
      <c r="J45" s="138"/>
      <c r="K45" s="138"/>
      <c r="L45" s="138"/>
      <c r="M45" s="138"/>
      <c r="N45" s="138"/>
      <c r="O45" s="138"/>
      <c r="P45" s="9"/>
      <c r="Q45" s="141"/>
      <c r="R45" s="137"/>
    </row>
    <row r="46" spans="1:21" ht="9.75" customHeight="1" x14ac:dyDescent="0.2">
      <c r="A46" s="87"/>
      <c r="B46" s="187"/>
      <c r="C46" s="128"/>
      <c r="D46" s="120"/>
      <c r="E46" s="120"/>
      <c r="F46" s="120"/>
      <c r="G46" s="120"/>
      <c r="H46" s="120"/>
      <c r="I46" s="120"/>
      <c r="J46" s="120"/>
      <c r="K46" s="120"/>
      <c r="L46" s="120"/>
      <c r="M46" s="120"/>
      <c r="N46" s="120"/>
      <c r="O46" s="120"/>
      <c r="P46" s="154"/>
      <c r="Q46" s="141"/>
      <c r="R46" s="137"/>
    </row>
    <row r="47" spans="1:21" x14ac:dyDescent="0.2">
      <c r="A47" s="129"/>
      <c r="B47" s="130"/>
      <c r="C47" s="131"/>
      <c r="D47" s="131"/>
      <c r="E47" s="131"/>
      <c r="F47" s="131"/>
      <c r="G47" s="131"/>
      <c r="H47" s="131"/>
      <c r="I47" s="131"/>
      <c r="J47" s="131"/>
      <c r="K47" s="131"/>
      <c r="L47" s="131"/>
      <c r="M47" s="131"/>
      <c r="N47" s="131"/>
      <c r="O47" s="131"/>
      <c r="P47" s="131"/>
      <c r="Q47" s="132"/>
      <c r="R47" s="126"/>
      <c r="T47" s="134"/>
      <c r="U47" s="134"/>
    </row>
    <row r="48" spans="1:21" x14ac:dyDescent="0.2">
      <c r="C48" s="122"/>
      <c r="D48" s="122"/>
      <c r="E48" s="122"/>
      <c r="F48" s="122"/>
      <c r="G48" s="122"/>
      <c r="H48" s="122"/>
      <c r="I48" s="122"/>
      <c r="J48" s="122"/>
      <c r="K48" s="122"/>
      <c r="L48" s="122"/>
      <c r="M48" s="122"/>
      <c r="N48" s="122"/>
      <c r="O48" s="122"/>
      <c r="P48" s="171" t="s">
        <v>1</v>
      </c>
      <c r="Q48" s="133" t="s">
        <v>0</v>
      </c>
      <c r="R48" s="137">
        <f>SUM(R4:R46)</f>
        <v>0</v>
      </c>
      <c r="T48" s="135"/>
      <c r="U48" s="135"/>
    </row>
    <row r="49" spans="1:21" x14ac:dyDescent="0.2">
      <c r="P49" s="188"/>
      <c r="Q49" s="124"/>
      <c r="R49" s="125"/>
    </row>
    <row r="50" spans="1:21" x14ac:dyDescent="0.2">
      <c r="A50" s="139"/>
      <c r="B50" s="136"/>
      <c r="C50" s="128"/>
      <c r="D50" s="120"/>
      <c r="E50" s="120"/>
      <c r="F50" s="120"/>
      <c r="G50" s="120"/>
      <c r="H50" s="120"/>
      <c r="I50" s="120"/>
      <c r="J50" s="120"/>
      <c r="K50" s="120"/>
      <c r="L50" s="120"/>
      <c r="M50" s="120"/>
      <c r="N50" s="120"/>
      <c r="O50" s="120"/>
      <c r="P50" s="154"/>
      <c r="Q50" s="141"/>
      <c r="R50" s="137"/>
    </row>
    <row r="51" spans="1:21" x14ac:dyDescent="0.2">
      <c r="A51" s="139"/>
      <c r="B51" s="111" t="s">
        <v>102</v>
      </c>
      <c r="C51" s="128"/>
      <c r="D51" s="120"/>
      <c r="E51" s="120"/>
      <c r="F51" s="120"/>
      <c r="G51" s="120"/>
      <c r="H51" s="120"/>
      <c r="I51" s="120"/>
      <c r="J51" s="120"/>
      <c r="K51" s="120"/>
      <c r="L51" s="120"/>
      <c r="M51" s="120"/>
      <c r="N51" s="120"/>
      <c r="O51" s="120"/>
      <c r="P51" s="154"/>
      <c r="Q51" s="141"/>
      <c r="R51" s="137"/>
    </row>
    <row r="52" spans="1:21" x14ac:dyDescent="0.2">
      <c r="A52" s="139"/>
      <c r="B52" s="136"/>
      <c r="C52" s="138">
        <f t="shared" ref="C52:C79" si="39">ROUND((2*$T52+2*$U52)*C$3,0)</f>
        <v>0</v>
      </c>
      <c r="D52" s="138">
        <f t="shared" ref="D52:D79" si="40">C52*$Q52</f>
        <v>0</v>
      </c>
      <c r="E52" s="138">
        <f t="shared" ref="E52:E79" si="41">ROUND((2*$T52+3*$U52)*E$3,0)</f>
        <v>0</v>
      </c>
      <c r="F52" s="138">
        <f t="shared" ref="F52:F79" si="42">E52*$Q52</f>
        <v>0</v>
      </c>
      <c r="G52" s="138">
        <f t="shared" ref="G52:G79" si="43">ROUND((2*$T52+4*$U52)*G$3,0)</f>
        <v>0</v>
      </c>
      <c r="H52" s="138">
        <f t="shared" ref="H52:H79" si="44">G52*$Q52</f>
        <v>0</v>
      </c>
      <c r="I52" s="138">
        <f t="shared" ref="I52:I79" si="45">ROUND((2*$T52+5*$U52)*I$3,0)</f>
        <v>0</v>
      </c>
      <c r="J52" s="138">
        <f t="shared" ref="J52:J79" si="46">I52*$Q52</f>
        <v>0</v>
      </c>
      <c r="K52" s="138">
        <f t="shared" ref="K52:K79" si="47">ROUND((2*$T52+6*$U52)*K$3,0)</f>
        <v>0</v>
      </c>
      <c r="L52" s="138">
        <f t="shared" ref="L52:L79" si="48">K52*$Q52</f>
        <v>0</v>
      </c>
      <c r="M52" s="138">
        <f t="shared" ref="M52:M79" si="49">ROUND((2*$T52+7*$U52)*M$3,0)</f>
        <v>0</v>
      </c>
      <c r="N52" s="138">
        <f t="shared" ref="N52:N79" si="50">M52*$Q52</f>
        <v>0</v>
      </c>
      <c r="O52" s="138">
        <f t="shared" ref="O52:O78" si="51">C52+E52+G52+I52+K52+M52</f>
        <v>0</v>
      </c>
      <c r="P52" s="154"/>
      <c r="Q52" s="141"/>
      <c r="R52" s="137"/>
    </row>
    <row r="53" spans="1:21" ht="57" x14ac:dyDescent="0.2">
      <c r="A53" s="139"/>
      <c r="B53" s="165" t="s">
        <v>300</v>
      </c>
      <c r="C53" s="138">
        <f t="shared" si="39"/>
        <v>0</v>
      </c>
      <c r="D53" s="138">
        <f t="shared" si="40"/>
        <v>0</v>
      </c>
      <c r="E53" s="138">
        <f t="shared" si="41"/>
        <v>0</v>
      </c>
      <c r="F53" s="138">
        <f t="shared" si="42"/>
        <v>0</v>
      </c>
      <c r="G53" s="138">
        <f t="shared" si="43"/>
        <v>0</v>
      </c>
      <c r="H53" s="138">
        <f t="shared" si="44"/>
        <v>0</v>
      </c>
      <c r="I53" s="138">
        <f t="shared" si="45"/>
        <v>0</v>
      </c>
      <c r="J53" s="138">
        <f t="shared" si="46"/>
        <v>0</v>
      </c>
      <c r="K53" s="138">
        <f t="shared" si="47"/>
        <v>0</v>
      </c>
      <c r="L53" s="138">
        <f t="shared" si="48"/>
        <v>0</v>
      </c>
      <c r="M53" s="138">
        <f t="shared" si="49"/>
        <v>0</v>
      </c>
      <c r="N53" s="138">
        <f t="shared" si="50"/>
        <v>0</v>
      </c>
      <c r="O53" s="138">
        <f t="shared" si="51"/>
        <v>0</v>
      </c>
      <c r="P53" s="154"/>
      <c r="Q53" s="141"/>
      <c r="R53" s="137"/>
    </row>
    <row r="54" spans="1:21" x14ac:dyDescent="0.2">
      <c r="A54" s="139"/>
      <c r="B54" s="165"/>
      <c r="C54" s="138">
        <f t="shared" si="39"/>
        <v>0</v>
      </c>
      <c r="D54" s="138">
        <f t="shared" si="40"/>
        <v>0</v>
      </c>
      <c r="E54" s="138">
        <f t="shared" si="41"/>
        <v>0</v>
      </c>
      <c r="F54" s="138">
        <f t="shared" si="42"/>
        <v>0</v>
      </c>
      <c r="G54" s="138">
        <f t="shared" si="43"/>
        <v>0</v>
      </c>
      <c r="H54" s="138">
        <f t="shared" si="44"/>
        <v>0</v>
      </c>
      <c r="I54" s="138">
        <f t="shared" si="45"/>
        <v>0</v>
      </c>
      <c r="J54" s="138">
        <f t="shared" si="46"/>
        <v>0</v>
      </c>
      <c r="K54" s="138">
        <f t="shared" si="47"/>
        <v>0</v>
      </c>
      <c r="L54" s="138">
        <f t="shared" si="48"/>
        <v>0</v>
      </c>
      <c r="M54" s="138">
        <f t="shared" si="49"/>
        <v>0</v>
      </c>
      <c r="N54" s="138">
        <f t="shared" si="50"/>
        <v>0</v>
      </c>
      <c r="O54" s="138">
        <f t="shared" si="51"/>
        <v>0</v>
      </c>
      <c r="P54" s="154"/>
      <c r="Q54" s="141"/>
      <c r="R54" s="137"/>
    </row>
    <row r="55" spans="1:21" x14ac:dyDescent="0.2">
      <c r="A55" s="139"/>
      <c r="B55" s="447" t="s">
        <v>305</v>
      </c>
      <c r="C55" s="138">
        <f t="shared" si="39"/>
        <v>0</v>
      </c>
      <c r="D55" s="138">
        <f t="shared" si="40"/>
        <v>0</v>
      </c>
      <c r="E55" s="138">
        <f t="shared" si="41"/>
        <v>0</v>
      </c>
      <c r="F55" s="138">
        <f t="shared" si="42"/>
        <v>0</v>
      </c>
      <c r="G55" s="138">
        <f t="shared" si="43"/>
        <v>0</v>
      </c>
      <c r="H55" s="138">
        <f t="shared" si="44"/>
        <v>0</v>
      </c>
      <c r="I55" s="138">
        <f t="shared" si="45"/>
        <v>0</v>
      </c>
      <c r="J55" s="138">
        <f t="shared" si="46"/>
        <v>0</v>
      </c>
      <c r="K55" s="138">
        <f t="shared" si="47"/>
        <v>0</v>
      </c>
      <c r="L55" s="138">
        <f t="shared" si="48"/>
        <v>0</v>
      </c>
      <c r="M55" s="138">
        <f t="shared" si="49"/>
        <v>0</v>
      </c>
      <c r="N55" s="138">
        <f t="shared" si="50"/>
        <v>0</v>
      </c>
      <c r="O55" s="138">
        <f t="shared" si="51"/>
        <v>0</v>
      </c>
      <c r="P55" s="154"/>
      <c r="Q55" s="141"/>
      <c r="R55" s="137"/>
    </row>
    <row r="56" spans="1:21" x14ac:dyDescent="0.2">
      <c r="A56" s="139"/>
      <c r="B56" s="165"/>
      <c r="C56" s="138">
        <f t="shared" si="39"/>
        <v>0</v>
      </c>
      <c r="D56" s="138">
        <f t="shared" si="40"/>
        <v>0</v>
      </c>
      <c r="E56" s="138">
        <f t="shared" si="41"/>
        <v>0</v>
      </c>
      <c r="F56" s="138">
        <f t="shared" si="42"/>
        <v>0</v>
      </c>
      <c r="G56" s="138">
        <f t="shared" si="43"/>
        <v>0</v>
      </c>
      <c r="H56" s="138">
        <f t="shared" si="44"/>
        <v>0</v>
      </c>
      <c r="I56" s="138">
        <f t="shared" si="45"/>
        <v>0</v>
      </c>
      <c r="J56" s="138">
        <f t="shared" si="46"/>
        <v>0</v>
      </c>
      <c r="K56" s="138">
        <f t="shared" si="47"/>
        <v>0</v>
      </c>
      <c r="L56" s="138">
        <f t="shared" si="48"/>
        <v>0</v>
      </c>
      <c r="M56" s="138">
        <f t="shared" si="49"/>
        <v>0</v>
      </c>
      <c r="N56" s="138">
        <f t="shared" si="50"/>
        <v>0</v>
      </c>
      <c r="O56" s="138">
        <f t="shared" si="51"/>
        <v>0</v>
      </c>
      <c r="P56" s="154"/>
      <c r="Q56" s="141"/>
      <c r="R56" s="137"/>
    </row>
    <row r="57" spans="1:21" x14ac:dyDescent="0.2">
      <c r="A57" s="139" t="s">
        <v>66</v>
      </c>
      <c r="B57" s="19" t="s">
        <v>301</v>
      </c>
      <c r="C57" s="138">
        <f t="shared" si="39"/>
        <v>376</v>
      </c>
      <c r="D57" s="138">
        <f t="shared" si="40"/>
        <v>0</v>
      </c>
      <c r="E57" s="138">
        <f t="shared" si="41"/>
        <v>460</v>
      </c>
      <c r="F57" s="138">
        <f t="shared" si="42"/>
        <v>0</v>
      </c>
      <c r="G57" s="138">
        <f t="shared" si="43"/>
        <v>2720</v>
      </c>
      <c r="H57" s="138">
        <f t="shared" si="44"/>
        <v>0</v>
      </c>
      <c r="I57" s="138">
        <f t="shared" si="45"/>
        <v>628</v>
      </c>
      <c r="J57" s="138">
        <f t="shared" si="46"/>
        <v>0</v>
      </c>
      <c r="K57" s="138">
        <f t="shared" si="47"/>
        <v>2136</v>
      </c>
      <c r="L57" s="138">
        <f t="shared" si="48"/>
        <v>0</v>
      </c>
      <c r="M57" s="138">
        <f t="shared" si="49"/>
        <v>796</v>
      </c>
      <c r="N57" s="138">
        <f t="shared" si="50"/>
        <v>0</v>
      </c>
      <c r="O57" s="138">
        <f>C57+E57+G57+I57+K57+M57</f>
        <v>7116</v>
      </c>
      <c r="P57" s="9" t="s">
        <v>10</v>
      </c>
      <c r="Q57" s="141"/>
      <c r="R57" s="137">
        <f>O57*Q57</f>
        <v>0</v>
      </c>
      <c r="T57" s="142">
        <v>104</v>
      </c>
      <c r="U57" s="142">
        <v>84</v>
      </c>
    </row>
    <row r="58" spans="1:21" x14ac:dyDescent="0.2">
      <c r="A58" s="139"/>
      <c r="B58" s="136"/>
      <c r="C58" s="138">
        <f t="shared" si="39"/>
        <v>0</v>
      </c>
      <c r="D58" s="138">
        <f t="shared" si="40"/>
        <v>0</v>
      </c>
      <c r="E58" s="138">
        <f t="shared" si="41"/>
        <v>0</v>
      </c>
      <c r="F58" s="138">
        <f t="shared" si="42"/>
        <v>0</v>
      </c>
      <c r="G58" s="138">
        <f t="shared" si="43"/>
        <v>0</v>
      </c>
      <c r="H58" s="138">
        <f t="shared" si="44"/>
        <v>0</v>
      </c>
      <c r="I58" s="138">
        <f t="shared" si="45"/>
        <v>0</v>
      </c>
      <c r="J58" s="138">
        <f t="shared" si="46"/>
        <v>0</v>
      </c>
      <c r="K58" s="138">
        <f t="shared" si="47"/>
        <v>0</v>
      </c>
      <c r="L58" s="138">
        <f t="shared" si="48"/>
        <v>0</v>
      </c>
      <c r="M58" s="138">
        <f t="shared" si="49"/>
        <v>0</v>
      </c>
      <c r="N58" s="138">
        <f t="shared" si="50"/>
        <v>0</v>
      </c>
      <c r="O58" s="138">
        <f t="shared" si="51"/>
        <v>0</v>
      </c>
      <c r="P58" s="154"/>
      <c r="Q58" s="141"/>
      <c r="R58" s="137"/>
    </row>
    <row r="59" spans="1:21" x14ac:dyDescent="0.2">
      <c r="A59" s="139" t="s">
        <v>67</v>
      </c>
      <c r="B59" s="12" t="s">
        <v>303</v>
      </c>
      <c r="C59" s="138">
        <f t="shared" si="39"/>
        <v>358</v>
      </c>
      <c r="D59" s="138">
        <f t="shared" si="40"/>
        <v>0</v>
      </c>
      <c r="E59" s="138">
        <f t="shared" si="41"/>
        <v>438</v>
      </c>
      <c r="F59" s="138">
        <f t="shared" si="42"/>
        <v>0</v>
      </c>
      <c r="G59" s="138">
        <f t="shared" si="43"/>
        <v>2590</v>
      </c>
      <c r="H59" s="138">
        <f t="shared" si="44"/>
        <v>0</v>
      </c>
      <c r="I59" s="138">
        <f t="shared" si="45"/>
        <v>598</v>
      </c>
      <c r="J59" s="138">
        <f t="shared" si="46"/>
        <v>0</v>
      </c>
      <c r="K59" s="138">
        <f t="shared" si="47"/>
        <v>2034</v>
      </c>
      <c r="L59" s="138">
        <f t="shared" si="48"/>
        <v>0</v>
      </c>
      <c r="M59" s="138">
        <f t="shared" si="49"/>
        <v>758</v>
      </c>
      <c r="N59" s="138">
        <f t="shared" si="50"/>
        <v>0</v>
      </c>
      <c r="O59" s="138">
        <f>C59+E59+G59+I59+K59+M59</f>
        <v>6776</v>
      </c>
      <c r="P59" s="9" t="s">
        <v>10</v>
      </c>
      <c r="Q59" s="141"/>
      <c r="R59" s="137">
        <f>O59*Q59</f>
        <v>0</v>
      </c>
      <c r="T59" s="142">
        <v>99</v>
      </c>
      <c r="U59" s="142">
        <v>80</v>
      </c>
    </row>
    <row r="60" spans="1:21" x14ac:dyDescent="0.2">
      <c r="A60" s="139"/>
      <c r="B60" s="136"/>
      <c r="C60" s="138">
        <f t="shared" si="39"/>
        <v>0</v>
      </c>
      <c r="D60" s="138">
        <f t="shared" si="40"/>
        <v>0</v>
      </c>
      <c r="E60" s="138">
        <f t="shared" si="41"/>
        <v>0</v>
      </c>
      <c r="F60" s="138">
        <f t="shared" si="42"/>
        <v>0</v>
      </c>
      <c r="G60" s="138">
        <f t="shared" si="43"/>
        <v>0</v>
      </c>
      <c r="H60" s="138">
        <f t="shared" si="44"/>
        <v>0</v>
      </c>
      <c r="I60" s="138">
        <f t="shared" si="45"/>
        <v>0</v>
      </c>
      <c r="J60" s="138">
        <f t="shared" si="46"/>
        <v>0</v>
      </c>
      <c r="K60" s="138">
        <f t="shared" si="47"/>
        <v>0</v>
      </c>
      <c r="L60" s="138">
        <f t="shared" si="48"/>
        <v>0</v>
      </c>
      <c r="M60" s="138">
        <f t="shared" si="49"/>
        <v>0</v>
      </c>
      <c r="N60" s="138">
        <f t="shared" si="50"/>
        <v>0</v>
      </c>
      <c r="O60" s="138">
        <f t="shared" si="51"/>
        <v>0</v>
      </c>
      <c r="P60" s="154"/>
      <c r="Q60" s="141"/>
      <c r="R60" s="137"/>
    </row>
    <row r="61" spans="1:21" x14ac:dyDescent="0.2">
      <c r="A61" s="139" t="s">
        <v>68</v>
      </c>
      <c r="B61" s="12" t="s">
        <v>304</v>
      </c>
      <c r="C61" s="138">
        <f t="shared" si="39"/>
        <v>4</v>
      </c>
      <c r="D61" s="138">
        <f t="shared" si="40"/>
        <v>0</v>
      </c>
      <c r="E61" s="138">
        <f t="shared" si="41"/>
        <v>6</v>
      </c>
      <c r="F61" s="138">
        <f t="shared" si="42"/>
        <v>0</v>
      </c>
      <c r="G61" s="138">
        <f t="shared" si="43"/>
        <v>40</v>
      </c>
      <c r="H61" s="138">
        <f t="shared" si="44"/>
        <v>0</v>
      </c>
      <c r="I61" s="138">
        <f t="shared" si="45"/>
        <v>10</v>
      </c>
      <c r="J61" s="138">
        <f t="shared" si="46"/>
        <v>0</v>
      </c>
      <c r="K61" s="138">
        <f t="shared" si="47"/>
        <v>36</v>
      </c>
      <c r="L61" s="138">
        <f t="shared" si="48"/>
        <v>0</v>
      </c>
      <c r="M61" s="138">
        <f t="shared" si="49"/>
        <v>14</v>
      </c>
      <c r="N61" s="138">
        <f t="shared" si="50"/>
        <v>0</v>
      </c>
      <c r="O61" s="138">
        <f>C61+E61+G61+I61+K61+M61</f>
        <v>110</v>
      </c>
      <c r="P61" s="9" t="s">
        <v>10</v>
      </c>
      <c r="Q61" s="141"/>
      <c r="R61" s="137">
        <f>O61*Q61</f>
        <v>0</v>
      </c>
      <c r="U61" s="142">
        <v>2</v>
      </c>
    </row>
    <row r="62" spans="1:21" x14ac:dyDescent="0.2">
      <c r="A62" s="139"/>
      <c r="B62" s="136"/>
      <c r="C62" s="138">
        <f t="shared" si="39"/>
        <v>0</v>
      </c>
      <c r="D62" s="138">
        <f t="shared" si="40"/>
        <v>0</v>
      </c>
      <c r="E62" s="138">
        <f t="shared" si="41"/>
        <v>0</v>
      </c>
      <c r="F62" s="138">
        <f t="shared" si="42"/>
        <v>0</v>
      </c>
      <c r="G62" s="138">
        <f t="shared" si="43"/>
        <v>0</v>
      </c>
      <c r="H62" s="138">
        <f t="shared" si="44"/>
        <v>0</v>
      </c>
      <c r="I62" s="138">
        <f t="shared" si="45"/>
        <v>0</v>
      </c>
      <c r="J62" s="138">
        <f t="shared" si="46"/>
        <v>0</v>
      </c>
      <c r="K62" s="138">
        <f t="shared" si="47"/>
        <v>0</v>
      </c>
      <c r="L62" s="138">
        <f t="shared" si="48"/>
        <v>0</v>
      </c>
      <c r="M62" s="138">
        <f t="shared" si="49"/>
        <v>0</v>
      </c>
      <c r="N62" s="138">
        <f t="shared" si="50"/>
        <v>0</v>
      </c>
      <c r="O62" s="138">
        <f t="shared" si="51"/>
        <v>0</v>
      </c>
      <c r="P62" s="154"/>
      <c r="Q62" s="141"/>
      <c r="R62" s="137"/>
    </row>
    <row r="63" spans="1:21" x14ac:dyDescent="0.2">
      <c r="A63" s="139" t="s">
        <v>69</v>
      </c>
      <c r="B63" s="12" t="s">
        <v>415</v>
      </c>
      <c r="C63" s="138">
        <f t="shared" si="39"/>
        <v>18</v>
      </c>
      <c r="D63" s="138">
        <f t="shared" si="40"/>
        <v>0</v>
      </c>
      <c r="E63" s="138">
        <f t="shared" si="41"/>
        <v>20</v>
      </c>
      <c r="F63" s="138">
        <f t="shared" si="42"/>
        <v>0</v>
      </c>
      <c r="G63" s="138">
        <f t="shared" si="43"/>
        <v>110</v>
      </c>
      <c r="H63" s="138">
        <f t="shared" si="44"/>
        <v>0</v>
      </c>
      <c r="I63" s="138">
        <f t="shared" si="45"/>
        <v>24</v>
      </c>
      <c r="J63" s="138">
        <f t="shared" si="46"/>
        <v>0</v>
      </c>
      <c r="K63" s="138">
        <f t="shared" si="47"/>
        <v>78</v>
      </c>
      <c r="L63" s="138">
        <f t="shared" si="48"/>
        <v>0</v>
      </c>
      <c r="M63" s="138">
        <f t="shared" si="49"/>
        <v>28</v>
      </c>
      <c r="N63" s="138">
        <f t="shared" si="50"/>
        <v>0</v>
      </c>
      <c r="O63" s="138">
        <f>C63+E63+G63+I63+K63+M63</f>
        <v>278</v>
      </c>
      <c r="P63" s="9" t="s">
        <v>10</v>
      </c>
      <c r="Q63" s="141"/>
      <c r="R63" s="137">
        <f>O63*Q63</f>
        <v>0</v>
      </c>
      <c r="T63" s="142">
        <v>7</v>
      </c>
      <c r="U63" s="142">
        <v>2</v>
      </c>
    </row>
    <row r="64" spans="1:21" x14ac:dyDescent="0.2">
      <c r="A64" s="139"/>
      <c r="B64" s="136"/>
      <c r="C64" s="138">
        <f t="shared" si="39"/>
        <v>0</v>
      </c>
      <c r="D64" s="138">
        <f t="shared" si="40"/>
        <v>0</v>
      </c>
      <c r="E64" s="138">
        <f t="shared" si="41"/>
        <v>0</v>
      </c>
      <c r="F64" s="138">
        <f t="shared" si="42"/>
        <v>0</v>
      </c>
      <c r="G64" s="138">
        <f t="shared" si="43"/>
        <v>0</v>
      </c>
      <c r="H64" s="138">
        <f t="shared" si="44"/>
        <v>0</v>
      </c>
      <c r="I64" s="138">
        <f t="shared" si="45"/>
        <v>0</v>
      </c>
      <c r="J64" s="138">
        <f t="shared" si="46"/>
        <v>0</v>
      </c>
      <c r="K64" s="138">
        <f t="shared" si="47"/>
        <v>0</v>
      </c>
      <c r="L64" s="138">
        <f t="shared" si="48"/>
        <v>0</v>
      </c>
      <c r="M64" s="138">
        <f t="shared" si="49"/>
        <v>0</v>
      </c>
      <c r="N64" s="138">
        <f t="shared" si="50"/>
        <v>0</v>
      </c>
      <c r="O64" s="138">
        <f t="shared" si="51"/>
        <v>0</v>
      </c>
      <c r="P64" s="154"/>
      <c r="Q64" s="141"/>
      <c r="R64" s="137"/>
    </row>
    <row r="65" spans="1:21" ht="42.75" x14ac:dyDescent="0.2">
      <c r="A65" s="139"/>
      <c r="B65" s="165" t="s">
        <v>306</v>
      </c>
      <c r="C65" s="138">
        <f t="shared" si="39"/>
        <v>0</v>
      </c>
      <c r="D65" s="138">
        <f t="shared" si="40"/>
        <v>0</v>
      </c>
      <c r="E65" s="138">
        <f t="shared" si="41"/>
        <v>0</v>
      </c>
      <c r="F65" s="138">
        <f t="shared" si="42"/>
        <v>0</v>
      </c>
      <c r="G65" s="138">
        <f t="shared" si="43"/>
        <v>0</v>
      </c>
      <c r="H65" s="138">
        <f t="shared" si="44"/>
        <v>0</v>
      </c>
      <c r="I65" s="138">
        <f t="shared" si="45"/>
        <v>0</v>
      </c>
      <c r="J65" s="138">
        <f t="shared" si="46"/>
        <v>0</v>
      </c>
      <c r="K65" s="138">
        <f t="shared" si="47"/>
        <v>0</v>
      </c>
      <c r="L65" s="138">
        <f t="shared" si="48"/>
        <v>0</v>
      </c>
      <c r="M65" s="138">
        <f t="shared" si="49"/>
        <v>0</v>
      </c>
      <c r="N65" s="138">
        <f t="shared" si="50"/>
        <v>0</v>
      </c>
      <c r="O65" s="138">
        <f t="shared" si="51"/>
        <v>0</v>
      </c>
      <c r="P65" s="154"/>
      <c r="Q65" s="141"/>
      <c r="R65" s="137"/>
    </row>
    <row r="66" spans="1:21" x14ac:dyDescent="0.2">
      <c r="A66" s="127"/>
      <c r="B66" s="165"/>
      <c r="C66" s="138">
        <f t="shared" si="39"/>
        <v>0</v>
      </c>
      <c r="D66" s="138">
        <f t="shared" si="40"/>
        <v>0</v>
      </c>
      <c r="E66" s="138">
        <f t="shared" si="41"/>
        <v>0</v>
      </c>
      <c r="F66" s="138">
        <f t="shared" si="42"/>
        <v>0</v>
      </c>
      <c r="G66" s="138">
        <f t="shared" si="43"/>
        <v>0</v>
      </c>
      <c r="H66" s="138">
        <f t="shared" si="44"/>
        <v>0</v>
      </c>
      <c r="I66" s="138">
        <f t="shared" si="45"/>
        <v>0</v>
      </c>
      <c r="J66" s="138">
        <f t="shared" si="46"/>
        <v>0</v>
      </c>
      <c r="K66" s="138">
        <f t="shared" si="47"/>
        <v>0</v>
      </c>
      <c r="L66" s="138">
        <f t="shared" si="48"/>
        <v>0</v>
      </c>
      <c r="M66" s="138">
        <f t="shared" si="49"/>
        <v>0</v>
      </c>
      <c r="N66" s="138">
        <f t="shared" si="50"/>
        <v>0</v>
      </c>
      <c r="O66" s="138">
        <f t="shared" si="51"/>
        <v>0</v>
      </c>
      <c r="P66" s="154"/>
      <c r="Q66" s="141"/>
      <c r="R66" s="137"/>
    </row>
    <row r="67" spans="1:21" x14ac:dyDescent="0.2">
      <c r="A67" s="127"/>
      <c r="B67" s="447" t="s">
        <v>307</v>
      </c>
      <c r="C67" s="138">
        <f t="shared" si="39"/>
        <v>0</v>
      </c>
      <c r="D67" s="138">
        <f t="shared" si="40"/>
        <v>0</v>
      </c>
      <c r="E67" s="138">
        <f t="shared" si="41"/>
        <v>0</v>
      </c>
      <c r="F67" s="138">
        <f t="shared" si="42"/>
        <v>0</v>
      </c>
      <c r="G67" s="138">
        <f t="shared" si="43"/>
        <v>0</v>
      </c>
      <c r="H67" s="138">
        <f t="shared" si="44"/>
        <v>0</v>
      </c>
      <c r="I67" s="138">
        <f t="shared" si="45"/>
        <v>0</v>
      </c>
      <c r="J67" s="138">
        <f t="shared" si="46"/>
        <v>0</v>
      </c>
      <c r="K67" s="138">
        <f t="shared" si="47"/>
        <v>0</v>
      </c>
      <c r="L67" s="138">
        <f t="shared" si="48"/>
        <v>0</v>
      </c>
      <c r="M67" s="138">
        <f t="shared" si="49"/>
        <v>0</v>
      </c>
      <c r="N67" s="138">
        <f t="shared" si="50"/>
        <v>0</v>
      </c>
      <c r="O67" s="138">
        <f t="shared" si="51"/>
        <v>0</v>
      </c>
      <c r="P67" s="154"/>
      <c r="Q67" s="141"/>
      <c r="R67" s="137"/>
    </row>
    <row r="68" spans="1:21" x14ac:dyDescent="0.2">
      <c r="A68" s="139"/>
      <c r="B68" s="136"/>
      <c r="C68" s="138">
        <f t="shared" si="39"/>
        <v>0</v>
      </c>
      <c r="D68" s="138">
        <f t="shared" si="40"/>
        <v>0</v>
      </c>
      <c r="E68" s="138">
        <f t="shared" si="41"/>
        <v>0</v>
      </c>
      <c r="F68" s="138">
        <f t="shared" si="42"/>
        <v>0</v>
      </c>
      <c r="G68" s="138">
        <f t="shared" si="43"/>
        <v>0</v>
      </c>
      <c r="H68" s="138">
        <f t="shared" si="44"/>
        <v>0</v>
      </c>
      <c r="I68" s="138">
        <f t="shared" si="45"/>
        <v>0</v>
      </c>
      <c r="J68" s="138">
        <f t="shared" si="46"/>
        <v>0</v>
      </c>
      <c r="K68" s="138">
        <f t="shared" si="47"/>
        <v>0</v>
      </c>
      <c r="L68" s="138">
        <f t="shared" si="48"/>
        <v>0</v>
      </c>
      <c r="M68" s="138">
        <f t="shared" si="49"/>
        <v>0</v>
      </c>
      <c r="N68" s="138">
        <f t="shared" si="50"/>
        <v>0</v>
      </c>
      <c r="O68" s="138">
        <f t="shared" si="51"/>
        <v>0</v>
      </c>
      <c r="P68" s="154"/>
      <c r="Q68" s="141"/>
      <c r="R68" s="137"/>
    </row>
    <row r="69" spans="1:21" x14ac:dyDescent="0.2">
      <c r="A69" s="139" t="s">
        <v>70</v>
      </c>
      <c r="B69" s="12" t="s">
        <v>302</v>
      </c>
      <c r="C69" s="138">
        <f t="shared" si="39"/>
        <v>46</v>
      </c>
      <c r="D69" s="138">
        <f t="shared" si="40"/>
        <v>0</v>
      </c>
      <c r="E69" s="138">
        <f t="shared" si="41"/>
        <v>56</v>
      </c>
      <c r="F69" s="138">
        <f t="shared" si="42"/>
        <v>0</v>
      </c>
      <c r="G69" s="138">
        <f t="shared" si="43"/>
        <v>330</v>
      </c>
      <c r="H69" s="138">
        <f t="shared" si="44"/>
        <v>0</v>
      </c>
      <c r="I69" s="138">
        <f t="shared" si="45"/>
        <v>76</v>
      </c>
      <c r="J69" s="138">
        <f t="shared" si="46"/>
        <v>0</v>
      </c>
      <c r="K69" s="138">
        <f t="shared" si="47"/>
        <v>258</v>
      </c>
      <c r="L69" s="138">
        <f t="shared" si="48"/>
        <v>0</v>
      </c>
      <c r="M69" s="138">
        <f t="shared" si="49"/>
        <v>96</v>
      </c>
      <c r="N69" s="138">
        <f t="shared" si="50"/>
        <v>0</v>
      </c>
      <c r="O69" s="138">
        <f>C69+E69+G69+I69+K69+M69</f>
        <v>862</v>
      </c>
      <c r="P69" s="9" t="s">
        <v>10</v>
      </c>
      <c r="Q69" s="141"/>
      <c r="R69" s="137">
        <f>O69*Q69</f>
        <v>0</v>
      </c>
      <c r="T69" s="142">
        <v>13</v>
      </c>
      <c r="U69" s="142">
        <v>10</v>
      </c>
    </row>
    <row r="70" spans="1:21" x14ac:dyDescent="0.2">
      <c r="A70" s="139"/>
      <c r="B70" s="136"/>
      <c r="C70" s="138">
        <f t="shared" si="39"/>
        <v>0</v>
      </c>
      <c r="D70" s="138">
        <f t="shared" si="40"/>
        <v>0</v>
      </c>
      <c r="E70" s="138">
        <f t="shared" si="41"/>
        <v>0</v>
      </c>
      <c r="F70" s="138">
        <f t="shared" si="42"/>
        <v>0</v>
      </c>
      <c r="G70" s="138">
        <f t="shared" si="43"/>
        <v>0</v>
      </c>
      <c r="H70" s="138">
        <f t="shared" si="44"/>
        <v>0</v>
      </c>
      <c r="I70" s="138">
        <f t="shared" si="45"/>
        <v>0</v>
      </c>
      <c r="J70" s="138">
        <f t="shared" si="46"/>
        <v>0</v>
      </c>
      <c r="K70" s="138">
        <f t="shared" si="47"/>
        <v>0</v>
      </c>
      <c r="L70" s="138">
        <f t="shared" si="48"/>
        <v>0</v>
      </c>
      <c r="M70" s="138">
        <f t="shared" si="49"/>
        <v>0</v>
      </c>
      <c r="N70" s="138">
        <f t="shared" si="50"/>
        <v>0</v>
      </c>
      <c r="O70" s="138">
        <f t="shared" si="51"/>
        <v>0</v>
      </c>
      <c r="P70" s="154"/>
      <c r="Q70" s="141"/>
      <c r="R70" s="137"/>
    </row>
    <row r="71" spans="1:21" x14ac:dyDescent="0.2">
      <c r="A71" s="139" t="s">
        <v>71</v>
      </c>
      <c r="B71" s="12" t="s">
        <v>374</v>
      </c>
      <c r="C71" s="138">
        <f t="shared" si="39"/>
        <v>32</v>
      </c>
      <c r="D71" s="138">
        <f t="shared" si="40"/>
        <v>0</v>
      </c>
      <c r="E71" s="138">
        <f t="shared" si="41"/>
        <v>40</v>
      </c>
      <c r="F71" s="138">
        <f t="shared" si="42"/>
        <v>0</v>
      </c>
      <c r="G71" s="138">
        <f t="shared" si="43"/>
        <v>240</v>
      </c>
      <c r="H71" s="138">
        <f t="shared" si="44"/>
        <v>0</v>
      </c>
      <c r="I71" s="138">
        <f t="shared" si="45"/>
        <v>56</v>
      </c>
      <c r="J71" s="138">
        <f t="shared" si="46"/>
        <v>0</v>
      </c>
      <c r="K71" s="138">
        <f t="shared" si="47"/>
        <v>192</v>
      </c>
      <c r="L71" s="138">
        <f t="shared" si="48"/>
        <v>0</v>
      </c>
      <c r="M71" s="138">
        <f t="shared" si="49"/>
        <v>72</v>
      </c>
      <c r="N71" s="138">
        <f t="shared" si="50"/>
        <v>0</v>
      </c>
      <c r="O71" s="138">
        <f>C71+E71+G71+I71+K71+M71</f>
        <v>632</v>
      </c>
      <c r="P71" s="9" t="s">
        <v>10</v>
      </c>
      <c r="Q71" s="141"/>
      <c r="R71" s="137">
        <f>O71*Q71</f>
        <v>0</v>
      </c>
      <c r="T71" s="142">
        <v>8</v>
      </c>
      <c r="U71" s="142">
        <v>8</v>
      </c>
    </row>
    <row r="72" spans="1:21" x14ac:dyDescent="0.2">
      <c r="A72" s="139"/>
      <c r="B72" s="136"/>
      <c r="C72" s="138">
        <f t="shared" si="39"/>
        <v>0</v>
      </c>
      <c r="D72" s="138">
        <f t="shared" si="40"/>
        <v>0</v>
      </c>
      <c r="E72" s="138">
        <f t="shared" si="41"/>
        <v>0</v>
      </c>
      <c r="F72" s="138">
        <f t="shared" si="42"/>
        <v>0</v>
      </c>
      <c r="G72" s="138">
        <f t="shared" si="43"/>
        <v>0</v>
      </c>
      <c r="H72" s="138">
        <f t="shared" si="44"/>
        <v>0</v>
      </c>
      <c r="I72" s="138">
        <f t="shared" si="45"/>
        <v>0</v>
      </c>
      <c r="J72" s="138">
        <f t="shared" si="46"/>
        <v>0</v>
      </c>
      <c r="K72" s="138">
        <f t="shared" si="47"/>
        <v>0</v>
      </c>
      <c r="L72" s="138">
        <f t="shared" si="48"/>
        <v>0</v>
      </c>
      <c r="M72" s="138">
        <f t="shared" si="49"/>
        <v>0</v>
      </c>
      <c r="N72" s="138">
        <f t="shared" si="50"/>
        <v>0</v>
      </c>
      <c r="O72" s="138">
        <f t="shared" si="51"/>
        <v>0</v>
      </c>
      <c r="P72" s="154"/>
      <c r="Q72" s="141"/>
      <c r="R72" s="137"/>
    </row>
    <row r="73" spans="1:21" x14ac:dyDescent="0.2">
      <c r="A73" s="139" t="s">
        <v>72</v>
      </c>
      <c r="B73" s="12" t="s">
        <v>308</v>
      </c>
      <c r="C73" s="138">
        <f t="shared" si="39"/>
        <v>12</v>
      </c>
      <c r="D73" s="138">
        <f t="shared" si="40"/>
        <v>0</v>
      </c>
      <c r="E73" s="138">
        <f t="shared" si="41"/>
        <v>13</v>
      </c>
      <c r="F73" s="138">
        <f t="shared" si="42"/>
        <v>0</v>
      </c>
      <c r="G73" s="138">
        <f t="shared" si="43"/>
        <v>70</v>
      </c>
      <c r="H73" s="138">
        <f t="shared" si="44"/>
        <v>0</v>
      </c>
      <c r="I73" s="138">
        <f t="shared" si="45"/>
        <v>15</v>
      </c>
      <c r="J73" s="138">
        <f t="shared" si="46"/>
        <v>0</v>
      </c>
      <c r="K73" s="138">
        <f t="shared" si="47"/>
        <v>48</v>
      </c>
      <c r="L73" s="138">
        <f t="shared" si="48"/>
        <v>0</v>
      </c>
      <c r="M73" s="138">
        <f t="shared" si="49"/>
        <v>17</v>
      </c>
      <c r="N73" s="138">
        <f t="shared" si="50"/>
        <v>0</v>
      </c>
      <c r="O73" s="138">
        <f>C73+E73+G73+I73+K73+M73</f>
        <v>175</v>
      </c>
      <c r="P73" s="9" t="s">
        <v>10</v>
      </c>
      <c r="Q73" s="141"/>
      <c r="R73" s="137">
        <f>O73*Q73</f>
        <v>0</v>
      </c>
      <c r="T73" s="142">
        <v>5</v>
      </c>
      <c r="U73" s="142">
        <v>1</v>
      </c>
    </row>
    <row r="74" spans="1:21" x14ac:dyDescent="0.2">
      <c r="A74" s="139"/>
      <c r="B74" s="136"/>
      <c r="C74" s="138">
        <f t="shared" si="39"/>
        <v>0</v>
      </c>
      <c r="D74" s="138">
        <f t="shared" si="40"/>
        <v>0</v>
      </c>
      <c r="E74" s="138">
        <f t="shared" si="41"/>
        <v>0</v>
      </c>
      <c r="F74" s="138">
        <f t="shared" si="42"/>
        <v>0</v>
      </c>
      <c r="G74" s="138">
        <f t="shared" si="43"/>
        <v>0</v>
      </c>
      <c r="H74" s="138">
        <f t="shared" si="44"/>
        <v>0</v>
      </c>
      <c r="I74" s="138">
        <f t="shared" si="45"/>
        <v>0</v>
      </c>
      <c r="J74" s="138">
        <f t="shared" si="46"/>
        <v>0</v>
      </c>
      <c r="K74" s="138">
        <f t="shared" si="47"/>
        <v>0</v>
      </c>
      <c r="L74" s="138">
        <f t="shared" si="48"/>
        <v>0</v>
      </c>
      <c r="M74" s="138">
        <f t="shared" si="49"/>
        <v>0</v>
      </c>
      <c r="N74" s="138">
        <f t="shared" si="50"/>
        <v>0</v>
      </c>
      <c r="O74" s="138">
        <f t="shared" si="51"/>
        <v>0</v>
      </c>
      <c r="P74" s="154"/>
      <c r="Q74" s="141"/>
      <c r="R74" s="137"/>
    </row>
    <row r="75" spans="1:21" x14ac:dyDescent="0.2">
      <c r="A75" s="139" t="s">
        <v>73</v>
      </c>
      <c r="B75" s="12" t="s">
        <v>309</v>
      </c>
      <c r="C75" s="217">
        <f t="shared" si="39"/>
        <v>414</v>
      </c>
      <c r="D75" s="217">
        <f t="shared" si="40"/>
        <v>0</v>
      </c>
      <c r="E75" s="217">
        <f t="shared" si="41"/>
        <v>492</v>
      </c>
      <c r="F75" s="217">
        <f t="shared" si="42"/>
        <v>0</v>
      </c>
      <c r="G75" s="217">
        <f t="shared" si="43"/>
        <v>2850</v>
      </c>
      <c r="H75" s="217">
        <f t="shared" si="44"/>
        <v>0</v>
      </c>
      <c r="I75" s="217">
        <f t="shared" si="45"/>
        <v>648</v>
      </c>
      <c r="J75" s="217">
        <f t="shared" si="46"/>
        <v>0</v>
      </c>
      <c r="K75" s="217">
        <f t="shared" si="47"/>
        <v>2178</v>
      </c>
      <c r="L75" s="217">
        <f t="shared" si="48"/>
        <v>0</v>
      </c>
      <c r="M75" s="217">
        <f t="shared" si="49"/>
        <v>804</v>
      </c>
      <c r="N75" s="217">
        <f t="shared" si="50"/>
        <v>0</v>
      </c>
      <c r="O75" s="217">
        <f>C75+E75+G75+I75+K75+M75</f>
        <v>7386</v>
      </c>
      <c r="P75" s="9" t="s">
        <v>10</v>
      </c>
      <c r="Q75" s="141"/>
      <c r="R75" s="137">
        <f>O75*Q75</f>
        <v>0</v>
      </c>
      <c r="T75" s="213">
        <v>129</v>
      </c>
      <c r="U75" s="142">
        <v>78</v>
      </c>
    </row>
    <row r="76" spans="1:21" x14ac:dyDescent="0.2">
      <c r="A76" s="139"/>
      <c r="B76" s="24"/>
      <c r="C76" s="138">
        <f t="shared" si="39"/>
        <v>0</v>
      </c>
      <c r="D76" s="138">
        <f t="shared" si="40"/>
        <v>0</v>
      </c>
      <c r="E76" s="138">
        <f t="shared" si="41"/>
        <v>0</v>
      </c>
      <c r="F76" s="138">
        <f t="shared" si="42"/>
        <v>0</v>
      </c>
      <c r="G76" s="138">
        <f t="shared" si="43"/>
        <v>0</v>
      </c>
      <c r="H76" s="138">
        <f t="shared" si="44"/>
        <v>0</v>
      </c>
      <c r="I76" s="138">
        <f t="shared" si="45"/>
        <v>0</v>
      </c>
      <c r="J76" s="138">
        <f t="shared" si="46"/>
        <v>0</v>
      </c>
      <c r="K76" s="138">
        <f t="shared" si="47"/>
        <v>0</v>
      </c>
      <c r="L76" s="138">
        <f t="shared" si="48"/>
        <v>0</v>
      </c>
      <c r="M76" s="138">
        <f t="shared" si="49"/>
        <v>0</v>
      </c>
      <c r="N76" s="138">
        <f t="shared" si="50"/>
        <v>0</v>
      </c>
      <c r="O76" s="138">
        <f t="shared" si="51"/>
        <v>0</v>
      </c>
      <c r="P76" s="154"/>
      <c r="Q76" s="141"/>
      <c r="R76" s="137"/>
    </row>
    <row r="77" spans="1:21" x14ac:dyDescent="0.2">
      <c r="A77" s="139" t="s">
        <v>74</v>
      </c>
      <c r="B77" s="12" t="s">
        <v>310</v>
      </c>
      <c r="C77" s="138">
        <f t="shared" si="39"/>
        <v>72</v>
      </c>
      <c r="D77" s="138">
        <f t="shared" si="40"/>
        <v>0</v>
      </c>
      <c r="E77" s="138">
        <f t="shared" si="41"/>
        <v>92</v>
      </c>
      <c r="F77" s="138">
        <f t="shared" si="42"/>
        <v>0</v>
      </c>
      <c r="G77" s="138">
        <f t="shared" si="43"/>
        <v>560</v>
      </c>
      <c r="H77" s="138">
        <f t="shared" si="44"/>
        <v>0</v>
      </c>
      <c r="I77" s="138">
        <f t="shared" si="45"/>
        <v>132</v>
      </c>
      <c r="J77" s="138">
        <f t="shared" si="46"/>
        <v>0</v>
      </c>
      <c r="K77" s="138">
        <f t="shared" si="47"/>
        <v>456</v>
      </c>
      <c r="L77" s="138">
        <f t="shared" si="48"/>
        <v>0</v>
      </c>
      <c r="M77" s="138">
        <f t="shared" si="49"/>
        <v>172</v>
      </c>
      <c r="N77" s="138">
        <f t="shared" si="50"/>
        <v>0</v>
      </c>
      <c r="O77" s="138">
        <f>C77+E77+G77+I77+K77+M77</f>
        <v>1484</v>
      </c>
      <c r="P77" s="9" t="s">
        <v>10</v>
      </c>
      <c r="Q77" s="141"/>
      <c r="R77" s="137">
        <f>O77*Q77</f>
        <v>0</v>
      </c>
      <c r="T77" s="142">
        <v>16</v>
      </c>
      <c r="U77" s="142">
        <v>20</v>
      </c>
    </row>
    <row r="78" spans="1:21" x14ac:dyDescent="0.2">
      <c r="A78" s="139"/>
      <c r="B78" s="24"/>
      <c r="C78" s="138">
        <f t="shared" si="39"/>
        <v>0</v>
      </c>
      <c r="D78" s="138">
        <f t="shared" si="40"/>
        <v>0</v>
      </c>
      <c r="E78" s="138">
        <f t="shared" si="41"/>
        <v>0</v>
      </c>
      <c r="F78" s="138">
        <f t="shared" si="42"/>
        <v>0</v>
      </c>
      <c r="G78" s="138">
        <f t="shared" si="43"/>
        <v>0</v>
      </c>
      <c r="H78" s="138">
        <f t="shared" si="44"/>
        <v>0</v>
      </c>
      <c r="I78" s="138">
        <f t="shared" si="45"/>
        <v>0</v>
      </c>
      <c r="J78" s="138">
        <f t="shared" si="46"/>
        <v>0</v>
      </c>
      <c r="K78" s="138">
        <f t="shared" si="47"/>
        <v>0</v>
      </c>
      <c r="L78" s="138">
        <f t="shared" si="48"/>
        <v>0</v>
      </c>
      <c r="M78" s="138">
        <f t="shared" si="49"/>
        <v>0</v>
      </c>
      <c r="N78" s="138">
        <f t="shared" si="50"/>
        <v>0</v>
      </c>
      <c r="O78" s="138">
        <f t="shared" si="51"/>
        <v>0</v>
      </c>
      <c r="P78" s="154"/>
      <c r="Q78" s="141"/>
      <c r="R78" s="137"/>
    </row>
    <row r="79" spans="1:21" x14ac:dyDescent="0.2">
      <c r="A79" s="139" t="s">
        <v>75</v>
      </c>
      <c r="B79" s="12" t="s">
        <v>430</v>
      </c>
      <c r="C79" s="138">
        <f t="shared" si="39"/>
        <v>12</v>
      </c>
      <c r="D79" s="138">
        <f t="shared" si="40"/>
        <v>0</v>
      </c>
      <c r="E79" s="138">
        <f t="shared" si="41"/>
        <v>15</v>
      </c>
      <c r="F79" s="138">
        <f t="shared" si="42"/>
        <v>0</v>
      </c>
      <c r="G79" s="138">
        <f t="shared" si="43"/>
        <v>90</v>
      </c>
      <c r="H79" s="138">
        <f t="shared" si="44"/>
        <v>0</v>
      </c>
      <c r="I79" s="138">
        <f t="shared" si="45"/>
        <v>21</v>
      </c>
      <c r="J79" s="138">
        <f t="shared" si="46"/>
        <v>0</v>
      </c>
      <c r="K79" s="138">
        <f t="shared" si="47"/>
        <v>72</v>
      </c>
      <c r="L79" s="138">
        <f t="shared" si="48"/>
        <v>0</v>
      </c>
      <c r="M79" s="138">
        <f t="shared" si="49"/>
        <v>27</v>
      </c>
      <c r="N79" s="138">
        <f t="shared" si="50"/>
        <v>0</v>
      </c>
      <c r="O79" s="138">
        <f>C79+E79+G79+I79+K79+M79</f>
        <v>237</v>
      </c>
      <c r="P79" s="9" t="s">
        <v>10</v>
      </c>
      <c r="Q79" s="141"/>
      <c r="R79" s="137">
        <f>O79*Q79</f>
        <v>0</v>
      </c>
      <c r="T79" s="142">
        <v>3</v>
      </c>
      <c r="U79" s="142">
        <v>3</v>
      </c>
    </row>
    <row r="80" spans="1:21" x14ac:dyDescent="0.2">
      <c r="A80" s="139"/>
      <c r="B80" s="12"/>
      <c r="C80" s="138"/>
      <c r="D80" s="138"/>
      <c r="E80" s="138"/>
      <c r="F80" s="138"/>
      <c r="G80" s="138"/>
      <c r="H80" s="138"/>
      <c r="I80" s="138"/>
      <c r="J80" s="138"/>
      <c r="K80" s="138"/>
      <c r="L80" s="138"/>
      <c r="M80" s="138"/>
      <c r="N80" s="138"/>
      <c r="O80" s="138"/>
      <c r="P80" s="9"/>
      <c r="Q80" s="141"/>
      <c r="R80" s="137"/>
    </row>
    <row r="81" spans="1:21" x14ac:dyDescent="0.2">
      <c r="A81" s="139"/>
      <c r="B81" s="12"/>
      <c r="C81" s="138"/>
      <c r="D81" s="138"/>
      <c r="E81" s="138"/>
      <c r="F81" s="138"/>
      <c r="G81" s="138"/>
      <c r="H81" s="138"/>
      <c r="I81" s="138"/>
      <c r="J81" s="138"/>
      <c r="K81" s="138"/>
      <c r="L81" s="138"/>
      <c r="M81" s="138"/>
      <c r="N81" s="138"/>
      <c r="O81" s="138"/>
      <c r="P81" s="9"/>
      <c r="Q81" s="141"/>
      <c r="R81" s="137"/>
    </row>
    <row r="82" spans="1:21" x14ac:dyDescent="0.2">
      <c r="A82" s="139"/>
      <c r="B82" s="12"/>
      <c r="C82" s="138"/>
      <c r="D82" s="138"/>
      <c r="E82" s="138"/>
      <c r="F82" s="138"/>
      <c r="G82" s="138"/>
      <c r="H82" s="138"/>
      <c r="I82" s="138"/>
      <c r="J82" s="138"/>
      <c r="K82" s="138"/>
      <c r="L82" s="138"/>
      <c r="M82" s="138"/>
      <c r="N82" s="138"/>
      <c r="O82" s="138"/>
      <c r="P82" s="9"/>
      <c r="Q82" s="141"/>
      <c r="R82" s="137"/>
    </row>
    <row r="83" spans="1:21" x14ac:dyDescent="0.2">
      <c r="A83" s="139"/>
      <c r="B83" s="12"/>
      <c r="C83" s="138"/>
      <c r="D83" s="138"/>
      <c r="E83" s="138"/>
      <c r="F83" s="138"/>
      <c r="G83" s="138"/>
      <c r="H83" s="138"/>
      <c r="I83" s="138"/>
      <c r="J83" s="138"/>
      <c r="K83" s="138"/>
      <c r="L83" s="138"/>
      <c r="M83" s="138"/>
      <c r="N83" s="138"/>
      <c r="O83" s="138"/>
      <c r="P83" s="9"/>
      <c r="Q83" s="141"/>
      <c r="R83" s="137"/>
    </row>
    <row r="84" spans="1:21" x14ac:dyDescent="0.2">
      <c r="A84" s="139"/>
      <c r="B84" s="12"/>
      <c r="C84" s="138"/>
      <c r="D84" s="138"/>
      <c r="E84" s="138"/>
      <c r="F84" s="138"/>
      <c r="G84" s="138"/>
      <c r="H84" s="138"/>
      <c r="I84" s="138"/>
      <c r="J84" s="138"/>
      <c r="K84" s="138"/>
      <c r="L84" s="138"/>
      <c r="M84" s="138"/>
      <c r="N84" s="138"/>
      <c r="O84" s="138"/>
      <c r="P84" s="9"/>
      <c r="Q84" s="141"/>
      <c r="R84" s="137"/>
    </row>
    <row r="85" spans="1:21" x14ac:dyDescent="0.2">
      <c r="A85" s="139"/>
      <c r="B85" s="12"/>
      <c r="C85" s="138"/>
      <c r="D85" s="138"/>
      <c r="E85" s="138"/>
      <c r="F85" s="138"/>
      <c r="G85" s="138"/>
      <c r="H85" s="138"/>
      <c r="I85" s="138"/>
      <c r="J85" s="138"/>
      <c r="K85" s="138"/>
      <c r="L85" s="138"/>
      <c r="M85" s="138"/>
      <c r="N85" s="138"/>
      <c r="O85" s="138"/>
      <c r="P85" s="9"/>
      <c r="Q85" s="141"/>
      <c r="R85" s="137"/>
    </row>
    <row r="86" spans="1:21" x14ac:dyDescent="0.2">
      <c r="A86" s="139"/>
      <c r="B86" s="12"/>
      <c r="C86" s="138"/>
      <c r="D86" s="138"/>
      <c r="E86" s="138"/>
      <c r="F86" s="138"/>
      <c r="G86" s="138"/>
      <c r="H86" s="138"/>
      <c r="I86" s="138"/>
      <c r="J86" s="138"/>
      <c r="K86" s="138"/>
      <c r="L86" s="138"/>
      <c r="M86" s="138"/>
      <c r="N86" s="138"/>
      <c r="O86" s="138"/>
      <c r="P86" s="9"/>
      <c r="Q86" s="141"/>
      <c r="R86" s="137"/>
    </row>
    <row r="87" spans="1:21" x14ac:dyDescent="0.2">
      <c r="A87" s="139"/>
      <c r="B87" s="12"/>
      <c r="C87" s="138"/>
      <c r="D87" s="138"/>
      <c r="E87" s="138"/>
      <c r="F87" s="138"/>
      <c r="G87" s="138"/>
      <c r="H87" s="138"/>
      <c r="I87" s="138"/>
      <c r="J87" s="138"/>
      <c r="K87" s="138"/>
      <c r="L87" s="138"/>
      <c r="M87" s="138"/>
      <c r="N87" s="138"/>
      <c r="O87" s="138"/>
      <c r="P87" s="9"/>
      <c r="Q87" s="141"/>
      <c r="R87" s="137"/>
    </row>
    <row r="88" spans="1:21" x14ac:dyDescent="0.2">
      <c r="A88" s="127"/>
      <c r="B88" s="12"/>
      <c r="C88" s="138"/>
      <c r="D88" s="138"/>
      <c r="E88" s="138"/>
      <c r="F88" s="138"/>
      <c r="G88" s="138"/>
      <c r="H88" s="138"/>
      <c r="I88" s="138"/>
      <c r="J88" s="138"/>
      <c r="K88" s="138"/>
      <c r="L88" s="138"/>
      <c r="M88" s="138"/>
      <c r="N88" s="138"/>
      <c r="O88" s="138"/>
      <c r="P88" s="9"/>
      <c r="Q88" s="141"/>
      <c r="R88" s="137"/>
    </row>
    <row r="89" spans="1:21" x14ac:dyDescent="0.2">
      <c r="A89" s="127"/>
      <c r="B89" s="166"/>
      <c r="C89" s="138"/>
      <c r="D89" s="138"/>
      <c r="E89" s="138"/>
      <c r="F89" s="138"/>
      <c r="G89" s="138"/>
      <c r="H89" s="138"/>
      <c r="I89" s="138"/>
      <c r="J89" s="138"/>
      <c r="K89" s="138"/>
      <c r="L89" s="138"/>
      <c r="M89" s="138"/>
      <c r="N89" s="138"/>
      <c r="O89" s="138"/>
      <c r="P89" s="9"/>
      <c r="Q89" s="141"/>
      <c r="R89" s="137"/>
    </row>
    <row r="90" spans="1:21" x14ac:dyDescent="0.2">
      <c r="A90" s="87"/>
      <c r="B90" s="187"/>
      <c r="C90" s="128"/>
      <c r="D90" s="120"/>
      <c r="E90" s="120"/>
      <c r="F90" s="120"/>
      <c r="G90" s="120"/>
      <c r="H90" s="120"/>
      <c r="I90" s="120"/>
      <c r="J90" s="120"/>
      <c r="K90" s="120"/>
      <c r="L90" s="120"/>
      <c r="M90" s="120"/>
      <c r="N90" s="120"/>
      <c r="O90" s="120"/>
      <c r="P90" s="154"/>
      <c r="Q90" s="141"/>
      <c r="R90" s="137"/>
    </row>
    <row r="91" spans="1:21" x14ac:dyDescent="0.2">
      <c r="A91" s="129"/>
      <c r="B91" s="130"/>
      <c r="C91" s="131"/>
      <c r="D91" s="131"/>
      <c r="E91" s="131"/>
      <c r="F91" s="131"/>
      <c r="G91" s="131"/>
      <c r="H91" s="131"/>
      <c r="I91" s="131"/>
      <c r="J91" s="131"/>
      <c r="K91" s="131"/>
      <c r="L91" s="131"/>
      <c r="M91" s="131"/>
      <c r="N91" s="131"/>
      <c r="O91" s="131"/>
      <c r="P91" s="131"/>
      <c r="Q91" s="132"/>
      <c r="R91" s="126"/>
      <c r="T91" s="134"/>
      <c r="U91" s="134"/>
    </row>
    <row r="92" spans="1:21" x14ac:dyDescent="0.2">
      <c r="C92" s="122"/>
      <c r="D92" s="122"/>
      <c r="E92" s="122"/>
      <c r="F92" s="122"/>
      <c r="G92" s="122"/>
      <c r="H92" s="122"/>
      <c r="I92" s="122"/>
      <c r="J92" s="122"/>
      <c r="K92" s="122"/>
      <c r="L92" s="122"/>
      <c r="M92" s="122"/>
      <c r="N92" s="122"/>
      <c r="O92" s="122"/>
      <c r="P92" s="171" t="s">
        <v>1</v>
      </c>
      <c r="Q92" s="133" t="s">
        <v>0</v>
      </c>
      <c r="R92" s="46">
        <f>SUM(R50:R90)</f>
        <v>0</v>
      </c>
      <c r="T92" s="135"/>
      <c r="U92" s="135"/>
    </row>
    <row r="93" spans="1:21" x14ac:dyDescent="0.2">
      <c r="P93" s="188"/>
      <c r="Q93" s="124"/>
      <c r="R93" s="125"/>
    </row>
    <row r="94" spans="1:21" x14ac:dyDescent="0.2">
      <c r="A94" s="139"/>
      <c r="B94" s="12"/>
      <c r="C94" s="138">
        <f t="shared" ref="C94:C99" si="52">ROUND((2*$T94+2*$U94)*C$3,0)</f>
        <v>0</v>
      </c>
      <c r="D94" s="138">
        <f t="shared" ref="D94:D99" si="53">C94*$Q94</f>
        <v>0</v>
      </c>
      <c r="E94" s="138">
        <f t="shared" ref="E94:E99" si="54">ROUND((2*$T94+3*$U94)*E$3,0)</f>
        <v>0</v>
      </c>
      <c r="F94" s="138">
        <f t="shared" ref="F94:F99" si="55">E94*$Q94</f>
        <v>0</v>
      </c>
      <c r="G94" s="138">
        <f t="shared" ref="G94:G99" si="56">ROUND((2*$T94+4*$U94)*G$3,0)</f>
        <v>0</v>
      </c>
      <c r="H94" s="138">
        <f t="shared" ref="H94:H99" si="57">G94*$Q94</f>
        <v>0</v>
      </c>
      <c r="I94" s="138">
        <f t="shared" ref="I94:I99" si="58">ROUND((2*$T94+5*$U94)*I$3,0)</f>
        <v>0</v>
      </c>
      <c r="J94" s="138">
        <f t="shared" ref="J94:J99" si="59">I94*$Q94</f>
        <v>0</v>
      </c>
      <c r="K94" s="138">
        <f t="shared" ref="K94:K99" si="60">ROUND((2*$T94+6*$U94)*K$3,0)</f>
        <v>0</v>
      </c>
      <c r="L94" s="138">
        <f t="shared" ref="L94:L99" si="61">K94*$Q94</f>
        <v>0</v>
      </c>
      <c r="M94" s="138">
        <f t="shared" ref="M94:M99" si="62">ROUND((2*$T94+7*$U94)*M$3,0)</f>
        <v>0</v>
      </c>
      <c r="N94" s="138">
        <f t="shared" ref="N94:N99" si="63">M94*$Q94</f>
        <v>0</v>
      </c>
      <c r="O94" s="138">
        <f t="shared" ref="O94:O98" si="64">C94+E94+G94+I94+K94+M94</f>
        <v>0</v>
      </c>
      <c r="P94" s="9"/>
      <c r="Q94" s="141"/>
      <c r="R94" s="137"/>
    </row>
    <row r="95" spans="1:21" x14ac:dyDescent="0.2">
      <c r="A95" s="139"/>
      <c r="B95" s="111" t="s">
        <v>54</v>
      </c>
      <c r="C95" s="138">
        <f t="shared" si="52"/>
        <v>0</v>
      </c>
      <c r="D95" s="138">
        <f t="shared" si="53"/>
        <v>0</v>
      </c>
      <c r="E95" s="138">
        <f t="shared" si="54"/>
        <v>0</v>
      </c>
      <c r="F95" s="138">
        <f t="shared" si="55"/>
        <v>0</v>
      </c>
      <c r="G95" s="138">
        <f t="shared" si="56"/>
        <v>0</v>
      </c>
      <c r="H95" s="138">
        <f t="shared" si="57"/>
        <v>0</v>
      </c>
      <c r="I95" s="138">
        <f t="shared" si="58"/>
        <v>0</v>
      </c>
      <c r="J95" s="138">
        <f t="shared" si="59"/>
        <v>0</v>
      </c>
      <c r="K95" s="138">
        <f t="shared" si="60"/>
        <v>0</v>
      </c>
      <c r="L95" s="138">
        <f t="shared" si="61"/>
        <v>0</v>
      </c>
      <c r="M95" s="138">
        <f t="shared" si="62"/>
        <v>0</v>
      </c>
      <c r="N95" s="138">
        <f t="shared" si="63"/>
        <v>0</v>
      </c>
      <c r="O95" s="138">
        <f t="shared" si="64"/>
        <v>0</v>
      </c>
      <c r="P95" s="154"/>
      <c r="Q95" s="141"/>
      <c r="R95" s="137">
        <f t="shared" ref="R95" si="65">O95*Q95</f>
        <v>0</v>
      </c>
    </row>
    <row r="96" spans="1:21" x14ac:dyDescent="0.2">
      <c r="A96" s="139"/>
      <c r="B96" s="12"/>
      <c r="C96" s="138">
        <f t="shared" si="52"/>
        <v>0</v>
      </c>
      <c r="D96" s="138">
        <f t="shared" si="53"/>
        <v>0</v>
      </c>
      <c r="E96" s="138">
        <f t="shared" si="54"/>
        <v>0</v>
      </c>
      <c r="F96" s="138">
        <f t="shared" si="55"/>
        <v>0</v>
      </c>
      <c r="G96" s="138">
        <f t="shared" si="56"/>
        <v>0</v>
      </c>
      <c r="H96" s="138">
        <f t="shared" si="57"/>
        <v>0</v>
      </c>
      <c r="I96" s="138">
        <f t="shared" si="58"/>
        <v>0</v>
      </c>
      <c r="J96" s="138">
        <f t="shared" si="59"/>
        <v>0</v>
      </c>
      <c r="K96" s="138">
        <f t="shared" si="60"/>
        <v>0</v>
      </c>
      <c r="L96" s="138">
        <f t="shared" si="61"/>
        <v>0</v>
      </c>
      <c r="M96" s="138">
        <f t="shared" si="62"/>
        <v>0</v>
      </c>
      <c r="N96" s="138">
        <f t="shared" si="63"/>
        <v>0</v>
      </c>
      <c r="O96" s="138">
        <f t="shared" si="64"/>
        <v>0</v>
      </c>
      <c r="P96" s="154"/>
      <c r="Q96" s="141"/>
      <c r="R96" s="137"/>
    </row>
    <row r="97" spans="1:18" ht="42.75" x14ac:dyDescent="0.2">
      <c r="A97" s="139" t="s">
        <v>66</v>
      </c>
      <c r="B97" s="19" t="s">
        <v>55</v>
      </c>
      <c r="C97" s="138">
        <f t="shared" si="52"/>
        <v>0</v>
      </c>
      <c r="D97" s="138">
        <f t="shared" si="53"/>
        <v>0</v>
      </c>
      <c r="E97" s="138">
        <f t="shared" si="54"/>
        <v>0</v>
      </c>
      <c r="F97" s="138">
        <f t="shared" si="55"/>
        <v>0</v>
      </c>
      <c r="G97" s="138">
        <f t="shared" si="56"/>
        <v>0</v>
      </c>
      <c r="H97" s="138">
        <f t="shared" si="57"/>
        <v>0</v>
      </c>
      <c r="I97" s="138">
        <f t="shared" si="58"/>
        <v>0</v>
      </c>
      <c r="J97" s="138">
        <f t="shared" si="59"/>
        <v>0</v>
      </c>
      <c r="K97" s="138">
        <f t="shared" si="60"/>
        <v>0</v>
      </c>
      <c r="L97" s="138">
        <f t="shared" si="61"/>
        <v>0</v>
      </c>
      <c r="M97" s="138">
        <f t="shared" si="62"/>
        <v>0</v>
      </c>
      <c r="N97" s="138">
        <f t="shared" si="63"/>
        <v>0</v>
      </c>
      <c r="O97" s="138">
        <f>C97+E97+G97+I97+K97+M97</f>
        <v>0</v>
      </c>
      <c r="P97" s="20" t="s">
        <v>5</v>
      </c>
      <c r="Q97" s="141"/>
      <c r="R97" s="137">
        <f>O97*Q97</f>
        <v>0</v>
      </c>
    </row>
    <row r="98" spans="1:18" x14ac:dyDescent="0.2">
      <c r="A98" s="139"/>
      <c r="B98" s="19"/>
      <c r="C98" s="138">
        <f t="shared" si="52"/>
        <v>0</v>
      </c>
      <c r="D98" s="138">
        <f t="shared" si="53"/>
        <v>0</v>
      </c>
      <c r="E98" s="138">
        <f t="shared" si="54"/>
        <v>0</v>
      </c>
      <c r="F98" s="138">
        <f t="shared" si="55"/>
        <v>0</v>
      </c>
      <c r="G98" s="138">
        <f t="shared" si="56"/>
        <v>0</v>
      </c>
      <c r="H98" s="138">
        <f t="shared" si="57"/>
        <v>0</v>
      </c>
      <c r="I98" s="138">
        <f t="shared" si="58"/>
        <v>0</v>
      </c>
      <c r="J98" s="138">
        <f t="shared" si="59"/>
        <v>0</v>
      </c>
      <c r="K98" s="138">
        <f t="shared" si="60"/>
        <v>0</v>
      </c>
      <c r="L98" s="138">
        <f t="shared" si="61"/>
        <v>0</v>
      </c>
      <c r="M98" s="138">
        <f t="shared" si="62"/>
        <v>0</v>
      </c>
      <c r="N98" s="138">
        <f t="shared" si="63"/>
        <v>0</v>
      </c>
      <c r="O98" s="138">
        <f t="shared" si="64"/>
        <v>0</v>
      </c>
      <c r="P98" s="9"/>
      <c r="Q98" s="141"/>
      <c r="R98" s="137"/>
    </row>
    <row r="99" spans="1:18" ht="28.5" customHeight="1" x14ac:dyDescent="0.2">
      <c r="A99" s="139" t="s">
        <v>67</v>
      </c>
      <c r="B99" s="19" t="s">
        <v>64</v>
      </c>
      <c r="C99" s="138">
        <f t="shared" si="52"/>
        <v>0</v>
      </c>
      <c r="D99" s="138">
        <f t="shared" si="53"/>
        <v>0</v>
      </c>
      <c r="E99" s="138">
        <f t="shared" si="54"/>
        <v>0</v>
      </c>
      <c r="F99" s="138">
        <f t="shared" si="55"/>
        <v>0</v>
      </c>
      <c r="G99" s="138">
        <f t="shared" si="56"/>
        <v>0</v>
      </c>
      <c r="H99" s="138">
        <f t="shared" si="57"/>
        <v>0</v>
      </c>
      <c r="I99" s="138">
        <f t="shared" si="58"/>
        <v>0</v>
      </c>
      <c r="J99" s="138">
        <f t="shared" si="59"/>
        <v>0</v>
      </c>
      <c r="K99" s="138">
        <f t="shared" si="60"/>
        <v>0</v>
      </c>
      <c r="L99" s="138">
        <f t="shared" si="61"/>
        <v>0</v>
      </c>
      <c r="M99" s="138">
        <f t="shared" si="62"/>
        <v>0</v>
      </c>
      <c r="N99" s="138">
        <f t="shared" si="63"/>
        <v>0</v>
      </c>
      <c r="O99" s="138">
        <f>C99+E99+G99+I99+K99+M99</f>
        <v>0</v>
      </c>
      <c r="P99" s="20" t="s">
        <v>5</v>
      </c>
      <c r="Q99" s="141"/>
      <c r="R99" s="137">
        <f>O99*Q99</f>
        <v>0</v>
      </c>
    </row>
    <row r="100" spans="1:18" x14ac:dyDescent="0.2">
      <c r="A100" s="139"/>
      <c r="B100" s="110"/>
      <c r="C100" s="138"/>
      <c r="D100" s="138"/>
      <c r="E100" s="138"/>
      <c r="F100" s="138"/>
      <c r="G100" s="138"/>
      <c r="H100" s="138"/>
      <c r="I100" s="138"/>
      <c r="J100" s="138"/>
      <c r="K100" s="138"/>
      <c r="L100" s="138"/>
      <c r="M100" s="138"/>
      <c r="N100" s="138"/>
      <c r="O100" s="138"/>
      <c r="P100" s="154"/>
      <c r="Q100" s="141"/>
      <c r="R100" s="137"/>
    </row>
    <row r="101" spans="1:18" x14ac:dyDescent="0.2">
      <c r="A101" s="139"/>
      <c r="B101" s="82" t="s">
        <v>8</v>
      </c>
      <c r="C101" s="128"/>
      <c r="D101" s="120"/>
      <c r="E101" s="120"/>
      <c r="F101" s="120"/>
      <c r="G101" s="120"/>
      <c r="H101" s="120"/>
      <c r="I101" s="120"/>
      <c r="J101" s="120"/>
      <c r="K101" s="120"/>
      <c r="L101" s="120"/>
      <c r="M101" s="120"/>
      <c r="N101" s="120"/>
      <c r="O101" s="120"/>
      <c r="P101" s="154"/>
      <c r="Q101" s="141"/>
      <c r="R101" s="137"/>
    </row>
    <row r="102" spans="1:18" x14ac:dyDescent="0.2">
      <c r="A102" s="139"/>
      <c r="B102" s="82"/>
      <c r="C102" s="120"/>
      <c r="D102" s="120"/>
      <c r="E102" s="120"/>
      <c r="F102" s="120"/>
      <c r="G102" s="120"/>
      <c r="H102" s="120"/>
      <c r="I102" s="120"/>
      <c r="J102" s="120"/>
      <c r="K102" s="120"/>
      <c r="L102" s="120"/>
      <c r="M102" s="120"/>
      <c r="N102" s="120"/>
      <c r="O102" s="138"/>
      <c r="P102" s="154"/>
      <c r="Q102" s="141"/>
      <c r="R102" s="137"/>
    </row>
    <row r="103" spans="1:18" ht="42.75" customHeight="1" x14ac:dyDescent="0.2">
      <c r="A103" s="1" t="s">
        <v>68</v>
      </c>
      <c r="B103" s="110" t="s">
        <v>57</v>
      </c>
      <c r="C103" s="138">
        <f>ROUND((2*$T103+2*$U103)*C$3,0)</f>
        <v>0</v>
      </c>
      <c r="D103" s="138">
        <f>C103*$Q103</f>
        <v>0</v>
      </c>
      <c r="E103" s="138">
        <f>ROUND((2*$T103+3*$U103)*E$3,0)</f>
        <v>0</v>
      </c>
      <c r="F103" s="138">
        <f>E103*$Q103</f>
        <v>0</v>
      </c>
      <c r="G103" s="138">
        <f>ROUND((2*$T103+4*$U103)*G$3,0)</f>
        <v>0</v>
      </c>
      <c r="H103" s="138">
        <f>G103*$Q103</f>
        <v>0</v>
      </c>
      <c r="I103" s="138">
        <f>ROUND((2*$T103+5*$U103)*I$3,0)</f>
        <v>0</v>
      </c>
      <c r="J103" s="138">
        <f>I103*$Q103</f>
        <v>0</v>
      </c>
      <c r="K103" s="138">
        <f>ROUND((2*$T103+6*$U103)*K$3,0)</f>
        <v>0</v>
      </c>
      <c r="L103" s="138">
        <f>K103*$Q103</f>
        <v>0</v>
      </c>
      <c r="M103" s="138">
        <f>ROUND((2*$T103+7*$U103)*M$3,0)</f>
        <v>0</v>
      </c>
      <c r="N103" s="138">
        <f>M103*$Q103</f>
        <v>0</v>
      </c>
      <c r="O103" s="138">
        <f>C103+E103+G103+I103+K103+M103</f>
        <v>0</v>
      </c>
      <c r="P103" s="2" t="s">
        <v>5</v>
      </c>
      <c r="Q103" s="141"/>
      <c r="R103" s="137">
        <f>O103*Q103</f>
        <v>0</v>
      </c>
    </row>
    <row r="104" spans="1:18" x14ac:dyDescent="0.2">
      <c r="A104" s="139"/>
      <c r="B104" s="82"/>
      <c r="C104" s="120"/>
      <c r="D104" s="120"/>
      <c r="E104" s="120"/>
      <c r="F104" s="120"/>
      <c r="G104" s="120"/>
      <c r="H104" s="120"/>
      <c r="I104" s="120"/>
      <c r="J104" s="120"/>
      <c r="K104" s="120"/>
      <c r="L104" s="120"/>
      <c r="M104" s="120"/>
      <c r="N104" s="120"/>
      <c r="O104" s="120"/>
      <c r="P104" s="154"/>
      <c r="Q104" s="141"/>
      <c r="R104" s="137"/>
    </row>
    <row r="105" spans="1:18" x14ac:dyDescent="0.2">
      <c r="A105" s="139"/>
      <c r="B105" s="82"/>
      <c r="C105" s="120"/>
      <c r="D105" s="120"/>
      <c r="E105" s="120"/>
      <c r="F105" s="120"/>
      <c r="G105" s="120"/>
      <c r="H105" s="120"/>
      <c r="I105" s="120"/>
      <c r="J105" s="120"/>
      <c r="K105" s="120"/>
      <c r="L105" s="120"/>
      <c r="M105" s="120"/>
      <c r="N105" s="120"/>
      <c r="O105" s="120"/>
      <c r="P105" s="154"/>
      <c r="Q105" s="141"/>
      <c r="R105" s="137"/>
    </row>
    <row r="106" spans="1:18" x14ac:dyDescent="0.2">
      <c r="A106" s="139"/>
      <c r="B106" s="82"/>
      <c r="C106" s="120"/>
      <c r="D106" s="120"/>
      <c r="E106" s="120"/>
      <c r="F106" s="120"/>
      <c r="G106" s="120"/>
      <c r="H106" s="120"/>
      <c r="I106" s="120"/>
      <c r="J106" s="120"/>
      <c r="K106" s="120"/>
      <c r="L106" s="120"/>
      <c r="M106" s="120"/>
      <c r="N106" s="120"/>
      <c r="O106" s="120"/>
      <c r="P106" s="154"/>
      <c r="Q106" s="141"/>
      <c r="R106" s="137"/>
    </row>
    <row r="107" spans="1:18" x14ac:dyDescent="0.2">
      <c r="A107" s="139"/>
      <c r="B107" s="82"/>
      <c r="C107" s="120"/>
      <c r="D107" s="120"/>
      <c r="E107" s="120"/>
      <c r="F107" s="120"/>
      <c r="G107" s="120"/>
      <c r="H107" s="120"/>
      <c r="I107" s="120"/>
      <c r="J107" s="120"/>
      <c r="K107" s="120"/>
      <c r="L107" s="120"/>
      <c r="M107" s="120"/>
      <c r="N107" s="120"/>
      <c r="O107" s="120"/>
      <c r="P107" s="154"/>
      <c r="Q107" s="141"/>
      <c r="R107" s="137"/>
    </row>
    <row r="108" spans="1:18" x14ac:dyDescent="0.2">
      <c r="A108" s="139"/>
      <c r="B108" s="82"/>
      <c r="C108" s="120"/>
      <c r="D108" s="120"/>
      <c r="E108" s="120"/>
      <c r="F108" s="120"/>
      <c r="G108" s="120"/>
      <c r="H108" s="120"/>
      <c r="I108" s="120"/>
      <c r="J108" s="120"/>
      <c r="K108" s="120"/>
      <c r="L108" s="120"/>
      <c r="M108" s="120"/>
      <c r="N108" s="120"/>
      <c r="O108" s="120"/>
      <c r="P108" s="154"/>
      <c r="Q108" s="141"/>
      <c r="R108" s="137"/>
    </row>
    <row r="109" spans="1:18" x14ac:dyDescent="0.2">
      <c r="A109" s="139"/>
      <c r="B109" s="82"/>
      <c r="C109" s="120"/>
      <c r="D109" s="120"/>
      <c r="E109" s="120"/>
      <c r="F109" s="120"/>
      <c r="G109" s="120"/>
      <c r="H109" s="120"/>
      <c r="I109" s="120"/>
      <c r="J109" s="120"/>
      <c r="K109" s="120"/>
      <c r="L109" s="120"/>
      <c r="M109" s="120"/>
      <c r="N109" s="120"/>
      <c r="O109" s="120"/>
      <c r="P109" s="154"/>
      <c r="Q109" s="141"/>
      <c r="R109" s="137"/>
    </row>
    <row r="110" spans="1:18" x14ac:dyDescent="0.2">
      <c r="A110" s="139"/>
      <c r="B110" s="82"/>
      <c r="C110" s="120"/>
      <c r="D110" s="120"/>
      <c r="E110" s="120"/>
      <c r="F110" s="120"/>
      <c r="G110" s="120"/>
      <c r="H110" s="120"/>
      <c r="I110" s="120"/>
      <c r="J110" s="120"/>
      <c r="K110" s="120"/>
      <c r="L110" s="120"/>
      <c r="M110" s="120"/>
      <c r="N110" s="120"/>
      <c r="O110" s="120"/>
      <c r="P110" s="154"/>
      <c r="Q110" s="141"/>
      <c r="R110" s="137"/>
    </row>
    <row r="111" spans="1:18" x14ac:dyDescent="0.2">
      <c r="A111" s="139"/>
      <c r="B111" s="82"/>
      <c r="C111" s="120"/>
      <c r="D111" s="120"/>
      <c r="E111" s="120"/>
      <c r="F111" s="120"/>
      <c r="G111" s="120"/>
      <c r="H111" s="120"/>
      <c r="I111" s="120"/>
      <c r="J111" s="120"/>
      <c r="K111" s="120"/>
      <c r="L111" s="120"/>
      <c r="M111" s="120"/>
      <c r="N111" s="120"/>
      <c r="O111" s="120"/>
      <c r="P111" s="154"/>
      <c r="Q111" s="141"/>
      <c r="R111" s="137"/>
    </row>
    <row r="112" spans="1:18" x14ac:dyDescent="0.2">
      <c r="A112" s="139"/>
      <c r="B112" s="82"/>
      <c r="C112" s="120"/>
      <c r="D112" s="120"/>
      <c r="E112" s="120"/>
      <c r="F112" s="120"/>
      <c r="G112" s="120"/>
      <c r="H112" s="120"/>
      <c r="I112" s="120"/>
      <c r="J112" s="120"/>
      <c r="K112" s="120"/>
      <c r="L112" s="120"/>
      <c r="M112" s="120"/>
      <c r="N112" s="120"/>
      <c r="O112" s="120"/>
      <c r="P112" s="154"/>
      <c r="Q112" s="141"/>
      <c r="R112" s="137"/>
    </row>
    <row r="113" spans="1:18" x14ac:dyDescent="0.2">
      <c r="A113" s="139"/>
      <c r="B113" s="82"/>
      <c r="C113" s="120"/>
      <c r="D113" s="120"/>
      <c r="E113" s="120"/>
      <c r="F113" s="120"/>
      <c r="G113" s="120"/>
      <c r="H113" s="120"/>
      <c r="I113" s="120"/>
      <c r="J113" s="120"/>
      <c r="K113" s="120"/>
      <c r="L113" s="120"/>
      <c r="M113" s="120"/>
      <c r="N113" s="120"/>
      <c r="O113" s="120"/>
      <c r="P113" s="154"/>
      <c r="Q113" s="141"/>
      <c r="R113" s="137"/>
    </row>
    <row r="114" spans="1:18" x14ac:dyDescent="0.2">
      <c r="A114" s="139"/>
      <c r="B114" s="82"/>
      <c r="C114" s="120"/>
      <c r="D114" s="120"/>
      <c r="E114" s="120"/>
      <c r="F114" s="120"/>
      <c r="G114" s="120"/>
      <c r="H114" s="120"/>
      <c r="I114" s="120"/>
      <c r="J114" s="120"/>
      <c r="K114" s="120"/>
      <c r="L114" s="120"/>
      <c r="M114" s="120"/>
      <c r="N114" s="120"/>
      <c r="O114" s="120"/>
      <c r="P114" s="154"/>
      <c r="Q114" s="141"/>
      <c r="R114" s="137"/>
    </row>
    <row r="115" spans="1:18" x14ac:dyDescent="0.2">
      <c r="A115" s="139"/>
      <c r="B115" s="82"/>
      <c r="C115" s="120"/>
      <c r="D115" s="120"/>
      <c r="E115" s="120"/>
      <c r="F115" s="120"/>
      <c r="G115" s="120"/>
      <c r="H115" s="120"/>
      <c r="I115" s="120"/>
      <c r="J115" s="120"/>
      <c r="K115" s="120"/>
      <c r="L115" s="120"/>
      <c r="M115" s="120"/>
      <c r="N115" s="120"/>
      <c r="O115" s="120"/>
      <c r="P115" s="154"/>
      <c r="Q115" s="141"/>
      <c r="R115" s="137"/>
    </row>
    <row r="116" spans="1:18" x14ac:dyDescent="0.2">
      <c r="A116" s="139"/>
      <c r="B116" s="82"/>
      <c r="C116" s="120"/>
      <c r="D116" s="120"/>
      <c r="E116" s="120"/>
      <c r="F116" s="120"/>
      <c r="G116" s="120"/>
      <c r="H116" s="120"/>
      <c r="I116" s="120"/>
      <c r="J116" s="120"/>
      <c r="K116" s="120"/>
      <c r="L116" s="120"/>
      <c r="M116" s="120"/>
      <c r="N116" s="120"/>
      <c r="O116" s="120"/>
      <c r="P116" s="154"/>
      <c r="Q116" s="141"/>
      <c r="R116" s="137"/>
    </row>
    <row r="117" spans="1:18" x14ac:dyDescent="0.2">
      <c r="A117" s="139"/>
      <c r="B117" s="82"/>
      <c r="C117" s="120"/>
      <c r="D117" s="120"/>
      <c r="E117" s="120"/>
      <c r="F117" s="120"/>
      <c r="G117" s="120"/>
      <c r="H117" s="120"/>
      <c r="I117" s="120"/>
      <c r="J117" s="120"/>
      <c r="K117" s="120"/>
      <c r="L117" s="120"/>
      <c r="M117" s="120"/>
      <c r="N117" s="120"/>
      <c r="O117" s="120"/>
      <c r="P117" s="154"/>
      <c r="Q117" s="141"/>
      <c r="R117" s="137"/>
    </row>
    <row r="118" spans="1:18" x14ac:dyDescent="0.2">
      <c r="A118" s="139"/>
      <c r="B118" s="82"/>
      <c r="C118" s="120"/>
      <c r="D118" s="120"/>
      <c r="E118" s="120"/>
      <c r="F118" s="120"/>
      <c r="G118" s="120"/>
      <c r="H118" s="120"/>
      <c r="I118" s="120"/>
      <c r="J118" s="120"/>
      <c r="K118" s="120"/>
      <c r="L118" s="120"/>
      <c r="M118" s="120"/>
      <c r="N118" s="120"/>
      <c r="O118" s="120"/>
      <c r="P118" s="154"/>
      <c r="Q118" s="141"/>
      <c r="R118" s="137"/>
    </row>
    <row r="119" spans="1:18" x14ac:dyDescent="0.2">
      <c r="A119" s="139"/>
      <c r="B119" s="82"/>
      <c r="C119" s="120"/>
      <c r="D119" s="120"/>
      <c r="E119" s="120"/>
      <c r="F119" s="120"/>
      <c r="G119" s="120"/>
      <c r="H119" s="120"/>
      <c r="I119" s="120"/>
      <c r="J119" s="120"/>
      <c r="K119" s="120"/>
      <c r="L119" s="120"/>
      <c r="M119" s="120"/>
      <c r="N119" s="120"/>
      <c r="O119" s="120"/>
      <c r="P119" s="154"/>
      <c r="Q119" s="141"/>
      <c r="R119" s="137"/>
    </row>
    <row r="120" spans="1:18" x14ac:dyDescent="0.2">
      <c r="A120" s="139"/>
      <c r="B120" s="82"/>
      <c r="C120" s="120"/>
      <c r="D120" s="120"/>
      <c r="E120" s="120"/>
      <c r="F120" s="120"/>
      <c r="G120" s="120"/>
      <c r="H120" s="120"/>
      <c r="I120" s="120"/>
      <c r="J120" s="120"/>
      <c r="K120" s="120"/>
      <c r="L120" s="120"/>
      <c r="M120" s="120"/>
      <c r="N120" s="120"/>
      <c r="O120" s="120"/>
      <c r="P120" s="154"/>
      <c r="Q120" s="141"/>
      <c r="R120" s="137"/>
    </row>
    <row r="121" spans="1:18" x14ac:dyDescent="0.2">
      <c r="A121" s="139"/>
      <c r="B121" s="82"/>
      <c r="C121" s="120"/>
      <c r="D121" s="120"/>
      <c r="E121" s="120"/>
      <c r="F121" s="120"/>
      <c r="G121" s="120"/>
      <c r="H121" s="120"/>
      <c r="I121" s="120"/>
      <c r="J121" s="120"/>
      <c r="K121" s="120"/>
      <c r="L121" s="120"/>
      <c r="M121" s="120"/>
      <c r="N121" s="120"/>
      <c r="O121" s="120"/>
      <c r="P121" s="154"/>
      <c r="Q121" s="141"/>
      <c r="R121" s="137"/>
    </row>
    <row r="122" spans="1:18" x14ac:dyDescent="0.2">
      <c r="A122" s="139"/>
      <c r="B122" s="82"/>
      <c r="C122" s="120"/>
      <c r="D122" s="120"/>
      <c r="E122" s="120"/>
      <c r="F122" s="120"/>
      <c r="G122" s="120"/>
      <c r="H122" s="120"/>
      <c r="I122" s="120"/>
      <c r="J122" s="120"/>
      <c r="K122" s="120"/>
      <c r="L122" s="120"/>
      <c r="M122" s="120"/>
      <c r="N122" s="120"/>
      <c r="O122" s="120"/>
      <c r="P122" s="154"/>
      <c r="Q122" s="141"/>
      <c r="R122" s="137"/>
    </row>
    <row r="123" spans="1:18" x14ac:dyDescent="0.2">
      <c r="A123" s="139"/>
      <c r="B123" s="82"/>
      <c r="C123" s="120"/>
      <c r="D123" s="120"/>
      <c r="E123" s="120"/>
      <c r="F123" s="120"/>
      <c r="G123" s="120"/>
      <c r="H123" s="120"/>
      <c r="I123" s="120"/>
      <c r="J123" s="120"/>
      <c r="K123" s="120"/>
      <c r="L123" s="120"/>
      <c r="M123" s="120"/>
      <c r="N123" s="120"/>
      <c r="O123" s="120"/>
      <c r="P123" s="154"/>
      <c r="Q123" s="141"/>
      <c r="R123" s="137"/>
    </row>
    <row r="124" spans="1:18" x14ac:dyDescent="0.2">
      <c r="A124" s="139"/>
      <c r="B124" s="82"/>
      <c r="C124" s="120"/>
      <c r="D124" s="120"/>
      <c r="E124" s="120"/>
      <c r="F124" s="120"/>
      <c r="G124" s="120"/>
      <c r="H124" s="120"/>
      <c r="I124" s="120"/>
      <c r="J124" s="120"/>
      <c r="K124" s="120"/>
      <c r="L124" s="120"/>
      <c r="M124" s="120"/>
      <c r="N124" s="120"/>
      <c r="O124" s="120"/>
      <c r="P124" s="154"/>
      <c r="Q124" s="141"/>
      <c r="R124" s="137"/>
    </row>
    <row r="125" spans="1:18" x14ac:dyDescent="0.2">
      <c r="A125" s="139"/>
      <c r="B125" s="82"/>
      <c r="C125" s="120"/>
      <c r="D125" s="120"/>
      <c r="E125" s="120"/>
      <c r="F125" s="120"/>
      <c r="G125" s="120"/>
      <c r="H125" s="120"/>
      <c r="I125" s="120"/>
      <c r="J125" s="120"/>
      <c r="K125" s="120"/>
      <c r="L125" s="120"/>
      <c r="M125" s="120"/>
      <c r="N125" s="120"/>
      <c r="O125" s="120"/>
      <c r="P125" s="154"/>
      <c r="Q125" s="141"/>
      <c r="R125" s="137"/>
    </row>
    <row r="126" spans="1:18" x14ac:dyDescent="0.2">
      <c r="A126" s="139"/>
      <c r="B126" s="82"/>
      <c r="C126" s="120"/>
      <c r="D126" s="120"/>
      <c r="E126" s="120"/>
      <c r="F126" s="120"/>
      <c r="G126" s="120"/>
      <c r="H126" s="120"/>
      <c r="I126" s="120"/>
      <c r="J126" s="120"/>
      <c r="K126" s="120"/>
      <c r="L126" s="120"/>
      <c r="M126" s="120"/>
      <c r="N126" s="120"/>
      <c r="O126" s="120"/>
      <c r="P126" s="154"/>
      <c r="Q126" s="141"/>
      <c r="R126" s="137"/>
    </row>
    <row r="127" spans="1:18" x14ac:dyDescent="0.2">
      <c r="A127" s="139"/>
      <c r="B127" s="82"/>
      <c r="C127" s="120"/>
      <c r="D127" s="120"/>
      <c r="E127" s="120"/>
      <c r="F127" s="120"/>
      <c r="G127" s="120"/>
      <c r="H127" s="120"/>
      <c r="I127" s="120"/>
      <c r="J127" s="120"/>
      <c r="K127" s="120"/>
      <c r="L127" s="120"/>
      <c r="M127" s="120"/>
      <c r="N127" s="120"/>
      <c r="O127" s="120"/>
      <c r="P127" s="154"/>
      <c r="Q127" s="141"/>
      <c r="R127" s="137"/>
    </row>
    <row r="128" spans="1:18" x14ac:dyDescent="0.2">
      <c r="A128" s="139"/>
      <c r="B128" s="82"/>
      <c r="C128" s="120"/>
      <c r="D128" s="120"/>
      <c r="E128" s="120"/>
      <c r="F128" s="120"/>
      <c r="G128" s="120"/>
      <c r="H128" s="120"/>
      <c r="I128" s="120"/>
      <c r="J128" s="120"/>
      <c r="K128" s="120"/>
      <c r="L128" s="120"/>
      <c r="M128" s="120"/>
      <c r="N128" s="120"/>
      <c r="O128" s="120"/>
      <c r="P128" s="154"/>
      <c r="Q128" s="141"/>
      <c r="R128" s="137"/>
    </row>
    <row r="129" spans="1:21" x14ac:dyDescent="0.2">
      <c r="A129" s="139"/>
      <c r="B129" s="82"/>
      <c r="C129" s="120"/>
      <c r="D129" s="120"/>
      <c r="E129" s="120"/>
      <c r="F129" s="120"/>
      <c r="G129" s="120"/>
      <c r="H129" s="120"/>
      <c r="I129" s="120"/>
      <c r="J129" s="120"/>
      <c r="K129" s="120"/>
      <c r="L129" s="120"/>
      <c r="M129" s="120"/>
      <c r="N129" s="120"/>
      <c r="O129" s="120"/>
      <c r="P129" s="154"/>
      <c r="Q129" s="141"/>
      <c r="R129" s="137"/>
    </row>
    <row r="130" spans="1:21" x14ac:dyDescent="0.2">
      <c r="A130" s="139"/>
      <c r="B130" s="82"/>
      <c r="C130" s="120"/>
      <c r="D130" s="120"/>
      <c r="E130" s="120"/>
      <c r="F130" s="120"/>
      <c r="G130" s="120"/>
      <c r="H130" s="120"/>
      <c r="I130" s="120"/>
      <c r="J130" s="120"/>
      <c r="K130" s="120"/>
      <c r="L130" s="120"/>
      <c r="M130" s="120"/>
      <c r="N130" s="120"/>
      <c r="O130" s="120"/>
      <c r="P130" s="154"/>
      <c r="Q130" s="141"/>
      <c r="R130" s="137"/>
    </row>
    <row r="131" spans="1:21" x14ac:dyDescent="0.2">
      <c r="A131" s="139"/>
      <c r="B131" s="82"/>
      <c r="C131" s="120"/>
      <c r="D131" s="120"/>
      <c r="E131" s="120"/>
      <c r="F131" s="120"/>
      <c r="G131" s="120"/>
      <c r="H131" s="120"/>
      <c r="I131" s="120"/>
      <c r="J131" s="120"/>
      <c r="K131" s="120"/>
      <c r="L131" s="120"/>
      <c r="M131" s="120"/>
      <c r="N131" s="120"/>
      <c r="O131" s="120"/>
      <c r="P131" s="154"/>
      <c r="Q131" s="141"/>
      <c r="R131" s="137"/>
    </row>
    <row r="132" spans="1:21" x14ac:dyDescent="0.2">
      <c r="A132" s="139"/>
      <c r="B132" s="82"/>
      <c r="C132" s="120"/>
      <c r="D132" s="120"/>
      <c r="E132" s="120"/>
      <c r="F132" s="120"/>
      <c r="G132" s="120"/>
      <c r="H132" s="120"/>
      <c r="I132" s="120"/>
      <c r="J132" s="120"/>
      <c r="K132" s="120"/>
      <c r="L132" s="120"/>
      <c r="M132" s="120"/>
      <c r="N132" s="120"/>
      <c r="O132" s="120"/>
      <c r="P132" s="154"/>
      <c r="Q132" s="141"/>
      <c r="R132" s="137"/>
    </row>
    <row r="133" spans="1:21" x14ac:dyDescent="0.2">
      <c r="A133" s="139"/>
      <c r="B133" s="82"/>
      <c r="C133" s="120"/>
      <c r="D133" s="120"/>
      <c r="E133" s="120"/>
      <c r="F133" s="120"/>
      <c r="G133" s="120"/>
      <c r="H133" s="120"/>
      <c r="I133" s="120"/>
      <c r="J133" s="120"/>
      <c r="K133" s="120"/>
      <c r="L133" s="120"/>
      <c r="M133" s="120"/>
      <c r="N133" s="120"/>
      <c r="O133" s="120"/>
      <c r="P133" s="154"/>
      <c r="Q133" s="141"/>
      <c r="R133" s="137"/>
    </row>
    <row r="134" spans="1:21" x14ac:dyDescent="0.2">
      <c r="A134" s="127"/>
      <c r="B134" s="136"/>
      <c r="C134" s="128"/>
      <c r="D134" s="120"/>
      <c r="E134" s="120"/>
      <c r="F134" s="120"/>
      <c r="G134" s="120"/>
      <c r="H134" s="120"/>
      <c r="I134" s="120"/>
      <c r="J134" s="120"/>
      <c r="K134" s="120"/>
      <c r="L134" s="120"/>
      <c r="M134" s="120"/>
      <c r="N134" s="120"/>
      <c r="O134" s="120"/>
      <c r="P134" s="154"/>
      <c r="Q134" s="141"/>
      <c r="R134" s="137"/>
    </row>
    <row r="135" spans="1:21" x14ac:dyDescent="0.2">
      <c r="A135" s="129"/>
      <c r="B135" s="130"/>
      <c r="C135" s="131"/>
      <c r="D135" s="131"/>
      <c r="E135" s="131"/>
      <c r="F135" s="131"/>
      <c r="G135" s="131"/>
      <c r="H135" s="131"/>
      <c r="I135" s="131"/>
      <c r="J135" s="131"/>
      <c r="K135" s="131"/>
      <c r="L135" s="131"/>
      <c r="M135" s="131"/>
      <c r="N135" s="131"/>
      <c r="O135" s="131"/>
      <c r="P135" s="131"/>
      <c r="Q135" s="132"/>
      <c r="R135" s="126"/>
      <c r="T135" s="134"/>
      <c r="U135" s="134"/>
    </row>
    <row r="136" spans="1:21" x14ac:dyDescent="0.2">
      <c r="A136" s="144"/>
      <c r="B136" s="37"/>
      <c r="C136" s="37"/>
      <c r="D136" s="37"/>
      <c r="E136" s="37"/>
      <c r="F136" s="37"/>
      <c r="G136" s="37"/>
      <c r="H136" s="37"/>
      <c r="I136" s="37"/>
      <c r="J136" s="37"/>
      <c r="K136" s="37"/>
      <c r="L136" s="37"/>
      <c r="M136" s="37"/>
      <c r="N136" s="37"/>
      <c r="O136" s="37"/>
      <c r="P136" s="426" t="s">
        <v>1</v>
      </c>
      <c r="Q136" s="133" t="s">
        <v>0</v>
      </c>
      <c r="R136" s="137">
        <f>SUM(R94:R134)</f>
        <v>0</v>
      </c>
      <c r="T136" s="135"/>
      <c r="U136" s="135"/>
    </row>
    <row r="137" spans="1:21" x14ac:dyDescent="0.2">
      <c r="A137" s="144"/>
      <c r="B137" s="37"/>
      <c r="C137" s="188"/>
      <c r="D137" s="188"/>
      <c r="E137" s="188"/>
      <c r="F137" s="188"/>
      <c r="G137" s="188"/>
      <c r="H137" s="188"/>
      <c r="I137" s="188"/>
      <c r="J137" s="188"/>
      <c r="K137" s="188"/>
      <c r="L137" s="188"/>
      <c r="M137" s="188"/>
      <c r="N137" s="188"/>
      <c r="O137" s="188"/>
      <c r="P137" s="188"/>
      <c r="Q137" s="124"/>
      <c r="R137" s="125"/>
    </row>
    <row r="138" spans="1:21" x14ac:dyDescent="0.2">
      <c r="A138" s="36"/>
      <c r="B138" s="37"/>
      <c r="C138" s="188"/>
      <c r="D138" s="188"/>
      <c r="E138" s="188"/>
      <c r="F138" s="188"/>
      <c r="G138" s="188"/>
      <c r="H138" s="188"/>
      <c r="I138" s="188"/>
      <c r="J138" s="188"/>
      <c r="K138" s="188"/>
      <c r="L138" s="188"/>
      <c r="M138" s="188"/>
      <c r="N138" s="188"/>
      <c r="O138" s="188"/>
      <c r="P138" s="188"/>
      <c r="Q138" s="124"/>
      <c r="R138" s="137"/>
      <c r="T138" s="134"/>
      <c r="U138" s="134"/>
    </row>
    <row r="139" spans="1:21" x14ac:dyDescent="0.2">
      <c r="A139" s="36"/>
      <c r="B139" s="37"/>
      <c r="C139" s="188"/>
      <c r="D139" s="188"/>
      <c r="E139" s="188"/>
      <c r="F139" s="188"/>
      <c r="G139" s="188"/>
      <c r="H139" s="188"/>
      <c r="I139" s="188"/>
      <c r="J139" s="188"/>
      <c r="K139" s="188"/>
      <c r="L139" s="188"/>
      <c r="M139" s="188"/>
      <c r="N139" s="188"/>
      <c r="O139" s="188"/>
      <c r="P139" s="188"/>
      <c r="Q139" s="42"/>
      <c r="R139" s="137"/>
    </row>
    <row r="140" spans="1:21" x14ac:dyDescent="0.2">
      <c r="A140" s="36"/>
      <c r="B140" s="37"/>
      <c r="C140" s="188"/>
      <c r="D140" s="188"/>
      <c r="E140" s="188"/>
      <c r="F140" s="188"/>
      <c r="G140" s="188"/>
      <c r="H140" s="188"/>
      <c r="I140" s="188"/>
      <c r="J140" s="188"/>
      <c r="K140" s="188"/>
      <c r="L140" s="188"/>
      <c r="M140" s="188"/>
      <c r="N140" s="188"/>
      <c r="O140" s="534" t="s">
        <v>17</v>
      </c>
      <c r="P140" s="534"/>
      <c r="Q140" s="42"/>
      <c r="R140" s="137"/>
      <c r="T140" s="135"/>
      <c r="U140" s="135"/>
    </row>
    <row r="141" spans="1:21" x14ac:dyDescent="0.2">
      <c r="A141" s="36"/>
      <c r="B141" s="37"/>
      <c r="C141" s="188"/>
      <c r="D141" s="188"/>
      <c r="E141" s="188"/>
      <c r="F141" s="188"/>
      <c r="G141" s="188"/>
      <c r="H141" s="188"/>
      <c r="I141" s="188"/>
      <c r="J141" s="188"/>
      <c r="K141" s="188"/>
      <c r="L141" s="188"/>
      <c r="M141" s="188"/>
      <c r="N141" s="188"/>
      <c r="O141" s="188"/>
      <c r="P141" s="188"/>
      <c r="Q141" s="42"/>
      <c r="R141" s="137"/>
    </row>
    <row r="142" spans="1:21" x14ac:dyDescent="0.2">
      <c r="A142" s="36"/>
      <c r="B142" s="37"/>
      <c r="C142" s="188"/>
      <c r="D142" s="188"/>
      <c r="E142" s="188"/>
      <c r="F142" s="188"/>
      <c r="G142" s="188"/>
      <c r="H142" s="188"/>
      <c r="I142" s="188"/>
      <c r="J142" s="188"/>
      <c r="K142" s="188"/>
      <c r="L142" s="188"/>
      <c r="M142" s="188"/>
      <c r="N142" s="188"/>
      <c r="O142" s="188" t="s">
        <v>270</v>
      </c>
      <c r="P142" s="188" t="s">
        <v>582</v>
      </c>
      <c r="Q142" s="42"/>
      <c r="R142" s="137">
        <f>R48</f>
        <v>0</v>
      </c>
    </row>
    <row r="143" spans="1:21" x14ac:dyDescent="0.2">
      <c r="A143" s="36"/>
      <c r="B143" s="37"/>
      <c r="C143" s="188"/>
      <c r="D143" s="188"/>
      <c r="E143" s="188"/>
      <c r="F143" s="188"/>
      <c r="G143" s="188"/>
      <c r="H143" s="188"/>
      <c r="I143" s="188"/>
      <c r="J143" s="188"/>
      <c r="K143" s="188"/>
      <c r="L143" s="188"/>
      <c r="M143" s="188"/>
      <c r="N143" s="188"/>
      <c r="O143" s="188"/>
      <c r="P143" s="188"/>
      <c r="Q143" s="42"/>
      <c r="R143" s="137"/>
    </row>
    <row r="144" spans="1:21" x14ac:dyDescent="0.2">
      <c r="A144" s="36"/>
      <c r="B144" s="37"/>
      <c r="C144" s="188"/>
      <c r="D144" s="188"/>
      <c r="E144" s="188"/>
      <c r="F144" s="188"/>
      <c r="G144" s="188"/>
      <c r="H144" s="188"/>
      <c r="I144" s="188"/>
      <c r="J144" s="188"/>
      <c r="K144" s="188"/>
      <c r="L144" s="188"/>
      <c r="M144" s="188"/>
      <c r="N144" s="188"/>
      <c r="O144" s="188" t="s">
        <v>270</v>
      </c>
      <c r="P144" s="188" t="s">
        <v>583</v>
      </c>
      <c r="Q144" s="42"/>
      <c r="R144" s="137">
        <f>R90</f>
        <v>0</v>
      </c>
    </row>
    <row r="145" spans="1:21" x14ac:dyDescent="0.2">
      <c r="A145" s="36"/>
      <c r="B145" s="37"/>
      <c r="C145" s="188"/>
      <c r="D145" s="188"/>
      <c r="E145" s="188"/>
      <c r="F145" s="188"/>
      <c r="G145" s="188"/>
      <c r="H145" s="188"/>
      <c r="I145" s="188"/>
      <c r="J145" s="188"/>
      <c r="K145" s="188"/>
      <c r="L145" s="188"/>
      <c r="M145" s="188"/>
      <c r="N145" s="188"/>
      <c r="O145" s="188"/>
      <c r="P145" s="188"/>
      <c r="Q145" s="42"/>
      <c r="R145" s="137"/>
    </row>
    <row r="146" spans="1:21" x14ac:dyDescent="0.2">
      <c r="A146" s="36"/>
      <c r="B146" s="37"/>
      <c r="C146" s="188"/>
      <c r="D146" s="188"/>
      <c r="E146" s="188"/>
      <c r="F146" s="188"/>
      <c r="G146" s="188"/>
      <c r="H146" s="188"/>
      <c r="I146" s="188"/>
      <c r="J146" s="188"/>
      <c r="K146" s="188"/>
      <c r="L146" s="188"/>
      <c r="M146" s="188"/>
      <c r="N146" s="188"/>
      <c r="O146" s="188" t="s">
        <v>270</v>
      </c>
      <c r="P146" s="188" t="s">
        <v>584</v>
      </c>
      <c r="Q146" s="42"/>
      <c r="R146" s="137">
        <f>R136</f>
        <v>0</v>
      </c>
    </row>
    <row r="147" spans="1:21" x14ac:dyDescent="0.2">
      <c r="A147" s="36"/>
      <c r="B147" s="37"/>
      <c r="C147" s="188"/>
      <c r="D147" s="188"/>
      <c r="E147" s="188"/>
      <c r="F147" s="188"/>
      <c r="G147" s="188"/>
      <c r="H147" s="188"/>
      <c r="I147" s="188"/>
      <c r="J147" s="188"/>
      <c r="K147" s="188"/>
      <c r="L147" s="188"/>
      <c r="M147" s="188"/>
      <c r="N147" s="188"/>
      <c r="O147" s="188"/>
      <c r="P147" s="188"/>
      <c r="Q147" s="42"/>
      <c r="R147" s="137"/>
    </row>
    <row r="148" spans="1:21" x14ac:dyDescent="0.2">
      <c r="A148" s="36"/>
      <c r="B148" s="37"/>
      <c r="C148" s="188"/>
      <c r="D148" s="188"/>
      <c r="E148" s="188"/>
      <c r="F148" s="188"/>
      <c r="G148" s="188"/>
      <c r="H148" s="188"/>
      <c r="I148" s="188"/>
      <c r="J148" s="188"/>
      <c r="K148" s="188"/>
      <c r="L148" s="188"/>
      <c r="M148" s="188"/>
      <c r="N148" s="188"/>
      <c r="O148" s="188"/>
      <c r="P148" s="188"/>
      <c r="Q148" s="42"/>
      <c r="R148" s="137"/>
    </row>
    <row r="149" spans="1:21" x14ac:dyDescent="0.2">
      <c r="A149" s="36"/>
      <c r="B149" s="37"/>
      <c r="C149" s="188"/>
      <c r="D149" s="188"/>
      <c r="E149" s="188"/>
      <c r="F149" s="188"/>
      <c r="G149" s="188"/>
      <c r="H149" s="188"/>
      <c r="I149" s="188"/>
      <c r="J149" s="188"/>
      <c r="K149" s="188"/>
      <c r="L149" s="188"/>
      <c r="M149" s="188"/>
      <c r="N149" s="188"/>
      <c r="O149" s="188"/>
      <c r="P149" s="188"/>
      <c r="Q149" s="42"/>
      <c r="R149" s="137"/>
    </row>
    <row r="150" spans="1:21" x14ac:dyDescent="0.2">
      <c r="A150" s="36"/>
      <c r="B150" s="37"/>
      <c r="C150" s="188"/>
      <c r="D150" s="188"/>
      <c r="E150" s="188"/>
      <c r="F150" s="188"/>
      <c r="G150" s="188"/>
      <c r="H150" s="188"/>
      <c r="I150" s="188"/>
      <c r="J150" s="188"/>
      <c r="K150" s="188"/>
      <c r="L150" s="188"/>
      <c r="M150" s="188"/>
      <c r="N150" s="188"/>
      <c r="O150" s="188"/>
      <c r="P150" s="188"/>
      <c r="Q150" s="42"/>
      <c r="R150" s="137"/>
    </row>
    <row r="151" spans="1:21" x14ac:dyDescent="0.2">
      <c r="A151" s="36"/>
      <c r="B151" s="37"/>
      <c r="C151" s="188"/>
      <c r="D151" s="188"/>
      <c r="E151" s="188"/>
      <c r="F151" s="188"/>
      <c r="G151" s="188"/>
      <c r="H151" s="188"/>
      <c r="I151" s="188"/>
      <c r="J151" s="188"/>
      <c r="K151" s="188"/>
      <c r="L151" s="188"/>
      <c r="M151" s="188"/>
      <c r="N151" s="188"/>
      <c r="O151" s="188"/>
      <c r="P151" s="188"/>
      <c r="Q151" s="42"/>
      <c r="R151" s="137"/>
    </row>
    <row r="152" spans="1:21" x14ac:dyDescent="0.2">
      <c r="A152" s="36"/>
      <c r="B152" s="37"/>
      <c r="C152" s="188"/>
      <c r="D152" s="188"/>
      <c r="E152" s="188"/>
      <c r="F152" s="188"/>
      <c r="G152" s="188"/>
      <c r="H152" s="188"/>
      <c r="I152" s="188"/>
      <c r="J152" s="188"/>
      <c r="K152" s="188"/>
      <c r="L152" s="188"/>
      <c r="M152" s="188"/>
      <c r="N152" s="188"/>
      <c r="O152" s="188"/>
      <c r="P152" s="188"/>
      <c r="Q152" s="42"/>
      <c r="R152" s="137"/>
    </row>
    <row r="153" spans="1:21" x14ac:dyDescent="0.2">
      <c r="A153" s="36"/>
      <c r="B153" s="37"/>
      <c r="C153" s="188"/>
      <c r="D153" s="188"/>
      <c r="E153" s="188"/>
      <c r="F153" s="188"/>
      <c r="G153" s="188"/>
      <c r="H153" s="188"/>
      <c r="I153" s="188"/>
      <c r="J153" s="188"/>
      <c r="K153" s="188"/>
      <c r="L153" s="188"/>
      <c r="M153" s="188"/>
      <c r="N153" s="188"/>
      <c r="O153" s="188"/>
      <c r="P153" s="188"/>
      <c r="Q153" s="42"/>
      <c r="R153" s="137"/>
    </row>
    <row r="154" spans="1:21" x14ac:dyDescent="0.2">
      <c r="A154" s="36"/>
      <c r="B154" s="37"/>
      <c r="C154" s="188"/>
      <c r="D154" s="188"/>
      <c r="E154" s="188"/>
      <c r="F154" s="188"/>
      <c r="G154" s="188"/>
      <c r="H154" s="188"/>
      <c r="I154" s="188"/>
      <c r="J154" s="188"/>
      <c r="K154" s="188"/>
      <c r="L154" s="188"/>
      <c r="M154" s="188"/>
      <c r="N154" s="188"/>
      <c r="O154" s="188"/>
      <c r="P154" s="188"/>
      <c r="Q154" s="42"/>
      <c r="R154" s="137"/>
    </row>
    <row r="155" spans="1:21" x14ac:dyDescent="0.2">
      <c r="A155" s="36"/>
      <c r="B155" s="37"/>
      <c r="C155" s="188"/>
      <c r="D155" s="188"/>
      <c r="E155" s="188"/>
      <c r="F155" s="188"/>
      <c r="G155" s="188"/>
      <c r="H155" s="188"/>
      <c r="I155" s="188"/>
      <c r="J155" s="188"/>
      <c r="K155" s="188"/>
      <c r="L155" s="188"/>
      <c r="M155" s="188"/>
      <c r="N155" s="188"/>
      <c r="O155" s="188"/>
      <c r="P155" s="188"/>
      <c r="Q155" s="42"/>
      <c r="R155" s="137"/>
    </row>
    <row r="156" spans="1:21" x14ac:dyDescent="0.2">
      <c r="A156" s="36"/>
      <c r="B156" s="37"/>
      <c r="C156" s="188"/>
      <c r="D156" s="188"/>
      <c r="E156" s="188"/>
      <c r="F156" s="188"/>
      <c r="G156" s="188"/>
      <c r="H156" s="188"/>
      <c r="I156" s="188"/>
      <c r="J156" s="188"/>
      <c r="K156" s="188"/>
      <c r="L156" s="188"/>
      <c r="M156" s="188"/>
      <c r="N156" s="188"/>
      <c r="O156" s="188"/>
      <c r="P156" s="188"/>
      <c r="Q156" s="42"/>
      <c r="R156" s="137"/>
    </row>
    <row r="157" spans="1:21" x14ac:dyDescent="0.2">
      <c r="A157" s="36"/>
      <c r="B157" s="37"/>
      <c r="C157" s="188"/>
      <c r="D157" s="188"/>
      <c r="E157" s="188"/>
      <c r="F157" s="188"/>
      <c r="G157" s="188"/>
      <c r="H157" s="188"/>
      <c r="I157" s="188"/>
      <c r="J157" s="188"/>
      <c r="K157" s="188"/>
      <c r="L157" s="188"/>
      <c r="M157" s="188"/>
      <c r="N157" s="188"/>
      <c r="O157" s="188"/>
      <c r="P157" s="188"/>
      <c r="Q157" s="42"/>
      <c r="R157" s="137"/>
    </row>
    <row r="158" spans="1:21" x14ac:dyDescent="0.2">
      <c r="A158" s="36"/>
      <c r="B158" s="37"/>
      <c r="C158" s="188"/>
      <c r="D158" s="188"/>
      <c r="E158" s="188"/>
      <c r="F158" s="188"/>
      <c r="G158" s="188"/>
      <c r="H158" s="188"/>
      <c r="I158" s="188"/>
      <c r="J158" s="188"/>
      <c r="K158" s="188"/>
      <c r="L158" s="188"/>
      <c r="M158" s="188"/>
      <c r="N158" s="188"/>
      <c r="O158" s="188"/>
      <c r="P158" s="188"/>
      <c r="Q158" s="42"/>
      <c r="R158" s="137"/>
    </row>
    <row r="159" spans="1:21" x14ac:dyDescent="0.2">
      <c r="A159" s="36"/>
      <c r="B159" s="37"/>
      <c r="C159" s="188"/>
      <c r="D159" s="188"/>
      <c r="E159" s="188"/>
      <c r="F159" s="188"/>
      <c r="G159" s="188"/>
      <c r="H159" s="188"/>
      <c r="I159" s="188"/>
      <c r="J159" s="188"/>
      <c r="K159" s="188"/>
      <c r="L159" s="188"/>
      <c r="M159" s="188"/>
      <c r="N159" s="188"/>
      <c r="O159" s="188"/>
      <c r="P159" s="188"/>
      <c r="Q159" s="42"/>
      <c r="R159" s="137"/>
    </row>
    <row r="160" spans="1:21" x14ac:dyDescent="0.2">
      <c r="A160" s="43"/>
      <c r="B160" s="44"/>
      <c r="C160" s="94"/>
      <c r="D160" s="94"/>
      <c r="E160" s="94"/>
      <c r="F160" s="94"/>
      <c r="G160" s="94"/>
      <c r="H160" s="94"/>
      <c r="I160" s="94"/>
      <c r="J160" s="94"/>
      <c r="K160" s="94"/>
      <c r="L160" s="94"/>
      <c r="M160" s="94"/>
      <c r="N160" s="94"/>
      <c r="O160" s="94"/>
      <c r="P160" s="94"/>
      <c r="Q160" s="45"/>
      <c r="R160" s="125"/>
      <c r="T160" s="52"/>
      <c r="U160" s="52"/>
    </row>
    <row r="161" spans="1:21" x14ac:dyDescent="0.2">
      <c r="A161" s="129"/>
      <c r="B161" s="11" t="s">
        <v>56</v>
      </c>
      <c r="C161" s="131"/>
      <c r="D161" s="131"/>
      <c r="E161" s="131"/>
      <c r="F161" s="131"/>
      <c r="G161" s="131"/>
      <c r="H161" s="131"/>
      <c r="I161" s="131"/>
      <c r="J161" s="131"/>
      <c r="K161" s="131"/>
      <c r="L161" s="131"/>
      <c r="M161" s="131"/>
      <c r="N161" s="131"/>
      <c r="O161" s="131"/>
      <c r="P161" s="131"/>
      <c r="Q161" s="132"/>
      <c r="R161" s="126"/>
      <c r="T161" s="134"/>
      <c r="U161" s="134"/>
    </row>
    <row r="162" spans="1:21" x14ac:dyDescent="0.2">
      <c r="C162" s="46"/>
      <c r="D162" s="46"/>
      <c r="E162" s="46"/>
      <c r="F162" s="46"/>
      <c r="G162" s="46"/>
      <c r="H162" s="46"/>
      <c r="I162" s="46"/>
      <c r="J162" s="46"/>
      <c r="K162" s="46"/>
      <c r="L162" s="46"/>
      <c r="M162" s="46"/>
      <c r="N162" s="46"/>
      <c r="O162" s="46"/>
      <c r="P162" s="171" t="s">
        <v>15</v>
      </c>
      <c r="Q162" s="133" t="s">
        <v>0</v>
      </c>
      <c r="R162" s="137">
        <f>SUM(R138:R161)</f>
        <v>0</v>
      </c>
      <c r="T162" s="135"/>
      <c r="U162" s="135"/>
    </row>
    <row r="163" spans="1:21" x14ac:dyDescent="0.2">
      <c r="P163" s="188"/>
      <c r="Q163" s="124"/>
      <c r="R163" s="125"/>
    </row>
  </sheetData>
  <customSheetViews>
    <customSheetView guid="{CBA2F18A-D99E-4593-B5C7-F549C46D482A}" scale="85" showPageBreaks="1" zeroValues="0" printArea="1" hiddenRows="1" hiddenColumns="1" view="pageBreakPreview">
      <pane xSplit="2" ySplit="4" topLeftCell="O119" activePane="bottomRight" state="frozen"/>
      <selection pane="bottomRight" activeCell="S147" sqref="S147"/>
      <pageMargins left="0.51181102362204722" right="0.19685039370078741" top="0.98425196850393704" bottom="0.59055118110236227" header="0.31496062992125984" footer="0.31496062992125984"/>
      <pageSetup paperSize="8" scale="90" orientation="landscape" useFirstPageNumber="1" r:id="rId1"/>
      <headerFooter>
        <oddHeader>&amp;R&amp;UBILL NO. 2
MASONRY</oddHeader>
        <oddFooter>&amp;L&amp;8MBR GPV PH1A BQ ADD3&amp;C&amp;10 2/D/&amp;P</oddFooter>
      </headerFooter>
    </customSheetView>
    <customSheetView guid="{A5028593-220E-41E5-9B7F-B61B224ADECB}" scale="85" showPageBreaks="1" zeroValues="0" printArea="1" hiddenRows="1" hiddenColumns="1" view="pageBreakPreview">
      <pane xSplit="2" ySplit="4" topLeftCell="U41" activePane="bottomRight" state="frozen"/>
      <selection pane="bottomRight" activeCell="AF1" sqref="AF1:AQ1048576"/>
      <pageMargins left="0.51181102362204722" right="0.19685039370078741" top="0.98425196850393704" bottom="0.59055118110236227" header="0.31496062992125984" footer="0.31496062992125984"/>
      <pageSetup paperSize="8" scale="85" orientation="landscape" useFirstPageNumber="1" r:id="rId2"/>
      <headerFooter>
        <oddHeader>&amp;R&amp;UBILL NO. 2
MASONRY</oddHeader>
        <oddFooter>&amp;L&amp;8MBR CV BQ&amp;C&amp;10 2/D/&amp;P</oddFooter>
      </headerFooter>
    </customSheetView>
    <customSheetView guid="{9B0AB937-A858-4024-AFD2-25458CC5120D}" scale="85" showPageBreaks="1" zeroValues="0" printArea="1" hiddenRows="1" hiddenColumns="1" view="pageBreakPreview">
      <pane xSplit="2" ySplit="4" topLeftCell="U41" activePane="bottomRight" state="frozen"/>
      <selection pane="bottomRight" activeCell="AF1" sqref="AF1:AQ1048576"/>
      <pageMargins left="0.51181102362204722" right="0.19685039370078741" top="0.98425196850393704" bottom="0.59055118110236227" header="0.31496062992125984" footer="0.31496062992125984"/>
      <pageSetup paperSize="8" scale="85" orientation="landscape" useFirstPageNumber="1" r:id="rId3"/>
      <headerFooter>
        <oddHeader>&amp;R&amp;UBILL NO. 2
MASONRY</oddHeader>
        <oddFooter>&amp;L&amp;8MBR CV BQ&amp;C&amp;10 2/D/&amp;P</oddFooter>
      </headerFooter>
    </customSheetView>
    <customSheetView guid="{09AFA358-18AB-4F70-994A-26F8BCF8C7CA}" scale="85" showPageBreaks="1" zeroValues="0" printArea="1" hiddenRows="1" hiddenColumns="1" view="pageBreakPreview">
      <pane xSplit="2" ySplit="4" topLeftCell="U41" activePane="bottomRight" state="frozen"/>
      <selection pane="bottomRight" activeCell="AF1" sqref="AF1:AQ1048576"/>
      <pageMargins left="0.51181102362204722" right="0.19685039370078741" top="0.98425196850393704" bottom="0.59055118110236227" header="0.31496062992125984" footer="0.31496062992125984"/>
      <pageSetup paperSize="8" scale="85" orientation="landscape" useFirstPageNumber="1" r:id="rId4"/>
      <headerFooter>
        <oddHeader>&amp;R&amp;UBILL NO. 2
MASONRY</oddHeader>
        <oddFooter>&amp;L&amp;8MBR CV BQ&amp;C&amp;10 2/D/&amp;P</oddFooter>
      </headerFooter>
    </customSheetView>
  </customSheetViews>
  <mergeCells count="14">
    <mergeCell ref="R1:R3"/>
    <mergeCell ref="D2:D3"/>
    <mergeCell ref="F2:F3"/>
    <mergeCell ref="H2:H3"/>
    <mergeCell ref="A1:A3"/>
    <mergeCell ref="B1:B3"/>
    <mergeCell ref="C1:O1"/>
    <mergeCell ref="P1:P3"/>
    <mergeCell ref="Q1:Q3"/>
    <mergeCell ref="O140:P140"/>
    <mergeCell ref="O2:O3"/>
    <mergeCell ref="J2:J3"/>
    <mergeCell ref="L2:L3"/>
    <mergeCell ref="N2:N3"/>
  </mergeCells>
  <printOptions horizontalCentered="1"/>
  <pageMargins left="0.51181102362204722" right="0.19685039370078741" top="0.98425196850393704" bottom="0.59055118110236227" header="0.31496062992125984" footer="0.31496062992125984"/>
  <pageSetup paperSize="8" orientation="landscape" useFirstPageNumber="1" r:id="rId5"/>
  <headerFooter>
    <oddHeader>&amp;R&amp;UBILL NO. 3: TOWNHOUSE A 
MASONRY</oddHeader>
    <oddFooter>&amp;L&amp;8DMS No. 148110 Package 3 (30 Sept 2021)&amp;C&amp;10 3/D/&amp;P</oddFooter>
  </headerFooter>
  <ignoredErrors>
    <ignoredError sqref="C118:P125 P103 C89:P91 P94:P96 C100:P102 P98 P52:P53 P58:P61 C93:P93 P15 P18:P19 C104:P105"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U177"/>
  <sheetViews>
    <sheetView showZeros="0" view="pageBreakPreview" zoomScale="90" zoomScaleNormal="85" zoomScaleSheetLayoutView="90" workbookViewId="0">
      <pane xSplit="2" ySplit="3" topLeftCell="C31" activePane="bottomRight" state="frozen"/>
      <selection activeCell="T57" sqref="T57"/>
      <selection pane="topRight" activeCell="T57" sqref="T57"/>
      <selection pane="bottomLeft" activeCell="T57" sqref="T57"/>
      <selection pane="bottomRight" activeCell="B37" sqref="B37"/>
    </sheetView>
  </sheetViews>
  <sheetFormatPr defaultRowHeight="14.25" x14ac:dyDescent="0.2"/>
  <cols>
    <col min="1" max="1" width="6.125" style="121" customWidth="1"/>
    <col min="2" max="2" width="61.875" style="122" customWidth="1"/>
    <col min="3" max="3" width="11.125" style="204" customWidth="1"/>
    <col min="4" max="4" width="10.625" style="204" hidden="1" customWidth="1"/>
    <col min="5" max="5" width="11.125" style="204" customWidth="1"/>
    <col min="6" max="6" width="10.625" style="204" hidden="1" customWidth="1"/>
    <col min="7" max="7" width="11.125" style="204" customWidth="1"/>
    <col min="8" max="8" width="10.625" style="204" hidden="1" customWidth="1"/>
    <col min="9" max="9" width="11.125" style="204" customWidth="1"/>
    <col min="10" max="10" width="10.625" style="204" hidden="1" customWidth="1"/>
    <col min="11" max="11" width="11.125" style="204" customWidth="1"/>
    <col min="12" max="12" width="10.625" style="204" hidden="1" customWidth="1"/>
    <col min="13" max="13" width="11.125" style="204" customWidth="1"/>
    <col min="14" max="14" width="10.625" style="204" hidden="1" customWidth="1"/>
    <col min="15" max="15" width="12.125" style="204" customWidth="1"/>
    <col min="16" max="16" width="7.125" style="204" customWidth="1"/>
    <col min="17" max="17" width="12.125" style="46" customWidth="1"/>
    <col min="18" max="18" width="16.625" style="46" customWidth="1"/>
    <col min="19" max="19" width="9" style="140"/>
    <col min="20" max="20" width="9.75" style="53" customWidth="1"/>
    <col min="21" max="21" width="9.75" style="142" customWidth="1"/>
    <col min="22" max="22" width="22.875" style="140" customWidth="1"/>
    <col min="23" max="16384" width="9" style="140"/>
  </cols>
  <sheetData>
    <row r="1" spans="1:21" s="98" customFormat="1" x14ac:dyDescent="0.2">
      <c r="A1" s="521" t="s">
        <v>5</v>
      </c>
      <c r="B1" s="521" t="s">
        <v>4</v>
      </c>
      <c r="C1" s="530" t="s">
        <v>3</v>
      </c>
      <c r="D1" s="530"/>
      <c r="E1" s="530"/>
      <c r="F1" s="530"/>
      <c r="G1" s="530"/>
      <c r="H1" s="530"/>
      <c r="I1" s="530"/>
      <c r="J1" s="530"/>
      <c r="K1" s="530"/>
      <c r="L1" s="530"/>
      <c r="M1" s="530"/>
      <c r="N1" s="530"/>
      <c r="O1" s="530"/>
      <c r="P1" s="531" t="s">
        <v>2</v>
      </c>
      <c r="Q1" s="518" t="s">
        <v>6</v>
      </c>
      <c r="R1" s="521" t="s">
        <v>7</v>
      </c>
      <c r="T1" s="193"/>
      <c r="U1" s="155"/>
    </row>
    <row r="2" spans="1:21" s="98" customFormat="1" ht="28.5" x14ac:dyDescent="0.2">
      <c r="A2" s="522"/>
      <c r="B2" s="522"/>
      <c r="C2" s="427" t="s">
        <v>439</v>
      </c>
      <c r="D2" s="524" t="s">
        <v>23</v>
      </c>
      <c r="E2" s="427" t="s">
        <v>440</v>
      </c>
      <c r="F2" s="524" t="s">
        <v>23</v>
      </c>
      <c r="G2" s="427" t="s">
        <v>441</v>
      </c>
      <c r="H2" s="524" t="s">
        <v>23</v>
      </c>
      <c r="I2" s="427" t="s">
        <v>442</v>
      </c>
      <c r="J2" s="524" t="s">
        <v>23</v>
      </c>
      <c r="K2" s="427" t="s">
        <v>443</v>
      </c>
      <c r="L2" s="524" t="s">
        <v>23</v>
      </c>
      <c r="M2" s="427" t="s">
        <v>444</v>
      </c>
      <c r="N2" s="524" t="s">
        <v>23</v>
      </c>
      <c r="O2" s="526" t="s">
        <v>22</v>
      </c>
      <c r="P2" s="532"/>
      <c r="Q2" s="519"/>
      <c r="R2" s="522"/>
      <c r="T2" s="194" t="s">
        <v>445</v>
      </c>
      <c r="U2" s="75" t="s">
        <v>446</v>
      </c>
    </row>
    <row r="3" spans="1:21" s="98" customFormat="1" x14ac:dyDescent="0.2">
      <c r="A3" s="523"/>
      <c r="B3" s="523"/>
      <c r="C3" s="192">
        <v>1</v>
      </c>
      <c r="D3" s="525"/>
      <c r="E3" s="192">
        <v>1</v>
      </c>
      <c r="F3" s="525"/>
      <c r="G3" s="192">
        <v>5</v>
      </c>
      <c r="H3" s="525"/>
      <c r="I3" s="192">
        <v>1</v>
      </c>
      <c r="J3" s="525"/>
      <c r="K3" s="192">
        <v>3</v>
      </c>
      <c r="L3" s="525"/>
      <c r="M3" s="192">
        <v>1</v>
      </c>
      <c r="N3" s="525"/>
      <c r="O3" s="527"/>
      <c r="P3" s="533"/>
      <c r="Q3" s="520"/>
      <c r="R3" s="523"/>
      <c r="S3" s="95">
        <f>C3+E3+G3+I3+K3+M3</f>
        <v>12</v>
      </c>
      <c r="T3" s="194"/>
      <c r="U3" s="35"/>
    </row>
    <row r="4" spans="1:21" x14ac:dyDescent="0.2">
      <c r="A4" s="127"/>
      <c r="B4" s="136"/>
      <c r="C4" s="128"/>
      <c r="D4" s="120"/>
      <c r="E4" s="120"/>
      <c r="F4" s="120"/>
      <c r="G4" s="120"/>
      <c r="H4" s="120"/>
      <c r="I4" s="120"/>
      <c r="J4" s="120"/>
      <c r="K4" s="120"/>
      <c r="L4" s="120"/>
      <c r="M4" s="120"/>
      <c r="N4" s="120"/>
      <c r="O4" s="120"/>
      <c r="P4" s="154"/>
      <c r="Q4" s="141"/>
      <c r="R4" s="137"/>
      <c r="T4" s="117"/>
    </row>
    <row r="5" spans="1:21" x14ac:dyDescent="0.2">
      <c r="A5" s="139"/>
      <c r="B5" s="14" t="s">
        <v>27</v>
      </c>
      <c r="C5" s="128"/>
      <c r="D5" s="120"/>
      <c r="E5" s="120"/>
      <c r="F5" s="120"/>
      <c r="G5" s="120"/>
      <c r="H5" s="120"/>
      <c r="I5" s="120"/>
      <c r="J5" s="120"/>
      <c r="K5" s="120"/>
      <c r="L5" s="120"/>
      <c r="M5" s="120"/>
      <c r="N5" s="120"/>
      <c r="O5" s="120"/>
      <c r="P5" s="154"/>
      <c r="Q5" s="141"/>
      <c r="R5" s="137"/>
      <c r="T5" s="117"/>
    </row>
    <row r="6" spans="1:21" x14ac:dyDescent="0.2">
      <c r="A6" s="139"/>
      <c r="B6" s="15"/>
      <c r="C6" s="128"/>
      <c r="D6" s="120"/>
      <c r="E6" s="120"/>
      <c r="F6" s="120"/>
      <c r="G6" s="120"/>
      <c r="H6" s="120"/>
      <c r="I6" s="120"/>
      <c r="J6" s="120"/>
      <c r="K6" s="120"/>
      <c r="L6" s="120"/>
      <c r="M6" s="120"/>
      <c r="N6" s="120"/>
      <c r="O6" s="120"/>
      <c r="P6" s="154"/>
      <c r="Q6" s="141"/>
      <c r="R6" s="137"/>
      <c r="T6" s="117"/>
    </row>
    <row r="7" spans="1:21" x14ac:dyDescent="0.2">
      <c r="A7" s="139"/>
      <c r="B7" s="88" t="s">
        <v>295</v>
      </c>
      <c r="C7" s="128"/>
      <c r="D7" s="120"/>
      <c r="E7" s="120"/>
      <c r="F7" s="120"/>
      <c r="G7" s="120"/>
      <c r="H7" s="120"/>
      <c r="I7" s="120"/>
      <c r="J7" s="120"/>
      <c r="K7" s="120"/>
      <c r="L7" s="120"/>
      <c r="M7" s="120"/>
      <c r="N7" s="120"/>
      <c r="O7" s="120"/>
      <c r="P7" s="154"/>
      <c r="Q7" s="141"/>
      <c r="R7" s="137"/>
      <c r="T7" s="117"/>
    </row>
    <row r="8" spans="1:21" x14ac:dyDescent="0.2">
      <c r="A8" s="139"/>
      <c r="B8" s="136" t="s">
        <v>417</v>
      </c>
      <c r="C8" s="128"/>
      <c r="D8" s="120"/>
      <c r="E8" s="120"/>
      <c r="F8" s="120"/>
      <c r="G8" s="120"/>
      <c r="H8" s="120"/>
      <c r="I8" s="120"/>
      <c r="J8" s="120"/>
      <c r="K8" s="120"/>
      <c r="L8" s="120"/>
      <c r="M8" s="120"/>
      <c r="N8" s="120"/>
      <c r="O8" s="120"/>
      <c r="P8" s="154"/>
      <c r="Q8" s="141"/>
      <c r="R8" s="137"/>
      <c r="T8" s="120"/>
      <c r="U8" s="128"/>
    </row>
    <row r="9" spans="1:21" x14ac:dyDescent="0.2">
      <c r="A9" s="139"/>
      <c r="B9" s="88" t="s">
        <v>418</v>
      </c>
      <c r="C9" s="128"/>
      <c r="D9" s="120"/>
      <c r="E9" s="120"/>
      <c r="F9" s="120"/>
      <c r="G9" s="120"/>
      <c r="H9" s="120"/>
      <c r="I9" s="120"/>
      <c r="J9" s="120"/>
      <c r="K9" s="120"/>
      <c r="L9" s="120"/>
      <c r="M9" s="120"/>
      <c r="N9" s="120"/>
      <c r="O9" s="120"/>
      <c r="P9" s="154"/>
      <c r="Q9" s="141"/>
      <c r="R9" s="137"/>
      <c r="T9" s="117"/>
    </row>
    <row r="10" spans="1:21" x14ac:dyDescent="0.2">
      <c r="A10" s="139"/>
      <c r="B10" s="88" t="s">
        <v>316</v>
      </c>
      <c r="C10" s="128"/>
      <c r="D10" s="120"/>
      <c r="E10" s="120"/>
      <c r="F10" s="120"/>
      <c r="G10" s="120"/>
      <c r="H10" s="120"/>
      <c r="I10" s="120"/>
      <c r="J10" s="120"/>
      <c r="K10" s="120"/>
      <c r="L10" s="120"/>
      <c r="M10" s="120"/>
      <c r="N10" s="120"/>
      <c r="O10" s="120"/>
      <c r="P10" s="154"/>
      <c r="Q10" s="141"/>
      <c r="R10" s="137"/>
      <c r="T10" s="117"/>
    </row>
    <row r="11" spans="1:21" x14ac:dyDescent="0.2">
      <c r="A11" s="139"/>
      <c r="B11" s="136"/>
      <c r="C11" s="128"/>
      <c r="D11" s="120"/>
      <c r="E11" s="120"/>
      <c r="F11" s="120"/>
      <c r="G11" s="120"/>
      <c r="H11" s="120"/>
      <c r="I11" s="120"/>
      <c r="J11" s="120"/>
      <c r="K11" s="120"/>
      <c r="L11" s="120"/>
      <c r="M11" s="120"/>
      <c r="N11" s="120"/>
      <c r="O11" s="120"/>
      <c r="P11" s="154"/>
      <c r="Q11" s="141"/>
      <c r="R11" s="137"/>
      <c r="T11" s="117"/>
    </row>
    <row r="12" spans="1:21" x14ac:dyDescent="0.2">
      <c r="A12" s="139"/>
      <c r="B12" s="136"/>
      <c r="C12" s="128"/>
      <c r="D12" s="120"/>
      <c r="E12" s="120"/>
      <c r="F12" s="120"/>
      <c r="G12" s="120"/>
      <c r="H12" s="120"/>
      <c r="I12" s="120"/>
      <c r="J12" s="120"/>
      <c r="K12" s="120"/>
      <c r="L12" s="120"/>
      <c r="M12" s="120"/>
      <c r="N12" s="120"/>
      <c r="O12" s="120"/>
      <c r="P12" s="154"/>
      <c r="Q12" s="141"/>
      <c r="R12" s="137"/>
      <c r="T12" s="117"/>
    </row>
    <row r="13" spans="1:21" x14ac:dyDescent="0.2">
      <c r="A13" s="139"/>
      <c r="B13" s="160" t="s">
        <v>192</v>
      </c>
      <c r="C13" s="128"/>
      <c r="D13" s="120"/>
      <c r="E13" s="120"/>
      <c r="F13" s="120"/>
      <c r="G13" s="120"/>
      <c r="H13" s="120"/>
      <c r="I13" s="120"/>
      <c r="J13" s="120"/>
      <c r="K13" s="120"/>
      <c r="L13" s="120"/>
      <c r="M13" s="120"/>
      <c r="N13" s="120"/>
      <c r="O13" s="120"/>
      <c r="P13" s="154"/>
      <c r="Q13" s="141"/>
      <c r="R13" s="137"/>
      <c r="T13" s="117"/>
    </row>
    <row r="14" spans="1:21" x14ac:dyDescent="0.2">
      <c r="A14" s="139"/>
      <c r="B14" s="24"/>
      <c r="C14" s="138"/>
      <c r="D14" s="138"/>
      <c r="E14" s="138"/>
      <c r="F14" s="138"/>
      <c r="G14" s="138"/>
      <c r="H14" s="138"/>
      <c r="I14" s="138"/>
      <c r="J14" s="138"/>
      <c r="K14" s="138"/>
      <c r="L14" s="138"/>
      <c r="M14" s="138"/>
      <c r="N14" s="138"/>
      <c r="O14" s="138"/>
      <c r="P14" s="154"/>
      <c r="Q14" s="141"/>
      <c r="R14" s="137"/>
      <c r="T14" s="117"/>
    </row>
    <row r="15" spans="1:21" x14ac:dyDescent="0.2">
      <c r="A15" s="139"/>
      <c r="B15" s="78" t="s">
        <v>375</v>
      </c>
      <c r="C15" s="138">
        <f t="shared" ref="C15:M28" si="0">ROUND((2*$T15+2*$U15)*C$3,0)</f>
        <v>0</v>
      </c>
      <c r="D15" s="138">
        <f t="shared" ref="D15:D28" si="1">C15*$Q15</f>
        <v>0</v>
      </c>
      <c r="E15" s="138">
        <f t="shared" ref="E15:E28" si="2">ROUND((2*$T15+3*$U15)*E$3,0)</f>
        <v>0</v>
      </c>
      <c r="F15" s="138">
        <f t="shared" ref="F15:F28" si="3">E15*$Q15</f>
        <v>0</v>
      </c>
      <c r="G15" s="138">
        <f t="shared" ref="G15:G28" si="4">ROUND((2*$T15+4*$U15)*G$3,0)</f>
        <v>0</v>
      </c>
      <c r="H15" s="138">
        <f t="shared" ref="H15:H28" si="5">G15*$Q15</f>
        <v>0</v>
      </c>
      <c r="I15" s="138">
        <f t="shared" ref="I15:I28" si="6">ROUND((2*$T15+5*$U15)*I$3,0)</f>
        <v>0</v>
      </c>
      <c r="J15" s="138">
        <f t="shared" ref="J15:J28" si="7">I15*$Q15</f>
        <v>0</v>
      </c>
      <c r="K15" s="138">
        <f t="shared" ref="K15:K28" si="8">ROUND((2*$T15+6*$U15)*K$3,0)</f>
        <v>0</v>
      </c>
      <c r="L15" s="138">
        <f t="shared" ref="L15:L28" si="9">K15*$Q15</f>
        <v>0</v>
      </c>
      <c r="M15" s="138">
        <f t="shared" ref="M15:M28" si="10">ROUND((2*$T15+7*$U15)*M$3,0)</f>
        <v>0</v>
      </c>
      <c r="N15" s="138">
        <f t="shared" ref="N15:N28" si="11">M15*$Q15</f>
        <v>0</v>
      </c>
      <c r="O15" s="138"/>
      <c r="P15" s="154"/>
      <c r="Q15" s="141"/>
      <c r="R15" s="137"/>
      <c r="T15" s="117"/>
    </row>
    <row r="16" spans="1:21" x14ac:dyDescent="0.2">
      <c r="A16" s="139"/>
      <c r="B16" s="24"/>
      <c r="C16" s="138">
        <f t="shared" si="0"/>
        <v>0</v>
      </c>
      <c r="D16" s="138">
        <f t="shared" si="1"/>
        <v>0</v>
      </c>
      <c r="E16" s="138">
        <f t="shared" si="2"/>
        <v>0</v>
      </c>
      <c r="F16" s="138">
        <f t="shared" si="3"/>
        <v>0</v>
      </c>
      <c r="G16" s="138">
        <f t="shared" si="4"/>
        <v>0</v>
      </c>
      <c r="H16" s="138">
        <f t="shared" si="5"/>
        <v>0</v>
      </c>
      <c r="I16" s="138">
        <f t="shared" si="6"/>
        <v>0</v>
      </c>
      <c r="J16" s="138">
        <f t="shared" si="7"/>
        <v>0</v>
      </c>
      <c r="K16" s="138">
        <f t="shared" si="8"/>
        <v>0</v>
      </c>
      <c r="L16" s="138">
        <f t="shared" si="9"/>
        <v>0</v>
      </c>
      <c r="M16" s="138">
        <f t="shared" si="10"/>
        <v>0</v>
      </c>
      <c r="N16" s="138">
        <f t="shared" si="11"/>
        <v>0</v>
      </c>
      <c r="O16" s="138"/>
      <c r="P16" s="154"/>
      <c r="Q16" s="141"/>
      <c r="R16" s="137"/>
      <c r="T16" s="117"/>
    </row>
    <row r="17" spans="1:21" ht="42.75" x14ac:dyDescent="0.2">
      <c r="A17" s="139"/>
      <c r="B17" s="202" t="s">
        <v>416</v>
      </c>
      <c r="C17" s="138">
        <f t="shared" si="0"/>
        <v>0</v>
      </c>
      <c r="D17" s="138">
        <f t="shared" si="1"/>
        <v>0</v>
      </c>
      <c r="E17" s="138">
        <f t="shared" si="2"/>
        <v>0</v>
      </c>
      <c r="F17" s="138">
        <f t="shared" si="3"/>
        <v>0</v>
      </c>
      <c r="G17" s="138">
        <f t="shared" si="4"/>
        <v>0</v>
      </c>
      <c r="H17" s="138">
        <f t="shared" si="5"/>
        <v>0</v>
      </c>
      <c r="I17" s="138">
        <f t="shared" si="6"/>
        <v>0</v>
      </c>
      <c r="J17" s="138">
        <f t="shared" si="7"/>
        <v>0</v>
      </c>
      <c r="K17" s="138">
        <f t="shared" si="8"/>
        <v>0</v>
      </c>
      <c r="L17" s="138">
        <f t="shared" si="9"/>
        <v>0</v>
      </c>
      <c r="M17" s="138">
        <f t="shared" si="10"/>
        <v>0</v>
      </c>
      <c r="N17" s="138">
        <f t="shared" si="11"/>
        <v>0</v>
      </c>
      <c r="O17" s="138"/>
      <c r="P17" s="154"/>
      <c r="Q17" s="141"/>
      <c r="R17" s="137"/>
      <c r="T17" s="117"/>
    </row>
    <row r="18" spans="1:21" x14ac:dyDescent="0.2">
      <c r="A18" s="139"/>
      <c r="B18" s="203"/>
      <c r="C18" s="138">
        <f t="shared" si="0"/>
        <v>0</v>
      </c>
      <c r="D18" s="138">
        <f t="shared" si="1"/>
        <v>0</v>
      </c>
      <c r="E18" s="138">
        <f t="shared" si="2"/>
        <v>0</v>
      </c>
      <c r="F18" s="138">
        <f t="shared" si="3"/>
        <v>0</v>
      </c>
      <c r="G18" s="138">
        <f t="shared" si="4"/>
        <v>0</v>
      </c>
      <c r="H18" s="138">
        <f t="shared" si="5"/>
        <v>0</v>
      </c>
      <c r="I18" s="138">
        <f t="shared" si="6"/>
        <v>0</v>
      </c>
      <c r="J18" s="138">
        <f t="shared" si="7"/>
        <v>0</v>
      </c>
      <c r="K18" s="138">
        <f t="shared" si="8"/>
        <v>0</v>
      </c>
      <c r="L18" s="138">
        <f t="shared" si="9"/>
        <v>0</v>
      </c>
      <c r="M18" s="138">
        <f t="shared" si="10"/>
        <v>0</v>
      </c>
      <c r="N18" s="138">
        <f t="shared" si="11"/>
        <v>0</v>
      </c>
      <c r="O18" s="138"/>
      <c r="P18" s="154"/>
      <c r="Q18" s="141"/>
      <c r="R18" s="137"/>
      <c r="T18" s="117"/>
    </row>
    <row r="19" spans="1:21" x14ac:dyDescent="0.2">
      <c r="A19" s="139" t="s">
        <v>66</v>
      </c>
      <c r="B19" s="203" t="s">
        <v>648</v>
      </c>
      <c r="C19" s="223">
        <f>(2*$T19+2*$U19)*C$3</f>
        <v>0.4</v>
      </c>
      <c r="D19" s="217">
        <f t="shared" si="1"/>
        <v>0</v>
      </c>
      <c r="E19" s="223">
        <f>(2*$T19+2*$U19)*E$3</f>
        <v>0.4</v>
      </c>
      <c r="F19" s="217">
        <f t="shared" si="3"/>
        <v>0</v>
      </c>
      <c r="G19" s="223">
        <f>(2*$T19+2*$U19)*G$3</f>
        <v>2</v>
      </c>
      <c r="H19" s="217">
        <f t="shared" si="5"/>
        <v>0</v>
      </c>
      <c r="I19" s="223">
        <f>(2*$T19+2*$U19)*I$3</f>
        <v>0.4</v>
      </c>
      <c r="J19" s="217">
        <f t="shared" si="7"/>
        <v>0</v>
      </c>
      <c r="K19" s="223">
        <f>(2*$T19+2*$U19)*K$3</f>
        <v>1.2000000000000002</v>
      </c>
      <c r="L19" s="217">
        <f t="shared" si="9"/>
        <v>0</v>
      </c>
      <c r="M19" s="223">
        <f>(2*$T19+2*$U19)*M$3</f>
        <v>0.4</v>
      </c>
      <c r="N19" s="217">
        <f t="shared" si="11"/>
        <v>0</v>
      </c>
      <c r="O19" s="223">
        <f>C19+E19+G19+I19+K19+M19</f>
        <v>4.8000000000000007</v>
      </c>
      <c r="P19" s="113" t="s">
        <v>111</v>
      </c>
      <c r="Q19" s="141"/>
      <c r="R19" s="137">
        <f>O19*Q19</f>
        <v>0</v>
      </c>
      <c r="T19" s="117">
        <v>0.1</v>
      </c>
      <c r="U19" s="213">
        <v>0.1</v>
      </c>
    </row>
    <row r="20" spans="1:21" x14ac:dyDescent="0.2">
      <c r="A20" s="139"/>
      <c r="B20" s="203"/>
      <c r="C20" s="138">
        <f t="shared" si="0"/>
        <v>0</v>
      </c>
      <c r="D20" s="138">
        <f t="shared" si="1"/>
        <v>0</v>
      </c>
      <c r="E20" s="138">
        <f t="shared" si="0"/>
        <v>0</v>
      </c>
      <c r="F20" s="138">
        <f t="shared" si="3"/>
        <v>0</v>
      </c>
      <c r="G20" s="138">
        <f t="shared" si="0"/>
        <v>0</v>
      </c>
      <c r="H20" s="138">
        <f t="shared" si="5"/>
        <v>0</v>
      </c>
      <c r="I20" s="138">
        <f t="shared" si="0"/>
        <v>0</v>
      </c>
      <c r="J20" s="138">
        <f t="shared" si="7"/>
        <v>0</v>
      </c>
      <c r="K20" s="138">
        <f t="shared" si="0"/>
        <v>0</v>
      </c>
      <c r="L20" s="138">
        <f t="shared" si="9"/>
        <v>0</v>
      </c>
      <c r="M20" s="138">
        <f t="shared" si="0"/>
        <v>0</v>
      </c>
      <c r="N20" s="138">
        <f t="shared" si="11"/>
        <v>0</v>
      </c>
      <c r="O20" s="41"/>
      <c r="P20" s="154"/>
      <c r="Q20" s="141"/>
      <c r="R20" s="137"/>
      <c r="T20" s="117"/>
      <c r="U20" s="213"/>
    </row>
    <row r="21" spans="1:21" ht="28.5" x14ac:dyDescent="0.2">
      <c r="A21" s="139" t="s">
        <v>67</v>
      </c>
      <c r="B21" s="203" t="s">
        <v>649</v>
      </c>
      <c r="C21" s="223">
        <f>(2*$T21+2*$U21)*C$3</f>
        <v>6.88</v>
      </c>
      <c r="D21" s="217">
        <f t="shared" si="1"/>
        <v>0</v>
      </c>
      <c r="E21" s="223">
        <f>(2*$T21+2*$U21)*E$3</f>
        <v>6.88</v>
      </c>
      <c r="F21" s="217">
        <f t="shared" si="3"/>
        <v>0</v>
      </c>
      <c r="G21" s="223">
        <f>(2*$T21+2*$U21)*G$3</f>
        <v>34.4</v>
      </c>
      <c r="H21" s="217">
        <f t="shared" si="5"/>
        <v>0</v>
      </c>
      <c r="I21" s="223">
        <f>(2*$T21+2*$U21)*I$3</f>
        <v>6.88</v>
      </c>
      <c r="J21" s="217">
        <f t="shared" si="7"/>
        <v>0</v>
      </c>
      <c r="K21" s="223">
        <f>(2*$T21+2*$U21)*K$3</f>
        <v>20.64</v>
      </c>
      <c r="L21" s="217">
        <f t="shared" si="9"/>
        <v>0</v>
      </c>
      <c r="M21" s="223">
        <f>(2*$T21+2*$U21)*M$3</f>
        <v>6.88</v>
      </c>
      <c r="N21" s="217">
        <f t="shared" si="11"/>
        <v>0</v>
      </c>
      <c r="O21" s="223">
        <f>C21+E21+G21+I21+K21+M21</f>
        <v>82.56</v>
      </c>
      <c r="P21" s="113" t="s">
        <v>111</v>
      </c>
      <c r="Q21" s="141"/>
      <c r="R21" s="137">
        <f>O21*Q21</f>
        <v>0</v>
      </c>
      <c r="T21" s="117">
        <v>1.72</v>
      </c>
      <c r="U21" s="213">
        <v>1.72</v>
      </c>
    </row>
    <row r="22" spans="1:21" x14ac:dyDescent="0.2">
      <c r="A22" s="139"/>
      <c r="B22" s="6"/>
      <c r="C22" s="138">
        <f t="shared" si="0"/>
        <v>0</v>
      </c>
      <c r="D22" s="138">
        <f t="shared" si="1"/>
        <v>0</v>
      </c>
      <c r="E22" s="138">
        <f t="shared" si="2"/>
        <v>0</v>
      </c>
      <c r="F22" s="138">
        <f t="shared" si="3"/>
        <v>0</v>
      </c>
      <c r="G22" s="138">
        <f t="shared" si="4"/>
        <v>0</v>
      </c>
      <c r="H22" s="138">
        <f t="shared" si="5"/>
        <v>0</v>
      </c>
      <c r="I22" s="138">
        <f t="shared" si="6"/>
        <v>0</v>
      </c>
      <c r="J22" s="138">
        <f t="shared" si="7"/>
        <v>0</v>
      </c>
      <c r="K22" s="138">
        <f t="shared" si="8"/>
        <v>0</v>
      </c>
      <c r="L22" s="138">
        <f t="shared" si="9"/>
        <v>0</v>
      </c>
      <c r="M22" s="138">
        <f t="shared" si="10"/>
        <v>0</v>
      </c>
      <c r="N22" s="138">
        <f t="shared" si="11"/>
        <v>0</v>
      </c>
      <c r="O22" s="138"/>
      <c r="P22" s="154"/>
      <c r="Q22" s="141"/>
      <c r="R22" s="137"/>
      <c r="T22" s="117"/>
    </row>
    <row r="23" spans="1:21" x14ac:dyDescent="0.2">
      <c r="A23" s="139"/>
      <c r="B23" s="89" t="s">
        <v>193</v>
      </c>
      <c r="C23" s="138">
        <f t="shared" si="0"/>
        <v>0</v>
      </c>
      <c r="D23" s="138">
        <f t="shared" si="1"/>
        <v>0</v>
      </c>
      <c r="E23" s="138">
        <f t="shared" si="2"/>
        <v>0</v>
      </c>
      <c r="F23" s="138">
        <f t="shared" si="3"/>
        <v>0</v>
      </c>
      <c r="G23" s="138">
        <f t="shared" si="4"/>
        <v>0</v>
      </c>
      <c r="H23" s="138">
        <f t="shared" si="5"/>
        <v>0</v>
      </c>
      <c r="I23" s="138">
        <f t="shared" si="6"/>
        <v>0</v>
      </c>
      <c r="J23" s="138">
        <f t="shared" si="7"/>
        <v>0</v>
      </c>
      <c r="K23" s="138">
        <f t="shared" si="8"/>
        <v>0</v>
      </c>
      <c r="L23" s="138">
        <f t="shared" si="9"/>
        <v>0</v>
      </c>
      <c r="M23" s="138">
        <f t="shared" si="10"/>
        <v>0</v>
      </c>
      <c r="N23" s="138">
        <f t="shared" si="11"/>
        <v>0</v>
      </c>
      <c r="O23" s="138"/>
      <c r="P23" s="154"/>
      <c r="Q23" s="141"/>
      <c r="R23" s="137"/>
      <c r="T23" s="117"/>
    </row>
    <row r="24" spans="1:21" x14ac:dyDescent="0.2">
      <c r="A24" s="139"/>
      <c r="B24" s="88"/>
      <c r="C24" s="138">
        <f t="shared" si="0"/>
        <v>0</v>
      </c>
      <c r="D24" s="138">
        <f t="shared" si="1"/>
        <v>0</v>
      </c>
      <c r="E24" s="138">
        <f t="shared" si="2"/>
        <v>0</v>
      </c>
      <c r="F24" s="138">
        <f t="shared" si="3"/>
        <v>0</v>
      </c>
      <c r="G24" s="138">
        <f t="shared" si="4"/>
        <v>0</v>
      </c>
      <c r="H24" s="138">
        <f t="shared" si="5"/>
        <v>0</v>
      </c>
      <c r="I24" s="138">
        <f t="shared" si="6"/>
        <v>0</v>
      </c>
      <c r="J24" s="138">
        <f t="shared" si="7"/>
        <v>0</v>
      </c>
      <c r="K24" s="138">
        <f t="shared" si="8"/>
        <v>0</v>
      </c>
      <c r="L24" s="138">
        <f t="shared" si="9"/>
        <v>0</v>
      </c>
      <c r="M24" s="138">
        <f t="shared" si="10"/>
        <v>0</v>
      </c>
      <c r="N24" s="138">
        <f t="shared" si="11"/>
        <v>0</v>
      </c>
      <c r="O24" s="138"/>
      <c r="P24" s="154"/>
      <c r="Q24" s="141"/>
      <c r="R24" s="137"/>
      <c r="T24" s="117"/>
    </row>
    <row r="25" spans="1:21" x14ac:dyDescent="0.2">
      <c r="A25" s="139" t="s">
        <v>68</v>
      </c>
      <c r="B25" s="88" t="s">
        <v>194</v>
      </c>
      <c r="C25" s="138">
        <f t="shared" si="0"/>
        <v>0</v>
      </c>
      <c r="D25" s="138">
        <f t="shared" si="1"/>
        <v>0</v>
      </c>
      <c r="E25" s="138">
        <f t="shared" si="2"/>
        <v>0</v>
      </c>
      <c r="F25" s="138">
        <f t="shared" si="3"/>
        <v>0</v>
      </c>
      <c r="G25" s="138">
        <f t="shared" si="4"/>
        <v>0</v>
      </c>
      <c r="H25" s="138">
        <f t="shared" si="5"/>
        <v>0</v>
      </c>
      <c r="I25" s="138">
        <f t="shared" si="6"/>
        <v>0</v>
      </c>
      <c r="J25" s="138">
        <f t="shared" si="7"/>
        <v>0</v>
      </c>
      <c r="K25" s="138">
        <f t="shared" si="8"/>
        <v>0</v>
      </c>
      <c r="L25" s="138">
        <f t="shared" si="9"/>
        <v>0</v>
      </c>
      <c r="M25" s="138">
        <f t="shared" si="10"/>
        <v>0</v>
      </c>
      <c r="N25" s="138">
        <f t="shared" si="11"/>
        <v>0</v>
      </c>
      <c r="O25" s="138">
        <f>C25+E25+G25+I25+K25+M25</f>
        <v>0</v>
      </c>
      <c r="P25" s="154" t="s">
        <v>5</v>
      </c>
      <c r="Q25" s="141"/>
      <c r="R25" s="137">
        <f>O25*Q25</f>
        <v>0</v>
      </c>
      <c r="T25" s="117"/>
    </row>
    <row r="26" spans="1:21" x14ac:dyDescent="0.2">
      <c r="A26" s="139"/>
      <c r="B26" s="88"/>
      <c r="C26" s="138">
        <f t="shared" si="0"/>
        <v>0</v>
      </c>
      <c r="D26" s="138">
        <f t="shared" si="1"/>
        <v>0</v>
      </c>
      <c r="E26" s="138">
        <f t="shared" si="2"/>
        <v>0</v>
      </c>
      <c r="F26" s="138">
        <f t="shared" si="3"/>
        <v>0</v>
      </c>
      <c r="G26" s="138">
        <f t="shared" si="4"/>
        <v>0</v>
      </c>
      <c r="H26" s="138">
        <f t="shared" si="5"/>
        <v>0</v>
      </c>
      <c r="I26" s="138">
        <f t="shared" si="6"/>
        <v>0</v>
      </c>
      <c r="J26" s="138">
        <f t="shared" si="7"/>
        <v>0</v>
      </c>
      <c r="K26" s="138">
        <f t="shared" si="8"/>
        <v>0</v>
      </c>
      <c r="L26" s="138">
        <f t="shared" si="9"/>
        <v>0</v>
      </c>
      <c r="M26" s="138">
        <f t="shared" si="10"/>
        <v>0</v>
      </c>
      <c r="N26" s="138">
        <f t="shared" si="11"/>
        <v>0</v>
      </c>
      <c r="O26" s="138"/>
      <c r="P26" s="154"/>
      <c r="Q26" s="141"/>
      <c r="R26" s="137"/>
      <c r="T26" s="117"/>
    </row>
    <row r="27" spans="1:21" x14ac:dyDescent="0.2">
      <c r="A27" s="490" t="s">
        <v>69</v>
      </c>
      <c r="B27" s="491" t="s">
        <v>195</v>
      </c>
      <c r="C27" s="492">
        <f t="shared" si="0"/>
        <v>0</v>
      </c>
      <c r="D27" s="492">
        <f t="shared" si="1"/>
        <v>0</v>
      </c>
      <c r="E27" s="492">
        <f t="shared" si="2"/>
        <v>0</v>
      </c>
      <c r="F27" s="492">
        <f t="shared" si="3"/>
        <v>0</v>
      </c>
      <c r="G27" s="492">
        <f t="shared" si="4"/>
        <v>0</v>
      </c>
      <c r="H27" s="492">
        <f t="shared" si="5"/>
        <v>0</v>
      </c>
      <c r="I27" s="492">
        <f t="shared" si="6"/>
        <v>0</v>
      </c>
      <c r="J27" s="492">
        <f t="shared" si="7"/>
        <v>0</v>
      </c>
      <c r="K27" s="492">
        <f t="shared" si="8"/>
        <v>0</v>
      </c>
      <c r="L27" s="492">
        <f t="shared" si="9"/>
        <v>0</v>
      </c>
      <c r="M27" s="492">
        <f t="shared" si="10"/>
        <v>0</v>
      </c>
      <c r="N27" s="492">
        <f t="shared" si="11"/>
        <v>0</v>
      </c>
      <c r="O27" s="492">
        <f>C27+E27+G27+I27+K27+M27</f>
        <v>0</v>
      </c>
      <c r="P27" s="493" t="s">
        <v>5</v>
      </c>
      <c r="Q27" s="494"/>
      <c r="R27" s="495" t="s">
        <v>904</v>
      </c>
      <c r="T27" s="117"/>
    </row>
    <row r="28" spans="1:21" x14ac:dyDescent="0.2">
      <c r="A28" s="139"/>
      <c r="B28" s="88"/>
      <c r="C28" s="138">
        <f t="shared" si="0"/>
        <v>0</v>
      </c>
      <c r="D28" s="138">
        <f t="shared" si="1"/>
        <v>0</v>
      </c>
      <c r="E28" s="138">
        <f t="shared" si="2"/>
        <v>0</v>
      </c>
      <c r="F28" s="138">
        <f t="shared" si="3"/>
        <v>0</v>
      </c>
      <c r="G28" s="138">
        <f t="shared" si="4"/>
        <v>0</v>
      </c>
      <c r="H28" s="138">
        <f t="shared" si="5"/>
        <v>0</v>
      </c>
      <c r="I28" s="138">
        <f t="shared" si="6"/>
        <v>0</v>
      </c>
      <c r="J28" s="138">
        <f t="shared" si="7"/>
        <v>0</v>
      </c>
      <c r="K28" s="138">
        <f t="shared" si="8"/>
        <v>0</v>
      </c>
      <c r="L28" s="138">
        <f t="shared" si="9"/>
        <v>0</v>
      </c>
      <c r="M28" s="138">
        <f t="shared" si="10"/>
        <v>0</v>
      </c>
      <c r="N28" s="138">
        <f t="shared" si="11"/>
        <v>0</v>
      </c>
      <c r="O28" s="138">
        <f t="shared" ref="O28" si="12">C28+E28+G28+I28+K28+M28</f>
        <v>0</v>
      </c>
      <c r="P28" s="154"/>
      <c r="Q28" s="141"/>
      <c r="R28" s="137"/>
      <c r="T28" s="117"/>
    </row>
    <row r="29" spans="1:21" x14ac:dyDescent="0.2">
      <c r="A29" s="139"/>
      <c r="B29" s="88"/>
      <c r="C29" s="138"/>
      <c r="D29" s="138"/>
      <c r="E29" s="138"/>
      <c r="F29" s="138"/>
      <c r="G29" s="138"/>
      <c r="H29" s="138"/>
      <c r="I29" s="138"/>
      <c r="J29" s="138"/>
      <c r="K29" s="138"/>
      <c r="L29" s="138"/>
      <c r="M29" s="138"/>
      <c r="N29" s="138"/>
      <c r="O29" s="138"/>
      <c r="P29" s="154"/>
      <c r="Q29" s="141"/>
      <c r="R29" s="137"/>
      <c r="T29" s="117"/>
    </row>
    <row r="30" spans="1:21" x14ac:dyDescent="0.2">
      <c r="A30" s="139"/>
      <c r="B30" s="88"/>
      <c r="C30" s="138"/>
      <c r="D30" s="138"/>
      <c r="E30" s="138"/>
      <c r="F30" s="138"/>
      <c r="G30" s="138"/>
      <c r="H30" s="138"/>
      <c r="I30" s="138"/>
      <c r="J30" s="138"/>
      <c r="K30" s="138"/>
      <c r="L30" s="138"/>
      <c r="M30" s="138"/>
      <c r="N30" s="138"/>
      <c r="O30" s="138"/>
      <c r="P30" s="154"/>
      <c r="Q30" s="141"/>
      <c r="R30" s="137"/>
      <c r="T30" s="117"/>
    </row>
    <row r="31" spans="1:21" x14ac:dyDescent="0.2">
      <c r="A31" s="139"/>
      <c r="B31" s="88"/>
      <c r="C31" s="138"/>
      <c r="D31" s="138"/>
      <c r="E31" s="138"/>
      <c r="F31" s="138"/>
      <c r="G31" s="138"/>
      <c r="H31" s="138"/>
      <c r="I31" s="138"/>
      <c r="J31" s="138"/>
      <c r="K31" s="138"/>
      <c r="L31" s="138"/>
      <c r="M31" s="138"/>
      <c r="N31" s="138"/>
      <c r="O31" s="138"/>
      <c r="P31" s="154"/>
      <c r="Q31" s="141"/>
      <c r="R31" s="137"/>
      <c r="T31" s="117"/>
    </row>
    <row r="32" spans="1:21" x14ac:dyDescent="0.2">
      <c r="A32" s="139"/>
      <c r="B32" s="88"/>
      <c r="C32" s="138"/>
      <c r="D32" s="138"/>
      <c r="E32" s="138"/>
      <c r="F32" s="138"/>
      <c r="G32" s="138"/>
      <c r="H32" s="138"/>
      <c r="I32" s="138"/>
      <c r="J32" s="138"/>
      <c r="K32" s="138"/>
      <c r="L32" s="138"/>
      <c r="M32" s="138"/>
      <c r="N32" s="138"/>
      <c r="O32" s="138"/>
      <c r="P32" s="154"/>
      <c r="Q32" s="141"/>
      <c r="R32" s="137"/>
      <c r="T32" s="117"/>
    </row>
    <row r="33" spans="1:21" x14ac:dyDescent="0.2">
      <c r="A33" s="139"/>
      <c r="B33" s="88"/>
      <c r="C33" s="138"/>
      <c r="D33" s="138"/>
      <c r="E33" s="138"/>
      <c r="F33" s="138"/>
      <c r="G33" s="138"/>
      <c r="H33" s="138"/>
      <c r="I33" s="138"/>
      <c r="J33" s="138"/>
      <c r="K33" s="138"/>
      <c r="L33" s="138"/>
      <c r="M33" s="138"/>
      <c r="N33" s="138"/>
      <c r="O33" s="138"/>
      <c r="P33" s="154"/>
      <c r="Q33" s="141"/>
      <c r="R33" s="137"/>
      <c r="T33" s="117"/>
    </row>
    <row r="34" spans="1:21" x14ac:dyDescent="0.2">
      <c r="A34" s="139"/>
      <c r="B34" s="88"/>
      <c r="C34" s="138"/>
      <c r="D34" s="138"/>
      <c r="E34" s="138"/>
      <c r="F34" s="138"/>
      <c r="G34" s="138"/>
      <c r="H34" s="138"/>
      <c r="I34" s="138"/>
      <c r="J34" s="138"/>
      <c r="K34" s="138"/>
      <c r="L34" s="138"/>
      <c r="M34" s="138"/>
      <c r="N34" s="138"/>
      <c r="O34" s="138"/>
      <c r="P34" s="154"/>
      <c r="Q34" s="141"/>
      <c r="R34" s="137"/>
      <c r="T34" s="117"/>
    </row>
    <row r="35" spans="1:21" x14ac:dyDescent="0.2">
      <c r="A35" s="139"/>
      <c r="B35" s="88"/>
      <c r="C35" s="138"/>
      <c r="D35" s="138"/>
      <c r="E35" s="138"/>
      <c r="F35" s="138"/>
      <c r="G35" s="138"/>
      <c r="H35" s="138"/>
      <c r="I35" s="138"/>
      <c r="J35" s="138"/>
      <c r="K35" s="138"/>
      <c r="L35" s="138"/>
      <c r="M35" s="138"/>
      <c r="N35" s="138"/>
      <c r="O35" s="138"/>
      <c r="P35" s="154"/>
      <c r="Q35" s="141"/>
      <c r="R35" s="137"/>
      <c r="T35" s="117"/>
    </row>
    <row r="36" spans="1:21" x14ac:dyDescent="0.2">
      <c r="A36" s="139"/>
      <c r="B36" s="88"/>
      <c r="C36" s="138"/>
      <c r="D36" s="138"/>
      <c r="E36" s="138"/>
      <c r="F36" s="138"/>
      <c r="G36" s="138"/>
      <c r="H36" s="138"/>
      <c r="I36" s="138"/>
      <c r="J36" s="138"/>
      <c r="K36" s="138"/>
      <c r="L36" s="138"/>
      <c r="M36" s="138"/>
      <c r="N36" s="138"/>
      <c r="O36" s="138"/>
      <c r="P36" s="154"/>
      <c r="Q36" s="141"/>
      <c r="R36" s="137"/>
      <c r="T36" s="117"/>
    </row>
    <row r="37" spans="1:21" x14ac:dyDescent="0.2">
      <c r="A37" s="139"/>
      <c r="B37" s="88"/>
      <c r="C37" s="138"/>
      <c r="D37" s="138"/>
      <c r="E37" s="138"/>
      <c r="F37" s="138"/>
      <c r="G37" s="138"/>
      <c r="H37" s="138"/>
      <c r="I37" s="138"/>
      <c r="J37" s="138"/>
      <c r="K37" s="138"/>
      <c r="L37" s="138"/>
      <c r="M37" s="138"/>
      <c r="N37" s="138"/>
      <c r="O37" s="138"/>
      <c r="P37" s="154"/>
      <c r="Q37" s="141"/>
      <c r="R37" s="137"/>
      <c r="T37" s="117"/>
    </row>
    <row r="38" spans="1:21" x14ac:dyDescent="0.2">
      <c r="A38" s="139"/>
      <c r="B38" s="88"/>
      <c r="C38" s="138"/>
      <c r="D38" s="138"/>
      <c r="E38" s="138"/>
      <c r="F38" s="138"/>
      <c r="G38" s="138"/>
      <c r="H38" s="138"/>
      <c r="I38" s="138"/>
      <c r="J38" s="138"/>
      <c r="K38" s="138"/>
      <c r="L38" s="138"/>
      <c r="M38" s="138"/>
      <c r="N38" s="138"/>
      <c r="O38" s="138"/>
      <c r="P38" s="154"/>
      <c r="Q38" s="141"/>
      <c r="R38" s="137"/>
      <c r="T38" s="117"/>
    </row>
    <row r="39" spans="1:21" x14ac:dyDescent="0.2">
      <c r="A39" s="139"/>
      <c r="B39" s="88"/>
      <c r="C39" s="138"/>
      <c r="D39" s="138"/>
      <c r="E39" s="138"/>
      <c r="F39" s="138"/>
      <c r="G39" s="138"/>
      <c r="H39" s="138"/>
      <c r="I39" s="138"/>
      <c r="J39" s="138"/>
      <c r="K39" s="138"/>
      <c r="L39" s="138"/>
      <c r="M39" s="138"/>
      <c r="N39" s="138"/>
      <c r="O39" s="138"/>
      <c r="P39" s="154"/>
      <c r="Q39" s="141"/>
      <c r="R39" s="137"/>
      <c r="T39" s="117"/>
    </row>
    <row r="40" spans="1:21" x14ac:dyDescent="0.2">
      <c r="A40" s="139"/>
      <c r="B40" s="88"/>
      <c r="C40" s="138"/>
      <c r="D40" s="138"/>
      <c r="E40" s="138"/>
      <c r="F40" s="138"/>
      <c r="G40" s="138"/>
      <c r="H40" s="138"/>
      <c r="I40" s="138"/>
      <c r="J40" s="138"/>
      <c r="K40" s="138"/>
      <c r="L40" s="138"/>
      <c r="M40" s="138"/>
      <c r="N40" s="138"/>
      <c r="O40" s="138"/>
      <c r="P40" s="154"/>
      <c r="Q40" s="141"/>
      <c r="R40" s="137"/>
      <c r="T40" s="117"/>
    </row>
    <row r="41" spans="1:21" x14ac:dyDescent="0.2">
      <c r="A41" s="139"/>
      <c r="B41" s="88"/>
      <c r="C41" s="138"/>
      <c r="D41" s="138"/>
      <c r="E41" s="138"/>
      <c r="F41" s="138"/>
      <c r="G41" s="138"/>
      <c r="H41" s="138"/>
      <c r="I41" s="138"/>
      <c r="J41" s="138"/>
      <c r="K41" s="138"/>
      <c r="L41" s="138"/>
      <c r="M41" s="138"/>
      <c r="N41" s="138"/>
      <c r="O41" s="138"/>
      <c r="P41" s="154"/>
      <c r="Q41" s="141"/>
      <c r="R41" s="137"/>
      <c r="T41" s="117"/>
    </row>
    <row r="42" spans="1:21" x14ac:dyDescent="0.2">
      <c r="A42" s="139"/>
      <c r="B42" s="6"/>
      <c r="C42" s="138"/>
      <c r="D42" s="138"/>
      <c r="E42" s="138"/>
      <c r="F42" s="138"/>
      <c r="G42" s="138"/>
      <c r="H42" s="138"/>
      <c r="I42" s="138"/>
      <c r="J42" s="138"/>
      <c r="K42" s="138"/>
      <c r="L42" s="138"/>
      <c r="M42" s="138"/>
      <c r="N42" s="138"/>
      <c r="O42" s="138"/>
      <c r="P42" s="154"/>
      <c r="Q42" s="141"/>
      <c r="R42" s="137"/>
      <c r="T42" s="117"/>
    </row>
    <row r="43" spans="1:21" x14ac:dyDescent="0.2">
      <c r="A43" s="139"/>
      <c r="B43" s="6"/>
      <c r="C43" s="138"/>
      <c r="D43" s="138"/>
      <c r="E43" s="138"/>
      <c r="F43" s="138"/>
      <c r="G43" s="138"/>
      <c r="H43" s="138"/>
      <c r="I43" s="138"/>
      <c r="J43" s="138"/>
      <c r="K43" s="138"/>
      <c r="L43" s="138"/>
      <c r="M43" s="138"/>
      <c r="N43" s="138"/>
      <c r="O43" s="138"/>
      <c r="P43" s="154"/>
      <c r="Q43" s="141"/>
      <c r="R43" s="137"/>
      <c r="T43" s="117"/>
    </row>
    <row r="44" spans="1:21" x14ac:dyDescent="0.2">
      <c r="A44" s="139"/>
      <c r="B44" s="24"/>
      <c r="C44" s="138"/>
      <c r="D44" s="138"/>
      <c r="E44" s="138"/>
      <c r="F44" s="138"/>
      <c r="G44" s="138"/>
      <c r="H44" s="138"/>
      <c r="I44" s="138"/>
      <c r="J44" s="138"/>
      <c r="K44" s="138"/>
      <c r="L44" s="138"/>
      <c r="M44" s="138"/>
      <c r="N44" s="138"/>
      <c r="O44" s="138"/>
      <c r="P44" s="154"/>
      <c r="Q44" s="141"/>
      <c r="R44" s="137"/>
      <c r="T44" s="117"/>
    </row>
    <row r="45" spans="1:21" x14ac:dyDescent="0.2">
      <c r="A45" s="139"/>
      <c r="B45" s="6"/>
      <c r="C45" s="138"/>
      <c r="D45" s="138"/>
      <c r="E45" s="138"/>
      <c r="F45" s="138"/>
      <c r="G45" s="138"/>
      <c r="H45" s="138"/>
      <c r="I45" s="138"/>
      <c r="J45" s="138"/>
      <c r="K45" s="138"/>
      <c r="L45" s="138"/>
      <c r="M45" s="138"/>
      <c r="N45" s="138"/>
      <c r="O45" s="138"/>
      <c r="P45" s="154"/>
      <c r="Q45" s="141"/>
      <c r="R45" s="137"/>
      <c r="T45" s="117"/>
    </row>
    <row r="46" spans="1:21" x14ac:dyDescent="0.2">
      <c r="A46" s="127"/>
      <c r="B46" s="136"/>
      <c r="C46" s="128"/>
      <c r="D46" s="120"/>
      <c r="E46" s="120"/>
      <c r="F46" s="120"/>
      <c r="G46" s="120"/>
      <c r="H46" s="120"/>
      <c r="I46" s="120"/>
      <c r="J46" s="120"/>
      <c r="K46" s="120"/>
      <c r="L46" s="120"/>
      <c r="M46" s="120"/>
      <c r="N46" s="120"/>
      <c r="O46" s="120"/>
      <c r="P46" s="154"/>
      <c r="Q46" s="141"/>
      <c r="R46" s="137"/>
      <c r="T46" s="117"/>
    </row>
    <row r="47" spans="1:21" x14ac:dyDescent="0.2">
      <c r="A47" s="129"/>
      <c r="B47" s="130"/>
      <c r="C47" s="131"/>
      <c r="D47" s="131"/>
      <c r="E47" s="131"/>
      <c r="F47" s="131"/>
      <c r="G47" s="131"/>
      <c r="H47" s="131"/>
      <c r="I47" s="131"/>
      <c r="J47" s="131"/>
      <c r="K47" s="131"/>
      <c r="L47" s="131"/>
      <c r="M47" s="131"/>
      <c r="N47" s="131"/>
      <c r="O47" s="131"/>
      <c r="P47" s="131"/>
      <c r="Q47" s="132"/>
      <c r="R47" s="126"/>
      <c r="T47" s="195"/>
      <c r="U47" s="134"/>
    </row>
    <row r="48" spans="1:21" x14ac:dyDescent="0.2">
      <c r="C48" s="122"/>
      <c r="D48" s="122"/>
      <c r="E48" s="122"/>
      <c r="F48" s="122"/>
      <c r="G48" s="122"/>
      <c r="H48" s="122"/>
      <c r="I48" s="122"/>
      <c r="J48" s="122"/>
      <c r="K48" s="122"/>
      <c r="L48" s="122"/>
      <c r="M48" s="122"/>
      <c r="N48" s="122"/>
      <c r="O48" s="122"/>
      <c r="P48" s="171" t="s">
        <v>1</v>
      </c>
      <c r="Q48" s="133" t="s">
        <v>0</v>
      </c>
      <c r="R48" s="137">
        <f>SUM(R4:R46)</f>
        <v>0</v>
      </c>
      <c r="T48" s="196"/>
      <c r="U48" s="135"/>
    </row>
    <row r="49" spans="1:21" x14ac:dyDescent="0.2">
      <c r="P49" s="188"/>
      <c r="Q49" s="124"/>
      <c r="R49" s="125"/>
      <c r="T49" s="117"/>
    </row>
    <row r="50" spans="1:21" x14ac:dyDescent="0.2">
      <c r="A50" s="139"/>
      <c r="B50" s="136"/>
      <c r="C50" s="128"/>
      <c r="D50" s="120"/>
      <c r="E50" s="120"/>
      <c r="F50" s="120"/>
      <c r="G50" s="120"/>
      <c r="H50" s="120"/>
      <c r="I50" s="120"/>
      <c r="J50" s="120"/>
      <c r="K50" s="120"/>
      <c r="L50" s="120"/>
      <c r="M50" s="120"/>
      <c r="N50" s="120"/>
      <c r="O50" s="120"/>
      <c r="P50" s="154"/>
      <c r="Q50" s="141"/>
      <c r="R50" s="137"/>
      <c r="T50" s="117"/>
    </row>
    <row r="51" spans="1:21" x14ac:dyDescent="0.2">
      <c r="A51" s="139"/>
      <c r="B51" s="160" t="s">
        <v>49</v>
      </c>
      <c r="C51" s="128"/>
      <c r="D51" s="120"/>
      <c r="E51" s="120"/>
      <c r="F51" s="120"/>
      <c r="G51" s="120"/>
      <c r="H51" s="120"/>
      <c r="I51" s="120"/>
      <c r="J51" s="120"/>
      <c r="K51" s="120"/>
      <c r="L51" s="120"/>
      <c r="M51" s="120"/>
      <c r="N51" s="120"/>
      <c r="O51" s="120"/>
      <c r="P51" s="154"/>
      <c r="Q51" s="141"/>
      <c r="R51" s="137"/>
      <c r="T51" s="117"/>
    </row>
    <row r="52" spans="1:21" x14ac:dyDescent="0.2">
      <c r="A52" s="139"/>
      <c r="B52" s="24"/>
      <c r="C52" s="138"/>
      <c r="D52" s="138"/>
      <c r="E52" s="138"/>
      <c r="F52" s="138"/>
      <c r="G52" s="138"/>
      <c r="H52" s="138"/>
      <c r="I52" s="138"/>
      <c r="J52" s="138"/>
      <c r="K52" s="138"/>
      <c r="L52" s="138"/>
      <c r="M52" s="138"/>
      <c r="N52" s="138"/>
      <c r="O52" s="138"/>
      <c r="P52" s="154"/>
      <c r="Q52" s="141"/>
      <c r="R52" s="137"/>
      <c r="T52" s="117"/>
    </row>
    <row r="53" spans="1:21" ht="57" customHeight="1" x14ac:dyDescent="0.2">
      <c r="A53" s="139"/>
      <c r="B53" s="448" t="s">
        <v>919</v>
      </c>
      <c r="C53" s="138">
        <f t="shared" ref="C53" si="13">ROUND(T53*C$3,0)</f>
        <v>0</v>
      </c>
      <c r="D53" s="138">
        <f t="shared" ref="D53" si="14">C53*$Q53</f>
        <v>0</v>
      </c>
      <c r="E53" s="138">
        <f t="shared" ref="E53" si="15">ROUND(U53*E$3,0)</f>
        <v>0</v>
      </c>
      <c r="F53" s="138">
        <f t="shared" ref="F53" si="16">E53*$Q53</f>
        <v>0</v>
      </c>
      <c r="G53" s="138"/>
      <c r="H53" s="138"/>
      <c r="I53" s="138"/>
      <c r="J53" s="138"/>
      <c r="K53" s="138"/>
      <c r="L53" s="138"/>
      <c r="M53" s="138"/>
      <c r="N53" s="138"/>
      <c r="O53" s="138"/>
      <c r="P53" s="154"/>
      <c r="Q53" s="141"/>
      <c r="R53" s="137"/>
      <c r="T53" s="117"/>
    </row>
    <row r="54" spans="1:21" x14ac:dyDescent="0.2">
      <c r="A54" s="139"/>
      <c r="B54" s="136"/>
      <c r="C54" s="138">
        <f t="shared" ref="C54:C68" si="17">ROUND((2*$T54+2*$U54)*C$3,0)</f>
        <v>0</v>
      </c>
      <c r="D54" s="138">
        <f t="shared" ref="D54:D68" si="18">C54*$Q54</f>
        <v>0</v>
      </c>
      <c r="E54" s="138">
        <f t="shared" ref="E54:E68" si="19">ROUND((2*$T54+3*$U54)*E$3,0)</f>
        <v>0</v>
      </c>
      <c r="F54" s="138">
        <f t="shared" ref="F54:F68" si="20">E54*$Q54</f>
        <v>0</v>
      </c>
      <c r="G54" s="138">
        <f t="shared" ref="G54:G68" si="21">ROUND((2*$T54+4*$U54)*G$3,0)</f>
        <v>0</v>
      </c>
      <c r="H54" s="138">
        <f t="shared" ref="H54:H68" si="22">G54*$Q54</f>
        <v>0</v>
      </c>
      <c r="I54" s="138">
        <f t="shared" ref="I54:I68" si="23">ROUND((2*$T54+5*$U54)*I$3,0)</f>
        <v>0</v>
      </c>
      <c r="J54" s="138">
        <f t="shared" ref="J54:J68" si="24">I54*$Q54</f>
        <v>0</v>
      </c>
      <c r="K54" s="138">
        <f t="shared" ref="K54:K68" si="25">ROUND((2*$T54+6*$U54)*K$3,0)</f>
        <v>0</v>
      </c>
      <c r="L54" s="138">
        <f t="shared" ref="L54:L68" si="26">K54*$Q54</f>
        <v>0</v>
      </c>
      <c r="M54" s="138">
        <f t="shared" ref="M54:M68" si="27">ROUND((2*$T54+7*$U54)*M$3,0)</f>
        <v>0</v>
      </c>
      <c r="N54" s="138">
        <f t="shared" ref="N54:N68" si="28">M54*$Q54</f>
        <v>0</v>
      </c>
      <c r="O54" s="138">
        <f t="shared" ref="O54:O68" si="29">C54+E54+G54+I54+K54+M54</f>
        <v>0</v>
      </c>
      <c r="P54" s="154"/>
      <c r="Q54" s="141"/>
      <c r="R54" s="137"/>
      <c r="T54" s="117"/>
    </row>
    <row r="55" spans="1:21" x14ac:dyDescent="0.2">
      <c r="A55" s="139" t="s">
        <v>66</v>
      </c>
      <c r="B55" s="136" t="s">
        <v>376</v>
      </c>
      <c r="C55" s="138">
        <f t="shared" si="17"/>
        <v>36</v>
      </c>
      <c r="D55" s="138">
        <f t="shared" si="18"/>
        <v>0</v>
      </c>
      <c r="E55" s="138">
        <f t="shared" si="19"/>
        <v>45</v>
      </c>
      <c r="F55" s="138">
        <f t="shared" si="20"/>
        <v>0</v>
      </c>
      <c r="G55" s="138">
        <f t="shared" si="21"/>
        <v>270</v>
      </c>
      <c r="H55" s="138">
        <f t="shared" si="22"/>
        <v>0</v>
      </c>
      <c r="I55" s="138">
        <f t="shared" si="23"/>
        <v>63</v>
      </c>
      <c r="J55" s="138">
        <f t="shared" si="24"/>
        <v>0</v>
      </c>
      <c r="K55" s="138">
        <f t="shared" si="25"/>
        <v>216</v>
      </c>
      <c r="L55" s="138">
        <f t="shared" si="26"/>
        <v>0</v>
      </c>
      <c r="M55" s="138">
        <f t="shared" si="27"/>
        <v>81</v>
      </c>
      <c r="N55" s="138">
        <f t="shared" si="28"/>
        <v>0</v>
      </c>
      <c r="O55" s="138">
        <f>C55+E55+G55+I55+K55+M55</f>
        <v>711</v>
      </c>
      <c r="P55" s="9" t="s">
        <v>12</v>
      </c>
      <c r="Q55" s="141"/>
      <c r="R55" s="137">
        <f>O55*Q55</f>
        <v>0</v>
      </c>
      <c r="T55" s="117">
        <v>9</v>
      </c>
      <c r="U55" s="142">
        <v>9</v>
      </c>
    </row>
    <row r="56" spans="1:21" x14ac:dyDescent="0.2">
      <c r="A56" s="139"/>
      <c r="B56" s="136"/>
      <c r="C56" s="138">
        <f t="shared" si="17"/>
        <v>0</v>
      </c>
      <c r="D56" s="138">
        <f t="shared" si="18"/>
        <v>0</v>
      </c>
      <c r="E56" s="138">
        <f t="shared" si="19"/>
        <v>0</v>
      </c>
      <c r="F56" s="138">
        <f t="shared" si="20"/>
        <v>0</v>
      </c>
      <c r="G56" s="138">
        <f t="shared" si="21"/>
        <v>0</v>
      </c>
      <c r="H56" s="138">
        <f t="shared" si="22"/>
        <v>0</v>
      </c>
      <c r="I56" s="138">
        <f t="shared" si="23"/>
        <v>0</v>
      </c>
      <c r="J56" s="138">
        <f t="shared" si="24"/>
        <v>0</v>
      </c>
      <c r="K56" s="138">
        <f t="shared" si="25"/>
        <v>0</v>
      </c>
      <c r="L56" s="138">
        <f t="shared" si="26"/>
        <v>0</v>
      </c>
      <c r="M56" s="138">
        <f t="shared" si="27"/>
        <v>0</v>
      </c>
      <c r="N56" s="138">
        <f t="shared" si="28"/>
        <v>0</v>
      </c>
      <c r="O56" s="138">
        <f t="shared" si="29"/>
        <v>0</v>
      </c>
      <c r="P56" s="154"/>
      <c r="Q56" s="141"/>
      <c r="R56" s="137"/>
      <c r="T56" s="117"/>
    </row>
    <row r="57" spans="1:21" x14ac:dyDescent="0.2">
      <c r="A57" s="139" t="s">
        <v>67</v>
      </c>
      <c r="B57" s="136" t="s">
        <v>462</v>
      </c>
      <c r="C57" s="138">
        <f t="shared" si="17"/>
        <v>8</v>
      </c>
      <c r="D57" s="138">
        <f t="shared" si="18"/>
        <v>0</v>
      </c>
      <c r="E57" s="138">
        <f t="shared" si="19"/>
        <v>10</v>
      </c>
      <c r="F57" s="138">
        <f t="shared" si="20"/>
        <v>0</v>
      </c>
      <c r="G57" s="138">
        <f t="shared" si="21"/>
        <v>60</v>
      </c>
      <c r="H57" s="138">
        <f t="shared" si="22"/>
        <v>0</v>
      </c>
      <c r="I57" s="138">
        <f t="shared" si="23"/>
        <v>14</v>
      </c>
      <c r="J57" s="138">
        <f t="shared" si="24"/>
        <v>0</v>
      </c>
      <c r="K57" s="138">
        <f t="shared" si="25"/>
        <v>48</v>
      </c>
      <c r="L57" s="138">
        <f t="shared" si="26"/>
        <v>0</v>
      </c>
      <c r="M57" s="138">
        <f t="shared" si="27"/>
        <v>18</v>
      </c>
      <c r="N57" s="138">
        <f t="shared" si="28"/>
        <v>0</v>
      </c>
      <c r="O57" s="138">
        <f>C57+E57+G57+I57+K57+M57</f>
        <v>158</v>
      </c>
      <c r="P57" s="9" t="s">
        <v>12</v>
      </c>
      <c r="Q57" s="141"/>
      <c r="R57" s="137">
        <f>O57*Q57</f>
        <v>0</v>
      </c>
      <c r="T57" s="117">
        <v>2</v>
      </c>
      <c r="U57" s="142">
        <v>2</v>
      </c>
    </row>
    <row r="58" spans="1:21" x14ac:dyDescent="0.2">
      <c r="A58" s="139"/>
      <c r="B58" s="110"/>
      <c r="C58" s="138">
        <f t="shared" si="17"/>
        <v>0</v>
      </c>
      <c r="D58" s="138">
        <f t="shared" si="18"/>
        <v>0</v>
      </c>
      <c r="E58" s="138">
        <f t="shared" si="19"/>
        <v>0</v>
      </c>
      <c r="F58" s="138">
        <f t="shared" si="20"/>
        <v>0</v>
      </c>
      <c r="G58" s="138">
        <f t="shared" si="21"/>
        <v>0</v>
      </c>
      <c r="H58" s="138">
        <f t="shared" si="22"/>
        <v>0</v>
      </c>
      <c r="I58" s="138">
        <f t="shared" si="23"/>
        <v>0</v>
      </c>
      <c r="J58" s="138">
        <f t="shared" si="24"/>
        <v>0</v>
      </c>
      <c r="K58" s="138">
        <f t="shared" si="25"/>
        <v>0</v>
      </c>
      <c r="L58" s="138">
        <f t="shared" si="26"/>
        <v>0</v>
      </c>
      <c r="M58" s="138">
        <f t="shared" si="27"/>
        <v>0</v>
      </c>
      <c r="N58" s="138">
        <f t="shared" si="28"/>
        <v>0</v>
      </c>
      <c r="O58" s="138">
        <f t="shared" si="29"/>
        <v>0</v>
      </c>
      <c r="P58" s="113"/>
      <c r="Q58" s="141"/>
      <c r="R58" s="137"/>
      <c r="T58" s="117"/>
    </row>
    <row r="59" spans="1:21" ht="57" customHeight="1" x14ac:dyDescent="0.2">
      <c r="A59" s="139"/>
      <c r="B59" s="244" t="s">
        <v>892</v>
      </c>
      <c r="C59" s="138">
        <f t="shared" si="17"/>
        <v>0</v>
      </c>
      <c r="D59" s="138">
        <f t="shared" si="18"/>
        <v>0</v>
      </c>
      <c r="E59" s="138">
        <f t="shared" si="19"/>
        <v>0</v>
      </c>
      <c r="F59" s="138">
        <f t="shared" si="20"/>
        <v>0</v>
      </c>
      <c r="G59" s="138">
        <f t="shared" si="21"/>
        <v>0</v>
      </c>
      <c r="H59" s="138">
        <f t="shared" si="22"/>
        <v>0</v>
      </c>
      <c r="I59" s="138">
        <f t="shared" si="23"/>
        <v>0</v>
      </c>
      <c r="J59" s="138">
        <f t="shared" si="24"/>
        <v>0</v>
      </c>
      <c r="K59" s="138">
        <f t="shared" si="25"/>
        <v>0</v>
      </c>
      <c r="L59" s="138">
        <f t="shared" si="26"/>
        <v>0</v>
      </c>
      <c r="M59" s="138">
        <f t="shared" si="27"/>
        <v>0</v>
      </c>
      <c r="N59" s="138">
        <f t="shared" si="28"/>
        <v>0</v>
      </c>
      <c r="O59" s="138">
        <f t="shared" si="29"/>
        <v>0</v>
      </c>
      <c r="P59" s="113"/>
      <c r="Q59" s="141"/>
      <c r="R59" s="137">
        <f>O59*Q59</f>
        <v>0</v>
      </c>
      <c r="T59" s="117"/>
    </row>
    <row r="60" spans="1:21" x14ac:dyDescent="0.2">
      <c r="A60" s="139"/>
      <c r="B60" s="110"/>
      <c r="C60" s="138">
        <f t="shared" si="17"/>
        <v>0</v>
      </c>
      <c r="D60" s="138">
        <f t="shared" si="18"/>
        <v>0</v>
      </c>
      <c r="E60" s="138">
        <f t="shared" si="19"/>
        <v>0</v>
      </c>
      <c r="F60" s="138">
        <f t="shared" si="20"/>
        <v>0</v>
      </c>
      <c r="G60" s="138">
        <f t="shared" si="21"/>
        <v>0</v>
      </c>
      <c r="H60" s="138">
        <f t="shared" si="22"/>
        <v>0</v>
      </c>
      <c r="I60" s="138">
        <f t="shared" si="23"/>
        <v>0</v>
      </c>
      <c r="J60" s="138">
        <f t="shared" si="24"/>
        <v>0</v>
      </c>
      <c r="K60" s="138">
        <f t="shared" si="25"/>
        <v>0</v>
      </c>
      <c r="L60" s="138">
        <f t="shared" si="26"/>
        <v>0</v>
      </c>
      <c r="M60" s="138">
        <f t="shared" si="27"/>
        <v>0</v>
      </c>
      <c r="N60" s="138">
        <f t="shared" si="28"/>
        <v>0</v>
      </c>
      <c r="O60" s="138">
        <f t="shared" si="29"/>
        <v>0</v>
      </c>
      <c r="P60" s="154"/>
      <c r="Q60" s="141"/>
      <c r="R60" s="137"/>
      <c r="T60" s="117"/>
    </row>
    <row r="61" spans="1:21" x14ac:dyDescent="0.2">
      <c r="A61" s="139" t="s">
        <v>68</v>
      </c>
      <c r="B61" s="110" t="s">
        <v>464</v>
      </c>
      <c r="C61" s="138">
        <f t="shared" si="17"/>
        <v>12</v>
      </c>
      <c r="D61" s="138">
        <f t="shared" si="18"/>
        <v>0</v>
      </c>
      <c r="E61" s="138">
        <f t="shared" si="19"/>
        <v>12</v>
      </c>
      <c r="F61" s="138">
        <f t="shared" si="20"/>
        <v>0</v>
      </c>
      <c r="G61" s="138">
        <f t="shared" si="21"/>
        <v>60</v>
      </c>
      <c r="H61" s="138">
        <f t="shared" si="22"/>
        <v>0</v>
      </c>
      <c r="I61" s="138">
        <f t="shared" si="23"/>
        <v>12</v>
      </c>
      <c r="J61" s="138">
        <f t="shared" si="24"/>
        <v>0</v>
      </c>
      <c r="K61" s="138">
        <f t="shared" si="25"/>
        <v>36</v>
      </c>
      <c r="L61" s="138">
        <f t="shared" si="26"/>
        <v>0</v>
      </c>
      <c r="M61" s="138">
        <f t="shared" si="27"/>
        <v>12</v>
      </c>
      <c r="N61" s="138">
        <f t="shared" si="28"/>
        <v>0</v>
      </c>
      <c r="O61" s="138">
        <f>C61+E61+G61+I61+K61+M61</f>
        <v>144</v>
      </c>
      <c r="P61" s="113" t="s">
        <v>12</v>
      </c>
      <c r="Q61" s="141"/>
      <c r="R61" s="137">
        <f>O61*Q61</f>
        <v>0</v>
      </c>
      <c r="T61" s="117">
        <v>6</v>
      </c>
      <c r="U61" s="142">
        <v>0</v>
      </c>
    </row>
    <row r="62" spans="1:21" x14ac:dyDescent="0.2">
      <c r="A62" s="139"/>
      <c r="B62" s="110"/>
      <c r="C62" s="138">
        <f t="shared" si="17"/>
        <v>0</v>
      </c>
      <c r="D62" s="138">
        <f t="shared" si="18"/>
        <v>0</v>
      </c>
      <c r="E62" s="138">
        <f t="shared" si="19"/>
        <v>0</v>
      </c>
      <c r="F62" s="138">
        <f t="shared" si="20"/>
        <v>0</v>
      </c>
      <c r="G62" s="138">
        <f t="shared" si="21"/>
        <v>0</v>
      </c>
      <c r="H62" s="138">
        <f t="shared" si="22"/>
        <v>0</v>
      </c>
      <c r="I62" s="138">
        <f t="shared" si="23"/>
        <v>0</v>
      </c>
      <c r="J62" s="138">
        <f t="shared" si="24"/>
        <v>0</v>
      </c>
      <c r="K62" s="138">
        <f t="shared" si="25"/>
        <v>0</v>
      </c>
      <c r="L62" s="138">
        <f t="shared" si="26"/>
        <v>0</v>
      </c>
      <c r="M62" s="138">
        <f t="shared" si="27"/>
        <v>0</v>
      </c>
      <c r="N62" s="138">
        <f t="shared" si="28"/>
        <v>0</v>
      </c>
      <c r="O62" s="138">
        <f t="shared" si="29"/>
        <v>0</v>
      </c>
      <c r="P62" s="113"/>
      <c r="Q62" s="141"/>
      <c r="R62" s="137"/>
      <c r="T62" s="117"/>
    </row>
    <row r="63" spans="1:21" x14ac:dyDescent="0.2">
      <c r="A63" s="139" t="s">
        <v>69</v>
      </c>
      <c r="B63" s="110" t="s">
        <v>311</v>
      </c>
      <c r="C63" s="138">
        <f t="shared" si="17"/>
        <v>10</v>
      </c>
      <c r="D63" s="138">
        <f t="shared" si="18"/>
        <v>0</v>
      </c>
      <c r="E63" s="138">
        <f t="shared" si="19"/>
        <v>13</v>
      </c>
      <c r="F63" s="138">
        <f t="shared" si="20"/>
        <v>0</v>
      </c>
      <c r="G63" s="138">
        <f t="shared" si="21"/>
        <v>80</v>
      </c>
      <c r="H63" s="138">
        <f t="shared" si="22"/>
        <v>0</v>
      </c>
      <c r="I63" s="138">
        <f t="shared" si="23"/>
        <v>19</v>
      </c>
      <c r="J63" s="138">
        <f t="shared" si="24"/>
        <v>0</v>
      </c>
      <c r="K63" s="138">
        <f t="shared" si="25"/>
        <v>66</v>
      </c>
      <c r="L63" s="138">
        <f t="shared" si="26"/>
        <v>0</v>
      </c>
      <c r="M63" s="138">
        <f t="shared" si="27"/>
        <v>25</v>
      </c>
      <c r="N63" s="138">
        <f t="shared" si="28"/>
        <v>0</v>
      </c>
      <c r="O63" s="138">
        <f>C63+E63+G63+I63+K63+M63</f>
        <v>213</v>
      </c>
      <c r="P63" s="113" t="s">
        <v>12</v>
      </c>
      <c r="Q63" s="141"/>
      <c r="R63" s="137">
        <f>O63*Q63</f>
        <v>0</v>
      </c>
      <c r="T63" s="117">
        <v>2</v>
      </c>
      <c r="U63" s="142">
        <v>3</v>
      </c>
    </row>
    <row r="64" spans="1:21" x14ac:dyDescent="0.2">
      <c r="A64" s="139"/>
      <c r="B64" s="110"/>
      <c r="C64" s="138">
        <f t="shared" si="17"/>
        <v>0</v>
      </c>
      <c r="D64" s="138">
        <f t="shared" si="18"/>
        <v>0</v>
      </c>
      <c r="E64" s="138">
        <f t="shared" si="19"/>
        <v>0</v>
      </c>
      <c r="F64" s="138">
        <f t="shared" si="20"/>
        <v>0</v>
      </c>
      <c r="G64" s="138">
        <f t="shared" si="21"/>
        <v>0</v>
      </c>
      <c r="H64" s="138">
        <f t="shared" si="22"/>
        <v>0</v>
      </c>
      <c r="I64" s="138">
        <f t="shared" si="23"/>
        <v>0</v>
      </c>
      <c r="J64" s="138">
        <f t="shared" si="24"/>
        <v>0</v>
      </c>
      <c r="K64" s="138">
        <f t="shared" si="25"/>
        <v>0</v>
      </c>
      <c r="L64" s="138">
        <f t="shared" si="26"/>
        <v>0</v>
      </c>
      <c r="M64" s="138">
        <f t="shared" si="27"/>
        <v>0</v>
      </c>
      <c r="N64" s="138">
        <f t="shared" si="28"/>
        <v>0</v>
      </c>
      <c r="O64" s="138">
        <f t="shared" si="29"/>
        <v>0</v>
      </c>
      <c r="P64" s="154"/>
      <c r="Q64" s="141"/>
      <c r="R64" s="137"/>
      <c r="T64" s="117"/>
    </row>
    <row r="65" spans="1:21" ht="57" x14ac:dyDescent="0.2">
      <c r="A65" s="139"/>
      <c r="B65" s="7" t="s">
        <v>312</v>
      </c>
      <c r="C65" s="138">
        <f t="shared" si="17"/>
        <v>0</v>
      </c>
      <c r="D65" s="138">
        <f t="shared" si="18"/>
        <v>0</v>
      </c>
      <c r="E65" s="138">
        <f t="shared" si="19"/>
        <v>0</v>
      </c>
      <c r="F65" s="138">
        <f t="shared" si="20"/>
        <v>0</v>
      </c>
      <c r="G65" s="138">
        <f t="shared" si="21"/>
        <v>0</v>
      </c>
      <c r="H65" s="138">
        <f t="shared" si="22"/>
        <v>0</v>
      </c>
      <c r="I65" s="138">
        <f t="shared" si="23"/>
        <v>0</v>
      </c>
      <c r="J65" s="138">
        <f t="shared" si="24"/>
        <v>0</v>
      </c>
      <c r="K65" s="138">
        <f t="shared" si="25"/>
        <v>0</v>
      </c>
      <c r="L65" s="138">
        <f t="shared" si="26"/>
        <v>0</v>
      </c>
      <c r="M65" s="138">
        <f t="shared" si="27"/>
        <v>0</v>
      </c>
      <c r="N65" s="138">
        <f t="shared" si="28"/>
        <v>0</v>
      </c>
      <c r="O65" s="138">
        <f t="shared" si="29"/>
        <v>0</v>
      </c>
      <c r="P65" s="113"/>
      <c r="Q65" s="141"/>
      <c r="R65" s="137">
        <f>O65*Q65</f>
        <v>0</v>
      </c>
      <c r="T65" s="117"/>
    </row>
    <row r="66" spans="1:21" x14ac:dyDescent="0.2">
      <c r="A66" s="139"/>
      <c r="B66" s="7"/>
      <c r="C66" s="138">
        <f t="shared" si="17"/>
        <v>0</v>
      </c>
      <c r="D66" s="138">
        <f t="shared" si="18"/>
        <v>0</v>
      </c>
      <c r="E66" s="138">
        <f t="shared" si="19"/>
        <v>0</v>
      </c>
      <c r="F66" s="138">
        <f t="shared" si="20"/>
        <v>0</v>
      </c>
      <c r="G66" s="138">
        <f t="shared" si="21"/>
        <v>0</v>
      </c>
      <c r="H66" s="138">
        <f t="shared" si="22"/>
        <v>0</v>
      </c>
      <c r="I66" s="138">
        <f t="shared" si="23"/>
        <v>0</v>
      </c>
      <c r="J66" s="138">
        <f t="shared" si="24"/>
        <v>0</v>
      </c>
      <c r="K66" s="138">
        <f t="shared" si="25"/>
        <v>0</v>
      </c>
      <c r="L66" s="138">
        <f t="shared" si="26"/>
        <v>0</v>
      </c>
      <c r="M66" s="138">
        <f t="shared" si="27"/>
        <v>0</v>
      </c>
      <c r="N66" s="138">
        <f t="shared" si="28"/>
        <v>0</v>
      </c>
      <c r="O66" s="138">
        <f t="shared" si="29"/>
        <v>0</v>
      </c>
      <c r="P66" s="113"/>
      <c r="Q66" s="141"/>
      <c r="R66" s="137"/>
      <c r="T66" s="117"/>
    </row>
    <row r="67" spans="1:21" x14ac:dyDescent="0.2">
      <c r="A67" s="139" t="s">
        <v>70</v>
      </c>
      <c r="B67" s="110" t="s">
        <v>465</v>
      </c>
      <c r="C67" s="138">
        <f t="shared" si="17"/>
        <v>4</v>
      </c>
      <c r="D67" s="138">
        <f t="shared" si="18"/>
        <v>0</v>
      </c>
      <c r="E67" s="138">
        <f t="shared" si="19"/>
        <v>5</v>
      </c>
      <c r="F67" s="138">
        <f t="shared" si="20"/>
        <v>0</v>
      </c>
      <c r="G67" s="138">
        <f t="shared" si="21"/>
        <v>30</v>
      </c>
      <c r="H67" s="138">
        <f t="shared" si="22"/>
        <v>0</v>
      </c>
      <c r="I67" s="138">
        <f t="shared" si="23"/>
        <v>7</v>
      </c>
      <c r="J67" s="138">
        <f t="shared" si="24"/>
        <v>0</v>
      </c>
      <c r="K67" s="138">
        <f t="shared" si="25"/>
        <v>24</v>
      </c>
      <c r="L67" s="138">
        <f t="shared" si="26"/>
        <v>0</v>
      </c>
      <c r="M67" s="138">
        <f t="shared" si="27"/>
        <v>9</v>
      </c>
      <c r="N67" s="138">
        <f t="shared" si="28"/>
        <v>0</v>
      </c>
      <c r="O67" s="138">
        <f>C67+E67+G67+I67+K67+M67</f>
        <v>79</v>
      </c>
      <c r="P67" s="113" t="s">
        <v>269</v>
      </c>
      <c r="Q67" s="141"/>
      <c r="R67" s="137">
        <f>O67*Q67</f>
        <v>0</v>
      </c>
      <c r="T67" s="117">
        <v>1</v>
      </c>
      <c r="U67" s="142">
        <v>1</v>
      </c>
    </row>
    <row r="68" spans="1:21" x14ac:dyDescent="0.2">
      <c r="A68" s="139"/>
      <c r="B68" s="110"/>
      <c r="C68" s="138">
        <f t="shared" si="17"/>
        <v>0</v>
      </c>
      <c r="D68" s="138">
        <f t="shared" si="18"/>
        <v>0</v>
      </c>
      <c r="E68" s="138">
        <f t="shared" si="19"/>
        <v>0</v>
      </c>
      <c r="F68" s="138">
        <f t="shared" si="20"/>
        <v>0</v>
      </c>
      <c r="G68" s="138">
        <f t="shared" si="21"/>
        <v>0</v>
      </c>
      <c r="H68" s="138">
        <f t="shared" si="22"/>
        <v>0</v>
      </c>
      <c r="I68" s="138">
        <f t="shared" si="23"/>
        <v>0</v>
      </c>
      <c r="J68" s="138">
        <f t="shared" si="24"/>
        <v>0</v>
      </c>
      <c r="K68" s="138">
        <f t="shared" si="25"/>
        <v>0</v>
      </c>
      <c r="L68" s="138">
        <f t="shared" si="26"/>
        <v>0</v>
      </c>
      <c r="M68" s="138">
        <f t="shared" si="27"/>
        <v>0</v>
      </c>
      <c r="N68" s="138">
        <f t="shared" si="28"/>
        <v>0</v>
      </c>
      <c r="O68" s="138">
        <f t="shared" si="29"/>
        <v>0</v>
      </c>
      <c r="P68" s="113"/>
      <c r="Q68" s="141"/>
      <c r="R68" s="137"/>
      <c r="T68" s="117"/>
    </row>
    <row r="69" spans="1:21" x14ac:dyDescent="0.2">
      <c r="A69" s="139"/>
      <c r="B69" s="110"/>
      <c r="C69" s="138"/>
      <c r="D69" s="138"/>
      <c r="E69" s="138"/>
      <c r="F69" s="138"/>
      <c r="G69" s="138"/>
      <c r="H69" s="138"/>
      <c r="I69" s="138"/>
      <c r="J69" s="138"/>
      <c r="K69" s="138"/>
      <c r="L69" s="138"/>
      <c r="M69" s="138"/>
      <c r="N69" s="138"/>
      <c r="O69" s="138"/>
      <c r="P69" s="113"/>
      <c r="Q69" s="141"/>
      <c r="R69" s="137"/>
      <c r="T69" s="117"/>
    </row>
    <row r="70" spans="1:21" x14ac:dyDescent="0.2">
      <c r="A70" s="139"/>
      <c r="B70" s="110"/>
      <c r="C70" s="138"/>
      <c r="D70" s="138"/>
      <c r="E70" s="138"/>
      <c r="F70" s="138"/>
      <c r="G70" s="138"/>
      <c r="H70" s="138"/>
      <c r="I70" s="138"/>
      <c r="J70" s="138"/>
      <c r="K70" s="138"/>
      <c r="L70" s="138"/>
      <c r="M70" s="138"/>
      <c r="N70" s="138"/>
      <c r="O70" s="138"/>
      <c r="P70" s="113"/>
      <c r="Q70" s="141"/>
      <c r="R70" s="137"/>
      <c r="T70" s="117"/>
    </row>
    <row r="71" spans="1:21" x14ac:dyDescent="0.2">
      <c r="A71" s="139"/>
      <c r="B71" s="110"/>
      <c r="C71" s="138"/>
      <c r="D71" s="138"/>
      <c r="E71" s="138"/>
      <c r="F71" s="138"/>
      <c r="G71" s="138"/>
      <c r="H71" s="138"/>
      <c r="I71" s="138"/>
      <c r="J71" s="138"/>
      <c r="K71" s="138"/>
      <c r="L71" s="138"/>
      <c r="M71" s="138"/>
      <c r="N71" s="138"/>
      <c r="O71" s="138"/>
      <c r="P71" s="113"/>
      <c r="Q71" s="141"/>
      <c r="R71" s="137"/>
      <c r="T71" s="117"/>
    </row>
    <row r="72" spans="1:21" x14ac:dyDescent="0.2">
      <c r="A72" s="139"/>
      <c r="B72" s="110"/>
      <c r="C72" s="138"/>
      <c r="D72" s="138"/>
      <c r="E72" s="138"/>
      <c r="F72" s="138"/>
      <c r="G72" s="138"/>
      <c r="H72" s="138"/>
      <c r="I72" s="138"/>
      <c r="J72" s="138"/>
      <c r="K72" s="138"/>
      <c r="L72" s="138"/>
      <c r="M72" s="138"/>
      <c r="N72" s="138"/>
      <c r="O72" s="138"/>
      <c r="P72" s="113"/>
      <c r="Q72" s="141"/>
      <c r="R72" s="137"/>
      <c r="T72" s="117"/>
    </row>
    <row r="73" spans="1:21" x14ac:dyDescent="0.2">
      <c r="A73" s="139"/>
      <c r="B73" s="110"/>
      <c r="C73" s="138"/>
      <c r="D73" s="138"/>
      <c r="E73" s="138"/>
      <c r="F73" s="138"/>
      <c r="G73" s="138"/>
      <c r="H73" s="138"/>
      <c r="I73" s="138"/>
      <c r="J73" s="138"/>
      <c r="K73" s="138"/>
      <c r="L73" s="138"/>
      <c r="M73" s="138"/>
      <c r="N73" s="138"/>
      <c r="O73" s="138"/>
      <c r="P73" s="113"/>
      <c r="Q73" s="141"/>
      <c r="R73" s="137"/>
      <c r="T73" s="117"/>
    </row>
    <row r="74" spans="1:21" x14ac:dyDescent="0.2">
      <c r="A74" s="139"/>
      <c r="B74" s="110"/>
      <c r="C74" s="138"/>
      <c r="D74" s="138"/>
      <c r="E74" s="138"/>
      <c r="F74" s="138"/>
      <c r="G74" s="138"/>
      <c r="H74" s="138"/>
      <c r="I74" s="138"/>
      <c r="J74" s="138"/>
      <c r="K74" s="138"/>
      <c r="L74" s="138"/>
      <c r="M74" s="138"/>
      <c r="N74" s="138"/>
      <c r="O74" s="138"/>
      <c r="P74" s="113"/>
      <c r="Q74" s="141"/>
      <c r="R74" s="137"/>
      <c r="T74" s="117"/>
    </row>
    <row r="75" spans="1:21" x14ac:dyDescent="0.2">
      <c r="A75" s="139"/>
      <c r="B75" s="110"/>
      <c r="C75" s="138"/>
      <c r="D75" s="138"/>
      <c r="E75" s="138"/>
      <c r="F75" s="138"/>
      <c r="G75" s="138"/>
      <c r="H75" s="138"/>
      <c r="I75" s="138"/>
      <c r="J75" s="138"/>
      <c r="K75" s="138"/>
      <c r="L75" s="138"/>
      <c r="M75" s="138"/>
      <c r="N75" s="138"/>
      <c r="O75" s="138"/>
      <c r="P75" s="113"/>
      <c r="Q75" s="141"/>
      <c r="R75" s="137"/>
      <c r="T75" s="117"/>
    </row>
    <row r="76" spans="1:21" x14ac:dyDescent="0.2">
      <c r="A76" s="139"/>
      <c r="B76" s="110"/>
      <c r="C76" s="138"/>
      <c r="D76" s="138"/>
      <c r="E76" s="138"/>
      <c r="F76" s="138"/>
      <c r="G76" s="138"/>
      <c r="H76" s="138"/>
      <c r="I76" s="138"/>
      <c r="J76" s="138"/>
      <c r="K76" s="138"/>
      <c r="L76" s="138"/>
      <c r="M76" s="138"/>
      <c r="N76" s="138"/>
      <c r="O76" s="138"/>
      <c r="P76" s="113"/>
      <c r="Q76" s="141"/>
      <c r="R76" s="137"/>
      <c r="T76" s="117"/>
    </row>
    <row r="77" spans="1:21" x14ac:dyDescent="0.2">
      <c r="A77" s="139"/>
      <c r="B77" s="110"/>
      <c r="C77" s="138"/>
      <c r="D77" s="138"/>
      <c r="E77" s="138"/>
      <c r="F77" s="138"/>
      <c r="G77" s="138"/>
      <c r="H77" s="138"/>
      <c r="I77" s="138"/>
      <c r="J77" s="138"/>
      <c r="K77" s="138"/>
      <c r="L77" s="138"/>
      <c r="M77" s="138"/>
      <c r="N77" s="138"/>
      <c r="O77" s="138"/>
      <c r="P77" s="113"/>
      <c r="Q77" s="141"/>
      <c r="R77" s="137"/>
      <c r="T77" s="117"/>
    </row>
    <row r="78" spans="1:21" x14ac:dyDescent="0.2">
      <c r="A78" s="139"/>
      <c r="B78" s="110"/>
      <c r="C78" s="138"/>
      <c r="D78" s="138"/>
      <c r="E78" s="138"/>
      <c r="F78" s="138"/>
      <c r="G78" s="138"/>
      <c r="H78" s="138"/>
      <c r="I78" s="138"/>
      <c r="J78" s="138"/>
      <c r="K78" s="138"/>
      <c r="L78" s="138"/>
      <c r="M78" s="138"/>
      <c r="N78" s="138"/>
      <c r="O78" s="138"/>
      <c r="P78" s="113"/>
      <c r="Q78" s="141"/>
      <c r="R78" s="137"/>
      <c r="T78" s="117"/>
    </row>
    <row r="79" spans="1:21" x14ac:dyDescent="0.2">
      <c r="A79" s="139"/>
      <c r="B79" s="110"/>
      <c r="C79" s="138"/>
      <c r="D79" s="138"/>
      <c r="E79" s="138"/>
      <c r="F79" s="138"/>
      <c r="G79" s="138"/>
      <c r="H79" s="138"/>
      <c r="I79" s="138"/>
      <c r="J79" s="138"/>
      <c r="K79" s="138"/>
      <c r="L79" s="138"/>
      <c r="M79" s="138"/>
      <c r="N79" s="138"/>
      <c r="O79" s="138"/>
      <c r="P79" s="113"/>
      <c r="Q79" s="141"/>
      <c r="R79" s="137"/>
      <c r="T79" s="117"/>
    </row>
    <row r="80" spans="1:21" x14ac:dyDescent="0.2">
      <c r="A80" s="139"/>
      <c r="B80" s="110"/>
      <c r="C80" s="138"/>
      <c r="D80" s="138"/>
      <c r="E80" s="138"/>
      <c r="F80" s="138"/>
      <c r="G80" s="138"/>
      <c r="H80" s="138"/>
      <c r="I80" s="138"/>
      <c r="J80" s="138"/>
      <c r="K80" s="138"/>
      <c r="L80" s="138"/>
      <c r="M80" s="138"/>
      <c r="N80" s="138"/>
      <c r="O80" s="138"/>
      <c r="P80" s="113"/>
      <c r="Q80" s="141"/>
      <c r="R80" s="137"/>
      <c r="T80" s="117"/>
    </row>
    <row r="81" spans="1:21" x14ac:dyDescent="0.2">
      <c r="A81" s="139"/>
      <c r="B81" s="110"/>
      <c r="C81" s="138"/>
      <c r="D81" s="138"/>
      <c r="E81" s="138"/>
      <c r="F81" s="138"/>
      <c r="G81" s="138"/>
      <c r="H81" s="138"/>
      <c r="I81" s="138"/>
      <c r="J81" s="138"/>
      <c r="K81" s="138"/>
      <c r="L81" s="138"/>
      <c r="M81" s="138"/>
      <c r="N81" s="138"/>
      <c r="O81" s="138"/>
      <c r="P81" s="113"/>
      <c r="Q81" s="141"/>
      <c r="R81" s="137"/>
      <c r="T81" s="117"/>
    </row>
    <row r="82" spans="1:21" x14ac:dyDescent="0.2">
      <c r="A82" s="139"/>
      <c r="B82" s="110"/>
      <c r="C82" s="138"/>
      <c r="D82" s="138"/>
      <c r="E82" s="138"/>
      <c r="F82" s="138"/>
      <c r="G82" s="138"/>
      <c r="H82" s="138"/>
      <c r="I82" s="138"/>
      <c r="J82" s="138"/>
      <c r="K82" s="138"/>
      <c r="L82" s="138"/>
      <c r="M82" s="138"/>
      <c r="N82" s="138"/>
      <c r="O82" s="138"/>
      <c r="P82" s="113"/>
      <c r="Q82" s="141"/>
      <c r="R82" s="137"/>
      <c r="T82" s="117"/>
    </row>
    <row r="83" spans="1:21" x14ac:dyDescent="0.2">
      <c r="A83" s="139"/>
      <c r="B83" s="110"/>
      <c r="C83" s="138"/>
      <c r="D83" s="138"/>
      <c r="E83" s="138"/>
      <c r="F83" s="138"/>
      <c r="G83" s="138"/>
      <c r="H83" s="138"/>
      <c r="I83" s="138"/>
      <c r="J83" s="138"/>
      <c r="K83" s="138"/>
      <c r="L83" s="138"/>
      <c r="M83" s="138"/>
      <c r="N83" s="138"/>
      <c r="O83" s="138"/>
      <c r="P83" s="113"/>
      <c r="Q83" s="141"/>
      <c r="R83" s="137"/>
      <c r="T83" s="117"/>
    </row>
    <row r="84" spans="1:21" x14ac:dyDescent="0.2">
      <c r="A84" s="139"/>
      <c r="B84" s="110"/>
      <c r="C84" s="138"/>
      <c r="D84" s="138"/>
      <c r="E84" s="138"/>
      <c r="F84" s="138"/>
      <c r="G84" s="138"/>
      <c r="H84" s="138"/>
      <c r="I84" s="138"/>
      <c r="J84" s="138"/>
      <c r="K84" s="138"/>
      <c r="L84" s="138"/>
      <c r="M84" s="138"/>
      <c r="N84" s="138"/>
      <c r="O84" s="138"/>
      <c r="P84" s="113"/>
      <c r="Q84" s="141"/>
      <c r="R84" s="137"/>
      <c r="T84" s="117"/>
    </row>
    <row r="85" spans="1:21" x14ac:dyDescent="0.2">
      <c r="A85" s="139"/>
      <c r="B85" s="110"/>
      <c r="C85" s="138"/>
      <c r="D85" s="138"/>
      <c r="E85" s="138"/>
      <c r="F85" s="138"/>
      <c r="G85" s="138"/>
      <c r="H85" s="138"/>
      <c r="I85" s="138"/>
      <c r="J85" s="138"/>
      <c r="K85" s="138"/>
      <c r="L85" s="138"/>
      <c r="M85" s="138"/>
      <c r="N85" s="138"/>
      <c r="O85" s="138"/>
      <c r="P85" s="113"/>
      <c r="Q85" s="141"/>
      <c r="R85" s="137"/>
      <c r="T85" s="117"/>
    </row>
    <row r="86" spans="1:21" x14ac:dyDescent="0.2">
      <c r="A86" s="127"/>
      <c r="B86" s="136"/>
      <c r="C86" s="128"/>
      <c r="D86" s="120"/>
      <c r="E86" s="120"/>
      <c r="F86" s="120"/>
      <c r="G86" s="120"/>
      <c r="H86" s="120"/>
      <c r="I86" s="120"/>
      <c r="J86" s="120"/>
      <c r="K86" s="120"/>
      <c r="L86" s="120"/>
      <c r="M86" s="120"/>
      <c r="N86" s="120"/>
      <c r="O86" s="120"/>
      <c r="P86" s="154"/>
      <c r="Q86" s="141"/>
      <c r="R86" s="137"/>
      <c r="T86" s="117"/>
    </row>
    <row r="87" spans="1:21" x14ac:dyDescent="0.2">
      <c r="A87" s="129"/>
      <c r="B87" s="130"/>
      <c r="C87" s="131"/>
      <c r="D87" s="131"/>
      <c r="E87" s="131"/>
      <c r="F87" s="131"/>
      <c r="G87" s="131"/>
      <c r="H87" s="131"/>
      <c r="I87" s="131"/>
      <c r="J87" s="131"/>
      <c r="K87" s="131"/>
      <c r="L87" s="131"/>
      <c r="M87" s="131"/>
      <c r="N87" s="131"/>
      <c r="O87" s="131"/>
      <c r="P87" s="131"/>
      <c r="Q87" s="132"/>
      <c r="R87" s="126"/>
      <c r="T87" s="195"/>
      <c r="U87" s="134"/>
    </row>
    <row r="88" spans="1:21" x14ac:dyDescent="0.2">
      <c r="C88" s="122"/>
      <c r="D88" s="122"/>
      <c r="E88" s="122"/>
      <c r="F88" s="122"/>
      <c r="G88" s="122"/>
      <c r="H88" s="122"/>
      <c r="I88" s="122"/>
      <c r="J88" s="122"/>
      <c r="K88" s="122"/>
      <c r="L88" s="122"/>
      <c r="M88" s="122"/>
      <c r="N88" s="122"/>
      <c r="O88" s="122"/>
      <c r="P88" s="171" t="s">
        <v>1</v>
      </c>
      <c r="Q88" s="133" t="s">
        <v>0</v>
      </c>
      <c r="R88" s="137">
        <f>SUM(R50:R86)</f>
        <v>0</v>
      </c>
      <c r="T88" s="196"/>
      <c r="U88" s="135"/>
    </row>
    <row r="89" spans="1:21" x14ac:dyDescent="0.2">
      <c r="P89" s="188"/>
      <c r="Q89" s="124"/>
      <c r="R89" s="125"/>
      <c r="T89" s="117"/>
    </row>
    <row r="90" spans="1:21" x14ac:dyDescent="0.2">
      <c r="A90" s="139"/>
      <c r="B90" s="136"/>
      <c r="C90" s="128"/>
      <c r="D90" s="120"/>
      <c r="E90" s="120"/>
      <c r="F90" s="120"/>
      <c r="G90" s="120"/>
      <c r="H90" s="120"/>
      <c r="I90" s="120"/>
      <c r="J90" s="120"/>
      <c r="K90" s="120"/>
      <c r="L90" s="120"/>
      <c r="M90" s="120"/>
      <c r="N90" s="120"/>
      <c r="O90" s="120"/>
      <c r="P90" s="154"/>
      <c r="Q90" s="141"/>
      <c r="R90" s="137"/>
      <c r="T90" s="117"/>
    </row>
    <row r="91" spans="1:21" x14ac:dyDescent="0.2">
      <c r="A91" s="139"/>
      <c r="B91" s="160" t="s">
        <v>50</v>
      </c>
      <c r="C91" s="128"/>
      <c r="D91" s="120"/>
      <c r="E91" s="120"/>
      <c r="F91" s="120"/>
      <c r="G91" s="120"/>
      <c r="H91" s="120"/>
      <c r="I91" s="120"/>
      <c r="J91" s="120"/>
      <c r="K91" s="120"/>
      <c r="L91" s="120"/>
      <c r="M91" s="120"/>
      <c r="N91" s="120"/>
      <c r="O91" s="120"/>
      <c r="P91" s="154"/>
      <c r="Q91" s="141"/>
      <c r="R91" s="137"/>
      <c r="T91" s="117"/>
    </row>
    <row r="92" spans="1:21" x14ac:dyDescent="0.2">
      <c r="A92" s="139"/>
      <c r="B92" s="24"/>
      <c r="C92" s="138"/>
      <c r="D92" s="138"/>
      <c r="E92" s="138"/>
      <c r="F92" s="138"/>
      <c r="G92" s="138"/>
      <c r="H92" s="138"/>
      <c r="I92" s="138"/>
      <c r="J92" s="138"/>
      <c r="K92" s="138"/>
      <c r="L92" s="138"/>
      <c r="M92" s="138"/>
      <c r="N92" s="138"/>
      <c r="O92" s="138"/>
      <c r="P92" s="154"/>
      <c r="Q92" s="141"/>
      <c r="R92" s="137"/>
      <c r="T92" s="117"/>
    </row>
    <row r="93" spans="1:21" ht="42.75" x14ac:dyDescent="0.2">
      <c r="A93" s="139"/>
      <c r="B93" s="448" t="s">
        <v>908</v>
      </c>
      <c r="C93" s="138">
        <f t="shared" ref="C93:C105" si="30">ROUND((2*$T93+2*$U93)*C$3,0)</f>
        <v>0</v>
      </c>
      <c r="D93" s="138">
        <f t="shared" ref="D93:D105" si="31">C93*$Q93</f>
        <v>0</v>
      </c>
      <c r="E93" s="138">
        <f t="shared" ref="E93:E105" si="32">ROUND((2*$T93+3*$U93)*E$3,0)</f>
        <v>0</v>
      </c>
      <c r="F93" s="138">
        <f t="shared" ref="F93:F105" si="33">E93*$Q93</f>
        <v>0</v>
      </c>
      <c r="G93" s="138">
        <f t="shared" ref="G93:G105" si="34">ROUND((2*$T93+4*$U93)*G$3,0)</f>
        <v>0</v>
      </c>
      <c r="H93" s="138">
        <f t="shared" ref="H93:H105" si="35">G93*$Q93</f>
        <v>0</v>
      </c>
      <c r="I93" s="138">
        <f t="shared" ref="I93:I105" si="36">ROUND((2*$T93+5*$U93)*I$3,0)</f>
        <v>0</v>
      </c>
      <c r="J93" s="138">
        <f t="shared" ref="J93:J105" si="37">I93*$Q93</f>
        <v>0</v>
      </c>
      <c r="K93" s="138">
        <f t="shared" ref="K93:K105" si="38">ROUND((2*$T93+6*$U93)*K$3,0)</f>
        <v>0</v>
      </c>
      <c r="L93" s="138">
        <f t="shared" ref="L93:L105" si="39">K93*$Q93</f>
        <v>0</v>
      </c>
      <c r="M93" s="138">
        <f t="shared" ref="M93:M105" si="40">ROUND((2*$T93+7*$U93)*M$3,0)</f>
        <v>0</v>
      </c>
      <c r="N93" s="138">
        <f t="shared" ref="N93:N105" si="41">M93*$Q93</f>
        <v>0</v>
      </c>
      <c r="O93" s="138">
        <f t="shared" ref="O93:O104" si="42">C93+E93+G93+I93+K93+M93</f>
        <v>0</v>
      </c>
      <c r="P93" s="154"/>
      <c r="Q93" s="141"/>
      <c r="R93" s="137"/>
      <c r="T93" s="117"/>
    </row>
    <row r="94" spans="1:21" x14ac:dyDescent="0.2">
      <c r="A94" s="139"/>
      <c r="B94" s="24"/>
      <c r="C94" s="138">
        <f t="shared" si="30"/>
        <v>0</v>
      </c>
      <c r="D94" s="138">
        <f t="shared" si="31"/>
        <v>0</v>
      </c>
      <c r="E94" s="138">
        <f t="shared" si="32"/>
        <v>0</v>
      </c>
      <c r="F94" s="138">
        <f t="shared" si="33"/>
        <v>0</v>
      </c>
      <c r="G94" s="138">
        <f t="shared" si="34"/>
        <v>0</v>
      </c>
      <c r="H94" s="138">
        <f t="shared" si="35"/>
        <v>0</v>
      </c>
      <c r="I94" s="138">
        <f t="shared" si="36"/>
        <v>0</v>
      </c>
      <c r="J94" s="138">
        <f t="shared" si="37"/>
        <v>0</v>
      </c>
      <c r="K94" s="138">
        <f t="shared" si="38"/>
        <v>0</v>
      </c>
      <c r="L94" s="138">
        <f t="shared" si="39"/>
        <v>0</v>
      </c>
      <c r="M94" s="138">
        <f t="shared" si="40"/>
        <v>0</v>
      </c>
      <c r="N94" s="138">
        <f t="shared" si="41"/>
        <v>0</v>
      </c>
      <c r="O94" s="138">
        <f t="shared" si="42"/>
        <v>0</v>
      </c>
      <c r="P94" s="154"/>
      <c r="Q94" s="141"/>
      <c r="R94" s="137"/>
      <c r="T94" s="117"/>
    </row>
    <row r="95" spans="1:21" x14ac:dyDescent="0.2">
      <c r="A95" s="139" t="s">
        <v>66</v>
      </c>
      <c r="B95" s="166" t="s">
        <v>377</v>
      </c>
      <c r="C95" s="138">
        <f t="shared" si="30"/>
        <v>2</v>
      </c>
      <c r="D95" s="138">
        <f t="shared" si="31"/>
        <v>0</v>
      </c>
      <c r="E95" s="138">
        <f t="shared" si="32"/>
        <v>2</v>
      </c>
      <c r="F95" s="138">
        <f t="shared" si="33"/>
        <v>0</v>
      </c>
      <c r="G95" s="138">
        <f t="shared" si="34"/>
        <v>10</v>
      </c>
      <c r="H95" s="138">
        <f t="shared" si="35"/>
        <v>0</v>
      </c>
      <c r="I95" s="138">
        <f t="shared" si="36"/>
        <v>2</v>
      </c>
      <c r="J95" s="138">
        <f t="shared" si="37"/>
        <v>0</v>
      </c>
      <c r="K95" s="138">
        <f t="shared" si="38"/>
        <v>6</v>
      </c>
      <c r="L95" s="138">
        <f t="shared" si="39"/>
        <v>0</v>
      </c>
      <c r="M95" s="138">
        <f t="shared" si="40"/>
        <v>2</v>
      </c>
      <c r="N95" s="138">
        <f t="shared" si="41"/>
        <v>0</v>
      </c>
      <c r="O95" s="138">
        <f>C95+E95+G95+I95+K95+M95</f>
        <v>24</v>
      </c>
      <c r="P95" s="113" t="s">
        <v>269</v>
      </c>
      <c r="Q95" s="141"/>
      <c r="R95" s="137">
        <f>O95*Q95</f>
        <v>0</v>
      </c>
      <c r="T95" s="117">
        <v>1</v>
      </c>
      <c r="U95" s="142">
        <v>0</v>
      </c>
    </row>
    <row r="96" spans="1:21" x14ac:dyDescent="0.2">
      <c r="A96" s="139"/>
      <c r="B96" s="24"/>
      <c r="C96" s="138">
        <f t="shared" si="30"/>
        <v>0</v>
      </c>
      <c r="D96" s="138">
        <f t="shared" si="31"/>
        <v>0</v>
      </c>
      <c r="E96" s="138">
        <f t="shared" si="32"/>
        <v>0</v>
      </c>
      <c r="F96" s="138">
        <f t="shared" si="33"/>
        <v>0</v>
      </c>
      <c r="G96" s="138">
        <f t="shared" si="34"/>
        <v>0</v>
      </c>
      <c r="H96" s="138">
        <f t="shared" si="35"/>
        <v>0</v>
      </c>
      <c r="I96" s="138">
        <f t="shared" si="36"/>
        <v>0</v>
      </c>
      <c r="J96" s="138">
        <f t="shared" si="37"/>
        <v>0</v>
      </c>
      <c r="K96" s="138">
        <f t="shared" si="38"/>
        <v>0</v>
      </c>
      <c r="L96" s="138">
        <f t="shared" si="39"/>
        <v>0</v>
      </c>
      <c r="M96" s="138">
        <f t="shared" si="40"/>
        <v>0</v>
      </c>
      <c r="N96" s="138">
        <f t="shared" si="41"/>
        <v>0</v>
      </c>
      <c r="O96" s="138">
        <f t="shared" si="42"/>
        <v>0</v>
      </c>
      <c r="P96" s="154"/>
      <c r="Q96" s="141"/>
      <c r="R96" s="137"/>
      <c r="T96" s="117"/>
    </row>
    <row r="97" spans="1:21" ht="42.75" x14ac:dyDescent="0.2">
      <c r="A97" s="139"/>
      <c r="B97" s="7" t="s">
        <v>893</v>
      </c>
      <c r="C97" s="138">
        <f t="shared" si="30"/>
        <v>0</v>
      </c>
      <c r="D97" s="138">
        <f t="shared" si="31"/>
        <v>0</v>
      </c>
      <c r="E97" s="138">
        <f t="shared" si="32"/>
        <v>0</v>
      </c>
      <c r="F97" s="138">
        <f t="shared" si="33"/>
        <v>0</v>
      </c>
      <c r="G97" s="138">
        <f t="shared" si="34"/>
        <v>0</v>
      </c>
      <c r="H97" s="138">
        <f t="shared" si="35"/>
        <v>0</v>
      </c>
      <c r="I97" s="138">
        <f t="shared" si="36"/>
        <v>0</v>
      </c>
      <c r="J97" s="138">
        <f t="shared" si="37"/>
        <v>0</v>
      </c>
      <c r="K97" s="138">
        <f t="shared" si="38"/>
        <v>0</v>
      </c>
      <c r="L97" s="138">
        <f t="shared" si="39"/>
        <v>0</v>
      </c>
      <c r="M97" s="138">
        <f t="shared" si="40"/>
        <v>0</v>
      </c>
      <c r="N97" s="138">
        <f t="shared" si="41"/>
        <v>0</v>
      </c>
      <c r="O97" s="138">
        <f t="shared" si="42"/>
        <v>0</v>
      </c>
      <c r="P97" s="154"/>
      <c r="Q97" s="141"/>
      <c r="R97" s="137"/>
      <c r="S97" s="122"/>
      <c r="T97" s="117"/>
    </row>
    <row r="98" spans="1:21" x14ac:dyDescent="0.2">
      <c r="A98" s="139"/>
      <c r="B98" s="88"/>
      <c r="C98" s="138">
        <f t="shared" si="30"/>
        <v>0</v>
      </c>
      <c r="D98" s="138">
        <f t="shared" si="31"/>
        <v>0</v>
      </c>
      <c r="E98" s="138">
        <f t="shared" si="32"/>
        <v>0</v>
      </c>
      <c r="F98" s="138">
        <f t="shared" si="33"/>
        <v>0</v>
      </c>
      <c r="G98" s="138">
        <f t="shared" si="34"/>
        <v>0</v>
      </c>
      <c r="H98" s="138">
        <f t="shared" si="35"/>
        <v>0</v>
      </c>
      <c r="I98" s="138">
        <f t="shared" si="36"/>
        <v>0</v>
      </c>
      <c r="J98" s="138">
        <f t="shared" si="37"/>
        <v>0</v>
      </c>
      <c r="K98" s="138">
        <f t="shared" si="38"/>
        <v>0</v>
      </c>
      <c r="L98" s="138">
        <f t="shared" si="39"/>
        <v>0</v>
      </c>
      <c r="M98" s="138">
        <f t="shared" si="40"/>
        <v>0</v>
      </c>
      <c r="N98" s="138">
        <f t="shared" si="41"/>
        <v>0</v>
      </c>
      <c r="O98" s="138">
        <f t="shared" si="42"/>
        <v>0</v>
      </c>
      <c r="P98" s="154"/>
      <c r="Q98" s="141"/>
      <c r="R98" s="137"/>
      <c r="T98" s="117"/>
    </row>
    <row r="99" spans="1:21" x14ac:dyDescent="0.2">
      <c r="A99" s="139" t="s">
        <v>67</v>
      </c>
      <c r="B99" s="136" t="s">
        <v>425</v>
      </c>
      <c r="C99" s="138">
        <f t="shared" si="30"/>
        <v>2</v>
      </c>
      <c r="D99" s="138">
        <f t="shared" si="31"/>
        <v>0</v>
      </c>
      <c r="E99" s="138">
        <f t="shared" si="32"/>
        <v>2</v>
      </c>
      <c r="F99" s="138">
        <f t="shared" si="33"/>
        <v>0</v>
      </c>
      <c r="G99" s="138">
        <f t="shared" si="34"/>
        <v>10</v>
      </c>
      <c r="H99" s="138">
        <f t="shared" si="35"/>
        <v>0</v>
      </c>
      <c r="I99" s="138">
        <f t="shared" si="36"/>
        <v>2</v>
      </c>
      <c r="J99" s="138">
        <f t="shared" si="37"/>
        <v>0</v>
      </c>
      <c r="K99" s="138">
        <f t="shared" si="38"/>
        <v>6</v>
      </c>
      <c r="L99" s="138">
        <f t="shared" si="39"/>
        <v>0</v>
      </c>
      <c r="M99" s="138">
        <f t="shared" si="40"/>
        <v>2</v>
      </c>
      <c r="N99" s="138">
        <f t="shared" si="41"/>
        <v>0</v>
      </c>
      <c r="O99" s="138">
        <f>C99+E99+G99+I99+K99+M99</f>
        <v>24</v>
      </c>
      <c r="P99" s="113" t="s">
        <v>269</v>
      </c>
      <c r="Q99" s="141"/>
      <c r="R99" s="137">
        <f>O99*Q99</f>
        <v>0</v>
      </c>
      <c r="T99" s="117">
        <v>1</v>
      </c>
      <c r="U99" s="142">
        <v>0</v>
      </c>
    </row>
    <row r="100" spans="1:21" x14ac:dyDescent="0.2">
      <c r="A100" s="139"/>
      <c r="B100" s="24"/>
      <c r="C100" s="138">
        <f t="shared" si="30"/>
        <v>0</v>
      </c>
      <c r="D100" s="138">
        <f t="shared" si="31"/>
        <v>0</v>
      </c>
      <c r="E100" s="138">
        <f t="shared" si="32"/>
        <v>0</v>
      </c>
      <c r="F100" s="138">
        <f t="shared" si="33"/>
        <v>0</v>
      </c>
      <c r="G100" s="138">
        <f t="shared" si="34"/>
        <v>0</v>
      </c>
      <c r="H100" s="138">
        <f t="shared" si="35"/>
        <v>0</v>
      </c>
      <c r="I100" s="138">
        <f t="shared" si="36"/>
        <v>0</v>
      </c>
      <c r="J100" s="138">
        <f t="shared" si="37"/>
        <v>0</v>
      </c>
      <c r="K100" s="138">
        <f t="shared" si="38"/>
        <v>0</v>
      </c>
      <c r="L100" s="138">
        <f t="shared" si="39"/>
        <v>0</v>
      </c>
      <c r="M100" s="138">
        <f t="shared" si="40"/>
        <v>0</v>
      </c>
      <c r="N100" s="138">
        <f t="shared" si="41"/>
        <v>0</v>
      </c>
      <c r="O100" s="138">
        <f t="shared" si="42"/>
        <v>0</v>
      </c>
      <c r="P100" s="154"/>
      <c r="Q100" s="141"/>
      <c r="R100" s="137"/>
      <c r="T100" s="117"/>
    </row>
    <row r="101" spans="1:21" ht="57" x14ac:dyDescent="0.2">
      <c r="A101" s="139"/>
      <c r="B101" s="244" t="s">
        <v>922</v>
      </c>
      <c r="C101" s="138"/>
      <c r="D101" s="138"/>
      <c r="E101" s="138"/>
      <c r="F101" s="138"/>
      <c r="G101" s="138"/>
      <c r="H101" s="138"/>
      <c r="I101" s="138"/>
      <c r="J101" s="138"/>
      <c r="K101" s="138"/>
      <c r="L101" s="138"/>
      <c r="M101" s="138"/>
      <c r="N101" s="138"/>
      <c r="O101" s="138"/>
      <c r="P101" s="154"/>
      <c r="Q101" s="141"/>
      <c r="R101" s="137"/>
      <c r="S101" s="122"/>
      <c r="T101" s="117"/>
    </row>
    <row r="102" spans="1:21" x14ac:dyDescent="0.2">
      <c r="A102" s="139"/>
      <c r="B102" s="88"/>
      <c r="C102" s="138">
        <f t="shared" si="30"/>
        <v>0</v>
      </c>
      <c r="D102" s="138">
        <f t="shared" si="31"/>
        <v>0</v>
      </c>
      <c r="E102" s="138">
        <f t="shared" si="32"/>
        <v>0</v>
      </c>
      <c r="F102" s="138">
        <f t="shared" si="33"/>
        <v>0</v>
      </c>
      <c r="G102" s="138">
        <f t="shared" si="34"/>
        <v>0</v>
      </c>
      <c r="H102" s="138">
        <f t="shared" si="35"/>
        <v>0</v>
      </c>
      <c r="I102" s="138">
        <f t="shared" si="36"/>
        <v>0</v>
      </c>
      <c r="J102" s="138">
        <f t="shared" si="37"/>
        <v>0</v>
      </c>
      <c r="K102" s="138">
        <f t="shared" si="38"/>
        <v>0</v>
      </c>
      <c r="L102" s="138">
        <f t="shared" si="39"/>
        <v>0</v>
      </c>
      <c r="M102" s="138">
        <f t="shared" si="40"/>
        <v>0</v>
      </c>
      <c r="N102" s="138">
        <f t="shared" si="41"/>
        <v>0</v>
      </c>
      <c r="O102" s="138">
        <f t="shared" si="42"/>
        <v>0</v>
      </c>
      <c r="P102" s="154"/>
      <c r="Q102" s="141"/>
      <c r="R102" s="137"/>
      <c r="T102" s="117"/>
    </row>
    <row r="103" spans="1:21" x14ac:dyDescent="0.2">
      <c r="A103" s="139" t="s">
        <v>68</v>
      </c>
      <c r="B103" s="136" t="s">
        <v>378</v>
      </c>
      <c r="C103" s="138">
        <f t="shared" si="30"/>
        <v>6</v>
      </c>
      <c r="D103" s="138">
        <f t="shared" si="31"/>
        <v>0</v>
      </c>
      <c r="E103" s="138">
        <f t="shared" si="32"/>
        <v>6</v>
      </c>
      <c r="F103" s="138">
        <f t="shared" si="33"/>
        <v>0</v>
      </c>
      <c r="G103" s="138">
        <f t="shared" si="34"/>
        <v>30</v>
      </c>
      <c r="H103" s="138">
        <f t="shared" si="35"/>
        <v>0</v>
      </c>
      <c r="I103" s="138">
        <f t="shared" si="36"/>
        <v>6</v>
      </c>
      <c r="J103" s="138">
        <f t="shared" si="37"/>
        <v>0</v>
      </c>
      <c r="K103" s="138">
        <f t="shared" si="38"/>
        <v>18</v>
      </c>
      <c r="L103" s="138">
        <f t="shared" si="39"/>
        <v>0</v>
      </c>
      <c r="M103" s="138">
        <f t="shared" si="40"/>
        <v>6</v>
      </c>
      <c r="N103" s="138">
        <f t="shared" si="41"/>
        <v>0</v>
      </c>
      <c r="O103" s="138">
        <f>C103+E103+G103+I103+K103+M103</f>
        <v>72</v>
      </c>
      <c r="P103" s="113" t="s">
        <v>12</v>
      </c>
      <c r="Q103" s="141"/>
      <c r="R103" s="137">
        <f>O103*Q103</f>
        <v>0</v>
      </c>
      <c r="T103" s="117">
        <v>3</v>
      </c>
      <c r="U103" s="142">
        <v>0</v>
      </c>
    </row>
    <row r="104" spans="1:21" x14ac:dyDescent="0.2">
      <c r="A104" s="139"/>
      <c r="B104" s="136"/>
      <c r="C104" s="138">
        <f t="shared" si="30"/>
        <v>0</v>
      </c>
      <c r="D104" s="138">
        <f t="shared" si="31"/>
        <v>0</v>
      </c>
      <c r="E104" s="138">
        <f t="shared" si="32"/>
        <v>0</v>
      </c>
      <c r="F104" s="138">
        <f t="shared" si="33"/>
        <v>0</v>
      </c>
      <c r="G104" s="138">
        <f t="shared" si="34"/>
        <v>0</v>
      </c>
      <c r="H104" s="138">
        <f t="shared" si="35"/>
        <v>0</v>
      </c>
      <c r="I104" s="138">
        <f t="shared" si="36"/>
        <v>0</v>
      </c>
      <c r="J104" s="138">
        <f t="shared" si="37"/>
        <v>0</v>
      </c>
      <c r="K104" s="138">
        <f t="shared" si="38"/>
        <v>0</v>
      </c>
      <c r="L104" s="138">
        <f t="shared" si="39"/>
        <v>0</v>
      </c>
      <c r="M104" s="138">
        <f t="shared" si="40"/>
        <v>0</v>
      </c>
      <c r="N104" s="138">
        <f t="shared" si="41"/>
        <v>0</v>
      </c>
      <c r="O104" s="138">
        <f t="shared" si="42"/>
        <v>0</v>
      </c>
      <c r="P104" s="113"/>
      <c r="Q104" s="141"/>
      <c r="R104" s="137"/>
      <c r="T104" s="117"/>
    </row>
    <row r="105" spans="1:21" x14ac:dyDescent="0.2">
      <c r="A105" s="139" t="s">
        <v>69</v>
      </c>
      <c r="B105" s="201" t="s">
        <v>569</v>
      </c>
      <c r="C105" s="138">
        <f t="shared" si="30"/>
        <v>2</v>
      </c>
      <c r="D105" s="138">
        <f t="shared" si="31"/>
        <v>0</v>
      </c>
      <c r="E105" s="138">
        <f t="shared" si="32"/>
        <v>2</v>
      </c>
      <c r="F105" s="138">
        <f t="shared" si="33"/>
        <v>0</v>
      </c>
      <c r="G105" s="138">
        <f t="shared" si="34"/>
        <v>10</v>
      </c>
      <c r="H105" s="138">
        <f t="shared" si="35"/>
        <v>0</v>
      </c>
      <c r="I105" s="138">
        <f t="shared" si="36"/>
        <v>2</v>
      </c>
      <c r="J105" s="138">
        <f t="shared" si="37"/>
        <v>0</v>
      </c>
      <c r="K105" s="138">
        <f t="shared" si="38"/>
        <v>6</v>
      </c>
      <c r="L105" s="138">
        <f t="shared" si="39"/>
        <v>0</v>
      </c>
      <c r="M105" s="138">
        <f t="shared" si="40"/>
        <v>2</v>
      </c>
      <c r="N105" s="138">
        <f t="shared" si="41"/>
        <v>0</v>
      </c>
      <c r="O105" s="138">
        <f>C105+E105+G105+I105+K105+M105</f>
        <v>24</v>
      </c>
      <c r="P105" s="113" t="s">
        <v>269</v>
      </c>
      <c r="Q105" s="141"/>
      <c r="R105" s="137">
        <f>O105*Q105</f>
        <v>0</v>
      </c>
      <c r="T105" s="117">
        <v>1</v>
      </c>
      <c r="U105" s="142">
        <v>0</v>
      </c>
    </row>
    <row r="106" spans="1:21" x14ac:dyDescent="0.2">
      <c r="A106" s="127"/>
      <c r="B106" s="136"/>
      <c r="C106" s="138"/>
      <c r="D106" s="138"/>
      <c r="E106" s="138"/>
      <c r="F106" s="138"/>
      <c r="G106" s="138"/>
      <c r="H106" s="138"/>
      <c r="I106" s="138"/>
      <c r="J106" s="138"/>
      <c r="K106" s="138"/>
      <c r="L106" s="138"/>
      <c r="M106" s="138"/>
      <c r="N106" s="138"/>
      <c r="O106" s="138"/>
      <c r="P106" s="154"/>
      <c r="Q106" s="141"/>
      <c r="R106" s="137"/>
      <c r="T106" s="117"/>
    </row>
    <row r="107" spans="1:21" ht="30" customHeight="1" x14ac:dyDescent="0.2">
      <c r="A107" s="127"/>
      <c r="B107" s="82"/>
      <c r="C107" s="138"/>
      <c r="D107" s="138"/>
      <c r="E107" s="138"/>
      <c r="F107" s="138"/>
      <c r="G107" s="138"/>
      <c r="H107" s="138"/>
      <c r="I107" s="138"/>
      <c r="J107" s="138"/>
      <c r="K107" s="138"/>
      <c r="L107" s="138"/>
      <c r="M107" s="138"/>
      <c r="N107" s="138"/>
      <c r="O107" s="138"/>
      <c r="P107" s="154"/>
      <c r="Q107" s="141"/>
      <c r="R107" s="137"/>
      <c r="T107" s="117"/>
    </row>
    <row r="108" spans="1:21" x14ac:dyDescent="0.2">
      <c r="A108" s="139"/>
      <c r="B108" s="136"/>
      <c r="C108" s="138"/>
      <c r="D108" s="138"/>
      <c r="E108" s="138"/>
      <c r="F108" s="138"/>
      <c r="G108" s="138"/>
      <c r="H108" s="138"/>
      <c r="I108" s="138"/>
      <c r="J108" s="138"/>
      <c r="K108" s="138"/>
      <c r="L108" s="138"/>
      <c r="M108" s="138"/>
      <c r="N108" s="138"/>
      <c r="O108" s="138"/>
      <c r="P108" s="154"/>
      <c r="Q108" s="141"/>
      <c r="R108" s="137"/>
      <c r="T108" s="117"/>
    </row>
    <row r="109" spans="1:21" x14ac:dyDescent="0.2">
      <c r="A109" s="139"/>
      <c r="B109" s="166"/>
      <c r="C109" s="138"/>
      <c r="D109" s="138"/>
      <c r="E109" s="138"/>
      <c r="F109" s="138"/>
      <c r="G109" s="138"/>
      <c r="H109" s="138"/>
      <c r="I109" s="138"/>
      <c r="J109" s="138"/>
      <c r="K109" s="138"/>
      <c r="L109" s="138"/>
      <c r="M109" s="138"/>
      <c r="N109" s="138"/>
      <c r="O109" s="138"/>
      <c r="P109" s="113"/>
      <c r="Q109" s="141"/>
      <c r="R109" s="137"/>
      <c r="T109" s="117"/>
    </row>
    <row r="110" spans="1:21" x14ac:dyDescent="0.2">
      <c r="A110" s="139"/>
      <c r="B110" s="136"/>
      <c r="C110" s="138"/>
      <c r="D110" s="138"/>
      <c r="E110" s="138"/>
      <c r="F110" s="138"/>
      <c r="G110" s="138"/>
      <c r="H110" s="138"/>
      <c r="I110" s="138"/>
      <c r="J110" s="138"/>
      <c r="K110" s="138"/>
      <c r="L110" s="138"/>
      <c r="M110" s="138"/>
      <c r="N110" s="138"/>
      <c r="O110" s="138"/>
      <c r="P110" s="154"/>
      <c r="Q110" s="141"/>
      <c r="R110" s="137"/>
      <c r="T110" s="117"/>
    </row>
    <row r="111" spans="1:21" x14ac:dyDescent="0.2">
      <c r="A111" s="139"/>
      <c r="B111" s="166"/>
      <c r="C111" s="138"/>
      <c r="D111" s="138"/>
      <c r="E111" s="138"/>
      <c r="F111" s="138"/>
      <c r="G111" s="138"/>
      <c r="H111" s="138"/>
      <c r="I111" s="138"/>
      <c r="J111" s="138"/>
      <c r="K111" s="138"/>
      <c r="L111" s="138"/>
      <c r="M111" s="138"/>
      <c r="N111" s="138"/>
      <c r="O111" s="138"/>
      <c r="P111" s="113"/>
      <c r="Q111" s="141"/>
      <c r="R111" s="137"/>
      <c r="T111" s="117"/>
    </row>
    <row r="112" spans="1:21" x14ac:dyDescent="0.2">
      <c r="A112" s="139"/>
      <c r="B112" s="166"/>
      <c r="C112" s="138"/>
      <c r="D112" s="138"/>
      <c r="E112" s="138"/>
      <c r="F112" s="138"/>
      <c r="G112" s="138"/>
      <c r="H112" s="138"/>
      <c r="I112" s="138"/>
      <c r="J112" s="138"/>
      <c r="K112" s="138"/>
      <c r="L112" s="138"/>
      <c r="M112" s="138"/>
      <c r="N112" s="138">
        <f>M112*$Q112</f>
        <v>0</v>
      </c>
      <c r="O112" s="138">
        <f>C112+E112+G112+I112+K112+M112</f>
        <v>0</v>
      </c>
      <c r="P112" s="113"/>
      <c r="Q112" s="141"/>
      <c r="R112" s="137"/>
      <c r="T112" s="117"/>
    </row>
    <row r="113" spans="1:21" x14ac:dyDescent="0.2">
      <c r="A113" s="139"/>
      <c r="B113" s="166"/>
      <c r="C113" s="138"/>
      <c r="D113" s="138"/>
      <c r="E113" s="138"/>
      <c r="F113" s="138"/>
      <c r="G113" s="138"/>
      <c r="H113" s="138"/>
      <c r="I113" s="138"/>
      <c r="J113" s="138"/>
      <c r="K113" s="138"/>
      <c r="L113" s="138"/>
      <c r="M113" s="138"/>
      <c r="N113" s="138">
        <f>M113*$Q113</f>
        <v>0</v>
      </c>
      <c r="O113" s="138">
        <f>C113+E113+G113+I113+K113+M113</f>
        <v>0</v>
      </c>
      <c r="P113" s="113"/>
      <c r="Q113" s="141"/>
      <c r="R113" s="137"/>
      <c r="T113" s="117"/>
    </row>
    <row r="114" spans="1:21" x14ac:dyDescent="0.2">
      <c r="A114" s="139"/>
      <c r="B114" s="136"/>
      <c r="C114" s="138"/>
      <c r="D114" s="138"/>
      <c r="E114" s="138"/>
      <c r="F114" s="138"/>
      <c r="G114" s="138"/>
      <c r="H114" s="138"/>
      <c r="I114" s="138"/>
      <c r="J114" s="138"/>
      <c r="K114" s="138"/>
      <c r="L114" s="138"/>
      <c r="M114" s="138"/>
      <c r="N114" s="138">
        <f>M114*$Q114</f>
        <v>0</v>
      </c>
      <c r="O114" s="138">
        <f>C114+E114+G114+I114+K114+M114</f>
        <v>0</v>
      </c>
      <c r="P114" s="154"/>
      <c r="Q114" s="141"/>
      <c r="R114" s="137"/>
      <c r="T114" s="117"/>
    </row>
    <row r="115" spans="1:21" x14ac:dyDescent="0.2">
      <c r="A115" s="139"/>
      <c r="B115" s="136"/>
      <c r="C115" s="138"/>
      <c r="D115" s="138"/>
      <c r="E115" s="138"/>
      <c r="F115" s="138"/>
      <c r="G115" s="138"/>
      <c r="H115" s="138"/>
      <c r="I115" s="138"/>
      <c r="J115" s="138"/>
      <c r="K115" s="138"/>
      <c r="L115" s="138"/>
      <c r="M115" s="138"/>
      <c r="N115" s="138">
        <f>M115*$Q115</f>
        <v>0</v>
      </c>
      <c r="O115" s="138">
        <f>C115+E115+G115+I115+K115+M115</f>
        <v>0</v>
      </c>
      <c r="P115" s="154"/>
      <c r="Q115" s="141"/>
      <c r="R115" s="137"/>
      <c r="T115" s="117"/>
    </row>
    <row r="116" spans="1:21" x14ac:dyDescent="0.2">
      <c r="A116" s="139"/>
      <c r="B116" s="136"/>
      <c r="C116" s="138"/>
      <c r="D116" s="138"/>
      <c r="E116" s="138"/>
      <c r="F116" s="138"/>
      <c r="G116" s="138"/>
      <c r="H116" s="138"/>
      <c r="I116" s="138"/>
      <c r="J116" s="138"/>
      <c r="K116" s="138"/>
      <c r="L116" s="138"/>
      <c r="M116" s="138"/>
      <c r="N116" s="138"/>
      <c r="O116" s="138"/>
      <c r="P116" s="154"/>
      <c r="Q116" s="141"/>
      <c r="R116" s="137"/>
      <c r="T116" s="117"/>
    </row>
    <row r="117" spans="1:21" x14ac:dyDescent="0.2">
      <c r="A117" s="139"/>
      <c r="B117" s="136"/>
      <c r="C117" s="138"/>
      <c r="D117" s="138"/>
      <c r="E117" s="138"/>
      <c r="F117" s="138"/>
      <c r="G117" s="138"/>
      <c r="H117" s="138"/>
      <c r="I117" s="138"/>
      <c r="J117" s="138"/>
      <c r="K117" s="138"/>
      <c r="L117" s="138"/>
      <c r="M117" s="138"/>
      <c r="N117" s="138"/>
      <c r="O117" s="138"/>
      <c r="P117" s="154"/>
      <c r="Q117" s="141"/>
      <c r="R117" s="137"/>
      <c r="T117" s="117"/>
    </row>
    <row r="118" spans="1:21" x14ac:dyDescent="0.2">
      <c r="A118" s="139"/>
      <c r="B118" s="136"/>
      <c r="C118" s="138"/>
      <c r="D118" s="138"/>
      <c r="E118" s="138"/>
      <c r="F118" s="138"/>
      <c r="G118" s="138"/>
      <c r="H118" s="138"/>
      <c r="I118" s="138"/>
      <c r="J118" s="138"/>
      <c r="K118" s="138"/>
      <c r="L118" s="138"/>
      <c r="M118" s="138"/>
      <c r="N118" s="138"/>
      <c r="O118" s="138"/>
      <c r="P118" s="154"/>
      <c r="Q118" s="141"/>
      <c r="R118" s="137"/>
      <c r="T118" s="117"/>
    </row>
    <row r="119" spans="1:21" x14ac:dyDescent="0.2">
      <c r="A119" s="139"/>
      <c r="B119" s="136"/>
      <c r="C119" s="138"/>
      <c r="D119" s="138"/>
      <c r="E119" s="138"/>
      <c r="F119" s="138"/>
      <c r="G119" s="138"/>
      <c r="H119" s="138"/>
      <c r="I119" s="138"/>
      <c r="J119" s="138"/>
      <c r="K119" s="138"/>
      <c r="L119" s="138"/>
      <c r="M119" s="138"/>
      <c r="N119" s="138"/>
      <c r="O119" s="138"/>
      <c r="P119" s="154"/>
      <c r="Q119" s="141"/>
      <c r="R119" s="137"/>
      <c r="T119" s="117"/>
    </row>
    <row r="120" spans="1:21" x14ac:dyDescent="0.2">
      <c r="A120" s="139"/>
      <c r="B120" s="136"/>
      <c r="C120" s="138"/>
      <c r="D120" s="138"/>
      <c r="E120" s="138"/>
      <c r="F120" s="138"/>
      <c r="G120" s="138"/>
      <c r="H120" s="138"/>
      <c r="I120" s="138"/>
      <c r="J120" s="138"/>
      <c r="K120" s="138"/>
      <c r="L120" s="138"/>
      <c r="M120" s="138"/>
      <c r="N120" s="138"/>
      <c r="O120" s="138"/>
      <c r="P120" s="154"/>
      <c r="Q120" s="141"/>
      <c r="R120" s="137"/>
      <c r="T120" s="117"/>
    </row>
    <row r="121" spans="1:21" x14ac:dyDescent="0.2">
      <c r="A121" s="139"/>
      <c r="B121" s="136"/>
      <c r="C121" s="138"/>
      <c r="D121" s="138"/>
      <c r="E121" s="138"/>
      <c r="F121" s="138"/>
      <c r="G121" s="138"/>
      <c r="H121" s="138"/>
      <c r="I121" s="138"/>
      <c r="J121" s="138"/>
      <c r="K121" s="138"/>
      <c r="L121" s="138"/>
      <c r="M121" s="138"/>
      <c r="N121" s="138"/>
      <c r="O121" s="138"/>
      <c r="P121" s="154"/>
      <c r="Q121" s="141"/>
      <c r="R121" s="137"/>
      <c r="T121" s="117"/>
    </row>
    <row r="122" spans="1:21" x14ac:dyDescent="0.2">
      <c r="A122" s="139"/>
      <c r="B122" s="136"/>
      <c r="C122" s="138"/>
      <c r="D122" s="138"/>
      <c r="E122" s="138"/>
      <c r="F122" s="138"/>
      <c r="G122" s="138"/>
      <c r="H122" s="138"/>
      <c r="I122" s="138"/>
      <c r="J122" s="138"/>
      <c r="K122" s="138"/>
      <c r="L122" s="138"/>
      <c r="M122" s="138"/>
      <c r="N122" s="138"/>
      <c r="O122" s="138"/>
      <c r="P122" s="154"/>
      <c r="Q122" s="141"/>
      <c r="R122" s="137"/>
      <c r="T122" s="117"/>
    </row>
    <row r="123" spans="1:21" x14ac:dyDescent="0.2">
      <c r="A123" s="139"/>
      <c r="B123" s="136"/>
      <c r="C123" s="138"/>
      <c r="D123" s="138"/>
      <c r="E123" s="138"/>
      <c r="F123" s="138"/>
      <c r="G123" s="138"/>
      <c r="H123" s="138"/>
      <c r="I123" s="138"/>
      <c r="J123" s="138"/>
      <c r="K123" s="138"/>
      <c r="L123" s="138"/>
      <c r="M123" s="138"/>
      <c r="N123" s="138"/>
      <c r="O123" s="138"/>
      <c r="P123" s="113"/>
      <c r="Q123" s="141"/>
      <c r="R123" s="137"/>
      <c r="T123" s="117"/>
    </row>
    <row r="124" spans="1:21" x14ac:dyDescent="0.2">
      <c r="A124" s="139"/>
      <c r="B124" s="136"/>
      <c r="C124" s="138"/>
      <c r="D124" s="138"/>
      <c r="E124" s="138"/>
      <c r="F124" s="138"/>
      <c r="G124" s="138"/>
      <c r="H124" s="138"/>
      <c r="I124" s="138"/>
      <c r="J124" s="138"/>
      <c r="K124" s="138"/>
      <c r="L124" s="138"/>
      <c r="M124" s="138"/>
      <c r="N124" s="138"/>
      <c r="O124" s="138"/>
      <c r="P124" s="113"/>
      <c r="Q124" s="141"/>
      <c r="R124" s="137"/>
      <c r="T124" s="117"/>
    </row>
    <row r="125" spans="1:21" x14ac:dyDescent="0.2">
      <c r="A125" s="139"/>
      <c r="B125" s="136"/>
      <c r="C125" s="138"/>
      <c r="D125" s="138"/>
      <c r="E125" s="138"/>
      <c r="F125" s="138"/>
      <c r="G125" s="138"/>
      <c r="H125" s="138"/>
      <c r="I125" s="138"/>
      <c r="J125" s="138"/>
      <c r="K125" s="138"/>
      <c r="L125" s="138"/>
      <c r="M125" s="138"/>
      <c r="N125" s="138"/>
      <c r="O125" s="138"/>
      <c r="P125" s="113"/>
      <c r="Q125" s="141"/>
      <c r="R125" s="137"/>
      <c r="T125" s="117"/>
    </row>
    <row r="126" spans="1:21" x14ac:dyDescent="0.2">
      <c r="A126" s="139"/>
      <c r="B126" s="136"/>
      <c r="C126" s="138"/>
      <c r="D126" s="138"/>
      <c r="E126" s="138"/>
      <c r="F126" s="138"/>
      <c r="G126" s="138"/>
      <c r="H126" s="138"/>
      <c r="I126" s="138"/>
      <c r="J126" s="138"/>
      <c r="K126" s="138"/>
      <c r="L126" s="138"/>
      <c r="M126" s="138"/>
      <c r="N126" s="138"/>
      <c r="O126" s="138"/>
      <c r="P126" s="113"/>
      <c r="Q126" s="141"/>
      <c r="R126" s="137"/>
      <c r="T126" s="117"/>
    </row>
    <row r="127" spans="1:21" x14ac:dyDescent="0.2">
      <c r="A127" s="127"/>
      <c r="B127" s="136"/>
      <c r="C127" s="128"/>
      <c r="D127" s="120"/>
      <c r="E127" s="120"/>
      <c r="F127" s="120"/>
      <c r="G127" s="120"/>
      <c r="H127" s="120"/>
      <c r="I127" s="120"/>
      <c r="J127" s="120"/>
      <c r="K127" s="120"/>
      <c r="L127" s="120"/>
      <c r="M127" s="120"/>
      <c r="N127" s="120"/>
      <c r="O127" s="120"/>
      <c r="P127" s="154"/>
      <c r="Q127" s="141"/>
      <c r="R127" s="137"/>
      <c r="T127" s="117"/>
    </row>
    <row r="128" spans="1:21" x14ac:dyDescent="0.2">
      <c r="A128" s="129"/>
      <c r="B128" s="130"/>
      <c r="C128" s="131"/>
      <c r="D128" s="131"/>
      <c r="E128" s="131"/>
      <c r="F128" s="131"/>
      <c r="G128" s="131"/>
      <c r="H128" s="131"/>
      <c r="I128" s="131"/>
      <c r="J128" s="131"/>
      <c r="K128" s="131"/>
      <c r="L128" s="131"/>
      <c r="M128" s="131"/>
      <c r="N128" s="131"/>
      <c r="O128" s="131"/>
      <c r="P128" s="131"/>
      <c r="Q128" s="132"/>
      <c r="R128" s="126"/>
      <c r="T128" s="195"/>
      <c r="U128" s="134"/>
    </row>
    <row r="129" spans="1:21" x14ac:dyDescent="0.2">
      <c r="C129" s="122"/>
      <c r="D129" s="122"/>
      <c r="E129" s="122"/>
      <c r="F129" s="122"/>
      <c r="G129" s="122"/>
      <c r="H129" s="122"/>
      <c r="I129" s="122"/>
      <c r="J129" s="122"/>
      <c r="K129" s="122"/>
      <c r="L129" s="122"/>
      <c r="M129" s="122"/>
      <c r="N129" s="122"/>
      <c r="O129" s="122"/>
      <c r="P129" s="171" t="s">
        <v>1</v>
      </c>
      <c r="Q129" s="133" t="s">
        <v>0</v>
      </c>
      <c r="R129" s="137">
        <f>SUM(R90:R127)</f>
        <v>0</v>
      </c>
      <c r="T129" s="196"/>
      <c r="U129" s="135"/>
    </row>
    <row r="130" spans="1:21" x14ac:dyDescent="0.2">
      <c r="P130" s="188"/>
      <c r="Q130" s="124"/>
      <c r="R130" s="125"/>
      <c r="T130" s="117"/>
    </row>
    <row r="131" spans="1:21" x14ac:dyDescent="0.2">
      <c r="A131" s="139"/>
      <c r="B131" s="110"/>
      <c r="C131" s="138"/>
      <c r="D131" s="138"/>
      <c r="E131" s="138"/>
      <c r="F131" s="138"/>
      <c r="G131" s="138"/>
      <c r="H131" s="138"/>
      <c r="I131" s="138"/>
      <c r="J131" s="138"/>
      <c r="K131" s="138"/>
      <c r="L131" s="138"/>
      <c r="M131" s="138"/>
      <c r="N131" s="138"/>
      <c r="O131" s="138"/>
      <c r="P131" s="154"/>
      <c r="Q131" s="141"/>
      <c r="R131" s="137"/>
      <c r="T131" s="117"/>
    </row>
    <row r="132" spans="1:21" x14ac:dyDescent="0.2">
      <c r="A132" s="139"/>
      <c r="B132" s="82" t="s">
        <v>8</v>
      </c>
      <c r="C132" s="128"/>
      <c r="D132" s="120"/>
      <c r="E132" s="120"/>
      <c r="F132" s="120"/>
      <c r="G132" s="120"/>
      <c r="H132" s="120"/>
      <c r="I132" s="120"/>
      <c r="J132" s="120"/>
      <c r="K132" s="120"/>
      <c r="L132" s="120"/>
      <c r="M132" s="120"/>
      <c r="N132" s="120"/>
      <c r="O132" s="120"/>
      <c r="P132" s="154"/>
      <c r="Q132" s="141"/>
      <c r="R132" s="137"/>
      <c r="T132" s="196"/>
      <c r="U132" s="135"/>
    </row>
    <row r="133" spans="1:21" x14ac:dyDescent="0.2">
      <c r="A133" s="139"/>
      <c r="B133" s="82"/>
      <c r="C133" s="120"/>
      <c r="D133" s="120"/>
      <c r="E133" s="120"/>
      <c r="F133" s="120"/>
      <c r="G133" s="120"/>
      <c r="H133" s="120"/>
      <c r="I133" s="120"/>
      <c r="J133" s="120"/>
      <c r="K133" s="120"/>
      <c r="L133" s="120"/>
      <c r="M133" s="120"/>
      <c r="N133" s="120"/>
      <c r="O133" s="138"/>
      <c r="P133" s="154"/>
      <c r="Q133" s="141"/>
      <c r="R133" s="137"/>
      <c r="T133" s="196"/>
      <c r="U133" s="135"/>
    </row>
    <row r="134" spans="1:21" ht="42.75" x14ac:dyDescent="0.2">
      <c r="A134" s="1" t="s">
        <v>66</v>
      </c>
      <c r="B134" s="110" t="s">
        <v>51</v>
      </c>
      <c r="C134" s="138">
        <f>ROUND((2*$T134+2*$U134)*C$3,0)</f>
        <v>0</v>
      </c>
      <c r="D134" s="138">
        <f>C134*$Q134</f>
        <v>0</v>
      </c>
      <c r="E134" s="138">
        <f>ROUND((2*$T134+3*$U134)*E$3,0)</f>
        <v>0</v>
      </c>
      <c r="F134" s="138">
        <f>E134*$Q134</f>
        <v>0</v>
      </c>
      <c r="G134" s="138">
        <f>ROUND((2*$T134+4*$U134)*G$3,0)</f>
        <v>0</v>
      </c>
      <c r="H134" s="138">
        <f>G134*$Q134</f>
        <v>0</v>
      </c>
      <c r="I134" s="138">
        <f>ROUND((2*$T134+5*$U134)*I$3,0)</f>
        <v>0</v>
      </c>
      <c r="J134" s="138">
        <f>I134*$Q134</f>
        <v>0</v>
      </c>
      <c r="K134" s="138">
        <f>ROUND((2*$T134+6*$U134)*K$3,0)</f>
        <v>0</v>
      </c>
      <c r="L134" s="138">
        <f>K134*$Q134</f>
        <v>0</v>
      </c>
      <c r="M134" s="138">
        <f>ROUND((2*$T134+7*$U134)*M$3,0)</f>
        <v>0</v>
      </c>
      <c r="N134" s="138">
        <f>M134*$Q134</f>
        <v>0</v>
      </c>
      <c r="O134" s="138">
        <f>C134+E134+G134+I134+K134+M134</f>
        <v>0</v>
      </c>
      <c r="P134" s="2" t="s">
        <v>5</v>
      </c>
      <c r="Q134" s="141"/>
      <c r="R134" s="137">
        <f>O134*Q134</f>
        <v>0</v>
      </c>
      <c r="T134" s="196"/>
      <c r="U134" s="135"/>
    </row>
    <row r="135" spans="1:21" x14ac:dyDescent="0.2">
      <c r="A135" s="127"/>
      <c r="B135" s="136"/>
      <c r="C135" s="120"/>
      <c r="D135" s="120"/>
      <c r="E135" s="120"/>
      <c r="F135" s="120"/>
      <c r="G135" s="120"/>
      <c r="H135" s="120"/>
      <c r="I135" s="120"/>
      <c r="J135" s="120"/>
      <c r="K135" s="120"/>
      <c r="L135" s="120"/>
      <c r="M135" s="120"/>
      <c r="N135" s="120"/>
      <c r="O135" s="120"/>
      <c r="P135" s="154"/>
      <c r="Q135" s="141"/>
      <c r="R135" s="137"/>
      <c r="T135" s="117"/>
    </row>
    <row r="136" spans="1:21" x14ac:dyDescent="0.2">
      <c r="A136" s="127"/>
      <c r="B136" s="136"/>
      <c r="C136" s="120"/>
      <c r="D136" s="120"/>
      <c r="E136" s="120"/>
      <c r="F136" s="120"/>
      <c r="G136" s="120"/>
      <c r="H136" s="120"/>
      <c r="I136" s="120"/>
      <c r="J136" s="120"/>
      <c r="K136" s="120"/>
      <c r="L136" s="120"/>
      <c r="M136" s="120"/>
      <c r="N136" s="120"/>
      <c r="O136" s="120"/>
      <c r="P136" s="154"/>
      <c r="Q136" s="141"/>
      <c r="R136" s="137"/>
      <c r="T136" s="117"/>
    </row>
    <row r="137" spans="1:21" x14ac:dyDescent="0.2">
      <c r="A137" s="127"/>
      <c r="B137" s="136"/>
      <c r="C137" s="120"/>
      <c r="D137" s="120"/>
      <c r="E137" s="120"/>
      <c r="F137" s="120"/>
      <c r="G137" s="120"/>
      <c r="H137" s="120"/>
      <c r="I137" s="120"/>
      <c r="J137" s="120"/>
      <c r="K137" s="120"/>
      <c r="L137" s="120"/>
      <c r="M137" s="120"/>
      <c r="N137" s="120"/>
      <c r="O137" s="120"/>
      <c r="P137" s="154"/>
      <c r="Q137" s="141"/>
      <c r="R137" s="137"/>
      <c r="T137" s="117"/>
    </row>
    <row r="138" spans="1:21" x14ac:dyDescent="0.2">
      <c r="A138" s="127"/>
      <c r="B138" s="136"/>
      <c r="C138" s="120"/>
      <c r="D138" s="120"/>
      <c r="E138" s="120"/>
      <c r="F138" s="120"/>
      <c r="G138" s="120"/>
      <c r="H138" s="120"/>
      <c r="I138" s="120"/>
      <c r="J138" s="120"/>
      <c r="K138" s="120"/>
      <c r="L138" s="120"/>
      <c r="M138" s="120"/>
      <c r="N138" s="120"/>
      <c r="O138" s="120"/>
      <c r="P138" s="154"/>
      <c r="Q138" s="141"/>
      <c r="R138" s="137"/>
      <c r="T138" s="117"/>
    </row>
    <row r="139" spans="1:21" x14ac:dyDescent="0.2">
      <c r="A139" s="127"/>
      <c r="B139" s="136"/>
      <c r="C139" s="120"/>
      <c r="D139" s="120"/>
      <c r="E139" s="120"/>
      <c r="F139" s="120"/>
      <c r="G139" s="120"/>
      <c r="H139" s="120"/>
      <c r="I139" s="120"/>
      <c r="J139" s="120"/>
      <c r="K139" s="120"/>
      <c r="L139" s="120"/>
      <c r="M139" s="120"/>
      <c r="N139" s="120"/>
      <c r="O139" s="120"/>
      <c r="P139" s="154"/>
      <c r="Q139" s="141"/>
      <c r="R139" s="137"/>
      <c r="T139" s="117"/>
    </row>
    <row r="140" spans="1:21" x14ac:dyDescent="0.2">
      <c r="A140" s="127"/>
      <c r="B140" s="136"/>
      <c r="C140" s="120"/>
      <c r="D140" s="120"/>
      <c r="E140" s="120"/>
      <c r="F140" s="120"/>
      <c r="G140" s="120"/>
      <c r="H140" s="120"/>
      <c r="I140" s="120"/>
      <c r="J140" s="120"/>
      <c r="K140" s="120"/>
      <c r="L140" s="120"/>
      <c r="M140" s="120"/>
      <c r="N140" s="120"/>
      <c r="O140" s="120"/>
      <c r="P140" s="154"/>
      <c r="Q140" s="141"/>
      <c r="R140" s="137"/>
      <c r="T140" s="117"/>
    </row>
    <row r="141" spans="1:21" x14ac:dyDescent="0.2">
      <c r="A141" s="127"/>
      <c r="B141" s="136"/>
      <c r="C141" s="120"/>
      <c r="D141" s="120"/>
      <c r="E141" s="120"/>
      <c r="F141" s="120"/>
      <c r="G141" s="120"/>
      <c r="H141" s="120"/>
      <c r="I141" s="120"/>
      <c r="J141" s="120"/>
      <c r="K141" s="120"/>
      <c r="L141" s="120"/>
      <c r="M141" s="120"/>
      <c r="N141" s="120"/>
      <c r="O141" s="120"/>
      <c r="P141" s="154"/>
      <c r="Q141" s="141"/>
      <c r="R141" s="137"/>
      <c r="T141" s="117"/>
    </row>
    <row r="142" spans="1:21" x14ac:dyDescent="0.2">
      <c r="A142" s="127"/>
      <c r="B142" s="136"/>
      <c r="C142" s="120"/>
      <c r="D142" s="120"/>
      <c r="E142" s="120"/>
      <c r="F142" s="120"/>
      <c r="G142" s="120"/>
      <c r="H142" s="120"/>
      <c r="I142" s="120"/>
      <c r="J142" s="120"/>
      <c r="K142" s="120"/>
      <c r="L142" s="120"/>
      <c r="M142" s="120"/>
      <c r="N142" s="120"/>
      <c r="O142" s="120"/>
      <c r="P142" s="154"/>
      <c r="Q142" s="141"/>
      <c r="R142" s="137"/>
      <c r="T142" s="117"/>
    </row>
    <row r="143" spans="1:21" x14ac:dyDescent="0.2">
      <c r="A143" s="127"/>
      <c r="B143" s="136"/>
      <c r="C143" s="120"/>
      <c r="D143" s="120"/>
      <c r="E143" s="120"/>
      <c r="F143" s="120"/>
      <c r="G143" s="120"/>
      <c r="H143" s="120"/>
      <c r="I143" s="120"/>
      <c r="J143" s="120"/>
      <c r="K143" s="120"/>
      <c r="L143" s="120"/>
      <c r="M143" s="120"/>
      <c r="N143" s="120"/>
      <c r="O143" s="120"/>
      <c r="P143" s="154"/>
      <c r="Q143" s="141"/>
      <c r="R143" s="137"/>
      <c r="T143" s="117"/>
    </row>
    <row r="144" spans="1:21" x14ac:dyDescent="0.2">
      <c r="A144" s="127"/>
      <c r="B144" s="136"/>
      <c r="C144" s="120"/>
      <c r="D144" s="120"/>
      <c r="E144" s="120"/>
      <c r="F144" s="120"/>
      <c r="G144" s="120"/>
      <c r="H144" s="120"/>
      <c r="I144" s="120"/>
      <c r="J144" s="120"/>
      <c r="K144" s="120"/>
      <c r="L144" s="120"/>
      <c r="M144" s="120"/>
      <c r="N144" s="120"/>
      <c r="O144" s="120"/>
      <c r="P144" s="154"/>
      <c r="Q144" s="141"/>
      <c r="R144" s="137"/>
      <c r="T144" s="117"/>
    </row>
    <row r="145" spans="1:21" x14ac:dyDescent="0.2">
      <c r="A145" s="127"/>
      <c r="B145" s="136"/>
      <c r="C145" s="120"/>
      <c r="D145" s="120"/>
      <c r="E145" s="120"/>
      <c r="F145" s="120"/>
      <c r="G145" s="120"/>
      <c r="H145" s="120"/>
      <c r="I145" s="120"/>
      <c r="J145" s="120"/>
      <c r="K145" s="120"/>
      <c r="L145" s="120"/>
      <c r="M145" s="120"/>
      <c r="N145" s="120"/>
      <c r="O145" s="120"/>
      <c r="P145" s="154"/>
      <c r="Q145" s="141"/>
      <c r="R145" s="137"/>
      <c r="T145" s="117"/>
    </row>
    <row r="146" spans="1:21" x14ac:dyDescent="0.2">
      <c r="A146" s="127"/>
      <c r="B146" s="136"/>
      <c r="C146" s="120"/>
      <c r="D146" s="120"/>
      <c r="E146" s="120"/>
      <c r="F146" s="120"/>
      <c r="G146" s="120"/>
      <c r="H146" s="120"/>
      <c r="I146" s="120"/>
      <c r="J146" s="120"/>
      <c r="K146" s="120"/>
      <c r="L146" s="120"/>
      <c r="M146" s="120"/>
      <c r="N146" s="120"/>
      <c r="O146" s="120"/>
      <c r="P146" s="154"/>
      <c r="Q146" s="141"/>
      <c r="R146" s="137"/>
      <c r="T146" s="117"/>
    </row>
    <row r="147" spans="1:21" x14ac:dyDescent="0.2">
      <c r="A147" s="127"/>
      <c r="B147" s="136"/>
      <c r="C147" s="120"/>
      <c r="D147" s="120"/>
      <c r="E147" s="120"/>
      <c r="F147" s="120"/>
      <c r="G147" s="120"/>
      <c r="H147" s="120"/>
      <c r="I147" s="120"/>
      <c r="J147" s="120"/>
      <c r="K147" s="120"/>
      <c r="L147" s="120"/>
      <c r="M147" s="120"/>
      <c r="N147" s="120"/>
      <c r="O147" s="120"/>
      <c r="P147" s="154"/>
      <c r="Q147" s="141"/>
      <c r="R147" s="137"/>
      <c r="T147" s="117"/>
    </row>
    <row r="148" spans="1:21" x14ac:dyDescent="0.2">
      <c r="A148" s="127"/>
      <c r="B148" s="136"/>
      <c r="C148" s="120"/>
      <c r="D148" s="120"/>
      <c r="E148" s="120"/>
      <c r="F148" s="120"/>
      <c r="G148" s="120"/>
      <c r="H148" s="120"/>
      <c r="I148" s="120"/>
      <c r="J148" s="120"/>
      <c r="K148" s="120"/>
      <c r="L148" s="120"/>
      <c r="M148" s="120"/>
      <c r="N148" s="120"/>
      <c r="O148" s="120"/>
      <c r="P148" s="154"/>
      <c r="Q148" s="141"/>
      <c r="R148" s="137"/>
      <c r="T148" s="117"/>
    </row>
    <row r="149" spans="1:21" x14ac:dyDescent="0.2">
      <c r="A149" s="127"/>
      <c r="B149" s="136"/>
      <c r="C149" s="120"/>
      <c r="D149" s="120"/>
      <c r="E149" s="120"/>
      <c r="F149" s="120"/>
      <c r="G149" s="120"/>
      <c r="H149" s="120"/>
      <c r="I149" s="120"/>
      <c r="J149" s="120"/>
      <c r="K149" s="120"/>
      <c r="L149" s="120"/>
      <c r="M149" s="120"/>
      <c r="N149" s="120"/>
      <c r="O149" s="120"/>
      <c r="P149" s="154"/>
      <c r="Q149" s="141"/>
      <c r="R149" s="137"/>
      <c r="T149" s="117"/>
    </row>
    <row r="150" spans="1:21" x14ac:dyDescent="0.2">
      <c r="A150" s="127"/>
      <c r="B150" s="136"/>
      <c r="C150" s="120"/>
      <c r="D150" s="120"/>
      <c r="E150" s="120"/>
      <c r="F150" s="120"/>
      <c r="G150" s="120"/>
      <c r="H150" s="120"/>
      <c r="I150" s="120"/>
      <c r="J150" s="120"/>
      <c r="K150" s="120"/>
      <c r="L150" s="120"/>
      <c r="M150" s="120"/>
      <c r="N150" s="120"/>
      <c r="O150" s="120"/>
      <c r="P150" s="154"/>
      <c r="Q150" s="141"/>
      <c r="R150" s="137"/>
      <c r="T150" s="117"/>
    </row>
    <row r="151" spans="1:21" x14ac:dyDescent="0.2">
      <c r="A151" s="127"/>
      <c r="B151" s="136"/>
      <c r="C151" s="128"/>
      <c r="D151" s="120"/>
      <c r="E151" s="120"/>
      <c r="F151" s="120"/>
      <c r="G151" s="120"/>
      <c r="H151" s="120"/>
      <c r="I151" s="120"/>
      <c r="J151" s="120"/>
      <c r="K151" s="120"/>
      <c r="L151" s="120"/>
      <c r="M151" s="120"/>
      <c r="N151" s="120"/>
      <c r="O151" s="120"/>
      <c r="P151" s="154"/>
      <c r="Q151" s="141"/>
      <c r="R151" s="137"/>
      <c r="S151" s="116"/>
      <c r="T151" s="197"/>
      <c r="U151" s="52"/>
    </row>
    <row r="152" spans="1:21" x14ac:dyDescent="0.2">
      <c r="A152" s="129"/>
      <c r="B152" s="130"/>
      <c r="C152" s="131"/>
      <c r="D152" s="131"/>
      <c r="E152" s="131"/>
      <c r="F152" s="131"/>
      <c r="G152" s="131"/>
      <c r="H152" s="131"/>
      <c r="I152" s="131"/>
      <c r="J152" s="131"/>
      <c r="K152" s="131"/>
      <c r="L152" s="131"/>
      <c r="M152" s="131"/>
      <c r="N152" s="131"/>
      <c r="O152" s="131"/>
      <c r="P152" s="131"/>
      <c r="Q152" s="132"/>
      <c r="R152" s="126"/>
      <c r="T152" s="38"/>
      <c r="U152" s="134"/>
    </row>
    <row r="153" spans="1:21" x14ac:dyDescent="0.2">
      <c r="C153" s="122"/>
      <c r="D153" s="122"/>
      <c r="E153" s="122"/>
      <c r="F153" s="122"/>
      <c r="G153" s="122"/>
      <c r="H153" s="122"/>
      <c r="I153" s="122"/>
      <c r="J153" s="122"/>
      <c r="K153" s="122"/>
      <c r="L153" s="122"/>
      <c r="M153" s="122"/>
      <c r="N153" s="122"/>
      <c r="O153" s="122"/>
      <c r="P153" s="171" t="s">
        <v>1</v>
      </c>
      <c r="Q153" s="133" t="s">
        <v>0</v>
      </c>
      <c r="R153" s="137">
        <f>SUM(R131:R151)</f>
        <v>0</v>
      </c>
      <c r="S153" s="116"/>
      <c r="T153" s="49"/>
      <c r="U153" s="135"/>
    </row>
    <row r="154" spans="1:21" x14ac:dyDescent="0.2">
      <c r="A154" s="145"/>
      <c r="B154" s="44"/>
      <c r="C154" s="94"/>
      <c r="D154" s="94"/>
      <c r="E154" s="94"/>
      <c r="F154" s="94"/>
      <c r="G154" s="94"/>
      <c r="H154" s="94"/>
      <c r="I154" s="94"/>
      <c r="J154" s="94"/>
      <c r="K154" s="94"/>
      <c r="L154" s="94"/>
      <c r="M154" s="94"/>
      <c r="N154" s="94"/>
      <c r="O154" s="94"/>
      <c r="P154" s="94"/>
      <c r="Q154" s="146"/>
      <c r="R154" s="125"/>
    </row>
    <row r="155" spans="1:21" x14ac:dyDescent="0.2">
      <c r="A155" s="36"/>
      <c r="B155" s="37"/>
      <c r="C155" s="188"/>
      <c r="D155" s="188"/>
      <c r="E155" s="188"/>
      <c r="F155" s="188"/>
      <c r="G155" s="188"/>
      <c r="H155" s="188"/>
      <c r="I155" s="188"/>
      <c r="J155" s="188"/>
      <c r="K155" s="188"/>
      <c r="L155" s="188"/>
      <c r="M155" s="188"/>
      <c r="N155" s="188"/>
      <c r="O155" s="188"/>
      <c r="P155" s="188"/>
      <c r="Q155" s="124"/>
      <c r="R155" s="126"/>
      <c r="T155" s="38"/>
      <c r="U155" s="134"/>
    </row>
    <row r="156" spans="1:21" x14ac:dyDescent="0.2">
      <c r="A156" s="36"/>
      <c r="B156" s="37"/>
      <c r="C156" s="188"/>
      <c r="D156" s="188"/>
      <c r="E156" s="188"/>
      <c r="F156" s="188"/>
      <c r="G156" s="188"/>
      <c r="H156" s="188"/>
      <c r="I156" s="188"/>
      <c r="J156" s="188"/>
      <c r="K156" s="188"/>
      <c r="L156" s="188"/>
      <c r="M156" s="188"/>
      <c r="N156" s="188"/>
      <c r="O156" s="188"/>
      <c r="P156" s="188"/>
      <c r="Q156" s="42"/>
      <c r="R156" s="137"/>
      <c r="T156" s="118"/>
    </row>
    <row r="157" spans="1:21" x14ac:dyDescent="0.2">
      <c r="A157" s="36"/>
      <c r="B157" s="37"/>
      <c r="C157" s="188"/>
      <c r="D157" s="188"/>
      <c r="E157" s="188"/>
      <c r="F157" s="188"/>
      <c r="G157" s="188"/>
      <c r="H157" s="188"/>
      <c r="I157" s="188"/>
      <c r="J157" s="188"/>
      <c r="K157" s="188"/>
      <c r="L157" s="188"/>
      <c r="M157" s="188"/>
      <c r="N157" s="188"/>
      <c r="O157" s="534" t="s">
        <v>17</v>
      </c>
      <c r="P157" s="534"/>
      <c r="Q157" s="42"/>
      <c r="R157" s="137"/>
      <c r="T157" s="49"/>
      <c r="U157" s="135"/>
    </row>
    <row r="158" spans="1:21" x14ac:dyDescent="0.2">
      <c r="A158" s="36"/>
      <c r="B158" s="37"/>
      <c r="C158" s="188"/>
      <c r="D158" s="188"/>
      <c r="E158" s="188"/>
      <c r="F158" s="188"/>
      <c r="G158" s="188"/>
      <c r="H158" s="188"/>
      <c r="I158" s="188"/>
      <c r="J158" s="188"/>
      <c r="K158" s="188"/>
      <c r="L158" s="188"/>
      <c r="M158" s="188"/>
      <c r="N158" s="188"/>
      <c r="O158" s="188"/>
      <c r="P158" s="188"/>
      <c r="Q158" s="42"/>
      <c r="R158" s="137"/>
      <c r="T158" s="118"/>
    </row>
    <row r="159" spans="1:21" x14ac:dyDescent="0.2">
      <c r="A159" s="36"/>
      <c r="B159" s="37"/>
      <c r="C159" s="188"/>
      <c r="D159" s="188"/>
      <c r="E159" s="188"/>
      <c r="F159" s="188"/>
      <c r="G159" s="188"/>
      <c r="H159" s="188"/>
      <c r="I159" s="188"/>
      <c r="J159" s="188"/>
      <c r="K159" s="188"/>
      <c r="L159" s="188"/>
      <c r="M159" s="188"/>
      <c r="N159" s="188"/>
      <c r="O159" s="188" t="s">
        <v>270</v>
      </c>
      <c r="P159" s="188" t="s">
        <v>585</v>
      </c>
      <c r="Q159" s="42"/>
      <c r="R159" s="137">
        <f>R48</f>
        <v>0</v>
      </c>
      <c r="T159" s="118"/>
    </row>
    <row r="160" spans="1:21" x14ac:dyDescent="0.2">
      <c r="A160" s="36"/>
      <c r="B160" s="37"/>
      <c r="C160" s="188"/>
      <c r="D160" s="188"/>
      <c r="E160" s="188"/>
      <c r="F160" s="188"/>
      <c r="G160" s="188"/>
      <c r="H160" s="188"/>
      <c r="I160" s="188"/>
      <c r="J160" s="188"/>
      <c r="K160" s="188"/>
      <c r="L160" s="188"/>
      <c r="M160" s="188"/>
      <c r="N160" s="188"/>
      <c r="O160" s="188"/>
      <c r="P160" s="188"/>
      <c r="Q160" s="42"/>
      <c r="R160" s="137"/>
      <c r="T160" s="118"/>
    </row>
    <row r="161" spans="1:21" x14ac:dyDescent="0.2">
      <c r="A161" s="36"/>
      <c r="B161" s="37"/>
      <c r="C161" s="188"/>
      <c r="D161" s="188"/>
      <c r="E161" s="188"/>
      <c r="F161" s="188"/>
      <c r="G161" s="188"/>
      <c r="H161" s="188"/>
      <c r="I161" s="188"/>
      <c r="J161" s="188"/>
      <c r="K161" s="188"/>
      <c r="L161" s="188"/>
      <c r="M161" s="188"/>
      <c r="N161" s="188"/>
      <c r="O161" s="188" t="s">
        <v>270</v>
      </c>
      <c r="P161" s="188" t="s">
        <v>586</v>
      </c>
      <c r="Q161" s="42"/>
      <c r="R161" s="137">
        <f>R88</f>
        <v>0</v>
      </c>
      <c r="T161" s="118"/>
    </row>
    <row r="162" spans="1:21" x14ac:dyDescent="0.2">
      <c r="A162" s="36"/>
      <c r="B162" s="37"/>
      <c r="C162" s="188"/>
      <c r="D162" s="188"/>
      <c r="E162" s="188"/>
      <c r="F162" s="188"/>
      <c r="G162" s="188"/>
      <c r="H162" s="188"/>
      <c r="I162" s="188"/>
      <c r="J162" s="188"/>
      <c r="K162" s="188"/>
      <c r="L162" s="188"/>
      <c r="M162" s="188"/>
      <c r="N162" s="188"/>
      <c r="O162" s="188"/>
      <c r="P162" s="188"/>
      <c r="Q162" s="42"/>
      <c r="R162" s="137"/>
      <c r="T162" s="118"/>
    </row>
    <row r="163" spans="1:21" x14ac:dyDescent="0.2">
      <c r="A163" s="36"/>
      <c r="B163" s="37"/>
      <c r="C163" s="188"/>
      <c r="D163" s="188"/>
      <c r="E163" s="188"/>
      <c r="F163" s="188"/>
      <c r="G163" s="188"/>
      <c r="H163" s="188"/>
      <c r="I163" s="188"/>
      <c r="J163" s="188"/>
      <c r="K163" s="188"/>
      <c r="L163" s="188"/>
      <c r="M163" s="188"/>
      <c r="N163" s="188"/>
      <c r="O163" s="188" t="s">
        <v>270</v>
      </c>
      <c r="P163" s="188" t="s">
        <v>587</v>
      </c>
      <c r="Q163" s="42"/>
      <c r="R163" s="137">
        <f>R129</f>
        <v>0</v>
      </c>
      <c r="T163" s="118"/>
    </row>
    <row r="164" spans="1:21" x14ac:dyDescent="0.2">
      <c r="A164" s="36"/>
      <c r="B164" s="37"/>
      <c r="C164" s="188"/>
      <c r="D164" s="188"/>
      <c r="E164" s="188"/>
      <c r="F164" s="188"/>
      <c r="G164" s="188"/>
      <c r="H164" s="188"/>
      <c r="I164" s="188"/>
      <c r="J164" s="188"/>
      <c r="K164" s="188"/>
      <c r="L164" s="188"/>
      <c r="M164" s="188"/>
      <c r="N164" s="188"/>
      <c r="O164" s="188"/>
      <c r="P164" s="188"/>
      <c r="Q164" s="42"/>
      <c r="R164" s="137"/>
      <c r="T164" s="118"/>
    </row>
    <row r="165" spans="1:21" x14ac:dyDescent="0.2">
      <c r="A165" s="36"/>
      <c r="B165" s="37"/>
      <c r="C165" s="188"/>
      <c r="D165" s="188"/>
      <c r="E165" s="188"/>
      <c r="F165" s="188"/>
      <c r="G165" s="188"/>
      <c r="H165" s="188"/>
      <c r="I165" s="188"/>
      <c r="J165" s="188"/>
      <c r="K165" s="188"/>
      <c r="L165" s="188"/>
      <c r="M165" s="188"/>
      <c r="N165" s="188"/>
      <c r="O165" s="188" t="s">
        <v>270</v>
      </c>
      <c r="P165" s="188" t="s">
        <v>588</v>
      </c>
      <c r="Q165" s="42"/>
      <c r="R165" s="137">
        <f>R153</f>
        <v>0</v>
      </c>
      <c r="T165" s="118"/>
    </row>
    <row r="166" spans="1:21" x14ac:dyDescent="0.2">
      <c r="A166" s="36"/>
      <c r="B166" s="37"/>
      <c r="C166" s="188"/>
      <c r="D166" s="188"/>
      <c r="E166" s="188"/>
      <c r="F166" s="188"/>
      <c r="G166" s="188"/>
      <c r="H166" s="188"/>
      <c r="I166" s="188"/>
      <c r="J166" s="188"/>
      <c r="K166" s="188"/>
      <c r="L166" s="188"/>
      <c r="M166" s="188"/>
      <c r="N166" s="188"/>
      <c r="O166" s="188"/>
      <c r="P166" s="188"/>
      <c r="Q166" s="42"/>
      <c r="R166" s="137"/>
      <c r="T166" s="118"/>
    </row>
    <row r="167" spans="1:21" x14ac:dyDescent="0.2">
      <c r="A167" s="36"/>
      <c r="B167" s="37"/>
      <c r="C167" s="188"/>
      <c r="D167" s="188"/>
      <c r="E167" s="188"/>
      <c r="F167" s="188"/>
      <c r="G167" s="188"/>
      <c r="H167" s="188"/>
      <c r="I167" s="188"/>
      <c r="J167" s="188"/>
      <c r="K167" s="188"/>
      <c r="L167" s="188"/>
      <c r="M167" s="188"/>
      <c r="N167" s="188"/>
      <c r="O167" s="188"/>
      <c r="P167" s="188"/>
      <c r="Q167" s="42"/>
      <c r="R167" s="137"/>
      <c r="T167" s="118"/>
    </row>
    <row r="168" spans="1:21" x14ac:dyDescent="0.2">
      <c r="A168" s="36"/>
      <c r="B168" s="37"/>
      <c r="C168" s="188"/>
      <c r="D168" s="188"/>
      <c r="E168" s="188"/>
      <c r="F168" s="188"/>
      <c r="G168" s="188"/>
      <c r="H168" s="188"/>
      <c r="I168" s="188"/>
      <c r="J168" s="188"/>
      <c r="K168" s="188"/>
      <c r="L168" s="188"/>
      <c r="M168" s="188"/>
      <c r="N168" s="188"/>
      <c r="O168" s="188"/>
      <c r="P168" s="188"/>
      <c r="Q168" s="42"/>
      <c r="R168" s="137"/>
      <c r="T168" s="118"/>
    </row>
    <row r="169" spans="1:21" x14ac:dyDescent="0.2">
      <c r="A169" s="36"/>
      <c r="B169" s="37"/>
      <c r="C169" s="188"/>
      <c r="D169" s="188"/>
      <c r="E169" s="188"/>
      <c r="F169" s="188"/>
      <c r="G169" s="188"/>
      <c r="H169" s="188"/>
      <c r="I169" s="188"/>
      <c r="J169" s="188"/>
      <c r="K169" s="188"/>
      <c r="L169" s="188"/>
      <c r="M169" s="188"/>
      <c r="N169" s="188"/>
      <c r="O169" s="188"/>
      <c r="P169" s="188"/>
      <c r="Q169" s="42"/>
      <c r="R169" s="137"/>
      <c r="T169" s="118"/>
    </row>
    <row r="170" spans="1:21" x14ac:dyDescent="0.2">
      <c r="A170" s="36"/>
      <c r="B170" s="37"/>
      <c r="C170" s="188"/>
      <c r="D170" s="188"/>
      <c r="E170" s="188"/>
      <c r="F170" s="188"/>
      <c r="G170" s="188"/>
      <c r="H170" s="188"/>
      <c r="I170" s="188"/>
      <c r="J170" s="188"/>
      <c r="K170" s="188"/>
      <c r="L170" s="188"/>
      <c r="M170" s="188"/>
      <c r="N170" s="188"/>
      <c r="O170" s="188"/>
      <c r="P170" s="188"/>
      <c r="Q170" s="42"/>
      <c r="R170" s="137"/>
      <c r="T170" s="118"/>
    </row>
    <row r="171" spans="1:21" x14ac:dyDescent="0.2">
      <c r="A171" s="36"/>
      <c r="B171" s="37"/>
      <c r="C171" s="188"/>
      <c r="D171" s="188"/>
      <c r="E171" s="188"/>
      <c r="F171" s="188"/>
      <c r="G171" s="188"/>
      <c r="H171" s="188"/>
      <c r="I171" s="188"/>
      <c r="J171" s="188"/>
      <c r="K171" s="188"/>
      <c r="L171" s="188"/>
      <c r="M171" s="188"/>
      <c r="N171" s="188"/>
      <c r="O171" s="188"/>
      <c r="P171" s="188"/>
      <c r="Q171" s="42"/>
      <c r="R171" s="137"/>
      <c r="T171" s="118"/>
    </row>
    <row r="172" spans="1:21" x14ac:dyDescent="0.2">
      <c r="A172" s="36"/>
      <c r="B172" s="37"/>
      <c r="C172" s="188"/>
      <c r="D172" s="188"/>
      <c r="E172" s="188"/>
      <c r="F172" s="188"/>
      <c r="G172" s="188"/>
      <c r="H172" s="188"/>
      <c r="I172" s="188"/>
      <c r="J172" s="188"/>
      <c r="K172" s="188"/>
      <c r="L172" s="188"/>
      <c r="M172" s="188"/>
      <c r="N172" s="188"/>
      <c r="O172" s="188"/>
      <c r="P172" s="188"/>
      <c r="Q172" s="42"/>
      <c r="R172" s="137"/>
      <c r="T172" s="118"/>
    </row>
    <row r="173" spans="1:21" x14ac:dyDescent="0.2">
      <c r="A173" s="36"/>
      <c r="B173" s="37"/>
      <c r="C173" s="188"/>
      <c r="D173" s="188"/>
      <c r="E173" s="188"/>
      <c r="F173" s="188"/>
      <c r="G173" s="188"/>
      <c r="H173" s="188"/>
      <c r="I173" s="188"/>
      <c r="J173" s="188"/>
      <c r="K173" s="188"/>
      <c r="L173" s="188"/>
      <c r="M173" s="188"/>
      <c r="N173" s="188"/>
      <c r="O173" s="188"/>
      <c r="P173" s="188"/>
      <c r="Q173" s="42"/>
      <c r="R173" s="137"/>
      <c r="T173" s="118"/>
    </row>
    <row r="174" spans="1:21" x14ac:dyDescent="0.2">
      <c r="A174" s="43"/>
      <c r="B174" s="44"/>
      <c r="C174" s="94"/>
      <c r="D174" s="94"/>
      <c r="E174" s="94"/>
      <c r="F174" s="94"/>
      <c r="G174" s="94"/>
      <c r="H174" s="94"/>
      <c r="I174" s="94"/>
      <c r="J174" s="94"/>
      <c r="K174" s="94"/>
      <c r="L174" s="94"/>
      <c r="M174" s="94"/>
      <c r="N174" s="94"/>
      <c r="O174" s="94"/>
      <c r="P174" s="94"/>
      <c r="Q174" s="45"/>
      <c r="R174" s="125"/>
      <c r="T174" s="54"/>
      <c r="U174" s="52"/>
    </row>
    <row r="175" spans="1:21" x14ac:dyDescent="0.2">
      <c r="A175" s="129"/>
      <c r="B175" s="11" t="s">
        <v>52</v>
      </c>
      <c r="C175" s="131"/>
      <c r="D175" s="131"/>
      <c r="E175" s="131"/>
      <c r="F175" s="131"/>
      <c r="G175" s="131"/>
      <c r="H175" s="131"/>
      <c r="I175" s="131"/>
      <c r="J175" s="131"/>
      <c r="K175" s="131"/>
      <c r="L175" s="131"/>
      <c r="M175" s="131"/>
      <c r="N175" s="131"/>
      <c r="O175" s="131"/>
      <c r="P175" s="131"/>
      <c r="Q175" s="132"/>
      <c r="R175" s="126"/>
      <c r="T175" s="38"/>
      <c r="U175" s="134"/>
    </row>
    <row r="176" spans="1:21" x14ac:dyDescent="0.2">
      <c r="C176" s="46"/>
      <c r="D176" s="46"/>
      <c r="E176" s="46"/>
      <c r="F176" s="46"/>
      <c r="G176" s="46"/>
      <c r="H176" s="46"/>
      <c r="I176" s="46"/>
      <c r="J176" s="46"/>
      <c r="K176" s="46"/>
      <c r="L176" s="46"/>
      <c r="M176" s="46"/>
      <c r="N176" s="46"/>
      <c r="O176" s="46"/>
      <c r="P176" s="171" t="s">
        <v>15</v>
      </c>
      <c r="Q176" s="133" t="s">
        <v>0</v>
      </c>
      <c r="R176" s="137">
        <f>SUM(R155:R175)</f>
        <v>0</v>
      </c>
      <c r="T176" s="49"/>
      <c r="U176" s="135"/>
    </row>
    <row r="177" spans="16:18" x14ac:dyDescent="0.2">
      <c r="P177" s="188"/>
      <c r="Q177" s="124"/>
      <c r="R177" s="125"/>
    </row>
  </sheetData>
  <customSheetViews>
    <customSheetView guid="{CBA2F18A-D99E-4593-B5C7-F549C46D482A}" scale="85" showPageBreaks="1" zeroValues="0" printArea="1" hiddenColumns="1" view="pageBreakPreview">
      <pane xSplit="2" ySplit="3" topLeftCell="C10" activePane="bottomRight" state="frozen"/>
      <selection pane="bottomRight" activeCell="I41" sqref="I41"/>
      <pageMargins left="0.51181102362204722" right="0.19685039370078741" top="0.98425196850393704" bottom="0.59055118110236227" header="0.31496062992125984" footer="0.31496062992125984"/>
      <pageSetup paperSize="8" scale="90" orientation="landscape" useFirstPageNumber="1" r:id="rId1"/>
      <headerFooter>
        <oddHeader>&amp;R&amp;UBILL NO. 2
METALWORK</oddHeader>
        <oddFooter>&amp;L&amp;8MBR GPV PH1A BQ ADD5&amp;C&amp;10 2/E/&amp;P</oddFooter>
      </headerFooter>
    </customSheetView>
    <customSheetView guid="{A5028593-220E-41E5-9B7F-B61B224ADECB}" scale="85" showPageBreaks="1" zeroValues="0" printArea="1" hiddenColumns="1" view="pageBreakPreview" topLeftCell="I1">
      <pane ySplit="3" topLeftCell="A48" activePane="bottomLeft" state="frozen"/>
      <selection pane="bottomLeft" activeCell="AF1" sqref="AF1:AQ1048576"/>
      <pageMargins left="0.51181102362204722" right="0.19685039370078741" top="0.98425196850393704" bottom="0.59055118110236227" header="0.31496062992125984" footer="0.31496062992125984"/>
      <pageSetup paperSize="8" scale="85" orientation="landscape" useFirstPageNumber="1" r:id="rId2"/>
      <headerFooter>
        <oddHeader>&amp;R&amp;UBILL NO. 2
METALWORK</oddHeader>
        <oddFooter>&amp;L&amp;8MBR CV BQ&amp;C&amp;10 2/E/&amp;P</oddFooter>
      </headerFooter>
    </customSheetView>
    <customSheetView guid="{9B0AB937-A858-4024-AFD2-25458CC5120D}" scale="85" showPageBreaks="1" zeroValues="0" printArea="1" hiddenColumns="1" view="pageBreakPreview" topLeftCell="I1">
      <pane ySplit="3" topLeftCell="A48" activePane="bottomLeft" state="frozen"/>
      <selection pane="bottomLeft" activeCell="AF1" sqref="AF1:AQ1048576"/>
      <pageMargins left="0.51181102362204722" right="0.19685039370078741" top="0.98425196850393704" bottom="0.59055118110236227" header="0.31496062992125984" footer="0.31496062992125984"/>
      <pageSetup paperSize="8" scale="85" orientation="landscape" useFirstPageNumber="1" r:id="rId3"/>
      <headerFooter>
        <oddHeader>&amp;R&amp;UBILL NO. 2
METALWORK</oddHeader>
        <oddFooter>&amp;L&amp;8MBR CV BQ&amp;C&amp;10 2/E/&amp;P</oddFooter>
      </headerFooter>
    </customSheetView>
    <customSheetView guid="{09AFA358-18AB-4F70-994A-26F8BCF8C7CA}" scale="85" showPageBreaks="1" zeroValues="0" printArea="1" hiddenColumns="1" view="pageBreakPreview" topLeftCell="I1">
      <pane ySplit="3" topLeftCell="A48" activePane="bottomLeft" state="frozen"/>
      <selection pane="bottomLeft" activeCell="AF1" sqref="AF1:AQ1048576"/>
      <pageMargins left="0.51181102362204722" right="0.19685039370078741" top="0.98425196850393704" bottom="0.59055118110236227" header="0.31496062992125984" footer="0.31496062992125984"/>
      <pageSetup paperSize="8" scale="85" orientation="landscape" useFirstPageNumber="1" r:id="rId4"/>
      <headerFooter>
        <oddHeader>&amp;R&amp;UBILL NO. 2
METALWORK</oddHeader>
        <oddFooter>&amp;L&amp;8MBR CV BQ&amp;C&amp;10 2/E/&amp;P</oddFooter>
      </headerFooter>
    </customSheetView>
  </customSheetViews>
  <mergeCells count="14">
    <mergeCell ref="R1:R3"/>
    <mergeCell ref="D2:D3"/>
    <mergeCell ref="F2:F3"/>
    <mergeCell ref="H2:H3"/>
    <mergeCell ref="A1:A3"/>
    <mergeCell ref="B1:B3"/>
    <mergeCell ref="C1:O1"/>
    <mergeCell ref="P1:P3"/>
    <mergeCell ref="Q1:Q3"/>
    <mergeCell ref="O157:P157"/>
    <mergeCell ref="O2:O3"/>
    <mergeCell ref="J2:J3"/>
    <mergeCell ref="L2:L3"/>
    <mergeCell ref="N2:N3"/>
  </mergeCells>
  <printOptions horizontalCentered="1"/>
  <pageMargins left="0.51181102362204722" right="0.19685039370078741" top="0.98425196850393704" bottom="0.59055118110236227" header="0.31496062992125984" footer="0.31496062992125984"/>
  <pageSetup paperSize="8" orientation="landscape" useFirstPageNumber="1" r:id="rId5"/>
  <headerFooter>
    <oddHeader>&amp;R&amp;UBILL NO. 3: TOWNHOUSE A 
METALWORK</oddHeader>
    <oddFooter>&amp;L&amp;8DMS No. 148110 Package 3 (05 Oct 2021)&amp;C&amp;10 3/E/&amp;P</oddFooter>
  </headerFooter>
  <ignoredErrors>
    <ignoredError sqref="C135:P148 P134 C89:P92 C130:P130 C131:P133 P22 P23:P27 P66 P58 P64 P60:P62 C81:P87 P96:P98 P100 P16:P18 C42:P47 C120:P128 C49:P52 C116:P118 P54 P93:P94 P114:P115 C53:F53 P53 P80"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U128"/>
  <sheetViews>
    <sheetView showZeros="0" view="pageBreakPreview" zoomScale="85" zoomScaleNormal="85" zoomScaleSheetLayoutView="85" workbookViewId="0">
      <pane xSplit="2" ySplit="3" topLeftCell="C14" activePane="bottomRight" state="frozen"/>
      <selection activeCell="T57" sqref="T57"/>
      <selection pane="topRight" activeCell="T57" sqref="T57"/>
      <selection pane="bottomLeft" activeCell="T57" sqref="T57"/>
      <selection pane="bottomRight" activeCell="E36" sqref="E36"/>
    </sheetView>
  </sheetViews>
  <sheetFormatPr defaultRowHeight="14.25" x14ac:dyDescent="0.2"/>
  <cols>
    <col min="1" max="1" width="6.125" style="121" customWidth="1"/>
    <col min="2" max="2" width="61.875" style="122" customWidth="1"/>
    <col min="3" max="3" width="11.125" style="204" customWidth="1"/>
    <col min="4" max="4" width="10.625" style="204" hidden="1" customWidth="1"/>
    <col min="5" max="5" width="11.125" style="204" customWidth="1"/>
    <col min="6" max="6" width="10.625" style="204" hidden="1" customWidth="1"/>
    <col min="7" max="7" width="11.125" style="204" customWidth="1"/>
    <col min="8" max="8" width="10.625" style="204" hidden="1" customWidth="1"/>
    <col min="9" max="9" width="11.125" style="204" customWidth="1"/>
    <col min="10" max="10" width="10.625" style="204" hidden="1" customWidth="1"/>
    <col min="11" max="11" width="11.125" style="204" customWidth="1"/>
    <col min="12" max="12" width="10.625" style="204" hidden="1" customWidth="1"/>
    <col min="13" max="13" width="11.125" style="204" customWidth="1"/>
    <col min="14" max="14" width="10.625" style="204" hidden="1" customWidth="1"/>
    <col min="15" max="15" width="12.125" style="204" customWidth="1"/>
    <col min="16" max="16" width="7.125" style="204" customWidth="1"/>
    <col min="17" max="17" width="12.125" style="46" customWidth="1"/>
    <col min="18" max="18" width="16.625" style="46" customWidth="1"/>
    <col min="19" max="19" width="9" style="140"/>
    <col min="20" max="21" width="9.75" style="128" customWidth="1"/>
    <col min="22" max="22" width="9" style="140"/>
    <col min="23" max="23" width="72.75" style="140" customWidth="1"/>
    <col min="24" max="16384" width="9" style="140"/>
  </cols>
  <sheetData>
    <row r="1" spans="1:21" s="98" customFormat="1" x14ac:dyDescent="0.2">
      <c r="A1" s="521" t="s">
        <v>5</v>
      </c>
      <c r="B1" s="521" t="s">
        <v>4</v>
      </c>
      <c r="C1" s="530" t="s">
        <v>3</v>
      </c>
      <c r="D1" s="530"/>
      <c r="E1" s="530"/>
      <c r="F1" s="530"/>
      <c r="G1" s="530"/>
      <c r="H1" s="530"/>
      <c r="I1" s="530"/>
      <c r="J1" s="530"/>
      <c r="K1" s="530"/>
      <c r="L1" s="530"/>
      <c r="M1" s="530"/>
      <c r="N1" s="530"/>
      <c r="O1" s="530"/>
      <c r="P1" s="531" t="s">
        <v>2</v>
      </c>
      <c r="Q1" s="518" t="s">
        <v>6</v>
      </c>
      <c r="R1" s="521" t="s">
        <v>7</v>
      </c>
      <c r="T1" s="155"/>
      <c r="U1" s="155"/>
    </row>
    <row r="2" spans="1:21" s="98" customFormat="1" ht="28.5" x14ac:dyDescent="0.2">
      <c r="A2" s="522"/>
      <c r="B2" s="522"/>
      <c r="C2" s="427" t="s">
        <v>439</v>
      </c>
      <c r="D2" s="524" t="s">
        <v>23</v>
      </c>
      <c r="E2" s="427" t="s">
        <v>440</v>
      </c>
      <c r="F2" s="524" t="s">
        <v>23</v>
      </c>
      <c r="G2" s="427" t="s">
        <v>441</v>
      </c>
      <c r="H2" s="524" t="s">
        <v>23</v>
      </c>
      <c r="I2" s="427" t="s">
        <v>442</v>
      </c>
      <c r="J2" s="524" t="s">
        <v>23</v>
      </c>
      <c r="K2" s="427" t="s">
        <v>443</v>
      </c>
      <c r="L2" s="524" t="s">
        <v>23</v>
      </c>
      <c r="M2" s="427" t="s">
        <v>444</v>
      </c>
      <c r="N2" s="524" t="s">
        <v>23</v>
      </c>
      <c r="O2" s="526" t="s">
        <v>22</v>
      </c>
      <c r="P2" s="532"/>
      <c r="Q2" s="519"/>
      <c r="R2" s="522"/>
      <c r="T2" s="194" t="s">
        <v>445</v>
      </c>
      <c r="U2" s="75" t="s">
        <v>446</v>
      </c>
    </row>
    <row r="3" spans="1:21" s="98" customFormat="1" x14ac:dyDescent="0.2">
      <c r="A3" s="523"/>
      <c r="B3" s="523"/>
      <c r="C3" s="192">
        <v>1</v>
      </c>
      <c r="D3" s="525"/>
      <c r="E3" s="192">
        <v>1</v>
      </c>
      <c r="F3" s="525"/>
      <c r="G3" s="192">
        <v>5</v>
      </c>
      <c r="H3" s="525"/>
      <c r="I3" s="192">
        <v>1</v>
      </c>
      <c r="J3" s="525"/>
      <c r="K3" s="192">
        <v>3</v>
      </c>
      <c r="L3" s="525"/>
      <c r="M3" s="192">
        <v>1</v>
      </c>
      <c r="N3" s="525"/>
      <c r="O3" s="527"/>
      <c r="P3" s="533"/>
      <c r="Q3" s="520"/>
      <c r="R3" s="523"/>
      <c r="S3" s="95">
        <f>C3+E3+G3+I3+K3+M3</f>
        <v>12</v>
      </c>
      <c r="T3" s="35"/>
      <c r="U3" s="35"/>
    </row>
    <row r="4" spans="1:21" x14ac:dyDescent="0.2">
      <c r="A4" s="127"/>
      <c r="B4" s="136"/>
      <c r="C4" s="128"/>
      <c r="D4" s="120"/>
      <c r="E4" s="120"/>
      <c r="F4" s="120"/>
      <c r="G4" s="120"/>
      <c r="H4" s="120"/>
      <c r="I4" s="120"/>
      <c r="J4" s="120"/>
      <c r="K4" s="120"/>
      <c r="L4" s="120"/>
      <c r="M4" s="120"/>
      <c r="N4" s="120"/>
      <c r="O4" s="120"/>
      <c r="P4" s="154"/>
      <c r="Q4" s="141"/>
      <c r="R4" s="137"/>
    </row>
    <row r="5" spans="1:21" x14ac:dyDescent="0.2">
      <c r="A5" s="139"/>
      <c r="B5" s="15" t="s">
        <v>19</v>
      </c>
      <c r="C5" s="128"/>
      <c r="D5" s="120"/>
      <c r="E5" s="120"/>
      <c r="F5" s="120"/>
      <c r="G5" s="120"/>
      <c r="H5" s="120"/>
      <c r="I5" s="120"/>
      <c r="J5" s="120"/>
      <c r="K5" s="120"/>
      <c r="L5" s="120"/>
      <c r="M5" s="120"/>
      <c r="N5" s="120"/>
      <c r="O5" s="120"/>
      <c r="P5" s="154"/>
      <c r="Q5" s="141"/>
      <c r="R5" s="137"/>
    </row>
    <row r="6" spans="1:21" x14ac:dyDescent="0.2">
      <c r="A6" s="139"/>
      <c r="B6" s="15"/>
      <c r="C6" s="128"/>
      <c r="D6" s="120"/>
      <c r="E6" s="120"/>
      <c r="F6" s="120"/>
      <c r="G6" s="120"/>
      <c r="H6" s="120"/>
      <c r="I6" s="120"/>
      <c r="J6" s="120"/>
      <c r="K6" s="120"/>
      <c r="L6" s="120"/>
      <c r="M6" s="120"/>
      <c r="N6" s="120"/>
      <c r="O6" s="120"/>
      <c r="P6" s="154"/>
      <c r="Q6" s="141"/>
      <c r="R6" s="137"/>
    </row>
    <row r="7" spans="1:21" x14ac:dyDescent="0.2">
      <c r="A7" s="139"/>
      <c r="B7" s="23" t="s">
        <v>313</v>
      </c>
      <c r="C7" s="128"/>
      <c r="D7" s="120"/>
      <c r="E7" s="120"/>
      <c r="F7" s="120"/>
      <c r="G7" s="120"/>
      <c r="H7" s="120"/>
      <c r="I7" s="120"/>
      <c r="J7" s="120"/>
      <c r="K7" s="120"/>
      <c r="L7" s="120"/>
      <c r="M7" s="120"/>
      <c r="N7" s="120"/>
      <c r="O7" s="120"/>
      <c r="P7" s="154"/>
      <c r="Q7" s="141"/>
      <c r="R7" s="137"/>
    </row>
    <row r="8" spans="1:21" ht="15" customHeight="1" x14ac:dyDescent="0.2">
      <c r="A8" s="139"/>
      <c r="B8" s="136" t="s">
        <v>314</v>
      </c>
      <c r="C8" s="128"/>
      <c r="D8" s="120"/>
      <c r="E8" s="120"/>
      <c r="F8" s="120"/>
      <c r="G8" s="120"/>
      <c r="H8" s="120"/>
      <c r="I8" s="120"/>
      <c r="J8" s="120"/>
      <c r="K8" s="120"/>
      <c r="L8" s="120"/>
      <c r="M8" s="120"/>
      <c r="N8" s="120"/>
      <c r="O8" s="120"/>
      <c r="P8" s="154"/>
      <c r="Q8" s="141"/>
      <c r="R8" s="137"/>
    </row>
    <row r="9" spans="1:21" x14ac:dyDescent="0.2">
      <c r="A9" s="139"/>
      <c r="B9" s="136" t="s">
        <v>315</v>
      </c>
      <c r="C9" s="128"/>
      <c r="D9" s="120"/>
      <c r="E9" s="120"/>
      <c r="F9" s="120"/>
      <c r="G9" s="120"/>
      <c r="H9" s="120"/>
      <c r="I9" s="120"/>
      <c r="J9" s="120"/>
      <c r="K9" s="120"/>
      <c r="L9" s="120"/>
      <c r="M9" s="120"/>
      <c r="N9" s="120"/>
      <c r="O9" s="120"/>
      <c r="P9" s="154"/>
      <c r="Q9" s="141"/>
      <c r="R9" s="137"/>
    </row>
    <row r="10" spans="1:21" x14ac:dyDescent="0.2">
      <c r="A10" s="139"/>
      <c r="B10" s="88" t="s">
        <v>318</v>
      </c>
      <c r="C10" s="128"/>
      <c r="D10" s="120"/>
      <c r="E10" s="120"/>
      <c r="F10" s="120"/>
      <c r="G10" s="120"/>
      <c r="H10" s="120"/>
      <c r="I10" s="120"/>
      <c r="J10" s="120"/>
      <c r="K10" s="120"/>
      <c r="L10" s="120"/>
      <c r="M10" s="120"/>
      <c r="N10" s="120"/>
      <c r="O10" s="120"/>
      <c r="P10" s="154"/>
      <c r="Q10" s="141"/>
      <c r="R10" s="137"/>
    </row>
    <row r="11" spans="1:21" x14ac:dyDescent="0.2">
      <c r="A11" s="139"/>
      <c r="B11" s="136"/>
      <c r="C11" s="128"/>
      <c r="D11" s="120"/>
      <c r="E11" s="120"/>
      <c r="F11" s="120"/>
      <c r="G11" s="120"/>
      <c r="H11" s="120"/>
      <c r="I11" s="120"/>
      <c r="J11" s="120"/>
      <c r="K11" s="120"/>
      <c r="L11" s="120"/>
      <c r="M11" s="120"/>
      <c r="N11" s="120"/>
      <c r="O11" s="120"/>
      <c r="P11" s="154"/>
      <c r="Q11" s="141"/>
      <c r="R11" s="137"/>
    </row>
    <row r="12" spans="1:21" x14ac:dyDescent="0.2">
      <c r="A12" s="139"/>
      <c r="B12" s="78" t="s">
        <v>179</v>
      </c>
      <c r="C12" s="128"/>
      <c r="D12" s="120"/>
      <c r="E12" s="120"/>
      <c r="F12" s="120"/>
      <c r="G12" s="120"/>
      <c r="H12" s="120"/>
      <c r="I12" s="120"/>
      <c r="J12" s="120"/>
      <c r="K12" s="120"/>
      <c r="L12" s="120"/>
      <c r="M12" s="120"/>
      <c r="N12" s="120"/>
      <c r="O12" s="120"/>
      <c r="P12" s="154"/>
      <c r="Q12" s="141"/>
      <c r="R12" s="137"/>
    </row>
    <row r="13" spans="1:21" x14ac:dyDescent="0.2">
      <c r="A13" s="139"/>
      <c r="B13" s="136"/>
      <c r="C13" s="138"/>
      <c r="D13" s="138"/>
      <c r="E13" s="138"/>
      <c r="F13" s="138"/>
      <c r="G13" s="138"/>
      <c r="H13" s="138"/>
      <c r="I13" s="138"/>
      <c r="J13" s="138"/>
      <c r="K13" s="138"/>
      <c r="L13" s="138"/>
      <c r="M13" s="138"/>
      <c r="N13" s="138"/>
      <c r="O13" s="138"/>
      <c r="P13" s="154"/>
      <c r="Q13" s="141"/>
      <c r="R13" s="137"/>
    </row>
    <row r="14" spans="1:21" ht="85.5" customHeight="1" x14ac:dyDescent="0.2">
      <c r="A14" s="139"/>
      <c r="B14" s="449" t="s">
        <v>914</v>
      </c>
      <c r="C14" s="138">
        <f t="shared" ref="C14:C24" si="0">ROUND((2*$T14+2*$U14)*C$3,0)</f>
        <v>0</v>
      </c>
      <c r="D14" s="138">
        <f t="shared" ref="D14:D24" si="1">C14*$Q14</f>
        <v>0</v>
      </c>
      <c r="E14" s="138">
        <f t="shared" ref="E14:E24" si="2">ROUND((2*$T14+3*$U14)*E$3,0)</f>
        <v>0</v>
      </c>
      <c r="F14" s="138">
        <f t="shared" ref="F14:F24" si="3">E14*$Q14</f>
        <v>0</v>
      </c>
      <c r="G14" s="138">
        <f t="shared" ref="G14:G24" si="4">ROUND((2*$T14+4*$U14)*G$3,0)</f>
        <v>0</v>
      </c>
      <c r="H14" s="138">
        <f t="shared" ref="H14:H24" si="5">G14*$Q14</f>
        <v>0</v>
      </c>
      <c r="I14" s="138">
        <f t="shared" ref="I14:I24" si="6">ROUND((2*$T14+5*$U14)*I$3,0)</f>
        <v>0</v>
      </c>
      <c r="J14" s="138">
        <f t="shared" ref="J14:J24" si="7">I14*$Q14</f>
        <v>0</v>
      </c>
      <c r="K14" s="138">
        <f t="shared" ref="K14:K24" si="8">ROUND((2*$T14+6*$U14)*K$3,0)</f>
        <v>0</v>
      </c>
      <c r="L14" s="138">
        <f t="shared" ref="L14:L24" si="9">K14*$Q14</f>
        <v>0</v>
      </c>
      <c r="M14" s="138">
        <f t="shared" ref="M14:M24" si="10">ROUND((2*$T14+7*$U14)*M$3,0)</f>
        <v>0</v>
      </c>
      <c r="N14" s="138">
        <f t="shared" ref="N14:N24" si="11">M14*$Q14</f>
        <v>0</v>
      </c>
      <c r="O14" s="138">
        <f t="shared" ref="O14:O23" si="12">C14+E14+G14+I14+K14+M14</f>
        <v>0</v>
      </c>
      <c r="P14" s="154"/>
      <c r="Q14" s="141"/>
      <c r="R14" s="137"/>
    </row>
    <row r="15" spans="1:21" x14ac:dyDescent="0.2">
      <c r="A15" s="139"/>
      <c r="B15" s="136"/>
      <c r="C15" s="138">
        <f t="shared" si="0"/>
        <v>0</v>
      </c>
      <c r="D15" s="138">
        <f t="shared" si="1"/>
        <v>0</v>
      </c>
      <c r="E15" s="138">
        <f t="shared" si="2"/>
        <v>0</v>
      </c>
      <c r="F15" s="138">
        <f t="shared" si="3"/>
        <v>0</v>
      </c>
      <c r="G15" s="138">
        <f t="shared" si="4"/>
        <v>0</v>
      </c>
      <c r="H15" s="138">
        <f t="shared" si="5"/>
        <v>0</v>
      </c>
      <c r="I15" s="138">
        <f t="shared" si="6"/>
        <v>0</v>
      </c>
      <c r="J15" s="138">
        <f t="shared" si="7"/>
        <v>0</v>
      </c>
      <c r="K15" s="138">
        <f t="shared" si="8"/>
        <v>0</v>
      </c>
      <c r="L15" s="138">
        <f t="shared" si="9"/>
        <v>0</v>
      </c>
      <c r="M15" s="138">
        <f t="shared" si="10"/>
        <v>0</v>
      </c>
      <c r="N15" s="138">
        <f t="shared" si="11"/>
        <v>0</v>
      </c>
      <c r="O15" s="138">
        <f t="shared" si="12"/>
        <v>0</v>
      </c>
      <c r="P15" s="154"/>
      <c r="Q15" s="141"/>
      <c r="R15" s="137"/>
    </row>
    <row r="16" spans="1:21" x14ac:dyDescent="0.2">
      <c r="A16" s="139" t="s">
        <v>66</v>
      </c>
      <c r="B16" s="110" t="s">
        <v>466</v>
      </c>
      <c r="C16" s="138">
        <f t="shared" si="0"/>
        <v>2</v>
      </c>
      <c r="D16" s="138">
        <f t="shared" si="1"/>
        <v>0</v>
      </c>
      <c r="E16" s="138">
        <f t="shared" si="2"/>
        <v>2</v>
      </c>
      <c r="F16" s="138">
        <f t="shared" si="3"/>
        <v>0</v>
      </c>
      <c r="G16" s="138">
        <f t="shared" si="4"/>
        <v>10</v>
      </c>
      <c r="H16" s="138">
        <f t="shared" si="5"/>
        <v>0</v>
      </c>
      <c r="I16" s="138">
        <f t="shared" si="6"/>
        <v>2</v>
      </c>
      <c r="J16" s="138">
        <f t="shared" si="7"/>
        <v>0</v>
      </c>
      <c r="K16" s="138">
        <f t="shared" si="8"/>
        <v>6</v>
      </c>
      <c r="L16" s="138">
        <f t="shared" si="9"/>
        <v>0</v>
      </c>
      <c r="M16" s="138">
        <f t="shared" si="10"/>
        <v>2</v>
      </c>
      <c r="N16" s="138">
        <f t="shared" si="11"/>
        <v>0</v>
      </c>
      <c r="O16" s="138">
        <f>C16+E16+G16+I16+K16+M16</f>
        <v>24</v>
      </c>
      <c r="P16" s="154" t="s">
        <v>269</v>
      </c>
      <c r="Q16" s="141"/>
      <c r="R16" s="137">
        <f>O16*Q16</f>
        <v>0</v>
      </c>
      <c r="T16" s="128">
        <v>1</v>
      </c>
    </row>
    <row r="17" spans="1:21" x14ac:dyDescent="0.2">
      <c r="A17" s="139"/>
      <c r="B17" s="24"/>
      <c r="C17" s="138">
        <f t="shared" si="0"/>
        <v>0</v>
      </c>
      <c r="D17" s="138">
        <f t="shared" si="1"/>
        <v>0</v>
      </c>
      <c r="E17" s="138">
        <f t="shared" si="2"/>
        <v>0</v>
      </c>
      <c r="F17" s="138">
        <f t="shared" si="3"/>
        <v>0</v>
      </c>
      <c r="G17" s="138">
        <f t="shared" si="4"/>
        <v>0</v>
      </c>
      <c r="H17" s="138">
        <f t="shared" si="5"/>
        <v>0</v>
      </c>
      <c r="I17" s="138">
        <f t="shared" si="6"/>
        <v>0</v>
      </c>
      <c r="J17" s="138">
        <f t="shared" si="7"/>
        <v>0</v>
      </c>
      <c r="K17" s="138">
        <f t="shared" si="8"/>
        <v>0</v>
      </c>
      <c r="L17" s="138">
        <f t="shared" si="9"/>
        <v>0</v>
      </c>
      <c r="M17" s="138">
        <f t="shared" si="10"/>
        <v>0</v>
      </c>
      <c r="N17" s="138">
        <f t="shared" si="11"/>
        <v>0</v>
      </c>
      <c r="O17" s="138">
        <f t="shared" si="12"/>
        <v>0</v>
      </c>
      <c r="P17" s="154"/>
      <c r="Q17" s="141"/>
      <c r="R17" s="137"/>
    </row>
    <row r="18" spans="1:21" x14ac:dyDescent="0.2">
      <c r="A18" s="139" t="s">
        <v>67</v>
      </c>
      <c r="B18" s="110" t="s">
        <v>651</v>
      </c>
      <c r="C18" s="138">
        <f t="shared" si="0"/>
        <v>2</v>
      </c>
      <c r="D18" s="138">
        <f t="shared" si="1"/>
        <v>0</v>
      </c>
      <c r="E18" s="138">
        <f t="shared" si="2"/>
        <v>2</v>
      </c>
      <c r="F18" s="138">
        <f t="shared" si="3"/>
        <v>0</v>
      </c>
      <c r="G18" s="138">
        <f t="shared" si="4"/>
        <v>10</v>
      </c>
      <c r="H18" s="138">
        <f t="shared" si="5"/>
        <v>0</v>
      </c>
      <c r="I18" s="138">
        <f t="shared" si="6"/>
        <v>2</v>
      </c>
      <c r="J18" s="138">
        <f t="shared" si="7"/>
        <v>0</v>
      </c>
      <c r="K18" s="138">
        <f t="shared" si="8"/>
        <v>6</v>
      </c>
      <c r="L18" s="138">
        <f t="shared" si="9"/>
        <v>0</v>
      </c>
      <c r="M18" s="138">
        <f t="shared" si="10"/>
        <v>2</v>
      </c>
      <c r="N18" s="138">
        <f t="shared" si="11"/>
        <v>0</v>
      </c>
      <c r="O18" s="138">
        <f>C18+E18+G18+I18+K18+M18</f>
        <v>24</v>
      </c>
      <c r="P18" s="154" t="s">
        <v>269</v>
      </c>
      <c r="Q18" s="141"/>
      <c r="R18" s="137">
        <f>O18*Q18</f>
        <v>0</v>
      </c>
      <c r="T18" s="128">
        <v>1</v>
      </c>
    </row>
    <row r="19" spans="1:21" x14ac:dyDescent="0.2">
      <c r="A19" s="139"/>
      <c r="B19" s="24"/>
      <c r="C19" s="138">
        <f t="shared" si="0"/>
        <v>0</v>
      </c>
      <c r="D19" s="138">
        <f t="shared" si="1"/>
        <v>0</v>
      </c>
      <c r="E19" s="138">
        <f t="shared" si="2"/>
        <v>0</v>
      </c>
      <c r="F19" s="138">
        <f t="shared" si="3"/>
        <v>0</v>
      </c>
      <c r="G19" s="138">
        <f t="shared" si="4"/>
        <v>0</v>
      </c>
      <c r="H19" s="138">
        <f t="shared" si="5"/>
        <v>0</v>
      </c>
      <c r="I19" s="138">
        <f t="shared" si="6"/>
        <v>0</v>
      </c>
      <c r="J19" s="138">
        <f t="shared" si="7"/>
        <v>0</v>
      </c>
      <c r="K19" s="138">
        <f t="shared" si="8"/>
        <v>0</v>
      </c>
      <c r="L19" s="138">
        <f t="shared" si="9"/>
        <v>0</v>
      </c>
      <c r="M19" s="138">
        <f t="shared" si="10"/>
        <v>0</v>
      </c>
      <c r="N19" s="138">
        <f t="shared" si="11"/>
        <v>0</v>
      </c>
      <c r="O19" s="138">
        <f t="shared" si="12"/>
        <v>0</v>
      </c>
      <c r="P19" s="154"/>
      <c r="Q19" s="141"/>
      <c r="R19" s="137"/>
    </row>
    <row r="20" spans="1:21" x14ac:dyDescent="0.2">
      <c r="A20" s="139" t="s">
        <v>68</v>
      </c>
      <c r="B20" s="110" t="s">
        <v>652</v>
      </c>
      <c r="C20" s="138">
        <f t="shared" si="0"/>
        <v>2</v>
      </c>
      <c r="D20" s="138">
        <f t="shared" si="1"/>
        <v>0</v>
      </c>
      <c r="E20" s="138">
        <f t="shared" si="2"/>
        <v>3</v>
      </c>
      <c r="F20" s="138">
        <f t="shared" si="3"/>
        <v>0</v>
      </c>
      <c r="G20" s="138">
        <f t="shared" si="4"/>
        <v>20</v>
      </c>
      <c r="H20" s="138">
        <f t="shared" si="5"/>
        <v>0</v>
      </c>
      <c r="I20" s="138">
        <f t="shared" si="6"/>
        <v>5</v>
      </c>
      <c r="J20" s="138">
        <f t="shared" si="7"/>
        <v>0</v>
      </c>
      <c r="K20" s="138">
        <f t="shared" si="8"/>
        <v>18</v>
      </c>
      <c r="L20" s="138">
        <f t="shared" si="9"/>
        <v>0</v>
      </c>
      <c r="M20" s="138">
        <f t="shared" si="10"/>
        <v>7</v>
      </c>
      <c r="N20" s="138">
        <f t="shared" si="11"/>
        <v>0</v>
      </c>
      <c r="O20" s="138">
        <f>C20+E20+G20+I20+K20+M20</f>
        <v>55</v>
      </c>
      <c r="P20" s="154" t="s">
        <v>269</v>
      </c>
      <c r="Q20" s="141"/>
      <c r="R20" s="137">
        <f>O20*Q20</f>
        <v>0</v>
      </c>
      <c r="U20" s="128">
        <v>1</v>
      </c>
    </row>
    <row r="21" spans="1:21" x14ac:dyDescent="0.2">
      <c r="A21" s="139"/>
      <c r="B21" s="24"/>
      <c r="C21" s="138">
        <f t="shared" si="0"/>
        <v>0</v>
      </c>
      <c r="D21" s="138">
        <f t="shared" si="1"/>
        <v>0</v>
      </c>
      <c r="E21" s="138">
        <f t="shared" si="2"/>
        <v>0</v>
      </c>
      <c r="F21" s="138">
        <f t="shared" si="3"/>
        <v>0</v>
      </c>
      <c r="G21" s="138">
        <f t="shared" si="4"/>
        <v>0</v>
      </c>
      <c r="H21" s="138">
        <f t="shared" si="5"/>
        <v>0</v>
      </c>
      <c r="I21" s="138">
        <f t="shared" si="6"/>
        <v>0</v>
      </c>
      <c r="J21" s="138">
        <f t="shared" si="7"/>
        <v>0</v>
      </c>
      <c r="K21" s="138">
        <f t="shared" si="8"/>
        <v>0</v>
      </c>
      <c r="L21" s="138">
        <f t="shared" si="9"/>
        <v>0</v>
      </c>
      <c r="M21" s="138">
        <f t="shared" si="10"/>
        <v>0</v>
      </c>
      <c r="N21" s="138">
        <f t="shared" si="11"/>
        <v>0</v>
      </c>
      <c r="O21" s="138">
        <f t="shared" si="12"/>
        <v>0</v>
      </c>
      <c r="P21" s="154"/>
      <c r="Q21" s="141"/>
      <c r="R21" s="137"/>
    </row>
    <row r="22" spans="1:21" x14ac:dyDescent="0.2">
      <c r="A22" s="139" t="s">
        <v>69</v>
      </c>
      <c r="B22" s="110" t="s">
        <v>653</v>
      </c>
      <c r="C22" s="138">
        <f t="shared" si="0"/>
        <v>2</v>
      </c>
      <c r="D22" s="138">
        <f t="shared" si="1"/>
        <v>0</v>
      </c>
      <c r="E22" s="138">
        <f t="shared" si="2"/>
        <v>3</v>
      </c>
      <c r="F22" s="138">
        <f t="shared" si="3"/>
        <v>0</v>
      </c>
      <c r="G22" s="138">
        <f t="shared" si="4"/>
        <v>20</v>
      </c>
      <c r="H22" s="138">
        <f t="shared" si="5"/>
        <v>0</v>
      </c>
      <c r="I22" s="138">
        <f t="shared" si="6"/>
        <v>5</v>
      </c>
      <c r="J22" s="138">
        <f t="shared" si="7"/>
        <v>0</v>
      </c>
      <c r="K22" s="138">
        <f t="shared" si="8"/>
        <v>18</v>
      </c>
      <c r="L22" s="138">
        <f t="shared" si="9"/>
        <v>0</v>
      </c>
      <c r="M22" s="138">
        <f t="shared" si="10"/>
        <v>7</v>
      </c>
      <c r="N22" s="138">
        <f t="shared" si="11"/>
        <v>0</v>
      </c>
      <c r="O22" s="138">
        <f>C22+E22+G22+I22+K22+M22</f>
        <v>55</v>
      </c>
      <c r="P22" s="154" t="s">
        <v>269</v>
      </c>
      <c r="Q22" s="141"/>
      <c r="R22" s="137">
        <f>O22*Q22</f>
        <v>0</v>
      </c>
      <c r="U22" s="128">
        <v>1</v>
      </c>
    </row>
    <row r="23" spans="1:21" x14ac:dyDescent="0.2">
      <c r="A23" s="139"/>
      <c r="B23" s="24"/>
      <c r="C23" s="138">
        <f t="shared" si="0"/>
        <v>0</v>
      </c>
      <c r="D23" s="138">
        <f t="shared" si="1"/>
        <v>0</v>
      </c>
      <c r="E23" s="138">
        <f t="shared" si="2"/>
        <v>0</v>
      </c>
      <c r="F23" s="138">
        <f t="shared" si="3"/>
        <v>0</v>
      </c>
      <c r="G23" s="138">
        <f t="shared" si="4"/>
        <v>0</v>
      </c>
      <c r="H23" s="138">
        <f t="shared" si="5"/>
        <v>0</v>
      </c>
      <c r="I23" s="138">
        <f t="shared" si="6"/>
        <v>0</v>
      </c>
      <c r="J23" s="138">
        <f t="shared" si="7"/>
        <v>0</v>
      </c>
      <c r="K23" s="138">
        <f t="shared" si="8"/>
        <v>0</v>
      </c>
      <c r="L23" s="138">
        <f t="shared" si="9"/>
        <v>0</v>
      </c>
      <c r="M23" s="138">
        <f t="shared" si="10"/>
        <v>0</v>
      </c>
      <c r="N23" s="138">
        <f t="shared" si="11"/>
        <v>0</v>
      </c>
      <c r="O23" s="138">
        <f t="shared" si="12"/>
        <v>0</v>
      </c>
      <c r="P23" s="154"/>
      <c r="Q23" s="141"/>
      <c r="R23" s="137"/>
    </row>
    <row r="24" spans="1:21" x14ac:dyDescent="0.2">
      <c r="A24" s="139" t="s">
        <v>70</v>
      </c>
      <c r="B24" s="110" t="s">
        <v>654</v>
      </c>
      <c r="C24" s="138">
        <f t="shared" si="0"/>
        <v>2</v>
      </c>
      <c r="D24" s="138">
        <f t="shared" si="1"/>
        <v>0</v>
      </c>
      <c r="E24" s="138">
        <f t="shared" si="2"/>
        <v>3</v>
      </c>
      <c r="F24" s="138">
        <f t="shared" si="3"/>
        <v>0</v>
      </c>
      <c r="G24" s="138">
        <f t="shared" si="4"/>
        <v>20</v>
      </c>
      <c r="H24" s="138">
        <f t="shared" si="5"/>
        <v>0</v>
      </c>
      <c r="I24" s="138">
        <f t="shared" si="6"/>
        <v>5</v>
      </c>
      <c r="J24" s="138">
        <f t="shared" si="7"/>
        <v>0</v>
      </c>
      <c r="K24" s="138">
        <f t="shared" si="8"/>
        <v>18</v>
      </c>
      <c r="L24" s="138">
        <f t="shared" si="9"/>
        <v>0</v>
      </c>
      <c r="M24" s="138">
        <f t="shared" si="10"/>
        <v>7</v>
      </c>
      <c r="N24" s="138">
        <f t="shared" si="11"/>
        <v>0</v>
      </c>
      <c r="O24" s="138">
        <f>C24+E24+G24+I24+K24+M24</f>
        <v>55</v>
      </c>
      <c r="P24" s="154" t="s">
        <v>269</v>
      </c>
      <c r="Q24" s="141"/>
      <c r="R24" s="137">
        <f>O24*Q24</f>
        <v>0</v>
      </c>
      <c r="U24" s="128">
        <v>1</v>
      </c>
    </row>
    <row r="25" spans="1:21" x14ac:dyDescent="0.2">
      <c r="A25" s="139"/>
      <c r="B25" s="110"/>
      <c r="C25" s="138"/>
      <c r="D25" s="138"/>
      <c r="E25" s="138"/>
      <c r="F25" s="138"/>
      <c r="G25" s="138"/>
      <c r="H25" s="138"/>
      <c r="I25" s="138"/>
      <c r="J25" s="138"/>
      <c r="K25" s="138"/>
      <c r="L25" s="138"/>
      <c r="M25" s="138"/>
      <c r="N25" s="138"/>
      <c r="O25" s="138"/>
      <c r="P25" s="154"/>
      <c r="Q25" s="141"/>
      <c r="R25" s="137"/>
    </row>
    <row r="26" spans="1:21" ht="72" customHeight="1" x14ac:dyDescent="0.2">
      <c r="A26" s="139"/>
      <c r="B26" s="449" t="s">
        <v>920</v>
      </c>
      <c r="C26" s="138">
        <f t="shared" ref="C26:C34" si="13">ROUND((2*$T26+2*$U26)*C$3,0)</f>
        <v>0</v>
      </c>
      <c r="D26" s="138">
        <f t="shared" ref="D26:D34" si="14">C26*$Q26</f>
        <v>0</v>
      </c>
      <c r="E26" s="138">
        <f t="shared" ref="E26:E34" si="15">ROUND((2*$T26+3*$U26)*E$3,0)</f>
        <v>0</v>
      </c>
      <c r="F26" s="138">
        <f t="shared" ref="F26:F34" si="16">E26*$Q26</f>
        <v>0</v>
      </c>
      <c r="G26" s="138">
        <f t="shared" ref="G26:G34" si="17">ROUND((2*$T26+4*$U26)*G$3,0)</f>
        <v>0</v>
      </c>
      <c r="H26" s="138">
        <f t="shared" ref="H26:H34" si="18">G26*$Q26</f>
        <v>0</v>
      </c>
      <c r="I26" s="138">
        <f t="shared" ref="I26:I34" si="19">ROUND((2*$T26+5*$U26)*I$3,0)</f>
        <v>0</v>
      </c>
      <c r="J26" s="138">
        <f t="shared" ref="J26:J34" si="20">I26*$Q26</f>
        <v>0</v>
      </c>
      <c r="K26" s="138">
        <f t="shared" ref="K26:K34" si="21">ROUND((2*$T26+6*$U26)*K$3,0)</f>
        <v>0</v>
      </c>
      <c r="L26" s="138">
        <f t="shared" ref="L26:L34" si="22">K26*$Q26</f>
        <v>0</v>
      </c>
      <c r="M26" s="138">
        <f t="shared" ref="M26:M34" si="23">ROUND((2*$T26+7*$U26)*M$3,0)</f>
        <v>0</v>
      </c>
      <c r="N26" s="138">
        <f t="shared" ref="N26:N34" si="24">M26*$Q26</f>
        <v>0</v>
      </c>
      <c r="O26" s="138">
        <f t="shared" ref="O26:O33" si="25">C26+E26+G26+I26+K26+M26</f>
        <v>0</v>
      </c>
      <c r="P26" s="154"/>
      <c r="Q26" s="141"/>
      <c r="R26" s="137">
        <f t="shared" ref="R26:R33" si="26">O26*Q26</f>
        <v>0</v>
      </c>
    </row>
    <row r="27" spans="1:21" x14ac:dyDescent="0.2">
      <c r="A27" s="139"/>
      <c r="B27" s="24"/>
      <c r="C27" s="138">
        <f t="shared" si="13"/>
        <v>0</v>
      </c>
      <c r="D27" s="138">
        <f t="shared" si="14"/>
        <v>0</v>
      </c>
      <c r="E27" s="138">
        <f t="shared" si="15"/>
        <v>0</v>
      </c>
      <c r="F27" s="138">
        <f t="shared" si="16"/>
        <v>0</v>
      </c>
      <c r="G27" s="138">
        <f t="shared" si="17"/>
        <v>0</v>
      </c>
      <c r="H27" s="138">
        <f t="shared" si="18"/>
        <v>0</v>
      </c>
      <c r="I27" s="138">
        <f t="shared" si="19"/>
        <v>0</v>
      </c>
      <c r="J27" s="138">
        <f t="shared" si="20"/>
        <v>0</v>
      </c>
      <c r="K27" s="138">
        <f t="shared" si="21"/>
        <v>0</v>
      </c>
      <c r="L27" s="138">
        <f t="shared" si="22"/>
        <v>0</v>
      </c>
      <c r="M27" s="138">
        <f t="shared" si="23"/>
        <v>0</v>
      </c>
      <c r="N27" s="138">
        <f t="shared" si="24"/>
        <v>0</v>
      </c>
      <c r="O27" s="138">
        <f t="shared" si="25"/>
        <v>0</v>
      </c>
      <c r="P27" s="154"/>
      <c r="Q27" s="141"/>
      <c r="R27" s="137">
        <f>O27*Q27</f>
        <v>0</v>
      </c>
    </row>
    <row r="28" spans="1:21" x14ac:dyDescent="0.2">
      <c r="A28" s="139" t="s">
        <v>71</v>
      </c>
      <c r="B28" s="110" t="s">
        <v>469</v>
      </c>
      <c r="C28" s="138">
        <f t="shared" si="13"/>
        <v>4</v>
      </c>
      <c r="D28" s="138">
        <f t="shared" si="14"/>
        <v>0</v>
      </c>
      <c r="E28" s="138">
        <f t="shared" si="15"/>
        <v>5</v>
      </c>
      <c r="F28" s="138">
        <f t="shared" si="16"/>
        <v>0</v>
      </c>
      <c r="G28" s="138">
        <f t="shared" si="17"/>
        <v>30</v>
      </c>
      <c r="H28" s="138">
        <f t="shared" si="18"/>
        <v>0</v>
      </c>
      <c r="I28" s="138">
        <f t="shared" si="19"/>
        <v>7</v>
      </c>
      <c r="J28" s="138">
        <f t="shared" si="20"/>
        <v>0</v>
      </c>
      <c r="K28" s="138">
        <f t="shared" si="21"/>
        <v>24</v>
      </c>
      <c r="L28" s="138">
        <f t="shared" si="22"/>
        <v>0</v>
      </c>
      <c r="M28" s="138">
        <f t="shared" si="23"/>
        <v>9</v>
      </c>
      <c r="N28" s="138">
        <f t="shared" si="24"/>
        <v>0</v>
      </c>
      <c r="O28" s="138">
        <f>C28+E28+G28+I28+K28+M28</f>
        <v>79</v>
      </c>
      <c r="P28" s="154" t="s">
        <v>269</v>
      </c>
      <c r="Q28" s="141"/>
      <c r="R28" s="137">
        <f>O28*Q28</f>
        <v>0</v>
      </c>
      <c r="T28" s="128">
        <v>1</v>
      </c>
      <c r="U28" s="128">
        <v>1</v>
      </c>
    </row>
    <row r="29" spans="1:21" x14ac:dyDescent="0.2">
      <c r="A29" s="139"/>
      <c r="B29" s="24"/>
      <c r="C29" s="138">
        <f t="shared" si="13"/>
        <v>0</v>
      </c>
      <c r="D29" s="138">
        <f t="shared" si="14"/>
        <v>0</v>
      </c>
      <c r="E29" s="138">
        <f t="shared" si="15"/>
        <v>0</v>
      </c>
      <c r="F29" s="138">
        <f t="shared" si="16"/>
        <v>0</v>
      </c>
      <c r="G29" s="138">
        <f t="shared" si="17"/>
        <v>0</v>
      </c>
      <c r="H29" s="138">
        <f t="shared" si="18"/>
        <v>0</v>
      </c>
      <c r="I29" s="138">
        <f t="shared" si="19"/>
        <v>0</v>
      </c>
      <c r="J29" s="138">
        <f t="shared" si="20"/>
        <v>0</v>
      </c>
      <c r="K29" s="138">
        <f t="shared" si="21"/>
        <v>0</v>
      </c>
      <c r="L29" s="138">
        <f t="shared" si="22"/>
        <v>0</v>
      </c>
      <c r="M29" s="138">
        <f t="shared" si="23"/>
        <v>0</v>
      </c>
      <c r="N29" s="138">
        <f t="shared" si="24"/>
        <v>0</v>
      </c>
      <c r="O29" s="138">
        <f t="shared" si="25"/>
        <v>0</v>
      </c>
      <c r="P29" s="154"/>
      <c r="Q29" s="141"/>
      <c r="R29" s="137"/>
    </row>
    <row r="30" spans="1:21" x14ac:dyDescent="0.2">
      <c r="A30" s="139" t="s">
        <v>72</v>
      </c>
      <c r="B30" s="110" t="s">
        <v>467</v>
      </c>
      <c r="C30" s="138">
        <f t="shared" si="13"/>
        <v>2</v>
      </c>
      <c r="D30" s="138">
        <f t="shared" si="14"/>
        <v>0</v>
      </c>
      <c r="E30" s="138">
        <f t="shared" si="15"/>
        <v>2</v>
      </c>
      <c r="F30" s="138">
        <f t="shared" si="16"/>
        <v>0</v>
      </c>
      <c r="G30" s="138">
        <f t="shared" si="17"/>
        <v>10</v>
      </c>
      <c r="H30" s="138">
        <f t="shared" si="18"/>
        <v>0</v>
      </c>
      <c r="I30" s="138">
        <f t="shared" si="19"/>
        <v>2</v>
      </c>
      <c r="J30" s="138">
        <f t="shared" si="20"/>
        <v>0</v>
      </c>
      <c r="K30" s="138">
        <f t="shared" si="21"/>
        <v>6</v>
      </c>
      <c r="L30" s="138">
        <f t="shared" si="22"/>
        <v>0</v>
      </c>
      <c r="M30" s="138">
        <f t="shared" si="23"/>
        <v>2</v>
      </c>
      <c r="N30" s="138">
        <f t="shared" si="24"/>
        <v>0</v>
      </c>
      <c r="O30" s="138">
        <f>C30+E30+G30+I30+K30+M30</f>
        <v>24</v>
      </c>
      <c r="P30" s="154" t="s">
        <v>269</v>
      </c>
      <c r="Q30" s="141"/>
      <c r="R30" s="137">
        <f>O30*Q30</f>
        <v>0</v>
      </c>
      <c r="T30" s="128">
        <v>1</v>
      </c>
    </row>
    <row r="31" spans="1:21" x14ac:dyDescent="0.2">
      <c r="A31" s="139"/>
      <c r="B31" s="24"/>
      <c r="C31" s="138">
        <f t="shared" si="13"/>
        <v>0</v>
      </c>
      <c r="D31" s="138">
        <f t="shared" si="14"/>
        <v>0</v>
      </c>
      <c r="E31" s="138">
        <f t="shared" si="15"/>
        <v>0</v>
      </c>
      <c r="F31" s="138">
        <f t="shared" si="16"/>
        <v>0</v>
      </c>
      <c r="G31" s="138">
        <f t="shared" si="17"/>
        <v>0</v>
      </c>
      <c r="H31" s="138">
        <f t="shared" si="18"/>
        <v>0</v>
      </c>
      <c r="I31" s="138">
        <f t="shared" si="19"/>
        <v>0</v>
      </c>
      <c r="J31" s="138">
        <f t="shared" si="20"/>
        <v>0</v>
      </c>
      <c r="K31" s="138">
        <f t="shared" si="21"/>
        <v>0</v>
      </c>
      <c r="L31" s="138">
        <f t="shared" si="22"/>
        <v>0</v>
      </c>
      <c r="M31" s="138">
        <f t="shared" si="23"/>
        <v>0</v>
      </c>
      <c r="N31" s="138">
        <f t="shared" si="24"/>
        <v>0</v>
      </c>
      <c r="O31" s="138">
        <f t="shared" si="25"/>
        <v>0</v>
      </c>
      <c r="P31" s="154"/>
      <c r="Q31" s="141"/>
      <c r="R31" s="137">
        <f>O31*Q31</f>
        <v>0</v>
      </c>
    </row>
    <row r="32" spans="1:21" x14ac:dyDescent="0.2">
      <c r="A32" s="139" t="s">
        <v>73</v>
      </c>
      <c r="B32" s="110" t="s">
        <v>468</v>
      </c>
      <c r="C32" s="138">
        <f t="shared" si="13"/>
        <v>2</v>
      </c>
      <c r="D32" s="138">
        <f t="shared" si="14"/>
        <v>0</v>
      </c>
      <c r="E32" s="138">
        <f t="shared" si="15"/>
        <v>2</v>
      </c>
      <c r="F32" s="138">
        <f t="shared" si="16"/>
        <v>0</v>
      </c>
      <c r="G32" s="138">
        <f t="shared" si="17"/>
        <v>10</v>
      </c>
      <c r="H32" s="138">
        <f t="shared" si="18"/>
        <v>0</v>
      </c>
      <c r="I32" s="138">
        <f t="shared" si="19"/>
        <v>2</v>
      </c>
      <c r="J32" s="138">
        <f t="shared" si="20"/>
        <v>0</v>
      </c>
      <c r="K32" s="138">
        <f t="shared" si="21"/>
        <v>6</v>
      </c>
      <c r="L32" s="138">
        <f t="shared" si="22"/>
        <v>0</v>
      </c>
      <c r="M32" s="138">
        <f t="shared" si="23"/>
        <v>2</v>
      </c>
      <c r="N32" s="138">
        <f t="shared" si="24"/>
        <v>0</v>
      </c>
      <c r="O32" s="138">
        <f>C32+E32+G32+I32+K32+M32</f>
        <v>24</v>
      </c>
      <c r="P32" s="154" t="s">
        <v>269</v>
      </c>
      <c r="Q32" s="141"/>
      <c r="R32" s="137">
        <f>O32*Q32</f>
        <v>0</v>
      </c>
      <c r="T32" s="128">
        <v>1</v>
      </c>
    </row>
    <row r="33" spans="1:21" x14ac:dyDescent="0.2">
      <c r="A33" s="139"/>
      <c r="B33" s="24"/>
      <c r="C33" s="138">
        <f t="shared" si="13"/>
        <v>0</v>
      </c>
      <c r="D33" s="138">
        <f t="shared" si="14"/>
        <v>0</v>
      </c>
      <c r="E33" s="138">
        <f t="shared" si="15"/>
        <v>0</v>
      </c>
      <c r="F33" s="138">
        <f t="shared" si="16"/>
        <v>0</v>
      </c>
      <c r="G33" s="138">
        <f t="shared" si="17"/>
        <v>0</v>
      </c>
      <c r="H33" s="138">
        <f t="shared" si="18"/>
        <v>0</v>
      </c>
      <c r="I33" s="138">
        <f t="shared" si="19"/>
        <v>0</v>
      </c>
      <c r="J33" s="138">
        <f t="shared" si="20"/>
        <v>0</v>
      </c>
      <c r="K33" s="138">
        <f t="shared" si="21"/>
        <v>0</v>
      </c>
      <c r="L33" s="138">
        <f t="shared" si="22"/>
        <v>0</v>
      </c>
      <c r="M33" s="138">
        <f t="shared" si="23"/>
        <v>0</v>
      </c>
      <c r="N33" s="138">
        <f t="shared" si="24"/>
        <v>0</v>
      </c>
      <c r="O33" s="138">
        <f t="shared" si="25"/>
        <v>0</v>
      </c>
      <c r="P33" s="154"/>
      <c r="Q33" s="141"/>
      <c r="R33" s="137">
        <f t="shared" si="26"/>
        <v>0</v>
      </c>
    </row>
    <row r="34" spans="1:21" x14ac:dyDescent="0.2">
      <c r="A34" s="139" t="s">
        <v>74</v>
      </c>
      <c r="B34" s="110" t="s">
        <v>553</v>
      </c>
      <c r="C34" s="138">
        <f t="shared" si="13"/>
        <v>2</v>
      </c>
      <c r="D34" s="138">
        <f t="shared" si="14"/>
        <v>0</v>
      </c>
      <c r="E34" s="138">
        <f t="shared" si="15"/>
        <v>3</v>
      </c>
      <c r="F34" s="138">
        <f t="shared" si="16"/>
        <v>0</v>
      </c>
      <c r="G34" s="138">
        <f t="shared" si="17"/>
        <v>20</v>
      </c>
      <c r="H34" s="138">
        <f t="shared" si="18"/>
        <v>0</v>
      </c>
      <c r="I34" s="138">
        <f t="shared" si="19"/>
        <v>5</v>
      </c>
      <c r="J34" s="138">
        <f t="shared" si="20"/>
        <v>0</v>
      </c>
      <c r="K34" s="138">
        <f t="shared" si="21"/>
        <v>18</v>
      </c>
      <c r="L34" s="138">
        <f t="shared" si="22"/>
        <v>0</v>
      </c>
      <c r="M34" s="138">
        <f t="shared" si="23"/>
        <v>7</v>
      </c>
      <c r="N34" s="138">
        <f t="shared" si="24"/>
        <v>0</v>
      </c>
      <c r="O34" s="138">
        <f>C34+E34+G34+I34+K34+M34</f>
        <v>55</v>
      </c>
      <c r="P34" s="154" t="s">
        <v>269</v>
      </c>
      <c r="Q34" s="141"/>
      <c r="R34" s="137">
        <f>O34*Q34</f>
        <v>0</v>
      </c>
      <c r="U34" s="128">
        <v>1</v>
      </c>
    </row>
    <row r="35" spans="1:21" x14ac:dyDescent="0.2">
      <c r="A35" s="139"/>
      <c r="B35" s="136"/>
      <c r="C35" s="138"/>
      <c r="D35" s="138"/>
      <c r="E35" s="138"/>
      <c r="F35" s="138"/>
      <c r="G35" s="138"/>
      <c r="H35" s="138"/>
      <c r="I35" s="138"/>
      <c r="J35" s="138"/>
      <c r="K35" s="138"/>
      <c r="L35" s="138"/>
      <c r="M35" s="138"/>
      <c r="N35" s="138"/>
      <c r="O35" s="138"/>
      <c r="P35" s="154"/>
      <c r="Q35" s="141"/>
      <c r="R35" s="137"/>
    </row>
    <row r="36" spans="1:21" x14ac:dyDescent="0.2">
      <c r="A36" s="139"/>
      <c r="B36" s="110"/>
      <c r="C36" s="138"/>
      <c r="D36" s="138"/>
      <c r="E36" s="138"/>
      <c r="F36" s="138"/>
      <c r="G36" s="138"/>
      <c r="H36" s="138"/>
      <c r="I36" s="138"/>
      <c r="J36" s="138"/>
      <c r="K36" s="138"/>
      <c r="L36" s="138"/>
      <c r="M36" s="138"/>
      <c r="N36" s="138"/>
      <c r="O36" s="138"/>
      <c r="P36" s="154"/>
      <c r="Q36" s="141"/>
      <c r="R36" s="137"/>
    </row>
    <row r="37" spans="1:21" x14ac:dyDescent="0.2">
      <c r="A37" s="139"/>
      <c r="B37" s="24"/>
      <c r="C37" s="138"/>
      <c r="D37" s="138"/>
      <c r="E37" s="138"/>
      <c r="F37" s="138"/>
      <c r="G37" s="138"/>
      <c r="H37" s="138"/>
      <c r="I37" s="138"/>
      <c r="J37" s="138"/>
      <c r="K37" s="138"/>
      <c r="L37" s="138"/>
      <c r="M37" s="138"/>
      <c r="N37" s="138"/>
      <c r="O37" s="138"/>
      <c r="P37" s="154"/>
      <c r="Q37" s="141"/>
      <c r="R37" s="137"/>
    </row>
    <row r="38" spans="1:21" x14ac:dyDescent="0.2">
      <c r="A38" s="139"/>
      <c r="B38" s="110"/>
      <c r="C38" s="138"/>
      <c r="D38" s="138"/>
      <c r="E38" s="138"/>
      <c r="F38" s="138"/>
      <c r="G38" s="138"/>
      <c r="H38" s="138"/>
      <c r="I38" s="138"/>
      <c r="J38" s="138"/>
      <c r="K38" s="138"/>
      <c r="L38" s="138"/>
      <c r="M38" s="138"/>
      <c r="N38" s="138"/>
      <c r="O38" s="138"/>
      <c r="P38" s="154"/>
      <c r="Q38" s="141"/>
      <c r="R38" s="137"/>
    </row>
    <row r="39" spans="1:21" x14ac:dyDescent="0.2">
      <c r="A39" s="139"/>
      <c r="B39" s="110"/>
      <c r="C39" s="138"/>
      <c r="D39" s="138"/>
      <c r="E39" s="138"/>
      <c r="F39" s="138"/>
      <c r="G39" s="138"/>
      <c r="H39" s="138"/>
      <c r="I39" s="138"/>
      <c r="J39" s="138"/>
      <c r="K39" s="138"/>
      <c r="L39" s="138"/>
      <c r="M39" s="138"/>
      <c r="N39" s="138"/>
      <c r="O39" s="138"/>
      <c r="P39" s="154"/>
      <c r="Q39" s="141"/>
      <c r="R39" s="137"/>
    </row>
    <row r="40" spans="1:21" x14ac:dyDescent="0.2">
      <c r="A40" s="127"/>
      <c r="B40" s="136"/>
      <c r="C40" s="128"/>
      <c r="D40" s="120"/>
      <c r="E40" s="120"/>
      <c r="F40" s="120"/>
      <c r="G40" s="120"/>
      <c r="H40" s="120"/>
      <c r="I40" s="120"/>
      <c r="J40" s="120"/>
      <c r="K40" s="120"/>
      <c r="L40" s="120"/>
      <c r="M40" s="120"/>
      <c r="N40" s="120"/>
      <c r="O40" s="120"/>
      <c r="P40" s="154"/>
      <c r="Q40" s="141"/>
      <c r="R40" s="137"/>
    </row>
    <row r="41" spans="1:21" x14ac:dyDescent="0.2">
      <c r="A41" s="129"/>
      <c r="B41" s="130"/>
      <c r="C41" s="131"/>
      <c r="D41" s="131"/>
      <c r="E41" s="131"/>
      <c r="F41" s="131"/>
      <c r="G41" s="131"/>
      <c r="H41" s="131"/>
      <c r="I41" s="131"/>
      <c r="J41" s="131"/>
      <c r="K41" s="131"/>
      <c r="L41" s="131"/>
      <c r="M41" s="131"/>
      <c r="N41" s="131"/>
      <c r="O41" s="131"/>
      <c r="P41" s="131"/>
      <c r="Q41" s="132"/>
      <c r="R41" s="126"/>
      <c r="T41" s="39"/>
      <c r="U41" s="39"/>
    </row>
    <row r="42" spans="1:21" x14ac:dyDescent="0.2">
      <c r="C42" s="122"/>
      <c r="D42" s="122"/>
      <c r="E42" s="122"/>
      <c r="F42" s="122"/>
      <c r="G42" s="122"/>
      <c r="H42" s="122"/>
      <c r="I42" s="122"/>
      <c r="J42" s="122"/>
      <c r="K42" s="122"/>
      <c r="L42" s="122"/>
      <c r="M42" s="122"/>
      <c r="N42" s="122"/>
      <c r="O42" s="122"/>
      <c r="P42" s="171" t="s">
        <v>1</v>
      </c>
      <c r="Q42" s="133" t="s">
        <v>0</v>
      </c>
      <c r="R42" s="137">
        <f>SUM(R4:R40)</f>
        <v>0</v>
      </c>
      <c r="T42" s="70"/>
      <c r="U42" s="70"/>
    </row>
    <row r="43" spans="1:21" x14ac:dyDescent="0.2">
      <c r="P43" s="188"/>
      <c r="Q43" s="124"/>
      <c r="R43" s="125"/>
    </row>
    <row r="44" spans="1:21" x14ac:dyDescent="0.2">
      <c r="A44" s="139"/>
      <c r="B44" s="136"/>
      <c r="C44" s="128"/>
      <c r="D44" s="120"/>
      <c r="E44" s="120"/>
      <c r="F44" s="120"/>
      <c r="G44" s="120"/>
      <c r="H44" s="120"/>
      <c r="I44" s="120"/>
      <c r="J44" s="120"/>
      <c r="K44" s="120"/>
      <c r="L44" s="120"/>
      <c r="M44" s="120"/>
      <c r="N44" s="120"/>
      <c r="O44" s="120"/>
      <c r="P44" s="154"/>
      <c r="Q44" s="141"/>
      <c r="R44" s="137"/>
      <c r="T44" s="147"/>
      <c r="U44" s="147"/>
    </row>
    <row r="45" spans="1:21" x14ac:dyDescent="0.2">
      <c r="A45" s="139"/>
      <c r="B45" s="78" t="s">
        <v>180</v>
      </c>
      <c r="C45" s="128"/>
      <c r="D45" s="120"/>
      <c r="E45" s="120"/>
      <c r="F45" s="120"/>
      <c r="G45" s="120"/>
      <c r="H45" s="120"/>
      <c r="I45" s="120"/>
      <c r="J45" s="120"/>
      <c r="K45" s="120"/>
      <c r="L45" s="120"/>
      <c r="M45" s="120"/>
      <c r="N45" s="120"/>
      <c r="O45" s="120"/>
      <c r="P45" s="154"/>
      <c r="Q45" s="141"/>
      <c r="R45" s="137"/>
      <c r="T45" s="147"/>
      <c r="U45" s="147"/>
    </row>
    <row r="46" spans="1:21" x14ac:dyDescent="0.2">
      <c r="A46" s="139"/>
      <c r="B46" s="110"/>
      <c r="C46" s="138"/>
      <c r="D46" s="138"/>
      <c r="E46" s="138"/>
      <c r="F46" s="138"/>
      <c r="G46" s="138"/>
      <c r="H46" s="138"/>
      <c r="I46" s="138"/>
      <c r="J46" s="138"/>
      <c r="K46" s="138"/>
      <c r="L46" s="138"/>
      <c r="M46" s="138"/>
      <c r="N46" s="138"/>
      <c r="O46" s="138"/>
      <c r="P46" s="154"/>
      <c r="Q46" s="141"/>
      <c r="R46" s="128"/>
      <c r="T46" s="147"/>
      <c r="U46" s="147"/>
    </row>
    <row r="47" spans="1:21" ht="86.25" customHeight="1" x14ac:dyDescent="0.2">
      <c r="A47" s="139"/>
      <c r="B47" s="449" t="s">
        <v>898</v>
      </c>
      <c r="C47" s="138">
        <f t="shared" ref="C47:C60" si="27">ROUND((2*$T47+2*$U47)*C$3,0)</f>
        <v>0</v>
      </c>
      <c r="D47" s="138">
        <f t="shared" ref="D47:D61" si="28">C47*$Q47</f>
        <v>0</v>
      </c>
      <c r="E47" s="138">
        <f t="shared" ref="E47:E60" si="29">ROUND((2*$T47+3*$U47)*E$3,0)</f>
        <v>0</v>
      </c>
      <c r="F47" s="138">
        <f t="shared" ref="F47:F61" si="30">E47*$Q47</f>
        <v>0</v>
      </c>
      <c r="G47" s="138">
        <f t="shared" ref="G47:G60" si="31">ROUND((2*$T47+4*$U47)*G$3,0)</f>
        <v>0</v>
      </c>
      <c r="H47" s="138">
        <f t="shared" ref="H47:H61" si="32">G47*$Q47</f>
        <v>0</v>
      </c>
      <c r="I47" s="138">
        <f t="shared" ref="I47:I60" si="33">ROUND((2*$T47+5*$U47)*I$3,0)</f>
        <v>0</v>
      </c>
      <c r="J47" s="138">
        <f t="shared" ref="J47:J61" si="34">I47*$Q47</f>
        <v>0</v>
      </c>
      <c r="K47" s="138">
        <f t="shared" ref="K47:K60" si="35">ROUND((2*$T47+6*$U47)*K$3,0)</f>
        <v>0</v>
      </c>
      <c r="L47" s="138">
        <f t="shared" ref="L47:L61" si="36">K47*$Q47</f>
        <v>0</v>
      </c>
      <c r="M47" s="138">
        <f t="shared" ref="M47:M60" si="37">ROUND((2*$T47+7*$U47)*M$3,0)</f>
        <v>0</v>
      </c>
      <c r="N47" s="138">
        <f t="shared" ref="N47:N61" si="38">M47*$Q47</f>
        <v>0</v>
      </c>
      <c r="O47" s="138">
        <f t="shared" ref="O47:O60" si="39">C47+E47+G47+I47+K47+M47</f>
        <v>0</v>
      </c>
      <c r="P47" s="154"/>
      <c r="Q47" s="141"/>
      <c r="R47" s="137"/>
    </row>
    <row r="48" spans="1:21" x14ac:dyDescent="0.2">
      <c r="A48" s="139"/>
      <c r="B48" s="24"/>
      <c r="C48" s="138">
        <f t="shared" si="27"/>
        <v>0</v>
      </c>
      <c r="D48" s="138">
        <f t="shared" si="28"/>
        <v>0</v>
      </c>
      <c r="E48" s="138">
        <f t="shared" si="29"/>
        <v>0</v>
      </c>
      <c r="F48" s="138">
        <f t="shared" si="30"/>
        <v>0</v>
      </c>
      <c r="G48" s="138">
        <f t="shared" si="31"/>
        <v>0</v>
      </c>
      <c r="H48" s="138">
        <f t="shared" si="32"/>
        <v>0</v>
      </c>
      <c r="I48" s="138">
        <f t="shared" si="33"/>
        <v>0</v>
      </c>
      <c r="J48" s="138">
        <f t="shared" si="34"/>
        <v>0</v>
      </c>
      <c r="K48" s="138">
        <f t="shared" si="35"/>
        <v>0</v>
      </c>
      <c r="L48" s="138">
        <f t="shared" si="36"/>
        <v>0</v>
      </c>
      <c r="M48" s="138">
        <f t="shared" si="37"/>
        <v>0</v>
      </c>
      <c r="N48" s="138">
        <f t="shared" si="38"/>
        <v>0</v>
      </c>
      <c r="O48" s="138">
        <f t="shared" si="39"/>
        <v>0</v>
      </c>
      <c r="P48" s="154"/>
      <c r="Q48" s="141"/>
      <c r="R48" s="137"/>
    </row>
    <row r="49" spans="1:21" x14ac:dyDescent="0.2">
      <c r="A49" s="139" t="s">
        <v>66</v>
      </c>
      <c r="B49" s="110" t="s">
        <v>474</v>
      </c>
      <c r="C49" s="138">
        <f t="shared" si="27"/>
        <v>4</v>
      </c>
      <c r="D49" s="138">
        <f t="shared" si="28"/>
        <v>0</v>
      </c>
      <c r="E49" s="138">
        <f t="shared" si="29"/>
        <v>5</v>
      </c>
      <c r="F49" s="138">
        <f t="shared" si="30"/>
        <v>0</v>
      </c>
      <c r="G49" s="138">
        <f t="shared" si="31"/>
        <v>30</v>
      </c>
      <c r="H49" s="138">
        <f t="shared" si="32"/>
        <v>0</v>
      </c>
      <c r="I49" s="138">
        <f t="shared" si="33"/>
        <v>7</v>
      </c>
      <c r="J49" s="138">
        <f t="shared" si="34"/>
        <v>0</v>
      </c>
      <c r="K49" s="138">
        <f t="shared" si="35"/>
        <v>24</v>
      </c>
      <c r="L49" s="138">
        <f t="shared" si="36"/>
        <v>0</v>
      </c>
      <c r="M49" s="138">
        <f t="shared" si="37"/>
        <v>9</v>
      </c>
      <c r="N49" s="138">
        <f t="shared" si="38"/>
        <v>0</v>
      </c>
      <c r="O49" s="138">
        <f>C49+E49+G49+I49+K49+M49</f>
        <v>79</v>
      </c>
      <c r="P49" s="154" t="s">
        <v>269</v>
      </c>
      <c r="Q49" s="141"/>
      <c r="R49" s="137">
        <f>O49*Q49</f>
        <v>0</v>
      </c>
      <c r="T49" s="128">
        <v>1</v>
      </c>
      <c r="U49" s="128">
        <v>1</v>
      </c>
    </row>
    <row r="50" spans="1:21" x14ac:dyDescent="0.2">
      <c r="A50" s="139"/>
      <c r="B50" s="136"/>
      <c r="C50" s="138">
        <f t="shared" si="27"/>
        <v>0</v>
      </c>
      <c r="D50" s="138">
        <f t="shared" si="28"/>
        <v>0</v>
      </c>
      <c r="E50" s="138">
        <f t="shared" si="29"/>
        <v>0</v>
      </c>
      <c r="F50" s="138">
        <f t="shared" si="30"/>
        <v>0</v>
      </c>
      <c r="G50" s="138">
        <f t="shared" si="31"/>
        <v>0</v>
      </c>
      <c r="H50" s="138">
        <f t="shared" si="32"/>
        <v>0</v>
      </c>
      <c r="I50" s="138">
        <f t="shared" si="33"/>
        <v>0</v>
      </c>
      <c r="J50" s="138">
        <f t="shared" si="34"/>
        <v>0</v>
      </c>
      <c r="K50" s="138">
        <f t="shared" si="35"/>
        <v>0</v>
      </c>
      <c r="L50" s="138">
        <f t="shared" si="36"/>
        <v>0</v>
      </c>
      <c r="M50" s="138">
        <f t="shared" si="37"/>
        <v>0</v>
      </c>
      <c r="N50" s="138">
        <f t="shared" si="38"/>
        <v>0</v>
      </c>
      <c r="O50" s="138">
        <f t="shared" si="39"/>
        <v>0</v>
      </c>
      <c r="P50" s="154"/>
      <c r="Q50" s="141"/>
      <c r="R50" s="137"/>
      <c r="T50" s="147"/>
      <c r="U50" s="147"/>
    </row>
    <row r="51" spans="1:21" x14ac:dyDescent="0.2">
      <c r="A51" s="139" t="s">
        <v>67</v>
      </c>
      <c r="B51" s="110" t="s">
        <v>470</v>
      </c>
      <c r="C51" s="138">
        <f t="shared" si="27"/>
        <v>4</v>
      </c>
      <c r="D51" s="138">
        <f t="shared" si="28"/>
        <v>0</v>
      </c>
      <c r="E51" s="138">
        <f t="shared" si="29"/>
        <v>5</v>
      </c>
      <c r="F51" s="138">
        <f t="shared" si="30"/>
        <v>0</v>
      </c>
      <c r="G51" s="138">
        <f t="shared" si="31"/>
        <v>30</v>
      </c>
      <c r="H51" s="138">
        <f t="shared" si="32"/>
        <v>0</v>
      </c>
      <c r="I51" s="138">
        <f t="shared" si="33"/>
        <v>7</v>
      </c>
      <c r="J51" s="138">
        <f t="shared" si="34"/>
        <v>0</v>
      </c>
      <c r="K51" s="138">
        <f t="shared" si="35"/>
        <v>24</v>
      </c>
      <c r="L51" s="138">
        <f t="shared" si="36"/>
        <v>0</v>
      </c>
      <c r="M51" s="138">
        <f t="shared" si="37"/>
        <v>9</v>
      </c>
      <c r="N51" s="138">
        <f t="shared" si="38"/>
        <v>0</v>
      </c>
      <c r="O51" s="138">
        <f>C51+E51+G51+I51+K51+M51</f>
        <v>79</v>
      </c>
      <c r="P51" s="154" t="s">
        <v>269</v>
      </c>
      <c r="Q51" s="141"/>
      <c r="R51" s="137">
        <f>O51*Q51</f>
        <v>0</v>
      </c>
      <c r="T51" s="128">
        <v>1</v>
      </c>
      <c r="U51" s="128">
        <v>1</v>
      </c>
    </row>
    <row r="52" spans="1:21" x14ac:dyDescent="0.2">
      <c r="A52" s="139"/>
      <c r="B52" s="24"/>
      <c r="C52" s="138">
        <f t="shared" si="27"/>
        <v>0</v>
      </c>
      <c r="D52" s="138">
        <f t="shared" si="28"/>
        <v>0</v>
      </c>
      <c r="E52" s="138">
        <f t="shared" si="29"/>
        <v>0</v>
      </c>
      <c r="F52" s="138">
        <f t="shared" si="30"/>
        <v>0</v>
      </c>
      <c r="G52" s="138">
        <f t="shared" si="31"/>
        <v>0</v>
      </c>
      <c r="H52" s="138">
        <f t="shared" si="32"/>
        <v>0</v>
      </c>
      <c r="I52" s="138">
        <f t="shared" si="33"/>
        <v>0</v>
      </c>
      <c r="J52" s="138">
        <f t="shared" si="34"/>
        <v>0</v>
      </c>
      <c r="K52" s="138">
        <f t="shared" si="35"/>
        <v>0</v>
      </c>
      <c r="L52" s="138">
        <f t="shared" si="36"/>
        <v>0</v>
      </c>
      <c r="M52" s="138">
        <f t="shared" si="37"/>
        <v>0</v>
      </c>
      <c r="N52" s="138">
        <f t="shared" si="38"/>
        <v>0</v>
      </c>
      <c r="O52" s="138">
        <f t="shared" si="39"/>
        <v>0</v>
      </c>
      <c r="P52" s="154"/>
      <c r="Q52" s="141"/>
      <c r="R52" s="137"/>
    </row>
    <row r="53" spans="1:21" x14ac:dyDescent="0.2">
      <c r="A53" s="225" t="s">
        <v>68</v>
      </c>
      <c r="B53" s="238" t="s">
        <v>471</v>
      </c>
      <c r="C53" s="227">
        <v>4</v>
      </c>
      <c r="D53" s="227">
        <v>0</v>
      </c>
      <c r="E53" s="227">
        <v>5</v>
      </c>
      <c r="F53" s="227">
        <v>0</v>
      </c>
      <c r="G53" s="227">
        <v>30</v>
      </c>
      <c r="H53" s="227">
        <v>0</v>
      </c>
      <c r="I53" s="227">
        <v>7</v>
      </c>
      <c r="J53" s="227">
        <v>0</v>
      </c>
      <c r="K53" s="227">
        <v>24</v>
      </c>
      <c r="L53" s="227">
        <v>0</v>
      </c>
      <c r="M53" s="227">
        <v>9</v>
      </c>
      <c r="N53" s="227">
        <f t="shared" si="38"/>
        <v>0</v>
      </c>
      <c r="O53" s="227">
        <f>C53+E53+G53+I53+K53+M53</f>
        <v>79</v>
      </c>
      <c r="P53" s="228" t="s">
        <v>269</v>
      </c>
      <c r="Q53" s="229"/>
      <c r="R53" s="230" t="s">
        <v>904</v>
      </c>
      <c r="T53" s="147">
        <v>0</v>
      </c>
      <c r="U53" s="128">
        <v>0</v>
      </c>
    </row>
    <row r="54" spans="1:21" x14ac:dyDescent="0.2">
      <c r="A54" s="139"/>
      <c r="B54" s="24"/>
      <c r="C54" s="138">
        <f t="shared" si="27"/>
        <v>0</v>
      </c>
      <c r="D54" s="138">
        <f t="shared" si="28"/>
        <v>0</v>
      </c>
      <c r="E54" s="138">
        <f t="shared" si="29"/>
        <v>0</v>
      </c>
      <c r="F54" s="138">
        <f t="shared" si="30"/>
        <v>0</v>
      </c>
      <c r="G54" s="138">
        <f t="shared" si="31"/>
        <v>0</v>
      </c>
      <c r="H54" s="138">
        <f t="shared" si="32"/>
        <v>0</v>
      </c>
      <c r="I54" s="138">
        <f t="shared" si="33"/>
        <v>0</v>
      </c>
      <c r="J54" s="138">
        <f t="shared" si="34"/>
        <v>0</v>
      </c>
      <c r="K54" s="138">
        <f t="shared" si="35"/>
        <v>0</v>
      </c>
      <c r="L54" s="138">
        <f t="shared" si="36"/>
        <v>0</v>
      </c>
      <c r="M54" s="138">
        <f t="shared" si="37"/>
        <v>0</v>
      </c>
      <c r="N54" s="138">
        <f t="shared" si="38"/>
        <v>0</v>
      </c>
      <c r="O54" s="138">
        <f t="shared" si="39"/>
        <v>0</v>
      </c>
      <c r="P54" s="154"/>
      <c r="Q54" s="141"/>
      <c r="R54" s="137"/>
    </row>
    <row r="55" spans="1:21" x14ac:dyDescent="0.2">
      <c r="A55" s="139" t="s">
        <v>69</v>
      </c>
      <c r="B55" s="110" t="s">
        <v>427</v>
      </c>
      <c r="C55" s="217">
        <f t="shared" si="27"/>
        <v>12</v>
      </c>
      <c r="D55" s="217">
        <f t="shared" si="28"/>
        <v>0</v>
      </c>
      <c r="E55" s="217">
        <f t="shared" si="29"/>
        <v>15</v>
      </c>
      <c r="F55" s="217">
        <f t="shared" si="30"/>
        <v>0</v>
      </c>
      <c r="G55" s="217">
        <f t="shared" si="31"/>
        <v>90</v>
      </c>
      <c r="H55" s="217">
        <f t="shared" si="32"/>
        <v>0</v>
      </c>
      <c r="I55" s="217">
        <f t="shared" si="33"/>
        <v>21</v>
      </c>
      <c r="J55" s="217">
        <f t="shared" si="34"/>
        <v>0</v>
      </c>
      <c r="K55" s="217">
        <f t="shared" si="35"/>
        <v>72</v>
      </c>
      <c r="L55" s="217">
        <f t="shared" si="36"/>
        <v>0</v>
      </c>
      <c r="M55" s="217">
        <f t="shared" si="37"/>
        <v>27</v>
      </c>
      <c r="N55" s="217">
        <f t="shared" si="38"/>
        <v>0</v>
      </c>
      <c r="O55" s="217">
        <f>C55+E55+G55+I55+K55+M55</f>
        <v>237</v>
      </c>
      <c r="P55" s="154" t="s">
        <v>269</v>
      </c>
      <c r="Q55" s="141"/>
      <c r="R55" s="137">
        <f>O55*Q55</f>
        <v>0</v>
      </c>
      <c r="T55" s="147">
        <v>3</v>
      </c>
      <c r="U55" s="147">
        <v>3</v>
      </c>
    </row>
    <row r="56" spans="1:21" x14ac:dyDescent="0.2">
      <c r="A56" s="139"/>
      <c r="B56" s="24"/>
      <c r="C56" s="138">
        <f t="shared" si="27"/>
        <v>0</v>
      </c>
      <c r="D56" s="138">
        <f t="shared" si="28"/>
        <v>0</v>
      </c>
      <c r="E56" s="138">
        <f t="shared" si="29"/>
        <v>0</v>
      </c>
      <c r="F56" s="138">
        <f t="shared" si="30"/>
        <v>0</v>
      </c>
      <c r="G56" s="138">
        <f t="shared" si="31"/>
        <v>0</v>
      </c>
      <c r="H56" s="138">
        <f t="shared" si="32"/>
        <v>0</v>
      </c>
      <c r="I56" s="138">
        <f t="shared" si="33"/>
        <v>0</v>
      </c>
      <c r="J56" s="138">
        <f t="shared" si="34"/>
        <v>0</v>
      </c>
      <c r="K56" s="138">
        <f t="shared" si="35"/>
        <v>0</v>
      </c>
      <c r="L56" s="138">
        <f t="shared" si="36"/>
        <v>0</v>
      </c>
      <c r="M56" s="138">
        <f t="shared" si="37"/>
        <v>0</v>
      </c>
      <c r="N56" s="138">
        <f t="shared" si="38"/>
        <v>0</v>
      </c>
      <c r="O56" s="138">
        <f t="shared" si="39"/>
        <v>0</v>
      </c>
      <c r="P56" s="154"/>
      <c r="Q56" s="141"/>
      <c r="R56" s="137"/>
    </row>
    <row r="57" spans="1:21" x14ac:dyDescent="0.2">
      <c r="A57" s="139" t="s">
        <v>70</v>
      </c>
      <c r="B57" s="110" t="s">
        <v>472</v>
      </c>
      <c r="C57" s="138">
        <f t="shared" si="27"/>
        <v>2</v>
      </c>
      <c r="D57" s="138">
        <f t="shared" si="28"/>
        <v>0</v>
      </c>
      <c r="E57" s="138">
        <f t="shared" si="29"/>
        <v>2</v>
      </c>
      <c r="F57" s="138">
        <f t="shared" si="30"/>
        <v>0</v>
      </c>
      <c r="G57" s="138">
        <f t="shared" si="31"/>
        <v>10</v>
      </c>
      <c r="H57" s="138">
        <f t="shared" si="32"/>
        <v>0</v>
      </c>
      <c r="I57" s="138">
        <f t="shared" si="33"/>
        <v>2</v>
      </c>
      <c r="J57" s="138">
        <f t="shared" si="34"/>
        <v>0</v>
      </c>
      <c r="K57" s="138">
        <f t="shared" si="35"/>
        <v>6</v>
      </c>
      <c r="L57" s="138">
        <f t="shared" si="36"/>
        <v>0</v>
      </c>
      <c r="M57" s="138">
        <f t="shared" si="37"/>
        <v>2</v>
      </c>
      <c r="N57" s="138">
        <f t="shared" si="38"/>
        <v>0</v>
      </c>
      <c r="O57" s="138">
        <f>C57+E57+G57+I57+K57+M57</f>
        <v>24</v>
      </c>
      <c r="P57" s="154" t="s">
        <v>269</v>
      </c>
      <c r="Q57" s="141"/>
      <c r="R57" s="137">
        <f>O57*Q57</f>
        <v>0</v>
      </c>
      <c r="T57" s="128">
        <v>1</v>
      </c>
    </row>
    <row r="58" spans="1:21" x14ac:dyDescent="0.2">
      <c r="A58" s="139"/>
      <c r="B58" s="136"/>
      <c r="C58" s="138">
        <f t="shared" si="27"/>
        <v>0</v>
      </c>
      <c r="D58" s="138">
        <f t="shared" si="28"/>
        <v>0</v>
      </c>
      <c r="E58" s="138">
        <f t="shared" si="29"/>
        <v>0</v>
      </c>
      <c r="F58" s="138">
        <f t="shared" si="30"/>
        <v>0</v>
      </c>
      <c r="G58" s="138">
        <f t="shared" si="31"/>
        <v>0</v>
      </c>
      <c r="H58" s="138">
        <f t="shared" si="32"/>
        <v>0</v>
      </c>
      <c r="I58" s="138">
        <f t="shared" si="33"/>
        <v>0</v>
      </c>
      <c r="J58" s="138">
        <f t="shared" si="34"/>
        <v>0</v>
      </c>
      <c r="K58" s="138">
        <f t="shared" si="35"/>
        <v>0</v>
      </c>
      <c r="L58" s="138">
        <f t="shared" si="36"/>
        <v>0</v>
      </c>
      <c r="M58" s="138">
        <f t="shared" si="37"/>
        <v>0</v>
      </c>
      <c r="N58" s="138">
        <f t="shared" si="38"/>
        <v>0</v>
      </c>
      <c r="O58" s="138">
        <f t="shared" si="39"/>
        <v>0</v>
      </c>
      <c r="P58" s="154"/>
      <c r="Q58" s="141"/>
      <c r="R58" s="137"/>
    </row>
    <row r="59" spans="1:21" x14ac:dyDescent="0.2">
      <c r="A59" s="139" t="s">
        <v>71</v>
      </c>
      <c r="B59" s="224" t="s">
        <v>912</v>
      </c>
      <c r="C59" s="217">
        <f t="shared" si="27"/>
        <v>8</v>
      </c>
      <c r="D59" s="217">
        <f t="shared" si="28"/>
        <v>0</v>
      </c>
      <c r="E59" s="217">
        <f t="shared" si="29"/>
        <v>10</v>
      </c>
      <c r="F59" s="217">
        <f t="shared" si="30"/>
        <v>0</v>
      </c>
      <c r="G59" s="217">
        <f t="shared" si="31"/>
        <v>60</v>
      </c>
      <c r="H59" s="217">
        <f t="shared" si="32"/>
        <v>0</v>
      </c>
      <c r="I59" s="217">
        <f t="shared" si="33"/>
        <v>14</v>
      </c>
      <c r="J59" s="217">
        <f t="shared" si="34"/>
        <v>0</v>
      </c>
      <c r="K59" s="217">
        <f t="shared" si="35"/>
        <v>48</v>
      </c>
      <c r="L59" s="217">
        <f t="shared" si="36"/>
        <v>0</v>
      </c>
      <c r="M59" s="217">
        <f t="shared" si="37"/>
        <v>18</v>
      </c>
      <c r="N59" s="217">
        <f t="shared" si="38"/>
        <v>0</v>
      </c>
      <c r="O59" s="217">
        <f>C59+E59+G59+I59+K59+M59</f>
        <v>158</v>
      </c>
      <c r="P59" s="154" t="s">
        <v>269</v>
      </c>
      <c r="Q59" s="141"/>
      <c r="R59" s="137">
        <f>O59*Q59</f>
        <v>0</v>
      </c>
      <c r="T59" s="147">
        <v>2</v>
      </c>
      <c r="U59" s="128">
        <v>2</v>
      </c>
    </row>
    <row r="60" spans="1:21" x14ac:dyDescent="0.2">
      <c r="A60" s="139"/>
      <c r="B60" s="24"/>
      <c r="C60" s="138">
        <f t="shared" si="27"/>
        <v>0</v>
      </c>
      <c r="D60" s="138">
        <f t="shared" si="28"/>
        <v>0</v>
      </c>
      <c r="E60" s="138">
        <f t="shared" si="29"/>
        <v>0</v>
      </c>
      <c r="F60" s="138">
        <f t="shared" si="30"/>
        <v>0</v>
      </c>
      <c r="G60" s="138">
        <f t="shared" si="31"/>
        <v>0</v>
      </c>
      <c r="H60" s="138">
        <f t="shared" si="32"/>
        <v>0</v>
      </c>
      <c r="I60" s="138">
        <f t="shared" si="33"/>
        <v>0</v>
      </c>
      <c r="J60" s="138">
        <f t="shared" si="34"/>
        <v>0</v>
      </c>
      <c r="K60" s="138">
        <f t="shared" si="35"/>
        <v>0</v>
      </c>
      <c r="L60" s="138">
        <f t="shared" si="36"/>
        <v>0</v>
      </c>
      <c r="M60" s="138">
        <f t="shared" si="37"/>
        <v>0</v>
      </c>
      <c r="N60" s="138">
        <f t="shared" si="38"/>
        <v>0</v>
      </c>
      <c r="O60" s="138">
        <f t="shared" si="39"/>
        <v>0</v>
      </c>
      <c r="P60" s="154"/>
      <c r="Q60" s="141"/>
      <c r="R60" s="137"/>
    </row>
    <row r="61" spans="1:21" x14ac:dyDescent="0.2">
      <c r="A61" s="225" t="s">
        <v>72</v>
      </c>
      <c r="B61" s="238" t="s">
        <v>473</v>
      </c>
      <c r="C61" s="227">
        <v>2</v>
      </c>
      <c r="D61" s="227">
        <f t="shared" si="28"/>
        <v>0</v>
      </c>
      <c r="E61" s="227">
        <v>2</v>
      </c>
      <c r="F61" s="227">
        <f t="shared" si="30"/>
        <v>0</v>
      </c>
      <c r="G61" s="227">
        <v>10</v>
      </c>
      <c r="H61" s="227">
        <f t="shared" si="32"/>
        <v>0</v>
      </c>
      <c r="I61" s="227">
        <v>2</v>
      </c>
      <c r="J61" s="227">
        <f t="shared" si="34"/>
        <v>0</v>
      </c>
      <c r="K61" s="227">
        <v>6</v>
      </c>
      <c r="L61" s="227">
        <f t="shared" si="36"/>
        <v>0</v>
      </c>
      <c r="M61" s="227">
        <v>2</v>
      </c>
      <c r="N61" s="227">
        <f t="shared" si="38"/>
        <v>0</v>
      </c>
      <c r="O61" s="227">
        <f>C61+E61+G61+I61+K61+M61</f>
        <v>24</v>
      </c>
      <c r="P61" s="228" t="s">
        <v>269</v>
      </c>
      <c r="Q61" s="229"/>
      <c r="R61" s="230" t="s">
        <v>904</v>
      </c>
      <c r="T61" s="147">
        <v>0</v>
      </c>
    </row>
    <row r="62" spans="1:21" x14ac:dyDescent="0.2">
      <c r="A62" s="139"/>
      <c r="B62" s="136"/>
      <c r="C62" s="128"/>
      <c r="D62" s="120"/>
      <c r="E62" s="120"/>
      <c r="F62" s="120"/>
      <c r="G62" s="120"/>
      <c r="H62" s="120"/>
      <c r="I62" s="120"/>
      <c r="J62" s="120"/>
      <c r="K62" s="120"/>
      <c r="L62" s="120"/>
      <c r="M62" s="120"/>
      <c r="N62" s="120"/>
      <c r="O62" s="120"/>
      <c r="P62" s="154"/>
      <c r="Q62" s="141"/>
      <c r="R62" s="137"/>
    </row>
    <row r="63" spans="1:21" ht="85.5" x14ac:dyDescent="0.2">
      <c r="A63" s="139"/>
      <c r="B63" s="449" t="s">
        <v>913</v>
      </c>
      <c r="C63" s="138">
        <f t="shared" ref="C63:C69" si="40">ROUND((2*$T63+2*$U63)*C$3,0)</f>
        <v>0</v>
      </c>
      <c r="D63" s="138">
        <f t="shared" ref="D63:D69" si="41">C63*$Q63</f>
        <v>0</v>
      </c>
      <c r="E63" s="138">
        <f t="shared" ref="E63:E69" si="42">ROUND((2*$T63+3*$U63)*E$3,0)</f>
        <v>0</v>
      </c>
      <c r="F63" s="138">
        <f t="shared" ref="F63:F69" si="43">E63*$Q63</f>
        <v>0</v>
      </c>
      <c r="G63" s="138">
        <f t="shared" ref="G63:G69" si="44">ROUND((2*$T63+4*$U63)*G$3,0)</f>
        <v>0</v>
      </c>
      <c r="H63" s="138">
        <f t="shared" ref="H63:H69" si="45">G63*$Q63</f>
        <v>0</v>
      </c>
      <c r="I63" s="138">
        <f t="shared" ref="I63:I69" si="46">ROUND((2*$T63+5*$U63)*I$3,0)</f>
        <v>0</v>
      </c>
      <c r="J63" s="138">
        <f t="shared" ref="J63:J69" si="47">I63*$Q63</f>
        <v>0</v>
      </c>
      <c r="K63" s="138">
        <f t="shared" ref="K63:K69" si="48">ROUND((2*$T63+6*$U63)*K$3,0)</f>
        <v>0</v>
      </c>
      <c r="L63" s="138">
        <f t="shared" ref="L63:L69" si="49">K63*$Q63</f>
        <v>0</v>
      </c>
      <c r="M63" s="138">
        <f t="shared" ref="M63:M69" si="50">ROUND((2*$T63+7*$U63)*M$3,0)</f>
        <v>0</v>
      </c>
      <c r="N63" s="138">
        <f t="shared" ref="N63:N69" si="51">M63*$Q63</f>
        <v>0</v>
      </c>
      <c r="O63" s="138">
        <f t="shared" ref="O63:O68" si="52">C63+E63+G63+I63+K63+M63</f>
        <v>0</v>
      </c>
      <c r="P63" s="154"/>
      <c r="Q63" s="141"/>
      <c r="R63" s="137"/>
    </row>
    <row r="64" spans="1:21" x14ac:dyDescent="0.2">
      <c r="A64" s="139"/>
      <c r="B64" s="24"/>
      <c r="C64" s="138">
        <f t="shared" si="40"/>
        <v>0</v>
      </c>
      <c r="D64" s="138">
        <f t="shared" si="41"/>
        <v>0</v>
      </c>
      <c r="E64" s="138">
        <f t="shared" si="42"/>
        <v>0</v>
      </c>
      <c r="F64" s="138">
        <f t="shared" si="43"/>
        <v>0</v>
      </c>
      <c r="G64" s="138">
        <f t="shared" si="44"/>
        <v>0</v>
      </c>
      <c r="H64" s="138">
        <f t="shared" si="45"/>
        <v>0</v>
      </c>
      <c r="I64" s="138">
        <f t="shared" si="46"/>
        <v>0</v>
      </c>
      <c r="J64" s="138">
        <f t="shared" si="47"/>
        <v>0</v>
      </c>
      <c r="K64" s="138">
        <f t="shared" si="48"/>
        <v>0</v>
      </c>
      <c r="L64" s="138">
        <f t="shared" si="49"/>
        <v>0</v>
      </c>
      <c r="M64" s="138">
        <f t="shared" si="50"/>
        <v>0</v>
      </c>
      <c r="N64" s="138">
        <f t="shared" si="51"/>
        <v>0</v>
      </c>
      <c r="O64" s="138">
        <f t="shared" si="52"/>
        <v>0</v>
      </c>
      <c r="P64" s="154"/>
      <c r="Q64" s="141"/>
      <c r="R64" s="137">
        <f>O64*Q64</f>
        <v>0</v>
      </c>
    </row>
    <row r="65" spans="1:21" x14ac:dyDescent="0.2">
      <c r="A65" s="139" t="s">
        <v>73</v>
      </c>
      <c r="B65" s="110" t="s">
        <v>475</v>
      </c>
      <c r="C65" s="138">
        <f t="shared" si="40"/>
        <v>4</v>
      </c>
      <c r="D65" s="138">
        <f t="shared" si="41"/>
        <v>0</v>
      </c>
      <c r="E65" s="138">
        <f t="shared" si="42"/>
        <v>5</v>
      </c>
      <c r="F65" s="138">
        <f t="shared" si="43"/>
        <v>0</v>
      </c>
      <c r="G65" s="138">
        <f t="shared" si="44"/>
        <v>30</v>
      </c>
      <c r="H65" s="138">
        <f t="shared" si="45"/>
        <v>0</v>
      </c>
      <c r="I65" s="138">
        <f t="shared" si="46"/>
        <v>7</v>
      </c>
      <c r="J65" s="138">
        <f t="shared" si="47"/>
        <v>0</v>
      </c>
      <c r="K65" s="138">
        <f t="shared" si="48"/>
        <v>24</v>
      </c>
      <c r="L65" s="138">
        <f t="shared" si="49"/>
        <v>0</v>
      </c>
      <c r="M65" s="138">
        <f t="shared" si="50"/>
        <v>9</v>
      </c>
      <c r="N65" s="138">
        <f t="shared" si="51"/>
        <v>0</v>
      </c>
      <c r="O65" s="138">
        <f>C65+E65+G65+I65+K65+M65</f>
        <v>79</v>
      </c>
      <c r="P65" s="154" t="s">
        <v>269</v>
      </c>
      <c r="Q65" s="141"/>
      <c r="R65" s="137">
        <f>O65*Q65</f>
        <v>0</v>
      </c>
      <c r="T65" s="128">
        <v>1</v>
      </c>
      <c r="U65" s="128">
        <v>1</v>
      </c>
    </row>
    <row r="66" spans="1:21" x14ac:dyDescent="0.2">
      <c r="A66" s="139"/>
      <c r="B66" s="136"/>
      <c r="C66" s="138">
        <f t="shared" si="40"/>
        <v>0</v>
      </c>
      <c r="D66" s="138">
        <f t="shared" si="41"/>
        <v>0</v>
      </c>
      <c r="E66" s="138">
        <f t="shared" si="42"/>
        <v>0</v>
      </c>
      <c r="F66" s="138">
        <f t="shared" si="43"/>
        <v>0</v>
      </c>
      <c r="G66" s="138">
        <f t="shared" si="44"/>
        <v>0</v>
      </c>
      <c r="H66" s="138">
        <f t="shared" si="45"/>
        <v>0</v>
      </c>
      <c r="I66" s="138">
        <f t="shared" si="46"/>
        <v>0</v>
      </c>
      <c r="J66" s="138">
        <f t="shared" si="47"/>
        <v>0</v>
      </c>
      <c r="K66" s="138">
        <f t="shared" si="48"/>
        <v>0</v>
      </c>
      <c r="L66" s="138">
        <f t="shared" si="49"/>
        <v>0</v>
      </c>
      <c r="M66" s="138">
        <f t="shared" si="50"/>
        <v>0</v>
      </c>
      <c r="N66" s="138">
        <f t="shared" si="51"/>
        <v>0</v>
      </c>
      <c r="O66" s="138">
        <f t="shared" si="52"/>
        <v>0</v>
      </c>
      <c r="P66" s="154"/>
      <c r="Q66" s="141"/>
      <c r="R66" s="137">
        <f>O66*Q66</f>
        <v>0</v>
      </c>
    </row>
    <row r="67" spans="1:21" x14ac:dyDescent="0.2">
      <c r="A67" s="139" t="s">
        <v>74</v>
      </c>
      <c r="B67" s="110" t="s">
        <v>476</v>
      </c>
      <c r="C67" s="138">
        <f t="shared" si="40"/>
        <v>8</v>
      </c>
      <c r="D67" s="138">
        <f t="shared" si="41"/>
        <v>0</v>
      </c>
      <c r="E67" s="138">
        <f t="shared" si="42"/>
        <v>10</v>
      </c>
      <c r="F67" s="138">
        <f t="shared" si="43"/>
        <v>0</v>
      </c>
      <c r="G67" s="138">
        <f t="shared" si="44"/>
        <v>60</v>
      </c>
      <c r="H67" s="138">
        <f t="shared" si="45"/>
        <v>0</v>
      </c>
      <c r="I67" s="138">
        <f t="shared" si="46"/>
        <v>14</v>
      </c>
      <c r="J67" s="138">
        <f t="shared" si="47"/>
        <v>0</v>
      </c>
      <c r="K67" s="138">
        <f t="shared" si="48"/>
        <v>48</v>
      </c>
      <c r="L67" s="138">
        <f t="shared" si="49"/>
        <v>0</v>
      </c>
      <c r="M67" s="138">
        <f t="shared" si="50"/>
        <v>18</v>
      </c>
      <c r="N67" s="138">
        <f t="shared" si="51"/>
        <v>0</v>
      </c>
      <c r="O67" s="138">
        <f>C67+E67+G67+I67+K67+M67</f>
        <v>158</v>
      </c>
      <c r="P67" s="154" t="s">
        <v>269</v>
      </c>
      <c r="Q67" s="141"/>
      <c r="R67" s="137">
        <f>O67*Q67</f>
        <v>0</v>
      </c>
      <c r="T67" s="128">
        <v>2</v>
      </c>
      <c r="U67" s="128">
        <v>2</v>
      </c>
    </row>
    <row r="68" spans="1:21" x14ac:dyDescent="0.2">
      <c r="A68" s="139"/>
      <c r="B68" s="24"/>
      <c r="C68" s="138">
        <f t="shared" si="40"/>
        <v>0</v>
      </c>
      <c r="D68" s="138">
        <f t="shared" si="41"/>
        <v>0</v>
      </c>
      <c r="E68" s="138">
        <f t="shared" si="42"/>
        <v>0</v>
      </c>
      <c r="F68" s="138">
        <f t="shared" si="43"/>
        <v>0</v>
      </c>
      <c r="G68" s="138">
        <f t="shared" si="44"/>
        <v>0</v>
      </c>
      <c r="H68" s="138">
        <f t="shared" si="45"/>
        <v>0</v>
      </c>
      <c r="I68" s="138">
        <f t="shared" si="46"/>
        <v>0</v>
      </c>
      <c r="J68" s="138">
        <f t="shared" si="47"/>
        <v>0</v>
      </c>
      <c r="K68" s="138">
        <f t="shared" si="48"/>
        <v>0</v>
      </c>
      <c r="L68" s="138">
        <f t="shared" si="49"/>
        <v>0</v>
      </c>
      <c r="M68" s="138">
        <f t="shared" si="50"/>
        <v>0</v>
      </c>
      <c r="N68" s="138">
        <f t="shared" si="51"/>
        <v>0</v>
      </c>
      <c r="O68" s="138">
        <f t="shared" si="52"/>
        <v>0</v>
      </c>
      <c r="P68" s="154"/>
      <c r="Q68" s="141"/>
      <c r="R68" s="137">
        <f t="shared" ref="R68" si="53">O68*Q68</f>
        <v>0</v>
      </c>
    </row>
    <row r="69" spans="1:21" x14ac:dyDescent="0.2">
      <c r="A69" s="139" t="s">
        <v>75</v>
      </c>
      <c r="B69" s="110" t="s">
        <v>477</v>
      </c>
      <c r="C69" s="138">
        <f t="shared" si="40"/>
        <v>4</v>
      </c>
      <c r="D69" s="138">
        <f t="shared" si="41"/>
        <v>0</v>
      </c>
      <c r="E69" s="138">
        <f t="shared" si="42"/>
        <v>5</v>
      </c>
      <c r="F69" s="138">
        <f t="shared" si="43"/>
        <v>0</v>
      </c>
      <c r="G69" s="138">
        <f t="shared" si="44"/>
        <v>30</v>
      </c>
      <c r="H69" s="138">
        <f t="shared" si="45"/>
        <v>0</v>
      </c>
      <c r="I69" s="138">
        <f t="shared" si="46"/>
        <v>7</v>
      </c>
      <c r="J69" s="138">
        <f t="shared" si="47"/>
        <v>0</v>
      </c>
      <c r="K69" s="138">
        <f t="shared" si="48"/>
        <v>24</v>
      </c>
      <c r="L69" s="138">
        <f t="shared" si="49"/>
        <v>0</v>
      </c>
      <c r="M69" s="138">
        <f t="shared" si="50"/>
        <v>9</v>
      </c>
      <c r="N69" s="138">
        <f t="shared" si="51"/>
        <v>0</v>
      </c>
      <c r="O69" s="138">
        <f>C69+E69+G69+I69+K69+M69</f>
        <v>79</v>
      </c>
      <c r="P69" s="154" t="s">
        <v>269</v>
      </c>
      <c r="Q69" s="141"/>
      <c r="R69" s="137">
        <f>O69*Q69</f>
        <v>0</v>
      </c>
      <c r="T69" s="128">
        <v>1</v>
      </c>
      <c r="U69" s="128">
        <v>1</v>
      </c>
    </row>
    <row r="70" spans="1:21" x14ac:dyDescent="0.2">
      <c r="A70" s="139"/>
      <c r="B70" s="110"/>
      <c r="C70" s="138"/>
      <c r="D70" s="138"/>
      <c r="E70" s="138"/>
      <c r="F70" s="138"/>
      <c r="G70" s="138"/>
      <c r="H70" s="138"/>
      <c r="I70" s="138"/>
      <c r="J70" s="138"/>
      <c r="K70" s="138"/>
      <c r="L70" s="138"/>
      <c r="M70" s="138"/>
      <c r="N70" s="138"/>
      <c r="O70" s="138"/>
      <c r="P70" s="154"/>
      <c r="Q70" s="141"/>
      <c r="R70" s="137"/>
    </row>
    <row r="71" spans="1:21" ht="28.5" x14ac:dyDescent="0.2">
      <c r="A71" s="139"/>
      <c r="B71" s="82" t="s">
        <v>478</v>
      </c>
      <c r="C71" s="138">
        <f>ROUND((2*$T71+2*$U71)*C$3,0)</f>
        <v>0</v>
      </c>
      <c r="D71" s="138">
        <f>C71*$Q71</f>
        <v>0</v>
      </c>
      <c r="E71" s="138">
        <f>ROUND((2*$T71+3*$U71)*E$3,0)</f>
        <v>0</v>
      </c>
      <c r="F71" s="138">
        <f>E71*$Q71</f>
        <v>0</v>
      </c>
      <c r="G71" s="138">
        <f>ROUND((2*$T71+4*$U71)*G$3,0)</f>
        <v>0</v>
      </c>
      <c r="H71" s="138">
        <f>G71*$Q71</f>
        <v>0</v>
      </c>
      <c r="I71" s="138">
        <f>ROUND((2*$T71+5*$U71)*I$3,0)</f>
        <v>0</v>
      </c>
      <c r="J71" s="138">
        <f>I71*$Q71</f>
        <v>0</v>
      </c>
      <c r="K71" s="138">
        <f>ROUND((2*$T71+6*$U71)*K$3,0)</f>
        <v>0</v>
      </c>
      <c r="L71" s="138">
        <f>K71*$Q71</f>
        <v>0</v>
      </c>
      <c r="M71" s="138">
        <f>ROUND((2*$T71+7*$U71)*M$3,0)</f>
        <v>0</v>
      </c>
      <c r="N71" s="138">
        <f>M71*$Q71</f>
        <v>0</v>
      </c>
      <c r="O71" s="138">
        <f>C71+E71+G71+I71+K71+M71</f>
        <v>0</v>
      </c>
      <c r="P71" s="154"/>
      <c r="Q71" s="141"/>
      <c r="R71" s="137">
        <f>O71*Q71</f>
        <v>0</v>
      </c>
    </row>
    <row r="72" spans="1:21" x14ac:dyDescent="0.2">
      <c r="A72" s="139"/>
      <c r="B72" s="110"/>
      <c r="C72" s="138"/>
      <c r="D72" s="138"/>
      <c r="E72" s="138"/>
      <c r="F72" s="138"/>
      <c r="G72" s="138"/>
      <c r="H72" s="138"/>
      <c r="I72" s="138"/>
      <c r="J72" s="138"/>
      <c r="K72" s="138"/>
      <c r="L72" s="138"/>
      <c r="M72" s="138"/>
      <c r="N72" s="138"/>
      <c r="O72" s="138"/>
      <c r="P72" s="154"/>
      <c r="Q72" s="141"/>
      <c r="R72" s="137"/>
    </row>
    <row r="73" spans="1:21" x14ac:dyDescent="0.2">
      <c r="A73" s="139" t="s">
        <v>76</v>
      </c>
      <c r="B73" s="136" t="s">
        <v>479</v>
      </c>
      <c r="C73" s="138">
        <f>ROUND((2*$T73+2*$U73)*C$3,0)</f>
        <v>20</v>
      </c>
      <c r="D73" s="138">
        <f>C73*$Q73</f>
        <v>0</v>
      </c>
      <c r="E73" s="138">
        <f>ROUND((2*$T73+3*$U73)*E$3,0)</f>
        <v>25</v>
      </c>
      <c r="F73" s="138">
        <f>E73*$Q73</f>
        <v>0</v>
      </c>
      <c r="G73" s="138">
        <f>ROUND((2*$T73+4*$U73)*G$3,0)</f>
        <v>150</v>
      </c>
      <c r="H73" s="138">
        <f>G73*$Q73</f>
        <v>0</v>
      </c>
      <c r="I73" s="138">
        <f>ROUND((2*$T73+5*$U73)*I$3,0)</f>
        <v>35</v>
      </c>
      <c r="J73" s="138">
        <f>I73*$Q73</f>
        <v>0</v>
      </c>
      <c r="K73" s="138">
        <f>ROUND((2*$T73+6*$U73)*K$3,0)</f>
        <v>120</v>
      </c>
      <c r="L73" s="138">
        <f>K73*$Q73</f>
        <v>0</v>
      </c>
      <c r="M73" s="138">
        <f>ROUND((2*$T73+7*$U73)*M$3,0)</f>
        <v>45</v>
      </c>
      <c r="N73" s="138">
        <f>M73*$Q73</f>
        <v>0</v>
      </c>
      <c r="O73" s="138">
        <f>C73+E73+G73+I73+K73+M73</f>
        <v>395</v>
      </c>
      <c r="P73" s="154" t="s">
        <v>12</v>
      </c>
      <c r="Q73" s="141"/>
      <c r="R73" s="137">
        <f>O73*Q73</f>
        <v>0</v>
      </c>
      <c r="T73" s="128">
        <v>5</v>
      </c>
      <c r="U73" s="128">
        <v>5</v>
      </c>
    </row>
    <row r="74" spans="1:21" x14ac:dyDescent="0.2">
      <c r="A74" s="139"/>
      <c r="B74" s="110"/>
      <c r="C74" s="138"/>
      <c r="D74" s="138"/>
      <c r="E74" s="138"/>
      <c r="F74" s="138"/>
      <c r="G74" s="138"/>
      <c r="H74" s="138"/>
      <c r="I74" s="138"/>
      <c r="J74" s="138"/>
      <c r="K74" s="138"/>
      <c r="L74" s="138"/>
      <c r="M74" s="138"/>
      <c r="N74" s="138"/>
      <c r="O74" s="138"/>
      <c r="P74" s="154"/>
      <c r="Q74" s="141"/>
      <c r="R74" s="137"/>
    </row>
    <row r="75" spans="1:21" x14ac:dyDescent="0.2">
      <c r="A75" s="139"/>
      <c r="B75" s="110"/>
      <c r="C75" s="138"/>
      <c r="D75" s="138"/>
      <c r="E75" s="138"/>
      <c r="F75" s="138"/>
      <c r="G75" s="138"/>
      <c r="H75" s="138"/>
      <c r="I75" s="138"/>
      <c r="J75" s="138"/>
      <c r="K75" s="138"/>
      <c r="L75" s="138"/>
      <c r="M75" s="138"/>
      <c r="N75" s="138"/>
      <c r="O75" s="138"/>
      <c r="P75" s="154"/>
      <c r="Q75" s="141"/>
      <c r="R75" s="137"/>
    </row>
    <row r="76" spans="1:21" x14ac:dyDescent="0.2">
      <c r="A76" s="139"/>
      <c r="B76" s="110"/>
      <c r="C76" s="138"/>
      <c r="D76" s="138"/>
      <c r="E76" s="138"/>
      <c r="F76" s="138"/>
      <c r="G76" s="138"/>
      <c r="H76" s="138"/>
      <c r="I76" s="138"/>
      <c r="J76" s="138"/>
      <c r="K76" s="138"/>
      <c r="L76" s="138"/>
      <c r="M76" s="138"/>
      <c r="N76" s="138"/>
      <c r="O76" s="138"/>
      <c r="P76" s="154"/>
      <c r="Q76" s="141"/>
      <c r="R76" s="137"/>
    </row>
    <row r="77" spans="1:21" x14ac:dyDescent="0.2">
      <c r="A77" s="139"/>
      <c r="B77" s="110"/>
      <c r="C77" s="138"/>
      <c r="D77" s="138"/>
      <c r="E77" s="138"/>
      <c r="F77" s="138"/>
      <c r="G77" s="138"/>
      <c r="H77" s="138"/>
      <c r="I77" s="138"/>
      <c r="J77" s="138"/>
      <c r="K77" s="138"/>
      <c r="L77" s="138"/>
      <c r="M77" s="138"/>
      <c r="N77" s="138"/>
      <c r="O77" s="138"/>
      <c r="P77" s="154"/>
      <c r="Q77" s="141"/>
      <c r="R77" s="137"/>
    </row>
    <row r="78" spans="1:21" x14ac:dyDescent="0.2">
      <c r="A78" s="127"/>
      <c r="B78" s="136"/>
      <c r="C78" s="128"/>
      <c r="D78" s="120"/>
      <c r="E78" s="120"/>
      <c r="F78" s="120"/>
      <c r="G78" s="120"/>
      <c r="H78" s="120"/>
      <c r="I78" s="120"/>
      <c r="J78" s="120"/>
      <c r="K78" s="120"/>
      <c r="L78" s="120"/>
      <c r="M78" s="120"/>
      <c r="N78" s="120"/>
      <c r="O78" s="120"/>
      <c r="P78" s="154"/>
      <c r="Q78" s="141"/>
      <c r="R78" s="137"/>
    </row>
    <row r="79" spans="1:21" x14ac:dyDescent="0.2">
      <c r="A79" s="129"/>
      <c r="B79" s="130"/>
      <c r="C79" s="131"/>
      <c r="D79" s="131"/>
      <c r="E79" s="131"/>
      <c r="F79" s="131"/>
      <c r="G79" s="131"/>
      <c r="H79" s="131"/>
      <c r="I79" s="131"/>
      <c r="J79" s="131"/>
      <c r="K79" s="131"/>
      <c r="L79" s="131"/>
      <c r="M79" s="131"/>
      <c r="N79" s="131"/>
      <c r="O79" s="131"/>
      <c r="P79" s="131"/>
      <c r="Q79" s="132"/>
      <c r="R79" s="126"/>
      <c r="T79" s="39"/>
      <c r="U79" s="39"/>
    </row>
    <row r="80" spans="1:21" x14ac:dyDescent="0.2">
      <c r="C80" s="122"/>
      <c r="D80" s="122"/>
      <c r="E80" s="122"/>
      <c r="F80" s="122"/>
      <c r="G80" s="122"/>
      <c r="H80" s="122"/>
      <c r="I80" s="122"/>
      <c r="J80" s="122"/>
      <c r="K80" s="122"/>
      <c r="L80" s="122"/>
      <c r="M80" s="122"/>
      <c r="N80" s="122"/>
      <c r="O80" s="122"/>
      <c r="P80" s="171" t="s">
        <v>1</v>
      </c>
      <c r="Q80" s="133" t="s">
        <v>0</v>
      </c>
      <c r="R80" s="137">
        <f>SUM(R44:R78)</f>
        <v>0</v>
      </c>
      <c r="T80" s="70"/>
      <c r="U80" s="70"/>
    </row>
    <row r="81" spans="1:18" x14ac:dyDescent="0.2">
      <c r="P81" s="188"/>
      <c r="Q81" s="124"/>
      <c r="R81" s="125"/>
    </row>
    <row r="82" spans="1:18" x14ac:dyDescent="0.2">
      <c r="A82" s="139"/>
      <c r="B82" s="110"/>
      <c r="C82" s="138"/>
      <c r="D82" s="138"/>
      <c r="E82" s="138"/>
      <c r="F82" s="138"/>
      <c r="G82" s="138"/>
      <c r="H82" s="138"/>
      <c r="I82" s="138"/>
      <c r="J82" s="138"/>
      <c r="K82" s="138"/>
      <c r="L82" s="138"/>
      <c r="M82" s="138"/>
      <c r="N82" s="138"/>
      <c r="O82" s="138"/>
      <c r="P82" s="154"/>
      <c r="Q82" s="141"/>
      <c r="R82" s="137"/>
    </row>
    <row r="83" spans="1:18" x14ac:dyDescent="0.2">
      <c r="A83" s="139"/>
      <c r="B83" s="82" t="s">
        <v>8</v>
      </c>
      <c r="C83" s="128"/>
      <c r="D83" s="120"/>
      <c r="E83" s="120"/>
      <c r="F83" s="120"/>
      <c r="G83" s="120"/>
      <c r="H83" s="120"/>
      <c r="I83" s="120"/>
      <c r="J83" s="120"/>
      <c r="K83" s="120"/>
      <c r="L83" s="120"/>
      <c r="M83" s="120"/>
      <c r="N83" s="120"/>
      <c r="O83" s="120"/>
      <c r="P83" s="154"/>
      <c r="Q83" s="141"/>
      <c r="R83" s="137"/>
    </row>
    <row r="84" spans="1:18" x14ac:dyDescent="0.2">
      <c r="A84" s="139"/>
      <c r="B84" s="82"/>
      <c r="C84" s="120"/>
      <c r="D84" s="120"/>
      <c r="E84" s="120"/>
      <c r="F84" s="120"/>
      <c r="G84" s="120"/>
      <c r="H84" s="120"/>
      <c r="I84" s="120"/>
      <c r="J84" s="120"/>
      <c r="K84" s="120"/>
      <c r="L84" s="120"/>
      <c r="M84" s="120"/>
      <c r="N84" s="120"/>
      <c r="O84" s="138"/>
      <c r="P84" s="154"/>
      <c r="Q84" s="141"/>
      <c r="R84" s="137"/>
    </row>
    <row r="85" spans="1:18" ht="42.75" x14ac:dyDescent="0.2">
      <c r="A85" s="1" t="s">
        <v>66</v>
      </c>
      <c r="B85" s="110" t="s">
        <v>20</v>
      </c>
      <c r="C85" s="138">
        <f>ROUND((2*$T85+2*$U85)*C$3,0)</f>
        <v>0</v>
      </c>
      <c r="D85" s="138">
        <f>C85*$Q85</f>
        <v>0</v>
      </c>
      <c r="E85" s="138">
        <f>ROUND((2*$T85+3*$U85)*E$3,0)</f>
        <v>0</v>
      </c>
      <c r="F85" s="138">
        <f>E85*$Q85</f>
        <v>0</v>
      </c>
      <c r="G85" s="138">
        <f>ROUND((2*$T85+4*$U85)*G$3,0)</f>
        <v>0</v>
      </c>
      <c r="H85" s="138">
        <f>G85*$Q85</f>
        <v>0</v>
      </c>
      <c r="I85" s="138">
        <f>ROUND((2*$T85+5*$U85)*I$3,0)</f>
        <v>0</v>
      </c>
      <c r="J85" s="138">
        <f>I85*$Q85</f>
        <v>0</v>
      </c>
      <c r="K85" s="138">
        <f>ROUND((2*$T85+6*$U85)*K$3,0)</f>
        <v>0</v>
      </c>
      <c r="L85" s="138">
        <f>K85*$Q85</f>
        <v>0</v>
      </c>
      <c r="M85" s="138">
        <f>ROUND((2*$T85+7*$U85)*M$3,0)</f>
        <v>0</v>
      </c>
      <c r="N85" s="138">
        <f>M85*$Q85</f>
        <v>0</v>
      </c>
      <c r="O85" s="138">
        <f>C85+E85+G85+I85+K85+M85</f>
        <v>0</v>
      </c>
      <c r="P85" s="2" t="s">
        <v>5</v>
      </c>
      <c r="Q85" s="141"/>
      <c r="R85" s="137">
        <f>O85*Q85</f>
        <v>0</v>
      </c>
    </row>
    <row r="86" spans="1:18" x14ac:dyDescent="0.2">
      <c r="A86" s="127"/>
      <c r="B86" s="136"/>
      <c r="C86" s="120"/>
      <c r="D86" s="120"/>
      <c r="E86" s="120"/>
      <c r="F86" s="120"/>
      <c r="G86" s="120"/>
      <c r="H86" s="120"/>
      <c r="I86" s="120"/>
      <c r="J86" s="120"/>
      <c r="K86" s="120"/>
      <c r="L86" s="120"/>
      <c r="M86" s="120"/>
      <c r="N86" s="120"/>
      <c r="O86" s="120"/>
      <c r="P86" s="154"/>
      <c r="Q86" s="141"/>
      <c r="R86" s="137"/>
    </row>
    <row r="87" spans="1:18" x14ac:dyDescent="0.2">
      <c r="A87" s="127"/>
      <c r="B87" s="136"/>
      <c r="C87" s="120"/>
      <c r="D87" s="120"/>
      <c r="E87" s="120"/>
      <c r="F87" s="120"/>
      <c r="G87" s="120"/>
      <c r="H87" s="120"/>
      <c r="I87" s="120"/>
      <c r="J87" s="120"/>
      <c r="K87" s="120"/>
      <c r="L87" s="120"/>
      <c r="M87" s="120"/>
      <c r="N87" s="120"/>
      <c r="O87" s="120"/>
      <c r="P87" s="154"/>
      <c r="Q87" s="141"/>
      <c r="R87" s="137"/>
    </row>
    <row r="88" spans="1:18" x14ac:dyDescent="0.2">
      <c r="A88" s="127"/>
      <c r="B88" s="136"/>
      <c r="C88" s="120"/>
      <c r="D88" s="120"/>
      <c r="E88" s="120"/>
      <c r="F88" s="120"/>
      <c r="G88" s="120"/>
      <c r="H88" s="120"/>
      <c r="I88" s="120"/>
      <c r="J88" s="120"/>
      <c r="K88" s="120"/>
      <c r="L88" s="120"/>
      <c r="M88" s="120"/>
      <c r="N88" s="120"/>
      <c r="O88" s="120"/>
      <c r="P88" s="154"/>
      <c r="Q88" s="141"/>
      <c r="R88" s="137"/>
    </row>
    <row r="89" spans="1:18" x14ac:dyDescent="0.2">
      <c r="A89" s="127"/>
      <c r="B89" s="136"/>
      <c r="C89" s="120"/>
      <c r="D89" s="120"/>
      <c r="E89" s="120"/>
      <c r="F89" s="120"/>
      <c r="G89" s="120"/>
      <c r="H89" s="120"/>
      <c r="I89" s="120"/>
      <c r="J89" s="120"/>
      <c r="K89" s="120"/>
      <c r="L89" s="120"/>
      <c r="M89" s="120"/>
      <c r="N89" s="120"/>
      <c r="O89" s="120"/>
      <c r="P89" s="154"/>
      <c r="Q89" s="141"/>
      <c r="R89" s="137"/>
    </row>
    <row r="90" spans="1:18" x14ac:dyDescent="0.2">
      <c r="A90" s="127"/>
      <c r="B90" s="136"/>
      <c r="C90" s="120"/>
      <c r="D90" s="120"/>
      <c r="E90" s="120"/>
      <c r="F90" s="120"/>
      <c r="G90" s="120"/>
      <c r="H90" s="120"/>
      <c r="I90" s="120"/>
      <c r="J90" s="120"/>
      <c r="K90" s="120"/>
      <c r="L90" s="120"/>
      <c r="M90" s="120"/>
      <c r="N90" s="120"/>
      <c r="O90" s="120"/>
      <c r="P90" s="154"/>
      <c r="Q90" s="141"/>
      <c r="R90" s="137"/>
    </row>
    <row r="91" spans="1:18" x14ac:dyDescent="0.2">
      <c r="A91" s="127"/>
      <c r="B91" s="136"/>
      <c r="C91" s="120"/>
      <c r="D91" s="120"/>
      <c r="E91" s="120"/>
      <c r="F91" s="120"/>
      <c r="G91" s="120"/>
      <c r="H91" s="120"/>
      <c r="I91" s="120"/>
      <c r="J91" s="120"/>
      <c r="K91" s="120"/>
      <c r="L91" s="120"/>
      <c r="M91" s="120"/>
      <c r="N91" s="120"/>
      <c r="O91" s="120"/>
      <c r="P91" s="154"/>
      <c r="Q91" s="141"/>
      <c r="R91" s="137"/>
    </row>
    <row r="92" spans="1:18" x14ac:dyDescent="0.2">
      <c r="A92" s="127"/>
      <c r="B92" s="136"/>
      <c r="C92" s="120"/>
      <c r="D92" s="120"/>
      <c r="E92" s="120"/>
      <c r="F92" s="120"/>
      <c r="G92" s="120"/>
      <c r="H92" s="120"/>
      <c r="I92" s="120"/>
      <c r="J92" s="120"/>
      <c r="K92" s="120"/>
      <c r="L92" s="120"/>
      <c r="M92" s="120"/>
      <c r="N92" s="120"/>
      <c r="O92" s="120"/>
      <c r="P92" s="154"/>
      <c r="Q92" s="141"/>
      <c r="R92" s="137"/>
    </row>
    <row r="93" spans="1:18" x14ac:dyDescent="0.2">
      <c r="A93" s="127"/>
      <c r="B93" s="136"/>
      <c r="C93" s="120"/>
      <c r="D93" s="120"/>
      <c r="E93" s="120"/>
      <c r="F93" s="120"/>
      <c r="G93" s="120"/>
      <c r="H93" s="120"/>
      <c r="I93" s="120"/>
      <c r="J93" s="120"/>
      <c r="K93" s="120"/>
      <c r="L93" s="120"/>
      <c r="M93" s="120"/>
      <c r="N93" s="120"/>
      <c r="O93" s="120"/>
      <c r="P93" s="154"/>
      <c r="Q93" s="141"/>
      <c r="R93" s="137"/>
    </row>
    <row r="94" spans="1:18" x14ac:dyDescent="0.2">
      <c r="A94" s="127"/>
      <c r="B94" s="136"/>
      <c r="C94" s="120"/>
      <c r="D94" s="120"/>
      <c r="E94" s="120"/>
      <c r="F94" s="120"/>
      <c r="G94" s="120"/>
      <c r="H94" s="120"/>
      <c r="I94" s="120"/>
      <c r="J94" s="120"/>
      <c r="K94" s="120"/>
      <c r="L94" s="120"/>
      <c r="M94" s="120"/>
      <c r="N94" s="120"/>
      <c r="O94" s="120"/>
      <c r="P94" s="154"/>
      <c r="Q94" s="141"/>
      <c r="R94" s="137"/>
    </row>
    <row r="95" spans="1:18" x14ac:dyDescent="0.2">
      <c r="A95" s="127"/>
      <c r="B95" s="136"/>
      <c r="C95" s="120"/>
      <c r="D95" s="120"/>
      <c r="E95" s="120"/>
      <c r="F95" s="120"/>
      <c r="G95" s="120"/>
      <c r="H95" s="120"/>
      <c r="I95" s="120"/>
      <c r="J95" s="120"/>
      <c r="K95" s="120"/>
      <c r="L95" s="120"/>
      <c r="M95" s="120"/>
      <c r="N95" s="120"/>
      <c r="O95" s="120"/>
      <c r="P95" s="154"/>
      <c r="Q95" s="141"/>
      <c r="R95" s="137"/>
    </row>
    <row r="96" spans="1:18" x14ac:dyDescent="0.2">
      <c r="A96" s="127"/>
      <c r="B96" s="136"/>
      <c r="C96" s="120"/>
      <c r="D96" s="120"/>
      <c r="E96" s="120"/>
      <c r="F96" s="120"/>
      <c r="G96" s="120"/>
      <c r="H96" s="120"/>
      <c r="I96" s="120"/>
      <c r="J96" s="120"/>
      <c r="K96" s="120"/>
      <c r="L96" s="120"/>
      <c r="M96" s="120"/>
      <c r="N96" s="120"/>
      <c r="O96" s="120"/>
      <c r="P96" s="154"/>
      <c r="Q96" s="141"/>
      <c r="R96" s="137"/>
    </row>
    <row r="97" spans="1:21" x14ac:dyDescent="0.2">
      <c r="A97" s="127"/>
      <c r="B97" s="136"/>
      <c r="C97" s="120"/>
      <c r="D97" s="120"/>
      <c r="E97" s="120"/>
      <c r="F97" s="120"/>
      <c r="G97" s="120"/>
      <c r="H97" s="120"/>
      <c r="I97" s="120"/>
      <c r="J97" s="120"/>
      <c r="K97" s="120"/>
      <c r="L97" s="120"/>
      <c r="M97" s="120"/>
      <c r="N97" s="120"/>
      <c r="O97" s="120"/>
      <c r="P97" s="154"/>
      <c r="Q97" s="141"/>
      <c r="R97" s="137"/>
    </row>
    <row r="98" spans="1:21" x14ac:dyDescent="0.2">
      <c r="A98" s="127"/>
      <c r="B98" s="136"/>
      <c r="C98" s="120"/>
      <c r="D98" s="120"/>
      <c r="E98" s="120"/>
      <c r="F98" s="120"/>
      <c r="G98" s="120"/>
      <c r="H98" s="120"/>
      <c r="I98" s="120"/>
      <c r="J98" s="120"/>
      <c r="K98" s="120"/>
      <c r="L98" s="120"/>
      <c r="M98" s="120"/>
      <c r="N98" s="120"/>
      <c r="O98" s="120"/>
      <c r="P98" s="154"/>
      <c r="Q98" s="141"/>
      <c r="R98" s="137"/>
    </row>
    <row r="99" spans="1:21" x14ac:dyDescent="0.2">
      <c r="A99" s="127"/>
      <c r="B99" s="136"/>
      <c r="C99" s="120"/>
      <c r="D99" s="120"/>
      <c r="E99" s="120"/>
      <c r="F99" s="120"/>
      <c r="G99" s="120"/>
      <c r="H99" s="120"/>
      <c r="I99" s="120"/>
      <c r="J99" s="120"/>
      <c r="K99" s="120"/>
      <c r="L99" s="120"/>
      <c r="M99" s="120"/>
      <c r="N99" s="120"/>
      <c r="O99" s="120"/>
      <c r="P99" s="154"/>
      <c r="Q99" s="141"/>
      <c r="R99" s="137"/>
    </row>
    <row r="100" spans="1:21" x14ac:dyDescent="0.2">
      <c r="A100" s="127"/>
      <c r="B100" s="136"/>
      <c r="C100" s="120"/>
      <c r="D100" s="120"/>
      <c r="E100" s="120"/>
      <c r="F100" s="120"/>
      <c r="G100" s="120"/>
      <c r="H100" s="120"/>
      <c r="I100" s="120"/>
      <c r="J100" s="120"/>
      <c r="K100" s="120"/>
      <c r="L100" s="120"/>
      <c r="M100" s="120"/>
      <c r="N100" s="120"/>
      <c r="O100" s="120"/>
      <c r="P100" s="154"/>
      <c r="Q100" s="141"/>
      <c r="R100" s="137"/>
    </row>
    <row r="101" spans="1:21" x14ac:dyDescent="0.2">
      <c r="A101" s="127"/>
      <c r="B101" s="136"/>
      <c r="C101" s="138"/>
      <c r="D101" s="138"/>
      <c r="E101" s="138"/>
      <c r="F101" s="138"/>
      <c r="G101" s="138"/>
      <c r="H101" s="138"/>
      <c r="I101" s="138"/>
      <c r="J101" s="138"/>
      <c r="K101" s="138"/>
      <c r="L101" s="138"/>
      <c r="M101" s="138"/>
      <c r="N101" s="138"/>
      <c r="O101" s="138"/>
      <c r="P101" s="154"/>
      <c r="Q101" s="141"/>
      <c r="R101" s="137"/>
    </row>
    <row r="102" spans="1:21" x14ac:dyDescent="0.2">
      <c r="A102" s="127"/>
      <c r="B102" s="136"/>
      <c r="C102" s="138"/>
      <c r="D102" s="138"/>
      <c r="E102" s="138"/>
      <c r="F102" s="138"/>
      <c r="G102" s="138"/>
      <c r="H102" s="138"/>
      <c r="I102" s="138"/>
      <c r="J102" s="138"/>
      <c r="K102" s="138"/>
      <c r="L102" s="138"/>
      <c r="M102" s="138"/>
      <c r="N102" s="138"/>
      <c r="O102" s="138"/>
      <c r="P102" s="154"/>
      <c r="Q102" s="141"/>
      <c r="R102" s="137"/>
    </row>
    <row r="103" spans="1:21" x14ac:dyDescent="0.2">
      <c r="A103" s="127"/>
      <c r="B103" s="136"/>
      <c r="C103" s="128"/>
      <c r="D103" s="120"/>
      <c r="E103" s="120"/>
      <c r="F103" s="120"/>
      <c r="G103" s="120"/>
      <c r="H103" s="120"/>
      <c r="I103" s="120"/>
      <c r="J103" s="120"/>
      <c r="K103" s="120"/>
      <c r="L103" s="120"/>
      <c r="M103" s="120"/>
      <c r="N103" s="120"/>
      <c r="O103" s="120"/>
      <c r="P103" s="154"/>
      <c r="Q103" s="141"/>
      <c r="R103" s="137"/>
    </row>
    <row r="104" spans="1:21" x14ac:dyDescent="0.2">
      <c r="A104" s="129"/>
      <c r="B104" s="130"/>
      <c r="C104" s="131"/>
      <c r="D104" s="131"/>
      <c r="E104" s="131"/>
      <c r="F104" s="131"/>
      <c r="G104" s="131"/>
      <c r="H104" s="131"/>
      <c r="I104" s="131"/>
      <c r="J104" s="131"/>
      <c r="K104" s="131"/>
      <c r="L104" s="131"/>
      <c r="M104" s="131"/>
      <c r="N104" s="131"/>
      <c r="O104" s="131"/>
      <c r="P104" s="131"/>
      <c r="Q104" s="132"/>
      <c r="R104" s="126"/>
      <c r="T104" s="39"/>
      <c r="U104" s="39"/>
    </row>
    <row r="105" spans="1:21" x14ac:dyDescent="0.2">
      <c r="A105" s="144"/>
      <c r="B105" s="37"/>
      <c r="C105" s="37"/>
      <c r="D105" s="37"/>
      <c r="E105" s="37"/>
      <c r="F105" s="37"/>
      <c r="G105" s="37"/>
      <c r="H105" s="37"/>
      <c r="I105" s="37"/>
      <c r="J105" s="37"/>
      <c r="K105" s="37"/>
      <c r="L105" s="37"/>
      <c r="M105" s="37"/>
      <c r="N105" s="37"/>
      <c r="O105" s="37"/>
      <c r="P105" s="426" t="s">
        <v>1</v>
      </c>
      <c r="Q105" s="133" t="s">
        <v>0</v>
      </c>
      <c r="R105" s="137">
        <f>SUM(R82:R103)</f>
        <v>0</v>
      </c>
      <c r="T105" s="70"/>
      <c r="U105" s="70"/>
    </row>
    <row r="106" spans="1:21" x14ac:dyDescent="0.2">
      <c r="A106" s="145"/>
      <c r="B106" s="44"/>
      <c r="C106" s="94"/>
      <c r="D106" s="94"/>
      <c r="E106" s="94"/>
      <c r="F106" s="94"/>
      <c r="G106" s="94"/>
      <c r="H106" s="94"/>
      <c r="I106" s="94"/>
      <c r="J106" s="94"/>
      <c r="K106" s="94"/>
      <c r="L106" s="94"/>
      <c r="M106" s="94"/>
      <c r="N106" s="94"/>
      <c r="O106" s="94"/>
      <c r="P106" s="94"/>
      <c r="Q106" s="146"/>
      <c r="R106" s="125"/>
    </row>
    <row r="107" spans="1:21" x14ac:dyDescent="0.2">
      <c r="A107" s="36"/>
      <c r="B107" s="37"/>
      <c r="C107" s="188"/>
      <c r="D107" s="188"/>
      <c r="E107" s="188"/>
      <c r="F107" s="188"/>
      <c r="G107" s="188"/>
      <c r="H107" s="188"/>
      <c r="I107" s="188"/>
      <c r="J107" s="188"/>
      <c r="K107" s="188"/>
      <c r="L107" s="188"/>
      <c r="M107" s="188"/>
      <c r="N107" s="188"/>
      <c r="O107" s="188"/>
      <c r="P107" s="188"/>
      <c r="Q107" s="124"/>
      <c r="R107" s="126"/>
      <c r="T107" s="39"/>
      <c r="U107" s="39"/>
    </row>
    <row r="108" spans="1:21" x14ac:dyDescent="0.2">
      <c r="A108" s="36"/>
      <c r="B108" s="37"/>
      <c r="C108" s="188"/>
      <c r="D108" s="188"/>
      <c r="E108" s="188"/>
      <c r="F108" s="188"/>
      <c r="G108" s="188"/>
      <c r="H108" s="188"/>
      <c r="I108" s="188"/>
      <c r="J108" s="188"/>
      <c r="K108" s="188"/>
      <c r="L108" s="188"/>
      <c r="M108" s="188"/>
      <c r="N108" s="188"/>
      <c r="O108" s="188"/>
      <c r="P108" s="188"/>
      <c r="Q108" s="42"/>
      <c r="R108" s="137"/>
    </row>
    <row r="109" spans="1:21" x14ac:dyDescent="0.2">
      <c r="A109" s="36"/>
      <c r="B109" s="37"/>
      <c r="C109" s="188"/>
      <c r="D109" s="188"/>
      <c r="E109" s="188"/>
      <c r="F109" s="188"/>
      <c r="G109" s="188"/>
      <c r="H109" s="188"/>
      <c r="I109" s="188"/>
      <c r="J109" s="188"/>
      <c r="K109" s="188"/>
      <c r="L109" s="188"/>
      <c r="M109" s="188"/>
      <c r="N109" s="188"/>
      <c r="O109" s="534" t="s">
        <v>17</v>
      </c>
      <c r="P109" s="534"/>
      <c r="Q109" s="42"/>
      <c r="R109" s="137"/>
      <c r="T109" s="70"/>
      <c r="U109" s="70"/>
    </row>
    <row r="110" spans="1:21" x14ac:dyDescent="0.2">
      <c r="A110" s="36"/>
      <c r="B110" s="37"/>
      <c r="C110" s="188"/>
      <c r="D110" s="188"/>
      <c r="E110" s="188"/>
      <c r="F110" s="188"/>
      <c r="G110" s="188"/>
      <c r="H110" s="188"/>
      <c r="I110" s="188"/>
      <c r="J110" s="188"/>
      <c r="K110" s="188"/>
      <c r="L110" s="188"/>
      <c r="M110" s="188"/>
      <c r="N110" s="188"/>
      <c r="O110" s="188"/>
      <c r="P110" s="188"/>
      <c r="Q110" s="42"/>
      <c r="R110" s="137"/>
    </row>
    <row r="111" spans="1:21" x14ac:dyDescent="0.2">
      <c r="A111" s="36"/>
      <c r="B111" s="37"/>
      <c r="C111" s="188"/>
      <c r="D111" s="188"/>
      <c r="E111" s="188"/>
      <c r="F111" s="188"/>
      <c r="G111" s="188"/>
      <c r="H111" s="188"/>
      <c r="I111" s="188"/>
      <c r="J111" s="188"/>
      <c r="K111" s="188"/>
      <c r="L111" s="188"/>
      <c r="M111" s="188"/>
      <c r="N111" s="188"/>
      <c r="O111" s="188" t="s">
        <v>270</v>
      </c>
      <c r="P111" s="188" t="s">
        <v>589</v>
      </c>
      <c r="Q111" s="42"/>
      <c r="R111" s="137">
        <f>R42</f>
        <v>0</v>
      </c>
    </row>
    <row r="112" spans="1:21" x14ac:dyDescent="0.2">
      <c r="A112" s="36"/>
      <c r="B112" s="37"/>
      <c r="C112" s="188"/>
      <c r="D112" s="188"/>
      <c r="E112" s="188"/>
      <c r="F112" s="188"/>
      <c r="G112" s="188"/>
      <c r="H112" s="188"/>
      <c r="I112" s="188"/>
      <c r="J112" s="188"/>
      <c r="K112" s="188"/>
      <c r="L112" s="188"/>
      <c r="M112" s="188"/>
      <c r="N112" s="188"/>
      <c r="O112" s="188"/>
      <c r="P112" s="188"/>
      <c r="Q112" s="42"/>
      <c r="R112" s="137"/>
    </row>
    <row r="113" spans="1:21" x14ac:dyDescent="0.2">
      <c r="A113" s="36"/>
      <c r="B113" s="37"/>
      <c r="C113" s="188"/>
      <c r="D113" s="188"/>
      <c r="E113" s="188"/>
      <c r="F113" s="188"/>
      <c r="G113" s="188"/>
      <c r="H113" s="188"/>
      <c r="I113" s="188"/>
      <c r="J113" s="188"/>
      <c r="K113" s="188"/>
      <c r="L113" s="188"/>
      <c r="M113" s="188"/>
      <c r="N113" s="188"/>
      <c r="O113" s="188" t="s">
        <v>270</v>
      </c>
      <c r="P113" s="188" t="s">
        <v>590</v>
      </c>
      <c r="Q113" s="42"/>
      <c r="R113" s="137">
        <f>R80</f>
        <v>0</v>
      </c>
    </row>
    <row r="114" spans="1:21" x14ac:dyDescent="0.2">
      <c r="A114" s="36"/>
      <c r="B114" s="37"/>
      <c r="C114" s="188"/>
      <c r="D114" s="188"/>
      <c r="E114" s="188"/>
      <c r="F114" s="188"/>
      <c r="G114" s="188"/>
      <c r="H114" s="188"/>
      <c r="I114" s="188"/>
      <c r="J114" s="188"/>
      <c r="K114" s="188"/>
      <c r="L114" s="188"/>
      <c r="M114" s="188"/>
      <c r="N114" s="188"/>
      <c r="O114" s="188"/>
      <c r="P114" s="188"/>
      <c r="Q114" s="42"/>
      <c r="R114" s="137"/>
    </row>
    <row r="115" spans="1:21" x14ac:dyDescent="0.2">
      <c r="A115" s="36"/>
      <c r="B115" s="37"/>
      <c r="C115" s="188"/>
      <c r="D115" s="188"/>
      <c r="E115" s="188"/>
      <c r="F115" s="188"/>
      <c r="G115" s="188"/>
      <c r="H115" s="188"/>
      <c r="I115" s="188"/>
      <c r="J115" s="188"/>
      <c r="K115" s="188"/>
      <c r="L115" s="188"/>
      <c r="M115" s="188"/>
      <c r="N115" s="188"/>
      <c r="O115" s="188" t="s">
        <v>270</v>
      </c>
      <c r="P115" s="188" t="s">
        <v>591</v>
      </c>
      <c r="Q115" s="42"/>
      <c r="R115" s="137">
        <f>R105</f>
        <v>0</v>
      </c>
    </row>
    <row r="116" spans="1:21" x14ac:dyDescent="0.2">
      <c r="A116" s="36"/>
      <c r="B116" s="37"/>
      <c r="C116" s="188"/>
      <c r="D116" s="188"/>
      <c r="E116" s="188"/>
      <c r="F116" s="188"/>
      <c r="G116" s="188"/>
      <c r="H116" s="188"/>
      <c r="I116" s="188"/>
      <c r="J116" s="188"/>
      <c r="K116" s="188"/>
      <c r="L116" s="188"/>
      <c r="M116" s="188"/>
      <c r="N116" s="188"/>
      <c r="O116" s="188"/>
      <c r="P116" s="188"/>
      <c r="Q116" s="42"/>
      <c r="R116" s="137"/>
    </row>
    <row r="117" spans="1:21" x14ac:dyDescent="0.2">
      <c r="A117" s="36"/>
      <c r="B117" s="37"/>
      <c r="C117" s="188"/>
      <c r="D117" s="188"/>
      <c r="E117" s="188"/>
      <c r="F117" s="188"/>
      <c r="G117" s="188"/>
      <c r="H117" s="188"/>
      <c r="I117" s="188"/>
      <c r="J117" s="188"/>
      <c r="K117" s="188"/>
      <c r="L117" s="188"/>
      <c r="M117" s="188"/>
      <c r="N117" s="188"/>
      <c r="O117" s="188"/>
      <c r="P117" s="188"/>
      <c r="Q117" s="42"/>
      <c r="R117" s="137"/>
    </row>
    <row r="118" spans="1:21" x14ac:dyDescent="0.2">
      <c r="A118" s="36"/>
      <c r="B118" s="37"/>
      <c r="C118" s="188"/>
      <c r="D118" s="188"/>
      <c r="E118" s="188"/>
      <c r="F118" s="188"/>
      <c r="G118" s="188"/>
      <c r="H118" s="188"/>
      <c r="I118" s="188"/>
      <c r="J118" s="188"/>
      <c r="K118" s="188"/>
      <c r="L118" s="188"/>
      <c r="M118" s="188"/>
      <c r="N118" s="188"/>
      <c r="O118" s="188"/>
      <c r="P118" s="188"/>
      <c r="Q118" s="42"/>
      <c r="R118" s="137"/>
    </row>
    <row r="119" spans="1:21" x14ac:dyDescent="0.2">
      <c r="A119" s="36"/>
      <c r="B119" s="37"/>
      <c r="C119" s="188"/>
      <c r="D119" s="188"/>
      <c r="E119" s="188"/>
      <c r="F119" s="188"/>
      <c r="G119" s="188"/>
      <c r="H119" s="188"/>
      <c r="I119" s="188"/>
      <c r="J119" s="188"/>
      <c r="K119" s="188"/>
      <c r="L119" s="188"/>
      <c r="M119" s="188"/>
      <c r="N119" s="188"/>
      <c r="O119" s="188"/>
      <c r="P119" s="188"/>
      <c r="Q119" s="42"/>
      <c r="R119" s="137"/>
    </row>
    <row r="120" spans="1:21" x14ac:dyDescent="0.2">
      <c r="A120" s="36"/>
      <c r="B120" s="37"/>
      <c r="C120" s="188"/>
      <c r="D120" s="188"/>
      <c r="E120" s="188"/>
      <c r="F120" s="188"/>
      <c r="G120" s="188"/>
      <c r="H120" s="188"/>
      <c r="I120" s="188"/>
      <c r="J120" s="188"/>
      <c r="K120" s="188"/>
      <c r="L120" s="188"/>
      <c r="M120" s="188"/>
      <c r="N120" s="188"/>
      <c r="O120" s="188"/>
      <c r="P120" s="188"/>
      <c r="Q120" s="42"/>
      <c r="R120" s="137"/>
    </row>
    <row r="121" spans="1:21" x14ac:dyDescent="0.2">
      <c r="A121" s="36"/>
      <c r="B121" s="37"/>
      <c r="C121" s="188"/>
      <c r="D121" s="188"/>
      <c r="E121" s="188"/>
      <c r="F121" s="188"/>
      <c r="G121" s="188"/>
      <c r="H121" s="188"/>
      <c r="I121" s="188"/>
      <c r="J121" s="188"/>
      <c r="K121" s="188"/>
      <c r="L121" s="188"/>
      <c r="M121" s="188"/>
      <c r="N121" s="188"/>
      <c r="O121" s="188"/>
      <c r="P121" s="188"/>
      <c r="Q121" s="42"/>
      <c r="R121" s="137"/>
    </row>
    <row r="122" spans="1:21" x14ac:dyDescent="0.2">
      <c r="A122" s="36"/>
      <c r="B122" s="37"/>
      <c r="C122" s="188"/>
      <c r="D122" s="188"/>
      <c r="E122" s="188"/>
      <c r="F122" s="188"/>
      <c r="G122" s="188"/>
      <c r="H122" s="188"/>
      <c r="I122" s="188"/>
      <c r="J122" s="188"/>
      <c r="K122" s="188"/>
      <c r="L122" s="188"/>
      <c r="M122" s="188"/>
      <c r="N122" s="188"/>
      <c r="O122" s="188"/>
      <c r="P122" s="188"/>
      <c r="Q122" s="42"/>
      <c r="R122" s="137"/>
    </row>
    <row r="123" spans="1:21" x14ac:dyDescent="0.2">
      <c r="A123" s="36"/>
      <c r="B123" s="37"/>
      <c r="C123" s="188"/>
      <c r="D123" s="188"/>
      <c r="E123" s="188"/>
      <c r="F123" s="188"/>
      <c r="G123" s="188"/>
      <c r="H123" s="188"/>
      <c r="I123" s="188"/>
      <c r="J123" s="188"/>
      <c r="K123" s="188"/>
      <c r="L123" s="188"/>
      <c r="M123" s="188"/>
      <c r="N123" s="188"/>
      <c r="O123" s="188"/>
      <c r="P123" s="188"/>
      <c r="Q123" s="42"/>
      <c r="R123" s="137"/>
    </row>
    <row r="124" spans="1:21" x14ac:dyDescent="0.2">
      <c r="A124" s="36"/>
      <c r="B124" s="37"/>
      <c r="C124" s="188"/>
      <c r="D124" s="188"/>
      <c r="E124" s="188"/>
      <c r="F124" s="188"/>
      <c r="G124" s="188"/>
      <c r="H124" s="188"/>
      <c r="I124" s="188"/>
      <c r="J124" s="188"/>
      <c r="K124" s="188"/>
      <c r="L124" s="188"/>
      <c r="M124" s="188"/>
      <c r="N124" s="188"/>
      <c r="O124" s="188"/>
      <c r="P124" s="188"/>
      <c r="Q124" s="42"/>
      <c r="R124" s="137"/>
    </row>
    <row r="125" spans="1:21" x14ac:dyDescent="0.2">
      <c r="A125" s="43"/>
      <c r="B125" s="44"/>
      <c r="C125" s="94"/>
      <c r="D125" s="94"/>
      <c r="E125" s="94"/>
      <c r="F125" s="94"/>
      <c r="G125" s="94"/>
      <c r="H125" s="94"/>
      <c r="I125" s="94"/>
      <c r="J125" s="94"/>
      <c r="K125" s="94"/>
      <c r="L125" s="94"/>
      <c r="M125" s="94"/>
      <c r="N125" s="94"/>
      <c r="O125" s="94"/>
      <c r="P125" s="94"/>
      <c r="Q125" s="45"/>
      <c r="R125" s="125"/>
      <c r="T125" s="40"/>
      <c r="U125" s="40"/>
    </row>
    <row r="126" spans="1:21" x14ac:dyDescent="0.2">
      <c r="A126" s="129"/>
      <c r="B126" s="130" t="s">
        <v>21</v>
      </c>
      <c r="C126" s="131"/>
      <c r="D126" s="131"/>
      <c r="E126" s="131"/>
      <c r="F126" s="131"/>
      <c r="G126" s="131"/>
      <c r="H126" s="131"/>
      <c r="I126" s="131"/>
      <c r="J126" s="131"/>
      <c r="K126" s="131"/>
      <c r="L126" s="131"/>
      <c r="M126" s="131"/>
      <c r="N126" s="131"/>
      <c r="O126" s="131"/>
      <c r="P126" s="131"/>
      <c r="Q126" s="132"/>
      <c r="R126" s="126"/>
      <c r="T126" s="39"/>
      <c r="U126" s="39"/>
    </row>
    <row r="127" spans="1:21" x14ac:dyDescent="0.2">
      <c r="C127" s="46"/>
      <c r="D127" s="46"/>
      <c r="E127" s="46"/>
      <c r="F127" s="46"/>
      <c r="G127" s="46"/>
      <c r="H127" s="46"/>
      <c r="I127" s="46"/>
      <c r="J127" s="46"/>
      <c r="K127" s="46"/>
      <c r="L127" s="46"/>
      <c r="M127" s="46"/>
      <c r="N127" s="46"/>
      <c r="O127" s="46"/>
      <c r="P127" s="171" t="s">
        <v>15</v>
      </c>
      <c r="Q127" s="133" t="s">
        <v>0</v>
      </c>
      <c r="R127" s="137">
        <f>SUM(R107:R125)</f>
        <v>0</v>
      </c>
      <c r="T127" s="70"/>
      <c r="U127" s="70"/>
    </row>
    <row r="128" spans="1:21" x14ac:dyDescent="0.2">
      <c r="P128" s="188"/>
      <c r="Q128" s="124"/>
      <c r="R128" s="125"/>
    </row>
  </sheetData>
  <customSheetViews>
    <customSheetView guid="{CBA2F18A-D99E-4593-B5C7-F549C46D482A}" scale="80" showPageBreaks="1" zeroValues="0" printArea="1" hiddenColumns="1" view="pageBreakPreview">
      <pane xSplit="2" ySplit="3" topLeftCell="C493" activePane="bottomRight" state="frozen"/>
      <selection pane="bottomRight" activeCell="AF720" sqref="AF720:AG720"/>
      <pageMargins left="0.51181102362204722" right="0.19685039370078741" top="0.98425196850393704" bottom="0.59055118110236227" header="0.31496062992125984" footer="0.31496062992125984"/>
      <pageSetup paperSize="8" scale="90" orientation="landscape" useFirstPageNumber="1" r:id="rId1"/>
      <headerFooter>
        <oddHeader>&amp;R&amp;UBILL NO. 2
WOODWORK</oddHeader>
        <oddFooter>&amp;L&amp;8MBR GPV PH1A BQ ADD5&amp;C&amp;10 2/F/&amp;P</oddFooter>
      </headerFooter>
    </customSheetView>
    <customSheetView guid="{A5028593-220E-41E5-9B7F-B61B224ADECB}" scale="85" showPageBreaks="1" zeroValues="0" printArea="1" hiddenColumns="1" view="pageBreakPreview">
      <pane ySplit="3" topLeftCell="A78" activePane="bottomLeft" state="frozen"/>
      <selection pane="bottomLeft" activeCell="B48" sqref="B48"/>
      <pageMargins left="0.51181102362204722" right="0.19685039370078741" top="0.98425196850393704" bottom="0.59055118110236227" header="0.31496062992125984" footer="0.31496062992125984"/>
      <pageSetup paperSize="8" scale="85" orientation="landscape" useFirstPageNumber="1" r:id="rId2"/>
      <headerFooter>
        <oddHeader>&amp;R&amp;UBILL NO. 2
WOODWORK</oddHeader>
        <oddFooter>&amp;L&amp;8MBR CV BQ&amp;C&amp;10 2/F/&amp;P</oddFooter>
      </headerFooter>
    </customSheetView>
    <customSheetView guid="{9B0AB937-A858-4024-AFD2-25458CC5120D}" scale="85" showPageBreaks="1" zeroValues="0" printArea="1" hiddenColumns="1" view="pageBreakPreview">
      <pane ySplit="3" topLeftCell="A78" activePane="bottomLeft" state="frozen"/>
      <selection pane="bottomLeft" activeCell="B48" sqref="B48"/>
      <pageMargins left="0.51181102362204722" right="0.19685039370078741" top="0.98425196850393704" bottom="0.59055118110236227" header="0.31496062992125984" footer="0.31496062992125984"/>
      <pageSetup paperSize="8" scale="85" orientation="landscape" useFirstPageNumber="1" r:id="rId3"/>
      <headerFooter>
        <oddHeader>&amp;R&amp;UBILL NO. 2
WOODWORK</oddHeader>
        <oddFooter>&amp;L&amp;8MBR CV BQ&amp;C&amp;10 2/F/&amp;P</oddFooter>
      </headerFooter>
    </customSheetView>
    <customSheetView guid="{09AFA358-18AB-4F70-994A-26F8BCF8C7CA}" scale="85" showPageBreaks="1" zeroValues="0" printArea="1" hiddenColumns="1" view="pageBreakPreview">
      <pane ySplit="3" topLeftCell="A78" activePane="bottomLeft" state="frozen"/>
      <selection pane="bottomLeft" activeCell="B48" sqref="B48"/>
      <pageMargins left="0.51181102362204722" right="0.19685039370078741" top="0.98425196850393704" bottom="0.59055118110236227" header="0.31496062992125984" footer="0.31496062992125984"/>
      <pageSetup paperSize="8" scale="85" orientation="landscape" useFirstPageNumber="1" r:id="rId4"/>
      <headerFooter>
        <oddHeader>&amp;R&amp;UBILL NO. 2
WOODWORK</oddHeader>
        <oddFooter>&amp;L&amp;8MBR CV BQ&amp;C&amp;10 2/F/&amp;P</oddFooter>
      </headerFooter>
    </customSheetView>
  </customSheetViews>
  <mergeCells count="14">
    <mergeCell ref="A1:A3"/>
    <mergeCell ref="B1:B3"/>
    <mergeCell ref="C1:O1"/>
    <mergeCell ref="P1:P3"/>
    <mergeCell ref="Q1:Q3"/>
    <mergeCell ref="J2:J3"/>
    <mergeCell ref="L2:L3"/>
    <mergeCell ref="N2:N3"/>
    <mergeCell ref="O2:O3"/>
    <mergeCell ref="O109:P109"/>
    <mergeCell ref="R1:R3"/>
    <mergeCell ref="D2:D3"/>
    <mergeCell ref="F2:F3"/>
    <mergeCell ref="H2:H3"/>
  </mergeCells>
  <printOptions horizontalCentered="1"/>
  <pageMargins left="0.51181102362204722" right="0.19685039370078741" top="0.98425196850393704" bottom="0.59055118110236227" header="0.31496062992125984" footer="0.31496062992125984"/>
  <pageSetup paperSize="8" orientation="landscape" useFirstPageNumber="1" r:id="rId5"/>
  <headerFooter>
    <oddHeader>&amp;R&amp;UBILL NO. 3: TOWNHOUSE A 
WOODWORK</oddHeader>
    <oddFooter>&amp;L&amp;8DMS No. 148110 Package 3 (30 Sept 2021)&amp;C&amp;10 3/F/&amp;P</oddFooter>
  </headerFooter>
  <ignoredErrors>
    <ignoredError sqref="E82:P84 E112:P112 E111:N111 E114:P114 E113:N113 E116:P116 E115:N115 E117:N117 E119:N119 E118:N118 E121:P121 E120:N120 E12:P13 E44:P46 E93:P110 E90:P92 P14 P47 E86:P89 P85"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A1:U178"/>
  <sheetViews>
    <sheetView showZeros="0" view="pageBreakPreview" zoomScale="90" zoomScaleNormal="85" zoomScaleSheetLayoutView="90" workbookViewId="0">
      <pane xSplit="2" ySplit="3" topLeftCell="C10" activePane="bottomRight" state="frozen"/>
      <selection activeCell="T57" sqref="T57"/>
      <selection pane="topRight" activeCell="T57" sqref="T57"/>
      <selection pane="bottomLeft" activeCell="T57" sqref="T57"/>
      <selection pane="bottomRight" activeCell="C40" sqref="C40"/>
    </sheetView>
  </sheetViews>
  <sheetFormatPr defaultRowHeight="14.25" x14ac:dyDescent="0.2"/>
  <cols>
    <col min="1" max="1" width="6.125" style="121" customWidth="1"/>
    <col min="2" max="2" width="61.875" style="122" customWidth="1"/>
    <col min="3" max="3" width="11.125" style="204" customWidth="1"/>
    <col min="4" max="4" width="10.625" style="204" hidden="1" customWidth="1"/>
    <col min="5" max="5" width="11.125" style="204" customWidth="1"/>
    <col min="6" max="6" width="10.625" style="204" hidden="1" customWidth="1"/>
    <col min="7" max="7" width="11.125" style="204" customWidth="1"/>
    <col min="8" max="8" width="10.625" style="204" hidden="1" customWidth="1"/>
    <col min="9" max="9" width="11.125" style="204" customWidth="1"/>
    <col min="10" max="10" width="10.625" style="204" hidden="1" customWidth="1"/>
    <col min="11" max="11" width="11.125" style="204" customWidth="1"/>
    <col min="12" max="12" width="10.625" style="204" hidden="1" customWidth="1"/>
    <col min="13" max="13" width="11.125" style="204" customWidth="1"/>
    <col min="14" max="14" width="10.625" style="204" hidden="1" customWidth="1"/>
    <col min="15" max="15" width="12.125" style="204" customWidth="1"/>
    <col min="16" max="16" width="7.125" style="204" customWidth="1"/>
    <col min="17" max="17" width="12.125" style="46" customWidth="1"/>
    <col min="18" max="18" width="16.625" style="46" customWidth="1"/>
    <col min="19" max="19" width="9" style="140"/>
    <col min="20" max="21" width="9.75" style="119" customWidth="1"/>
    <col min="22" max="16384" width="9" style="140"/>
  </cols>
  <sheetData>
    <row r="1" spans="1:21" s="98" customFormat="1" x14ac:dyDescent="0.2">
      <c r="A1" s="521" t="s">
        <v>5</v>
      </c>
      <c r="B1" s="521" t="s">
        <v>4</v>
      </c>
      <c r="C1" s="530" t="s">
        <v>3</v>
      </c>
      <c r="D1" s="530"/>
      <c r="E1" s="530"/>
      <c r="F1" s="530"/>
      <c r="G1" s="530"/>
      <c r="H1" s="530"/>
      <c r="I1" s="530"/>
      <c r="J1" s="530"/>
      <c r="K1" s="530"/>
      <c r="L1" s="530"/>
      <c r="M1" s="530"/>
      <c r="N1" s="530"/>
      <c r="O1" s="530"/>
      <c r="P1" s="531" t="s">
        <v>2</v>
      </c>
      <c r="Q1" s="518" t="s">
        <v>6</v>
      </c>
      <c r="R1" s="521" t="s">
        <v>7</v>
      </c>
      <c r="T1" s="155"/>
      <c r="U1" s="155"/>
    </row>
    <row r="2" spans="1:21" s="98" customFormat="1" ht="28.5" x14ac:dyDescent="0.2">
      <c r="A2" s="522"/>
      <c r="B2" s="522"/>
      <c r="C2" s="427" t="s">
        <v>439</v>
      </c>
      <c r="D2" s="524" t="s">
        <v>23</v>
      </c>
      <c r="E2" s="427" t="s">
        <v>440</v>
      </c>
      <c r="F2" s="524" t="s">
        <v>23</v>
      </c>
      <c r="G2" s="427" t="s">
        <v>441</v>
      </c>
      <c r="H2" s="524" t="s">
        <v>23</v>
      </c>
      <c r="I2" s="427" t="s">
        <v>442</v>
      </c>
      <c r="J2" s="524" t="s">
        <v>23</v>
      </c>
      <c r="K2" s="427" t="s">
        <v>443</v>
      </c>
      <c r="L2" s="524" t="s">
        <v>23</v>
      </c>
      <c r="M2" s="427" t="s">
        <v>444</v>
      </c>
      <c r="N2" s="524" t="s">
        <v>23</v>
      </c>
      <c r="O2" s="526" t="s">
        <v>22</v>
      </c>
      <c r="P2" s="532"/>
      <c r="Q2" s="519"/>
      <c r="R2" s="522"/>
      <c r="T2" s="194" t="s">
        <v>445</v>
      </c>
      <c r="U2" s="75" t="s">
        <v>446</v>
      </c>
    </row>
    <row r="3" spans="1:21" s="98" customFormat="1" x14ac:dyDescent="0.2">
      <c r="A3" s="523"/>
      <c r="B3" s="523"/>
      <c r="C3" s="192">
        <v>1</v>
      </c>
      <c r="D3" s="525"/>
      <c r="E3" s="192">
        <v>1</v>
      </c>
      <c r="F3" s="525"/>
      <c r="G3" s="192">
        <v>5</v>
      </c>
      <c r="H3" s="525"/>
      <c r="I3" s="192">
        <v>1</v>
      </c>
      <c r="J3" s="525"/>
      <c r="K3" s="192">
        <v>3</v>
      </c>
      <c r="L3" s="525"/>
      <c r="M3" s="192">
        <v>1</v>
      </c>
      <c r="N3" s="525"/>
      <c r="O3" s="527"/>
      <c r="P3" s="533"/>
      <c r="Q3" s="520"/>
      <c r="R3" s="523"/>
      <c r="S3" s="95">
        <f>C3+E3+G3+I3+K3+M3</f>
        <v>12</v>
      </c>
      <c r="T3" s="35"/>
      <c r="U3" s="35"/>
    </row>
    <row r="4" spans="1:21" x14ac:dyDescent="0.2">
      <c r="A4" s="127"/>
      <c r="B4" s="136"/>
      <c r="C4" s="128"/>
      <c r="D4" s="120"/>
      <c r="E4" s="120"/>
      <c r="F4" s="120"/>
      <c r="G4" s="120"/>
      <c r="H4" s="120"/>
      <c r="I4" s="120"/>
      <c r="J4" s="120"/>
      <c r="K4" s="120"/>
      <c r="L4" s="120"/>
      <c r="M4" s="120"/>
      <c r="N4" s="120"/>
      <c r="O4" s="120"/>
      <c r="P4" s="154"/>
      <c r="Q4" s="141"/>
      <c r="R4" s="137"/>
    </row>
    <row r="5" spans="1:21" x14ac:dyDescent="0.2">
      <c r="A5" s="139"/>
      <c r="B5" s="14" t="s">
        <v>18</v>
      </c>
      <c r="C5" s="128"/>
      <c r="D5" s="120"/>
      <c r="E5" s="120"/>
      <c r="F5" s="120"/>
      <c r="G5" s="120"/>
      <c r="H5" s="120"/>
      <c r="I5" s="120"/>
      <c r="J5" s="120"/>
      <c r="K5" s="120"/>
      <c r="L5" s="120"/>
      <c r="M5" s="120"/>
      <c r="N5" s="120"/>
      <c r="O5" s="120"/>
      <c r="P5" s="154"/>
      <c r="Q5" s="141"/>
      <c r="R5" s="137"/>
    </row>
    <row r="6" spans="1:21" x14ac:dyDescent="0.2">
      <c r="A6" s="139"/>
      <c r="B6" s="14"/>
      <c r="C6" s="128"/>
      <c r="D6" s="120"/>
      <c r="E6" s="120"/>
      <c r="F6" s="120"/>
      <c r="G6" s="120"/>
      <c r="H6" s="120"/>
      <c r="I6" s="120"/>
      <c r="J6" s="120"/>
      <c r="K6" s="120"/>
      <c r="L6" s="120"/>
      <c r="M6" s="120"/>
      <c r="N6" s="120"/>
      <c r="O6" s="120"/>
      <c r="P6" s="154"/>
      <c r="Q6" s="141"/>
      <c r="R6" s="137"/>
    </row>
    <row r="7" spans="1:21" x14ac:dyDescent="0.2">
      <c r="A7" s="139"/>
      <c r="B7" s="23" t="s">
        <v>313</v>
      </c>
      <c r="C7" s="128"/>
      <c r="D7" s="120"/>
      <c r="E7" s="120"/>
      <c r="F7" s="120"/>
      <c r="G7" s="120"/>
      <c r="H7" s="120"/>
      <c r="I7" s="120"/>
      <c r="J7" s="120"/>
      <c r="K7" s="120"/>
      <c r="L7" s="120"/>
      <c r="M7" s="120"/>
      <c r="N7" s="120"/>
      <c r="O7" s="120"/>
      <c r="P7" s="154"/>
      <c r="Q7" s="141"/>
      <c r="R7" s="137"/>
      <c r="T7" s="128"/>
      <c r="U7" s="128"/>
    </row>
    <row r="8" spans="1:21" ht="15" customHeight="1" x14ac:dyDescent="0.2">
      <c r="A8" s="139"/>
      <c r="B8" s="136" t="s">
        <v>293</v>
      </c>
      <c r="C8" s="128"/>
      <c r="D8" s="120"/>
      <c r="E8" s="120"/>
      <c r="F8" s="120"/>
      <c r="G8" s="120"/>
      <c r="H8" s="120"/>
      <c r="I8" s="120"/>
      <c r="J8" s="120"/>
      <c r="K8" s="120"/>
      <c r="L8" s="120"/>
      <c r="M8" s="120"/>
      <c r="N8" s="120"/>
      <c r="O8" s="120"/>
      <c r="P8" s="154"/>
      <c r="Q8" s="141"/>
      <c r="R8" s="137"/>
      <c r="T8" s="128"/>
      <c r="U8" s="128"/>
    </row>
    <row r="9" spans="1:21" x14ac:dyDescent="0.2">
      <c r="A9" s="139"/>
      <c r="B9" s="136" t="s">
        <v>317</v>
      </c>
      <c r="C9" s="128"/>
      <c r="D9" s="120"/>
      <c r="E9" s="120"/>
      <c r="F9" s="120"/>
      <c r="G9" s="120"/>
      <c r="H9" s="120"/>
      <c r="I9" s="120"/>
      <c r="J9" s="120"/>
      <c r="K9" s="120"/>
      <c r="L9" s="120"/>
      <c r="M9" s="120"/>
      <c r="N9" s="120"/>
      <c r="O9" s="120"/>
      <c r="P9" s="154"/>
      <c r="Q9" s="141"/>
      <c r="R9" s="137"/>
      <c r="T9" s="128"/>
      <c r="U9" s="128"/>
    </row>
    <row r="10" spans="1:21" x14ac:dyDescent="0.2">
      <c r="A10" s="139"/>
      <c r="B10" s="88" t="s">
        <v>318</v>
      </c>
      <c r="C10" s="128"/>
      <c r="D10" s="120"/>
      <c r="E10" s="120"/>
      <c r="F10" s="120"/>
      <c r="G10" s="120"/>
      <c r="H10" s="120"/>
      <c r="I10" s="120"/>
      <c r="J10" s="120"/>
      <c r="K10" s="120"/>
      <c r="L10" s="120"/>
      <c r="M10" s="120"/>
      <c r="N10" s="120"/>
      <c r="O10" s="120"/>
      <c r="P10" s="154"/>
      <c r="Q10" s="141"/>
      <c r="R10" s="137"/>
      <c r="T10" s="128"/>
      <c r="U10" s="128"/>
    </row>
    <row r="11" spans="1:21" x14ac:dyDescent="0.2">
      <c r="A11" s="139"/>
      <c r="B11" s="88" t="s">
        <v>334</v>
      </c>
      <c r="C11" s="128"/>
      <c r="D11" s="120"/>
      <c r="E11" s="120"/>
      <c r="F11" s="120"/>
      <c r="G11" s="120"/>
      <c r="H11" s="120"/>
      <c r="I11" s="120"/>
      <c r="J11" s="120"/>
      <c r="K11" s="120"/>
      <c r="L11" s="120"/>
      <c r="M11" s="120"/>
      <c r="N11" s="120"/>
      <c r="O11" s="120"/>
      <c r="P11" s="154"/>
      <c r="Q11" s="141"/>
      <c r="R11" s="137"/>
      <c r="T11" s="128"/>
      <c r="U11" s="128"/>
    </row>
    <row r="12" spans="1:21" x14ac:dyDescent="0.2">
      <c r="A12" s="139"/>
      <c r="B12" s="23"/>
      <c r="C12" s="128"/>
      <c r="D12" s="120"/>
      <c r="E12" s="120"/>
      <c r="F12" s="120"/>
      <c r="G12" s="120"/>
      <c r="H12" s="120"/>
      <c r="I12" s="120"/>
      <c r="J12" s="120"/>
      <c r="K12" s="120"/>
      <c r="L12" s="120"/>
      <c r="M12" s="120"/>
      <c r="N12" s="120"/>
      <c r="O12" s="120"/>
      <c r="P12" s="154"/>
      <c r="Q12" s="141"/>
      <c r="R12" s="137"/>
    </row>
    <row r="13" spans="1:21" x14ac:dyDescent="0.2">
      <c r="A13" s="139"/>
      <c r="B13" s="111" t="s">
        <v>58</v>
      </c>
      <c r="C13" s="128"/>
      <c r="D13" s="120"/>
      <c r="E13" s="120"/>
      <c r="F13" s="120"/>
      <c r="G13" s="120"/>
      <c r="H13" s="120"/>
      <c r="I13" s="120"/>
      <c r="J13" s="120"/>
      <c r="K13" s="120"/>
      <c r="L13" s="120"/>
      <c r="M13" s="120"/>
      <c r="N13" s="120"/>
      <c r="O13" s="120"/>
      <c r="P13" s="154"/>
      <c r="Q13" s="141"/>
      <c r="R13" s="137"/>
    </row>
    <row r="14" spans="1:21" x14ac:dyDescent="0.2">
      <c r="A14" s="139"/>
      <c r="B14" s="14"/>
      <c r="C14" s="138"/>
      <c r="D14" s="138"/>
      <c r="E14" s="138"/>
      <c r="F14" s="138"/>
      <c r="G14" s="138"/>
      <c r="H14" s="138"/>
      <c r="I14" s="138"/>
      <c r="J14" s="138"/>
      <c r="K14" s="138"/>
      <c r="L14" s="138"/>
      <c r="M14" s="138"/>
      <c r="N14" s="138"/>
      <c r="O14" s="138"/>
      <c r="P14" s="154"/>
      <c r="Q14" s="141"/>
      <c r="R14" s="137"/>
    </row>
    <row r="15" spans="1:21" ht="28.5" x14ac:dyDescent="0.2">
      <c r="A15" s="139"/>
      <c r="B15" s="496" t="s">
        <v>951</v>
      </c>
      <c r="C15" s="138"/>
      <c r="D15" s="138"/>
      <c r="E15" s="138"/>
      <c r="F15" s="138"/>
      <c r="G15" s="138"/>
      <c r="H15" s="138"/>
      <c r="I15" s="138"/>
      <c r="J15" s="138"/>
      <c r="K15" s="138"/>
      <c r="L15" s="138"/>
      <c r="M15" s="138"/>
      <c r="N15" s="138"/>
      <c r="O15" s="138"/>
      <c r="P15" s="154"/>
      <c r="Q15" s="141"/>
      <c r="R15" s="137"/>
    </row>
    <row r="16" spans="1:21" x14ac:dyDescent="0.2">
      <c r="A16" s="139"/>
      <c r="B16" s="176"/>
      <c r="C16" s="138"/>
      <c r="D16" s="138"/>
      <c r="E16" s="138"/>
      <c r="F16" s="138"/>
      <c r="G16" s="138"/>
      <c r="H16" s="138"/>
      <c r="I16" s="138"/>
      <c r="J16" s="138"/>
      <c r="K16" s="138"/>
      <c r="L16" s="138"/>
      <c r="M16" s="138"/>
      <c r="N16" s="138"/>
      <c r="O16" s="138"/>
      <c r="P16" s="9"/>
      <c r="Q16" s="141"/>
      <c r="R16" s="137"/>
    </row>
    <row r="17" spans="1:21" x14ac:dyDescent="0.2">
      <c r="A17" s="139" t="s">
        <v>66</v>
      </c>
      <c r="B17" s="19" t="s">
        <v>319</v>
      </c>
      <c r="C17" s="138">
        <f>ROUND((2*$T17+2*$U17)*C$3,0)</f>
        <v>448</v>
      </c>
      <c r="D17" s="138">
        <f>C17*$Q17</f>
        <v>0</v>
      </c>
      <c r="E17" s="138">
        <f>ROUND((2*$T17+3*$U17)*E$3,0)</f>
        <v>550</v>
      </c>
      <c r="F17" s="138">
        <f>E17*$Q17</f>
        <v>0</v>
      </c>
      <c r="G17" s="138">
        <f>ROUND((2*$T17+4*$U17)*G$3,0)</f>
        <v>3260</v>
      </c>
      <c r="H17" s="138">
        <f>G17*$Q17</f>
        <v>0</v>
      </c>
      <c r="I17" s="138">
        <f>ROUND((2*$T17+5*$U17)*I$3,0)</f>
        <v>754</v>
      </c>
      <c r="J17" s="138">
        <f>I17*$Q17</f>
        <v>0</v>
      </c>
      <c r="K17" s="138">
        <f>ROUND((2*$T17+6*$U17)*K$3,0)</f>
        <v>2568</v>
      </c>
      <c r="L17" s="138">
        <f>K17*$Q17</f>
        <v>0</v>
      </c>
      <c r="M17" s="138">
        <f>ROUND((2*$T17+7*$U17)*M$3,0)</f>
        <v>958</v>
      </c>
      <c r="N17" s="138">
        <f>M17*$Q17</f>
        <v>0</v>
      </c>
      <c r="O17" s="138">
        <f>C17+E17+G17+I17+K17+M17</f>
        <v>8538</v>
      </c>
      <c r="P17" s="9" t="s">
        <v>10</v>
      </c>
      <c r="Q17" s="141"/>
      <c r="R17" s="137">
        <f>O17*Q17</f>
        <v>0</v>
      </c>
      <c r="T17" s="119">
        <v>122</v>
      </c>
      <c r="U17" s="119">
        <v>102</v>
      </c>
    </row>
    <row r="18" spans="1:21" x14ac:dyDescent="0.2">
      <c r="A18" s="139"/>
      <c r="B18" s="182"/>
      <c r="C18" s="138">
        <f t="shared" ref="C18:C38" si="0">ROUND((2*$T18+2*$U18)*C$3,0)</f>
        <v>0</v>
      </c>
      <c r="D18" s="138">
        <f t="shared" ref="D18:D38" si="1">C18*$Q18</f>
        <v>0</v>
      </c>
      <c r="E18" s="138">
        <f t="shared" ref="E18:E38" si="2">ROUND((2*$T18+3*$U18)*E$3,0)</f>
        <v>0</v>
      </c>
      <c r="F18" s="138">
        <f t="shared" ref="F18:F38" si="3">E18*$Q18</f>
        <v>0</v>
      </c>
      <c r="G18" s="138">
        <f t="shared" ref="G18:G38" si="4">ROUND((2*$T18+4*$U18)*G$3,0)</f>
        <v>0</v>
      </c>
      <c r="H18" s="138">
        <f t="shared" ref="H18:H38" si="5">G18*$Q18</f>
        <v>0</v>
      </c>
      <c r="I18" s="138">
        <f t="shared" ref="I18:I38" si="6">ROUND((2*$T18+5*$U18)*I$3,0)</f>
        <v>0</v>
      </c>
      <c r="J18" s="138">
        <f t="shared" ref="J18:J38" si="7">I18*$Q18</f>
        <v>0</v>
      </c>
      <c r="K18" s="138">
        <f t="shared" ref="K18:K38" si="8">ROUND((2*$T18+6*$U18)*K$3,0)</f>
        <v>0</v>
      </c>
      <c r="L18" s="138">
        <f t="shared" ref="L18:L38" si="9">K18*$Q18</f>
        <v>0</v>
      </c>
      <c r="M18" s="138">
        <f t="shared" ref="M18:M38" si="10">ROUND((2*$T18+7*$U18)*M$3,0)</f>
        <v>0</v>
      </c>
      <c r="N18" s="138">
        <f t="shared" ref="N18:N38" si="11">M18*$Q18</f>
        <v>0</v>
      </c>
      <c r="O18" s="138">
        <f t="shared" ref="O18:O38" si="12">C18+E18+G18+I18+K18+M18</f>
        <v>0</v>
      </c>
      <c r="P18" s="9"/>
      <c r="Q18" s="141"/>
      <c r="R18" s="137"/>
    </row>
    <row r="19" spans="1:21" ht="71.25" x14ac:dyDescent="0.2">
      <c r="A19" s="139"/>
      <c r="B19" s="181" t="s">
        <v>320</v>
      </c>
      <c r="C19" s="138">
        <f t="shared" si="0"/>
        <v>0</v>
      </c>
      <c r="D19" s="138">
        <f t="shared" si="1"/>
        <v>0</v>
      </c>
      <c r="E19" s="138">
        <f t="shared" si="2"/>
        <v>0</v>
      </c>
      <c r="F19" s="138">
        <f t="shared" si="3"/>
        <v>0</v>
      </c>
      <c r="G19" s="138">
        <f t="shared" si="4"/>
        <v>0</v>
      </c>
      <c r="H19" s="138">
        <f t="shared" si="5"/>
        <v>0</v>
      </c>
      <c r="I19" s="138">
        <f t="shared" si="6"/>
        <v>0</v>
      </c>
      <c r="J19" s="138">
        <f t="shared" si="7"/>
        <v>0</v>
      </c>
      <c r="K19" s="138">
        <f t="shared" si="8"/>
        <v>0</v>
      </c>
      <c r="L19" s="138">
        <f t="shared" si="9"/>
        <v>0</v>
      </c>
      <c r="M19" s="138">
        <f t="shared" si="10"/>
        <v>0</v>
      </c>
      <c r="N19" s="138">
        <f t="shared" si="11"/>
        <v>0</v>
      </c>
      <c r="O19" s="138">
        <f t="shared" si="12"/>
        <v>0</v>
      </c>
      <c r="P19" s="9"/>
      <c r="Q19" s="141"/>
      <c r="R19" s="137"/>
    </row>
    <row r="20" spans="1:21" x14ac:dyDescent="0.2">
      <c r="A20" s="139"/>
      <c r="B20" s="182"/>
      <c r="C20" s="138">
        <f t="shared" si="0"/>
        <v>0</v>
      </c>
      <c r="D20" s="138">
        <f t="shared" si="1"/>
        <v>0</v>
      </c>
      <c r="E20" s="138">
        <f t="shared" si="2"/>
        <v>0</v>
      </c>
      <c r="F20" s="138">
        <f t="shared" si="3"/>
        <v>0</v>
      </c>
      <c r="G20" s="138">
        <f t="shared" si="4"/>
        <v>0</v>
      </c>
      <c r="H20" s="138">
        <f t="shared" si="5"/>
        <v>0</v>
      </c>
      <c r="I20" s="138">
        <f t="shared" si="6"/>
        <v>0</v>
      </c>
      <c r="J20" s="138">
        <f t="shared" si="7"/>
        <v>0</v>
      </c>
      <c r="K20" s="138">
        <f t="shared" si="8"/>
        <v>0</v>
      </c>
      <c r="L20" s="138">
        <f t="shared" si="9"/>
        <v>0</v>
      </c>
      <c r="M20" s="138">
        <f t="shared" si="10"/>
        <v>0</v>
      </c>
      <c r="N20" s="138">
        <f t="shared" si="11"/>
        <v>0</v>
      </c>
      <c r="O20" s="138">
        <f t="shared" si="12"/>
        <v>0</v>
      </c>
      <c r="P20" s="154"/>
      <c r="Q20" s="141"/>
      <c r="R20" s="137"/>
    </row>
    <row r="21" spans="1:21" x14ac:dyDescent="0.2">
      <c r="A21" s="139" t="s">
        <v>67</v>
      </c>
      <c r="B21" s="182" t="s">
        <v>59</v>
      </c>
      <c r="C21" s="488">
        <f t="shared" si="0"/>
        <v>448</v>
      </c>
      <c r="D21" s="488">
        <f t="shared" si="1"/>
        <v>0</v>
      </c>
      <c r="E21" s="488">
        <f t="shared" si="2"/>
        <v>551</v>
      </c>
      <c r="F21" s="488">
        <f t="shared" si="3"/>
        <v>0</v>
      </c>
      <c r="G21" s="488">
        <f t="shared" si="4"/>
        <v>3274</v>
      </c>
      <c r="H21" s="488">
        <f t="shared" si="5"/>
        <v>0</v>
      </c>
      <c r="I21" s="488">
        <f t="shared" si="6"/>
        <v>758</v>
      </c>
      <c r="J21" s="488">
        <f t="shared" si="7"/>
        <v>0</v>
      </c>
      <c r="K21" s="488">
        <f t="shared" si="8"/>
        <v>2584</v>
      </c>
      <c r="L21" s="488">
        <f t="shared" si="9"/>
        <v>0</v>
      </c>
      <c r="M21" s="488">
        <f t="shared" si="10"/>
        <v>965</v>
      </c>
      <c r="N21" s="488">
        <f t="shared" si="11"/>
        <v>0</v>
      </c>
      <c r="O21" s="488">
        <f>C21+E21+G21+I21+K21+M21</f>
        <v>8580</v>
      </c>
      <c r="P21" s="9" t="s">
        <v>10</v>
      </c>
      <c r="Q21" s="141"/>
      <c r="R21" s="137">
        <f>O21*Q21</f>
        <v>0</v>
      </c>
      <c r="T21" s="485">
        <f>(10*(248-122)+14*(239-122))/24</f>
        <v>120.75</v>
      </c>
      <c r="U21" s="485">
        <f>(29*(202-102)+26*(209-102))/55</f>
        <v>103.30909090909091</v>
      </c>
    </row>
    <row r="22" spans="1:21" x14ac:dyDescent="0.2">
      <c r="A22" s="139"/>
      <c r="B22" s="182"/>
      <c r="C22" s="138">
        <f t="shared" si="0"/>
        <v>0</v>
      </c>
      <c r="D22" s="138">
        <f t="shared" si="1"/>
        <v>0</v>
      </c>
      <c r="E22" s="138">
        <f t="shared" si="2"/>
        <v>0</v>
      </c>
      <c r="F22" s="138">
        <f t="shared" si="3"/>
        <v>0</v>
      </c>
      <c r="G22" s="138">
        <f t="shared" si="4"/>
        <v>0</v>
      </c>
      <c r="H22" s="138">
        <f t="shared" si="5"/>
        <v>0</v>
      </c>
      <c r="I22" s="138">
        <f t="shared" si="6"/>
        <v>0</v>
      </c>
      <c r="J22" s="138">
        <f t="shared" si="7"/>
        <v>0</v>
      </c>
      <c r="K22" s="138">
        <f t="shared" si="8"/>
        <v>0</v>
      </c>
      <c r="L22" s="138">
        <f t="shared" si="9"/>
        <v>0</v>
      </c>
      <c r="M22" s="138">
        <f t="shared" si="10"/>
        <v>0</v>
      </c>
      <c r="N22" s="138">
        <f t="shared" si="11"/>
        <v>0</v>
      </c>
      <c r="O22" s="138">
        <f t="shared" si="12"/>
        <v>0</v>
      </c>
      <c r="P22" s="9"/>
      <c r="Q22" s="141"/>
      <c r="R22" s="137"/>
      <c r="T22" s="213"/>
      <c r="U22" s="213"/>
    </row>
    <row r="23" spans="1:21" x14ac:dyDescent="0.2">
      <c r="A23" s="139" t="s">
        <v>68</v>
      </c>
      <c r="B23" s="182" t="s">
        <v>60</v>
      </c>
      <c r="C23" s="217">
        <f t="shared" si="0"/>
        <v>576</v>
      </c>
      <c r="D23" s="217">
        <f t="shared" si="1"/>
        <v>0</v>
      </c>
      <c r="E23" s="217">
        <f t="shared" si="2"/>
        <v>711</v>
      </c>
      <c r="F23" s="217">
        <f t="shared" si="3"/>
        <v>0</v>
      </c>
      <c r="G23" s="217">
        <f t="shared" si="4"/>
        <v>4232</v>
      </c>
      <c r="H23" s="217">
        <f t="shared" si="5"/>
        <v>0</v>
      </c>
      <c r="I23" s="217">
        <f t="shared" si="6"/>
        <v>982</v>
      </c>
      <c r="J23" s="217">
        <f t="shared" si="7"/>
        <v>0</v>
      </c>
      <c r="K23" s="217">
        <f t="shared" si="8"/>
        <v>3351</v>
      </c>
      <c r="L23" s="217">
        <f t="shared" si="9"/>
        <v>0</v>
      </c>
      <c r="M23" s="217">
        <f t="shared" si="10"/>
        <v>1252</v>
      </c>
      <c r="N23" s="217">
        <f t="shared" si="11"/>
        <v>0</v>
      </c>
      <c r="O23" s="217">
        <f>C23+E23+G23+I23+K23+M23</f>
        <v>11104</v>
      </c>
      <c r="P23" s="9" t="s">
        <v>10</v>
      </c>
      <c r="Q23" s="141"/>
      <c r="R23" s="137">
        <f>O23*Q23</f>
        <v>0</v>
      </c>
      <c r="T23" s="213">
        <f>(10*131+14*168)/24</f>
        <v>152.58333333333334</v>
      </c>
      <c r="U23" s="213">
        <f>(29*141+26*129)/55</f>
        <v>135.32727272727271</v>
      </c>
    </row>
    <row r="24" spans="1:21" x14ac:dyDescent="0.2">
      <c r="A24" s="139"/>
      <c r="B24" s="112"/>
      <c r="C24" s="138">
        <f t="shared" si="0"/>
        <v>0</v>
      </c>
      <c r="D24" s="138">
        <f t="shared" si="1"/>
        <v>0</v>
      </c>
      <c r="E24" s="138">
        <f t="shared" si="2"/>
        <v>0</v>
      </c>
      <c r="F24" s="138">
        <f t="shared" si="3"/>
        <v>0</v>
      </c>
      <c r="G24" s="138">
        <f t="shared" si="4"/>
        <v>0</v>
      </c>
      <c r="H24" s="138">
        <f t="shared" si="5"/>
        <v>0</v>
      </c>
      <c r="I24" s="138">
        <f t="shared" si="6"/>
        <v>0</v>
      </c>
      <c r="J24" s="138">
        <f t="shared" si="7"/>
        <v>0</v>
      </c>
      <c r="K24" s="138">
        <f t="shared" si="8"/>
        <v>0</v>
      </c>
      <c r="L24" s="138">
        <f t="shared" si="9"/>
        <v>0</v>
      </c>
      <c r="M24" s="138">
        <f t="shared" si="10"/>
        <v>0</v>
      </c>
      <c r="N24" s="138">
        <f t="shared" si="11"/>
        <v>0</v>
      </c>
      <c r="O24" s="138">
        <f t="shared" si="12"/>
        <v>0</v>
      </c>
      <c r="P24" s="9"/>
      <c r="Q24" s="124"/>
      <c r="R24" s="137"/>
    </row>
    <row r="25" spans="1:21" x14ac:dyDescent="0.2">
      <c r="A25" s="139"/>
      <c r="B25" s="21" t="s">
        <v>61</v>
      </c>
      <c r="C25" s="138">
        <f t="shared" si="0"/>
        <v>0</v>
      </c>
      <c r="D25" s="138">
        <f t="shared" si="1"/>
        <v>0</v>
      </c>
      <c r="E25" s="138">
        <f t="shared" si="2"/>
        <v>0</v>
      </c>
      <c r="F25" s="138">
        <f t="shared" si="3"/>
        <v>0</v>
      </c>
      <c r="G25" s="138">
        <f t="shared" si="4"/>
        <v>0</v>
      </c>
      <c r="H25" s="138">
        <f t="shared" si="5"/>
        <v>0</v>
      </c>
      <c r="I25" s="138">
        <f t="shared" si="6"/>
        <v>0</v>
      </c>
      <c r="J25" s="138">
        <f t="shared" si="7"/>
        <v>0</v>
      </c>
      <c r="K25" s="138">
        <f t="shared" si="8"/>
        <v>0</v>
      </c>
      <c r="L25" s="138">
        <f t="shared" si="9"/>
        <v>0</v>
      </c>
      <c r="M25" s="138">
        <f t="shared" si="10"/>
        <v>0</v>
      </c>
      <c r="N25" s="138">
        <f t="shared" si="11"/>
        <v>0</v>
      </c>
      <c r="O25" s="138">
        <f t="shared" si="12"/>
        <v>0</v>
      </c>
      <c r="P25" s="9"/>
      <c r="Q25" s="141"/>
      <c r="R25" s="137"/>
    </row>
    <row r="26" spans="1:21" x14ac:dyDescent="0.2">
      <c r="A26" s="139"/>
      <c r="B26" s="13"/>
      <c r="C26" s="138">
        <f t="shared" si="0"/>
        <v>0</v>
      </c>
      <c r="D26" s="138">
        <f t="shared" si="1"/>
        <v>0</v>
      </c>
      <c r="E26" s="138">
        <f t="shared" si="2"/>
        <v>0</v>
      </c>
      <c r="F26" s="138">
        <f t="shared" si="3"/>
        <v>0</v>
      </c>
      <c r="G26" s="138">
        <f t="shared" si="4"/>
        <v>0</v>
      </c>
      <c r="H26" s="138">
        <f t="shared" si="5"/>
        <v>0</v>
      </c>
      <c r="I26" s="138">
        <f t="shared" si="6"/>
        <v>0</v>
      </c>
      <c r="J26" s="138">
        <f t="shared" si="7"/>
        <v>0</v>
      </c>
      <c r="K26" s="138">
        <f t="shared" si="8"/>
        <v>0</v>
      </c>
      <c r="L26" s="138">
        <f t="shared" si="9"/>
        <v>0</v>
      </c>
      <c r="M26" s="138">
        <f t="shared" si="10"/>
        <v>0</v>
      </c>
      <c r="N26" s="138">
        <f t="shared" si="11"/>
        <v>0</v>
      </c>
      <c r="O26" s="138">
        <f t="shared" si="12"/>
        <v>0</v>
      </c>
      <c r="P26" s="154"/>
      <c r="Q26" s="141"/>
      <c r="R26" s="137"/>
    </row>
    <row r="27" spans="1:21" ht="44.25" customHeight="1" x14ac:dyDescent="0.2">
      <c r="A27" s="139"/>
      <c r="B27" s="111" t="s">
        <v>321</v>
      </c>
      <c r="C27" s="138">
        <f t="shared" si="0"/>
        <v>0</v>
      </c>
      <c r="D27" s="138">
        <f t="shared" si="1"/>
        <v>0</v>
      </c>
      <c r="E27" s="138">
        <f t="shared" si="2"/>
        <v>0</v>
      </c>
      <c r="F27" s="138">
        <f t="shared" si="3"/>
        <v>0</v>
      </c>
      <c r="G27" s="138">
        <f t="shared" si="4"/>
        <v>0</v>
      </c>
      <c r="H27" s="138">
        <f t="shared" si="5"/>
        <v>0</v>
      </c>
      <c r="I27" s="138">
        <f t="shared" si="6"/>
        <v>0</v>
      </c>
      <c r="J27" s="138">
        <f t="shared" si="7"/>
        <v>0</v>
      </c>
      <c r="K27" s="138">
        <f t="shared" si="8"/>
        <v>0</v>
      </c>
      <c r="L27" s="138">
        <f t="shared" si="9"/>
        <v>0</v>
      </c>
      <c r="M27" s="138">
        <f t="shared" si="10"/>
        <v>0</v>
      </c>
      <c r="N27" s="138">
        <f t="shared" si="11"/>
        <v>0</v>
      </c>
      <c r="O27" s="138">
        <f t="shared" si="12"/>
        <v>0</v>
      </c>
      <c r="P27" s="154"/>
      <c r="Q27" s="141"/>
      <c r="R27" s="137"/>
    </row>
    <row r="28" spans="1:21" x14ac:dyDescent="0.2">
      <c r="A28" s="139"/>
      <c r="B28" s="13"/>
      <c r="C28" s="138">
        <f t="shared" si="0"/>
        <v>0</v>
      </c>
      <c r="D28" s="138">
        <f t="shared" si="1"/>
        <v>0</v>
      </c>
      <c r="E28" s="138">
        <f t="shared" si="2"/>
        <v>0</v>
      </c>
      <c r="F28" s="138">
        <f t="shared" si="3"/>
        <v>0</v>
      </c>
      <c r="G28" s="138">
        <f t="shared" si="4"/>
        <v>0</v>
      </c>
      <c r="H28" s="138">
        <f t="shared" si="5"/>
        <v>0</v>
      </c>
      <c r="I28" s="138">
        <f t="shared" si="6"/>
        <v>0</v>
      </c>
      <c r="J28" s="138">
        <f t="shared" si="7"/>
        <v>0</v>
      </c>
      <c r="K28" s="138">
        <f t="shared" si="8"/>
        <v>0</v>
      </c>
      <c r="L28" s="138">
        <f t="shared" si="9"/>
        <v>0</v>
      </c>
      <c r="M28" s="138">
        <f t="shared" si="10"/>
        <v>0</v>
      </c>
      <c r="N28" s="138">
        <f t="shared" si="11"/>
        <v>0</v>
      </c>
      <c r="O28" s="138">
        <f t="shared" si="12"/>
        <v>0</v>
      </c>
      <c r="P28" s="154"/>
      <c r="Q28" s="141"/>
      <c r="R28" s="137"/>
    </row>
    <row r="29" spans="1:21" x14ac:dyDescent="0.2">
      <c r="A29" s="150" t="s">
        <v>69</v>
      </c>
      <c r="B29" s="112" t="s">
        <v>59</v>
      </c>
      <c r="C29" s="138">
        <f t="shared" si="0"/>
        <v>164</v>
      </c>
      <c r="D29" s="138">
        <f t="shared" si="1"/>
        <v>0</v>
      </c>
      <c r="E29" s="138">
        <f t="shared" si="2"/>
        <v>205</v>
      </c>
      <c r="F29" s="138">
        <f t="shared" si="3"/>
        <v>0</v>
      </c>
      <c r="G29" s="138">
        <f t="shared" si="4"/>
        <v>1230</v>
      </c>
      <c r="H29" s="138">
        <f t="shared" si="5"/>
        <v>0</v>
      </c>
      <c r="I29" s="138">
        <f t="shared" si="6"/>
        <v>287</v>
      </c>
      <c r="J29" s="138">
        <f t="shared" si="7"/>
        <v>0</v>
      </c>
      <c r="K29" s="138">
        <f t="shared" si="8"/>
        <v>984</v>
      </c>
      <c r="L29" s="138">
        <f t="shared" si="9"/>
        <v>0</v>
      </c>
      <c r="M29" s="138">
        <f t="shared" si="10"/>
        <v>369</v>
      </c>
      <c r="N29" s="138">
        <f t="shared" si="11"/>
        <v>0</v>
      </c>
      <c r="O29" s="138">
        <f>C29+E29+G29+I29+K29+M29</f>
        <v>3239</v>
      </c>
      <c r="P29" s="9" t="s">
        <v>10</v>
      </c>
      <c r="Q29" s="141"/>
      <c r="R29" s="137">
        <f>O29*Q29</f>
        <v>0</v>
      </c>
      <c r="T29" s="119">
        <v>41</v>
      </c>
      <c r="U29" s="119">
        <v>41</v>
      </c>
    </row>
    <row r="30" spans="1:21" x14ac:dyDescent="0.2">
      <c r="A30" s="150"/>
      <c r="B30" s="112"/>
      <c r="C30" s="138">
        <f t="shared" si="0"/>
        <v>0</v>
      </c>
      <c r="D30" s="138">
        <f t="shared" si="1"/>
        <v>0</v>
      </c>
      <c r="E30" s="138">
        <f t="shared" si="2"/>
        <v>0</v>
      </c>
      <c r="F30" s="138">
        <f t="shared" si="3"/>
        <v>0</v>
      </c>
      <c r="G30" s="138">
        <f t="shared" si="4"/>
        <v>0</v>
      </c>
      <c r="H30" s="138">
        <f t="shared" si="5"/>
        <v>0</v>
      </c>
      <c r="I30" s="138">
        <f t="shared" si="6"/>
        <v>0</v>
      </c>
      <c r="J30" s="138">
        <f t="shared" si="7"/>
        <v>0</v>
      </c>
      <c r="K30" s="138">
        <f t="shared" si="8"/>
        <v>0</v>
      </c>
      <c r="L30" s="138">
        <f t="shared" si="9"/>
        <v>0</v>
      </c>
      <c r="M30" s="138">
        <f t="shared" si="10"/>
        <v>0</v>
      </c>
      <c r="N30" s="138">
        <f t="shared" si="11"/>
        <v>0</v>
      </c>
      <c r="O30" s="138">
        <f t="shared" si="12"/>
        <v>0</v>
      </c>
      <c r="P30" s="9"/>
      <c r="Q30" s="141"/>
      <c r="R30" s="137"/>
    </row>
    <row r="31" spans="1:21" x14ac:dyDescent="0.2">
      <c r="A31" s="150" t="s">
        <v>70</v>
      </c>
      <c r="B31" s="112" t="s">
        <v>323</v>
      </c>
      <c r="C31" s="217">
        <f t="shared" si="0"/>
        <v>176</v>
      </c>
      <c r="D31" s="217">
        <f t="shared" si="1"/>
        <v>0</v>
      </c>
      <c r="E31" s="217">
        <f t="shared" si="2"/>
        <v>220</v>
      </c>
      <c r="F31" s="217">
        <f t="shared" si="3"/>
        <v>0</v>
      </c>
      <c r="G31" s="217">
        <f t="shared" si="4"/>
        <v>1320</v>
      </c>
      <c r="H31" s="217">
        <f t="shared" si="5"/>
        <v>0</v>
      </c>
      <c r="I31" s="217">
        <f t="shared" si="6"/>
        <v>308</v>
      </c>
      <c r="J31" s="217">
        <f t="shared" si="7"/>
        <v>0</v>
      </c>
      <c r="K31" s="217">
        <f t="shared" si="8"/>
        <v>1056</v>
      </c>
      <c r="L31" s="217">
        <f t="shared" si="9"/>
        <v>0</v>
      </c>
      <c r="M31" s="217">
        <f t="shared" si="10"/>
        <v>396</v>
      </c>
      <c r="N31" s="217">
        <f t="shared" si="11"/>
        <v>0</v>
      </c>
      <c r="O31" s="217">
        <f>C31+E31+G31+I31+K31+M31</f>
        <v>3476</v>
      </c>
      <c r="P31" s="9" t="s">
        <v>10</v>
      </c>
      <c r="Q31" s="141"/>
      <c r="R31" s="137">
        <f>O31*Q31</f>
        <v>0</v>
      </c>
      <c r="S31" s="140" t="s">
        <v>322</v>
      </c>
      <c r="T31" s="239">
        <v>44</v>
      </c>
      <c r="U31" s="239">
        <v>44</v>
      </c>
    </row>
    <row r="32" spans="1:21" x14ac:dyDescent="0.2">
      <c r="A32" s="150"/>
      <c r="B32" s="112"/>
      <c r="C32" s="138">
        <f t="shared" si="0"/>
        <v>0</v>
      </c>
      <c r="D32" s="138">
        <f t="shared" si="1"/>
        <v>0</v>
      </c>
      <c r="E32" s="138">
        <f t="shared" si="2"/>
        <v>0</v>
      </c>
      <c r="F32" s="138">
        <f t="shared" si="3"/>
        <v>0</v>
      </c>
      <c r="G32" s="138">
        <f t="shared" si="4"/>
        <v>0</v>
      </c>
      <c r="H32" s="138">
        <f t="shared" si="5"/>
        <v>0</v>
      </c>
      <c r="I32" s="138">
        <f t="shared" si="6"/>
        <v>0</v>
      </c>
      <c r="J32" s="138">
        <f t="shared" si="7"/>
        <v>0</v>
      </c>
      <c r="K32" s="138">
        <f t="shared" si="8"/>
        <v>0</v>
      </c>
      <c r="L32" s="138">
        <f t="shared" si="9"/>
        <v>0</v>
      </c>
      <c r="M32" s="138">
        <f t="shared" si="10"/>
        <v>0</v>
      </c>
      <c r="N32" s="138">
        <f t="shared" si="11"/>
        <v>0</v>
      </c>
      <c r="O32" s="138">
        <f t="shared" si="12"/>
        <v>0</v>
      </c>
      <c r="P32" s="9"/>
      <c r="Q32" s="141"/>
      <c r="R32" s="137"/>
    </row>
    <row r="33" spans="1:21" x14ac:dyDescent="0.2">
      <c r="A33" s="150" t="s">
        <v>71</v>
      </c>
      <c r="B33" s="450" t="s">
        <v>897</v>
      </c>
      <c r="C33" s="138">
        <f t="shared" si="0"/>
        <v>182</v>
      </c>
      <c r="D33" s="138">
        <f t="shared" si="1"/>
        <v>0</v>
      </c>
      <c r="E33" s="138">
        <f t="shared" si="2"/>
        <v>229</v>
      </c>
      <c r="F33" s="138">
        <f t="shared" si="3"/>
        <v>0</v>
      </c>
      <c r="G33" s="138">
        <f t="shared" si="4"/>
        <v>1380</v>
      </c>
      <c r="H33" s="138">
        <f t="shared" si="5"/>
        <v>0</v>
      </c>
      <c r="I33" s="138">
        <f t="shared" si="6"/>
        <v>323</v>
      </c>
      <c r="J33" s="138">
        <f t="shared" si="7"/>
        <v>0</v>
      </c>
      <c r="K33" s="138">
        <f t="shared" si="8"/>
        <v>1110</v>
      </c>
      <c r="L33" s="138">
        <f t="shared" si="9"/>
        <v>0</v>
      </c>
      <c r="M33" s="138">
        <f t="shared" si="10"/>
        <v>417</v>
      </c>
      <c r="N33" s="138">
        <f t="shared" si="11"/>
        <v>0</v>
      </c>
      <c r="O33" s="138">
        <f>C33+E33+G33+I33+K33+M33</f>
        <v>3641</v>
      </c>
      <c r="P33" s="9" t="s">
        <v>12</v>
      </c>
      <c r="Q33" s="141"/>
      <c r="R33" s="137">
        <f>O33*Q33</f>
        <v>0</v>
      </c>
      <c r="T33" s="119">
        <v>44</v>
      </c>
      <c r="U33" s="119">
        <v>47</v>
      </c>
    </row>
    <row r="34" spans="1:21" x14ac:dyDescent="0.2">
      <c r="A34" s="150"/>
      <c r="B34" s="112"/>
      <c r="C34" s="138"/>
      <c r="D34" s="138"/>
      <c r="E34" s="138"/>
      <c r="F34" s="138"/>
      <c r="G34" s="138"/>
      <c r="H34" s="138"/>
      <c r="I34" s="138"/>
      <c r="J34" s="138"/>
      <c r="K34" s="138"/>
      <c r="L34" s="138"/>
      <c r="M34" s="138"/>
      <c r="N34" s="138"/>
      <c r="O34" s="138"/>
      <c r="P34" s="9"/>
      <c r="Q34" s="124"/>
      <c r="R34" s="137"/>
    </row>
    <row r="35" spans="1:21" x14ac:dyDescent="0.2">
      <c r="A35" s="150"/>
      <c r="B35" s="112"/>
      <c r="C35" s="138"/>
      <c r="D35" s="138"/>
      <c r="E35" s="138"/>
      <c r="F35" s="138"/>
      <c r="G35" s="138"/>
      <c r="H35" s="138"/>
      <c r="I35" s="138"/>
      <c r="J35" s="138"/>
      <c r="K35" s="138"/>
      <c r="L35" s="138"/>
      <c r="M35" s="138"/>
      <c r="N35" s="138"/>
      <c r="O35" s="138"/>
      <c r="P35" s="9"/>
      <c r="Q35" s="124"/>
      <c r="R35" s="137"/>
    </row>
    <row r="36" spans="1:21" x14ac:dyDescent="0.2">
      <c r="A36" s="150"/>
      <c r="B36" s="112"/>
      <c r="C36" s="138"/>
      <c r="D36" s="138"/>
      <c r="E36" s="138"/>
      <c r="F36" s="138"/>
      <c r="G36" s="138"/>
      <c r="H36" s="138"/>
      <c r="I36" s="138"/>
      <c r="J36" s="138"/>
      <c r="K36" s="138"/>
      <c r="L36" s="138"/>
      <c r="M36" s="138"/>
      <c r="N36" s="138"/>
      <c r="O36" s="138"/>
      <c r="P36" s="9"/>
      <c r="Q36" s="124"/>
      <c r="R36" s="137"/>
    </row>
    <row r="37" spans="1:21" x14ac:dyDescent="0.2">
      <c r="A37" s="150"/>
      <c r="B37" s="112"/>
      <c r="C37" s="138"/>
      <c r="D37" s="138"/>
      <c r="E37" s="138"/>
      <c r="F37" s="138"/>
      <c r="G37" s="138"/>
      <c r="H37" s="138"/>
      <c r="I37" s="138"/>
      <c r="J37" s="138"/>
      <c r="K37" s="138"/>
      <c r="L37" s="138"/>
      <c r="M37" s="138"/>
      <c r="N37" s="138"/>
      <c r="O37" s="138"/>
      <c r="P37" s="9"/>
      <c r="Q37" s="124"/>
      <c r="R37" s="137"/>
    </row>
    <row r="38" spans="1:21" x14ac:dyDescent="0.2">
      <c r="A38" s="139"/>
      <c r="B38" s="136"/>
      <c r="C38" s="138">
        <f t="shared" si="0"/>
        <v>0</v>
      </c>
      <c r="D38" s="138">
        <f t="shared" si="1"/>
        <v>0</v>
      </c>
      <c r="E38" s="138">
        <f t="shared" si="2"/>
        <v>0</v>
      </c>
      <c r="F38" s="138">
        <f t="shared" si="3"/>
        <v>0</v>
      </c>
      <c r="G38" s="138">
        <f t="shared" si="4"/>
        <v>0</v>
      </c>
      <c r="H38" s="138">
        <f t="shared" si="5"/>
        <v>0</v>
      </c>
      <c r="I38" s="138">
        <f t="shared" si="6"/>
        <v>0</v>
      </c>
      <c r="J38" s="138">
        <f t="shared" si="7"/>
        <v>0</v>
      </c>
      <c r="K38" s="138">
        <f t="shared" si="8"/>
        <v>0</v>
      </c>
      <c r="L38" s="138">
        <f t="shared" si="9"/>
        <v>0</v>
      </c>
      <c r="M38" s="138">
        <f t="shared" si="10"/>
        <v>0</v>
      </c>
      <c r="N38" s="138">
        <f t="shared" si="11"/>
        <v>0</v>
      </c>
      <c r="O38" s="138">
        <f t="shared" si="12"/>
        <v>0</v>
      </c>
      <c r="P38" s="9"/>
      <c r="Q38" s="124"/>
      <c r="R38" s="137"/>
    </row>
    <row r="39" spans="1:21" x14ac:dyDescent="0.2">
      <c r="A39" s="139"/>
      <c r="B39" s="136"/>
      <c r="C39" s="138"/>
      <c r="D39" s="138"/>
      <c r="E39" s="138"/>
      <c r="F39" s="138"/>
      <c r="G39" s="138"/>
      <c r="H39" s="138"/>
      <c r="I39" s="138"/>
      <c r="J39" s="138"/>
      <c r="K39" s="138"/>
      <c r="L39" s="138"/>
      <c r="M39" s="138"/>
      <c r="N39" s="138"/>
      <c r="O39" s="138"/>
      <c r="P39" s="9"/>
      <c r="Q39" s="124"/>
      <c r="R39" s="137"/>
    </row>
    <row r="40" spans="1:21" x14ac:dyDescent="0.2">
      <c r="A40" s="139"/>
      <c r="B40" s="136"/>
      <c r="C40" s="138"/>
      <c r="D40" s="138"/>
      <c r="E40" s="138"/>
      <c r="F40" s="138"/>
      <c r="G40" s="138"/>
      <c r="H40" s="138"/>
      <c r="I40" s="138"/>
      <c r="J40" s="138"/>
      <c r="K40" s="138"/>
      <c r="L40" s="138"/>
      <c r="M40" s="138"/>
      <c r="N40" s="138"/>
      <c r="O40" s="138"/>
      <c r="P40" s="9"/>
      <c r="Q40" s="124"/>
      <c r="R40" s="137"/>
    </row>
    <row r="41" spans="1:21" x14ac:dyDescent="0.2">
      <c r="A41" s="139"/>
      <c r="B41" s="136"/>
      <c r="C41" s="138"/>
      <c r="D41" s="138"/>
      <c r="E41" s="138"/>
      <c r="F41" s="138"/>
      <c r="G41" s="138"/>
      <c r="H41" s="138"/>
      <c r="I41" s="138"/>
      <c r="J41" s="138"/>
      <c r="K41" s="138"/>
      <c r="L41" s="138"/>
      <c r="M41" s="138"/>
      <c r="N41" s="138"/>
      <c r="O41" s="138"/>
      <c r="P41" s="9"/>
      <c r="Q41" s="124"/>
      <c r="R41" s="137"/>
    </row>
    <row r="42" spans="1:21" x14ac:dyDescent="0.2">
      <c r="A42" s="87"/>
      <c r="B42" s="183"/>
      <c r="C42" s="138"/>
      <c r="D42" s="138"/>
      <c r="E42" s="138"/>
      <c r="F42" s="138"/>
      <c r="G42" s="138"/>
      <c r="H42" s="138"/>
      <c r="I42" s="138"/>
      <c r="J42" s="138"/>
      <c r="K42" s="138"/>
      <c r="L42" s="138"/>
      <c r="M42" s="138"/>
      <c r="N42" s="138"/>
      <c r="O42" s="138"/>
      <c r="P42" s="154"/>
      <c r="Q42" s="124"/>
      <c r="R42" s="137"/>
    </row>
    <row r="43" spans="1:21" x14ac:dyDescent="0.2">
      <c r="A43" s="129"/>
      <c r="B43" s="130"/>
      <c r="C43" s="131"/>
      <c r="D43" s="131"/>
      <c r="E43" s="131"/>
      <c r="F43" s="131"/>
      <c r="G43" s="131"/>
      <c r="H43" s="131"/>
      <c r="I43" s="131"/>
      <c r="J43" s="131"/>
      <c r="K43" s="131"/>
      <c r="L43" s="131"/>
      <c r="M43" s="131"/>
      <c r="N43" s="131"/>
      <c r="O43" s="131"/>
      <c r="P43" s="131"/>
      <c r="Q43" s="132"/>
      <c r="R43" s="126"/>
      <c r="T43" s="84"/>
      <c r="U43" s="84"/>
    </row>
    <row r="44" spans="1:21" x14ac:dyDescent="0.2">
      <c r="C44" s="122"/>
      <c r="D44" s="122"/>
      <c r="E44" s="122"/>
      <c r="F44" s="122"/>
      <c r="G44" s="122"/>
      <c r="H44" s="122"/>
      <c r="I44" s="122"/>
      <c r="J44" s="122"/>
      <c r="K44" s="122"/>
      <c r="L44" s="122"/>
      <c r="M44" s="122"/>
      <c r="N44" s="122"/>
      <c r="O44" s="122"/>
      <c r="P44" s="171" t="s">
        <v>1</v>
      </c>
      <c r="Q44" s="133" t="s">
        <v>0</v>
      </c>
      <c r="R44" s="137">
        <f>SUM(R4:R42)</f>
        <v>0</v>
      </c>
    </row>
    <row r="45" spans="1:21" x14ac:dyDescent="0.2">
      <c r="P45" s="188"/>
      <c r="Q45" s="124"/>
      <c r="R45" s="125"/>
    </row>
    <row r="46" spans="1:21" x14ac:dyDescent="0.2">
      <c r="A46" s="139"/>
      <c r="B46" s="112"/>
      <c r="C46" s="138">
        <f t="shared" ref="C46:C85" si="13">ROUND((2*$T46+2*$U46)*C$3,0)</f>
        <v>0</v>
      </c>
      <c r="D46" s="138">
        <f t="shared" ref="D46:D85" si="14">C46*$Q46</f>
        <v>0</v>
      </c>
      <c r="E46" s="138">
        <f t="shared" ref="E46:E85" si="15">ROUND((2*$T46+3*$U46)*E$3,0)</f>
        <v>0</v>
      </c>
      <c r="F46" s="138">
        <f t="shared" ref="F46:F85" si="16">E46*$Q46</f>
        <v>0</v>
      </c>
      <c r="G46" s="138">
        <f t="shared" ref="G46:G85" si="17">ROUND((2*$T46+4*$U46)*G$3,0)</f>
        <v>0</v>
      </c>
      <c r="H46" s="138">
        <f t="shared" ref="H46:H85" si="18">G46*$Q46</f>
        <v>0</v>
      </c>
      <c r="I46" s="138">
        <f t="shared" ref="I46:I85" si="19">ROUND((2*$T46+5*$U46)*I$3,0)</f>
        <v>0</v>
      </c>
      <c r="J46" s="138">
        <f t="shared" ref="J46:J85" si="20">I46*$Q46</f>
        <v>0</v>
      </c>
      <c r="K46" s="138">
        <f t="shared" ref="K46:K85" si="21">ROUND((2*$T46+6*$U46)*K$3,0)</f>
        <v>0</v>
      </c>
      <c r="L46" s="138">
        <f t="shared" ref="L46:L85" si="22">K46*$Q46</f>
        <v>0</v>
      </c>
      <c r="M46" s="138">
        <f t="shared" ref="M46:M85" si="23">ROUND((2*$T46+7*$U46)*M$3,0)</f>
        <v>0</v>
      </c>
      <c r="N46" s="138">
        <f t="shared" ref="N46:N85" si="24">M46*$Q46</f>
        <v>0</v>
      </c>
      <c r="O46" s="138">
        <f t="shared" ref="O46:O85" si="25">C46+E46+G46+I46+K46+M46</f>
        <v>0</v>
      </c>
      <c r="P46" s="9"/>
      <c r="Q46" s="124"/>
      <c r="R46" s="137"/>
    </row>
    <row r="47" spans="1:21" x14ac:dyDescent="0.2">
      <c r="A47" s="139"/>
      <c r="B47" s="114" t="s">
        <v>62</v>
      </c>
      <c r="C47" s="138">
        <f t="shared" si="13"/>
        <v>0</v>
      </c>
      <c r="D47" s="138">
        <f t="shared" si="14"/>
        <v>0</v>
      </c>
      <c r="E47" s="138">
        <f t="shared" si="15"/>
        <v>0</v>
      </c>
      <c r="F47" s="138">
        <f t="shared" si="16"/>
        <v>0</v>
      </c>
      <c r="G47" s="138">
        <f t="shared" si="17"/>
        <v>0</v>
      </c>
      <c r="H47" s="138">
        <f t="shared" si="18"/>
        <v>0</v>
      </c>
      <c r="I47" s="138">
        <f t="shared" si="19"/>
        <v>0</v>
      </c>
      <c r="J47" s="138">
        <f t="shared" si="20"/>
        <v>0</v>
      </c>
      <c r="K47" s="138">
        <f t="shared" si="21"/>
        <v>0</v>
      </c>
      <c r="L47" s="138">
        <f t="shared" si="22"/>
        <v>0</v>
      </c>
      <c r="M47" s="138">
        <f t="shared" si="23"/>
        <v>0</v>
      </c>
      <c r="N47" s="138">
        <f t="shared" si="24"/>
        <v>0</v>
      </c>
      <c r="O47" s="138">
        <f t="shared" si="25"/>
        <v>0</v>
      </c>
      <c r="P47" s="154"/>
      <c r="Q47" s="141"/>
      <c r="R47" s="137"/>
    </row>
    <row r="48" spans="1:21" x14ac:dyDescent="0.2">
      <c r="A48" s="139"/>
      <c r="B48" s="136"/>
      <c r="C48" s="138">
        <f t="shared" si="13"/>
        <v>0</v>
      </c>
      <c r="D48" s="138">
        <f t="shared" si="14"/>
        <v>0</v>
      </c>
      <c r="E48" s="138">
        <f t="shared" si="15"/>
        <v>0</v>
      </c>
      <c r="F48" s="138">
        <f t="shared" si="16"/>
        <v>0</v>
      </c>
      <c r="G48" s="138">
        <f t="shared" si="17"/>
        <v>0</v>
      </c>
      <c r="H48" s="138">
        <f t="shared" si="18"/>
        <v>0</v>
      </c>
      <c r="I48" s="138">
        <f t="shared" si="19"/>
        <v>0</v>
      </c>
      <c r="J48" s="138">
        <f t="shared" si="20"/>
        <v>0</v>
      </c>
      <c r="K48" s="138">
        <f t="shared" si="21"/>
        <v>0</v>
      </c>
      <c r="L48" s="138">
        <f t="shared" si="22"/>
        <v>0</v>
      </c>
      <c r="M48" s="138">
        <f t="shared" si="23"/>
        <v>0</v>
      </c>
      <c r="N48" s="138">
        <f t="shared" si="24"/>
        <v>0</v>
      </c>
      <c r="O48" s="138">
        <f t="shared" si="25"/>
        <v>0</v>
      </c>
      <c r="P48" s="154"/>
      <c r="Q48" s="141"/>
      <c r="R48" s="137"/>
    </row>
    <row r="49" spans="1:21" ht="28.5" x14ac:dyDescent="0.2">
      <c r="A49" s="139"/>
      <c r="B49" s="82" t="s">
        <v>419</v>
      </c>
      <c r="C49" s="138">
        <f t="shared" si="13"/>
        <v>0</v>
      </c>
      <c r="D49" s="138">
        <f t="shared" si="14"/>
        <v>0</v>
      </c>
      <c r="E49" s="138">
        <f t="shared" si="15"/>
        <v>0</v>
      </c>
      <c r="F49" s="138">
        <f t="shared" si="16"/>
        <v>0</v>
      </c>
      <c r="G49" s="138">
        <f t="shared" si="17"/>
        <v>0</v>
      </c>
      <c r="H49" s="138">
        <f t="shared" si="18"/>
        <v>0</v>
      </c>
      <c r="I49" s="138">
        <f t="shared" si="19"/>
        <v>0</v>
      </c>
      <c r="J49" s="138">
        <f t="shared" si="20"/>
        <v>0</v>
      </c>
      <c r="K49" s="138">
        <f t="shared" si="21"/>
        <v>0</v>
      </c>
      <c r="L49" s="138">
        <f t="shared" si="22"/>
        <v>0</v>
      </c>
      <c r="M49" s="138">
        <f t="shared" si="23"/>
        <v>0</v>
      </c>
      <c r="N49" s="138">
        <f t="shared" si="24"/>
        <v>0</v>
      </c>
      <c r="O49" s="138">
        <f t="shared" si="25"/>
        <v>0</v>
      </c>
      <c r="P49" s="154"/>
      <c r="Q49" s="141"/>
      <c r="R49" s="137"/>
    </row>
    <row r="50" spans="1:21" x14ac:dyDescent="0.2">
      <c r="A50" s="139"/>
      <c r="B50" s="115"/>
      <c r="C50" s="138">
        <f t="shared" si="13"/>
        <v>0</v>
      </c>
      <c r="D50" s="138">
        <f t="shared" si="14"/>
        <v>0</v>
      </c>
      <c r="E50" s="138">
        <f t="shared" si="15"/>
        <v>0</v>
      </c>
      <c r="F50" s="138">
        <f t="shared" si="16"/>
        <v>0</v>
      </c>
      <c r="G50" s="138">
        <f t="shared" si="17"/>
        <v>0</v>
      </c>
      <c r="H50" s="138">
        <f t="shared" si="18"/>
        <v>0</v>
      </c>
      <c r="I50" s="138">
        <f t="shared" si="19"/>
        <v>0</v>
      </c>
      <c r="J50" s="138">
        <f t="shared" si="20"/>
        <v>0</v>
      </c>
      <c r="K50" s="138">
        <f t="shared" si="21"/>
        <v>0</v>
      </c>
      <c r="L50" s="138">
        <f t="shared" si="22"/>
        <v>0</v>
      </c>
      <c r="M50" s="138">
        <f t="shared" si="23"/>
        <v>0</v>
      </c>
      <c r="N50" s="138">
        <f t="shared" si="24"/>
        <v>0</v>
      </c>
      <c r="O50" s="138">
        <f t="shared" si="25"/>
        <v>0</v>
      </c>
      <c r="P50" s="154"/>
      <c r="Q50" s="141"/>
      <c r="R50" s="137"/>
    </row>
    <row r="51" spans="1:21" x14ac:dyDescent="0.2">
      <c r="A51" s="139" t="s">
        <v>66</v>
      </c>
      <c r="B51" s="112" t="s">
        <v>324</v>
      </c>
      <c r="C51" s="138">
        <f t="shared" si="13"/>
        <v>218</v>
      </c>
      <c r="D51" s="138">
        <f t="shared" si="14"/>
        <v>0</v>
      </c>
      <c r="E51" s="138">
        <f t="shared" si="15"/>
        <v>277</v>
      </c>
      <c r="F51" s="138">
        <f t="shared" si="16"/>
        <v>0</v>
      </c>
      <c r="G51" s="138">
        <f t="shared" si="17"/>
        <v>1680</v>
      </c>
      <c r="H51" s="138">
        <f t="shared" si="18"/>
        <v>0</v>
      </c>
      <c r="I51" s="138">
        <f t="shared" si="19"/>
        <v>395</v>
      </c>
      <c r="J51" s="138">
        <f t="shared" si="20"/>
        <v>0</v>
      </c>
      <c r="K51" s="138">
        <f t="shared" si="21"/>
        <v>1362</v>
      </c>
      <c r="L51" s="138">
        <f t="shared" si="22"/>
        <v>0</v>
      </c>
      <c r="M51" s="138">
        <f t="shared" si="23"/>
        <v>513</v>
      </c>
      <c r="N51" s="138">
        <f t="shared" si="24"/>
        <v>0</v>
      </c>
      <c r="O51" s="138">
        <f>C51+E51+G51+I51+K51+M51</f>
        <v>4445</v>
      </c>
      <c r="P51" s="9" t="s">
        <v>10</v>
      </c>
      <c r="Q51" s="141"/>
      <c r="R51" s="137">
        <f>O51*Q51</f>
        <v>0</v>
      </c>
      <c r="T51" s="119">
        <v>50</v>
      </c>
      <c r="U51" s="119">
        <v>59</v>
      </c>
    </row>
    <row r="52" spans="1:21" x14ac:dyDescent="0.2">
      <c r="A52" s="139"/>
      <c r="B52" s="115"/>
      <c r="C52" s="138">
        <f t="shared" si="13"/>
        <v>0</v>
      </c>
      <c r="D52" s="138">
        <f t="shared" si="14"/>
        <v>0</v>
      </c>
      <c r="E52" s="138">
        <f t="shared" si="15"/>
        <v>0</v>
      </c>
      <c r="F52" s="138">
        <f t="shared" si="16"/>
        <v>0</v>
      </c>
      <c r="G52" s="138">
        <f t="shared" si="17"/>
        <v>0</v>
      </c>
      <c r="H52" s="138">
        <f t="shared" si="18"/>
        <v>0</v>
      </c>
      <c r="I52" s="138">
        <f t="shared" si="19"/>
        <v>0</v>
      </c>
      <c r="J52" s="138">
        <f t="shared" si="20"/>
        <v>0</v>
      </c>
      <c r="K52" s="138">
        <f t="shared" si="21"/>
        <v>0</v>
      </c>
      <c r="L52" s="138">
        <f t="shared" si="22"/>
        <v>0</v>
      </c>
      <c r="M52" s="138">
        <f t="shared" si="23"/>
        <v>0</v>
      </c>
      <c r="N52" s="138">
        <f t="shared" si="24"/>
        <v>0</v>
      </c>
      <c r="O52" s="138">
        <f t="shared" si="25"/>
        <v>0</v>
      </c>
      <c r="P52" s="154"/>
      <c r="Q52" s="141"/>
      <c r="R52" s="137"/>
    </row>
    <row r="53" spans="1:21" x14ac:dyDescent="0.2">
      <c r="A53" s="139" t="s">
        <v>67</v>
      </c>
      <c r="B53" s="112" t="s">
        <v>325</v>
      </c>
      <c r="C53" s="138">
        <f t="shared" si="13"/>
        <v>182</v>
      </c>
      <c r="D53" s="138">
        <f t="shared" si="14"/>
        <v>0</v>
      </c>
      <c r="E53" s="138">
        <f t="shared" si="15"/>
        <v>222</v>
      </c>
      <c r="F53" s="138">
        <f t="shared" si="16"/>
        <v>0</v>
      </c>
      <c r="G53" s="138">
        <f t="shared" si="17"/>
        <v>1310</v>
      </c>
      <c r="H53" s="138">
        <f t="shared" si="18"/>
        <v>0</v>
      </c>
      <c r="I53" s="138">
        <f t="shared" si="19"/>
        <v>302</v>
      </c>
      <c r="J53" s="138">
        <f t="shared" si="20"/>
        <v>0</v>
      </c>
      <c r="K53" s="138">
        <f t="shared" si="21"/>
        <v>1026</v>
      </c>
      <c r="L53" s="138">
        <f t="shared" si="22"/>
        <v>0</v>
      </c>
      <c r="M53" s="138">
        <f t="shared" si="23"/>
        <v>382</v>
      </c>
      <c r="N53" s="138">
        <f t="shared" si="24"/>
        <v>0</v>
      </c>
      <c r="O53" s="138">
        <f>C53+E53+G53+I53+K53+M53</f>
        <v>3424</v>
      </c>
      <c r="P53" s="9" t="s">
        <v>10</v>
      </c>
      <c r="Q53" s="141"/>
      <c r="R53" s="137">
        <f>O53*Q53</f>
        <v>0</v>
      </c>
      <c r="T53" s="119">
        <v>51</v>
      </c>
      <c r="U53" s="119">
        <v>40</v>
      </c>
    </row>
    <row r="54" spans="1:21" x14ac:dyDescent="0.2">
      <c r="A54" s="139"/>
      <c r="B54" s="112"/>
      <c r="C54" s="138">
        <f t="shared" si="13"/>
        <v>0</v>
      </c>
      <c r="D54" s="138">
        <f t="shared" si="14"/>
        <v>0</v>
      </c>
      <c r="E54" s="138">
        <f t="shared" si="15"/>
        <v>0</v>
      </c>
      <c r="F54" s="138">
        <f t="shared" si="16"/>
        <v>0</v>
      </c>
      <c r="G54" s="138">
        <f t="shared" si="17"/>
        <v>0</v>
      </c>
      <c r="H54" s="138">
        <f t="shared" si="18"/>
        <v>0</v>
      </c>
      <c r="I54" s="138">
        <f t="shared" si="19"/>
        <v>0</v>
      </c>
      <c r="J54" s="138">
        <f t="shared" si="20"/>
        <v>0</v>
      </c>
      <c r="K54" s="138">
        <f t="shared" si="21"/>
        <v>0</v>
      </c>
      <c r="L54" s="138">
        <f t="shared" si="22"/>
        <v>0</v>
      </c>
      <c r="M54" s="138">
        <f t="shared" si="23"/>
        <v>0</v>
      </c>
      <c r="N54" s="138">
        <f t="shared" si="24"/>
        <v>0</v>
      </c>
      <c r="O54" s="138">
        <f t="shared" si="25"/>
        <v>0</v>
      </c>
      <c r="P54" s="9"/>
      <c r="Q54" s="141"/>
      <c r="R54" s="137"/>
    </row>
    <row r="55" spans="1:21" ht="42.75" x14ac:dyDescent="0.2">
      <c r="A55" s="139"/>
      <c r="B55" s="82" t="s">
        <v>329</v>
      </c>
      <c r="C55" s="138">
        <f t="shared" si="13"/>
        <v>0</v>
      </c>
      <c r="D55" s="138">
        <f t="shared" si="14"/>
        <v>0</v>
      </c>
      <c r="E55" s="138">
        <f t="shared" si="15"/>
        <v>0</v>
      </c>
      <c r="F55" s="138">
        <f t="shared" si="16"/>
        <v>0</v>
      </c>
      <c r="G55" s="138">
        <f t="shared" si="17"/>
        <v>0</v>
      </c>
      <c r="H55" s="138">
        <f t="shared" si="18"/>
        <v>0</v>
      </c>
      <c r="I55" s="138">
        <f t="shared" si="19"/>
        <v>0</v>
      </c>
      <c r="J55" s="138">
        <f t="shared" si="20"/>
        <v>0</v>
      </c>
      <c r="K55" s="138">
        <f t="shared" si="21"/>
        <v>0</v>
      </c>
      <c r="L55" s="138">
        <f t="shared" si="22"/>
        <v>0</v>
      </c>
      <c r="M55" s="138">
        <f t="shared" si="23"/>
        <v>0</v>
      </c>
      <c r="N55" s="138">
        <f t="shared" si="24"/>
        <v>0</v>
      </c>
      <c r="O55" s="138">
        <f t="shared" si="25"/>
        <v>0</v>
      </c>
      <c r="P55" s="9"/>
      <c r="Q55" s="141"/>
      <c r="R55" s="137"/>
    </row>
    <row r="56" spans="1:21" x14ac:dyDescent="0.2">
      <c r="A56" s="139"/>
      <c r="B56" s="13"/>
      <c r="C56" s="138">
        <f t="shared" si="13"/>
        <v>0</v>
      </c>
      <c r="D56" s="138">
        <f t="shared" si="14"/>
        <v>0</v>
      </c>
      <c r="E56" s="138">
        <f t="shared" si="15"/>
        <v>0</v>
      </c>
      <c r="F56" s="138">
        <f t="shared" si="16"/>
        <v>0</v>
      </c>
      <c r="G56" s="138">
        <f t="shared" si="17"/>
        <v>0</v>
      </c>
      <c r="H56" s="138">
        <f t="shared" si="18"/>
        <v>0</v>
      </c>
      <c r="I56" s="138">
        <f t="shared" si="19"/>
        <v>0</v>
      </c>
      <c r="J56" s="138">
        <f t="shared" si="20"/>
        <v>0</v>
      </c>
      <c r="K56" s="138">
        <f t="shared" si="21"/>
        <v>0</v>
      </c>
      <c r="L56" s="138">
        <f t="shared" si="22"/>
        <v>0</v>
      </c>
      <c r="M56" s="138">
        <f t="shared" si="23"/>
        <v>0</v>
      </c>
      <c r="N56" s="138">
        <f t="shared" si="24"/>
        <v>0</v>
      </c>
      <c r="O56" s="138">
        <f t="shared" si="25"/>
        <v>0</v>
      </c>
      <c r="P56" s="9"/>
      <c r="Q56" s="141"/>
      <c r="R56" s="137"/>
    </row>
    <row r="57" spans="1:21" x14ac:dyDescent="0.2">
      <c r="A57" s="139" t="s">
        <v>68</v>
      </c>
      <c r="B57" s="112" t="s">
        <v>324</v>
      </c>
      <c r="C57" s="138">
        <f t="shared" si="13"/>
        <v>218</v>
      </c>
      <c r="D57" s="138">
        <f t="shared" si="14"/>
        <v>0</v>
      </c>
      <c r="E57" s="138">
        <f t="shared" si="15"/>
        <v>277</v>
      </c>
      <c r="F57" s="138">
        <f t="shared" si="16"/>
        <v>0</v>
      </c>
      <c r="G57" s="138">
        <f t="shared" si="17"/>
        <v>1680</v>
      </c>
      <c r="H57" s="138">
        <f t="shared" si="18"/>
        <v>0</v>
      </c>
      <c r="I57" s="138">
        <f t="shared" si="19"/>
        <v>395</v>
      </c>
      <c r="J57" s="138">
        <f t="shared" si="20"/>
        <v>0</v>
      </c>
      <c r="K57" s="138">
        <f t="shared" si="21"/>
        <v>1362</v>
      </c>
      <c r="L57" s="138">
        <f t="shared" si="22"/>
        <v>0</v>
      </c>
      <c r="M57" s="138">
        <f t="shared" si="23"/>
        <v>513</v>
      </c>
      <c r="N57" s="138">
        <f t="shared" si="24"/>
        <v>0</v>
      </c>
      <c r="O57" s="138">
        <f>C57+E57+G57+I57+K57+M57</f>
        <v>4445</v>
      </c>
      <c r="P57" s="9" t="s">
        <v>10</v>
      </c>
      <c r="Q57" s="141"/>
      <c r="R57" s="137">
        <f>O57*Q57</f>
        <v>0</v>
      </c>
      <c r="T57" s="119">
        <f>T$51</f>
        <v>50</v>
      </c>
      <c r="U57" s="119">
        <f>U$51</f>
        <v>59</v>
      </c>
    </row>
    <row r="58" spans="1:21" x14ac:dyDescent="0.2">
      <c r="A58" s="139"/>
      <c r="B58" s="115"/>
      <c r="C58" s="138">
        <f t="shared" si="13"/>
        <v>0</v>
      </c>
      <c r="D58" s="138">
        <f t="shared" si="14"/>
        <v>0</v>
      </c>
      <c r="E58" s="138">
        <f t="shared" si="15"/>
        <v>0</v>
      </c>
      <c r="F58" s="138">
        <f t="shared" si="16"/>
        <v>0</v>
      </c>
      <c r="G58" s="138">
        <f t="shared" si="17"/>
        <v>0</v>
      </c>
      <c r="H58" s="138">
        <f t="shared" si="18"/>
        <v>0</v>
      </c>
      <c r="I58" s="138">
        <f t="shared" si="19"/>
        <v>0</v>
      </c>
      <c r="J58" s="138">
        <f t="shared" si="20"/>
        <v>0</v>
      </c>
      <c r="K58" s="138">
        <f t="shared" si="21"/>
        <v>0</v>
      </c>
      <c r="L58" s="138">
        <f t="shared" si="22"/>
        <v>0</v>
      </c>
      <c r="M58" s="138">
        <f t="shared" si="23"/>
        <v>0</v>
      </c>
      <c r="N58" s="138">
        <f t="shared" si="24"/>
        <v>0</v>
      </c>
      <c r="O58" s="138">
        <f t="shared" si="25"/>
        <v>0</v>
      </c>
      <c r="P58" s="9"/>
      <c r="Q58" s="141"/>
      <c r="R58" s="137"/>
    </row>
    <row r="59" spans="1:21" x14ac:dyDescent="0.2">
      <c r="A59" s="139" t="s">
        <v>69</v>
      </c>
      <c r="B59" s="112" t="s">
        <v>325</v>
      </c>
      <c r="C59" s="138">
        <f t="shared" si="13"/>
        <v>182</v>
      </c>
      <c r="D59" s="138">
        <f t="shared" si="14"/>
        <v>0</v>
      </c>
      <c r="E59" s="138">
        <f t="shared" si="15"/>
        <v>222</v>
      </c>
      <c r="F59" s="138">
        <f t="shared" si="16"/>
        <v>0</v>
      </c>
      <c r="G59" s="138">
        <f t="shared" si="17"/>
        <v>1310</v>
      </c>
      <c r="H59" s="138">
        <f t="shared" si="18"/>
        <v>0</v>
      </c>
      <c r="I59" s="138">
        <f t="shared" si="19"/>
        <v>302</v>
      </c>
      <c r="J59" s="138">
        <f t="shared" si="20"/>
        <v>0</v>
      </c>
      <c r="K59" s="138">
        <f t="shared" si="21"/>
        <v>1026</v>
      </c>
      <c r="L59" s="138">
        <f t="shared" si="22"/>
        <v>0</v>
      </c>
      <c r="M59" s="138">
        <f t="shared" si="23"/>
        <v>382</v>
      </c>
      <c r="N59" s="138">
        <f t="shared" si="24"/>
        <v>0</v>
      </c>
      <c r="O59" s="138">
        <f>C59+E59+G59+I59+K59+M59</f>
        <v>3424</v>
      </c>
      <c r="P59" s="9" t="s">
        <v>10</v>
      </c>
      <c r="Q59" s="141"/>
      <c r="R59" s="137">
        <f>O59*Q59</f>
        <v>0</v>
      </c>
      <c r="T59" s="119">
        <f>T$53</f>
        <v>51</v>
      </c>
      <c r="U59" s="119">
        <f>U$53</f>
        <v>40</v>
      </c>
    </row>
    <row r="60" spans="1:21" x14ac:dyDescent="0.2">
      <c r="A60" s="139"/>
      <c r="B60" s="112"/>
      <c r="C60" s="138">
        <f t="shared" si="13"/>
        <v>0</v>
      </c>
      <c r="D60" s="138">
        <f t="shared" si="14"/>
        <v>0</v>
      </c>
      <c r="E60" s="138">
        <f t="shared" si="15"/>
        <v>0</v>
      </c>
      <c r="F60" s="138">
        <f t="shared" si="16"/>
        <v>0</v>
      </c>
      <c r="G60" s="138">
        <f t="shared" si="17"/>
        <v>0</v>
      </c>
      <c r="H60" s="138">
        <f t="shared" si="18"/>
        <v>0</v>
      </c>
      <c r="I60" s="138">
        <f t="shared" si="19"/>
        <v>0</v>
      </c>
      <c r="J60" s="138">
        <f t="shared" si="20"/>
        <v>0</v>
      </c>
      <c r="K60" s="138">
        <f t="shared" si="21"/>
        <v>0</v>
      </c>
      <c r="L60" s="138">
        <f t="shared" si="22"/>
        <v>0</v>
      </c>
      <c r="M60" s="138">
        <f t="shared" si="23"/>
        <v>0</v>
      </c>
      <c r="N60" s="138">
        <f t="shared" si="24"/>
        <v>0</v>
      </c>
      <c r="O60" s="138">
        <f t="shared" si="25"/>
        <v>0</v>
      </c>
      <c r="P60" s="9"/>
      <c r="Q60" s="141"/>
      <c r="R60" s="137"/>
    </row>
    <row r="61" spans="1:21" x14ac:dyDescent="0.2">
      <c r="A61" s="139"/>
      <c r="B61" s="82" t="s">
        <v>326</v>
      </c>
      <c r="C61" s="138">
        <f t="shared" si="13"/>
        <v>0</v>
      </c>
      <c r="D61" s="138">
        <f t="shared" si="14"/>
        <v>0</v>
      </c>
      <c r="E61" s="138">
        <f t="shared" si="15"/>
        <v>0</v>
      </c>
      <c r="F61" s="138">
        <f t="shared" si="16"/>
        <v>0</v>
      </c>
      <c r="G61" s="138">
        <f t="shared" si="17"/>
        <v>0</v>
      </c>
      <c r="H61" s="138">
        <f t="shared" si="18"/>
        <v>0</v>
      </c>
      <c r="I61" s="138">
        <f t="shared" si="19"/>
        <v>0</v>
      </c>
      <c r="J61" s="138">
        <f t="shared" si="20"/>
        <v>0</v>
      </c>
      <c r="K61" s="138">
        <f t="shared" si="21"/>
        <v>0</v>
      </c>
      <c r="L61" s="138">
        <f t="shared" si="22"/>
        <v>0</v>
      </c>
      <c r="M61" s="138">
        <f t="shared" si="23"/>
        <v>0</v>
      </c>
      <c r="N61" s="138">
        <f t="shared" si="24"/>
        <v>0</v>
      </c>
      <c r="O61" s="138">
        <f t="shared" si="25"/>
        <v>0</v>
      </c>
      <c r="P61" s="9"/>
      <c r="Q61" s="141"/>
      <c r="R61" s="137"/>
    </row>
    <row r="62" spans="1:21" x14ac:dyDescent="0.2">
      <c r="A62" s="139"/>
      <c r="B62" s="13"/>
      <c r="C62" s="138">
        <f t="shared" si="13"/>
        <v>0</v>
      </c>
      <c r="D62" s="138">
        <f t="shared" si="14"/>
        <v>0</v>
      </c>
      <c r="E62" s="138">
        <f t="shared" si="15"/>
        <v>0</v>
      </c>
      <c r="F62" s="138">
        <f t="shared" si="16"/>
        <v>0</v>
      </c>
      <c r="G62" s="138">
        <f t="shared" si="17"/>
        <v>0</v>
      </c>
      <c r="H62" s="138">
        <f t="shared" si="18"/>
        <v>0</v>
      </c>
      <c r="I62" s="138">
        <f t="shared" si="19"/>
        <v>0</v>
      </c>
      <c r="J62" s="138">
        <f t="shared" si="20"/>
        <v>0</v>
      </c>
      <c r="K62" s="138">
        <f t="shared" si="21"/>
        <v>0</v>
      </c>
      <c r="L62" s="138">
        <f t="shared" si="22"/>
        <v>0</v>
      </c>
      <c r="M62" s="138">
        <f t="shared" si="23"/>
        <v>0</v>
      </c>
      <c r="N62" s="138">
        <f t="shared" si="24"/>
        <v>0</v>
      </c>
      <c r="O62" s="138">
        <f t="shared" si="25"/>
        <v>0</v>
      </c>
      <c r="P62" s="9"/>
      <c r="Q62" s="141"/>
      <c r="R62" s="137"/>
    </row>
    <row r="63" spans="1:21" x14ac:dyDescent="0.2">
      <c r="A63" s="139" t="s">
        <v>70</v>
      </c>
      <c r="B63" s="112" t="s">
        <v>324</v>
      </c>
      <c r="C63" s="138">
        <f t="shared" si="13"/>
        <v>218</v>
      </c>
      <c r="D63" s="138">
        <f t="shared" si="14"/>
        <v>0</v>
      </c>
      <c r="E63" s="138">
        <f t="shared" si="15"/>
        <v>277</v>
      </c>
      <c r="F63" s="138">
        <f t="shared" si="16"/>
        <v>0</v>
      </c>
      <c r="G63" s="138">
        <f t="shared" si="17"/>
        <v>1680</v>
      </c>
      <c r="H63" s="138">
        <f t="shared" si="18"/>
        <v>0</v>
      </c>
      <c r="I63" s="138">
        <f t="shared" si="19"/>
        <v>395</v>
      </c>
      <c r="J63" s="138">
        <f t="shared" si="20"/>
        <v>0</v>
      </c>
      <c r="K63" s="138">
        <f t="shared" si="21"/>
        <v>1362</v>
      </c>
      <c r="L63" s="138">
        <f t="shared" si="22"/>
        <v>0</v>
      </c>
      <c r="M63" s="138">
        <f t="shared" si="23"/>
        <v>513</v>
      </c>
      <c r="N63" s="138">
        <f t="shared" si="24"/>
        <v>0</v>
      </c>
      <c r="O63" s="138">
        <f>C63+E63+G63+I63+K63+M63</f>
        <v>4445</v>
      </c>
      <c r="P63" s="9" t="s">
        <v>10</v>
      </c>
      <c r="Q63" s="141"/>
      <c r="R63" s="137">
        <f>O63*Q63</f>
        <v>0</v>
      </c>
      <c r="T63" s="119">
        <f>T$51</f>
        <v>50</v>
      </c>
      <c r="U63" s="119">
        <f>U$51</f>
        <v>59</v>
      </c>
    </row>
    <row r="64" spans="1:21" x14ac:dyDescent="0.2">
      <c r="A64" s="139"/>
      <c r="B64" s="115"/>
      <c r="C64" s="138">
        <f t="shared" si="13"/>
        <v>0</v>
      </c>
      <c r="D64" s="138">
        <f t="shared" si="14"/>
        <v>0</v>
      </c>
      <c r="E64" s="138">
        <f t="shared" si="15"/>
        <v>0</v>
      </c>
      <c r="F64" s="138">
        <f t="shared" si="16"/>
        <v>0</v>
      </c>
      <c r="G64" s="138">
        <f t="shared" si="17"/>
        <v>0</v>
      </c>
      <c r="H64" s="138">
        <f t="shared" si="18"/>
        <v>0</v>
      </c>
      <c r="I64" s="138">
        <f t="shared" si="19"/>
        <v>0</v>
      </c>
      <c r="J64" s="138">
        <f t="shared" si="20"/>
        <v>0</v>
      </c>
      <c r="K64" s="138">
        <f t="shared" si="21"/>
        <v>0</v>
      </c>
      <c r="L64" s="138">
        <f t="shared" si="22"/>
        <v>0</v>
      </c>
      <c r="M64" s="138">
        <f t="shared" si="23"/>
        <v>0</v>
      </c>
      <c r="N64" s="138">
        <f t="shared" si="24"/>
        <v>0</v>
      </c>
      <c r="O64" s="138">
        <f t="shared" si="25"/>
        <v>0</v>
      </c>
      <c r="P64" s="9"/>
      <c r="Q64" s="141"/>
      <c r="R64" s="137"/>
    </row>
    <row r="65" spans="1:21" x14ac:dyDescent="0.2">
      <c r="A65" s="139" t="s">
        <v>71</v>
      </c>
      <c r="B65" s="112" t="s">
        <v>325</v>
      </c>
      <c r="C65" s="138">
        <f t="shared" si="13"/>
        <v>182</v>
      </c>
      <c r="D65" s="138">
        <f t="shared" si="14"/>
        <v>0</v>
      </c>
      <c r="E65" s="138">
        <f t="shared" si="15"/>
        <v>222</v>
      </c>
      <c r="F65" s="138">
        <f t="shared" si="16"/>
        <v>0</v>
      </c>
      <c r="G65" s="138">
        <f t="shared" si="17"/>
        <v>1310</v>
      </c>
      <c r="H65" s="138">
        <f t="shared" si="18"/>
        <v>0</v>
      </c>
      <c r="I65" s="138">
        <f t="shared" si="19"/>
        <v>302</v>
      </c>
      <c r="J65" s="138">
        <f t="shared" si="20"/>
        <v>0</v>
      </c>
      <c r="K65" s="138">
        <f t="shared" si="21"/>
        <v>1026</v>
      </c>
      <c r="L65" s="138">
        <f t="shared" si="22"/>
        <v>0</v>
      </c>
      <c r="M65" s="138">
        <f t="shared" si="23"/>
        <v>382</v>
      </c>
      <c r="N65" s="138">
        <f t="shared" si="24"/>
        <v>0</v>
      </c>
      <c r="O65" s="138">
        <f>C65+E65+G65+I65+K65+M65</f>
        <v>3424</v>
      </c>
      <c r="P65" s="9" t="s">
        <v>10</v>
      </c>
      <c r="Q65" s="141"/>
      <c r="R65" s="137">
        <f>O65*Q65</f>
        <v>0</v>
      </c>
      <c r="T65" s="119">
        <f>T$53</f>
        <v>51</v>
      </c>
      <c r="U65" s="119">
        <f>U$53</f>
        <v>40</v>
      </c>
    </row>
    <row r="66" spans="1:21" x14ac:dyDescent="0.2">
      <c r="A66" s="139"/>
      <c r="B66" s="112"/>
      <c r="C66" s="138">
        <f t="shared" si="13"/>
        <v>0</v>
      </c>
      <c r="D66" s="138">
        <f t="shared" si="14"/>
        <v>0</v>
      </c>
      <c r="E66" s="138">
        <f t="shared" si="15"/>
        <v>0</v>
      </c>
      <c r="F66" s="138">
        <f t="shared" si="16"/>
        <v>0</v>
      </c>
      <c r="G66" s="138">
        <f t="shared" si="17"/>
        <v>0</v>
      </c>
      <c r="H66" s="138">
        <f t="shared" si="18"/>
        <v>0</v>
      </c>
      <c r="I66" s="138">
        <f t="shared" si="19"/>
        <v>0</v>
      </c>
      <c r="J66" s="138">
        <f t="shared" si="20"/>
        <v>0</v>
      </c>
      <c r="K66" s="138">
        <f t="shared" si="21"/>
        <v>0</v>
      </c>
      <c r="L66" s="138">
        <f t="shared" si="22"/>
        <v>0</v>
      </c>
      <c r="M66" s="138">
        <f t="shared" si="23"/>
        <v>0</v>
      </c>
      <c r="N66" s="138">
        <f t="shared" si="24"/>
        <v>0</v>
      </c>
      <c r="O66" s="138">
        <f t="shared" si="25"/>
        <v>0</v>
      </c>
      <c r="P66" s="9"/>
      <c r="Q66" s="141"/>
      <c r="R66" s="137"/>
    </row>
    <row r="67" spans="1:21" x14ac:dyDescent="0.2">
      <c r="A67" s="139"/>
      <c r="B67" s="82" t="s">
        <v>327</v>
      </c>
      <c r="C67" s="138">
        <f t="shared" si="13"/>
        <v>0</v>
      </c>
      <c r="D67" s="138">
        <f t="shared" si="14"/>
        <v>0</v>
      </c>
      <c r="E67" s="138">
        <f t="shared" si="15"/>
        <v>0</v>
      </c>
      <c r="F67" s="138">
        <f t="shared" si="16"/>
        <v>0</v>
      </c>
      <c r="G67" s="138">
        <f t="shared" si="17"/>
        <v>0</v>
      </c>
      <c r="H67" s="138">
        <f t="shared" si="18"/>
        <v>0</v>
      </c>
      <c r="I67" s="138">
        <f t="shared" si="19"/>
        <v>0</v>
      </c>
      <c r="J67" s="138">
        <f t="shared" si="20"/>
        <v>0</v>
      </c>
      <c r="K67" s="138">
        <f t="shared" si="21"/>
        <v>0</v>
      </c>
      <c r="L67" s="138">
        <f t="shared" si="22"/>
        <v>0</v>
      </c>
      <c r="M67" s="138">
        <f t="shared" si="23"/>
        <v>0</v>
      </c>
      <c r="N67" s="138">
        <f t="shared" si="24"/>
        <v>0</v>
      </c>
      <c r="O67" s="138">
        <f t="shared" si="25"/>
        <v>0</v>
      </c>
      <c r="P67" s="9"/>
      <c r="Q67" s="141"/>
      <c r="R67" s="137"/>
    </row>
    <row r="68" spans="1:21" x14ac:dyDescent="0.2">
      <c r="A68" s="139"/>
      <c r="B68" s="13"/>
      <c r="C68" s="138">
        <f t="shared" si="13"/>
        <v>0</v>
      </c>
      <c r="D68" s="138">
        <f t="shared" si="14"/>
        <v>0</v>
      </c>
      <c r="E68" s="138">
        <f t="shared" si="15"/>
        <v>0</v>
      </c>
      <c r="F68" s="138">
        <f t="shared" si="16"/>
        <v>0</v>
      </c>
      <c r="G68" s="138">
        <f t="shared" si="17"/>
        <v>0</v>
      </c>
      <c r="H68" s="138">
        <f t="shared" si="18"/>
        <v>0</v>
      </c>
      <c r="I68" s="138">
        <f t="shared" si="19"/>
        <v>0</v>
      </c>
      <c r="J68" s="138">
        <f t="shared" si="20"/>
        <v>0</v>
      </c>
      <c r="K68" s="138">
        <f t="shared" si="21"/>
        <v>0</v>
      </c>
      <c r="L68" s="138">
        <f t="shared" si="22"/>
        <v>0</v>
      </c>
      <c r="M68" s="138">
        <f t="shared" si="23"/>
        <v>0</v>
      </c>
      <c r="N68" s="138">
        <f t="shared" si="24"/>
        <v>0</v>
      </c>
      <c r="O68" s="138">
        <f t="shared" si="25"/>
        <v>0</v>
      </c>
      <c r="P68" s="9"/>
      <c r="Q68" s="141"/>
      <c r="R68" s="137"/>
    </row>
    <row r="69" spans="1:21" x14ac:dyDescent="0.2">
      <c r="A69" s="139" t="s">
        <v>72</v>
      </c>
      <c r="B69" s="112" t="s">
        <v>324</v>
      </c>
      <c r="C69" s="138">
        <f t="shared" si="13"/>
        <v>218</v>
      </c>
      <c r="D69" s="138">
        <f t="shared" si="14"/>
        <v>0</v>
      </c>
      <c r="E69" s="138">
        <f t="shared" si="15"/>
        <v>277</v>
      </c>
      <c r="F69" s="138">
        <f t="shared" si="16"/>
        <v>0</v>
      </c>
      <c r="G69" s="138">
        <f t="shared" si="17"/>
        <v>1680</v>
      </c>
      <c r="H69" s="138">
        <f t="shared" si="18"/>
        <v>0</v>
      </c>
      <c r="I69" s="138">
        <f t="shared" si="19"/>
        <v>395</v>
      </c>
      <c r="J69" s="138">
        <f t="shared" si="20"/>
        <v>0</v>
      </c>
      <c r="K69" s="138">
        <f t="shared" si="21"/>
        <v>1362</v>
      </c>
      <c r="L69" s="138">
        <f t="shared" si="22"/>
        <v>0</v>
      </c>
      <c r="M69" s="138">
        <f t="shared" si="23"/>
        <v>513</v>
      </c>
      <c r="N69" s="138">
        <f t="shared" si="24"/>
        <v>0</v>
      </c>
      <c r="O69" s="138">
        <f>C69+E69+G69+I69+K69+M69</f>
        <v>4445</v>
      </c>
      <c r="P69" s="9" t="s">
        <v>10</v>
      </c>
      <c r="Q69" s="141"/>
      <c r="R69" s="137">
        <f>O69*Q69</f>
        <v>0</v>
      </c>
      <c r="T69" s="119">
        <f>T$51</f>
        <v>50</v>
      </c>
      <c r="U69" s="119">
        <f>U$51</f>
        <v>59</v>
      </c>
    </row>
    <row r="70" spans="1:21" x14ac:dyDescent="0.2">
      <c r="A70" s="139"/>
      <c r="B70" s="115"/>
      <c r="C70" s="138">
        <f t="shared" si="13"/>
        <v>0</v>
      </c>
      <c r="D70" s="138">
        <f t="shared" si="14"/>
        <v>0</v>
      </c>
      <c r="E70" s="138">
        <f t="shared" si="15"/>
        <v>0</v>
      </c>
      <c r="F70" s="138">
        <f t="shared" si="16"/>
        <v>0</v>
      </c>
      <c r="G70" s="138">
        <f t="shared" si="17"/>
        <v>0</v>
      </c>
      <c r="H70" s="138">
        <f t="shared" si="18"/>
        <v>0</v>
      </c>
      <c r="I70" s="138">
        <f t="shared" si="19"/>
        <v>0</v>
      </c>
      <c r="J70" s="138">
        <f t="shared" si="20"/>
        <v>0</v>
      </c>
      <c r="K70" s="138">
        <f t="shared" si="21"/>
        <v>0</v>
      </c>
      <c r="L70" s="138">
        <f t="shared" si="22"/>
        <v>0</v>
      </c>
      <c r="M70" s="138">
        <f t="shared" si="23"/>
        <v>0</v>
      </c>
      <c r="N70" s="138">
        <f t="shared" si="24"/>
        <v>0</v>
      </c>
      <c r="O70" s="138">
        <f t="shared" si="25"/>
        <v>0</v>
      </c>
      <c r="P70" s="9"/>
      <c r="Q70" s="141"/>
      <c r="R70" s="137"/>
    </row>
    <row r="71" spans="1:21" x14ac:dyDescent="0.2">
      <c r="A71" s="139" t="s">
        <v>73</v>
      </c>
      <c r="B71" s="112" t="s">
        <v>325</v>
      </c>
      <c r="C71" s="138">
        <f t="shared" si="13"/>
        <v>182</v>
      </c>
      <c r="D71" s="138">
        <f t="shared" si="14"/>
        <v>0</v>
      </c>
      <c r="E71" s="138">
        <f t="shared" si="15"/>
        <v>222</v>
      </c>
      <c r="F71" s="138">
        <f t="shared" si="16"/>
        <v>0</v>
      </c>
      <c r="G71" s="138">
        <f t="shared" si="17"/>
        <v>1310</v>
      </c>
      <c r="H71" s="138">
        <f t="shared" si="18"/>
        <v>0</v>
      </c>
      <c r="I71" s="138">
        <f t="shared" si="19"/>
        <v>302</v>
      </c>
      <c r="J71" s="138">
        <f t="shared" si="20"/>
        <v>0</v>
      </c>
      <c r="K71" s="138">
        <f t="shared" si="21"/>
        <v>1026</v>
      </c>
      <c r="L71" s="138">
        <f t="shared" si="22"/>
        <v>0</v>
      </c>
      <c r="M71" s="138">
        <f t="shared" si="23"/>
        <v>382</v>
      </c>
      <c r="N71" s="138">
        <f t="shared" si="24"/>
        <v>0</v>
      </c>
      <c r="O71" s="138">
        <f>C71+E71+G71+I71+K71+M71</f>
        <v>3424</v>
      </c>
      <c r="P71" s="9" t="s">
        <v>10</v>
      </c>
      <c r="Q71" s="141"/>
      <c r="R71" s="137">
        <f>O71*Q71</f>
        <v>0</v>
      </c>
      <c r="T71" s="119">
        <f>T$53</f>
        <v>51</v>
      </c>
      <c r="U71" s="119">
        <f>U$53</f>
        <v>40</v>
      </c>
    </row>
    <row r="72" spans="1:21" x14ac:dyDescent="0.2">
      <c r="A72" s="139"/>
      <c r="B72" s="112"/>
      <c r="C72" s="138">
        <f t="shared" si="13"/>
        <v>0</v>
      </c>
      <c r="D72" s="138">
        <f t="shared" si="14"/>
        <v>0</v>
      </c>
      <c r="E72" s="138">
        <f t="shared" si="15"/>
        <v>0</v>
      </c>
      <c r="F72" s="138">
        <f t="shared" si="16"/>
        <v>0</v>
      </c>
      <c r="G72" s="138">
        <f t="shared" si="17"/>
        <v>0</v>
      </c>
      <c r="H72" s="138">
        <f t="shared" si="18"/>
        <v>0</v>
      </c>
      <c r="I72" s="138">
        <f t="shared" si="19"/>
        <v>0</v>
      </c>
      <c r="J72" s="138">
        <f t="shared" si="20"/>
        <v>0</v>
      </c>
      <c r="K72" s="138">
        <f t="shared" si="21"/>
        <v>0</v>
      </c>
      <c r="L72" s="138">
        <f t="shared" si="22"/>
        <v>0</v>
      </c>
      <c r="M72" s="138">
        <f t="shared" si="23"/>
        <v>0</v>
      </c>
      <c r="N72" s="138">
        <f t="shared" si="24"/>
        <v>0</v>
      </c>
      <c r="O72" s="138">
        <f t="shared" si="25"/>
        <v>0</v>
      </c>
      <c r="P72" s="9"/>
      <c r="Q72" s="141"/>
      <c r="R72" s="137"/>
    </row>
    <row r="73" spans="1:21" x14ac:dyDescent="0.2">
      <c r="A73" s="139"/>
      <c r="B73" s="82" t="s">
        <v>328</v>
      </c>
      <c r="C73" s="138">
        <f t="shared" si="13"/>
        <v>0</v>
      </c>
      <c r="D73" s="138">
        <f t="shared" si="14"/>
        <v>0</v>
      </c>
      <c r="E73" s="138">
        <f t="shared" si="15"/>
        <v>0</v>
      </c>
      <c r="F73" s="138">
        <f t="shared" si="16"/>
        <v>0</v>
      </c>
      <c r="G73" s="138">
        <f t="shared" si="17"/>
        <v>0</v>
      </c>
      <c r="H73" s="138">
        <f t="shared" si="18"/>
        <v>0</v>
      </c>
      <c r="I73" s="138">
        <f t="shared" si="19"/>
        <v>0</v>
      </c>
      <c r="J73" s="138">
        <f t="shared" si="20"/>
        <v>0</v>
      </c>
      <c r="K73" s="138">
        <f t="shared" si="21"/>
        <v>0</v>
      </c>
      <c r="L73" s="138">
        <f t="shared" si="22"/>
        <v>0</v>
      </c>
      <c r="M73" s="138">
        <f t="shared" si="23"/>
        <v>0</v>
      </c>
      <c r="N73" s="138">
        <f t="shared" si="24"/>
        <v>0</v>
      </c>
      <c r="O73" s="138">
        <f t="shared" si="25"/>
        <v>0</v>
      </c>
      <c r="P73" s="9"/>
      <c r="Q73" s="141"/>
      <c r="R73" s="137"/>
    </row>
    <row r="74" spans="1:21" x14ac:dyDescent="0.2">
      <c r="A74" s="139"/>
      <c r="B74" s="13"/>
      <c r="C74" s="138">
        <f t="shared" si="13"/>
        <v>0</v>
      </c>
      <c r="D74" s="138">
        <f t="shared" si="14"/>
        <v>0</v>
      </c>
      <c r="E74" s="138">
        <f t="shared" si="15"/>
        <v>0</v>
      </c>
      <c r="F74" s="138">
        <f t="shared" si="16"/>
        <v>0</v>
      </c>
      <c r="G74" s="138">
        <f t="shared" si="17"/>
        <v>0</v>
      </c>
      <c r="H74" s="138">
        <f t="shared" si="18"/>
        <v>0</v>
      </c>
      <c r="I74" s="138">
        <f t="shared" si="19"/>
        <v>0</v>
      </c>
      <c r="J74" s="138">
        <f t="shared" si="20"/>
        <v>0</v>
      </c>
      <c r="K74" s="138">
        <f t="shared" si="21"/>
        <v>0</v>
      </c>
      <c r="L74" s="138">
        <f t="shared" si="22"/>
        <v>0</v>
      </c>
      <c r="M74" s="138">
        <f t="shared" si="23"/>
        <v>0</v>
      </c>
      <c r="N74" s="138">
        <f t="shared" si="24"/>
        <v>0</v>
      </c>
      <c r="O74" s="138">
        <f t="shared" si="25"/>
        <v>0</v>
      </c>
      <c r="P74" s="9"/>
      <c r="Q74" s="141"/>
      <c r="R74" s="137"/>
    </row>
    <row r="75" spans="1:21" x14ac:dyDescent="0.2">
      <c r="A75" s="139" t="s">
        <v>74</v>
      </c>
      <c r="B75" s="112" t="s">
        <v>324</v>
      </c>
      <c r="C75" s="138">
        <f t="shared" si="13"/>
        <v>218</v>
      </c>
      <c r="D75" s="138">
        <f t="shared" si="14"/>
        <v>0</v>
      </c>
      <c r="E75" s="138">
        <f t="shared" si="15"/>
        <v>277</v>
      </c>
      <c r="F75" s="138">
        <f t="shared" si="16"/>
        <v>0</v>
      </c>
      <c r="G75" s="138">
        <f t="shared" si="17"/>
        <v>1680</v>
      </c>
      <c r="H75" s="138">
        <f t="shared" si="18"/>
        <v>0</v>
      </c>
      <c r="I75" s="138">
        <f t="shared" si="19"/>
        <v>395</v>
      </c>
      <c r="J75" s="138">
        <f t="shared" si="20"/>
        <v>0</v>
      </c>
      <c r="K75" s="138">
        <f t="shared" si="21"/>
        <v>1362</v>
      </c>
      <c r="L75" s="138">
        <f t="shared" si="22"/>
        <v>0</v>
      </c>
      <c r="M75" s="138">
        <f t="shared" si="23"/>
        <v>513</v>
      </c>
      <c r="N75" s="138">
        <f t="shared" si="24"/>
        <v>0</v>
      </c>
      <c r="O75" s="138">
        <f>C75+E75+G75+I75+K75+M75</f>
        <v>4445</v>
      </c>
      <c r="P75" s="9" t="s">
        <v>10</v>
      </c>
      <c r="Q75" s="141"/>
      <c r="R75" s="137">
        <f>O75*Q75</f>
        <v>0</v>
      </c>
      <c r="T75" s="119">
        <f>T$51</f>
        <v>50</v>
      </c>
      <c r="U75" s="119">
        <f>U$51</f>
        <v>59</v>
      </c>
    </row>
    <row r="76" spans="1:21" x14ac:dyDescent="0.2">
      <c r="A76" s="139"/>
      <c r="B76" s="115"/>
      <c r="C76" s="138">
        <f t="shared" si="13"/>
        <v>0</v>
      </c>
      <c r="D76" s="138">
        <f t="shared" si="14"/>
        <v>0</v>
      </c>
      <c r="E76" s="138">
        <f t="shared" si="15"/>
        <v>0</v>
      </c>
      <c r="F76" s="138">
        <f t="shared" si="16"/>
        <v>0</v>
      </c>
      <c r="G76" s="138">
        <f t="shared" si="17"/>
        <v>0</v>
      </c>
      <c r="H76" s="138">
        <f t="shared" si="18"/>
        <v>0</v>
      </c>
      <c r="I76" s="138">
        <f t="shared" si="19"/>
        <v>0</v>
      </c>
      <c r="J76" s="138">
        <f t="shared" si="20"/>
        <v>0</v>
      </c>
      <c r="K76" s="138">
        <f t="shared" si="21"/>
        <v>0</v>
      </c>
      <c r="L76" s="138">
        <f t="shared" si="22"/>
        <v>0</v>
      </c>
      <c r="M76" s="138">
        <f t="shared" si="23"/>
        <v>0</v>
      </c>
      <c r="N76" s="138">
        <f t="shared" si="24"/>
        <v>0</v>
      </c>
      <c r="O76" s="138">
        <f t="shared" si="25"/>
        <v>0</v>
      </c>
      <c r="P76" s="9"/>
      <c r="Q76" s="141"/>
      <c r="R76" s="137"/>
    </row>
    <row r="77" spans="1:21" x14ac:dyDescent="0.2">
      <c r="A77" s="139" t="s">
        <v>75</v>
      </c>
      <c r="B77" s="112" t="s">
        <v>325</v>
      </c>
      <c r="C77" s="138">
        <f t="shared" si="13"/>
        <v>182</v>
      </c>
      <c r="D77" s="138">
        <f t="shared" si="14"/>
        <v>0</v>
      </c>
      <c r="E77" s="138">
        <f t="shared" si="15"/>
        <v>222</v>
      </c>
      <c r="F77" s="138">
        <f t="shared" si="16"/>
        <v>0</v>
      </c>
      <c r="G77" s="138">
        <f t="shared" si="17"/>
        <v>1310</v>
      </c>
      <c r="H77" s="138">
        <f t="shared" si="18"/>
        <v>0</v>
      </c>
      <c r="I77" s="138">
        <f t="shared" si="19"/>
        <v>302</v>
      </c>
      <c r="J77" s="138">
        <f t="shared" si="20"/>
        <v>0</v>
      </c>
      <c r="K77" s="138">
        <f t="shared" si="21"/>
        <v>1026</v>
      </c>
      <c r="L77" s="138">
        <f t="shared" si="22"/>
        <v>0</v>
      </c>
      <c r="M77" s="138">
        <f t="shared" si="23"/>
        <v>382</v>
      </c>
      <c r="N77" s="138">
        <f t="shared" si="24"/>
        <v>0</v>
      </c>
      <c r="O77" s="138">
        <f>C77+E77+G77+I77+K77+M77</f>
        <v>3424</v>
      </c>
      <c r="P77" s="9" t="s">
        <v>10</v>
      </c>
      <c r="Q77" s="141"/>
      <c r="R77" s="137">
        <f>O77*Q77</f>
        <v>0</v>
      </c>
      <c r="T77" s="119">
        <f>T$53</f>
        <v>51</v>
      </c>
      <c r="U77" s="119">
        <f>U$53</f>
        <v>40</v>
      </c>
    </row>
    <row r="78" spans="1:21" s="90" customFormat="1" x14ac:dyDescent="0.2">
      <c r="A78" s="150"/>
      <c r="B78" s="184"/>
      <c r="C78" s="138">
        <f t="shared" si="13"/>
        <v>0</v>
      </c>
      <c r="D78" s="138">
        <f t="shared" si="14"/>
        <v>0</v>
      </c>
      <c r="E78" s="138">
        <f t="shared" si="15"/>
        <v>0</v>
      </c>
      <c r="F78" s="138">
        <f t="shared" si="16"/>
        <v>0</v>
      </c>
      <c r="G78" s="138">
        <f t="shared" si="17"/>
        <v>0</v>
      </c>
      <c r="H78" s="138">
        <f t="shared" si="18"/>
        <v>0</v>
      </c>
      <c r="I78" s="138">
        <f t="shared" si="19"/>
        <v>0</v>
      </c>
      <c r="J78" s="138">
        <f t="shared" si="20"/>
        <v>0</v>
      </c>
      <c r="K78" s="138">
        <f t="shared" si="21"/>
        <v>0</v>
      </c>
      <c r="L78" s="138">
        <f t="shared" si="22"/>
        <v>0</v>
      </c>
      <c r="M78" s="138">
        <f t="shared" si="23"/>
        <v>0</v>
      </c>
      <c r="N78" s="138">
        <f t="shared" si="24"/>
        <v>0</v>
      </c>
      <c r="O78" s="138">
        <f t="shared" si="25"/>
        <v>0</v>
      </c>
      <c r="P78" s="151"/>
      <c r="Q78" s="152"/>
      <c r="R78" s="149"/>
      <c r="T78" s="119"/>
      <c r="U78" s="119"/>
    </row>
    <row r="79" spans="1:21" s="90" customFormat="1" ht="42.75" x14ac:dyDescent="0.2">
      <c r="A79" s="150"/>
      <c r="B79" s="101" t="s">
        <v>391</v>
      </c>
      <c r="C79" s="138">
        <f t="shared" si="13"/>
        <v>0</v>
      </c>
      <c r="D79" s="138">
        <f t="shared" si="14"/>
        <v>0</v>
      </c>
      <c r="E79" s="138">
        <f t="shared" si="15"/>
        <v>0</v>
      </c>
      <c r="F79" s="138">
        <f t="shared" si="16"/>
        <v>0</v>
      </c>
      <c r="G79" s="138">
        <f t="shared" si="17"/>
        <v>0</v>
      </c>
      <c r="H79" s="138">
        <f t="shared" si="18"/>
        <v>0</v>
      </c>
      <c r="I79" s="138">
        <f t="shared" si="19"/>
        <v>0</v>
      </c>
      <c r="J79" s="138">
        <f t="shared" si="20"/>
        <v>0</v>
      </c>
      <c r="K79" s="138">
        <f t="shared" si="21"/>
        <v>0</v>
      </c>
      <c r="L79" s="138">
        <f t="shared" si="22"/>
        <v>0</v>
      </c>
      <c r="M79" s="138">
        <f t="shared" si="23"/>
        <v>0</v>
      </c>
      <c r="N79" s="138">
        <f t="shared" si="24"/>
        <v>0</v>
      </c>
      <c r="O79" s="138">
        <f t="shared" si="25"/>
        <v>0</v>
      </c>
      <c r="P79" s="151"/>
      <c r="Q79" s="152"/>
      <c r="R79" s="149"/>
      <c r="T79" s="119"/>
      <c r="U79" s="119"/>
    </row>
    <row r="80" spans="1:21" s="90" customFormat="1" x14ac:dyDescent="0.2">
      <c r="A80" s="150"/>
      <c r="B80" s="102"/>
      <c r="C80" s="138">
        <f t="shared" si="13"/>
        <v>0</v>
      </c>
      <c r="D80" s="138">
        <f t="shared" si="14"/>
        <v>0</v>
      </c>
      <c r="E80" s="138">
        <f t="shared" si="15"/>
        <v>0</v>
      </c>
      <c r="F80" s="138">
        <f t="shared" si="16"/>
        <v>0</v>
      </c>
      <c r="G80" s="138">
        <f t="shared" si="17"/>
        <v>0</v>
      </c>
      <c r="H80" s="138">
        <f t="shared" si="18"/>
        <v>0</v>
      </c>
      <c r="I80" s="138">
        <f t="shared" si="19"/>
        <v>0</v>
      </c>
      <c r="J80" s="138">
        <f t="shared" si="20"/>
        <v>0</v>
      </c>
      <c r="K80" s="138">
        <f t="shared" si="21"/>
        <v>0</v>
      </c>
      <c r="L80" s="138">
        <f t="shared" si="22"/>
        <v>0</v>
      </c>
      <c r="M80" s="138">
        <f t="shared" si="23"/>
        <v>0</v>
      </c>
      <c r="N80" s="138">
        <f t="shared" si="24"/>
        <v>0</v>
      </c>
      <c r="O80" s="138">
        <f t="shared" si="25"/>
        <v>0</v>
      </c>
      <c r="P80" s="151"/>
      <c r="Q80" s="152"/>
      <c r="R80" s="149"/>
      <c r="T80" s="119"/>
      <c r="U80" s="119"/>
    </row>
    <row r="81" spans="1:21" s="90" customFormat="1" x14ac:dyDescent="0.2">
      <c r="A81" s="150" t="s">
        <v>76</v>
      </c>
      <c r="B81" s="112" t="s">
        <v>324</v>
      </c>
      <c r="C81" s="138">
        <f t="shared" si="13"/>
        <v>218</v>
      </c>
      <c r="D81" s="138">
        <f t="shared" si="14"/>
        <v>0</v>
      </c>
      <c r="E81" s="138">
        <f t="shared" si="15"/>
        <v>277</v>
      </c>
      <c r="F81" s="138">
        <f t="shared" si="16"/>
        <v>0</v>
      </c>
      <c r="G81" s="138">
        <f t="shared" si="17"/>
        <v>1680</v>
      </c>
      <c r="H81" s="138">
        <f t="shared" si="18"/>
        <v>0</v>
      </c>
      <c r="I81" s="138">
        <f t="shared" si="19"/>
        <v>395</v>
      </c>
      <c r="J81" s="138">
        <f t="shared" si="20"/>
        <v>0</v>
      </c>
      <c r="K81" s="138">
        <f t="shared" si="21"/>
        <v>1362</v>
      </c>
      <c r="L81" s="138">
        <f t="shared" si="22"/>
        <v>0</v>
      </c>
      <c r="M81" s="138">
        <f t="shared" si="23"/>
        <v>513</v>
      </c>
      <c r="N81" s="138">
        <f t="shared" si="24"/>
        <v>0</v>
      </c>
      <c r="O81" s="138">
        <f>C81+E81+G81+I81+K81+M81</f>
        <v>4445</v>
      </c>
      <c r="P81" s="153" t="s">
        <v>10</v>
      </c>
      <c r="Q81" s="152"/>
      <c r="R81" s="149">
        <f>O81*Q81</f>
        <v>0</v>
      </c>
      <c r="T81" s="119">
        <f>T$51</f>
        <v>50</v>
      </c>
      <c r="U81" s="119">
        <f>U$51</f>
        <v>59</v>
      </c>
    </row>
    <row r="82" spans="1:21" x14ac:dyDescent="0.2">
      <c r="A82" s="139"/>
      <c r="B82" s="112"/>
      <c r="C82" s="138">
        <f t="shared" si="13"/>
        <v>0</v>
      </c>
      <c r="D82" s="138">
        <f t="shared" si="14"/>
        <v>0</v>
      </c>
      <c r="E82" s="138">
        <f t="shared" si="15"/>
        <v>0</v>
      </c>
      <c r="F82" s="138">
        <f t="shared" si="16"/>
        <v>0</v>
      </c>
      <c r="G82" s="138">
        <f t="shared" si="17"/>
        <v>0</v>
      </c>
      <c r="H82" s="138">
        <f t="shared" si="18"/>
        <v>0</v>
      </c>
      <c r="I82" s="138">
        <f t="shared" si="19"/>
        <v>0</v>
      </c>
      <c r="J82" s="138">
        <f t="shared" si="20"/>
        <v>0</v>
      </c>
      <c r="K82" s="138">
        <f t="shared" si="21"/>
        <v>0</v>
      </c>
      <c r="L82" s="138">
        <f t="shared" si="22"/>
        <v>0</v>
      </c>
      <c r="M82" s="138">
        <f t="shared" si="23"/>
        <v>0</v>
      </c>
      <c r="N82" s="138">
        <f t="shared" si="24"/>
        <v>0</v>
      </c>
      <c r="O82" s="138">
        <f t="shared" si="25"/>
        <v>0</v>
      </c>
      <c r="P82" s="9"/>
      <c r="Q82" s="141"/>
      <c r="R82" s="137"/>
    </row>
    <row r="83" spans="1:21" x14ac:dyDescent="0.2">
      <c r="A83" s="139"/>
      <c r="B83" s="112"/>
      <c r="C83" s="138">
        <f t="shared" si="13"/>
        <v>0</v>
      </c>
      <c r="D83" s="138">
        <f t="shared" si="14"/>
        <v>0</v>
      </c>
      <c r="E83" s="138">
        <f t="shared" si="15"/>
        <v>0</v>
      </c>
      <c r="F83" s="138">
        <f t="shared" si="16"/>
        <v>0</v>
      </c>
      <c r="G83" s="138">
        <f t="shared" si="17"/>
        <v>0</v>
      </c>
      <c r="H83" s="138">
        <f t="shared" si="18"/>
        <v>0</v>
      </c>
      <c r="I83" s="138">
        <f t="shared" si="19"/>
        <v>0</v>
      </c>
      <c r="J83" s="138">
        <f t="shared" si="20"/>
        <v>0</v>
      </c>
      <c r="K83" s="138">
        <f t="shared" si="21"/>
        <v>0</v>
      </c>
      <c r="L83" s="138">
        <f t="shared" si="22"/>
        <v>0</v>
      </c>
      <c r="M83" s="138">
        <f t="shared" si="23"/>
        <v>0</v>
      </c>
      <c r="N83" s="138">
        <f t="shared" si="24"/>
        <v>0</v>
      </c>
      <c r="O83" s="138">
        <f t="shared" si="25"/>
        <v>0</v>
      </c>
      <c r="P83" s="9"/>
      <c r="Q83" s="141"/>
      <c r="R83" s="137"/>
    </row>
    <row r="84" spans="1:21" x14ac:dyDescent="0.2">
      <c r="A84" s="139"/>
      <c r="B84" s="112"/>
      <c r="C84" s="138">
        <f t="shared" si="13"/>
        <v>0</v>
      </c>
      <c r="D84" s="138">
        <f t="shared" si="14"/>
        <v>0</v>
      </c>
      <c r="E84" s="138">
        <f t="shared" si="15"/>
        <v>0</v>
      </c>
      <c r="F84" s="138">
        <f t="shared" si="16"/>
        <v>0</v>
      </c>
      <c r="G84" s="138">
        <f t="shared" si="17"/>
        <v>0</v>
      </c>
      <c r="H84" s="138">
        <f t="shared" si="18"/>
        <v>0</v>
      </c>
      <c r="I84" s="138">
        <f t="shared" si="19"/>
        <v>0</v>
      </c>
      <c r="J84" s="138">
        <f t="shared" si="20"/>
        <v>0</v>
      </c>
      <c r="K84" s="138">
        <f t="shared" si="21"/>
        <v>0</v>
      </c>
      <c r="L84" s="138">
        <f t="shared" si="22"/>
        <v>0</v>
      </c>
      <c r="M84" s="138">
        <f t="shared" si="23"/>
        <v>0</v>
      </c>
      <c r="N84" s="138">
        <f t="shared" si="24"/>
        <v>0</v>
      </c>
      <c r="O84" s="138">
        <f t="shared" si="25"/>
        <v>0</v>
      </c>
      <c r="P84" s="9"/>
      <c r="Q84" s="141"/>
      <c r="R84" s="137"/>
    </row>
    <row r="85" spans="1:21" x14ac:dyDescent="0.2">
      <c r="A85" s="139"/>
      <c r="B85" s="112"/>
      <c r="C85" s="138">
        <f t="shared" si="13"/>
        <v>0</v>
      </c>
      <c r="D85" s="138">
        <f t="shared" si="14"/>
        <v>0</v>
      </c>
      <c r="E85" s="138">
        <f t="shared" si="15"/>
        <v>0</v>
      </c>
      <c r="F85" s="138">
        <f t="shared" si="16"/>
        <v>0</v>
      </c>
      <c r="G85" s="138">
        <f t="shared" si="17"/>
        <v>0</v>
      </c>
      <c r="H85" s="138">
        <f t="shared" si="18"/>
        <v>0</v>
      </c>
      <c r="I85" s="138">
        <f t="shared" si="19"/>
        <v>0</v>
      </c>
      <c r="J85" s="138">
        <f t="shared" si="20"/>
        <v>0</v>
      </c>
      <c r="K85" s="138">
        <f t="shared" si="21"/>
        <v>0</v>
      </c>
      <c r="L85" s="138">
        <f t="shared" si="22"/>
        <v>0</v>
      </c>
      <c r="M85" s="138">
        <f t="shared" si="23"/>
        <v>0</v>
      </c>
      <c r="N85" s="138">
        <f t="shared" si="24"/>
        <v>0</v>
      </c>
      <c r="O85" s="138">
        <f t="shared" si="25"/>
        <v>0</v>
      </c>
      <c r="P85" s="9"/>
      <c r="Q85" s="141"/>
      <c r="R85" s="137"/>
    </row>
    <row r="86" spans="1:21" x14ac:dyDescent="0.2">
      <c r="A86" s="127"/>
      <c r="B86" s="136"/>
      <c r="C86" s="128"/>
      <c r="D86" s="120"/>
      <c r="E86" s="120"/>
      <c r="F86" s="120"/>
      <c r="G86" s="120"/>
      <c r="H86" s="120"/>
      <c r="I86" s="120"/>
      <c r="J86" s="120"/>
      <c r="K86" s="120"/>
      <c r="L86" s="120"/>
      <c r="M86" s="120"/>
      <c r="N86" s="120"/>
      <c r="O86" s="120"/>
      <c r="P86" s="154"/>
      <c r="Q86" s="141"/>
      <c r="R86" s="137"/>
    </row>
    <row r="87" spans="1:21" x14ac:dyDescent="0.2">
      <c r="A87" s="129"/>
      <c r="B87" s="130"/>
      <c r="C87" s="131"/>
      <c r="D87" s="131"/>
      <c r="E87" s="131"/>
      <c r="F87" s="131"/>
      <c r="G87" s="131"/>
      <c r="H87" s="131"/>
      <c r="I87" s="131"/>
      <c r="J87" s="131"/>
      <c r="K87" s="131"/>
      <c r="L87" s="131"/>
      <c r="M87" s="131"/>
      <c r="N87" s="131"/>
      <c r="O87" s="131"/>
      <c r="P87" s="131"/>
      <c r="Q87" s="132"/>
      <c r="R87" s="126"/>
      <c r="T87" s="84"/>
      <c r="U87" s="84"/>
    </row>
    <row r="88" spans="1:21" x14ac:dyDescent="0.2">
      <c r="C88" s="122"/>
      <c r="D88" s="122"/>
      <c r="E88" s="122"/>
      <c r="F88" s="122"/>
      <c r="G88" s="122"/>
      <c r="H88" s="122"/>
      <c r="I88" s="122"/>
      <c r="J88" s="122"/>
      <c r="K88" s="122"/>
      <c r="L88" s="122"/>
      <c r="M88" s="122"/>
      <c r="N88" s="122"/>
      <c r="O88" s="122"/>
      <c r="P88" s="171" t="s">
        <v>1</v>
      </c>
      <c r="Q88" s="133" t="s">
        <v>0</v>
      </c>
      <c r="R88" s="137">
        <f>SUM(R46:R86)</f>
        <v>0</v>
      </c>
    </row>
    <row r="89" spans="1:21" x14ac:dyDescent="0.2">
      <c r="P89" s="188"/>
      <c r="Q89" s="124"/>
      <c r="R89" s="125"/>
    </row>
    <row r="90" spans="1:21" x14ac:dyDescent="0.2">
      <c r="A90" s="139"/>
      <c r="B90" s="112"/>
      <c r="C90" s="138"/>
      <c r="D90" s="138"/>
      <c r="E90" s="138"/>
      <c r="F90" s="138"/>
      <c r="G90" s="138"/>
      <c r="H90" s="138"/>
      <c r="I90" s="138"/>
      <c r="J90" s="138"/>
      <c r="K90" s="138"/>
      <c r="L90" s="138"/>
      <c r="M90" s="138"/>
      <c r="N90" s="138"/>
      <c r="O90" s="138"/>
      <c r="P90" s="9"/>
      <c r="Q90" s="124"/>
      <c r="R90" s="137"/>
    </row>
    <row r="91" spans="1:21" x14ac:dyDescent="0.2">
      <c r="A91" s="139"/>
      <c r="B91" s="114" t="s">
        <v>244</v>
      </c>
      <c r="C91" s="128"/>
      <c r="D91" s="120"/>
      <c r="E91" s="120"/>
      <c r="F91" s="120"/>
      <c r="G91" s="120"/>
      <c r="H91" s="120"/>
      <c r="I91" s="120"/>
      <c r="J91" s="120"/>
      <c r="K91" s="120"/>
      <c r="L91" s="120"/>
      <c r="M91" s="120"/>
      <c r="N91" s="120"/>
      <c r="O91" s="120"/>
      <c r="P91" s="154"/>
      <c r="Q91" s="141"/>
      <c r="R91" s="137"/>
    </row>
    <row r="92" spans="1:21" x14ac:dyDescent="0.2">
      <c r="A92" s="150"/>
      <c r="B92" s="24"/>
      <c r="C92" s="138">
        <f t="shared" ref="C92:C124" si="26">ROUND((2*$T92+2*$U92)*C$3,0)</f>
        <v>0</v>
      </c>
      <c r="D92" s="138">
        <f t="shared" ref="D92:D124" si="27">C92*$Q92</f>
        <v>0</v>
      </c>
      <c r="E92" s="138">
        <f t="shared" ref="E92:E124" si="28">ROUND((2*$T92+3*$U92)*E$3,0)</f>
        <v>0</v>
      </c>
      <c r="F92" s="138">
        <f t="shared" ref="F92:F124" si="29">E92*$Q92</f>
        <v>0</v>
      </c>
      <c r="G92" s="138">
        <f t="shared" ref="G92:G124" si="30">ROUND((2*$T92+4*$U92)*G$3,0)</f>
        <v>0</v>
      </c>
      <c r="H92" s="138">
        <f t="shared" ref="H92:H124" si="31">G92*$Q92</f>
        <v>0</v>
      </c>
      <c r="I92" s="138">
        <f t="shared" ref="I92:I124" si="32">ROUND((2*$T92+5*$U92)*I$3,0)</f>
        <v>0</v>
      </c>
      <c r="J92" s="138">
        <f t="shared" ref="J92:J124" si="33">I92*$Q92</f>
        <v>0</v>
      </c>
      <c r="K92" s="138">
        <f t="shared" ref="K92:K124" si="34">ROUND((2*$T92+6*$U92)*K$3,0)</f>
        <v>0</v>
      </c>
      <c r="L92" s="138">
        <f t="shared" ref="L92:L124" si="35">K92*$Q92</f>
        <v>0</v>
      </c>
      <c r="M92" s="138">
        <f t="shared" ref="M92:M124" si="36">ROUND((2*$T92+7*$U92)*M$3,0)</f>
        <v>0</v>
      </c>
      <c r="N92" s="138">
        <f t="shared" ref="N92:N124" si="37">M92*$Q92</f>
        <v>0</v>
      </c>
      <c r="O92" s="138">
        <f t="shared" ref="O92:O124" si="38">C92+E92+G92+I92+K92+M92</f>
        <v>0</v>
      </c>
      <c r="P92" s="154"/>
      <c r="Q92" s="141"/>
      <c r="R92" s="137"/>
    </row>
    <row r="93" spans="1:21" x14ac:dyDescent="0.2">
      <c r="A93" s="150"/>
      <c r="B93" s="82" t="s">
        <v>330</v>
      </c>
      <c r="C93" s="138">
        <f t="shared" si="26"/>
        <v>0</v>
      </c>
      <c r="D93" s="138">
        <f t="shared" si="27"/>
        <v>0</v>
      </c>
      <c r="E93" s="138">
        <f t="shared" si="28"/>
        <v>0</v>
      </c>
      <c r="F93" s="138">
        <f t="shared" si="29"/>
        <v>0</v>
      </c>
      <c r="G93" s="138">
        <f t="shared" si="30"/>
        <v>0</v>
      </c>
      <c r="H93" s="138">
        <f t="shared" si="31"/>
        <v>0</v>
      </c>
      <c r="I93" s="138">
        <f t="shared" si="32"/>
        <v>0</v>
      </c>
      <c r="J93" s="138">
        <f t="shared" si="33"/>
        <v>0</v>
      </c>
      <c r="K93" s="138">
        <f t="shared" si="34"/>
        <v>0</v>
      </c>
      <c r="L93" s="138">
        <f t="shared" si="35"/>
        <v>0</v>
      </c>
      <c r="M93" s="138">
        <f t="shared" si="36"/>
        <v>0</v>
      </c>
      <c r="N93" s="138">
        <f t="shared" si="37"/>
        <v>0</v>
      </c>
      <c r="O93" s="138">
        <f t="shared" si="38"/>
        <v>0</v>
      </c>
      <c r="P93" s="9"/>
      <c r="Q93" s="141"/>
      <c r="R93" s="137"/>
    </row>
    <row r="94" spans="1:21" x14ac:dyDescent="0.2">
      <c r="A94" s="150"/>
      <c r="B94" s="82"/>
      <c r="C94" s="138">
        <f t="shared" si="26"/>
        <v>0</v>
      </c>
      <c r="D94" s="138">
        <f t="shared" si="27"/>
        <v>0</v>
      </c>
      <c r="E94" s="138">
        <f t="shared" si="28"/>
        <v>0</v>
      </c>
      <c r="F94" s="138">
        <f t="shared" si="29"/>
        <v>0</v>
      </c>
      <c r="G94" s="138">
        <f t="shared" si="30"/>
        <v>0</v>
      </c>
      <c r="H94" s="138">
        <f t="shared" si="31"/>
        <v>0</v>
      </c>
      <c r="I94" s="138">
        <f t="shared" si="32"/>
        <v>0</v>
      </c>
      <c r="J94" s="138">
        <f t="shared" si="33"/>
        <v>0</v>
      </c>
      <c r="K94" s="138">
        <f t="shared" si="34"/>
        <v>0</v>
      </c>
      <c r="L94" s="138">
        <f t="shared" si="35"/>
        <v>0</v>
      </c>
      <c r="M94" s="138">
        <f t="shared" si="36"/>
        <v>0</v>
      </c>
      <c r="N94" s="138">
        <f t="shared" si="37"/>
        <v>0</v>
      </c>
      <c r="O94" s="138">
        <f t="shared" si="38"/>
        <v>0</v>
      </c>
      <c r="P94" s="9"/>
      <c r="Q94" s="141"/>
      <c r="R94" s="137"/>
    </row>
    <row r="95" spans="1:21" x14ac:dyDescent="0.2">
      <c r="A95" s="150" t="s">
        <v>66</v>
      </c>
      <c r="B95" s="136" t="s">
        <v>242</v>
      </c>
      <c r="C95" s="138">
        <f t="shared" si="26"/>
        <v>288</v>
      </c>
      <c r="D95" s="138">
        <f t="shared" si="27"/>
        <v>0</v>
      </c>
      <c r="E95" s="138">
        <f t="shared" si="28"/>
        <v>353</v>
      </c>
      <c r="F95" s="138">
        <f t="shared" si="29"/>
        <v>0</v>
      </c>
      <c r="G95" s="138">
        <f t="shared" si="30"/>
        <v>2090</v>
      </c>
      <c r="H95" s="138">
        <f t="shared" si="31"/>
        <v>0</v>
      </c>
      <c r="I95" s="138">
        <f t="shared" si="32"/>
        <v>483</v>
      </c>
      <c r="J95" s="138">
        <f t="shared" si="33"/>
        <v>0</v>
      </c>
      <c r="K95" s="138">
        <f t="shared" si="34"/>
        <v>1644</v>
      </c>
      <c r="L95" s="138">
        <f t="shared" si="35"/>
        <v>0</v>
      </c>
      <c r="M95" s="138">
        <f t="shared" si="36"/>
        <v>613</v>
      </c>
      <c r="N95" s="138">
        <f t="shared" si="37"/>
        <v>0</v>
      </c>
      <c r="O95" s="138">
        <f>C95+E95+G95+I95+K95+M95</f>
        <v>5471</v>
      </c>
      <c r="P95" s="9" t="s">
        <v>12</v>
      </c>
      <c r="Q95" s="141"/>
      <c r="R95" s="137">
        <f>O95*Q95</f>
        <v>0</v>
      </c>
      <c r="T95" s="119">
        <f>57+22</f>
        <v>79</v>
      </c>
      <c r="U95" s="119">
        <f>45+20</f>
        <v>65</v>
      </c>
    </row>
    <row r="96" spans="1:21" x14ac:dyDescent="0.2">
      <c r="A96" s="150"/>
      <c r="B96" s="114"/>
      <c r="C96" s="138">
        <f t="shared" si="26"/>
        <v>0</v>
      </c>
      <c r="D96" s="138">
        <f t="shared" si="27"/>
        <v>0</v>
      </c>
      <c r="E96" s="138">
        <f t="shared" si="28"/>
        <v>0</v>
      </c>
      <c r="F96" s="138">
        <f t="shared" si="29"/>
        <v>0</v>
      </c>
      <c r="G96" s="138">
        <f t="shared" si="30"/>
        <v>0</v>
      </c>
      <c r="H96" s="138">
        <f t="shared" si="31"/>
        <v>0</v>
      </c>
      <c r="I96" s="138">
        <f t="shared" si="32"/>
        <v>0</v>
      </c>
      <c r="J96" s="138">
        <f t="shared" si="33"/>
        <v>0</v>
      </c>
      <c r="K96" s="138">
        <f t="shared" si="34"/>
        <v>0</v>
      </c>
      <c r="L96" s="138">
        <f t="shared" si="35"/>
        <v>0</v>
      </c>
      <c r="M96" s="138">
        <f t="shared" si="36"/>
        <v>0</v>
      </c>
      <c r="N96" s="138">
        <f t="shared" si="37"/>
        <v>0</v>
      </c>
      <c r="O96" s="138">
        <f t="shared" si="38"/>
        <v>0</v>
      </c>
      <c r="P96" s="154"/>
      <c r="Q96" s="141"/>
      <c r="R96" s="137"/>
    </row>
    <row r="97" spans="1:21" ht="28.5" x14ac:dyDescent="0.2">
      <c r="A97" s="150"/>
      <c r="B97" s="82" t="s">
        <v>331</v>
      </c>
      <c r="C97" s="138">
        <f t="shared" si="26"/>
        <v>0</v>
      </c>
      <c r="D97" s="138">
        <f t="shared" si="27"/>
        <v>0</v>
      </c>
      <c r="E97" s="138">
        <f t="shared" si="28"/>
        <v>0</v>
      </c>
      <c r="F97" s="138">
        <f t="shared" si="29"/>
        <v>0</v>
      </c>
      <c r="G97" s="138">
        <f t="shared" si="30"/>
        <v>0</v>
      </c>
      <c r="H97" s="138">
        <f t="shared" si="31"/>
        <v>0</v>
      </c>
      <c r="I97" s="138">
        <f t="shared" si="32"/>
        <v>0</v>
      </c>
      <c r="J97" s="138">
        <f t="shared" si="33"/>
        <v>0</v>
      </c>
      <c r="K97" s="138">
        <f t="shared" si="34"/>
        <v>0</v>
      </c>
      <c r="L97" s="138">
        <f t="shared" si="35"/>
        <v>0</v>
      </c>
      <c r="M97" s="138">
        <f t="shared" si="36"/>
        <v>0</v>
      </c>
      <c r="N97" s="138">
        <f t="shared" si="37"/>
        <v>0</v>
      </c>
      <c r="O97" s="138">
        <f t="shared" si="38"/>
        <v>0</v>
      </c>
      <c r="P97" s="9"/>
      <c r="Q97" s="141"/>
      <c r="R97" s="137"/>
    </row>
    <row r="98" spans="1:21" x14ac:dyDescent="0.2">
      <c r="A98" s="150"/>
      <c r="B98" s="82"/>
      <c r="C98" s="138">
        <f t="shared" si="26"/>
        <v>0</v>
      </c>
      <c r="D98" s="138">
        <f t="shared" si="27"/>
        <v>0</v>
      </c>
      <c r="E98" s="138">
        <f t="shared" si="28"/>
        <v>0</v>
      </c>
      <c r="F98" s="138">
        <f t="shared" si="29"/>
        <v>0</v>
      </c>
      <c r="G98" s="138">
        <f t="shared" si="30"/>
        <v>0</v>
      </c>
      <c r="H98" s="138">
        <f t="shared" si="31"/>
        <v>0</v>
      </c>
      <c r="I98" s="138">
        <f t="shared" si="32"/>
        <v>0</v>
      </c>
      <c r="J98" s="138">
        <f t="shared" si="33"/>
        <v>0</v>
      </c>
      <c r="K98" s="138">
        <f t="shared" si="34"/>
        <v>0</v>
      </c>
      <c r="L98" s="138">
        <f t="shared" si="35"/>
        <v>0</v>
      </c>
      <c r="M98" s="138">
        <f t="shared" si="36"/>
        <v>0</v>
      </c>
      <c r="N98" s="138">
        <f t="shared" si="37"/>
        <v>0</v>
      </c>
      <c r="O98" s="138">
        <f t="shared" si="38"/>
        <v>0</v>
      </c>
      <c r="P98" s="9"/>
      <c r="Q98" s="141"/>
      <c r="R98" s="137"/>
    </row>
    <row r="99" spans="1:21" x14ac:dyDescent="0.2">
      <c r="A99" s="150" t="s">
        <v>67</v>
      </c>
      <c r="B99" s="136" t="s">
        <v>242</v>
      </c>
      <c r="C99" s="138">
        <f t="shared" si="26"/>
        <v>288</v>
      </c>
      <c r="D99" s="138">
        <f t="shared" si="27"/>
        <v>0</v>
      </c>
      <c r="E99" s="138">
        <f t="shared" si="28"/>
        <v>353</v>
      </c>
      <c r="F99" s="138">
        <f t="shared" si="29"/>
        <v>0</v>
      </c>
      <c r="G99" s="138">
        <f t="shared" si="30"/>
        <v>2090</v>
      </c>
      <c r="H99" s="138">
        <f t="shared" si="31"/>
        <v>0</v>
      </c>
      <c r="I99" s="138">
        <f t="shared" si="32"/>
        <v>483</v>
      </c>
      <c r="J99" s="138">
        <f t="shared" si="33"/>
        <v>0</v>
      </c>
      <c r="K99" s="138">
        <f t="shared" si="34"/>
        <v>1644</v>
      </c>
      <c r="L99" s="138">
        <f t="shared" si="35"/>
        <v>0</v>
      </c>
      <c r="M99" s="138">
        <f t="shared" si="36"/>
        <v>613</v>
      </c>
      <c r="N99" s="138">
        <f t="shared" si="37"/>
        <v>0</v>
      </c>
      <c r="O99" s="138">
        <f>C99+E99+G99+I99+K99+M99</f>
        <v>5471</v>
      </c>
      <c r="P99" s="9" t="s">
        <v>12</v>
      </c>
      <c r="Q99" s="141"/>
      <c r="R99" s="137">
        <f>O99*Q99</f>
        <v>0</v>
      </c>
      <c r="T99" s="119">
        <f>T95</f>
        <v>79</v>
      </c>
      <c r="U99" s="119">
        <f>U95</f>
        <v>65</v>
      </c>
    </row>
    <row r="100" spans="1:21" x14ac:dyDescent="0.2">
      <c r="A100" s="150"/>
      <c r="B100" s="114"/>
      <c r="C100" s="138">
        <f t="shared" si="26"/>
        <v>0</v>
      </c>
      <c r="D100" s="138">
        <f t="shared" si="27"/>
        <v>0</v>
      </c>
      <c r="E100" s="138">
        <f t="shared" si="28"/>
        <v>0</v>
      </c>
      <c r="F100" s="138">
        <f t="shared" si="29"/>
        <v>0</v>
      </c>
      <c r="G100" s="138">
        <f t="shared" si="30"/>
        <v>0</v>
      </c>
      <c r="H100" s="138">
        <f t="shared" si="31"/>
        <v>0</v>
      </c>
      <c r="I100" s="138">
        <f t="shared" si="32"/>
        <v>0</v>
      </c>
      <c r="J100" s="138">
        <f t="shared" si="33"/>
        <v>0</v>
      </c>
      <c r="K100" s="138">
        <f t="shared" si="34"/>
        <v>0</v>
      </c>
      <c r="L100" s="138">
        <f t="shared" si="35"/>
        <v>0</v>
      </c>
      <c r="M100" s="138">
        <f t="shared" si="36"/>
        <v>0</v>
      </c>
      <c r="N100" s="138">
        <f t="shared" si="37"/>
        <v>0</v>
      </c>
      <c r="O100" s="138">
        <f t="shared" si="38"/>
        <v>0</v>
      </c>
      <c r="P100" s="154"/>
      <c r="Q100" s="141"/>
      <c r="R100" s="137"/>
    </row>
    <row r="101" spans="1:21" x14ac:dyDescent="0.2">
      <c r="A101" s="150"/>
      <c r="B101" s="114" t="s">
        <v>196</v>
      </c>
      <c r="C101" s="138">
        <f t="shared" si="26"/>
        <v>0</v>
      </c>
      <c r="D101" s="138">
        <f t="shared" si="27"/>
        <v>0</v>
      </c>
      <c r="E101" s="138">
        <f t="shared" si="28"/>
        <v>0</v>
      </c>
      <c r="F101" s="138">
        <f t="shared" si="29"/>
        <v>0</v>
      </c>
      <c r="G101" s="138">
        <f t="shared" si="30"/>
        <v>0</v>
      </c>
      <c r="H101" s="138">
        <f t="shared" si="31"/>
        <v>0</v>
      </c>
      <c r="I101" s="138">
        <f t="shared" si="32"/>
        <v>0</v>
      </c>
      <c r="J101" s="138">
        <f t="shared" si="33"/>
        <v>0</v>
      </c>
      <c r="K101" s="138">
        <f t="shared" si="34"/>
        <v>0</v>
      </c>
      <c r="L101" s="138">
        <f t="shared" si="35"/>
        <v>0</v>
      </c>
      <c r="M101" s="138">
        <f t="shared" si="36"/>
        <v>0</v>
      </c>
      <c r="N101" s="138">
        <f t="shared" si="37"/>
        <v>0</v>
      </c>
      <c r="O101" s="138">
        <f t="shared" si="38"/>
        <v>0</v>
      </c>
      <c r="P101" s="154"/>
      <c r="Q101" s="141"/>
      <c r="R101" s="137"/>
    </row>
    <row r="102" spans="1:21" x14ac:dyDescent="0.2">
      <c r="A102" s="150"/>
      <c r="B102" s="13"/>
      <c r="C102" s="138">
        <f t="shared" si="26"/>
        <v>0</v>
      </c>
      <c r="D102" s="138">
        <f t="shared" si="27"/>
        <v>0</v>
      </c>
      <c r="E102" s="138">
        <f t="shared" si="28"/>
        <v>0</v>
      </c>
      <c r="F102" s="138">
        <f t="shared" si="29"/>
        <v>0</v>
      </c>
      <c r="G102" s="138">
        <f t="shared" si="30"/>
        <v>0</v>
      </c>
      <c r="H102" s="138">
        <f t="shared" si="31"/>
        <v>0</v>
      </c>
      <c r="I102" s="138">
        <f t="shared" si="32"/>
        <v>0</v>
      </c>
      <c r="J102" s="138">
        <f t="shared" si="33"/>
        <v>0</v>
      </c>
      <c r="K102" s="138">
        <f t="shared" si="34"/>
        <v>0</v>
      </c>
      <c r="L102" s="138">
        <f t="shared" si="35"/>
        <v>0</v>
      </c>
      <c r="M102" s="138">
        <f t="shared" si="36"/>
        <v>0</v>
      </c>
      <c r="N102" s="138">
        <f t="shared" si="37"/>
        <v>0</v>
      </c>
      <c r="O102" s="138">
        <f t="shared" si="38"/>
        <v>0</v>
      </c>
      <c r="P102" s="154"/>
      <c r="Q102" s="141"/>
      <c r="R102" s="137"/>
    </row>
    <row r="103" spans="1:21" ht="28.5" x14ac:dyDescent="0.2">
      <c r="A103" s="150"/>
      <c r="B103" s="111" t="s">
        <v>332</v>
      </c>
      <c r="C103" s="138">
        <f t="shared" si="26"/>
        <v>0</v>
      </c>
      <c r="D103" s="138">
        <f t="shared" si="27"/>
        <v>0</v>
      </c>
      <c r="E103" s="138">
        <f t="shared" si="28"/>
        <v>0</v>
      </c>
      <c r="F103" s="138">
        <f t="shared" si="29"/>
        <v>0</v>
      </c>
      <c r="G103" s="138">
        <f t="shared" si="30"/>
        <v>0</v>
      </c>
      <c r="H103" s="138">
        <f t="shared" si="31"/>
        <v>0</v>
      </c>
      <c r="I103" s="138">
        <f t="shared" si="32"/>
        <v>0</v>
      </c>
      <c r="J103" s="138">
        <f t="shared" si="33"/>
        <v>0</v>
      </c>
      <c r="K103" s="138">
        <f t="shared" si="34"/>
        <v>0</v>
      </c>
      <c r="L103" s="138">
        <f t="shared" si="35"/>
        <v>0</v>
      </c>
      <c r="M103" s="138">
        <f t="shared" si="36"/>
        <v>0</v>
      </c>
      <c r="N103" s="138">
        <f t="shared" si="37"/>
        <v>0</v>
      </c>
      <c r="O103" s="138">
        <f t="shared" si="38"/>
        <v>0</v>
      </c>
      <c r="P103" s="154"/>
      <c r="Q103" s="141"/>
      <c r="R103" s="137"/>
    </row>
    <row r="104" spans="1:21" x14ac:dyDescent="0.2">
      <c r="A104" s="150"/>
      <c r="B104" s="7"/>
      <c r="C104" s="138">
        <f t="shared" si="26"/>
        <v>0</v>
      </c>
      <c r="D104" s="138">
        <f t="shared" si="27"/>
        <v>0</v>
      </c>
      <c r="E104" s="138">
        <f t="shared" si="28"/>
        <v>0</v>
      </c>
      <c r="F104" s="138">
        <f t="shared" si="29"/>
        <v>0</v>
      </c>
      <c r="G104" s="138">
        <f t="shared" si="30"/>
        <v>0</v>
      </c>
      <c r="H104" s="138">
        <f t="shared" si="31"/>
        <v>0</v>
      </c>
      <c r="I104" s="138">
        <f t="shared" si="32"/>
        <v>0</v>
      </c>
      <c r="J104" s="138">
        <f t="shared" si="33"/>
        <v>0</v>
      </c>
      <c r="K104" s="138">
        <f t="shared" si="34"/>
        <v>0</v>
      </c>
      <c r="L104" s="138">
        <f t="shared" si="35"/>
        <v>0</v>
      </c>
      <c r="M104" s="138">
        <f t="shared" si="36"/>
        <v>0</v>
      </c>
      <c r="N104" s="138">
        <f t="shared" si="37"/>
        <v>0</v>
      </c>
      <c r="O104" s="138">
        <f t="shared" si="38"/>
        <v>0</v>
      </c>
      <c r="P104" s="154"/>
      <c r="Q104" s="141"/>
      <c r="R104" s="137"/>
    </row>
    <row r="105" spans="1:21" x14ac:dyDescent="0.2">
      <c r="A105" s="150" t="s">
        <v>68</v>
      </c>
      <c r="B105" s="112" t="s">
        <v>333</v>
      </c>
      <c r="C105" s="138">
        <f t="shared" si="26"/>
        <v>18</v>
      </c>
      <c r="D105" s="138">
        <f t="shared" si="27"/>
        <v>0</v>
      </c>
      <c r="E105" s="138">
        <f t="shared" si="28"/>
        <v>25</v>
      </c>
      <c r="F105" s="138">
        <f t="shared" si="29"/>
        <v>0</v>
      </c>
      <c r="G105" s="138">
        <f t="shared" si="30"/>
        <v>160</v>
      </c>
      <c r="H105" s="138">
        <f t="shared" si="31"/>
        <v>0</v>
      </c>
      <c r="I105" s="138">
        <f t="shared" si="32"/>
        <v>39</v>
      </c>
      <c r="J105" s="138">
        <f t="shared" si="33"/>
        <v>0</v>
      </c>
      <c r="K105" s="138">
        <f t="shared" si="34"/>
        <v>138</v>
      </c>
      <c r="L105" s="138">
        <f t="shared" si="35"/>
        <v>0</v>
      </c>
      <c r="M105" s="138">
        <f t="shared" si="36"/>
        <v>53</v>
      </c>
      <c r="N105" s="138">
        <f t="shared" si="37"/>
        <v>0</v>
      </c>
      <c r="O105" s="138">
        <f>C105+E105+G105+I105+K105+M105</f>
        <v>433</v>
      </c>
      <c r="P105" s="9" t="s">
        <v>10</v>
      </c>
      <c r="Q105" s="141"/>
      <c r="R105" s="137">
        <f>O105*Q105</f>
        <v>0</v>
      </c>
      <c r="T105" s="119">
        <v>2</v>
      </c>
      <c r="U105" s="119">
        <v>7</v>
      </c>
    </row>
    <row r="106" spans="1:21" x14ac:dyDescent="0.2">
      <c r="A106" s="127"/>
      <c r="B106" s="13"/>
      <c r="C106" s="138">
        <f t="shared" si="26"/>
        <v>0</v>
      </c>
      <c r="D106" s="138">
        <f t="shared" si="27"/>
        <v>0</v>
      </c>
      <c r="E106" s="138">
        <f t="shared" si="28"/>
        <v>0</v>
      </c>
      <c r="F106" s="138">
        <f t="shared" si="29"/>
        <v>0</v>
      </c>
      <c r="G106" s="138">
        <f t="shared" si="30"/>
        <v>0</v>
      </c>
      <c r="H106" s="138">
        <f t="shared" si="31"/>
        <v>0</v>
      </c>
      <c r="I106" s="138">
        <f t="shared" si="32"/>
        <v>0</v>
      </c>
      <c r="J106" s="138">
        <f t="shared" si="33"/>
        <v>0</v>
      </c>
      <c r="K106" s="138">
        <f t="shared" si="34"/>
        <v>0</v>
      </c>
      <c r="L106" s="138">
        <f t="shared" si="35"/>
        <v>0</v>
      </c>
      <c r="M106" s="138">
        <f t="shared" si="36"/>
        <v>0</v>
      </c>
      <c r="N106" s="138">
        <f t="shared" si="37"/>
        <v>0</v>
      </c>
      <c r="O106" s="138">
        <f t="shared" si="38"/>
        <v>0</v>
      </c>
      <c r="P106" s="154"/>
      <c r="Q106" s="141"/>
      <c r="R106" s="137"/>
    </row>
    <row r="107" spans="1:21" ht="28.5" x14ac:dyDescent="0.2">
      <c r="A107" s="127"/>
      <c r="B107" s="111" t="s">
        <v>335</v>
      </c>
      <c r="C107" s="138">
        <f t="shared" si="26"/>
        <v>0</v>
      </c>
      <c r="D107" s="138">
        <f t="shared" si="27"/>
        <v>0</v>
      </c>
      <c r="E107" s="138">
        <f t="shared" si="28"/>
        <v>0</v>
      </c>
      <c r="F107" s="138">
        <f t="shared" si="29"/>
        <v>0</v>
      </c>
      <c r="G107" s="138">
        <f t="shared" si="30"/>
        <v>0</v>
      </c>
      <c r="H107" s="138">
        <f t="shared" si="31"/>
        <v>0</v>
      </c>
      <c r="I107" s="138">
        <f t="shared" si="32"/>
        <v>0</v>
      </c>
      <c r="J107" s="138">
        <f t="shared" si="33"/>
        <v>0</v>
      </c>
      <c r="K107" s="138">
        <f t="shared" si="34"/>
        <v>0</v>
      </c>
      <c r="L107" s="138">
        <f t="shared" si="35"/>
        <v>0</v>
      </c>
      <c r="M107" s="138">
        <f t="shared" si="36"/>
        <v>0</v>
      </c>
      <c r="N107" s="138">
        <f t="shared" si="37"/>
        <v>0</v>
      </c>
      <c r="O107" s="138">
        <f t="shared" si="38"/>
        <v>0</v>
      </c>
      <c r="P107" s="154"/>
      <c r="Q107" s="141"/>
      <c r="R107" s="137"/>
    </row>
    <row r="108" spans="1:21" x14ac:dyDescent="0.2">
      <c r="A108" s="127"/>
      <c r="B108" s="13"/>
      <c r="C108" s="138">
        <f t="shared" si="26"/>
        <v>0</v>
      </c>
      <c r="D108" s="138">
        <f t="shared" si="27"/>
        <v>0</v>
      </c>
      <c r="E108" s="138">
        <f t="shared" si="28"/>
        <v>0</v>
      </c>
      <c r="F108" s="138">
        <f t="shared" si="29"/>
        <v>0</v>
      </c>
      <c r="G108" s="138">
        <f t="shared" si="30"/>
        <v>0</v>
      </c>
      <c r="H108" s="138">
        <f t="shared" si="31"/>
        <v>0</v>
      </c>
      <c r="I108" s="138">
        <f t="shared" si="32"/>
        <v>0</v>
      </c>
      <c r="J108" s="138">
        <f t="shared" si="33"/>
        <v>0</v>
      </c>
      <c r="K108" s="138">
        <f t="shared" si="34"/>
        <v>0</v>
      </c>
      <c r="L108" s="138">
        <f t="shared" si="35"/>
        <v>0</v>
      </c>
      <c r="M108" s="138">
        <f t="shared" si="36"/>
        <v>0</v>
      </c>
      <c r="N108" s="138">
        <f t="shared" si="37"/>
        <v>0</v>
      </c>
      <c r="O108" s="138">
        <f t="shared" si="38"/>
        <v>0</v>
      </c>
      <c r="P108" s="154"/>
      <c r="Q108" s="141"/>
      <c r="R108" s="137"/>
    </row>
    <row r="109" spans="1:21" x14ac:dyDescent="0.2">
      <c r="A109" s="127" t="s">
        <v>69</v>
      </c>
      <c r="B109" s="112" t="s">
        <v>248</v>
      </c>
      <c r="C109" s="138">
        <f t="shared" si="26"/>
        <v>42</v>
      </c>
      <c r="D109" s="138">
        <f t="shared" si="27"/>
        <v>0</v>
      </c>
      <c r="E109" s="138">
        <f t="shared" si="28"/>
        <v>50</v>
      </c>
      <c r="F109" s="138">
        <f t="shared" si="29"/>
        <v>0</v>
      </c>
      <c r="G109" s="138">
        <f t="shared" si="30"/>
        <v>290</v>
      </c>
      <c r="H109" s="138">
        <f t="shared" si="31"/>
        <v>0</v>
      </c>
      <c r="I109" s="138">
        <f t="shared" si="32"/>
        <v>66</v>
      </c>
      <c r="J109" s="138">
        <f t="shared" si="33"/>
        <v>0</v>
      </c>
      <c r="K109" s="138">
        <f t="shared" si="34"/>
        <v>222</v>
      </c>
      <c r="L109" s="138">
        <f t="shared" si="35"/>
        <v>0</v>
      </c>
      <c r="M109" s="138">
        <f t="shared" si="36"/>
        <v>82</v>
      </c>
      <c r="N109" s="138">
        <f t="shared" si="37"/>
        <v>0</v>
      </c>
      <c r="O109" s="138">
        <f>C109+E109+G109+I109+K109+M109</f>
        <v>752</v>
      </c>
      <c r="P109" s="9" t="s">
        <v>10</v>
      </c>
      <c r="Q109" s="141"/>
      <c r="R109" s="137">
        <f>O109*Q109</f>
        <v>0</v>
      </c>
      <c r="T109" s="119">
        <v>13</v>
      </c>
      <c r="U109" s="119">
        <v>8</v>
      </c>
    </row>
    <row r="110" spans="1:21" x14ac:dyDescent="0.2">
      <c r="A110" s="127"/>
      <c r="B110" s="13"/>
      <c r="C110" s="138">
        <f t="shared" si="26"/>
        <v>0</v>
      </c>
      <c r="D110" s="138">
        <f t="shared" si="27"/>
        <v>0</v>
      </c>
      <c r="E110" s="138">
        <f t="shared" si="28"/>
        <v>0</v>
      </c>
      <c r="F110" s="138">
        <f t="shared" si="29"/>
        <v>0</v>
      </c>
      <c r="G110" s="138">
        <f t="shared" si="30"/>
        <v>0</v>
      </c>
      <c r="H110" s="138">
        <f t="shared" si="31"/>
        <v>0</v>
      </c>
      <c r="I110" s="138">
        <f t="shared" si="32"/>
        <v>0</v>
      </c>
      <c r="J110" s="138">
        <f t="shared" si="33"/>
        <v>0</v>
      </c>
      <c r="K110" s="138">
        <f t="shared" si="34"/>
        <v>0</v>
      </c>
      <c r="L110" s="138">
        <f t="shared" si="35"/>
        <v>0</v>
      </c>
      <c r="M110" s="138">
        <f t="shared" si="36"/>
        <v>0</v>
      </c>
      <c r="N110" s="138">
        <f t="shared" si="37"/>
        <v>0</v>
      </c>
      <c r="O110" s="138">
        <f t="shared" si="38"/>
        <v>0</v>
      </c>
      <c r="P110" s="154"/>
      <c r="Q110" s="141"/>
      <c r="R110" s="137"/>
    </row>
    <row r="111" spans="1:21" x14ac:dyDescent="0.2">
      <c r="A111" s="127" t="s">
        <v>70</v>
      </c>
      <c r="B111" s="112" t="s">
        <v>336</v>
      </c>
      <c r="C111" s="138">
        <f t="shared" si="26"/>
        <v>54</v>
      </c>
      <c r="D111" s="138">
        <f t="shared" si="27"/>
        <v>0</v>
      </c>
      <c r="E111" s="138">
        <f t="shared" si="28"/>
        <v>66</v>
      </c>
      <c r="F111" s="138">
        <f t="shared" si="29"/>
        <v>0</v>
      </c>
      <c r="G111" s="138">
        <f t="shared" si="30"/>
        <v>390</v>
      </c>
      <c r="H111" s="138">
        <f t="shared" si="31"/>
        <v>0</v>
      </c>
      <c r="I111" s="138">
        <f t="shared" si="32"/>
        <v>90</v>
      </c>
      <c r="J111" s="138">
        <f t="shared" si="33"/>
        <v>0</v>
      </c>
      <c r="K111" s="138">
        <f t="shared" si="34"/>
        <v>306</v>
      </c>
      <c r="L111" s="138">
        <f t="shared" si="35"/>
        <v>0</v>
      </c>
      <c r="M111" s="138">
        <f t="shared" si="36"/>
        <v>114</v>
      </c>
      <c r="N111" s="138">
        <f t="shared" si="37"/>
        <v>0</v>
      </c>
      <c r="O111" s="138">
        <f>C111+E111+G111+I111+K111+M111</f>
        <v>1020</v>
      </c>
      <c r="P111" s="9" t="s">
        <v>12</v>
      </c>
      <c r="Q111" s="141"/>
      <c r="R111" s="137">
        <f>O111*Q111</f>
        <v>0</v>
      </c>
      <c r="T111" s="119">
        <v>15</v>
      </c>
      <c r="U111" s="119">
        <v>12</v>
      </c>
    </row>
    <row r="112" spans="1:21" x14ac:dyDescent="0.2">
      <c r="A112" s="139"/>
      <c r="B112" s="112"/>
      <c r="C112" s="138">
        <f t="shared" si="26"/>
        <v>0</v>
      </c>
      <c r="D112" s="138">
        <f t="shared" si="27"/>
        <v>0</v>
      </c>
      <c r="E112" s="138">
        <f t="shared" si="28"/>
        <v>0</v>
      </c>
      <c r="F112" s="138">
        <f t="shared" si="29"/>
        <v>0</v>
      </c>
      <c r="G112" s="138">
        <f t="shared" si="30"/>
        <v>0</v>
      </c>
      <c r="H112" s="138">
        <f t="shared" si="31"/>
        <v>0</v>
      </c>
      <c r="I112" s="138">
        <f t="shared" si="32"/>
        <v>0</v>
      </c>
      <c r="J112" s="138">
        <f t="shared" si="33"/>
        <v>0</v>
      </c>
      <c r="K112" s="138">
        <f t="shared" si="34"/>
        <v>0</v>
      </c>
      <c r="L112" s="138">
        <f t="shared" si="35"/>
        <v>0</v>
      </c>
      <c r="M112" s="138">
        <f t="shared" si="36"/>
        <v>0</v>
      </c>
      <c r="N112" s="138">
        <f t="shared" si="37"/>
        <v>0</v>
      </c>
      <c r="O112" s="138">
        <f t="shared" si="38"/>
        <v>0</v>
      </c>
      <c r="P112" s="9"/>
      <c r="Q112" s="141"/>
      <c r="R112" s="137"/>
    </row>
    <row r="113" spans="1:21" x14ac:dyDescent="0.2">
      <c r="A113" s="139"/>
      <c r="B113" s="7" t="s">
        <v>86</v>
      </c>
      <c r="C113" s="138">
        <f t="shared" si="26"/>
        <v>0</v>
      </c>
      <c r="D113" s="138">
        <f t="shared" si="27"/>
        <v>0</v>
      </c>
      <c r="E113" s="138">
        <f t="shared" si="28"/>
        <v>0</v>
      </c>
      <c r="F113" s="138">
        <f t="shared" si="29"/>
        <v>0</v>
      </c>
      <c r="G113" s="138">
        <f t="shared" si="30"/>
        <v>0</v>
      </c>
      <c r="H113" s="138">
        <f t="shared" si="31"/>
        <v>0</v>
      </c>
      <c r="I113" s="138">
        <f t="shared" si="32"/>
        <v>0</v>
      </c>
      <c r="J113" s="138">
        <f t="shared" si="33"/>
        <v>0</v>
      </c>
      <c r="K113" s="138">
        <f t="shared" si="34"/>
        <v>0</v>
      </c>
      <c r="L113" s="138">
        <f t="shared" si="35"/>
        <v>0</v>
      </c>
      <c r="M113" s="138">
        <f t="shared" si="36"/>
        <v>0</v>
      </c>
      <c r="N113" s="138">
        <f t="shared" si="37"/>
        <v>0</v>
      </c>
      <c r="O113" s="138">
        <f t="shared" si="38"/>
        <v>0</v>
      </c>
      <c r="P113" s="154"/>
      <c r="Q113" s="141"/>
      <c r="R113" s="137"/>
    </row>
    <row r="114" spans="1:21" x14ac:dyDescent="0.2">
      <c r="A114" s="139"/>
      <c r="B114" s="7"/>
      <c r="C114" s="138">
        <f t="shared" si="26"/>
        <v>0</v>
      </c>
      <c r="D114" s="138">
        <f t="shared" si="27"/>
        <v>0</v>
      </c>
      <c r="E114" s="138">
        <f t="shared" si="28"/>
        <v>0</v>
      </c>
      <c r="F114" s="138">
        <f t="shared" si="29"/>
        <v>0</v>
      </c>
      <c r="G114" s="138">
        <f t="shared" si="30"/>
        <v>0</v>
      </c>
      <c r="H114" s="138">
        <f t="shared" si="31"/>
        <v>0</v>
      </c>
      <c r="I114" s="138">
        <f t="shared" si="32"/>
        <v>0</v>
      </c>
      <c r="J114" s="138">
        <f t="shared" si="33"/>
        <v>0</v>
      </c>
      <c r="K114" s="138">
        <f t="shared" si="34"/>
        <v>0</v>
      </c>
      <c r="L114" s="138">
        <f t="shared" si="35"/>
        <v>0</v>
      </c>
      <c r="M114" s="138">
        <f t="shared" si="36"/>
        <v>0</v>
      </c>
      <c r="N114" s="138">
        <f t="shared" si="37"/>
        <v>0</v>
      </c>
      <c r="O114" s="138">
        <f t="shared" si="38"/>
        <v>0</v>
      </c>
      <c r="P114" s="154"/>
      <c r="Q114" s="141"/>
      <c r="R114" s="137"/>
    </row>
    <row r="115" spans="1:21" ht="28.5" x14ac:dyDescent="0.2">
      <c r="A115" s="139"/>
      <c r="B115" s="7" t="s">
        <v>552</v>
      </c>
      <c r="C115" s="138">
        <f t="shared" si="26"/>
        <v>0</v>
      </c>
      <c r="D115" s="138">
        <f t="shared" si="27"/>
        <v>0</v>
      </c>
      <c r="E115" s="138">
        <f t="shared" si="28"/>
        <v>0</v>
      </c>
      <c r="F115" s="138">
        <f t="shared" si="29"/>
        <v>0</v>
      </c>
      <c r="G115" s="138">
        <f t="shared" si="30"/>
        <v>0</v>
      </c>
      <c r="H115" s="138">
        <f t="shared" si="31"/>
        <v>0</v>
      </c>
      <c r="I115" s="138">
        <f t="shared" si="32"/>
        <v>0</v>
      </c>
      <c r="J115" s="138">
        <f t="shared" si="33"/>
        <v>0</v>
      </c>
      <c r="K115" s="138">
        <f t="shared" si="34"/>
        <v>0</v>
      </c>
      <c r="L115" s="138">
        <f t="shared" si="35"/>
        <v>0</v>
      </c>
      <c r="M115" s="138">
        <f t="shared" si="36"/>
        <v>0</v>
      </c>
      <c r="N115" s="138">
        <f t="shared" si="37"/>
        <v>0</v>
      </c>
      <c r="O115" s="138">
        <f t="shared" si="38"/>
        <v>0</v>
      </c>
      <c r="P115" s="154"/>
      <c r="Q115" s="141"/>
      <c r="R115" s="137"/>
    </row>
    <row r="116" spans="1:21" x14ac:dyDescent="0.2">
      <c r="A116" s="139"/>
      <c r="B116" s="12"/>
      <c r="C116" s="138">
        <f t="shared" si="26"/>
        <v>0</v>
      </c>
      <c r="D116" s="138">
        <f t="shared" si="27"/>
        <v>0</v>
      </c>
      <c r="E116" s="138">
        <f t="shared" si="28"/>
        <v>0</v>
      </c>
      <c r="F116" s="138">
        <f t="shared" si="29"/>
        <v>0</v>
      </c>
      <c r="G116" s="138">
        <f t="shared" si="30"/>
        <v>0</v>
      </c>
      <c r="H116" s="138">
        <f t="shared" si="31"/>
        <v>0</v>
      </c>
      <c r="I116" s="138">
        <f t="shared" si="32"/>
        <v>0</v>
      </c>
      <c r="J116" s="138">
        <f t="shared" si="33"/>
        <v>0</v>
      </c>
      <c r="K116" s="138">
        <f t="shared" si="34"/>
        <v>0</v>
      </c>
      <c r="L116" s="138">
        <f t="shared" si="35"/>
        <v>0</v>
      </c>
      <c r="M116" s="138">
        <f t="shared" si="36"/>
        <v>0</v>
      </c>
      <c r="N116" s="138">
        <f t="shared" si="37"/>
        <v>0</v>
      </c>
      <c r="O116" s="138">
        <f t="shared" si="38"/>
        <v>0</v>
      </c>
      <c r="P116" s="154"/>
      <c r="Q116" s="141"/>
      <c r="R116" s="137"/>
      <c r="T116" s="142"/>
      <c r="U116" s="142"/>
    </row>
    <row r="117" spans="1:21" ht="14.25" customHeight="1" x14ac:dyDescent="0.2">
      <c r="A117" s="139" t="s">
        <v>71</v>
      </c>
      <c r="B117" s="12" t="s">
        <v>481</v>
      </c>
      <c r="C117" s="138">
        <f t="shared" si="26"/>
        <v>18</v>
      </c>
      <c r="D117" s="138">
        <f t="shared" si="27"/>
        <v>0</v>
      </c>
      <c r="E117" s="138">
        <f t="shared" si="28"/>
        <v>25</v>
      </c>
      <c r="F117" s="138">
        <f t="shared" si="29"/>
        <v>0</v>
      </c>
      <c r="G117" s="138">
        <f t="shared" si="30"/>
        <v>160</v>
      </c>
      <c r="H117" s="138">
        <f t="shared" si="31"/>
        <v>0</v>
      </c>
      <c r="I117" s="138">
        <f t="shared" si="32"/>
        <v>39</v>
      </c>
      <c r="J117" s="138">
        <f t="shared" si="33"/>
        <v>0</v>
      </c>
      <c r="K117" s="138">
        <f t="shared" si="34"/>
        <v>138</v>
      </c>
      <c r="L117" s="138">
        <f t="shared" si="35"/>
        <v>0</v>
      </c>
      <c r="M117" s="138">
        <f t="shared" si="36"/>
        <v>53</v>
      </c>
      <c r="N117" s="138">
        <f t="shared" si="37"/>
        <v>0</v>
      </c>
      <c r="O117" s="138">
        <f>C117+E117+G117+I117+K117+M117</f>
        <v>433</v>
      </c>
      <c r="P117" s="9" t="s">
        <v>10</v>
      </c>
      <c r="Q117" s="141"/>
      <c r="R117" s="137">
        <f>O117*Q117</f>
        <v>0</v>
      </c>
      <c r="T117" s="142">
        <v>2</v>
      </c>
      <c r="U117" s="142">
        <f>5+2</f>
        <v>7</v>
      </c>
    </row>
    <row r="118" spans="1:21" x14ac:dyDescent="0.2">
      <c r="A118" s="139"/>
      <c r="B118" s="24"/>
      <c r="C118" s="138">
        <f t="shared" si="26"/>
        <v>0</v>
      </c>
      <c r="D118" s="138">
        <f t="shared" si="27"/>
        <v>0</v>
      </c>
      <c r="E118" s="138">
        <f t="shared" si="28"/>
        <v>0</v>
      </c>
      <c r="F118" s="138">
        <f t="shared" si="29"/>
        <v>0</v>
      </c>
      <c r="G118" s="138">
        <f t="shared" si="30"/>
        <v>0</v>
      </c>
      <c r="H118" s="138">
        <f t="shared" si="31"/>
        <v>0</v>
      </c>
      <c r="I118" s="138">
        <f t="shared" si="32"/>
        <v>0</v>
      </c>
      <c r="J118" s="138">
        <f t="shared" si="33"/>
        <v>0</v>
      </c>
      <c r="K118" s="138">
        <f t="shared" si="34"/>
        <v>0</v>
      </c>
      <c r="L118" s="138">
        <f t="shared" si="35"/>
        <v>0</v>
      </c>
      <c r="M118" s="138">
        <f t="shared" si="36"/>
        <v>0</v>
      </c>
      <c r="N118" s="138">
        <f t="shared" si="37"/>
        <v>0</v>
      </c>
      <c r="O118" s="138">
        <f t="shared" si="38"/>
        <v>0</v>
      </c>
      <c r="P118" s="154"/>
      <c r="Q118" s="141"/>
      <c r="R118" s="137"/>
    </row>
    <row r="119" spans="1:21" x14ac:dyDescent="0.2">
      <c r="A119" s="139" t="s">
        <v>72</v>
      </c>
      <c r="B119" s="12" t="s">
        <v>480</v>
      </c>
      <c r="C119" s="138">
        <f t="shared" si="26"/>
        <v>42</v>
      </c>
      <c r="D119" s="138">
        <f t="shared" si="27"/>
        <v>0</v>
      </c>
      <c r="E119" s="138">
        <f t="shared" si="28"/>
        <v>50</v>
      </c>
      <c r="F119" s="138">
        <f t="shared" si="29"/>
        <v>0</v>
      </c>
      <c r="G119" s="138">
        <f t="shared" si="30"/>
        <v>290</v>
      </c>
      <c r="H119" s="138">
        <f t="shared" si="31"/>
        <v>0</v>
      </c>
      <c r="I119" s="138">
        <f t="shared" si="32"/>
        <v>66</v>
      </c>
      <c r="J119" s="138">
        <f t="shared" si="33"/>
        <v>0</v>
      </c>
      <c r="K119" s="138">
        <f t="shared" si="34"/>
        <v>222</v>
      </c>
      <c r="L119" s="138">
        <f t="shared" si="35"/>
        <v>0</v>
      </c>
      <c r="M119" s="138">
        <f t="shared" si="36"/>
        <v>82</v>
      </c>
      <c r="N119" s="138">
        <f t="shared" si="37"/>
        <v>0</v>
      </c>
      <c r="O119" s="138">
        <f>C119+E119+G119+I119+K119+M119</f>
        <v>752</v>
      </c>
      <c r="P119" s="154" t="s">
        <v>10</v>
      </c>
      <c r="Q119" s="141"/>
      <c r="R119" s="137">
        <f>O119*Q119</f>
        <v>0</v>
      </c>
      <c r="T119" s="119">
        <f>T109</f>
        <v>13</v>
      </c>
      <c r="U119" s="119">
        <f>U109</f>
        <v>8</v>
      </c>
    </row>
    <row r="120" spans="1:21" x14ac:dyDescent="0.2">
      <c r="A120" s="139"/>
      <c r="B120" s="24"/>
      <c r="C120" s="138">
        <f t="shared" si="26"/>
        <v>0</v>
      </c>
      <c r="D120" s="138">
        <f t="shared" si="27"/>
        <v>0</v>
      </c>
      <c r="E120" s="138">
        <f t="shared" si="28"/>
        <v>0</v>
      </c>
      <c r="F120" s="138">
        <f t="shared" si="29"/>
        <v>0</v>
      </c>
      <c r="G120" s="138">
        <f t="shared" si="30"/>
        <v>0</v>
      </c>
      <c r="H120" s="138">
        <f t="shared" si="31"/>
        <v>0</v>
      </c>
      <c r="I120" s="138">
        <f t="shared" si="32"/>
        <v>0</v>
      </c>
      <c r="J120" s="138">
        <f t="shared" si="33"/>
        <v>0</v>
      </c>
      <c r="K120" s="138">
        <f t="shared" si="34"/>
        <v>0</v>
      </c>
      <c r="L120" s="138">
        <f t="shared" si="35"/>
        <v>0</v>
      </c>
      <c r="M120" s="138">
        <f t="shared" si="36"/>
        <v>0</v>
      </c>
      <c r="N120" s="138">
        <f t="shared" si="37"/>
        <v>0</v>
      </c>
      <c r="O120" s="138">
        <f t="shared" si="38"/>
        <v>0</v>
      </c>
      <c r="P120" s="154"/>
      <c r="Q120" s="141"/>
      <c r="R120" s="137"/>
    </row>
    <row r="121" spans="1:21" ht="57" x14ac:dyDescent="0.2">
      <c r="A121" s="139"/>
      <c r="B121" s="115" t="s">
        <v>551</v>
      </c>
      <c r="C121" s="138">
        <f t="shared" si="26"/>
        <v>0</v>
      </c>
      <c r="D121" s="138">
        <f t="shared" si="27"/>
        <v>0</v>
      </c>
      <c r="E121" s="138">
        <f t="shared" si="28"/>
        <v>0</v>
      </c>
      <c r="F121" s="138">
        <f t="shared" si="29"/>
        <v>0</v>
      </c>
      <c r="G121" s="138">
        <f t="shared" si="30"/>
        <v>0</v>
      </c>
      <c r="H121" s="138">
        <f t="shared" si="31"/>
        <v>0</v>
      </c>
      <c r="I121" s="138">
        <f t="shared" si="32"/>
        <v>0</v>
      </c>
      <c r="J121" s="138">
        <f t="shared" si="33"/>
        <v>0</v>
      </c>
      <c r="K121" s="138">
        <f t="shared" si="34"/>
        <v>0</v>
      </c>
      <c r="L121" s="138">
        <f t="shared" si="35"/>
        <v>0</v>
      </c>
      <c r="M121" s="138">
        <f t="shared" si="36"/>
        <v>0</v>
      </c>
      <c r="N121" s="138">
        <f t="shared" si="37"/>
        <v>0</v>
      </c>
      <c r="O121" s="138">
        <f t="shared" si="38"/>
        <v>0</v>
      </c>
      <c r="P121" s="154"/>
      <c r="Q121" s="141"/>
      <c r="R121" s="137"/>
    </row>
    <row r="122" spans="1:21" x14ac:dyDescent="0.2">
      <c r="A122" s="139"/>
      <c r="B122" s="115"/>
      <c r="C122" s="138">
        <f t="shared" si="26"/>
        <v>0</v>
      </c>
      <c r="D122" s="138">
        <f t="shared" si="27"/>
        <v>0</v>
      </c>
      <c r="E122" s="138">
        <f t="shared" si="28"/>
        <v>0</v>
      </c>
      <c r="F122" s="138">
        <f t="shared" si="29"/>
        <v>0</v>
      </c>
      <c r="G122" s="138">
        <f t="shared" si="30"/>
        <v>0</v>
      </c>
      <c r="H122" s="138">
        <f t="shared" si="31"/>
        <v>0</v>
      </c>
      <c r="I122" s="138">
        <f t="shared" si="32"/>
        <v>0</v>
      </c>
      <c r="J122" s="138">
        <f t="shared" si="33"/>
        <v>0</v>
      </c>
      <c r="K122" s="138">
        <f t="shared" si="34"/>
        <v>0</v>
      </c>
      <c r="L122" s="138">
        <f t="shared" si="35"/>
        <v>0</v>
      </c>
      <c r="M122" s="138">
        <f t="shared" si="36"/>
        <v>0</v>
      </c>
      <c r="N122" s="138">
        <f t="shared" si="37"/>
        <v>0</v>
      </c>
      <c r="O122" s="138">
        <f t="shared" si="38"/>
        <v>0</v>
      </c>
      <c r="P122" s="154"/>
      <c r="Q122" s="141"/>
      <c r="R122" s="137"/>
    </row>
    <row r="123" spans="1:21" x14ac:dyDescent="0.2">
      <c r="A123" s="139" t="s">
        <v>73</v>
      </c>
      <c r="B123" s="112" t="s">
        <v>337</v>
      </c>
      <c r="C123" s="138">
        <f t="shared" si="26"/>
        <v>18</v>
      </c>
      <c r="D123" s="138">
        <f t="shared" si="27"/>
        <v>0</v>
      </c>
      <c r="E123" s="138">
        <f t="shared" si="28"/>
        <v>25</v>
      </c>
      <c r="F123" s="138">
        <f t="shared" si="29"/>
        <v>0</v>
      </c>
      <c r="G123" s="138">
        <f t="shared" si="30"/>
        <v>160</v>
      </c>
      <c r="H123" s="138">
        <f t="shared" si="31"/>
        <v>0</v>
      </c>
      <c r="I123" s="138">
        <f t="shared" si="32"/>
        <v>39</v>
      </c>
      <c r="J123" s="138">
        <f t="shared" si="33"/>
        <v>0</v>
      </c>
      <c r="K123" s="138">
        <f t="shared" si="34"/>
        <v>138</v>
      </c>
      <c r="L123" s="138">
        <f t="shared" si="35"/>
        <v>0</v>
      </c>
      <c r="M123" s="138">
        <f t="shared" si="36"/>
        <v>53</v>
      </c>
      <c r="N123" s="138">
        <f t="shared" si="37"/>
        <v>0</v>
      </c>
      <c r="O123" s="138">
        <f>C123+E123+G123+I123+K123+M123</f>
        <v>433</v>
      </c>
      <c r="P123" s="9" t="s">
        <v>10</v>
      </c>
      <c r="Q123" s="141"/>
      <c r="R123" s="137">
        <f>O123*Q123</f>
        <v>0</v>
      </c>
      <c r="T123" s="119">
        <f>T105</f>
        <v>2</v>
      </c>
      <c r="U123" s="119">
        <f>U105</f>
        <v>7</v>
      </c>
    </row>
    <row r="124" spans="1:21" x14ac:dyDescent="0.2">
      <c r="A124" s="139"/>
      <c r="B124" s="112"/>
      <c r="C124" s="138">
        <f t="shared" si="26"/>
        <v>0</v>
      </c>
      <c r="D124" s="138">
        <f t="shared" si="27"/>
        <v>0</v>
      </c>
      <c r="E124" s="138">
        <f t="shared" si="28"/>
        <v>0</v>
      </c>
      <c r="F124" s="138">
        <f t="shared" si="29"/>
        <v>0</v>
      </c>
      <c r="G124" s="138">
        <f t="shared" si="30"/>
        <v>0</v>
      </c>
      <c r="H124" s="138">
        <f t="shared" si="31"/>
        <v>0</v>
      </c>
      <c r="I124" s="138">
        <f t="shared" si="32"/>
        <v>0</v>
      </c>
      <c r="J124" s="138">
        <f t="shared" si="33"/>
        <v>0</v>
      </c>
      <c r="K124" s="138">
        <f t="shared" si="34"/>
        <v>0</v>
      </c>
      <c r="L124" s="138">
        <f t="shared" si="35"/>
        <v>0</v>
      </c>
      <c r="M124" s="138">
        <f t="shared" si="36"/>
        <v>0</v>
      </c>
      <c r="N124" s="138">
        <f t="shared" si="37"/>
        <v>0</v>
      </c>
      <c r="O124" s="138">
        <f t="shared" si="38"/>
        <v>0</v>
      </c>
      <c r="P124" s="9"/>
      <c r="Q124" s="141"/>
      <c r="R124" s="137"/>
    </row>
    <row r="125" spans="1:21" x14ac:dyDescent="0.2">
      <c r="A125" s="139"/>
      <c r="B125" s="7"/>
      <c r="C125" s="138"/>
      <c r="D125" s="138"/>
      <c r="E125" s="138"/>
      <c r="F125" s="138"/>
      <c r="G125" s="138"/>
      <c r="H125" s="138"/>
      <c r="I125" s="138"/>
      <c r="J125" s="138"/>
      <c r="K125" s="138"/>
      <c r="L125" s="138"/>
      <c r="M125" s="138"/>
      <c r="N125" s="138"/>
      <c r="O125" s="138"/>
      <c r="P125" s="154"/>
      <c r="Q125" s="141"/>
      <c r="R125" s="137"/>
    </row>
    <row r="126" spans="1:21" x14ac:dyDescent="0.2">
      <c r="A126" s="139"/>
      <c r="B126" s="24"/>
      <c r="C126" s="138"/>
      <c r="D126" s="138"/>
      <c r="E126" s="138"/>
      <c r="F126" s="138"/>
      <c r="G126" s="138"/>
      <c r="H126" s="138"/>
      <c r="I126" s="138"/>
      <c r="J126" s="138"/>
      <c r="K126" s="138"/>
      <c r="L126" s="138"/>
      <c r="M126" s="138"/>
      <c r="N126" s="138"/>
      <c r="O126" s="138"/>
      <c r="P126" s="154"/>
      <c r="Q126" s="141"/>
      <c r="R126" s="137"/>
    </row>
    <row r="127" spans="1:21" x14ac:dyDescent="0.2">
      <c r="A127" s="139"/>
      <c r="B127" s="93"/>
      <c r="C127" s="138"/>
      <c r="D127" s="138"/>
      <c r="E127" s="138"/>
      <c r="F127" s="138"/>
      <c r="G127" s="138"/>
      <c r="H127" s="138"/>
      <c r="I127" s="138"/>
      <c r="J127" s="138"/>
      <c r="K127" s="138"/>
      <c r="L127" s="138"/>
      <c r="M127" s="138"/>
      <c r="N127" s="138"/>
      <c r="O127" s="138"/>
      <c r="P127" s="9"/>
      <c r="Q127" s="141"/>
      <c r="R127" s="137"/>
    </row>
    <row r="128" spans="1:21" x14ac:dyDescent="0.2">
      <c r="A128" s="127"/>
      <c r="B128" s="136"/>
      <c r="C128" s="128"/>
      <c r="D128" s="120"/>
      <c r="E128" s="120"/>
      <c r="F128" s="120"/>
      <c r="G128" s="120"/>
      <c r="H128" s="120"/>
      <c r="I128" s="120"/>
      <c r="J128" s="120"/>
      <c r="K128" s="120"/>
      <c r="L128" s="120"/>
      <c r="M128" s="120"/>
      <c r="N128" s="120"/>
      <c r="O128" s="120"/>
      <c r="P128" s="154"/>
      <c r="Q128" s="141"/>
      <c r="R128" s="137"/>
    </row>
    <row r="129" spans="1:21" x14ac:dyDescent="0.2">
      <c r="A129" s="129"/>
      <c r="B129" s="130"/>
      <c r="C129" s="131"/>
      <c r="D129" s="131"/>
      <c r="E129" s="131"/>
      <c r="F129" s="131"/>
      <c r="G129" s="131"/>
      <c r="H129" s="131"/>
      <c r="I129" s="131"/>
      <c r="J129" s="131"/>
      <c r="K129" s="131"/>
      <c r="L129" s="131"/>
      <c r="M129" s="131"/>
      <c r="N129" s="131"/>
      <c r="O129" s="131"/>
      <c r="P129" s="131"/>
      <c r="Q129" s="132"/>
      <c r="R129" s="126"/>
      <c r="T129" s="84"/>
      <c r="U129" s="84"/>
    </row>
    <row r="130" spans="1:21" x14ac:dyDescent="0.2">
      <c r="C130" s="122"/>
      <c r="D130" s="122"/>
      <c r="E130" s="122"/>
      <c r="F130" s="122"/>
      <c r="G130" s="122"/>
      <c r="H130" s="122"/>
      <c r="I130" s="122"/>
      <c r="J130" s="122"/>
      <c r="K130" s="122"/>
      <c r="L130" s="122"/>
      <c r="M130" s="122"/>
      <c r="N130" s="122"/>
      <c r="O130" s="122"/>
      <c r="P130" s="171" t="s">
        <v>1</v>
      </c>
      <c r="Q130" s="133" t="s">
        <v>0</v>
      </c>
      <c r="R130" s="137">
        <f>SUM(R90:R128)</f>
        <v>0</v>
      </c>
    </row>
    <row r="131" spans="1:21" x14ac:dyDescent="0.2">
      <c r="P131" s="188"/>
      <c r="Q131" s="124"/>
      <c r="R131" s="125"/>
    </row>
    <row r="132" spans="1:21" x14ac:dyDescent="0.2">
      <c r="A132" s="139"/>
      <c r="B132" s="6"/>
      <c r="C132" s="138"/>
      <c r="D132" s="138"/>
      <c r="E132" s="138"/>
      <c r="F132" s="138"/>
      <c r="G132" s="138"/>
      <c r="H132" s="138"/>
      <c r="I132" s="138"/>
      <c r="J132" s="138"/>
      <c r="K132" s="138"/>
      <c r="L132" s="138"/>
      <c r="M132" s="138"/>
      <c r="N132" s="138"/>
      <c r="O132" s="138"/>
      <c r="P132" s="154"/>
      <c r="Q132" s="141"/>
      <c r="R132" s="137"/>
    </row>
    <row r="133" spans="1:21" x14ac:dyDescent="0.2">
      <c r="A133" s="139"/>
      <c r="B133" s="82" t="s">
        <v>8</v>
      </c>
      <c r="C133" s="128"/>
      <c r="D133" s="120"/>
      <c r="E133" s="120"/>
      <c r="F133" s="120"/>
      <c r="G133" s="120"/>
      <c r="H133" s="120"/>
      <c r="I133" s="120"/>
      <c r="J133" s="120"/>
      <c r="K133" s="120"/>
      <c r="L133" s="120"/>
      <c r="M133" s="120"/>
      <c r="N133" s="120"/>
      <c r="O133" s="120"/>
      <c r="P133" s="154"/>
      <c r="Q133" s="141"/>
      <c r="R133" s="137"/>
    </row>
    <row r="134" spans="1:21" x14ac:dyDescent="0.2">
      <c r="A134" s="139"/>
      <c r="B134" s="82"/>
      <c r="C134" s="120"/>
      <c r="D134" s="120"/>
      <c r="E134" s="120"/>
      <c r="F134" s="120"/>
      <c r="G134" s="120"/>
      <c r="H134" s="120"/>
      <c r="I134" s="120"/>
      <c r="J134" s="120"/>
      <c r="K134" s="120"/>
      <c r="L134" s="120"/>
      <c r="M134" s="120"/>
      <c r="N134" s="120"/>
      <c r="O134" s="138"/>
      <c r="P134" s="154"/>
      <c r="Q134" s="141"/>
      <c r="R134" s="137"/>
    </row>
    <row r="135" spans="1:21" ht="45" customHeight="1" x14ac:dyDescent="0.2">
      <c r="A135" s="1" t="s">
        <v>66</v>
      </c>
      <c r="B135" s="12" t="s">
        <v>63</v>
      </c>
      <c r="C135" s="138">
        <f>ROUND((2*$T135+2*$U135)*C$3,0)</f>
        <v>0</v>
      </c>
      <c r="D135" s="138">
        <f>C135*$Q135</f>
        <v>0</v>
      </c>
      <c r="E135" s="138">
        <f>ROUND((2*$T135+3*$U135)*E$3,0)</f>
        <v>0</v>
      </c>
      <c r="F135" s="138">
        <f>E135*$Q135</f>
        <v>0</v>
      </c>
      <c r="G135" s="138">
        <f>ROUND((2*$T135+4*$U135)*G$3,0)</f>
        <v>0</v>
      </c>
      <c r="H135" s="138">
        <f>G135*$Q135</f>
        <v>0</v>
      </c>
      <c r="I135" s="138">
        <f>ROUND((2*$T135+5*$U135)*I$3,0)</f>
        <v>0</v>
      </c>
      <c r="J135" s="138">
        <f>I135*$Q135</f>
        <v>0</v>
      </c>
      <c r="K135" s="138">
        <f>ROUND((2*$T135+6*$U135)*K$3,0)</f>
        <v>0</v>
      </c>
      <c r="L135" s="138">
        <f>K135*$Q135</f>
        <v>0</v>
      </c>
      <c r="M135" s="138">
        <f>ROUND((2*$T135+7*$U135)*M$3,0)</f>
        <v>0</v>
      </c>
      <c r="N135" s="138">
        <f>M135*$Q135</f>
        <v>0</v>
      </c>
      <c r="O135" s="138">
        <f>C135+E135+G135+I135+K135+M135</f>
        <v>0</v>
      </c>
      <c r="P135" s="2" t="s">
        <v>5</v>
      </c>
      <c r="Q135" s="141"/>
      <c r="R135" s="137">
        <f>O135*Q135</f>
        <v>0</v>
      </c>
    </row>
    <row r="136" spans="1:21" x14ac:dyDescent="0.2">
      <c r="A136" s="1"/>
      <c r="B136" s="12"/>
      <c r="C136" s="138"/>
      <c r="D136" s="138"/>
      <c r="E136" s="138"/>
      <c r="F136" s="138"/>
      <c r="G136" s="138"/>
      <c r="H136" s="138"/>
      <c r="I136" s="138"/>
      <c r="J136" s="138"/>
      <c r="K136" s="138"/>
      <c r="L136" s="138"/>
      <c r="M136" s="138"/>
      <c r="N136" s="138"/>
      <c r="O136" s="138"/>
      <c r="P136" s="2"/>
      <c r="Q136" s="141"/>
      <c r="R136" s="137"/>
    </row>
    <row r="137" spans="1:21" x14ac:dyDescent="0.2">
      <c r="A137" s="1"/>
      <c r="B137" s="12"/>
      <c r="C137" s="138"/>
      <c r="D137" s="138"/>
      <c r="E137" s="138"/>
      <c r="F137" s="138"/>
      <c r="G137" s="138"/>
      <c r="H137" s="138"/>
      <c r="I137" s="138"/>
      <c r="J137" s="138"/>
      <c r="K137" s="138"/>
      <c r="L137" s="138"/>
      <c r="M137" s="138"/>
      <c r="N137" s="138"/>
      <c r="O137" s="138"/>
      <c r="P137" s="2"/>
      <c r="Q137" s="141"/>
      <c r="R137" s="137"/>
    </row>
    <row r="138" spans="1:21" x14ac:dyDescent="0.2">
      <c r="A138" s="1"/>
      <c r="B138" s="12"/>
      <c r="C138" s="138"/>
      <c r="D138" s="138"/>
      <c r="E138" s="138"/>
      <c r="F138" s="138"/>
      <c r="G138" s="138"/>
      <c r="H138" s="138"/>
      <c r="I138" s="138"/>
      <c r="J138" s="138"/>
      <c r="K138" s="138"/>
      <c r="L138" s="138"/>
      <c r="M138" s="138"/>
      <c r="N138" s="138"/>
      <c r="O138" s="138"/>
      <c r="P138" s="2"/>
      <c r="Q138" s="141"/>
      <c r="R138" s="137"/>
    </row>
    <row r="139" spans="1:21" x14ac:dyDescent="0.2">
      <c r="A139" s="1"/>
      <c r="B139" s="12"/>
      <c r="C139" s="138"/>
      <c r="D139" s="138"/>
      <c r="E139" s="138"/>
      <c r="F139" s="138"/>
      <c r="G139" s="138"/>
      <c r="H139" s="138"/>
      <c r="I139" s="138"/>
      <c r="J139" s="138"/>
      <c r="K139" s="138"/>
      <c r="L139" s="138"/>
      <c r="M139" s="138"/>
      <c r="N139" s="138"/>
      <c r="O139" s="138"/>
      <c r="P139" s="2"/>
      <c r="Q139" s="141"/>
      <c r="R139" s="137"/>
    </row>
    <row r="140" spans="1:21" x14ac:dyDescent="0.2">
      <c r="A140" s="1"/>
      <c r="B140" s="12"/>
      <c r="C140" s="138"/>
      <c r="D140" s="138"/>
      <c r="E140" s="138"/>
      <c r="F140" s="138"/>
      <c r="G140" s="138"/>
      <c r="H140" s="138"/>
      <c r="I140" s="138"/>
      <c r="J140" s="138"/>
      <c r="K140" s="138"/>
      <c r="L140" s="138"/>
      <c r="M140" s="138"/>
      <c r="N140" s="138"/>
      <c r="O140" s="138"/>
      <c r="P140" s="2"/>
      <c r="Q140" s="141"/>
      <c r="R140" s="137"/>
    </row>
    <row r="141" spans="1:21" x14ac:dyDescent="0.2">
      <c r="A141" s="1"/>
      <c r="B141" s="12"/>
      <c r="C141" s="138"/>
      <c r="D141" s="138"/>
      <c r="E141" s="138"/>
      <c r="F141" s="138"/>
      <c r="G141" s="138"/>
      <c r="H141" s="138"/>
      <c r="I141" s="138"/>
      <c r="J141" s="138"/>
      <c r="K141" s="138"/>
      <c r="L141" s="138"/>
      <c r="M141" s="138"/>
      <c r="N141" s="138"/>
      <c r="O141" s="138"/>
      <c r="P141" s="2"/>
      <c r="Q141" s="141"/>
      <c r="R141" s="137"/>
    </row>
    <row r="142" spans="1:21" x14ac:dyDescent="0.2">
      <c r="A142" s="1"/>
      <c r="B142" s="12"/>
      <c r="C142" s="138"/>
      <c r="D142" s="138"/>
      <c r="E142" s="138"/>
      <c r="F142" s="138"/>
      <c r="G142" s="138"/>
      <c r="H142" s="138"/>
      <c r="I142" s="138"/>
      <c r="J142" s="138"/>
      <c r="K142" s="138"/>
      <c r="L142" s="138"/>
      <c r="M142" s="138"/>
      <c r="N142" s="138"/>
      <c r="O142" s="138"/>
      <c r="P142" s="2"/>
      <c r="Q142" s="141"/>
      <c r="R142" s="137"/>
    </row>
    <row r="143" spans="1:21" x14ac:dyDescent="0.2">
      <c r="A143" s="1"/>
      <c r="B143" s="12"/>
      <c r="C143" s="138"/>
      <c r="D143" s="138"/>
      <c r="E143" s="138"/>
      <c r="F143" s="138"/>
      <c r="G143" s="138"/>
      <c r="H143" s="138"/>
      <c r="I143" s="138"/>
      <c r="J143" s="138"/>
      <c r="K143" s="138"/>
      <c r="L143" s="138"/>
      <c r="M143" s="138"/>
      <c r="N143" s="138"/>
      <c r="O143" s="138"/>
      <c r="P143" s="2"/>
      <c r="Q143" s="141"/>
      <c r="R143" s="137"/>
    </row>
    <row r="144" spans="1:21" x14ac:dyDescent="0.2">
      <c r="A144" s="1"/>
      <c r="B144" s="12"/>
      <c r="C144" s="138"/>
      <c r="D144" s="138"/>
      <c r="E144" s="138"/>
      <c r="F144" s="138"/>
      <c r="G144" s="138"/>
      <c r="H144" s="138"/>
      <c r="I144" s="138"/>
      <c r="J144" s="138"/>
      <c r="K144" s="138"/>
      <c r="L144" s="138"/>
      <c r="M144" s="138"/>
      <c r="N144" s="138"/>
      <c r="O144" s="138"/>
      <c r="P144" s="2"/>
      <c r="Q144" s="141"/>
      <c r="R144" s="137"/>
    </row>
    <row r="145" spans="1:21" x14ac:dyDescent="0.2">
      <c r="A145" s="1"/>
      <c r="B145" s="12"/>
      <c r="C145" s="138"/>
      <c r="D145" s="138"/>
      <c r="E145" s="138"/>
      <c r="F145" s="138"/>
      <c r="G145" s="138"/>
      <c r="H145" s="138"/>
      <c r="I145" s="138"/>
      <c r="J145" s="138"/>
      <c r="K145" s="138"/>
      <c r="L145" s="138"/>
      <c r="M145" s="138"/>
      <c r="N145" s="138"/>
      <c r="O145" s="138"/>
      <c r="P145" s="2"/>
      <c r="Q145" s="141"/>
      <c r="R145" s="137"/>
    </row>
    <row r="146" spans="1:21" x14ac:dyDescent="0.2">
      <c r="A146" s="1"/>
      <c r="B146" s="12"/>
      <c r="C146" s="138"/>
      <c r="D146" s="138"/>
      <c r="E146" s="138"/>
      <c r="F146" s="138"/>
      <c r="G146" s="138"/>
      <c r="H146" s="138"/>
      <c r="I146" s="138"/>
      <c r="J146" s="138"/>
      <c r="K146" s="138"/>
      <c r="L146" s="138"/>
      <c r="M146" s="138"/>
      <c r="N146" s="138"/>
      <c r="O146" s="138"/>
      <c r="P146" s="2"/>
      <c r="Q146" s="141"/>
      <c r="R146" s="137"/>
    </row>
    <row r="147" spans="1:21" x14ac:dyDescent="0.2">
      <c r="A147" s="1"/>
      <c r="B147" s="12"/>
      <c r="C147" s="138"/>
      <c r="D147" s="138"/>
      <c r="E147" s="138"/>
      <c r="F147" s="138"/>
      <c r="G147" s="138"/>
      <c r="H147" s="138"/>
      <c r="I147" s="138"/>
      <c r="J147" s="138"/>
      <c r="K147" s="138"/>
      <c r="L147" s="138"/>
      <c r="M147" s="138"/>
      <c r="N147" s="138"/>
      <c r="O147" s="138"/>
      <c r="P147" s="2"/>
      <c r="Q147" s="141"/>
      <c r="R147" s="137"/>
    </row>
    <row r="148" spans="1:21" x14ac:dyDescent="0.2">
      <c r="A148" s="1"/>
      <c r="B148" s="12"/>
      <c r="C148" s="138"/>
      <c r="D148" s="138"/>
      <c r="E148" s="138"/>
      <c r="F148" s="138"/>
      <c r="G148" s="138"/>
      <c r="H148" s="138"/>
      <c r="I148" s="138"/>
      <c r="J148" s="138"/>
      <c r="K148" s="138"/>
      <c r="L148" s="138"/>
      <c r="M148" s="138"/>
      <c r="N148" s="138"/>
      <c r="O148" s="138"/>
      <c r="P148" s="2"/>
      <c r="Q148" s="141"/>
      <c r="R148" s="137"/>
    </row>
    <row r="149" spans="1:21" x14ac:dyDescent="0.2">
      <c r="A149" s="1"/>
      <c r="B149" s="12"/>
      <c r="C149" s="138"/>
      <c r="D149" s="138"/>
      <c r="E149" s="138"/>
      <c r="F149" s="138"/>
      <c r="G149" s="138"/>
      <c r="H149" s="138"/>
      <c r="I149" s="138"/>
      <c r="J149" s="138"/>
      <c r="K149" s="138"/>
      <c r="L149" s="138"/>
      <c r="M149" s="138"/>
      <c r="N149" s="138"/>
      <c r="O149" s="138"/>
      <c r="P149" s="2"/>
      <c r="Q149" s="141"/>
      <c r="R149" s="137"/>
    </row>
    <row r="150" spans="1:21" x14ac:dyDescent="0.2">
      <c r="A150" s="1"/>
      <c r="B150" s="12"/>
      <c r="C150" s="138"/>
      <c r="D150" s="138"/>
      <c r="E150" s="138"/>
      <c r="F150" s="138"/>
      <c r="G150" s="138"/>
      <c r="H150" s="138"/>
      <c r="I150" s="138"/>
      <c r="J150" s="138"/>
      <c r="K150" s="138"/>
      <c r="L150" s="138"/>
      <c r="M150" s="138"/>
      <c r="N150" s="138"/>
      <c r="O150" s="138"/>
      <c r="P150" s="2"/>
      <c r="Q150" s="141"/>
      <c r="R150" s="137"/>
    </row>
    <row r="151" spans="1:21" x14ac:dyDescent="0.2">
      <c r="A151" s="1"/>
      <c r="B151" s="12"/>
      <c r="C151" s="138"/>
      <c r="D151" s="138"/>
      <c r="E151" s="138"/>
      <c r="F151" s="138"/>
      <c r="G151" s="138"/>
      <c r="H151" s="138"/>
      <c r="I151" s="138"/>
      <c r="J151" s="138"/>
      <c r="K151" s="138"/>
      <c r="L151" s="138"/>
      <c r="M151" s="138"/>
      <c r="N151" s="138"/>
      <c r="O151" s="138"/>
      <c r="P151" s="2"/>
      <c r="Q151" s="141"/>
      <c r="R151" s="137"/>
    </row>
    <row r="152" spans="1:21" x14ac:dyDescent="0.2">
      <c r="A152" s="1"/>
      <c r="B152" s="12"/>
      <c r="C152" s="138"/>
      <c r="D152" s="138"/>
      <c r="E152" s="138"/>
      <c r="F152" s="138"/>
      <c r="G152" s="138"/>
      <c r="H152" s="138"/>
      <c r="I152" s="138"/>
      <c r="J152" s="138"/>
      <c r="K152" s="138"/>
      <c r="L152" s="138"/>
      <c r="M152" s="138"/>
      <c r="N152" s="138"/>
      <c r="O152" s="138"/>
      <c r="P152" s="2"/>
      <c r="Q152" s="141"/>
      <c r="R152" s="137"/>
    </row>
    <row r="153" spans="1:21" ht="14.25" customHeight="1" x14ac:dyDescent="0.2">
      <c r="A153" s="139"/>
      <c r="B153" s="12"/>
      <c r="C153" s="138"/>
      <c r="D153" s="138"/>
      <c r="E153" s="138"/>
      <c r="F153" s="138"/>
      <c r="G153" s="138"/>
      <c r="H153" s="138"/>
      <c r="I153" s="138"/>
      <c r="J153" s="138"/>
      <c r="K153" s="138"/>
      <c r="L153" s="138"/>
      <c r="M153" s="138"/>
      <c r="N153" s="138"/>
      <c r="O153" s="138"/>
      <c r="P153" s="154"/>
      <c r="Q153" s="141"/>
      <c r="R153" s="137"/>
    </row>
    <row r="154" spans="1:21" x14ac:dyDescent="0.2">
      <c r="A154" s="139"/>
      <c r="B154" s="112"/>
      <c r="C154" s="138"/>
      <c r="D154" s="138"/>
      <c r="E154" s="138"/>
      <c r="F154" s="138"/>
      <c r="G154" s="138"/>
      <c r="H154" s="138"/>
      <c r="I154" s="138"/>
      <c r="J154" s="138"/>
      <c r="K154" s="138"/>
      <c r="L154" s="138"/>
      <c r="M154" s="138"/>
      <c r="N154" s="138"/>
      <c r="O154" s="138"/>
      <c r="P154" s="154"/>
      <c r="Q154" s="141"/>
      <c r="R154" s="137"/>
    </row>
    <row r="155" spans="1:21" x14ac:dyDescent="0.2">
      <c r="A155" s="127"/>
      <c r="B155" s="136"/>
      <c r="C155" s="128"/>
      <c r="D155" s="120"/>
      <c r="E155" s="120"/>
      <c r="F155" s="120"/>
      <c r="G155" s="120"/>
      <c r="H155" s="120"/>
      <c r="I155" s="120"/>
      <c r="J155" s="120"/>
      <c r="K155" s="120"/>
      <c r="L155" s="120"/>
      <c r="M155" s="120"/>
      <c r="N155" s="120"/>
      <c r="O155" s="120"/>
      <c r="P155" s="154"/>
      <c r="Q155" s="141"/>
      <c r="R155" s="137"/>
    </row>
    <row r="156" spans="1:21" x14ac:dyDescent="0.2">
      <c r="A156" s="129"/>
      <c r="B156" s="130"/>
      <c r="C156" s="131"/>
      <c r="D156" s="131"/>
      <c r="E156" s="131"/>
      <c r="F156" s="131"/>
      <c r="G156" s="131"/>
      <c r="H156" s="131"/>
      <c r="I156" s="131"/>
      <c r="J156" s="131"/>
      <c r="K156" s="131"/>
      <c r="L156" s="131"/>
      <c r="M156" s="131"/>
      <c r="N156" s="131"/>
      <c r="O156" s="131"/>
      <c r="P156" s="131"/>
      <c r="Q156" s="132"/>
      <c r="R156" s="126"/>
      <c r="T156" s="84"/>
      <c r="U156" s="84"/>
    </row>
    <row r="157" spans="1:21" x14ac:dyDescent="0.2">
      <c r="A157" s="144"/>
      <c r="B157" s="37"/>
      <c r="C157" s="37"/>
      <c r="D157" s="37"/>
      <c r="E157" s="37"/>
      <c r="F157" s="37"/>
      <c r="G157" s="37"/>
      <c r="H157" s="37"/>
      <c r="I157" s="37"/>
      <c r="J157" s="37"/>
      <c r="K157" s="37"/>
      <c r="L157" s="37"/>
      <c r="M157" s="37"/>
      <c r="N157" s="37"/>
      <c r="O157" s="37"/>
      <c r="P157" s="426" t="s">
        <v>1</v>
      </c>
      <c r="Q157" s="133" t="s">
        <v>0</v>
      </c>
      <c r="R157" s="137">
        <f>SUM(R132:R155)</f>
        <v>0</v>
      </c>
    </row>
    <row r="158" spans="1:21" x14ac:dyDescent="0.2">
      <c r="A158" s="145"/>
      <c r="B158" s="44"/>
      <c r="C158" s="94"/>
      <c r="D158" s="94"/>
      <c r="E158" s="94"/>
      <c r="F158" s="94"/>
      <c r="G158" s="94"/>
      <c r="H158" s="94"/>
      <c r="I158" s="94"/>
      <c r="J158" s="94"/>
      <c r="K158" s="94"/>
      <c r="L158" s="94"/>
      <c r="M158" s="94"/>
      <c r="N158" s="94"/>
      <c r="O158" s="94"/>
      <c r="P158" s="94"/>
      <c r="Q158" s="146"/>
      <c r="R158" s="125"/>
    </row>
    <row r="159" spans="1:21" x14ac:dyDescent="0.2">
      <c r="A159" s="36"/>
      <c r="B159" s="37"/>
      <c r="C159" s="188"/>
      <c r="D159" s="188"/>
      <c r="E159" s="188"/>
      <c r="F159" s="188"/>
      <c r="G159" s="188"/>
      <c r="H159" s="188"/>
      <c r="I159" s="188"/>
      <c r="J159" s="188"/>
      <c r="K159" s="188"/>
      <c r="L159" s="188"/>
      <c r="M159" s="188"/>
      <c r="N159" s="188"/>
      <c r="O159" s="188"/>
      <c r="P159" s="188"/>
      <c r="Q159" s="124"/>
      <c r="R159" s="126"/>
      <c r="T159" s="84"/>
      <c r="U159" s="84"/>
    </row>
    <row r="160" spans="1:21" x14ac:dyDescent="0.2">
      <c r="A160" s="36"/>
      <c r="B160" s="37"/>
      <c r="C160" s="188"/>
      <c r="D160" s="188"/>
      <c r="E160" s="188"/>
      <c r="F160" s="188"/>
      <c r="G160" s="188"/>
      <c r="H160" s="188"/>
      <c r="I160" s="188"/>
      <c r="J160" s="188"/>
      <c r="K160" s="188"/>
      <c r="L160" s="188"/>
      <c r="M160" s="188"/>
      <c r="N160" s="188"/>
      <c r="O160" s="188"/>
      <c r="P160" s="188"/>
      <c r="Q160" s="42"/>
      <c r="R160" s="137"/>
    </row>
    <row r="161" spans="1:21" x14ac:dyDescent="0.2">
      <c r="A161" s="36"/>
      <c r="B161" s="37"/>
      <c r="C161" s="188"/>
      <c r="D161" s="188"/>
      <c r="E161" s="188"/>
      <c r="F161" s="188"/>
      <c r="G161" s="188"/>
      <c r="H161" s="188"/>
      <c r="I161" s="188"/>
      <c r="J161" s="188"/>
      <c r="K161" s="188"/>
      <c r="L161" s="188"/>
      <c r="M161" s="188"/>
      <c r="N161" s="188"/>
      <c r="O161" s="534" t="s">
        <v>17</v>
      </c>
      <c r="P161" s="534"/>
      <c r="Q161" s="42"/>
      <c r="R161" s="137"/>
    </row>
    <row r="162" spans="1:21" x14ac:dyDescent="0.2">
      <c r="A162" s="36"/>
      <c r="B162" s="37"/>
      <c r="C162" s="188"/>
      <c r="D162" s="188"/>
      <c r="E162" s="188"/>
      <c r="F162" s="188"/>
      <c r="G162" s="188"/>
      <c r="H162" s="188"/>
      <c r="I162" s="188"/>
      <c r="J162" s="188"/>
      <c r="K162" s="188"/>
      <c r="L162" s="188"/>
      <c r="M162" s="188"/>
      <c r="N162" s="188"/>
      <c r="O162" s="188"/>
      <c r="P162" s="188"/>
      <c r="Q162" s="42"/>
      <c r="R162" s="137"/>
    </row>
    <row r="163" spans="1:21" x14ac:dyDescent="0.2">
      <c r="A163" s="36"/>
      <c r="B163" s="37"/>
      <c r="C163" s="188"/>
      <c r="D163" s="188"/>
      <c r="E163" s="188"/>
      <c r="F163" s="188"/>
      <c r="G163" s="188"/>
      <c r="H163" s="188"/>
      <c r="I163" s="188"/>
      <c r="J163" s="188"/>
      <c r="K163" s="188"/>
      <c r="L163" s="188"/>
      <c r="M163" s="188"/>
      <c r="N163" s="188"/>
      <c r="O163" s="188" t="s">
        <v>270</v>
      </c>
      <c r="P163" s="188" t="s">
        <v>592</v>
      </c>
      <c r="Q163" s="42"/>
      <c r="R163" s="137">
        <f>R44</f>
        <v>0</v>
      </c>
    </row>
    <row r="164" spans="1:21" x14ac:dyDescent="0.2">
      <c r="A164" s="36"/>
      <c r="B164" s="37"/>
      <c r="C164" s="188"/>
      <c r="D164" s="188"/>
      <c r="E164" s="188"/>
      <c r="F164" s="188"/>
      <c r="G164" s="188"/>
      <c r="H164" s="188"/>
      <c r="I164" s="188"/>
      <c r="J164" s="188"/>
      <c r="K164" s="188"/>
      <c r="L164" s="188"/>
      <c r="M164" s="188"/>
      <c r="N164" s="188"/>
      <c r="O164" s="188"/>
      <c r="P164" s="188"/>
      <c r="Q164" s="42"/>
      <c r="R164" s="137"/>
    </row>
    <row r="165" spans="1:21" x14ac:dyDescent="0.2">
      <c r="A165" s="36"/>
      <c r="B165" s="37"/>
      <c r="C165" s="188"/>
      <c r="D165" s="188"/>
      <c r="E165" s="188"/>
      <c r="F165" s="188"/>
      <c r="G165" s="188"/>
      <c r="H165" s="188"/>
      <c r="I165" s="188"/>
      <c r="J165" s="188"/>
      <c r="K165" s="188"/>
      <c r="L165" s="188"/>
      <c r="M165" s="188"/>
      <c r="N165" s="188"/>
      <c r="O165" s="188" t="s">
        <v>270</v>
      </c>
      <c r="P165" s="188" t="s">
        <v>593</v>
      </c>
      <c r="Q165" s="42"/>
      <c r="R165" s="137">
        <f>R88</f>
        <v>0</v>
      </c>
    </row>
    <row r="166" spans="1:21" x14ac:dyDescent="0.2">
      <c r="A166" s="36"/>
      <c r="B166" s="37"/>
      <c r="C166" s="188"/>
      <c r="D166" s="188"/>
      <c r="E166" s="188"/>
      <c r="F166" s="188"/>
      <c r="G166" s="188"/>
      <c r="H166" s="188"/>
      <c r="I166" s="188"/>
      <c r="J166" s="188"/>
      <c r="K166" s="188"/>
      <c r="L166" s="188"/>
      <c r="M166" s="188"/>
      <c r="N166" s="188"/>
      <c r="O166" s="188"/>
      <c r="P166" s="188"/>
      <c r="Q166" s="42"/>
      <c r="R166" s="137"/>
    </row>
    <row r="167" spans="1:21" x14ac:dyDescent="0.2">
      <c r="A167" s="36"/>
      <c r="B167" s="37"/>
      <c r="C167" s="188"/>
      <c r="D167" s="188"/>
      <c r="E167" s="188"/>
      <c r="F167" s="188"/>
      <c r="G167" s="188"/>
      <c r="H167" s="188"/>
      <c r="I167" s="188"/>
      <c r="J167" s="188"/>
      <c r="K167" s="188"/>
      <c r="L167" s="188"/>
      <c r="M167" s="188"/>
      <c r="N167" s="188"/>
      <c r="O167" s="188" t="s">
        <v>270</v>
      </c>
      <c r="P167" s="188" t="s">
        <v>594</v>
      </c>
      <c r="Q167" s="42"/>
      <c r="R167" s="137">
        <f>R130</f>
        <v>0</v>
      </c>
    </row>
    <row r="168" spans="1:21" x14ac:dyDescent="0.2">
      <c r="A168" s="36"/>
      <c r="B168" s="37"/>
      <c r="C168" s="188"/>
      <c r="D168" s="188"/>
      <c r="E168" s="188"/>
      <c r="F168" s="188"/>
      <c r="G168" s="188"/>
      <c r="H168" s="188"/>
      <c r="I168" s="188"/>
      <c r="J168" s="188"/>
      <c r="K168" s="188"/>
      <c r="L168" s="188"/>
      <c r="M168" s="188"/>
      <c r="N168" s="188"/>
      <c r="O168" s="188"/>
      <c r="P168" s="188"/>
      <c r="Q168" s="42"/>
      <c r="R168" s="137"/>
    </row>
    <row r="169" spans="1:21" x14ac:dyDescent="0.2">
      <c r="A169" s="36"/>
      <c r="B169" s="37"/>
      <c r="C169" s="188"/>
      <c r="D169" s="188"/>
      <c r="E169" s="188"/>
      <c r="F169" s="188"/>
      <c r="G169" s="188"/>
      <c r="H169" s="188"/>
      <c r="I169" s="188"/>
      <c r="J169" s="188"/>
      <c r="K169" s="188"/>
      <c r="L169" s="188"/>
      <c r="M169" s="188"/>
      <c r="N169" s="188"/>
      <c r="O169" s="188" t="s">
        <v>270</v>
      </c>
      <c r="P169" s="188" t="s">
        <v>595</v>
      </c>
      <c r="Q169" s="42"/>
      <c r="R169" s="137">
        <f>R157</f>
        <v>0</v>
      </c>
    </row>
    <row r="170" spans="1:21" x14ac:dyDescent="0.2">
      <c r="A170" s="36"/>
      <c r="B170" s="37"/>
      <c r="C170" s="188"/>
      <c r="D170" s="188"/>
      <c r="E170" s="188"/>
      <c r="F170" s="188"/>
      <c r="G170" s="188"/>
      <c r="H170" s="188"/>
      <c r="I170" s="188"/>
      <c r="J170" s="188"/>
      <c r="K170" s="188"/>
      <c r="L170" s="188"/>
      <c r="M170" s="188"/>
      <c r="N170" s="188"/>
      <c r="O170" s="188"/>
      <c r="P170" s="188"/>
      <c r="Q170" s="42"/>
      <c r="R170" s="137"/>
    </row>
    <row r="171" spans="1:21" x14ac:dyDescent="0.2">
      <c r="A171" s="36"/>
      <c r="B171" s="37"/>
      <c r="C171" s="188"/>
      <c r="D171" s="188"/>
      <c r="E171" s="188"/>
      <c r="F171" s="188"/>
      <c r="G171" s="188"/>
      <c r="H171" s="188"/>
      <c r="I171" s="188"/>
      <c r="J171" s="188"/>
      <c r="K171" s="188"/>
      <c r="L171" s="188"/>
      <c r="M171" s="188"/>
      <c r="N171" s="188"/>
      <c r="O171" s="188"/>
      <c r="P171" s="188"/>
      <c r="Q171" s="42"/>
      <c r="R171" s="137"/>
    </row>
    <row r="172" spans="1:21" x14ac:dyDescent="0.2">
      <c r="A172" s="36"/>
      <c r="B172" s="37"/>
      <c r="C172" s="188"/>
      <c r="D172" s="188"/>
      <c r="E172" s="188"/>
      <c r="F172" s="188"/>
      <c r="G172" s="188"/>
      <c r="H172" s="188"/>
      <c r="I172" s="188"/>
      <c r="J172" s="188"/>
      <c r="K172" s="188"/>
      <c r="L172" s="188"/>
      <c r="M172" s="188"/>
      <c r="N172" s="188"/>
      <c r="O172" s="188"/>
      <c r="P172" s="188"/>
      <c r="Q172" s="42"/>
      <c r="R172" s="137"/>
    </row>
    <row r="173" spans="1:21" x14ac:dyDescent="0.2">
      <c r="A173" s="36"/>
      <c r="B173" s="37"/>
      <c r="C173" s="188"/>
      <c r="D173" s="188"/>
      <c r="E173" s="188"/>
      <c r="F173" s="188"/>
      <c r="G173" s="188"/>
      <c r="H173" s="188"/>
      <c r="I173" s="188"/>
      <c r="J173" s="188"/>
      <c r="K173" s="188"/>
      <c r="L173" s="188"/>
      <c r="M173" s="188"/>
      <c r="N173" s="188"/>
      <c r="O173" s="188"/>
      <c r="P173" s="188"/>
      <c r="Q173" s="42"/>
      <c r="R173" s="137"/>
    </row>
    <row r="174" spans="1:21" x14ac:dyDescent="0.2">
      <c r="A174" s="36"/>
      <c r="B174" s="37"/>
      <c r="C174" s="188"/>
      <c r="D174" s="188"/>
      <c r="E174" s="188"/>
      <c r="F174" s="188"/>
      <c r="G174" s="188"/>
      <c r="H174" s="188"/>
      <c r="I174" s="188"/>
      <c r="J174" s="188"/>
      <c r="K174" s="188"/>
      <c r="L174" s="188"/>
      <c r="M174" s="188"/>
      <c r="N174" s="188"/>
      <c r="O174" s="188"/>
      <c r="P174" s="188"/>
      <c r="Q174" s="42"/>
      <c r="R174" s="137"/>
    </row>
    <row r="175" spans="1:21" x14ac:dyDescent="0.2">
      <c r="A175" s="43"/>
      <c r="B175" s="44"/>
      <c r="C175" s="94"/>
      <c r="D175" s="94"/>
      <c r="E175" s="94"/>
      <c r="F175" s="94"/>
      <c r="G175" s="94"/>
      <c r="H175" s="94"/>
      <c r="I175" s="94"/>
      <c r="J175" s="94"/>
      <c r="K175" s="94"/>
      <c r="L175" s="94"/>
      <c r="M175" s="94"/>
      <c r="N175" s="94"/>
      <c r="O175" s="94"/>
      <c r="P175" s="94"/>
      <c r="Q175" s="45"/>
      <c r="R175" s="125"/>
      <c r="T175" s="85"/>
      <c r="U175" s="85"/>
    </row>
    <row r="176" spans="1:21" x14ac:dyDescent="0.2">
      <c r="A176" s="129"/>
      <c r="B176" s="172" t="s">
        <v>93</v>
      </c>
      <c r="C176" s="131"/>
      <c r="D176" s="131"/>
      <c r="E176" s="131"/>
      <c r="F176" s="131"/>
      <c r="G176" s="131"/>
      <c r="H176" s="131"/>
      <c r="I176" s="131"/>
      <c r="J176" s="131"/>
      <c r="K176" s="131"/>
      <c r="L176" s="131"/>
      <c r="M176" s="131"/>
      <c r="N176" s="131"/>
      <c r="O176" s="131"/>
      <c r="P176" s="131"/>
      <c r="Q176" s="132"/>
      <c r="R176" s="126"/>
      <c r="T176" s="84"/>
      <c r="U176" s="84"/>
    </row>
    <row r="177" spans="3:18" x14ac:dyDescent="0.2">
      <c r="C177" s="46"/>
      <c r="D177" s="46"/>
      <c r="E177" s="46"/>
      <c r="F177" s="46"/>
      <c r="G177" s="46"/>
      <c r="H177" s="46"/>
      <c r="I177" s="46"/>
      <c r="J177" s="46"/>
      <c r="K177" s="46"/>
      <c r="L177" s="46"/>
      <c r="M177" s="46"/>
      <c r="N177" s="46"/>
      <c r="O177" s="46"/>
      <c r="P177" s="171" t="s">
        <v>15</v>
      </c>
      <c r="Q177" s="133" t="s">
        <v>0</v>
      </c>
      <c r="R177" s="137">
        <f>SUM(R159:R175)</f>
        <v>0</v>
      </c>
    </row>
    <row r="178" spans="3:18" x14ac:dyDescent="0.2">
      <c r="P178" s="188"/>
      <c r="Q178" s="124"/>
      <c r="R178" s="125"/>
    </row>
  </sheetData>
  <customSheetViews>
    <customSheetView guid="{CBA2F18A-D99E-4593-B5C7-F549C46D482A}" scale="85" showPageBreaks="1" zeroValues="0" printArea="1" hiddenColumns="1" view="pageBreakPreview">
      <pane xSplit="2" ySplit="3" topLeftCell="C253" activePane="bottomRight" state="frozen"/>
      <selection pane="bottomRight" activeCell="E200" sqref="E200"/>
      <pageMargins left="0.51181102362204722" right="0.19685039370078741" top="0.98425196850393704" bottom="0.59055118110236227" header="0.31496062992125984" footer="0.31496062992125984"/>
      <pageSetup paperSize="8" scale="90" orientation="landscape" useFirstPageNumber="1" r:id="rId1"/>
      <headerFooter>
        <oddHeader>&amp;R&amp;UBILL NO. 2        
THERMAL AND MOISTURE PROTECTION</oddHeader>
        <oddFooter>&amp;L&amp;8MBR GPV PH1A BQ ADD5&amp;C&amp;10 2/G/&amp;P</oddFooter>
      </headerFooter>
    </customSheetView>
    <customSheetView guid="{A5028593-220E-41E5-9B7F-B61B224ADECB}" scale="85" showPageBreaks="1" zeroValues="0" printArea="1" hiddenColumns="1" view="pageBreakPreview">
      <pane xSplit="2" ySplit="3" topLeftCell="S16" activePane="bottomRight" state="frozen"/>
      <selection pane="bottomRight" activeCell="AI48" sqref="AI48"/>
      <pageMargins left="0.51181102362204722" right="0.19685039370078741" top="0.98425196850393704" bottom="0.59055118110236227" header="0.31496062992125984" footer="0.31496062992125984"/>
      <pageSetup paperSize="8" scale="85" orientation="landscape" useFirstPageNumber="1" r:id="rId2"/>
      <headerFooter>
        <oddHeader>&amp;R&amp;UBILL NO. 2        
THERMAL AND MOISTURE PROTECTION</oddHeader>
        <oddFooter>&amp;L&amp;8MBR CV BQ&amp;C&amp;10 2/G/&amp;P</oddFooter>
      </headerFooter>
    </customSheetView>
    <customSheetView guid="{9B0AB937-A858-4024-AFD2-25458CC5120D}" scale="85" showPageBreaks="1" zeroValues="0" printArea="1" hiddenColumns="1" view="pageBreakPreview">
      <pane xSplit="2" ySplit="3" topLeftCell="S16" activePane="bottomRight" state="frozen"/>
      <selection pane="bottomRight" activeCell="AI48" sqref="AI48"/>
      <pageMargins left="0.51181102362204722" right="0.19685039370078741" top="0.98425196850393704" bottom="0.59055118110236227" header="0.31496062992125984" footer="0.31496062992125984"/>
      <pageSetup paperSize="8" scale="85" orientation="landscape" useFirstPageNumber="1" r:id="rId3"/>
      <headerFooter>
        <oddHeader>&amp;R&amp;UBILL NO. 2        
THERMAL AND MOISTURE PROTECTION</oddHeader>
        <oddFooter>&amp;L&amp;8MBR CV BQ&amp;C&amp;10 2/G/&amp;P</oddFooter>
      </headerFooter>
    </customSheetView>
    <customSheetView guid="{09AFA358-18AB-4F70-994A-26F8BCF8C7CA}" scale="85" showPageBreaks="1" zeroValues="0" printArea="1" hiddenColumns="1" view="pageBreakPreview">
      <pane xSplit="2" ySplit="3" topLeftCell="S40" activePane="bottomRight" state="frozen"/>
      <selection pane="bottomRight" activeCell="B191" sqref="B191"/>
      <pageMargins left="0.51181102362204722" right="0.19685039370078741" top="0.98425196850393704" bottom="0.59055118110236227" header="0.31496062992125984" footer="0.31496062992125984"/>
      <pageSetup paperSize="8" scale="85" orientation="landscape" useFirstPageNumber="1" r:id="rId4"/>
      <headerFooter>
        <oddHeader>&amp;R&amp;UBILL NO. 2        
THERMAL AND MOISTURE PROTECTION</oddHeader>
        <oddFooter>&amp;L&amp;8MBR CV BQ&amp;C&amp;10 2/G/&amp;P</oddFooter>
      </headerFooter>
    </customSheetView>
  </customSheetViews>
  <mergeCells count="14">
    <mergeCell ref="R1:R3"/>
    <mergeCell ref="D2:D3"/>
    <mergeCell ref="F2:F3"/>
    <mergeCell ref="H2:H3"/>
    <mergeCell ref="A1:A3"/>
    <mergeCell ref="B1:B3"/>
    <mergeCell ref="C1:O1"/>
    <mergeCell ref="P1:P3"/>
    <mergeCell ref="Q1:Q3"/>
    <mergeCell ref="O161:P161"/>
    <mergeCell ref="O2:O3"/>
    <mergeCell ref="J2:J3"/>
    <mergeCell ref="L2:L3"/>
    <mergeCell ref="N2:N3"/>
  </mergeCells>
  <printOptions horizontalCentered="1"/>
  <pageMargins left="0.51181102362204722" right="0.19685039370078741" top="0.98425196850393704" bottom="0.59055118110236227" header="0.31496062992125984" footer="0.31496062992125984"/>
  <pageSetup paperSize="8" orientation="landscape" useFirstPageNumber="1" r:id="rId5"/>
  <headerFooter>
    <oddHeader>&amp;R&amp;UBILL NO. 3: TOWNHOUSE A 
THERMAL AND MOISTURE PROTECTION</oddHeader>
    <oddFooter>&amp;L&amp;8DMS No. 148110 Package 3 (05 Oct 2021)&amp;C&amp;10 3/G/&amp;P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U232"/>
  <sheetViews>
    <sheetView showZeros="0" view="pageBreakPreview" zoomScale="90" zoomScaleNormal="85" zoomScaleSheetLayoutView="90" workbookViewId="0">
      <pane xSplit="2" ySplit="3" topLeftCell="C4" activePane="bottomRight" state="frozen"/>
      <selection activeCell="T57" sqref="T57"/>
      <selection pane="topRight" activeCell="T57" sqref="T57"/>
      <selection pane="bottomLeft" activeCell="T57" sqref="T57"/>
      <selection pane="bottomRight" sqref="A1:R1048576"/>
    </sheetView>
  </sheetViews>
  <sheetFormatPr defaultRowHeight="14.25" x14ac:dyDescent="0.2"/>
  <cols>
    <col min="1" max="1" width="6.125" style="121" customWidth="1"/>
    <col min="2" max="2" width="61.875" style="122" customWidth="1"/>
    <col min="3" max="3" width="11.125" style="204" customWidth="1"/>
    <col min="4" max="4" width="10.625" style="204" hidden="1" customWidth="1"/>
    <col min="5" max="5" width="11.125" style="204" customWidth="1"/>
    <col min="6" max="6" width="10.625" style="204" hidden="1" customWidth="1"/>
    <col min="7" max="7" width="11.125" style="204" customWidth="1"/>
    <col min="8" max="8" width="10.625" style="204" hidden="1" customWidth="1"/>
    <col min="9" max="9" width="11.125" style="204" customWidth="1"/>
    <col min="10" max="10" width="10.625" style="204" hidden="1" customWidth="1"/>
    <col min="11" max="11" width="11.125" style="204" customWidth="1"/>
    <col min="12" max="12" width="10.625" style="204" hidden="1" customWidth="1"/>
    <col min="13" max="13" width="11.125" style="204" customWidth="1"/>
    <col min="14" max="14" width="10.625" style="204" hidden="1" customWidth="1"/>
    <col min="15" max="15" width="12.125" style="204" customWidth="1"/>
    <col min="16" max="16" width="7.125" style="204" customWidth="1"/>
    <col min="17" max="17" width="12.125" style="46" customWidth="1"/>
    <col min="18" max="18" width="16.625" style="46" customWidth="1"/>
    <col min="19" max="19" width="9" style="140"/>
    <col min="20" max="21" width="9.75" style="53" customWidth="1"/>
    <col min="22" max="22" width="20.375" style="140" customWidth="1"/>
    <col min="23" max="16384" width="9" style="140"/>
  </cols>
  <sheetData>
    <row r="1" spans="1:21" s="98" customFormat="1" x14ac:dyDescent="0.2">
      <c r="A1" s="521" t="s">
        <v>5</v>
      </c>
      <c r="B1" s="521" t="s">
        <v>4</v>
      </c>
      <c r="C1" s="530" t="s">
        <v>3</v>
      </c>
      <c r="D1" s="530"/>
      <c r="E1" s="530"/>
      <c r="F1" s="530"/>
      <c r="G1" s="530"/>
      <c r="H1" s="530"/>
      <c r="I1" s="530"/>
      <c r="J1" s="530"/>
      <c r="K1" s="530"/>
      <c r="L1" s="530"/>
      <c r="M1" s="530"/>
      <c r="N1" s="530"/>
      <c r="O1" s="530"/>
      <c r="P1" s="531" t="s">
        <v>2</v>
      </c>
      <c r="Q1" s="518" t="s">
        <v>6</v>
      </c>
      <c r="R1" s="521" t="s">
        <v>7</v>
      </c>
      <c r="T1" s="155"/>
      <c r="U1" s="155"/>
    </row>
    <row r="2" spans="1:21" s="98" customFormat="1" ht="28.5" x14ac:dyDescent="0.2">
      <c r="A2" s="522"/>
      <c r="B2" s="522"/>
      <c r="C2" s="427" t="s">
        <v>439</v>
      </c>
      <c r="D2" s="524" t="s">
        <v>23</v>
      </c>
      <c r="E2" s="427" t="s">
        <v>440</v>
      </c>
      <c r="F2" s="524" t="s">
        <v>23</v>
      </c>
      <c r="G2" s="427" t="s">
        <v>441</v>
      </c>
      <c r="H2" s="524" t="s">
        <v>23</v>
      </c>
      <c r="I2" s="427" t="s">
        <v>442</v>
      </c>
      <c r="J2" s="524" t="s">
        <v>23</v>
      </c>
      <c r="K2" s="427" t="s">
        <v>443</v>
      </c>
      <c r="L2" s="524" t="s">
        <v>23</v>
      </c>
      <c r="M2" s="427" t="s">
        <v>444</v>
      </c>
      <c r="N2" s="524" t="s">
        <v>23</v>
      </c>
      <c r="O2" s="526" t="s">
        <v>22</v>
      </c>
      <c r="P2" s="532"/>
      <c r="Q2" s="519"/>
      <c r="R2" s="522"/>
      <c r="T2" s="194" t="s">
        <v>445</v>
      </c>
      <c r="U2" s="75" t="s">
        <v>446</v>
      </c>
    </row>
    <row r="3" spans="1:21" s="98" customFormat="1" x14ac:dyDescent="0.2">
      <c r="A3" s="523"/>
      <c r="B3" s="523"/>
      <c r="C3" s="192">
        <v>1</v>
      </c>
      <c r="D3" s="525"/>
      <c r="E3" s="192">
        <v>1</v>
      </c>
      <c r="F3" s="525"/>
      <c r="G3" s="192">
        <v>5</v>
      </c>
      <c r="H3" s="525"/>
      <c r="I3" s="192">
        <v>1</v>
      </c>
      <c r="J3" s="525"/>
      <c r="K3" s="192">
        <v>3</v>
      </c>
      <c r="L3" s="525"/>
      <c r="M3" s="192">
        <v>1</v>
      </c>
      <c r="N3" s="525"/>
      <c r="O3" s="527"/>
      <c r="P3" s="533"/>
      <c r="Q3" s="520"/>
      <c r="R3" s="523"/>
      <c r="S3" s="95">
        <f>C3+E3+G3+I3+K3+M3</f>
        <v>12</v>
      </c>
      <c r="T3" s="35"/>
      <c r="U3" s="35"/>
    </row>
    <row r="4" spans="1:21" x14ac:dyDescent="0.2">
      <c r="A4" s="127"/>
      <c r="B4" s="136"/>
      <c r="C4" s="128"/>
      <c r="D4" s="120"/>
      <c r="E4" s="120"/>
      <c r="F4" s="120"/>
      <c r="G4" s="120"/>
      <c r="H4" s="120"/>
      <c r="I4" s="120"/>
      <c r="J4" s="120"/>
      <c r="K4" s="120"/>
      <c r="L4" s="120"/>
      <c r="M4" s="120"/>
      <c r="N4" s="120"/>
      <c r="O4" s="120"/>
      <c r="P4" s="154"/>
      <c r="Q4" s="141"/>
      <c r="R4" s="137"/>
      <c r="T4" s="142"/>
      <c r="U4" s="142"/>
    </row>
    <row r="5" spans="1:21" x14ac:dyDescent="0.2">
      <c r="A5" s="139"/>
      <c r="B5" s="82" t="s">
        <v>9</v>
      </c>
      <c r="C5" s="128"/>
      <c r="D5" s="120"/>
      <c r="E5" s="120"/>
      <c r="F5" s="120"/>
      <c r="G5" s="120"/>
      <c r="H5" s="120"/>
      <c r="I5" s="120"/>
      <c r="J5" s="120"/>
      <c r="K5" s="120"/>
      <c r="L5" s="120"/>
      <c r="M5" s="120"/>
      <c r="N5" s="120"/>
      <c r="O5" s="120"/>
      <c r="P5" s="154"/>
      <c r="Q5" s="141"/>
      <c r="R5" s="137"/>
      <c r="T5" s="142"/>
      <c r="U5" s="142"/>
    </row>
    <row r="6" spans="1:21" x14ac:dyDescent="0.2">
      <c r="A6" s="139"/>
      <c r="B6" s="14"/>
      <c r="C6" s="128"/>
      <c r="D6" s="120"/>
      <c r="E6" s="120"/>
      <c r="F6" s="120"/>
      <c r="G6" s="120"/>
      <c r="H6" s="120"/>
      <c r="I6" s="120"/>
      <c r="J6" s="120"/>
      <c r="K6" s="120"/>
      <c r="L6" s="120"/>
      <c r="M6" s="120"/>
      <c r="N6" s="120"/>
      <c r="O6" s="120"/>
      <c r="P6" s="154"/>
      <c r="Q6" s="141"/>
      <c r="R6" s="137"/>
      <c r="T6" s="119"/>
      <c r="U6" s="119"/>
    </row>
    <row r="7" spans="1:21" x14ac:dyDescent="0.2">
      <c r="A7" s="139"/>
      <c r="B7" s="23" t="s">
        <v>313</v>
      </c>
      <c r="C7" s="128"/>
      <c r="D7" s="120"/>
      <c r="E7" s="120"/>
      <c r="F7" s="120"/>
      <c r="G7" s="120"/>
      <c r="H7" s="120"/>
      <c r="I7" s="120"/>
      <c r="J7" s="120"/>
      <c r="K7" s="120"/>
      <c r="L7" s="120"/>
      <c r="M7" s="120"/>
      <c r="N7" s="120"/>
      <c r="O7" s="120"/>
      <c r="P7" s="154"/>
      <c r="Q7" s="141"/>
      <c r="R7" s="137"/>
      <c r="T7" s="128"/>
      <c r="U7" s="128"/>
    </row>
    <row r="8" spans="1:21" x14ac:dyDescent="0.2">
      <c r="A8" s="139"/>
      <c r="B8" s="136" t="s">
        <v>342</v>
      </c>
      <c r="C8" s="128"/>
      <c r="D8" s="120"/>
      <c r="E8" s="120"/>
      <c r="F8" s="120"/>
      <c r="G8" s="120"/>
      <c r="H8" s="120"/>
      <c r="I8" s="120"/>
      <c r="J8" s="120"/>
      <c r="K8" s="120"/>
      <c r="L8" s="120"/>
      <c r="M8" s="120"/>
      <c r="N8" s="120"/>
      <c r="O8" s="120"/>
      <c r="P8" s="154"/>
      <c r="Q8" s="141"/>
      <c r="R8" s="137"/>
      <c r="T8" s="128"/>
      <c r="U8" s="128"/>
    </row>
    <row r="9" spans="1:21" x14ac:dyDescent="0.2">
      <c r="A9" s="139"/>
      <c r="B9" s="88" t="s">
        <v>316</v>
      </c>
      <c r="C9" s="128"/>
      <c r="D9" s="120"/>
      <c r="E9" s="120"/>
      <c r="F9" s="120"/>
      <c r="G9" s="120"/>
      <c r="H9" s="120"/>
      <c r="I9" s="120"/>
      <c r="J9" s="120"/>
      <c r="K9" s="120"/>
      <c r="L9" s="120"/>
      <c r="M9" s="120"/>
      <c r="N9" s="120"/>
      <c r="O9" s="120"/>
      <c r="P9" s="154"/>
      <c r="Q9" s="141"/>
      <c r="R9" s="137"/>
      <c r="T9" s="128"/>
      <c r="U9" s="128"/>
    </row>
    <row r="10" spans="1:21" x14ac:dyDescent="0.2">
      <c r="A10" s="139"/>
      <c r="B10" s="88" t="s">
        <v>343</v>
      </c>
      <c r="C10" s="128"/>
      <c r="D10" s="120"/>
      <c r="E10" s="120"/>
      <c r="F10" s="120"/>
      <c r="G10" s="120"/>
      <c r="H10" s="120"/>
      <c r="I10" s="120"/>
      <c r="J10" s="120"/>
      <c r="K10" s="120"/>
      <c r="L10" s="120"/>
      <c r="M10" s="120"/>
      <c r="N10" s="120"/>
      <c r="O10" s="120"/>
      <c r="P10" s="154"/>
      <c r="Q10" s="141"/>
      <c r="R10" s="137"/>
      <c r="T10" s="128"/>
      <c r="U10" s="128"/>
    </row>
    <row r="11" spans="1:21" x14ac:dyDescent="0.2">
      <c r="A11" s="139"/>
      <c r="B11" s="136"/>
      <c r="C11" s="128"/>
      <c r="D11" s="120"/>
      <c r="E11" s="120"/>
      <c r="F11" s="120"/>
      <c r="G11" s="120"/>
      <c r="H11" s="120"/>
      <c r="I11" s="120"/>
      <c r="J11" s="120"/>
      <c r="K11" s="120"/>
      <c r="L11" s="120"/>
      <c r="M11" s="120"/>
      <c r="N11" s="120"/>
      <c r="O11" s="120"/>
      <c r="P11" s="154"/>
      <c r="Q11" s="141"/>
      <c r="R11" s="137"/>
      <c r="T11" s="142"/>
      <c r="U11" s="142"/>
    </row>
    <row r="12" spans="1:21" x14ac:dyDescent="0.2">
      <c r="A12" s="139"/>
      <c r="B12" s="82" t="s">
        <v>78</v>
      </c>
      <c r="C12" s="128"/>
      <c r="D12" s="120"/>
      <c r="E12" s="120"/>
      <c r="F12" s="120"/>
      <c r="G12" s="120"/>
      <c r="H12" s="120"/>
      <c r="I12" s="120"/>
      <c r="J12" s="120"/>
      <c r="K12" s="120"/>
      <c r="L12" s="120"/>
      <c r="M12" s="120"/>
      <c r="N12" s="120"/>
      <c r="O12" s="120"/>
      <c r="P12" s="154"/>
      <c r="Q12" s="141"/>
      <c r="R12" s="137"/>
      <c r="T12" s="142"/>
      <c r="U12" s="142"/>
    </row>
    <row r="13" spans="1:21" x14ac:dyDescent="0.2">
      <c r="A13" s="139"/>
      <c r="B13" s="136"/>
      <c r="C13" s="138">
        <f>ROUND((2*$T13+2*$U13)*C$3,0)</f>
        <v>0</v>
      </c>
      <c r="D13" s="138">
        <f>C13*$Q13</f>
        <v>0</v>
      </c>
      <c r="E13" s="138">
        <f>ROUND((2*$T13+3*$U13)*E$3,0)</f>
        <v>0</v>
      </c>
      <c r="F13" s="138">
        <f>E13*$Q13</f>
        <v>0</v>
      </c>
      <c r="G13" s="138">
        <f>ROUND((2*$T13+4*$U13)*G$3,0)</f>
        <v>0</v>
      </c>
      <c r="H13" s="138">
        <f>G13*$Q13</f>
        <v>0</v>
      </c>
      <c r="I13" s="138">
        <f>ROUND((2*$T13+5*$U13)*I$3,0)</f>
        <v>0</v>
      </c>
      <c r="J13" s="138">
        <f>I13*$Q13</f>
        <v>0</v>
      </c>
      <c r="K13" s="138">
        <f>ROUND((2*$T13+6*$U13)*K$3,0)</f>
        <v>0</v>
      </c>
      <c r="L13" s="138">
        <f>K13*$Q13</f>
        <v>0</v>
      </c>
      <c r="M13" s="138">
        <f>ROUND((2*$T13+7*$U13)*M$3,0)</f>
        <v>0</v>
      </c>
      <c r="N13" s="138">
        <f>M13*$Q13</f>
        <v>0</v>
      </c>
      <c r="O13" s="138">
        <f>C13+E13+G13+I13+K13+M13</f>
        <v>0</v>
      </c>
      <c r="P13" s="154"/>
      <c r="Q13" s="141"/>
      <c r="R13" s="137"/>
      <c r="T13" s="142"/>
      <c r="U13" s="142"/>
    </row>
    <row r="14" spans="1:21" ht="57" x14ac:dyDescent="0.2">
      <c r="A14" s="139"/>
      <c r="B14" s="451" t="s">
        <v>915</v>
      </c>
      <c r="C14" s="138">
        <f>ROUND((2*$T14+2*$U14)*C$3,0)</f>
        <v>0</v>
      </c>
      <c r="D14" s="138">
        <f>C14*$Q14</f>
        <v>0</v>
      </c>
      <c r="E14" s="138">
        <f>ROUND((2*$T14+3*$U14)*E$3,0)</f>
        <v>0</v>
      </c>
      <c r="F14" s="138">
        <f>E14*$Q14</f>
        <v>0</v>
      </c>
      <c r="G14" s="138">
        <f>ROUND((2*$T14+4*$U14)*G$3,0)</f>
        <v>0</v>
      </c>
      <c r="H14" s="138">
        <f>G14*$Q14</f>
        <v>0</v>
      </c>
      <c r="I14" s="138">
        <f>ROUND((2*$T14+5*$U14)*I$3,0)</f>
        <v>0</v>
      </c>
      <c r="J14" s="138">
        <f>I14*$Q14</f>
        <v>0</v>
      </c>
      <c r="K14" s="138">
        <f>ROUND((2*$T14+6*$U14)*K$3,0)</f>
        <v>0</v>
      </c>
      <c r="L14" s="138">
        <f>K14*$Q14</f>
        <v>0</v>
      </c>
      <c r="M14" s="138">
        <f>ROUND((2*$T14+7*$U14)*M$3,0)</f>
        <v>0</v>
      </c>
      <c r="N14" s="138">
        <f>M14*$Q14</f>
        <v>0</v>
      </c>
      <c r="O14" s="138">
        <f>C14+E14+G14+I14+K14+M14</f>
        <v>0</v>
      </c>
      <c r="P14" s="154"/>
      <c r="Q14" s="141"/>
      <c r="R14" s="137">
        <f t="shared" ref="R14:R18" si="0">O14*Q14</f>
        <v>0</v>
      </c>
      <c r="T14" s="142"/>
      <c r="U14" s="142"/>
    </row>
    <row r="15" spans="1:21" x14ac:dyDescent="0.2">
      <c r="A15" s="139"/>
      <c r="B15" s="136"/>
      <c r="C15" s="138">
        <f t="shared" ref="C15:C30" si="1">ROUND((2*$T15+2*$U15)*C$3,0)</f>
        <v>0</v>
      </c>
      <c r="D15" s="138">
        <f t="shared" ref="D15:D30" si="2">C15*$Q15</f>
        <v>0</v>
      </c>
      <c r="E15" s="138">
        <f t="shared" ref="E15:E30" si="3">ROUND((2*$T15+3*$U15)*E$3,0)</f>
        <v>0</v>
      </c>
      <c r="F15" s="138">
        <f t="shared" ref="F15:F30" si="4">E15*$Q15</f>
        <v>0</v>
      </c>
      <c r="G15" s="138">
        <f t="shared" ref="G15:G30" si="5">ROUND((2*$T15+4*$U15)*G$3,0)</f>
        <v>0</v>
      </c>
      <c r="H15" s="138">
        <f t="shared" ref="H15:H30" si="6">G15*$Q15</f>
        <v>0</v>
      </c>
      <c r="I15" s="138">
        <f t="shared" ref="I15:I30" si="7">ROUND((2*$T15+5*$U15)*I$3,0)</f>
        <v>0</v>
      </c>
      <c r="J15" s="138">
        <f t="shared" ref="J15:J30" si="8">I15*$Q15</f>
        <v>0</v>
      </c>
      <c r="K15" s="138">
        <f t="shared" ref="K15:K30" si="9">ROUND((2*$T15+6*$U15)*K$3,0)</f>
        <v>0</v>
      </c>
      <c r="L15" s="138">
        <f t="shared" ref="L15:L30" si="10">K15*$Q15</f>
        <v>0</v>
      </c>
      <c r="M15" s="138">
        <f t="shared" ref="M15:M30" si="11">ROUND((2*$T15+7*$U15)*M$3,0)</f>
        <v>0</v>
      </c>
      <c r="N15" s="138">
        <f t="shared" ref="N15:N30" si="12">M15*$Q15</f>
        <v>0</v>
      </c>
      <c r="O15" s="138">
        <f t="shared" ref="O15:O29" si="13">C15+E15+G15+I15+K15+M15</f>
        <v>0</v>
      </c>
      <c r="P15" s="154"/>
      <c r="Q15" s="141"/>
      <c r="R15" s="137">
        <f t="shared" si="0"/>
        <v>0</v>
      </c>
      <c r="T15" s="142"/>
      <c r="U15" s="142"/>
    </row>
    <row r="16" spans="1:21" ht="28.5" x14ac:dyDescent="0.2">
      <c r="A16" s="139" t="s">
        <v>66</v>
      </c>
      <c r="B16" s="136" t="s">
        <v>338</v>
      </c>
      <c r="C16" s="138">
        <f t="shared" si="1"/>
        <v>14</v>
      </c>
      <c r="D16" s="138">
        <f t="shared" si="2"/>
        <v>0</v>
      </c>
      <c r="E16" s="138">
        <f t="shared" si="3"/>
        <v>17</v>
      </c>
      <c r="F16" s="138">
        <f t="shared" si="4"/>
        <v>0</v>
      </c>
      <c r="G16" s="138">
        <f t="shared" si="5"/>
        <v>100</v>
      </c>
      <c r="H16" s="138">
        <f t="shared" si="6"/>
        <v>0</v>
      </c>
      <c r="I16" s="138">
        <f t="shared" si="7"/>
        <v>23</v>
      </c>
      <c r="J16" s="138">
        <f t="shared" si="8"/>
        <v>0</v>
      </c>
      <c r="K16" s="138">
        <f t="shared" si="9"/>
        <v>78</v>
      </c>
      <c r="L16" s="138">
        <f t="shared" si="10"/>
        <v>0</v>
      </c>
      <c r="M16" s="138">
        <f t="shared" si="11"/>
        <v>29</v>
      </c>
      <c r="N16" s="138">
        <f t="shared" si="12"/>
        <v>0</v>
      </c>
      <c r="O16" s="138">
        <f>C16+E16+G16+I16+K16+M16</f>
        <v>261</v>
      </c>
      <c r="P16" s="154" t="s">
        <v>269</v>
      </c>
      <c r="Q16" s="141"/>
      <c r="R16" s="137">
        <f>O16*Q16</f>
        <v>0</v>
      </c>
      <c r="T16" s="142">
        <v>4</v>
      </c>
      <c r="U16" s="142">
        <v>3</v>
      </c>
    </row>
    <row r="17" spans="1:21" x14ac:dyDescent="0.2">
      <c r="A17" s="139"/>
      <c r="B17" s="114"/>
      <c r="C17" s="138">
        <f t="shared" si="1"/>
        <v>0</v>
      </c>
      <c r="D17" s="138">
        <f t="shared" si="2"/>
        <v>0</v>
      </c>
      <c r="E17" s="138">
        <f t="shared" si="3"/>
        <v>0</v>
      </c>
      <c r="F17" s="138">
        <f t="shared" si="4"/>
        <v>0</v>
      </c>
      <c r="G17" s="138">
        <f t="shared" si="5"/>
        <v>0</v>
      </c>
      <c r="H17" s="138">
        <f t="shared" si="6"/>
        <v>0</v>
      </c>
      <c r="I17" s="138">
        <f t="shared" si="7"/>
        <v>0</v>
      </c>
      <c r="J17" s="138">
        <f t="shared" si="8"/>
        <v>0</v>
      </c>
      <c r="K17" s="138">
        <f t="shared" si="9"/>
        <v>0</v>
      </c>
      <c r="L17" s="138">
        <f t="shared" si="10"/>
        <v>0</v>
      </c>
      <c r="M17" s="138">
        <f t="shared" si="11"/>
        <v>0</v>
      </c>
      <c r="N17" s="138">
        <f t="shared" si="12"/>
        <v>0</v>
      </c>
      <c r="O17" s="138">
        <f t="shared" si="13"/>
        <v>0</v>
      </c>
      <c r="P17" s="154"/>
      <c r="Q17" s="141"/>
      <c r="R17" s="137"/>
      <c r="T17" s="142"/>
      <c r="U17" s="142"/>
    </row>
    <row r="18" spans="1:21" ht="15" customHeight="1" x14ac:dyDescent="0.2">
      <c r="A18" s="139" t="s">
        <v>67</v>
      </c>
      <c r="B18" s="136" t="s">
        <v>339</v>
      </c>
      <c r="C18" s="138">
        <f t="shared" si="1"/>
        <v>4</v>
      </c>
      <c r="D18" s="138">
        <f t="shared" si="2"/>
        <v>0</v>
      </c>
      <c r="E18" s="138">
        <f t="shared" si="3"/>
        <v>5</v>
      </c>
      <c r="F18" s="138">
        <f t="shared" si="4"/>
        <v>0</v>
      </c>
      <c r="G18" s="138">
        <f t="shared" si="5"/>
        <v>30</v>
      </c>
      <c r="H18" s="138">
        <f t="shared" si="6"/>
        <v>0</v>
      </c>
      <c r="I18" s="138">
        <f t="shared" si="7"/>
        <v>7</v>
      </c>
      <c r="J18" s="138">
        <f t="shared" si="8"/>
        <v>0</v>
      </c>
      <c r="K18" s="138">
        <f t="shared" si="9"/>
        <v>24</v>
      </c>
      <c r="L18" s="138">
        <f t="shared" si="10"/>
        <v>0</v>
      </c>
      <c r="M18" s="138">
        <f t="shared" si="11"/>
        <v>9</v>
      </c>
      <c r="N18" s="138">
        <f t="shared" si="12"/>
        <v>0</v>
      </c>
      <c r="O18" s="138">
        <f>C18+E18+G18+I18+K18+M18</f>
        <v>79</v>
      </c>
      <c r="P18" s="154" t="s">
        <v>269</v>
      </c>
      <c r="Q18" s="141"/>
      <c r="R18" s="137">
        <f t="shared" si="0"/>
        <v>0</v>
      </c>
      <c r="T18" s="142">
        <v>1</v>
      </c>
      <c r="U18" s="142">
        <v>1</v>
      </c>
    </row>
    <row r="19" spans="1:21" x14ac:dyDescent="0.2">
      <c r="A19" s="139"/>
      <c r="B19" s="136"/>
      <c r="C19" s="138">
        <f t="shared" si="1"/>
        <v>0</v>
      </c>
      <c r="D19" s="138">
        <f t="shared" si="2"/>
        <v>0</v>
      </c>
      <c r="E19" s="138">
        <f t="shared" si="3"/>
        <v>0</v>
      </c>
      <c r="F19" s="138">
        <f t="shared" si="4"/>
        <v>0</v>
      </c>
      <c r="G19" s="138">
        <f t="shared" si="5"/>
        <v>0</v>
      </c>
      <c r="H19" s="138">
        <f t="shared" si="6"/>
        <v>0</v>
      </c>
      <c r="I19" s="138">
        <f t="shared" si="7"/>
        <v>0</v>
      </c>
      <c r="J19" s="138">
        <f t="shared" si="8"/>
        <v>0</v>
      </c>
      <c r="K19" s="138">
        <f t="shared" si="9"/>
        <v>0</v>
      </c>
      <c r="L19" s="138">
        <f t="shared" si="10"/>
        <v>0</v>
      </c>
      <c r="M19" s="138">
        <f t="shared" si="11"/>
        <v>0</v>
      </c>
      <c r="N19" s="138">
        <f t="shared" si="12"/>
        <v>0</v>
      </c>
      <c r="O19" s="138">
        <f t="shared" si="13"/>
        <v>0</v>
      </c>
      <c r="P19" s="154"/>
      <c r="Q19" s="141"/>
      <c r="R19" s="137"/>
      <c r="T19" s="142"/>
      <c r="U19" s="142"/>
    </row>
    <row r="20" spans="1:21" ht="57" x14ac:dyDescent="0.2">
      <c r="A20" s="139"/>
      <c r="B20" s="451" t="s">
        <v>916</v>
      </c>
      <c r="C20" s="138">
        <f t="shared" si="1"/>
        <v>0</v>
      </c>
      <c r="D20" s="138">
        <f t="shared" si="2"/>
        <v>0</v>
      </c>
      <c r="E20" s="138">
        <f t="shared" si="3"/>
        <v>0</v>
      </c>
      <c r="F20" s="138">
        <f t="shared" si="4"/>
        <v>0</v>
      </c>
      <c r="G20" s="138">
        <f t="shared" si="5"/>
        <v>0</v>
      </c>
      <c r="H20" s="138">
        <f t="shared" si="6"/>
        <v>0</v>
      </c>
      <c r="I20" s="138">
        <f t="shared" si="7"/>
        <v>0</v>
      </c>
      <c r="J20" s="138">
        <f t="shared" si="8"/>
        <v>0</v>
      </c>
      <c r="K20" s="138">
        <f t="shared" si="9"/>
        <v>0</v>
      </c>
      <c r="L20" s="138">
        <f t="shared" si="10"/>
        <v>0</v>
      </c>
      <c r="M20" s="138">
        <f t="shared" si="11"/>
        <v>0</v>
      </c>
      <c r="N20" s="138">
        <f t="shared" si="12"/>
        <v>0</v>
      </c>
      <c r="O20" s="138">
        <f t="shared" si="13"/>
        <v>0</v>
      </c>
      <c r="P20" s="154"/>
      <c r="Q20" s="141"/>
      <c r="R20" s="137"/>
      <c r="T20" s="142"/>
      <c r="U20" s="142"/>
    </row>
    <row r="21" spans="1:21" x14ac:dyDescent="0.2">
      <c r="A21" s="139"/>
      <c r="B21" s="136"/>
      <c r="C21" s="138">
        <f t="shared" si="1"/>
        <v>0</v>
      </c>
      <c r="D21" s="138">
        <f t="shared" si="2"/>
        <v>0</v>
      </c>
      <c r="E21" s="138">
        <f t="shared" si="3"/>
        <v>0</v>
      </c>
      <c r="F21" s="138">
        <f t="shared" si="4"/>
        <v>0</v>
      </c>
      <c r="G21" s="138">
        <f t="shared" si="5"/>
        <v>0</v>
      </c>
      <c r="H21" s="138">
        <f t="shared" si="6"/>
        <v>0</v>
      </c>
      <c r="I21" s="138">
        <f t="shared" si="7"/>
        <v>0</v>
      </c>
      <c r="J21" s="138">
        <f t="shared" si="8"/>
        <v>0</v>
      </c>
      <c r="K21" s="138">
        <f t="shared" si="9"/>
        <v>0</v>
      </c>
      <c r="L21" s="138">
        <f t="shared" si="10"/>
        <v>0</v>
      </c>
      <c r="M21" s="138">
        <f t="shared" si="11"/>
        <v>0</v>
      </c>
      <c r="N21" s="138">
        <f t="shared" si="12"/>
        <v>0</v>
      </c>
      <c r="O21" s="138">
        <f t="shared" si="13"/>
        <v>0</v>
      </c>
      <c r="P21" s="154"/>
      <c r="Q21" s="141"/>
      <c r="R21" s="137"/>
      <c r="T21" s="142"/>
      <c r="U21" s="142"/>
    </row>
    <row r="22" spans="1:21" ht="28.5" x14ac:dyDescent="0.2">
      <c r="A22" s="139" t="s">
        <v>68</v>
      </c>
      <c r="B22" s="136" t="s">
        <v>340</v>
      </c>
      <c r="C22" s="138">
        <f t="shared" si="1"/>
        <v>24</v>
      </c>
      <c r="D22" s="138">
        <f t="shared" si="2"/>
        <v>0</v>
      </c>
      <c r="E22" s="138">
        <f t="shared" si="3"/>
        <v>30</v>
      </c>
      <c r="F22" s="138">
        <f t="shared" si="4"/>
        <v>0</v>
      </c>
      <c r="G22" s="138">
        <f t="shared" si="5"/>
        <v>180</v>
      </c>
      <c r="H22" s="138">
        <f t="shared" si="6"/>
        <v>0</v>
      </c>
      <c r="I22" s="138">
        <f t="shared" si="7"/>
        <v>42</v>
      </c>
      <c r="J22" s="138">
        <f t="shared" si="8"/>
        <v>0</v>
      </c>
      <c r="K22" s="138">
        <f t="shared" si="9"/>
        <v>144</v>
      </c>
      <c r="L22" s="138">
        <f t="shared" si="10"/>
        <v>0</v>
      </c>
      <c r="M22" s="138">
        <f t="shared" si="11"/>
        <v>54</v>
      </c>
      <c r="N22" s="138">
        <f t="shared" si="12"/>
        <v>0</v>
      </c>
      <c r="O22" s="138">
        <f>C22+E22+G22+I22+K22+M22</f>
        <v>474</v>
      </c>
      <c r="P22" s="154" t="s">
        <v>269</v>
      </c>
      <c r="Q22" s="141"/>
      <c r="R22" s="137">
        <f t="shared" ref="R22" si="14">O22*Q22</f>
        <v>0</v>
      </c>
      <c r="T22" s="142">
        <v>6</v>
      </c>
      <c r="U22" s="142">
        <v>6</v>
      </c>
    </row>
    <row r="23" spans="1:21" x14ac:dyDescent="0.2">
      <c r="A23" s="139"/>
      <c r="B23" s="114"/>
      <c r="C23" s="138">
        <f t="shared" si="1"/>
        <v>0</v>
      </c>
      <c r="D23" s="138">
        <f t="shared" si="2"/>
        <v>0</v>
      </c>
      <c r="E23" s="138">
        <f t="shared" si="3"/>
        <v>0</v>
      </c>
      <c r="F23" s="138">
        <f t="shared" si="4"/>
        <v>0</v>
      </c>
      <c r="G23" s="138">
        <f t="shared" si="5"/>
        <v>0</v>
      </c>
      <c r="H23" s="138">
        <f t="shared" si="6"/>
        <v>0</v>
      </c>
      <c r="I23" s="138">
        <f t="shared" si="7"/>
        <v>0</v>
      </c>
      <c r="J23" s="138">
        <f t="shared" si="8"/>
        <v>0</v>
      </c>
      <c r="K23" s="138">
        <f t="shared" si="9"/>
        <v>0</v>
      </c>
      <c r="L23" s="138">
        <f t="shared" si="10"/>
        <v>0</v>
      </c>
      <c r="M23" s="138">
        <f t="shared" si="11"/>
        <v>0</v>
      </c>
      <c r="N23" s="138">
        <f t="shared" si="12"/>
        <v>0</v>
      </c>
      <c r="O23" s="138">
        <f t="shared" si="13"/>
        <v>0</v>
      </c>
      <c r="P23" s="154"/>
      <c r="Q23" s="141"/>
      <c r="R23" s="137"/>
      <c r="T23" s="142"/>
      <c r="U23" s="142"/>
    </row>
    <row r="24" spans="1:21" ht="28.5" x14ac:dyDescent="0.2">
      <c r="A24" s="139" t="s">
        <v>69</v>
      </c>
      <c r="B24" s="136" t="s">
        <v>341</v>
      </c>
      <c r="C24" s="138">
        <f t="shared" si="1"/>
        <v>4</v>
      </c>
      <c r="D24" s="138">
        <f t="shared" si="2"/>
        <v>0</v>
      </c>
      <c r="E24" s="138">
        <f t="shared" si="3"/>
        <v>5</v>
      </c>
      <c r="F24" s="138">
        <f t="shared" si="4"/>
        <v>0</v>
      </c>
      <c r="G24" s="138">
        <f t="shared" si="5"/>
        <v>30</v>
      </c>
      <c r="H24" s="138">
        <f t="shared" si="6"/>
        <v>0</v>
      </c>
      <c r="I24" s="138">
        <f t="shared" si="7"/>
        <v>7</v>
      </c>
      <c r="J24" s="138">
        <f t="shared" si="8"/>
        <v>0</v>
      </c>
      <c r="K24" s="138">
        <f t="shared" si="9"/>
        <v>24</v>
      </c>
      <c r="L24" s="138">
        <f t="shared" si="10"/>
        <v>0</v>
      </c>
      <c r="M24" s="138">
        <f t="shared" si="11"/>
        <v>9</v>
      </c>
      <c r="N24" s="138">
        <f t="shared" si="12"/>
        <v>0</v>
      </c>
      <c r="O24" s="138">
        <f>C24+E24+G24+I24+K24+M24</f>
        <v>79</v>
      </c>
      <c r="P24" s="154" t="s">
        <v>269</v>
      </c>
      <c r="Q24" s="141"/>
      <c r="R24" s="137">
        <f t="shared" ref="R24" si="15">O24*Q24</f>
        <v>0</v>
      </c>
      <c r="T24" s="142">
        <v>1</v>
      </c>
      <c r="U24" s="142">
        <v>1</v>
      </c>
    </row>
    <row r="25" spans="1:21" x14ac:dyDescent="0.2">
      <c r="A25" s="139"/>
      <c r="B25" s="136"/>
      <c r="C25" s="138">
        <f t="shared" si="1"/>
        <v>0</v>
      </c>
      <c r="D25" s="138">
        <f t="shared" si="2"/>
        <v>0</v>
      </c>
      <c r="E25" s="138">
        <f t="shared" si="3"/>
        <v>0</v>
      </c>
      <c r="F25" s="138">
        <f t="shared" si="4"/>
        <v>0</v>
      </c>
      <c r="G25" s="138">
        <f t="shared" si="5"/>
        <v>0</v>
      </c>
      <c r="H25" s="138">
        <f t="shared" si="6"/>
        <v>0</v>
      </c>
      <c r="I25" s="138">
        <f t="shared" si="7"/>
        <v>0</v>
      </c>
      <c r="J25" s="138">
        <f t="shared" si="8"/>
        <v>0</v>
      </c>
      <c r="K25" s="138">
        <f t="shared" si="9"/>
        <v>0</v>
      </c>
      <c r="L25" s="138">
        <f t="shared" si="10"/>
        <v>0</v>
      </c>
      <c r="M25" s="138">
        <f t="shared" si="11"/>
        <v>0</v>
      </c>
      <c r="N25" s="138">
        <f t="shared" si="12"/>
        <v>0</v>
      </c>
      <c r="O25" s="138">
        <f t="shared" si="13"/>
        <v>0</v>
      </c>
      <c r="P25" s="154"/>
      <c r="Q25" s="141"/>
      <c r="R25" s="137"/>
      <c r="T25" s="142"/>
      <c r="U25" s="142"/>
    </row>
    <row r="26" spans="1:21" ht="57" x14ac:dyDescent="0.2">
      <c r="A26" s="139"/>
      <c r="B26" s="452" t="s">
        <v>917</v>
      </c>
      <c r="C26" s="138">
        <f t="shared" si="1"/>
        <v>0</v>
      </c>
      <c r="D26" s="138">
        <f t="shared" si="2"/>
        <v>0</v>
      </c>
      <c r="E26" s="138">
        <f t="shared" si="3"/>
        <v>0</v>
      </c>
      <c r="F26" s="138">
        <f t="shared" si="4"/>
        <v>0</v>
      </c>
      <c r="G26" s="138">
        <f t="shared" si="5"/>
        <v>0</v>
      </c>
      <c r="H26" s="138">
        <f t="shared" si="6"/>
        <v>0</v>
      </c>
      <c r="I26" s="138">
        <f t="shared" si="7"/>
        <v>0</v>
      </c>
      <c r="J26" s="138">
        <f t="shared" si="8"/>
        <v>0</v>
      </c>
      <c r="K26" s="138">
        <f t="shared" si="9"/>
        <v>0</v>
      </c>
      <c r="L26" s="138">
        <f t="shared" si="10"/>
        <v>0</v>
      </c>
      <c r="M26" s="138">
        <f t="shared" si="11"/>
        <v>0</v>
      </c>
      <c r="N26" s="138">
        <f t="shared" si="12"/>
        <v>0</v>
      </c>
      <c r="O26" s="138">
        <f t="shared" si="13"/>
        <v>0</v>
      </c>
      <c r="P26" s="154"/>
      <c r="Q26" s="141"/>
      <c r="R26" s="137"/>
      <c r="T26" s="142"/>
      <c r="U26" s="142"/>
    </row>
    <row r="27" spans="1:21" x14ac:dyDescent="0.2">
      <c r="A27" s="139"/>
      <c r="B27" s="136"/>
      <c r="C27" s="138">
        <f t="shared" si="1"/>
        <v>0</v>
      </c>
      <c r="D27" s="138">
        <f t="shared" ref="D27:D28" si="16">C27*$Q27</f>
        <v>0</v>
      </c>
      <c r="E27" s="138">
        <f t="shared" si="3"/>
        <v>0</v>
      </c>
      <c r="F27" s="138">
        <f t="shared" ref="F27:F28" si="17">E27*$Q27</f>
        <v>0</v>
      </c>
      <c r="G27" s="138">
        <f t="shared" si="5"/>
        <v>0</v>
      </c>
      <c r="H27" s="138">
        <f t="shared" ref="H27:H28" si="18">G27*$Q27</f>
        <v>0</v>
      </c>
      <c r="I27" s="138">
        <f t="shared" si="7"/>
        <v>0</v>
      </c>
      <c r="J27" s="138">
        <f t="shared" ref="J27:J28" si="19">I27*$Q27</f>
        <v>0</v>
      </c>
      <c r="K27" s="138">
        <f t="shared" si="9"/>
        <v>0</v>
      </c>
      <c r="L27" s="138">
        <f t="shared" ref="L27:L28" si="20">K27*$Q27</f>
        <v>0</v>
      </c>
      <c r="M27" s="138">
        <f t="shared" si="11"/>
        <v>0</v>
      </c>
      <c r="N27" s="138">
        <f t="shared" ref="N27:N28" si="21">M27*$Q27</f>
        <v>0</v>
      </c>
      <c r="O27" s="138">
        <f t="shared" ref="O27" si="22">C27+E27+G27+I27+K27+M27</f>
        <v>0</v>
      </c>
      <c r="P27" s="154"/>
      <c r="Q27" s="141"/>
      <c r="R27" s="137"/>
      <c r="T27" s="142"/>
      <c r="U27" s="142"/>
    </row>
    <row r="28" spans="1:21" ht="28.5" x14ac:dyDescent="0.2">
      <c r="A28" s="139" t="s">
        <v>70</v>
      </c>
      <c r="B28" s="136" t="s">
        <v>888</v>
      </c>
      <c r="C28" s="138">
        <f t="shared" si="1"/>
        <v>2</v>
      </c>
      <c r="D28" s="138">
        <f t="shared" si="16"/>
        <v>0</v>
      </c>
      <c r="E28" s="138">
        <f t="shared" si="3"/>
        <v>3</v>
      </c>
      <c r="F28" s="138">
        <f t="shared" si="17"/>
        <v>0</v>
      </c>
      <c r="G28" s="138">
        <f t="shared" si="5"/>
        <v>20</v>
      </c>
      <c r="H28" s="138">
        <f t="shared" si="18"/>
        <v>0</v>
      </c>
      <c r="I28" s="138">
        <f t="shared" si="7"/>
        <v>5</v>
      </c>
      <c r="J28" s="138">
        <f t="shared" si="19"/>
        <v>0</v>
      </c>
      <c r="K28" s="138">
        <f t="shared" si="9"/>
        <v>18</v>
      </c>
      <c r="L28" s="138">
        <f t="shared" si="20"/>
        <v>0</v>
      </c>
      <c r="M28" s="138">
        <f t="shared" si="11"/>
        <v>7</v>
      </c>
      <c r="N28" s="138">
        <f t="shared" si="21"/>
        <v>0</v>
      </c>
      <c r="O28" s="138">
        <f>C28+E28+G28+I28+K28+M28</f>
        <v>55</v>
      </c>
      <c r="P28" s="154" t="s">
        <v>269</v>
      </c>
      <c r="Q28" s="141"/>
      <c r="R28" s="137">
        <f t="shared" ref="R28" si="23">O28*Q28</f>
        <v>0</v>
      </c>
      <c r="T28" s="142"/>
      <c r="U28" s="142">
        <v>1</v>
      </c>
    </row>
    <row r="29" spans="1:21" x14ac:dyDescent="0.2">
      <c r="A29" s="139"/>
      <c r="B29" s="136"/>
      <c r="C29" s="138">
        <f t="shared" si="1"/>
        <v>0</v>
      </c>
      <c r="D29" s="138">
        <f t="shared" si="2"/>
        <v>0</v>
      </c>
      <c r="E29" s="138">
        <f t="shared" si="3"/>
        <v>0</v>
      </c>
      <c r="F29" s="138">
        <f t="shared" si="4"/>
        <v>0</v>
      </c>
      <c r="G29" s="138">
        <f t="shared" si="5"/>
        <v>0</v>
      </c>
      <c r="H29" s="138">
        <f t="shared" si="6"/>
        <v>0</v>
      </c>
      <c r="I29" s="138">
        <f t="shared" si="7"/>
        <v>0</v>
      </c>
      <c r="J29" s="138">
        <f t="shared" si="8"/>
        <v>0</v>
      </c>
      <c r="K29" s="138">
        <f t="shared" si="9"/>
        <v>0</v>
      </c>
      <c r="L29" s="138">
        <f t="shared" si="10"/>
        <v>0</v>
      </c>
      <c r="M29" s="138">
        <f t="shared" si="11"/>
        <v>0</v>
      </c>
      <c r="N29" s="138">
        <f t="shared" si="12"/>
        <v>0</v>
      </c>
      <c r="O29" s="138">
        <f t="shared" si="13"/>
        <v>0</v>
      </c>
      <c r="P29" s="154"/>
      <c r="Q29" s="141"/>
      <c r="R29" s="137"/>
      <c r="T29" s="142"/>
      <c r="U29" s="142"/>
    </row>
    <row r="30" spans="1:21" ht="28.5" x14ac:dyDescent="0.2">
      <c r="A30" s="139" t="s">
        <v>71</v>
      </c>
      <c r="B30" s="136" t="s">
        <v>889</v>
      </c>
      <c r="C30" s="138">
        <f t="shared" si="1"/>
        <v>2</v>
      </c>
      <c r="D30" s="138">
        <f t="shared" si="2"/>
        <v>0</v>
      </c>
      <c r="E30" s="138">
        <f t="shared" si="3"/>
        <v>2</v>
      </c>
      <c r="F30" s="138">
        <f t="shared" si="4"/>
        <v>0</v>
      </c>
      <c r="G30" s="138">
        <f t="shared" si="5"/>
        <v>10</v>
      </c>
      <c r="H30" s="138">
        <f t="shared" si="6"/>
        <v>0</v>
      </c>
      <c r="I30" s="138">
        <f t="shared" si="7"/>
        <v>2</v>
      </c>
      <c r="J30" s="138">
        <f t="shared" si="8"/>
        <v>0</v>
      </c>
      <c r="K30" s="138">
        <f t="shared" si="9"/>
        <v>6</v>
      </c>
      <c r="L30" s="138">
        <f t="shared" si="10"/>
        <v>0</v>
      </c>
      <c r="M30" s="138">
        <f t="shared" si="11"/>
        <v>2</v>
      </c>
      <c r="N30" s="138">
        <f t="shared" si="12"/>
        <v>0</v>
      </c>
      <c r="O30" s="138">
        <f>C30+E30+G30+I30+K30+M30</f>
        <v>24</v>
      </c>
      <c r="P30" s="154" t="s">
        <v>269</v>
      </c>
      <c r="Q30" s="141"/>
      <c r="R30" s="137">
        <f t="shared" ref="R30" si="24">O30*Q30</f>
        <v>0</v>
      </c>
      <c r="T30" s="142">
        <v>1</v>
      </c>
      <c r="U30" s="142"/>
    </row>
    <row r="31" spans="1:21" x14ac:dyDescent="0.2">
      <c r="A31" s="139"/>
      <c r="B31" s="136"/>
      <c r="C31" s="138"/>
      <c r="D31" s="138"/>
      <c r="E31" s="138"/>
      <c r="F31" s="138"/>
      <c r="G31" s="138"/>
      <c r="H31" s="138"/>
      <c r="I31" s="138"/>
      <c r="J31" s="138"/>
      <c r="K31" s="138"/>
      <c r="L31" s="138"/>
      <c r="M31" s="138"/>
      <c r="N31" s="138"/>
      <c r="O31" s="138"/>
      <c r="P31" s="154"/>
      <c r="Q31" s="141"/>
      <c r="R31" s="137"/>
      <c r="T31" s="142"/>
      <c r="U31" s="142"/>
    </row>
    <row r="32" spans="1:21" x14ac:dyDescent="0.2">
      <c r="A32" s="139"/>
      <c r="B32" s="136"/>
      <c r="C32" s="138">
        <f t="shared" ref="C32:C34" si="25">ROUND(T32*C$3,0)</f>
        <v>0</v>
      </c>
      <c r="D32" s="138">
        <f t="shared" ref="D32:D34" si="26">C32*$Q32</f>
        <v>0</v>
      </c>
      <c r="E32" s="138"/>
      <c r="F32" s="138"/>
      <c r="G32" s="138"/>
      <c r="H32" s="138"/>
      <c r="I32" s="138"/>
      <c r="J32" s="138"/>
      <c r="K32" s="138"/>
      <c r="L32" s="138"/>
      <c r="M32" s="138"/>
      <c r="N32" s="138"/>
      <c r="O32" s="138"/>
      <c r="P32" s="154"/>
      <c r="Q32" s="141"/>
      <c r="R32" s="137"/>
      <c r="T32" s="142"/>
      <c r="U32" s="142"/>
    </row>
    <row r="33" spans="1:21" x14ac:dyDescent="0.2">
      <c r="A33" s="139"/>
      <c r="B33" s="136"/>
      <c r="C33" s="138">
        <f t="shared" si="25"/>
        <v>0</v>
      </c>
      <c r="D33" s="138">
        <f t="shared" si="26"/>
        <v>0</v>
      </c>
      <c r="E33" s="138"/>
      <c r="F33" s="138"/>
      <c r="G33" s="138"/>
      <c r="H33" s="138"/>
      <c r="I33" s="138"/>
      <c r="J33" s="138"/>
      <c r="K33" s="138"/>
      <c r="L33" s="138"/>
      <c r="M33" s="138"/>
      <c r="N33" s="138"/>
      <c r="O33" s="138"/>
      <c r="P33" s="154"/>
      <c r="Q33" s="141"/>
      <c r="R33" s="137"/>
      <c r="T33" s="142"/>
      <c r="U33" s="142"/>
    </row>
    <row r="34" spans="1:21" x14ac:dyDescent="0.2">
      <c r="A34" s="139"/>
      <c r="B34" s="136"/>
      <c r="C34" s="138">
        <f t="shared" si="25"/>
        <v>0</v>
      </c>
      <c r="D34" s="138">
        <f t="shared" si="26"/>
        <v>0</v>
      </c>
      <c r="E34" s="138"/>
      <c r="F34" s="138"/>
      <c r="G34" s="138"/>
      <c r="H34" s="138"/>
      <c r="I34" s="138"/>
      <c r="J34" s="138"/>
      <c r="K34" s="138"/>
      <c r="L34" s="138"/>
      <c r="M34" s="138"/>
      <c r="N34" s="138"/>
      <c r="O34" s="138"/>
      <c r="P34" s="154"/>
      <c r="Q34" s="141"/>
      <c r="R34" s="137"/>
      <c r="T34" s="142"/>
      <c r="U34" s="142"/>
    </row>
    <row r="35" spans="1:21" x14ac:dyDescent="0.2">
      <c r="A35" s="127"/>
      <c r="B35" s="136"/>
      <c r="C35" s="128"/>
      <c r="D35" s="120"/>
      <c r="E35" s="120"/>
      <c r="F35" s="120"/>
      <c r="G35" s="120"/>
      <c r="H35" s="120"/>
      <c r="I35" s="120"/>
      <c r="J35" s="120"/>
      <c r="K35" s="120"/>
      <c r="L35" s="120"/>
      <c r="M35" s="120"/>
      <c r="N35" s="120"/>
      <c r="O35" s="120"/>
      <c r="P35" s="154"/>
      <c r="Q35" s="141"/>
      <c r="R35" s="137"/>
      <c r="T35" s="142"/>
      <c r="U35" s="142"/>
    </row>
    <row r="36" spans="1:21" x14ac:dyDescent="0.2">
      <c r="A36" s="129"/>
      <c r="B36" s="130"/>
      <c r="C36" s="131"/>
      <c r="D36" s="131"/>
      <c r="E36" s="131"/>
      <c r="F36" s="131"/>
      <c r="G36" s="131"/>
      <c r="H36" s="131"/>
      <c r="I36" s="131"/>
      <c r="J36" s="131"/>
      <c r="K36" s="131"/>
      <c r="L36" s="131"/>
      <c r="M36" s="131"/>
      <c r="N36" s="131"/>
      <c r="O36" s="131"/>
      <c r="P36" s="131"/>
      <c r="Q36" s="132"/>
      <c r="R36" s="126"/>
      <c r="T36" s="134"/>
      <c r="U36" s="134"/>
    </row>
    <row r="37" spans="1:21" x14ac:dyDescent="0.2">
      <c r="C37" s="122"/>
      <c r="D37" s="122"/>
      <c r="E37" s="122"/>
      <c r="F37" s="122"/>
      <c r="G37" s="122"/>
      <c r="H37" s="122"/>
      <c r="I37" s="122"/>
      <c r="J37" s="122"/>
      <c r="K37" s="122"/>
      <c r="L37" s="122"/>
      <c r="M37" s="122"/>
      <c r="N37" s="122"/>
      <c r="O37" s="122"/>
      <c r="P37" s="171" t="s">
        <v>1</v>
      </c>
      <c r="Q37" s="133" t="s">
        <v>0</v>
      </c>
      <c r="R37" s="137">
        <f>SUM(R4:R35)</f>
        <v>0</v>
      </c>
      <c r="T37" s="135"/>
      <c r="U37" s="135"/>
    </row>
    <row r="38" spans="1:21" x14ac:dyDescent="0.2">
      <c r="P38" s="188"/>
      <c r="Q38" s="124"/>
      <c r="R38" s="125"/>
      <c r="T38" s="142"/>
      <c r="U38" s="142"/>
    </row>
    <row r="39" spans="1:21" x14ac:dyDescent="0.2">
      <c r="A39" s="139"/>
      <c r="B39" s="136"/>
      <c r="C39" s="128"/>
      <c r="D39" s="120"/>
      <c r="E39" s="120"/>
      <c r="F39" s="120"/>
      <c r="G39" s="120"/>
      <c r="H39" s="120"/>
      <c r="I39" s="120"/>
      <c r="J39" s="120"/>
      <c r="K39" s="120"/>
      <c r="L39" s="120"/>
      <c r="M39" s="120"/>
      <c r="N39" s="120"/>
      <c r="O39" s="120"/>
      <c r="P39" s="154"/>
      <c r="Q39" s="141"/>
      <c r="R39" s="137"/>
      <c r="T39" s="142"/>
      <c r="U39" s="142"/>
    </row>
    <row r="40" spans="1:21" x14ac:dyDescent="0.2">
      <c r="A40" s="139"/>
      <c r="B40" s="82" t="s">
        <v>89</v>
      </c>
      <c r="C40" s="128"/>
      <c r="D40" s="120"/>
      <c r="E40" s="120"/>
      <c r="F40" s="120"/>
      <c r="G40" s="120"/>
      <c r="H40" s="120"/>
      <c r="I40" s="120"/>
      <c r="J40" s="120"/>
      <c r="K40" s="120"/>
      <c r="L40" s="120"/>
      <c r="M40" s="120"/>
      <c r="N40" s="120"/>
      <c r="O40" s="120"/>
      <c r="P40" s="154"/>
      <c r="Q40" s="141"/>
      <c r="R40" s="137"/>
      <c r="T40" s="142"/>
      <c r="U40" s="142"/>
    </row>
    <row r="41" spans="1:21" x14ac:dyDescent="0.2">
      <c r="A41" s="139"/>
      <c r="B41" s="136"/>
      <c r="C41" s="138"/>
      <c r="D41" s="138"/>
      <c r="E41" s="138"/>
      <c r="F41" s="138"/>
      <c r="G41" s="138"/>
      <c r="H41" s="138"/>
      <c r="I41" s="138"/>
      <c r="J41" s="138"/>
      <c r="K41" s="138"/>
      <c r="L41" s="138"/>
      <c r="M41" s="138"/>
      <c r="N41" s="138"/>
      <c r="O41" s="138"/>
      <c r="P41" s="154"/>
      <c r="Q41" s="141"/>
      <c r="R41" s="137"/>
      <c r="T41" s="142"/>
      <c r="U41" s="142"/>
    </row>
    <row r="42" spans="1:21" ht="42.75" x14ac:dyDescent="0.2">
      <c r="A42" s="139"/>
      <c r="B42" s="82" t="s">
        <v>570</v>
      </c>
      <c r="C42" s="138">
        <f t="shared" ref="C42:C67" si="27">ROUND((2*$T42+2*$U42)*C$3,0)</f>
        <v>0</v>
      </c>
      <c r="D42" s="138">
        <f t="shared" ref="D42:D67" si="28">C42*$Q42</f>
        <v>0</v>
      </c>
      <c r="E42" s="138">
        <f t="shared" ref="E42:E67" si="29">ROUND((2*$T42+3*$U42)*E$3,0)</f>
        <v>0</v>
      </c>
      <c r="F42" s="138">
        <f t="shared" ref="F42:F67" si="30">E42*$Q42</f>
        <v>0</v>
      </c>
      <c r="G42" s="138">
        <f t="shared" ref="G42:G67" si="31">ROUND((2*$T42+4*$U42)*G$3,0)</f>
        <v>0</v>
      </c>
      <c r="H42" s="138">
        <f t="shared" ref="H42:H67" si="32">G42*$Q42</f>
        <v>0</v>
      </c>
      <c r="I42" s="138">
        <f t="shared" ref="I42:I67" si="33">ROUND((2*$T42+5*$U42)*I$3,0)</f>
        <v>0</v>
      </c>
      <c r="J42" s="138">
        <f t="shared" ref="J42:J67" si="34">I42*$Q42</f>
        <v>0</v>
      </c>
      <c r="K42" s="138">
        <f t="shared" ref="K42:K67" si="35">ROUND((2*$T42+6*$U42)*K$3,0)</f>
        <v>0</v>
      </c>
      <c r="L42" s="138">
        <f t="shared" ref="L42:L67" si="36">K42*$Q42</f>
        <v>0</v>
      </c>
      <c r="M42" s="138">
        <f t="shared" ref="M42:M67" si="37">ROUND((2*$T42+7*$U42)*M$3,0)</f>
        <v>0</v>
      </c>
      <c r="N42" s="138">
        <f t="shared" ref="N42:N67" si="38">M42*$Q42</f>
        <v>0</v>
      </c>
      <c r="O42" s="138">
        <f t="shared" ref="O42:O67" si="39">C42+E42+G42+I42+K42+M42</f>
        <v>0</v>
      </c>
      <c r="P42" s="154"/>
      <c r="Q42" s="141"/>
      <c r="R42" s="137"/>
      <c r="T42" s="142"/>
      <c r="U42" s="142"/>
    </row>
    <row r="43" spans="1:21" x14ac:dyDescent="0.2">
      <c r="A43" s="139"/>
      <c r="B43" s="136"/>
      <c r="C43" s="138">
        <f t="shared" si="27"/>
        <v>0</v>
      </c>
      <c r="D43" s="138">
        <f t="shared" si="28"/>
        <v>0</v>
      </c>
      <c r="E43" s="138">
        <f t="shared" si="29"/>
        <v>0</v>
      </c>
      <c r="F43" s="138">
        <f t="shared" si="30"/>
        <v>0</v>
      </c>
      <c r="G43" s="138">
        <f t="shared" si="31"/>
        <v>0</v>
      </c>
      <c r="H43" s="138">
        <f t="shared" si="32"/>
        <v>0</v>
      </c>
      <c r="I43" s="138">
        <f t="shared" si="33"/>
        <v>0</v>
      </c>
      <c r="J43" s="138">
        <f t="shared" si="34"/>
        <v>0</v>
      </c>
      <c r="K43" s="138">
        <f t="shared" si="35"/>
        <v>0</v>
      </c>
      <c r="L43" s="138">
        <f t="shared" si="36"/>
        <v>0</v>
      </c>
      <c r="M43" s="138">
        <f t="shared" si="37"/>
        <v>0</v>
      </c>
      <c r="N43" s="138">
        <f t="shared" si="38"/>
        <v>0</v>
      </c>
      <c r="O43" s="138">
        <f t="shared" si="39"/>
        <v>0</v>
      </c>
      <c r="P43" s="154"/>
      <c r="Q43" s="141"/>
      <c r="R43" s="137"/>
      <c r="T43" s="142"/>
      <c r="U43" s="142"/>
    </row>
    <row r="44" spans="1:21" x14ac:dyDescent="0.2">
      <c r="A44" s="139" t="s">
        <v>66</v>
      </c>
      <c r="B44" s="136" t="s">
        <v>482</v>
      </c>
      <c r="C44" s="138">
        <f t="shared" si="27"/>
        <v>4</v>
      </c>
      <c r="D44" s="138">
        <f t="shared" si="28"/>
        <v>0</v>
      </c>
      <c r="E44" s="138">
        <f t="shared" si="29"/>
        <v>5</v>
      </c>
      <c r="F44" s="138">
        <f t="shared" si="30"/>
        <v>0</v>
      </c>
      <c r="G44" s="138">
        <f t="shared" si="31"/>
        <v>30</v>
      </c>
      <c r="H44" s="138">
        <f t="shared" si="32"/>
        <v>0</v>
      </c>
      <c r="I44" s="138">
        <f t="shared" si="33"/>
        <v>7</v>
      </c>
      <c r="J44" s="138">
        <f t="shared" si="34"/>
        <v>0</v>
      </c>
      <c r="K44" s="138">
        <f t="shared" si="35"/>
        <v>24</v>
      </c>
      <c r="L44" s="138">
        <f t="shared" si="36"/>
        <v>0</v>
      </c>
      <c r="M44" s="138">
        <f t="shared" si="37"/>
        <v>9</v>
      </c>
      <c r="N44" s="138">
        <f t="shared" si="38"/>
        <v>0</v>
      </c>
      <c r="O44" s="138">
        <f>C44+E44+G44+I44+K44+M44</f>
        <v>79</v>
      </c>
      <c r="P44" s="154" t="s">
        <v>269</v>
      </c>
      <c r="Q44" s="141"/>
      <c r="R44" s="137">
        <f>O44*Q44</f>
        <v>0</v>
      </c>
      <c r="T44" s="142">
        <v>1</v>
      </c>
      <c r="U44" s="142">
        <v>1</v>
      </c>
    </row>
    <row r="45" spans="1:21" x14ac:dyDescent="0.2">
      <c r="A45" s="139"/>
      <c r="B45" s="136"/>
      <c r="C45" s="138"/>
      <c r="D45" s="138"/>
      <c r="E45" s="138"/>
      <c r="F45" s="138"/>
      <c r="G45" s="138"/>
      <c r="H45" s="138"/>
      <c r="I45" s="138"/>
      <c r="J45" s="138"/>
      <c r="K45" s="138"/>
      <c r="L45" s="138"/>
      <c r="M45" s="138"/>
      <c r="N45" s="138"/>
      <c r="O45" s="138"/>
      <c r="P45" s="154"/>
      <c r="Q45" s="141"/>
      <c r="R45" s="137"/>
      <c r="T45" s="142"/>
      <c r="U45" s="142"/>
    </row>
    <row r="46" spans="1:21" ht="29.25" customHeight="1" x14ac:dyDescent="0.2">
      <c r="A46" s="139"/>
      <c r="B46" s="82" t="s">
        <v>571</v>
      </c>
      <c r="C46" s="138">
        <f t="shared" si="27"/>
        <v>0</v>
      </c>
      <c r="D46" s="138">
        <f t="shared" si="28"/>
        <v>0</v>
      </c>
      <c r="E46" s="138">
        <f t="shared" si="29"/>
        <v>0</v>
      </c>
      <c r="F46" s="138">
        <f t="shared" si="30"/>
        <v>0</v>
      </c>
      <c r="G46" s="138">
        <f t="shared" si="31"/>
        <v>0</v>
      </c>
      <c r="H46" s="138">
        <f t="shared" si="32"/>
        <v>0</v>
      </c>
      <c r="I46" s="138">
        <f t="shared" si="33"/>
        <v>0</v>
      </c>
      <c r="J46" s="138">
        <f t="shared" si="34"/>
        <v>0</v>
      </c>
      <c r="K46" s="138">
        <f t="shared" si="35"/>
        <v>0</v>
      </c>
      <c r="L46" s="138">
        <f t="shared" si="36"/>
        <v>0</v>
      </c>
      <c r="M46" s="138">
        <f t="shared" si="37"/>
        <v>0</v>
      </c>
      <c r="N46" s="138">
        <f t="shared" si="38"/>
        <v>0</v>
      </c>
      <c r="O46" s="138">
        <f t="shared" ref="O46:O47" si="40">C46+E46+G46+I46+K46+M46</f>
        <v>0</v>
      </c>
      <c r="P46" s="154"/>
      <c r="Q46" s="141"/>
      <c r="R46" s="137"/>
      <c r="T46" s="142"/>
      <c r="U46" s="142"/>
    </row>
    <row r="47" spans="1:21" x14ac:dyDescent="0.2">
      <c r="A47" s="139"/>
      <c r="B47" s="136"/>
      <c r="C47" s="138">
        <f t="shared" si="27"/>
        <v>0</v>
      </c>
      <c r="D47" s="138">
        <f t="shared" si="28"/>
        <v>0</v>
      </c>
      <c r="E47" s="138">
        <f t="shared" si="29"/>
        <v>0</v>
      </c>
      <c r="F47" s="138">
        <f t="shared" si="30"/>
        <v>0</v>
      </c>
      <c r="G47" s="138">
        <f t="shared" si="31"/>
        <v>0</v>
      </c>
      <c r="H47" s="138">
        <f t="shared" si="32"/>
        <v>0</v>
      </c>
      <c r="I47" s="138">
        <f t="shared" si="33"/>
        <v>0</v>
      </c>
      <c r="J47" s="138">
        <f t="shared" si="34"/>
        <v>0</v>
      </c>
      <c r="K47" s="138">
        <f t="shared" si="35"/>
        <v>0</v>
      </c>
      <c r="L47" s="138">
        <f t="shared" si="36"/>
        <v>0</v>
      </c>
      <c r="M47" s="138">
        <f t="shared" si="37"/>
        <v>0</v>
      </c>
      <c r="N47" s="138">
        <f t="shared" si="38"/>
        <v>0</v>
      </c>
      <c r="O47" s="138">
        <f t="shared" si="40"/>
        <v>0</v>
      </c>
      <c r="P47" s="154"/>
      <c r="Q47" s="141"/>
      <c r="R47" s="137"/>
      <c r="T47" s="142"/>
      <c r="U47" s="142"/>
    </row>
    <row r="48" spans="1:21" x14ac:dyDescent="0.2">
      <c r="A48" s="139" t="s">
        <v>67</v>
      </c>
      <c r="B48" s="136" t="s">
        <v>483</v>
      </c>
      <c r="C48" s="138">
        <f t="shared" si="27"/>
        <v>4</v>
      </c>
      <c r="D48" s="138">
        <f t="shared" si="28"/>
        <v>0</v>
      </c>
      <c r="E48" s="138">
        <f t="shared" si="29"/>
        <v>5</v>
      </c>
      <c r="F48" s="138">
        <f t="shared" si="30"/>
        <v>0</v>
      </c>
      <c r="G48" s="138">
        <f t="shared" si="31"/>
        <v>30</v>
      </c>
      <c r="H48" s="138">
        <f t="shared" si="32"/>
        <v>0</v>
      </c>
      <c r="I48" s="138">
        <f t="shared" si="33"/>
        <v>7</v>
      </c>
      <c r="J48" s="138">
        <f t="shared" si="34"/>
        <v>0</v>
      </c>
      <c r="K48" s="138">
        <f t="shared" si="35"/>
        <v>24</v>
      </c>
      <c r="L48" s="138">
        <f t="shared" si="36"/>
        <v>0</v>
      </c>
      <c r="M48" s="138">
        <f t="shared" si="37"/>
        <v>9</v>
      </c>
      <c r="N48" s="138">
        <f t="shared" si="38"/>
        <v>0</v>
      </c>
      <c r="O48" s="138">
        <f>C48+E48+G48+I48+K48+M48</f>
        <v>79</v>
      </c>
      <c r="P48" s="154" t="s">
        <v>269</v>
      </c>
      <c r="Q48" s="141"/>
      <c r="R48" s="137">
        <f>O48*Q48</f>
        <v>0</v>
      </c>
      <c r="T48" s="142">
        <v>1</v>
      </c>
      <c r="U48" s="142">
        <v>1</v>
      </c>
    </row>
    <row r="49" spans="1:21" x14ac:dyDescent="0.2">
      <c r="A49" s="139"/>
      <c r="B49" s="136"/>
      <c r="C49" s="138">
        <f t="shared" si="27"/>
        <v>0</v>
      </c>
      <c r="D49" s="138">
        <f t="shared" si="28"/>
        <v>0</v>
      </c>
      <c r="E49" s="138">
        <f t="shared" si="29"/>
        <v>0</v>
      </c>
      <c r="F49" s="138">
        <f t="shared" si="30"/>
        <v>0</v>
      </c>
      <c r="G49" s="138">
        <f t="shared" si="31"/>
        <v>0</v>
      </c>
      <c r="H49" s="138">
        <f t="shared" si="32"/>
        <v>0</v>
      </c>
      <c r="I49" s="138">
        <f t="shared" si="33"/>
        <v>0</v>
      </c>
      <c r="J49" s="138">
        <f t="shared" si="34"/>
        <v>0</v>
      </c>
      <c r="K49" s="138">
        <f t="shared" si="35"/>
        <v>0</v>
      </c>
      <c r="L49" s="138">
        <f t="shared" si="36"/>
        <v>0</v>
      </c>
      <c r="M49" s="138">
        <f t="shared" si="37"/>
        <v>0</v>
      </c>
      <c r="N49" s="138">
        <f t="shared" si="38"/>
        <v>0</v>
      </c>
      <c r="O49" s="138">
        <f t="shared" si="39"/>
        <v>0</v>
      </c>
      <c r="P49" s="154"/>
      <c r="Q49" s="141"/>
      <c r="R49" s="137"/>
      <c r="T49" s="142"/>
      <c r="U49" s="142"/>
    </row>
    <row r="50" spans="1:21" ht="86.25" customHeight="1" x14ac:dyDescent="0.2">
      <c r="A50" s="139"/>
      <c r="B50" s="82" t="s">
        <v>420</v>
      </c>
      <c r="C50" s="138">
        <f t="shared" si="27"/>
        <v>0</v>
      </c>
      <c r="D50" s="138">
        <f t="shared" si="28"/>
        <v>0</v>
      </c>
      <c r="E50" s="138">
        <f t="shared" si="29"/>
        <v>0</v>
      </c>
      <c r="F50" s="138">
        <f t="shared" si="30"/>
        <v>0</v>
      </c>
      <c r="G50" s="138">
        <f t="shared" si="31"/>
        <v>0</v>
      </c>
      <c r="H50" s="138">
        <f t="shared" si="32"/>
        <v>0</v>
      </c>
      <c r="I50" s="138">
        <f t="shared" si="33"/>
        <v>0</v>
      </c>
      <c r="J50" s="138">
        <f t="shared" si="34"/>
        <v>0</v>
      </c>
      <c r="K50" s="138">
        <f t="shared" si="35"/>
        <v>0</v>
      </c>
      <c r="L50" s="138">
        <f t="shared" si="36"/>
        <v>0</v>
      </c>
      <c r="M50" s="138">
        <f t="shared" si="37"/>
        <v>0</v>
      </c>
      <c r="N50" s="138">
        <f t="shared" si="38"/>
        <v>0</v>
      </c>
      <c r="O50" s="138">
        <f t="shared" si="39"/>
        <v>0</v>
      </c>
      <c r="P50" s="154"/>
      <c r="Q50" s="141"/>
      <c r="R50" s="137"/>
      <c r="T50" s="142"/>
      <c r="U50" s="142"/>
    </row>
    <row r="51" spans="1:21" x14ac:dyDescent="0.2">
      <c r="A51" s="139"/>
      <c r="B51" s="136"/>
      <c r="C51" s="138">
        <f t="shared" si="27"/>
        <v>0</v>
      </c>
      <c r="D51" s="138">
        <f t="shared" si="28"/>
        <v>0</v>
      </c>
      <c r="E51" s="138">
        <f t="shared" si="29"/>
        <v>0</v>
      </c>
      <c r="F51" s="138">
        <f t="shared" si="30"/>
        <v>0</v>
      </c>
      <c r="G51" s="138">
        <f t="shared" si="31"/>
        <v>0</v>
      </c>
      <c r="H51" s="138">
        <f t="shared" si="32"/>
        <v>0</v>
      </c>
      <c r="I51" s="138">
        <f t="shared" si="33"/>
        <v>0</v>
      </c>
      <c r="J51" s="138">
        <f t="shared" si="34"/>
        <v>0</v>
      </c>
      <c r="K51" s="138">
        <f t="shared" si="35"/>
        <v>0</v>
      </c>
      <c r="L51" s="138">
        <f t="shared" si="36"/>
        <v>0</v>
      </c>
      <c r="M51" s="138">
        <f t="shared" si="37"/>
        <v>0</v>
      </c>
      <c r="N51" s="138">
        <f t="shared" si="38"/>
        <v>0</v>
      </c>
      <c r="O51" s="138">
        <f t="shared" ref="O51" si="41">C51+E51+G51+I51+K51+M51</f>
        <v>0</v>
      </c>
      <c r="P51" s="154"/>
      <c r="Q51" s="141"/>
      <c r="R51" s="137"/>
      <c r="T51" s="142"/>
      <c r="U51" s="142"/>
    </row>
    <row r="52" spans="1:21" ht="28.5" x14ac:dyDescent="0.2">
      <c r="A52" s="139" t="s">
        <v>68</v>
      </c>
      <c r="B52" s="136" t="s">
        <v>554</v>
      </c>
      <c r="C52" s="138">
        <f t="shared" si="27"/>
        <v>2</v>
      </c>
      <c r="D52" s="138">
        <f t="shared" si="28"/>
        <v>0</v>
      </c>
      <c r="E52" s="138">
        <f t="shared" si="29"/>
        <v>3</v>
      </c>
      <c r="F52" s="138">
        <f t="shared" si="30"/>
        <v>0</v>
      </c>
      <c r="G52" s="138">
        <f t="shared" si="31"/>
        <v>20</v>
      </c>
      <c r="H52" s="138">
        <f t="shared" si="32"/>
        <v>0</v>
      </c>
      <c r="I52" s="138">
        <f t="shared" si="33"/>
        <v>5</v>
      </c>
      <c r="J52" s="138">
        <f t="shared" si="34"/>
        <v>0</v>
      </c>
      <c r="K52" s="138">
        <f t="shared" si="35"/>
        <v>18</v>
      </c>
      <c r="L52" s="138">
        <f t="shared" si="36"/>
        <v>0</v>
      </c>
      <c r="M52" s="138">
        <f t="shared" si="37"/>
        <v>7</v>
      </c>
      <c r="N52" s="138">
        <f t="shared" si="38"/>
        <v>0</v>
      </c>
      <c r="O52" s="138">
        <f>C52+E52+G52+I52+K52+M52</f>
        <v>55</v>
      </c>
      <c r="P52" s="154" t="s">
        <v>269</v>
      </c>
      <c r="Q52" s="141"/>
      <c r="R52" s="137">
        <f>O52*Q52</f>
        <v>0</v>
      </c>
      <c r="T52" s="142"/>
      <c r="U52" s="142">
        <v>1</v>
      </c>
    </row>
    <row r="53" spans="1:21" x14ac:dyDescent="0.2">
      <c r="A53" s="139"/>
      <c r="B53" s="136"/>
      <c r="C53" s="138">
        <f t="shared" si="27"/>
        <v>0</v>
      </c>
      <c r="D53" s="138">
        <f t="shared" si="28"/>
        <v>0</v>
      </c>
      <c r="E53" s="138">
        <f t="shared" si="29"/>
        <v>0</v>
      </c>
      <c r="F53" s="138">
        <f t="shared" si="30"/>
        <v>0</v>
      </c>
      <c r="G53" s="138">
        <f t="shared" si="31"/>
        <v>0</v>
      </c>
      <c r="H53" s="138">
        <f t="shared" si="32"/>
        <v>0</v>
      </c>
      <c r="I53" s="138">
        <f t="shared" si="33"/>
        <v>0</v>
      </c>
      <c r="J53" s="138">
        <f t="shared" si="34"/>
        <v>0</v>
      </c>
      <c r="K53" s="138">
        <f t="shared" si="35"/>
        <v>0</v>
      </c>
      <c r="L53" s="138">
        <f t="shared" si="36"/>
        <v>0</v>
      </c>
      <c r="M53" s="138">
        <f t="shared" si="37"/>
        <v>0</v>
      </c>
      <c r="N53" s="138">
        <f t="shared" si="38"/>
        <v>0</v>
      </c>
      <c r="O53" s="138">
        <f t="shared" si="39"/>
        <v>0</v>
      </c>
      <c r="P53" s="154"/>
      <c r="Q53" s="141"/>
      <c r="R53" s="137"/>
      <c r="T53" s="142"/>
      <c r="U53" s="142"/>
    </row>
    <row r="54" spans="1:21" ht="28.5" x14ac:dyDescent="0.2">
      <c r="A54" s="139" t="s">
        <v>69</v>
      </c>
      <c r="B54" s="136" t="s">
        <v>484</v>
      </c>
      <c r="C54" s="138">
        <f t="shared" si="27"/>
        <v>4</v>
      </c>
      <c r="D54" s="138">
        <f t="shared" si="28"/>
        <v>0</v>
      </c>
      <c r="E54" s="138">
        <f t="shared" si="29"/>
        <v>5</v>
      </c>
      <c r="F54" s="138">
        <f t="shared" si="30"/>
        <v>0</v>
      </c>
      <c r="G54" s="138">
        <f t="shared" si="31"/>
        <v>30</v>
      </c>
      <c r="H54" s="138">
        <f t="shared" si="32"/>
        <v>0</v>
      </c>
      <c r="I54" s="138">
        <f t="shared" si="33"/>
        <v>7</v>
      </c>
      <c r="J54" s="138">
        <f t="shared" si="34"/>
        <v>0</v>
      </c>
      <c r="K54" s="138">
        <f t="shared" si="35"/>
        <v>24</v>
      </c>
      <c r="L54" s="138">
        <f t="shared" si="36"/>
        <v>0</v>
      </c>
      <c r="M54" s="138">
        <f t="shared" si="37"/>
        <v>9</v>
      </c>
      <c r="N54" s="138">
        <f t="shared" si="38"/>
        <v>0</v>
      </c>
      <c r="O54" s="138">
        <f>C54+E54+G54+I54+K54+M54</f>
        <v>79</v>
      </c>
      <c r="P54" s="154" t="s">
        <v>269</v>
      </c>
      <c r="Q54" s="141"/>
      <c r="R54" s="137">
        <f>O54*Q54</f>
        <v>0</v>
      </c>
      <c r="T54" s="142">
        <v>1</v>
      </c>
      <c r="U54" s="142">
        <v>1</v>
      </c>
    </row>
    <row r="55" spans="1:21" x14ac:dyDescent="0.2">
      <c r="A55" s="139"/>
      <c r="B55" s="136"/>
      <c r="C55" s="138"/>
      <c r="D55" s="138"/>
      <c r="E55" s="138"/>
      <c r="F55" s="138"/>
      <c r="G55" s="138"/>
      <c r="H55" s="138"/>
      <c r="I55" s="138"/>
      <c r="J55" s="138"/>
      <c r="K55" s="138"/>
      <c r="L55" s="138"/>
      <c r="M55" s="138"/>
      <c r="N55" s="138"/>
      <c r="O55" s="138"/>
      <c r="P55" s="154"/>
      <c r="Q55" s="141"/>
      <c r="R55" s="137"/>
      <c r="T55" s="142"/>
      <c r="U55" s="142"/>
    </row>
    <row r="56" spans="1:21" x14ac:dyDescent="0.2">
      <c r="A56" s="139"/>
      <c r="B56" s="82" t="s">
        <v>344</v>
      </c>
      <c r="C56" s="138">
        <f t="shared" ref="C56:C62" si="42">ROUND((2*$T56+2*$U56)*C$3,0)</f>
        <v>0</v>
      </c>
      <c r="D56" s="138">
        <f t="shared" ref="D56:D62" si="43">C56*$Q56</f>
        <v>0</v>
      </c>
      <c r="E56" s="138">
        <f t="shared" ref="E56:E62" si="44">ROUND((2*$T56+3*$U56)*E$3,0)</f>
        <v>0</v>
      </c>
      <c r="F56" s="138">
        <f t="shared" ref="F56:F62" si="45">E56*$Q56</f>
        <v>0</v>
      </c>
      <c r="G56" s="138">
        <f t="shared" ref="G56:G62" si="46">ROUND((2*$T56+4*$U56)*G$3,0)</f>
        <v>0</v>
      </c>
      <c r="H56" s="138">
        <f t="shared" ref="H56:H62" si="47">G56*$Q56</f>
        <v>0</v>
      </c>
      <c r="I56" s="138">
        <f t="shared" ref="I56:I62" si="48">ROUND((2*$T56+5*$U56)*I$3,0)</f>
        <v>0</v>
      </c>
      <c r="J56" s="138">
        <f t="shared" ref="J56:J62" si="49">I56*$Q56</f>
        <v>0</v>
      </c>
      <c r="K56" s="138">
        <f t="shared" ref="K56:K62" si="50">ROUND((2*$T56+6*$U56)*K$3,0)</f>
        <v>0</v>
      </c>
      <c r="L56" s="138">
        <f t="shared" ref="L56:L62" si="51">K56*$Q56</f>
        <v>0</v>
      </c>
      <c r="M56" s="138">
        <f t="shared" ref="M56:M62" si="52">ROUND((2*$T56+7*$U56)*M$3,0)</f>
        <v>0</v>
      </c>
      <c r="N56" s="138">
        <f t="shared" ref="N56:N62" si="53">M56*$Q56</f>
        <v>0</v>
      </c>
      <c r="O56" s="138">
        <f t="shared" ref="O56:O61" si="54">C56+E56+G56+I56+K56+M56</f>
        <v>0</v>
      </c>
      <c r="P56" s="154"/>
      <c r="Q56" s="141"/>
      <c r="R56" s="137"/>
      <c r="T56" s="142"/>
      <c r="U56" s="142"/>
    </row>
    <row r="57" spans="1:21" x14ac:dyDescent="0.2">
      <c r="A57" s="139"/>
      <c r="B57" s="136"/>
      <c r="C57" s="138">
        <f t="shared" si="42"/>
        <v>0</v>
      </c>
      <c r="D57" s="138">
        <f t="shared" si="43"/>
        <v>0</v>
      </c>
      <c r="E57" s="138">
        <f t="shared" si="44"/>
        <v>0</v>
      </c>
      <c r="F57" s="138">
        <f t="shared" si="45"/>
        <v>0</v>
      </c>
      <c r="G57" s="138">
        <f t="shared" si="46"/>
        <v>0</v>
      </c>
      <c r="H57" s="138">
        <f t="shared" si="47"/>
        <v>0</v>
      </c>
      <c r="I57" s="138">
        <f t="shared" si="48"/>
        <v>0</v>
      </c>
      <c r="J57" s="138">
        <f t="shared" si="49"/>
        <v>0</v>
      </c>
      <c r="K57" s="138">
        <f t="shared" si="50"/>
        <v>0</v>
      </c>
      <c r="L57" s="138">
        <f t="shared" si="51"/>
        <v>0</v>
      </c>
      <c r="M57" s="138">
        <f t="shared" si="52"/>
        <v>0</v>
      </c>
      <c r="N57" s="138">
        <f t="shared" si="53"/>
        <v>0</v>
      </c>
      <c r="O57" s="138">
        <f t="shared" si="54"/>
        <v>0</v>
      </c>
      <c r="P57" s="154"/>
      <c r="Q57" s="141"/>
      <c r="R57" s="137"/>
      <c r="T57" s="142"/>
      <c r="U57" s="142"/>
    </row>
    <row r="58" spans="1:21" ht="87.75" customHeight="1" x14ac:dyDescent="0.2">
      <c r="A58" s="139"/>
      <c r="B58" s="114" t="s">
        <v>493</v>
      </c>
      <c r="C58" s="138">
        <f t="shared" si="42"/>
        <v>0</v>
      </c>
      <c r="D58" s="138">
        <f t="shared" si="43"/>
        <v>0</v>
      </c>
      <c r="E58" s="138">
        <f t="shared" si="44"/>
        <v>0</v>
      </c>
      <c r="F58" s="138">
        <f t="shared" si="45"/>
        <v>0</v>
      </c>
      <c r="G58" s="138">
        <f t="shared" si="46"/>
        <v>0</v>
      </c>
      <c r="H58" s="138">
        <f t="shared" si="47"/>
        <v>0</v>
      </c>
      <c r="I58" s="138">
        <f t="shared" si="48"/>
        <v>0</v>
      </c>
      <c r="J58" s="138">
        <f t="shared" si="49"/>
        <v>0</v>
      </c>
      <c r="K58" s="138">
        <f t="shared" si="50"/>
        <v>0</v>
      </c>
      <c r="L58" s="138">
        <f t="shared" si="51"/>
        <v>0</v>
      </c>
      <c r="M58" s="138">
        <f t="shared" si="52"/>
        <v>0</v>
      </c>
      <c r="N58" s="138">
        <f t="shared" si="53"/>
        <v>0</v>
      </c>
      <c r="O58" s="138">
        <f t="shared" si="54"/>
        <v>0</v>
      </c>
      <c r="P58" s="154"/>
      <c r="Q58" s="141"/>
      <c r="R58" s="137"/>
      <c r="T58" s="142"/>
      <c r="U58" s="142"/>
    </row>
    <row r="59" spans="1:21" x14ac:dyDescent="0.2">
      <c r="A59" s="139"/>
      <c r="B59" s="136"/>
      <c r="C59" s="138">
        <f t="shared" si="42"/>
        <v>0</v>
      </c>
      <c r="D59" s="138">
        <f t="shared" si="43"/>
        <v>0</v>
      </c>
      <c r="E59" s="138">
        <f t="shared" si="44"/>
        <v>0</v>
      </c>
      <c r="F59" s="138">
        <f t="shared" si="45"/>
        <v>0</v>
      </c>
      <c r="G59" s="138">
        <f t="shared" si="46"/>
        <v>0</v>
      </c>
      <c r="H59" s="138">
        <f t="shared" si="47"/>
        <v>0</v>
      </c>
      <c r="I59" s="138">
        <f t="shared" si="48"/>
        <v>0</v>
      </c>
      <c r="J59" s="138">
        <f t="shared" si="49"/>
        <v>0</v>
      </c>
      <c r="K59" s="138">
        <f t="shared" si="50"/>
        <v>0</v>
      </c>
      <c r="L59" s="138">
        <f t="shared" si="51"/>
        <v>0</v>
      </c>
      <c r="M59" s="138">
        <f t="shared" si="52"/>
        <v>0</v>
      </c>
      <c r="N59" s="138">
        <f t="shared" si="53"/>
        <v>0</v>
      </c>
      <c r="O59" s="138">
        <f t="shared" si="54"/>
        <v>0</v>
      </c>
      <c r="P59" s="154"/>
      <c r="Q59" s="141"/>
      <c r="R59" s="137"/>
      <c r="T59" s="142"/>
      <c r="U59" s="142"/>
    </row>
    <row r="60" spans="1:21" x14ac:dyDescent="0.2">
      <c r="A60" s="139" t="s">
        <v>70</v>
      </c>
      <c r="B60" s="136" t="s">
        <v>345</v>
      </c>
      <c r="C60" s="138">
        <f t="shared" si="42"/>
        <v>8</v>
      </c>
      <c r="D60" s="138">
        <f t="shared" si="43"/>
        <v>0</v>
      </c>
      <c r="E60" s="138">
        <f t="shared" si="44"/>
        <v>9</v>
      </c>
      <c r="F60" s="138">
        <f t="shared" si="45"/>
        <v>0</v>
      </c>
      <c r="G60" s="138">
        <f t="shared" si="46"/>
        <v>50</v>
      </c>
      <c r="H60" s="138">
        <f t="shared" si="47"/>
        <v>0</v>
      </c>
      <c r="I60" s="138">
        <f t="shared" si="48"/>
        <v>11</v>
      </c>
      <c r="J60" s="138">
        <f t="shared" si="49"/>
        <v>0</v>
      </c>
      <c r="K60" s="138">
        <f t="shared" si="50"/>
        <v>36</v>
      </c>
      <c r="L60" s="138">
        <f t="shared" si="51"/>
        <v>0</v>
      </c>
      <c r="M60" s="138">
        <f t="shared" si="52"/>
        <v>13</v>
      </c>
      <c r="N60" s="138">
        <f t="shared" si="53"/>
        <v>0</v>
      </c>
      <c r="O60" s="138">
        <f>C60+E60+G60+I60+K60+M60</f>
        <v>127</v>
      </c>
      <c r="P60" s="154" t="s">
        <v>269</v>
      </c>
      <c r="Q60" s="141"/>
      <c r="R60" s="137">
        <f>O60*Q60</f>
        <v>0</v>
      </c>
      <c r="T60" s="142">
        <v>3</v>
      </c>
      <c r="U60" s="142">
        <v>1</v>
      </c>
    </row>
    <row r="61" spans="1:21" x14ac:dyDescent="0.2">
      <c r="A61" s="139"/>
      <c r="B61" s="136"/>
      <c r="C61" s="138">
        <f t="shared" si="42"/>
        <v>0</v>
      </c>
      <c r="D61" s="138">
        <f t="shared" si="43"/>
        <v>0</v>
      </c>
      <c r="E61" s="138">
        <f t="shared" si="44"/>
        <v>0</v>
      </c>
      <c r="F61" s="138">
        <f t="shared" si="45"/>
        <v>0</v>
      </c>
      <c r="G61" s="138">
        <f t="shared" si="46"/>
        <v>0</v>
      </c>
      <c r="H61" s="138">
        <f t="shared" si="47"/>
        <v>0</v>
      </c>
      <c r="I61" s="138">
        <f t="shared" si="48"/>
        <v>0</v>
      </c>
      <c r="J61" s="138">
        <f t="shared" si="49"/>
        <v>0</v>
      </c>
      <c r="K61" s="138">
        <f t="shared" si="50"/>
        <v>0</v>
      </c>
      <c r="L61" s="138">
        <f t="shared" si="51"/>
        <v>0</v>
      </c>
      <c r="M61" s="138">
        <f t="shared" si="52"/>
        <v>0</v>
      </c>
      <c r="N61" s="138">
        <f t="shared" si="53"/>
        <v>0</v>
      </c>
      <c r="O61" s="138">
        <f t="shared" si="54"/>
        <v>0</v>
      </c>
      <c r="P61" s="154"/>
      <c r="Q61" s="141"/>
      <c r="R61" s="137"/>
      <c r="T61" s="142"/>
      <c r="U61" s="142"/>
    </row>
    <row r="62" spans="1:21" x14ac:dyDescent="0.2">
      <c r="A62" s="139" t="s">
        <v>71</v>
      </c>
      <c r="B62" s="136" t="s">
        <v>492</v>
      </c>
      <c r="C62" s="138">
        <f t="shared" si="42"/>
        <v>2</v>
      </c>
      <c r="D62" s="138">
        <f t="shared" si="43"/>
        <v>0</v>
      </c>
      <c r="E62" s="138">
        <f t="shared" si="44"/>
        <v>2</v>
      </c>
      <c r="F62" s="138">
        <f t="shared" si="45"/>
        <v>0</v>
      </c>
      <c r="G62" s="138">
        <f t="shared" si="46"/>
        <v>10</v>
      </c>
      <c r="H62" s="138">
        <f t="shared" si="47"/>
        <v>0</v>
      </c>
      <c r="I62" s="138">
        <f t="shared" si="48"/>
        <v>2</v>
      </c>
      <c r="J62" s="138">
        <f t="shared" si="49"/>
        <v>0</v>
      </c>
      <c r="K62" s="138">
        <f t="shared" si="50"/>
        <v>6</v>
      </c>
      <c r="L62" s="138">
        <f t="shared" si="51"/>
        <v>0</v>
      </c>
      <c r="M62" s="138">
        <f t="shared" si="52"/>
        <v>2</v>
      </c>
      <c r="N62" s="138">
        <f t="shared" si="53"/>
        <v>0</v>
      </c>
      <c r="O62" s="138">
        <f>C62+E62+G62+I62+K62+M62</f>
        <v>24</v>
      </c>
      <c r="P62" s="154" t="s">
        <v>269</v>
      </c>
      <c r="Q62" s="141"/>
      <c r="R62" s="137">
        <f>O62*Q62</f>
        <v>0</v>
      </c>
      <c r="T62" s="142">
        <v>1</v>
      </c>
      <c r="U62" s="142"/>
    </row>
    <row r="63" spans="1:21" x14ac:dyDescent="0.2">
      <c r="A63" s="139"/>
      <c r="B63" s="136"/>
      <c r="C63" s="138"/>
      <c r="D63" s="138"/>
      <c r="E63" s="138"/>
      <c r="F63" s="138"/>
      <c r="G63" s="138"/>
      <c r="H63" s="138"/>
      <c r="I63" s="138"/>
      <c r="J63" s="138"/>
      <c r="K63" s="138"/>
      <c r="L63" s="138"/>
      <c r="M63" s="138"/>
      <c r="N63" s="138"/>
      <c r="O63" s="138"/>
      <c r="P63" s="154"/>
      <c r="Q63" s="141"/>
      <c r="R63" s="137"/>
      <c r="T63" s="142"/>
      <c r="U63" s="142"/>
    </row>
    <row r="64" spans="1:21" x14ac:dyDescent="0.2">
      <c r="A64" s="139"/>
      <c r="B64" s="136"/>
      <c r="C64" s="138"/>
      <c r="D64" s="138"/>
      <c r="E64" s="138"/>
      <c r="F64" s="138"/>
      <c r="G64" s="138"/>
      <c r="H64" s="138"/>
      <c r="I64" s="138"/>
      <c r="J64" s="138"/>
      <c r="K64" s="138"/>
      <c r="L64" s="138"/>
      <c r="M64" s="138"/>
      <c r="N64" s="138"/>
      <c r="O64" s="138"/>
      <c r="P64" s="154"/>
      <c r="Q64" s="141"/>
      <c r="R64" s="137"/>
      <c r="T64" s="142"/>
      <c r="U64" s="142"/>
    </row>
    <row r="65" spans="1:21" x14ac:dyDescent="0.2">
      <c r="A65" s="139"/>
      <c r="B65" s="136"/>
      <c r="C65" s="138"/>
      <c r="D65" s="138"/>
      <c r="E65" s="138"/>
      <c r="F65" s="138"/>
      <c r="G65" s="138"/>
      <c r="H65" s="138"/>
      <c r="I65" s="138"/>
      <c r="J65" s="138"/>
      <c r="K65" s="138"/>
      <c r="L65" s="138"/>
      <c r="M65" s="138"/>
      <c r="N65" s="138"/>
      <c r="O65" s="138"/>
      <c r="P65" s="154"/>
      <c r="Q65" s="141"/>
      <c r="R65" s="137"/>
      <c r="T65" s="142"/>
      <c r="U65" s="142"/>
    </row>
    <row r="66" spans="1:21" x14ac:dyDescent="0.2">
      <c r="A66" s="139"/>
      <c r="B66" s="136"/>
      <c r="C66" s="138"/>
      <c r="D66" s="138"/>
      <c r="E66" s="138"/>
      <c r="F66" s="138"/>
      <c r="G66" s="138"/>
      <c r="H66" s="138"/>
      <c r="I66" s="138"/>
      <c r="J66" s="138"/>
      <c r="K66" s="138"/>
      <c r="L66" s="138"/>
      <c r="M66" s="138"/>
      <c r="N66" s="138"/>
      <c r="O66" s="138"/>
      <c r="P66" s="154"/>
      <c r="Q66" s="141"/>
      <c r="R66" s="137"/>
      <c r="T66" s="142"/>
      <c r="U66" s="142"/>
    </row>
    <row r="67" spans="1:21" x14ac:dyDescent="0.2">
      <c r="A67" s="139"/>
      <c r="B67" s="136"/>
      <c r="C67" s="138">
        <f t="shared" si="27"/>
        <v>0</v>
      </c>
      <c r="D67" s="138">
        <f t="shared" si="28"/>
        <v>0</v>
      </c>
      <c r="E67" s="138">
        <f t="shared" si="29"/>
        <v>0</v>
      </c>
      <c r="F67" s="138">
        <f t="shared" si="30"/>
        <v>0</v>
      </c>
      <c r="G67" s="138">
        <f t="shared" si="31"/>
        <v>0</v>
      </c>
      <c r="H67" s="138">
        <f t="shared" si="32"/>
        <v>0</v>
      </c>
      <c r="I67" s="138">
        <f t="shared" si="33"/>
        <v>0</v>
      </c>
      <c r="J67" s="138">
        <f t="shared" si="34"/>
        <v>0</v>
      </c>
      <c r="K67" s="138">
        <f t="shared" si="35"/>
        <v>0</v>
      </c>
      <c r="L67" s="138">
        <f t="shared" si="36"/>
        <v>0</v>
      </c>
      <c r="M67" s="138">
        <f t="shared" si="37"/>
        <v>0</v>
      </c>
      <c r="N67" s="138">
        <f t="shared" si="38"/>
        <v>0</v>
      </c>
      <c r="O67" s="138">
        <f t="shared" si="39"/>
        <v>0</v>
      </c>
      <c r="P67" s="154"/>
      <c r="Q67" s="141"/>
      <c r="R67" s="137"/>
      <c r="T67" s="142"/>
      <c r="U67" s="142"/>
    </row>
    <row r="68" spans="1:21" x14ac:dyDescent="0.2">
      <c r="A68" s="127"/>
      <c r="B68" s="136"/>
      <c r="C68" s="128"/>
      <c r="D68" s="120"/>
      <c r="E68" s="120"/>
      <c r="F68" s="120"/>
      <c r="G68" s="120"/>
      <c r="H68" s="120"/>
      <c r="I68" s="120"/>
      <c r="J68" s="120"/>
      <c r="K68" s="120"/>
      <c r="L68" s="120"/>
      <c r="M68" s="120"/>
      <c r="N68" s="120"/>
      <c r="O68" s="120"/>
      <c r="P68" s="154"/>
      <c r="Q68" s="141"/>
      <c r="R68" s="137"/>
      <c r="T68" s="142"/>
      <c r="U68" s="142"/>
    </row>
    <row r="69" spans="1:21" x14ac:dyDescent="0.2">
      <c r="A69" s="129"/>
      <c r="B69" s="130"/>
      <c r="C69" s="131"/>
      <c r="D69" s="131"/>
      <c r="E69" s="131"/>
      <c r="F69" s="131"/>
      <c r="G69" s="131"/>
      <c r="H69" s="131"/>
      <c r="I69" s="131"/>
      <c r="J69" s="131"/>
      <c r="K69" s="131"/>
      <c r="L69" s="131"/>
      <c r="M69" s="131"/>
      <c r="N69" s="131"/>
      <c r="O69" s="131"/>
      <c r="P69" s="131"/>
      <c r="Q69" s="132"/>
      <c r="R69" s="126"/>
      <c r="T69" s="134"/>
      <c r="U69" s="134"/>
    </row>
    <row r="70" spans="1:21" x14ac:dyDescent="0.2">
      <c r="C70" s="122"/>
      <c r="D70" s="122"/>
      <c r="E70" s="122"/>
      <c r="F70" s="122"/>
      <c r="G70" s="122"/>
      <c r="H70" s="122"/>
      <c r="I70" s="122"/>
      <c r="J70" s="122"/>
      <c r="K70" s="122"/>
      <c r="L70" s="122"/>
      <c r="M70" s="122"/>
      <c r="N70" s="122"/>
      <c r="O70" s="122"/>
      <c r="P70" s="171" t="s">
        <v>1</v>
      </c>
      <c r="Q70" s="133" t="s">
        <v>0</v>
      </c>
      <c r="R70" s="137">
        <f>SUM(R39:R68)</f>
        <v>0</v>
      </c>
      <c r="T70" s="135"/>
      <c r="U70" s="135"/>
    </row>
    <row r="71" spans="1:21" x14ac:dyDescent="0.2">
      <c r="P71" s="188"/>
      <c r="Q71" s="124"/>
      <c r="R71" s="125"/>
      <c r="T71" s="142"/>
      <c r="U71" s="142"/>
    </row>
    <row r="72" spans="1:21" x14ac:dyDescent="0.2">
      <c r="A72" s="139"/>
      <c r="B72" s="136"/>
      <c r="C72" s="128"/>
      <c r="D72" s="120"/>
      <c r="E72" s="120"/>
      <c r="F72" s="120"/>
      <c r="G72" s="120"/>
      <c r="H72" s="120"/>
      <c r="I72" s="120"/>
      <c r="J72" s="120"/>
      <c r="K72" s="120"/>
      <c r="L72" s="120"/>
      <c r="M72" s="120"/>
      <c r="N72" s="120"/>
      <c r="O72" s="120"/>
      <c r="P72" s="154"/>
      <c r="Q72" s="141"/>
      <c r="R72" s="137"/>
      <c r="T72" s="142"/>
      <c r="U72" s="142"/>
    </row>
    <row r="73" spans="1:21" x14ac:dyDescent="0.2">
      <c r="A73" s="139"/>
      <c r="B73" s="82" t="s">
        <v>84</v>
      </c>
      <c r="C73" s="138">
        <f t="shared" ref="C73:C95" si="55">ROUND((2*$T73+2*$U73)*C$3,0)</f>
        <v>0</v>
      </c>
      <c r="D73" s="138">
        <f t="shared" ref="D73:D95" si="56">C73*$Q73</f>
        <v>0</v>
      </c>
      <c r="E73" s="138"/>
      <c r="F73" s="138"/>
      <c r="G73" s="138"/>
      <c r="H73" s="138"/>
      <c r="I73" s="138"/>
      <c r="J73" s="138"/>
      <c r="K73" s="138"/>
      <c r="L73" s="138"/>
      <c r="M73" s="138"/>
      <c r="N73" s="138">
        <f t="shared" ref="N73:N95" si="57">M73*$Q73</f>
        <v>0</v>
      </c>
      <c r="O73" s="138">
        <f t="shared" ref="O73:O94" si="58">C73+E73+G73+I73+K73+M73</f>
        <v>0</v>
      </c>
      <c r="P73" s="154"/>
      <c r="Q73" s="141"/>
      <c r="R73" s="137"/>
      <c r="T73" s="142"/>
      <c r="U73" s="142"/>
    </row>
    <row r="74" spans="1:21" x14ac:dyDescent="0.2">
      <c r="A74" s="139"/>
      <c r="B74" s="136"/>
      <c r="C74" s="138">
        <f t="shared" si="55"/>
        <v>0</v>
      </c>
      <c r="D74" s="138">
        <f t="shared" si="56"/>
        <v>0</v>
      </c>
      <c r="E74" s="138"/>
      <c r="F74" s="138"/>
      <c r="G74" s="138"/>
      <c r="H74" s="138"/>
      <c r="I74" s="138"/>
      <c r="J74" s="138"/>
      <c r="K74" s="138"/>
      <c r="L74" s="138"/>
      <c r="M74" s="138"/>
      <c r="N74" s="138">
        <f t="shared" si="57"/>
        <v>0</v>
      </c>
      <c r="O74" s="138">
        <f t="shared" si="58"/>
        <v>0</v>
      </c>
      <c r="P74" s="154"/>
      <c r="Q74" s="141"/>
      <c r="R74" s="137"/>
      <c r="T74" s="142"/>
      <c r="U74" s="142"/>
    </row>
    <row r="75" spans="1:21" ht="85.5" x14ac:dyDescent="0.2">
      <c r="A75" s="139"/>
      <c r="B75" s="114" t="s">
        <v>490</v>
      </c>
      <c r="C75" s="138">
        <f t="shared" si="55"/>
        <v>0</v>
      </c>
      <c r="D75" s="138">
        <f t="shared" si="56"/>
        <v>0</v>
      </c>
      <c r="E75" s="138"/>
      <c r="F75" s="138"/>
      <c r="G75" s="138"/>
      <c r="H75" s="138"/>
      <c r="I75" s="138"/>
      <c r="J75" s="138"/>
      <c r="K75" s="138"/>
      <c r="L75" s="138"/>
      <c r="M75" s="138"/>
      <c r="N75" s="138">
        <f t="shared" si="57"/>
        <v>0</v>
      </c>
      <c r="O75" s="138">
        <f t="shared" si="58"/>
        <v>0</v>
      </c>
      <c r="P75" s="154"/>
      <c r="Q75" s="141"/>
      <c r="R75" s="137"/>
      <c r="T75" s="142"/>
      <c r="U75" s="142"/>
    </row>
    <row r="76" spans="1:21" x14ac:dyDescent="0.2">
      <c r="A76" s="139"/>
      <c r="B76" s="114"/>
      <c r="C76" s="138">
        <f t="shared" si="55"/>
        <v>0</v>
      </c>
      <c r="D76" s="138">
        <f t="shared" si="56"/>
        <v>0</v>
      </c>
      <c r="E76" s="138">
        <f t="shared" ref="E76:E95" si="59">ROUND((2*$T76+3*$U76)*E$3,0)</f>
        <v>0</v>
      </c>
      <c r="F76" s="138">
        <f t="shared" ref="F76:F95" si="60">E76*$Q76</f>
        <v>0</v>
      </c>
      <c r="G76" s="138">
        <f t="shared" ref="G76:G95" si="61">ROUND((2*$T76+4*$U76)*G$3,0)</f>
        <v>0</v>
      </c>
      <c r="H76" s="138">
        <f t="shared" ref="H76:H95" si="62">G76*$Q76</f>
        <v>0</v>
      </c>
      <c r="I76" s="138">
        <f t="shared" ref="I76:I95" si="63">ROUND((2*$T76+5*$U76)*I$3,0)</f>
        <v>0</v>
      </c>
      <c r="J76" s="138">
        <f t="shared" ref="J76:J95" si="64">I76*$Q76</f>
        <v>0</v>
      </c>
      <c r="K76" s="138">
        <f t="shared" ref="K76:K95" si="65">ROUND((2*$T76+6*$U76)*K$3,0)</f>
        <v>0</v>
      </c>
      <c r="L76" s="138">
        <f t="shared" ref="L76:L95" si="66">K76*$Q76</f>
        <v>0</v>
      </c>
      <c r="M76" s="138">
        <f t="shared" ref="M76:M95" si="67">ROUND((2*$T76+7*$U76)*M$3,0)</f>
        <v>0</v>
      </c>
      <c r="N76" s="138">
        <f t="shared" si="57"/>
        <v>0</v>
      </c>
      <c r="O76" s="138">
        <f t="shared" si="58"/>
        <v>0</v>
      </c>
      <c r="P76" s="154"/>
      <c r="Q76" s="141"/>
      <c r="R76" s="137"/>
      <c r="T76" s="142"/>
      <c r="U76" s="142"/>
    </row>
    <row r="77" spans="1:21" x14ac:dyDescent="0.2">
      <c r="A77" s="139" t="s">
        <v>66</v>
      </c>
      <c r="B77" s="136" t="s">
        <v>485</v>
      </c>
      <c r="C77" s="138">
        <f t="shared" si="55"/>
        <v>2</v>
      </c>
      <c r="D77" s="138">
        <f t="shared" si="56"/>
        <v>0</v>
      </c>
      <c r="E77" s="138">
        <f t="shared" si="59"/>
        <v>2</v>
      </c>
      <c r="F77" s="138">
        <f t="shared" si="60"/>
        <v>0</v>
      </c>
      <c r="G77" s="138">
        <f t="shared" si="61"/>
        <v>10</v>
      </c>
      <c r="H77" s="138">
        <f t="shared" si="62"/>
        <v>0</v>
      </c>
      <c r="I77" s="138">
        <f t="shared" si="63"/>
        <v>2</v>
      </c>
      <c r="J77" s="138">
        <f t="shared" si="64"/>
        <v>0</v>
      </c>
      <c r="K77" s="138">
        <f t="shared" si="65"/>
        <v>6</v>
      </c>
      <c r="L77" s="138">
        <f t="shared" si="66"/>
        <v>0</v>
      </c>
      <c r="M77" s="138">
        <f t="shared" si="67"/>
        <v>2</v>
      </c>
      <c r="N77" s="138">
        <f t="shared" si="57"/>
        <v>0</v>
      </c>
      <c r="O77" s="138">
        <f>C77+E77+G77+I77+K77+M77</f>
        <v>24</v>
      </c>
      <c r="P77" s="154" t="s">
        <v>269</v>
      </c>
      <c r="Q77" s="141"/>
      <c r="R77" s="137">
        <f t="shared" ref="R77" si="68">O77*Q77</f>
        <v>0</v>
      </c>
      <c r="T77" s="142">
        <v>1</v>
      </c>
      <c r="U77" s="142"/>
    </row>
    <row r="78" spans="1:21" x14ac:dyDescent="0.2">
      <c r="A78" s="139"/>
      <c r="B78" s="136"/>
      <c r="C78" s="138">
        <f t="shared" si="55"/>
        <v>0</v>
      </c>
      <c r="D78" s="138">
        <f t="shared" si="56"/>
        <v>0</v>
      </c>
      <c r="E78" s="138">
        <f t="shared" si="59"/>
        <v>0</v>
      </c>
      <c r="F78" s="138">
        <f t="shared" si="60"/>
        <v>0</v>
      </c>
      <c r="G78" s="138">
        <f t="shared" si="61"/>
        <v>0</v>
      </c>
      <c r="H78" s="138">
        <f t="shared" si="62"/>
        <v>0</v>
      </c>
      <c r="I78" s="138">
        <f t="shared" si="63"/>
        <v>0</v>
      </c>
      <c r="J78" s="138">
        <f t="shared" si="64"/>
        <v>0</v>
      </c>
      <c r="K78" s="138">
        <f t="shared" si="65"/>
        <v>0</v>
      </c>
      <c r="L78" s="138">
        <f t="shared" si="66"/>
        <v>0</v>
      </c>
      <c r="M78" s="138">
        <f t="shared" si="67"/>
        <v>0</v>
      </c>
      <c r="N78" s="138">
        <f t="shared" si="57"/>
        <v>0</v>
      </c>
      <c r="O78" s="138">
        <f t="shared" si="58"/>
        <v>0</v>
      </c>
      <c r="P78" s="154"/>
      <c r="Q78" s="141"/>
      <c r="R78" s="137"/>
      <c r="T78" s="142"/>
      <c r="U78" s="142"/>
    </row>
    <row r="79" spans="1:21" ht="28.5" x14ac:dyDescent="0.2">
      <c r="A79" s="139" t="s">
        <v>67</v>
      </c>
      <c r="B79" s="136" t="s">
        <v>486</v>
      </c>
      <c r="C79" s="138">
        <f t="shared" si="55"/>
        <v>2</v>
      </c>
      <c r="D79" s="138">
        <f t="shared" si="56"/>
        <v>0</v>
      </c>
      <c r="E79" s="138">
        <f t="shared" si="59"/>
        <v>2</v>
      </c>
      <c r="F79" s="138">
        <f t="shared" si="60"/>
        <v>0</v>
      </c>
      <c r="G79" s="138">
        <f t="shared" si="61"/>
        <v>10</v>
      </c>
      <c r="H79" s="138">
        <f t="shared" si="62"/>
        <v>0</v>
      </c>
      <c r="I79" s="138">
        <f t="shared" si="63"/>
        <v>2</v>
      </c>
      <c r="J79" s="138">
        <f t="shared" si="64"/>
        <v>0</v>
      </c>
      <c r="K79" s="138">
        <f t="shared" si="65"/>
        <v>6</v>
      </c>
      <c r="L79" s="138">
        <f t="shared" si="66"/>
        <v>0</v>
      </c>
      <c r="M79" s="138">
        <f t="shared" si="67"/>
        <v>2</v>
      </c>
      <c r="N79" s="138">
        <f t="shared" si="57"/>
        <v>0</v>
      </c>
      <c r="O79" s="138">
        <f>C79+E79+G79+I79+K79+M79</f>
        <v>24</v>
      </c>
      <c r="P79" s="154" t="s">
        <v>269</v>
      </c>
      <c r="Q79" s="141"/>
      <c r="R79" s="137">
        <f>O79*Q79</f>
        <v>0</v>
      </c>
      <c r="T79" s="142">
        <v>1</v>
      </c>
      <c r="U79" s="142"/>
    </row>
    <row r="80" spans="1:21" x14ac:dyDescent="0.2">
      <c r="A80" s="139"/>
      <c r="B80" s="136"/>
      <c r="C80" s="138">
        <f t="shared" si="55"/>
        <v>0</v>
      </c>
      <c r="D80" s="138">
        <f t="shared" si="56"/>
        <v>0</v>
      </c>
      <c r="E80" s="138">
        <f t="shared" si="59"/>
        <v>0</v>
      </c>
      <c r="F80" s="138">
        <f t="shared" si="60"/>
        <v>0</v>
      </c>
      <c r="G80" s="138">
        <f t="shared" si="61"/>
        <v>0</v>
      </c>
      <c r="H80" s="138">
        <f t="shared" si="62"/>
        <v>0</v>
      </c>
      <c r="I80" s="138">
        <f t="shared" si="63"/>
        <v>0</v>
      </c>
      <c r="J80" s="138">
        <f t="shared" si="64"/>
        <v>0</v>
      </c>
      <c r="K80" s="138">
        <f t="shared" si="65"/>
        <v>0</v>
      </c>
      <c r="L80" s="138">
        <f t="shared" si="66"/>
        <v>0</v>
      </c>
      <c r="M80" s="138">
        <f t="shared" si="67"/>
        <v>0</v>
      </c>
      <c r="N80" s="138">
        <f t="shared" si="57"/>
        <v>0</v>
      </c>
      <c r="O80" s="138">
        <f t="shared" si="58"/>
        <v>0</v>
      </c>
      <c r="P80" s="154"/>
      <c r="Q80" s="141"/>
      <c r="R80" s="137"/>
      <c r="T80" s="142"/>
      <c r="U80" s="142"/>
    </row>
    <row r="81" spans="1:21" ht="28.5" x14ac:dyDescent="0.2">
      <c r="A81" s="139" t="s">
        <v>68</v>
      </c>
      <c r="B81" s="136" t="s">
        <v>487</v>
      </c>
      <c r="C81" s="138">
        <f t="shared" si="55"/>
        <v>2</v>
      </c>
      <c r="D81" s="138">
        <f t="shared" si="56"/>
        <v>0</v>
      </c>
      <c r="E81" s="138">
        <f t="shared" si="59"/>
        <v>2</v>
      </c>
      <c r="F81" s="138">
        <f t="shared" si="60"/>
        <v>0</v>
      </c>
      <c r="G81" s="138">
        <f t="shared" si="61"/>
        <v>10</v>
      </c>
      <c r="H81" s="138">
        <f t="shared" si="62"/>
        <v>0</v>
      </c>
      <c r="I81" s="138">
        <f t="shared" si="63"/>
        <v>2</v>
      </c>
      <c r="J81" s="138">
        <f t="shared" si="64"/>
        <v>0</v>
      </c>
      <c r="K81" s="138">
        <f t="shared" si="65"/>
        <v>6</v>
      </c>
      <c r="L81" s="138">
        <f t="shared" si="66"/>
        <v>0</v>
      </c>
      <c r="M81" s="138">
        <f t="shared" si="67"/>
        <v>2</v>
      </c>
      <c r="N81" s="138">
        <f t="shared" si="57"/>
        <v>0</v>
      </c>
      <c r="O81" s="138">
        <f>C81+E81+G81+I81+K81+M81</f>
        <v>24</v>
      </c>
      <c r="P81" s="154" t="s">
        <v>269</v>
      </c>
      <c r="Q81" s="141"/>
      <c r="R81" s="137">
        <f>O81*Q81</f>
        <v>0</v>
      </c>
      <c r="T81" s="142">
        <v>1</v>
      </c>
      <c r="U81" s="142"/>
    </row>
    <row r="82" spans="1:21" x14ac:dyDescent="0.2">
      <c r="A82" s="139"/>
      <c r="B82" s="114"/>
      <c r="C82" s="138">
        <f t="shared" si="55"/>
        <v>0</v>
      </c>
      <c r="D82" s="138">
        <f t="shared" si="56"/>
        <v>0</v>
      </c>
      <c r="E82" s="138">
        <f t="shared" si="59"/>
        <v>0</v>
      </c>
      <c r="F82" s="138">
        <f t="shared" si="60"/>
        <v>0</v>
      </c>
      <c r="G82" s="138">
        <f t="shared" si="61"/>
        <v>0</v>
      </c>
      <c r="H82" s="138">
        <f t="shared" si="62"/>
        <v>0</v>
      </c>
      <c r="I82" s="138">
        <f t="shared" si="63"/>
        <v>0</v>
      </c>
      <c r="J82" s="138">
        <f t="shared" si="64"/>
        <v>0</v>
      </c>
      <c r="K82" s="138">
        <f t="shared" si="65"/>
        <v>0</v>
      </c>
      <c r="L82" s="138">
        <f t="shared" si="66"/>
        <v>0</v>
      </c>
      <c r="M82" s="138">
        <f t="shared" si="67"/>
        <v>0</v>
      </c>
      <c r="N82" s="138">
        <f t="shared" si="57"/>
        <v>0</v>
      </c>
      <c r="O82" s="138">
        <f t="shared" si="58"/>
        <v>0</v>
      </c>
      <c r="P82" s="154"/>
      <c r="Q82" s="141"/>
      <c r="R82" s="137"/>
      <c r="T82" s="142"/>
      <c r="U82" s="142"/>
    </row>
    <row r="83" spans="1:21" ht="28.5" x14ac:dyDescent="0.2">
      <c r="A83" s="139" t="s">
        <v>69</v>
      </c>
      <c r="B83" s="136" t="s">
        <v>555</v>
      </c>
      <c r="C83" s="138">
        <f t="shared" si="55"/>
        <v>2</v>
      </c>
      <c r="D83" s="138">
        <f t="shared" si="56"/>
        <v>0</v>
      </c>
      <c r="E83" s="138">
        <f t="shared" si="59"/>
        <v>3</v>
      </c>
      <c r="F83" s="138">
        <f t="shared" si="60"/>
        <v>0</v>
      </c>
      <c r="G83" s="138">
        <f t="shared" si="61"/>
        <v>20</v>
      </c>
      <c r="H83" s="138">
        <f t="shared" si="62"/>
        <v>0</v>
      </c>
      <c r="I83" s="138">
        <f t="shared" si="63"/>
        <v>5</v>
      </c>
      <c r="J83" s="138">
        <f t="shared" si="64"/>
        <v>0</v>
      </c>
      <c r="K83" s="138">
        <f t="shared" si="65"/>
        <v>18</v>
      </c>
      <c r="L83" s="138">
        <f t="shared" si="66"/>
        <v>0</v>
      </c>
      <c r="M83" s="138">
        <f t="shared" si="67"/>
        <v>7</v>
      </c>
      <c r="N83" s="138">
        <f t="shared" si="57"/>
        <v>0</v>
      </c>
      <c r="O83" s="138">
        <f>C83+E83+G83+I83+K83+M83</f>
        <v>55</v>
      </c>
      <c r="P83" s="154" t="s">
        <v>269</v>
      </c>
      <c r="Q83" s="141"/>
      <c r="R83" s="137">
        <f t="shared" ref="R83" si="69">O83*Q83</f>
        <v>0</v>
      </c>
      <c r="T83" s="142"/>
      <c r="U83" s="142">
        <v>1</v>
      </c>
    </row>
    <row r="84" spans="1:21" x14ac:dyDescent="0.2">
      <c r="A84" s="139"/>
      <c r="B84" s="136"/>
      <c r="C84" s="138">
        <f t="shared" si="55"/>
        <v>0</v>
      </c>
      <c r="D84" s="138">
        <f t="shared" si="56"/>
        <v>0</v>
      </c>
      <c r="E84" s="138">
        <f t="shared" si="59"/>
        <v>0</v>
      </c>
      <c r="F84" s="138">
        <f t="shared" si="60"/>
        <v>0</v>
      </c>
      <c r="G84" s="138">
        <f t="shared" si="61"/>
        <v>0</v>
      </c>
      <c r="H84" s="138">
        <f t="shared" si="62"/>
        <v>0</v>
      </c>
      <c r="I84" s="138">
        <f t="shared" si="63"/>
        <v>0</v>
      </c>
      <c r="J84" s="138">
        <f t="shared" si="64"/>
        <v>0</v>
      </c>
      <c r="K84" s="138">
        <f t="shared" si="65"/>
        <v>0</v>
      </c>
      <c r="L84" s="138">
        <f t="shared" si="66"/>
        <v>0</v>
      </c>
      <c r="M84" s="138">
        <f t="shared" si="67"/>
        <v>0</v>
      </c>
      <c r="N84" s="138">
        <f t="shared" si="57"/>
        <v>0</v>
      </c>
      <c r="O84" s="138">
        <f t="shared" si="58"/>
        <v>0</v>
      </c>
      <c r="P84" s="154"/>
      <c r="Q84" s="141"/>
      <c r="R84" s="137"/>
      <c r="T84" s="142"/>
      <c r="U84" s="142"/>
    </row>
    <row r="85" spans="1:21" x14ac:dyDescent="0.2">
      <c r="A85" s="139" t="s">
        <v>70</v>
      </c>
      <c r="B85" s="136" t="s">
        <v>556</v>
      </c>
      <c r="C85" s="138">
        <f t="shared" si="55"/>
        <v>2</v>
      </c>
      <c r="D85" s="138">
        <f t="shared" si="56"/>
        <v>0</v>
      </c>
      <c r="E85" s="138">
        <f t="shared" si="59"/>
        <v>3</v>
      </c>
      <c r="F85" s="138">
        <f t="shared" si="60"/>
        <v>0</v>
      </c>
      <c r="G85" s="138">
        <f t="shared" si="61"/>
        <v>20</v>
      </c>
      <c r="H85" s="138">
        <f t="shared" si="62"/>
        <v>0</v>
      </c>
      <c r="I85" s="138">
        <f t="shared" si="63"/>
        <v>5</v>
      </c>
      <c r="J85" s="138">
        <f t="shared" si="64"/>
        <v>0</v>
      </c>
      <c r="K85" s="138">
        <f t="shared" si="65"/>
        <v>18</v>
      </c>
      <c r="L85" s="138">
        <f t="shared" si="66"/>
        <v>0</v>
      </c>
      <c r="M85" s="138">
        <f t="shared" si="67"/>
        <v>7</v>
      </c>
      <c r="N85" s="138">
        <f t="shared" si="57"/>
        <v>0</v>
      </c>
      <c r="O85" s="138">
        <f>C85+E85+G85+I85+K85+M85</f>
        <v>55</v>
      </c>
      <c r="P85" s="154" t="s">
        <v>269</v>
      </c>
      <c r="Q85" s="141"/>
      <c r="R85" s="137">
        <f>O85*Q85</f>
        <v>0</v>
      </c>
      <c r="T85" s="142"/>
      <c r="U85" s="142">
        <v>1</v>
      </c>
    </row>
    <row r="86" spans="1:21" x14ac:dyDescent="0.2">
      <c r="A86" s="139"/>
      <c r="B86" s="136"/>
      <c r="C86" s="138">
        <f t="shared" si="55"/>
        <v>0</v>
      </c>
      <c r="D86" s="138">
        <f t="shared" si="56"/>
        <v>0</v>
      </c>
      <c r="E86" s="138">
        <f t="shared" si="59"/>
        <v>0</v>
      </c>
      <c r="F86" s="138">
        <f t="shared" si="60"/>
        <v>0</v>
      </c>
      <c r="G86" s="138">
        <f t="shared" si="61"/>
        <v>0</v>
      </c>
      <c r="H86" s="138">
        <f t="shared" si="62"/>
        <v>0</v>
      </c>
      <c r="I86" s="138">
        <f t="shared" si="63"/>
        <v>0</v>
      </c>
      <c r="J86" s="138">
        <f t="shared" si="64"/>
        <v>0</v>
      </c>
      <c r="K86" s="138">
        <f t="shared" si="65"/>
        <v>0</v>
      </c>
      <c r="L86" s="138">
        <f t="shared" si="66"/>
        <v>0</v>
      </c>
      <c r="M86" s="138">
        <f t="shared" si="67"/>
        <v>0</v>
      </c>
      <c r="N86" s="138">
        <f t="shared" si="57"/>
        <v>0</v>
      </c>
      <c r="O86" s="138">
        <f t="shared" si="58"/>
        <v>0</v>
      </c>
      <c r="P86" s="154"/>
      <c r="Q86" s="141"/>
      <c r="R86" s="137"/>
      <c r="T86" s="142"/>
      <c r="U86" s="142"/>
    </row>
    <row r="87" spans="1:21" ht="28.5" x14ac:dyDescent="0.2">
      <c r="A87" s="139" t="s">
        <v>71</v>
      </c>
      <c r="B87" s="136" t="s">
        <v>488</v>
      </c>
      <c r="C87" s="138">
        <f t="shared" si="55"/>
        <v>8</v>
      </c>
      <c r="D87" s="138">
        <f t="shared" si="56"/>
        <v>0</v>
      </c>
      <c r="E87" s="138">
        <f t="shared" si="59"/>
        <v>10</v>
      </c>
      <c r="F87" s="138">
        <f t="shared" si="60"/>
        <v>0</v>
      </c>
      <c r="G87" s="138">
        <f t="shared" si="61"/>
        <v>60</v>
      </c>
      <c r="H87" s="138">
        <f t="shared" si="62"/>
        <v>0</v>
      </c>
      <c r="I87" s="138">
        <f t="shared" si="63"/>
        <v>14</v>
      </c>
      <c r="J87" s="138">
        <f t="shared" si="64"/>
        <v>0</v>
      </c>
      <c r="K87" s="138">
        <f t="shared" si="65"/>
        <v>48</v>
      </c>
      <c r="L87" s="138">
        <f t="shared" si="66"/>
        <v>0</v>
      </c>
      <c r="M87" s="138">
        <f t="shared" si="67"/>
        <v>18</v>
      </c>
      <c r="N87" s="138">
        <f t="shared" si="57"/>
        <v>0</v>
      </c>
      <c r="O87" s="138">
        <f>C87+E87+G87+I87+K87+M87</f>
        <v>158</v>
      </c>
      <c r="P87" s="154" t="s">
        <v>269</v>
      </c>
      <c r="Q87" s="141"/>
      <c r="R87" s="137">
        <f>O87*Q87</f>
        <v>0</v>
      </c>
      <c r="T87" s="142">
        <v>2</v>
      </c>
      <c r="U87" s="142">
        <v>2</v>
      </c>
    </row>
    <row r="88" spans="1:21" x14ac:dyDescent="0.2">
      <c r="A88" s="139"/>
      <c r="B88" s="136"/>
      <c r="C88" s="138">
        <f t="shared" si="55"/>
        <v>0</v>
      </c>
      <c r="D88" s="138">
        <f t="shared" si="56"/>
        <v>0</v>
      </c>
      <c r="E88" s="138">
        <f t="shared" si="59"/>
        <v>0</v>
      </c>
      <c r="F88" s="138">
        <f t="shared" si="60"/>
        <v>0</v>
      </c>
      <c r="G88" s="138">
        <f t="shared" si="61"/>
        <v>0</v>
      </c>
      <c r="H88" s="138">
        <f t="shared" si="62"/>
        <v>0</v>
      </c>
      <c r="I88" s="138">
        <f t="shared" si="63"/>
        <v>0</v>
      </c>
      <c r="J88" s="138">
        <f t="shared" si="64"/>
        <v>0</v>
      </c>
      <c r="K88" s="138">
        <f t="shared" si="65"/>
        <v>0</v>
      </c>
      <c r="L88" s="138">
        <f t="shared" si="66"/>
        <v>0</v>
      </c>
      <c r="M88" s="138">
        <f t="shared" si="67"/>
        <v>0</v>
      </c>
      <c r="N88" s="138">
        <f t="shared" si="57"/>
        <v>0</v>
      </c>
      <c r="O88" s="138">
        <f t="shared" si="58"/>
        <v>0</v>
      </c>
      <c r="P88" s="154"/>
      <c r="Q88" s="141"/>
      <c r="R88" s="137"/>
      <c r="T88" s="142"/>
      <c r="U88" s="142"/>
    </row>
    <row r="89" spans="1:21" ht="28.5" x14ac:dyDescent="0.2">
      <c r="A89" s="139" t="s">
        <v>72</v>
      </c>
      <c r="B89" s="136" t="s">
        <v>489</v>
      </c>
      <c r="C89" s="138">
        <f t="shared" si="55"/>
        <v>2</v>
      </c>
      <c r="D89" s="138">
        <f t="shared" si="56"/>
        <v>0</v>
      </c>
      <c r="E89" s="138">
        <f t="shared" si="59"/>
        <v>2</v>
      </c>
      <c r="F89" s="138">
        <f t="shared" si="60"/>
        <v>0</v>
      </c>
      <c r="G89" s="138">
        <f t="shared" si="61"/>
        <v>10</v>
      </c>
      <c r="H89" s="138">
        <f t="shared" si="62"/>
        <v>0</v>
      </c>
      <c r="I89" s="138">
        <f t="shared" si="63"/>
        <v>2</v>
      </c>
      <c r="J89" s="138">
        <f t="shared" si="64"/>
        <v>0</v>
      </c>
      <c r="K89" s="138">
        <f t="shared" si="65"/>
        <v>6</v>
      </c>
      <c r="L89" s="138">
        <f t="shared" si="66"/>
        <v>0</v>
      </c>
      <c r="M89" s="138">
        <f t="shared" si="67"/>
        <v>2</v>
      </c>
      <c r="N89" s="138">
        <f t="shared" si="57"/>
        <v>0</v>
      </c>
      <c r="O89" s="138">
        <f>C89+E89+G89+I89+K89+M89</f>
        <v>24</v>
      </c>
      <c r="P89" s="154" t="s">
        <v>269</v>
      </c>
      <c r="Q89" s="141"/>
      <c r="R89" s="137">
        <f>O89*Q89</f>
        <v>0</v>
      </c>
      <c r="T89" s="142">
        <v>1</v>
      </c>
      <c r="U89" s="142"/>
    </row>
    <row r="90" spans="1:21" x14ac:dyDescent="0.2">
      <c r="A90" s="139"/>
      <c r="B90" s="136"/>
      <c r="C90" s="138">
        <f t="shared" si="55"/>
        <v>0</v>
      </c>
      <c r="D90" s="138">
        <f t="shared" si="56"/>
        <v>0</v>
      </c>
      <c r="E90" s="138">
        <f t="shared" si="59"/>
        <v>0</v>
      </c>
      <c r="F90" s="138">
        <f t="shared" si="60"/>
        <v>0</v>
      </c>
      <c r="G90" s="138">
        <f t="shared" si="61"/>
        <v>0</v>
      </c>
      <c r="H90" s="138">
        <f t="shared" si="62"/>
        <v>0</v>
      </c>
      <c r="I90" s="138">
        <f t="shared" si="63"/>
        <v>0</v>
      </c>
      <c r="J90" s="138">
        <f t="shared" si="64"/>
        <v>0</v>
      </c>
      <c r="K90" s="138">
        <f t="shared" si="65"/>
        <v>0</v>
      </c>
      <c r="L90" s="138">
        <f t="shared" si="66"/>
        <v>0</v>
      </c>
      <c r="M90" s="138">
        <f t="shared" si="67"/>
        <v>0</v>
      </c>
      <c r="N90" s="138">
        <f t="shared" si="57"/>
        <v>0</v>
      </c>
      <c r="O90" s="138">
        <f t="shared" si="58"/>
        <v>0</v>
      </c>
      <c r="P90" s="154"/>
      <c r="Q90" s="141"/>
      <c r="R90" s="137"/>
      <c r="T90" s="142"/>
      <c r="U90" s="142"/>
    </row>
    <row r="91" spans="1:21" ht="28.5" x14ac:dyDescent="0.2">
      <c r="A91" s="139" t="s">
        <v>73</v>
      </c>
      <c r="B91" s="136" t="s">
        <v>557</v>
      </c>
      <c r="C91" s="138">
        <f t="shared" si="55"/>
        <v>2</v>
      </c>
      <c r="D91" s="138">
        <f t="shared" si="56"/>
        <v>0</v>
      </c>
      <c r="E91" s="138">
        <f t="shared" si="59"/>
        <v>3</v>
      </c>
      <c r="F91" s="138">
        <f t="shared" si="60"/>
        <v>0</v>
      </c>
      <c r="G91" s="138">
        <f t="shared" si="61"/>
        <v>20</v>
      </c>
      <c r="H91" s="138">
        <f t="shared" si="62"/>
        <v>0</v>
      </c>
      <c r="I91" s="138">
        <f t="shared" si="63"/>
        <v>5</v>
      </c>
      <c r="J91" s="138">
        <f t="shared" si="64"/>
        <v>0</v>
      </c>
      <c r="K91" s="138">
        <f t="shared" si="65"/>
        <v>18</v>
      </c>
      <c r="L91" s="138">
        <f t="shared" si="66"/>
        <v>0</v>
      </c>
      <c r="M91" s="138">
        <f t="shared" si="67"/>
        <v>7</v>
      </c>
      <c r="N91" s="138">
        <f t="shared" si="57"/>
        <v>0</v>
      </c>
      <c r="O91" s="138">
        <f>C91+E91+G91+I91+K91+M91</f>
        <v>55</v>
      </c>
      <c r="P91" s="154" t="s">
        <v>269</v>
      </c>
      <c r="Q91" s="141"/>
      <c r="R91" s="137">
        <f>O91*Q91</f>
        <v>0</v>
      </c>
      <c r="T91" s="142"/>
      <c r="U91" s="142">
        <v>1</v>
      </c>
    </row>
    <row r="92" spans="1:21" x14ac:dyDescent="0.2">
      <c r="A92" s="139"/>
      <c r="B92" s="136"/>
      <c r="C92" s="138">
        <f t="shared" si="55"/>
        <v>0</v>
      </c>
      <c r="D92" s="138">
        <f t="shared" si="56"/>
        <v>0</v>
      </c>
      <c r="E92" s="138">
        <f t="shared" si="59"/>
        <v>0</v>
      </c>
      <c r="F92" s="138">
        <f t="shared" si="60"/>
        <v>0</v>
      </c>
      <c r="G92" s="138">
        <f t="shared" si="61"/>
        <v>0</v>
      </c>
      <c r="H92" s="138">
        <f t="shared" si="62"/>
        <v>0</v>
      </c>
      <c r="I92" s="138">
        <f t="shared" si="63"/>
        <v>0</v>
      </c>
      <c r="J92" s="138">
        <f t="shared" si="64"/>
        <v>0</v>
      </c>
      <c r="K92" s="138">
        <f t="shared" si="65"/>
        <v>0</v>
      </c>
      <c r="L92" s="138">
        <f t="shared" si="66"/>
        <v>0</v>
      </c>
      <c r="M92" s="138">
        <f t="shared" si="67"/>
        <v>0</v>
      </c>
      <c r="N92" s="138">
        <f t="shared" si="57"/>
        <v>0</v>
      </c>
      <c r="O92" s="138">
        <f t="shared" si="58"/>
        <v>0</v>
      </c>
      <c r="P92" s="154"/>
      <c r="Q92" s="141"/>
      <c r="R92" s="137"/>
      <c r="T92" s="142"/>
      <c r="U92" s="142"/>
    </row>
    <row r="93" spans="1:21" x14ac:dyDescent="0.2">
      <c r="A93" s="139" t="s">
        <v>74</v>
      </c>
      <c r="B93" s="136" t="s">
        <v>491</v>
      </c>
      <c r="C93" s="138">
        <f t="shared" si="55"/>
        <v>6</v>
      </c>
      <c r="D93" s="138">
        <f t="shared" si="56"/>
        <v>0</v>
      </c>
      <c r="E93" s="138">
        <f t="shared" si="59"/>
        <v>7</v>
      </c>
      <c r="F93" s="138">
        <f t="shared" si="60"/>
        <v>0</v>
      </c>
      <c r="G93" s="138">
        <f t="shared" si="61"/>
        <v>40</v>
      </c>
      <c r="H93" s="138">
        <f t="shared" si="62"/>
        <v>0</v>
      </c>
      <c r="I93" s="138">
        <f t="shared" si="63"/>
        <v>9</v>
      </c>
      <c r="J93" s="138">
        <f t="shared" si="64"/>
        <v>0</v>
      </c>
      <c r="K93" s="138">
        <f t="shared" si="65"/>
        <v>30</v>
      </c>
      <c r="L93" s="138">
        <f t="shared" si="66"/>
        <v>0</v>
      </c>
      <c r="M93" s="138">
        <f t="shared" si="67"/>
        <v>11</v>
      </c>
      <c r="N93" s="138">
        <f t="shared" si="57"/>
        <v>0</v>
      </c>
      <c r="O93" s="138">
        <f>C93+E93+G93+I93+K93+M93</f>
        <v>103</v>
      </c>
      <c r="P93" s="154" t="s">
        <v>269</v>
      </c>
      <c r="Q93" s="141"/>
      <c r="R93" s="137">
        <f>O93*Q93</f>
        <v>0</v>
      </c>
      <c r="T93" s="142">
        <v>2</v>
      </c>
      <c r="U93" s="142">
        <v>1</v>
      </c>
    </row>
    <row r="94" spans="1:21" x14ac:dyDescent="0.2">
      <c r="A94" s="139"/>
      <c r="B94" s="136"/>
      <c r="C94" s="138">
        <f t="shared" si="55"/>
        <v>0</v>
      </c>
      <c r="D94" s="138">
        <f t="shared" si="56"/>
        <v>0</v>
      </c>
      <c r="E94" s="138">
        <f t="shared" si="59"/>
        <v>0</v>
      </c>
      <c r="F94" s="138">
        <f t="shared" si="60"/>
        <v>0</v>
      </c>
      <c r="G94" s="138">
        <f t="shared" si="61"/>
        <v>0</v>
      </c>
      <c r="H94" s="138">
        <f t="shared" si="62"/>
        <v>0</v>
      </c>
      <c r="I94" s="138">
        <f t="shared" si="63"/>
        <v>0</v>
      </c>
      <c r="J94" s="138">
        <f t="shared" si="64"/>
        <v>0</v>
      </c>
      <c r="K94" s="138">
        <f t="shared" si="65"/>
        <v>0</v>
      </c>
      <c r="L94" s="138">
        <f t="shared" si="66"/>
        <v>0</v>
      </c>
      <c r="M94" s="138">
        <f t="shared" si="67"/>
        <v>0</v>
      </c>
      <c r="N94" s="138">
        <f t="shared" si="57"/>
        <v>0</v>
      </c>
      <c r="O94" s="138">
        <f t="shared" si="58"/>
        <v>0</v>
      </c>
      <c r="P94" s="154"/>
      <c r="Q94" s="141"/>
      <c r="R94" s="137"/>
      <c r="T94" s="142"/>
      <c r="U94" s="142"/>
    </row>
    <row r="95" spans="1:21" x14ac:dyDescent="0.2">
      <c r="A95" s="139" t="s">
        <v>75</v>
      </c>
      <c r="B95" s="136" t="s">
        <v>428</v>
      </c>
      <c r="C95" s="138">
        <f t="shared" si="55"/>
        <v>2</v>
      </c>
      <c r="D95" s="138">
        <f t="shared" si="56"/>
        <v>0</v>
      </c>
      <c r="E95" s="138">
        <f t="shared" si="59"/>
        <v>2</v>
      </c>
      <c r="F95" s="138">
        <f t="shared" si="60"/>
        <v>0</v>
      </c>
      <c r="G95" s="138">
        <f t="shared" si="61"/>
        <v>10</v>
      </c>
      <c r="H95" s="138">
        <f t="shared" si="62"/>
        <v>0</v>
      </c>
      <c r="I95" s="138">
        <f t="shared" si="63"/>
        <v>2</v>
      </c>
      <c r="J95" s="138">
        <f t="shared" si="64"/>
        <v>0</v>
      </c>
      <c r="K95" s="138">
        <f t="shared" si="65"/>
        <v>6</v>
      </c>
      <c r="L95" s="138">
        <f t="shared" si="66"/>
        <v>0</v>
      </c>
      <c r="M95" s="138">
        <f t="shared" si="67"/>
        <v>2</v>
      </c>
      <c r="N95" s="138">
        <f t="shared" si="57"/>
        <v>0</v>
      </c>
      <c r="O95" s="138">
        <f>C95+E95+G95+I95+K95+M95</f>
        <v>24</v>
      </c>
      <c r="P95" s="154" t="s">
        <v>269</v>
      </c>
      <c r="Q95" s="141"/>
      <c r="R95" s="137">
        <f>O95*Q95</f>
        <v>0</v>
      </c>
      <c r="T95" s="142">
        <v>1</v>
      </c>
      <c r="U95" s="142"/>
    </row>
    <row r="96" spans="1:21" x14ac:dyDescent="0.2">
      <c r="A96" s="139"/>
      <c r="B96" s="136"/>
      <c r="C96" s="138"/>
      <c r="D96" s="138"/>
      <c r="E96" s="138"/>
      <c r="F96" s="138"/>
      <c r="G96" s="138"/>
      <c r="H96" s="138"/>
      <c r="I96" s="138"/>
      <c r="J96" s="138"/>
      <c r="K96" s="138"/>
      <c r="L96" s="138"/>
      <c r="M96" s="138"/>
      <c r="N96" s="138"/>
      <c r="O96" s="138"/>
      <c r="P96" s="154"/>
      <c r="Q96" s="141"/>
      <c r="R96" s="137"/>
      <c r="T96" s="142"/>
      <c r="U96" s="142"/>
    </row>
    <row r="97" spans="1:21" x14ac:dyDescent="0.2">
      <c r="A97" s="139"/>
      <c r="B97" s="136"/>
      <c r="C97" s="138"/>
      <c r="D97" s="138"/>
      <c r="E97" s="138"/>
      <c r="F97" s="138"/>
      <c r="G97" s="138"/>
      <c r="H97" s="138"/>
      <c r="I97" s="138"/>
      <c r="J97" s="138"/>
      <c r="K97" s="138"/>
      <c r="L97" s="138"/>
      <c r="M97" s="138"/>
      <c r="N97" s="138"/>
      <c r="O97" s="138"/>
      <c r="P97" s="154"/>
      <c r="Q97" s="141"/>
      <c r="R97" s="137"/>
      <c r="T97" s="142"/>
      <c r="U97" s="142"/>
    </row>
    <row r="98" spans="1:21" x14ac:dyDescent="0.2">
      <c r="A98" s="139"/>
      <c r="B98" s="136"/>
      <c r="C98" s="138"/>
      <c r="D98" s="138"/>
      <c r="E98" s="138"/>
      <c r="F98" s="138"/>
      <c r="G98" s="138"/>
      <c r="H98" s="138"/>
      <c r="I98" s="138"/>
      <c r="J98" s="138"/>
      <c r="K98" s="138"/>
      <c r="L98" s="138"/>
      <c r="M98" s="138"/>
      <c r="N98" s="138"/>
      <c r="O98" s="138"/>
      <c r="P98" s="154"/>
      <c r="Q98" s="141"/>
      <c r="R98" s="137"/>
      <c r="T98" s="142"/>
      <c r="U98" s="142"/>
    </row>
    <row r="99" spans="1:21" x14ac:dyDescent="0.2">
      <c r="A99" s="139"/>
      <c r="B99" s="136"/>
      <c r="C99" s="138"/>
      <c r="D99" s="138"/>
      <c r="E99" s="138"/>
      <c r="F99" s="138"/>
      <c r="G99" s="138"/>
      <c r="H99" s="138"/>
      <c r="I99" s="138"/>
      <c r="J99" s="138"/>
      <c r="K99" s="138"/>
      <c r="L99" s="138"/>
      <c r="M99" s="138"/>
      <c r="N99" s="138"/>
      <c r="O99" s="138"/>
      <c r="P99" s="154"/>
      <c r="Q99" s="141"/>
      <c r="R99" s="137"/>
      <c r="T99" s="142"/>
      <c r="U99" s="142"/>
    </row>
    <row r="100" spans="1:21" x14ac:dyDescent="0.2">
      <c r="A100" s="139"/>
      <c r="B100" s="136"/>
      <c r="C100" s="138"/>
      <c r="D100" s="138"/>
      <c r="E100" s="138"/>
      <c r="F100" s="138"/>
      <c r="G100" s="138"/>
      <c r="H100" s="138"/>
      <c r="I100" s="138"/>
      <c r="J100" s="138"/>
      <c r="K100" s="138"/>
      <c r="L100" s="138"/>
      <c r="M100" s="138"/>
      <c r="N100" s="138"/>
      <c r="O100" s="138"/>
      <c r="P100" s="154"/>
      <c r="Q100" s="141"/>
      <c r="R100" s="137"/>
      <c r="T100" s="142"/>
      <c r="U100" s="142"/>
    </row>
    <row r="101" spans="1:21" x14ac:dyDescent="0.2">
      <c r="A101" s="139"/>
      <c r="B101" s="136"/>
      <c r="C101" s="138"/>
      <c r="D101" s="138"/>
      <c r="E101" s="138"/>
      <c r="F101" s="138"/>
      <c r="G101" s="138"/>
      <c r="H101" s="138"/>
      <c r="I101" s="138"/>
      <c r="J101" s="138"/>
      <c r="K101" s="138"/>
      <c r="L101" s="138"/>
      <c r="M101" s="138"/>
      <c r="N101" s="138"/>
      <c r="O101" s="138"/>
      <c r="P101" s="154"/>
      <c r="Q101" s="141"/>
      <c r="R101" s="137"/>
      <c r="T101" s="142"/>
      <c r="U101" s="142"/>
    </row>
    <row r="102" spans="1:21" x14ac:dyDescent="0.2">
      <c r="A102" s="139"/>
      <c r="B102" s="136"/>
      <c r="C102" s="138"/>
      <c r="D102" s="138"/>
      <c r="E102" s="138"/>
      <c r="F102" s="138"/>
      <c r="G102" s="138"/>
      <c r="H102" s="138"/>
      <c r="I102" s="138"/>
      <c r="J102" s="138"/>
      <c r="K102" s="138"/>
      <c r="L102" s="138"/>
      <c r="M102" s="138"/>
      <c r="N102" s="138"/>
      <c r="O102" s="138"/>
      <c r="P102" s="154"/>
      <c r="Q102" s="141"/>
      <c r="R102" s="137"/>
      <c r="T102" s="142"/>
      <c r="U102" s="142"/>
    </row>
    <row r="103" spans="1:21" x14ac:dyDescent="0.2">
      <c r="A103" s="139"/>
      <c r="B103" s="136"/>
      <c r="C103" s="138"/>
      <c r="D103" s="138"/>
      <c r="E103" s="138"/>
      <c r="F103" s="138"/>
      <c r="G103" s="138"/>
      <c r="H103" s="138"/>
      <c r="I103" s="138"/>
      <c r="J103" s="138"/>
      <c r="K103" s="138"/>
      <c r="L103" s="138"/>
      <c r="M103" s="138"/>
      <c r="N103" s="138">
        <f t="shared" ref="N103:N105" si="70">M103*$Q103</f>
        <v>0</v>
      </c>
      <c r="O103" s="138">
        <f t="shared" ref="O103:O105" si="71">C103+E103+G103+I103+K103+M103</f>
        <v>0</v>
      </c>
      <c r="P103" s="154"/>
      <c r="Q103" s="141"/>
      <c r="R103" s="137"/>
      <c r="T103" s="142"/>
      <c r="U103" s="142"/>
    </row>
    <row r="104" spans="1:21" x14ac:dyDescent="0.2">
      <c r="A104" s="139"/>
      <c r="B104" s="136"/>
      <c r="C104" s="138"/>
      <c r="D104" s="138"/>
      <c r="E104" s="138"/>
      <c r="F104" s="138"/>
      <c r="G104" s="138"/>
      <c r="H104" s="138"/>
      <c r="I104" s="138"/>
      <c r="J104" s="138"/>
      <c r="K104" s="138"/>
      <c r="L104" s="138"/>
      <c r="M104" s="138"/>
      <c r="N104" s="138">
        <f t="shared" si="70"/>
        <v>0</v>
      </c>
      <c r="O104" s="138">
        <f t="shared" si="71"/>
        <v>0</v>
      </c>
      <c r="P104" s="154"/>
      <c r="Q104" s="141"/>
      <c r="R104" s="137"/>
      <c r="T104" s="142"/>
      <c r="U104" s="142"/>
    </row>
    <row r="105" spans="1:21" x14ac:dyDescent="0.2">
      <c r="A105" s="139"/>
      <c r="B105" s="136"/>
      <c r="C105" s="138"/>
      <c r="D105" s="138"/>
      <c r="E105" s="138"/>
      <c r="F105" s="138"/>
      <c r="G105" s="138"/>
      <c r="H105" s="138"/>
      <c r="I105" s="138"/>
      <c r="J105" s="138"/>
      <c r="K105" s="138"/>
      <c r="L105" s="138"/>
      <c r="M105" s="138"/>
      <c r="N105" s="138">
        <f t="shared" si="70"/>
        <v>0</v>
      </c>
      <c r="O105" s="138">
        <f t="shared" si="71"/>
        <v>0</v>
      </c>
      <c r="P105" s="154"/>
      <c r="Q105" s="141"/>
      <c r="R105" s="137"/>
      <c r="T105" s="142"/>
      <c r="U105" s="142"/>
    </row>
    <row r="106" spans="1:21" x14ac:dyDescent="0.2">
      <c r="A106" s="127"/>
      <c r="B106" s="136"/>
      <c r="C106" s="128"/>
      <c r="D106" s="120"/>
      <c r="E106" s="120"/>
      <c r="F106" s="120"/>
      <c r="G106" s="120"/>
      <c r="H106" s="120"/>
      <c r="I106" s="120"/>
      <c r="J106" s="120"/>
      <c r="K106" s="120"/>
      <c r="L106" s="120"/>
      <c r="M106" s="120"/>
      <c r="N106" s="120"/>
      <c r="O106" s="120"/>
      <c r="P106" s="154"/>
      <c r="Q106" s="141"/>
      <c r="R106" s="137"/>
      <c r="T106" s="142"/>
      <c r="U106" s="142"/>
    </row>
    <row r="107" spans="1:21" x14ac:dyDescent="0.2">
      <c r="A107" s="129"/>
      <c r="B107" s="130"/>
      <c r="C107" s="131"/>
      <c r="D107" s="131"/>
      <c r="E107" s="131"/>
      <c r="F107" s="131"/>
      <c r="G107" s="131"/>
      <c r="H107" s="131"/>
      <c r="I107" s="131"/>
      <c r="J107" s="131"/>
      <c r="K107" s="131"/>
      <c r="L107" s="131"/>
      <c r="M107" s="131"/>
      <c r="N107" s="131"/>
      <c r="O107" s="131"/>
      <c r="P107" s="131"/>
      <c r="Q107" s="132"/>
      <c r="R107" s="126"/>
      <c r="T107" s="134"/>
      <c r="U107" s="134"/>
    </row>
    <row r="108" spans="1:21" x14ac:dyDescent="0.2">
      <c r="C108" s="122"/>
      <c r="D108" s="122"/>
      <c r="E108" s="122"/>
      <c r="F108" s="122"/>
      <c r="G108" s="122"/>
      <c r="H108" s="122"/>
      <c r="I108" s="122"/>
      <c r="J108" s="122"/>
      <c r="K108" s="122"/>
      <c r="L108" s="122"/>
      <c r="M108" s="122"/>
      <c r="N108" s="122"/>
      <c r="O108" s="122"/>
      <c r="P108" s="171" t="s">
        <v>1</v>
      </c>
      <c r="Q108" s="133" t="s">
        <v>0</v>
      </c>
      <c r="R108" s="137">
        <f>SUM(R72:R106)</f>
        <v>0</v>
      </c>
      <c r="T108" s="135"/>
      <c r="U108" s="135"/>
    </row>
    <row r="109" spans="1:21" x14ac:dyDescent="0.2">
      <c r="P109" s="188"/>
      <c r="Q109" s="124"/>
      <c r="R109" s="125"/>
      <c r="T109" s="142"/>
      <c r="U109" s="142"/>
    </row>
    <row r="110" spans="1:21" x14ac:dyDescent="0.2">
      <c r="A110" s="139"/>
      <c r="B110" s="136"/>
      <c r="C110" s="128"/>
      <c r="D110" s="120"/>
      <c r="E110" s="120"/>
      <c r="F110" s="120"/>
      <c r="G110" s="120"/>
      <c r="H110" s="120"/>
      <c r="I110" s="120"/>
      <c r="J110" s="120"/>
      <c r="K110" s="120"/>
      <c r="L110" s="120"/>
      <c r="M110" s="120"/>
      <c r="N110" s="120"/>
      <c r="O110" s="120"/>
      <c r="P110" s="154"/>
      <c r="Q110" s="141"/>
      <c r="R110" s="137"/>
      <c r="T110" s="142"/>
      <c r="U110" s="142"/>
    </row>
    <row r="111" spans="1:21" x14ac:dyDescent="0.2">
      <c r="A111" s="139"/>
      <c r="B111" s="82" t="s">
        <v>85</v>
      </c>
      <c r="C111" s="117"/>
      <c r="D111" s="117"/>
      <c r="E111" s="117"/>
      <c r="F111" s="117"/>
      <c r="G111" s="117"/>
      <c r="H111" s="117"/>
      <c r="I111" s="117"/>
      <c r="J111" s="117"/>
      <c r="K111" s="117"/>
      <c r="L111" s="117"/>
      <c r="M111" s="117"/>
      <c r="N111" s="117"/>
      <c r="O111" s="117"/>
      <c r="P111" s="108"/>
      <c r="Q111" s="109"/>
      <c r="R111" s="119"/>
      <c r="T111" s="142"/>
      <c r="U111" s="142"/>
    </row>
    <row r="112" spans="1:21" x14ac:dyDescent="0.2">
      <c r="A112" s="139"/>
      <c r="B112" s="82"/>
      <c r="C112" s="138">
        <f t="shared" ref="C112:C143" si="72">ROUND((2*$T112+2*$U112)*C$3,0)</f>
        <v>0</v>
      </c>
      <c r="D112" s="138">
        <f t="shared" ref="D112:D143" si="73">C112*$Q112</f>
        <v>0</v>
      </c>
      <c r="E112" s="138">
        <f t="shared" ref="E112:E143" si="74">ROUND((2*$T112+3*$U112)*E$3,0)</f>
        <v>0</v>
      </c>
      <c r="F112" s="138">
        <f t="shared" ref="F112:F143" si="75">E112*$Q112</f>
        <v>0</v>
      </c>
      <c r="G112" s="138">
        <f t="shared" ref="G112:G143" si="76">ROUND((2*$T112+4*$U112)*G$3,0)</f>
        <v>0</v>
      </c>
      <c r="H112" s="138">
        <f t="shared" ref="H112:H143" si="77">G112*$Q112</f>
        <v>0</v>
      </c>
      <c r="I112" s="138">
        <f t="shared" ref="I112:I143" si="78">ROUND((2*$T112+5*$U112)*I$3,0)</f>
        <v>0</v>
      </c>
      <c r="J112" s="138">
        <f t="shared" ref="J112:J143" si="79">I112*$Q112</f>
        <v>0</v>
      </c>
      <c r="K112" s="138">
        <f t="shared" ref="K112:K143" si="80">ROUND((2*$T112+6*$U112)*K$3,0)</f>
        <v>0</v>
      </c>
      <c r="L112" s="138">
        <f t="shared" ref="L112:L143" si="81">K112*$Q112</f>
        <v>0</v>
      </c>
      <c r="M112" s="138">
        <f t="shared" ref="M112:M143" si="82">ROUND((2*$T112+7*$U112)*M$3,0)</f>
        <v>0</v>
      </c>
      <c r="N112" s="138">
        <f t="shared" ref="N112:N143" si="83">M112*$Q112</f>
        <v>0</v>
      </c>
      <c r="O112" s="138">
        <f t="shared" ref="O112:O143" si="84">C112+E112+G112+I112+K112+M112</f>
        <v>0</v>
      </c>
      <c r="P112" s="108"/>
      <c r="Q112" s="109"/>
      <c r="R112" s="119"/>
      <c r="T112" s="142"/>
      <c r="U112" s="142"/>
    </row>
    <row r="113" spans="1:21" ht="28.5" x14ac:dyDescent="0.2">
      <c r="A113" s="139"/>
      <c r="B113" s="82" t="s">
        <v>90</v>
      </c>
      <c r="C113" s="138">
        <f t="shared" si="72"/>
        <v>0</v>
      </c>
      <c r="D113" s="138">
        <f t="shared" si="73"/>
        <v>0</v>
      </c>
      <c r="E113" s="138">
        <f t="shared" si="74"/>
        <v>0</v>
      </c>
      <c r="F113" s="138">
        <f t="shared" si="75"/>
        <v>0</v>
      </c>
      <c r="G113" s="138">
        <f t="shared" si="76"/>
        <v>0</v>
      </c>
      <c r="H113" s="138">
        <f t="shared" si="77"/>
        <v>0</v>
      </c>
      <c r="I113" s="138">
        <f t="shared" si="78"/>
        <v>0</v>
      </c>
      <c r="J113" s="138">
        <f t="shared" si="79"/>
        <v>0</v>
      </c>
      <c r="K113" s="138">
        <f t="shared" si="80"/>
        <v>0</v>
      </c>
      <c r="L113" s="138">
        <f t="shared" si="81"/>
        <v>0</v>
      </c>
      <c r="M113" s="138">
        <f t="shared" si="82"/>
        <v>0</v>
      </c>
      <c r="N113" s="138">
        <f t="shared" si="83"/>
        <v>0</v>
      </c>
      <c r="O113" s="138">
        <f t="shared" si="84"/>
        <v>0</v>
      </c>
      <c r="P113" s="108"/>
      <c r="Q113" s="109"/>
      <c r="R113" s="119"/>
      <c r="T113" s="142"/>
      <c r="U113" s="142"/>
    </row>
    <row r="114" spans="1:21" x14ac:dyDescent="0.2">
      <c r="A114" s="139"/>
      <c r="B114" s="136"/>
      <c r="C114" s="138">
        <f t="shared" si="72"/>
        <v>0</v>
      </c>
      <c r="D114" s="138">
        <f t="shared" si="73"/>
        <v>0</v>
      </c>
      <c r="E114" s="138">
        <f t="shared" si="74"/>
        <v>0</v>
      </c>
      <c r="F114" s="138">
        <f t="shared" si="75"/>
        <v>0</v>
      </c>
      <c r="G114" s="138">
        <f t="shared" si="76"/>
        <v>0</v>
      </c>
      <c r="H114" s="138">
        <f t="shared" si="77"/>
        <v>0</v>
      </c>
      <c r="I114" s="138">
        <f t="shared" si="78"/>
        <v>0</v>
      </c>
      <c r="J114" s="138">
        <f t="shared" si="79"/>
        <v>0</v>
      </c>
      <c r="K114" s="138">
        <f t="shared" si="80"/>
        <v>0</v>
      </c>
      <c r="L114" s="138">
        <f t="shared" si="81"/>
        <v>0</v>
      </c>
      <c r="M114" s="138">
        <f t="shared" si="82"/>
        <v>0</v>
      </c>
      <c r="N114" s="138">
        <f t="shared" si="83"/>
        <v>0</v>
      </c>
      <c r="O114" s="138">
        <f t="shared" si="84"/>
        <v>0</v>
      </c>
      <c r="P114" s="154"/>
      <c r="Q114" s="141"/>
      <c r="R114" s="137"/>
      <c r="T114" s="142"/>
      <c r="U114" s="142"/>
    </row>
    <row r="115" spans="1:21" x14ac:dyDescent="0.2">
      <c r="A115" s="139" t="s">
        <v>66</v>
      </c>
      <c r="B115" s="136" t="s">
        <v>655</v>
      </c>
      <c r="C115" s="138">
        <f t="shared" si="72"/>
        <v>4</v>
      </c>
      <c r="D115" s="138">
        <f t="shared" si="73"/>
        <v>0</v>
      </c>
      <c r="E115" s="138">
        <f t="shared" si="74"/>
        <v>5</v>
      </c>
      <c r="F115" s="138">
        <f t="shared" si="75"/>
        <v>0</v>
      </c>
      <c r="G115" s="138">
        <f t="shared" si="76"/>
        <v>30</v>
      </c>
      <c r="H115" s="138">
        <f t="shared" si="77"/>
        <v>0</v>
      </c>
      <c r="I115" s="138">
        <f t="shared" si="78"/>
        <v>7</v>
      </c>
      <c r="J115" s="138">
        <f t="shared" si="79"/>
        <v>0</v>
      </c>
      <c r="K115" s="138">
        <f t="shared" si="80"/>
        <v>24</v>
      </c>
      <c r="L115" s="138">
        <f t="shared" si="81"/>
        <v>0</v>
      </c>
      <c r="M115" s="138">
        <f t="shared" si="82"/>
        <v>9</v>
      </c>
      <c r="N115" s="138">
        <f t="shared" si="83"/>
        <v>0</v>
      </c>
      <c r="O115" s="138">
        <f>C115+E115+G115+I115+K115+M115</f>
        <v>79</v>
      </c>
      <c r="P115" s="154" t="s">
        <v>269</v>
      </c>
      <c r="Q115" s="141"/>
      <c r="R115" s="137">
        <f t="shared" ref="R115" si="85">O115*Q115</f>
        <v>0</v>
      </c>
      <c r="T115" s="142">
        <v>1</v>
      </c>
      <c r="U115" s="142">
        <v>1</v>
      </c>
    </row>
    <row r="116" spans="1:21" x14ac:dyDescent="0.2">
      <c r="A116" s="139"/>
      <c r="B116" s="136"/>
      <c r="C116" s="138">
        <f t="shared" si="72"/>
        <v>0</v>
      </c>
      <c r="D116" s="138">
        <f t="shared" si="73"/>
        <v>0</v>
      </c>
      <c r="E116" s="138">
        <f t="shared" si="74"/>
        <v>0</v>
      </c>
      <c r="F116" s="138">
        <f t="shared" si="75"/>
        <v>0</v>
      </c>
      <c r="G116" s="138">
        <f t="shared" si="76"/>
        <v>0</v>
      </c>
      <c r="H116" s="138">
        <f t="shared" si="77"/>
        <v>0</v>
      </c>
      <c r="I116" s="138">
        <f t="shared" si="78"/>
        <v>0</v>
      </c>
      <c r="J116" s="138">
        <f t="shared" si="79"/>
        <v>0</v>
      </c>
      <c r="K116" s="138">
        <f t="shared" si="80"/>
        <v>0</v>
      </c>
      <c r="L116" s="138">
        <f t="shared" si="81"/>
        <v>0</v>
      </c>
      <c r="M116" s="138">
        <f t="shared" si="82"/>
        <v>0</v>
      </c>
      <c r="N116" s="138">
        <f t="shared" si="83"/>
        <v>0</v>
      </c>
      <c r="O116" s="138">
        <f t="shared" si="84"/>
        <v>0</v>
      </c>
      <c r="P116" s="154"/>
      <c r="Q116" s="141"/>
      <c r="R116" s="137"/>
      <c r="T116" s="142"/>
      <c r="U116" s="142"/>
    </row>
    <row r="117" spans="1:21" ht="28.5" x14ac:dyDescent="0.2">
      <c r="A117" s="139" t="s">
        <v>67</v>
      </c>
      <c r="B117" s="136" t="s">
        <v>346</v>
      </c>
      <c r="C117" s="138">
        <f t="shared" si="72"/>
        <v>18</v>
      </c>
      <c r="D117" s="138">
        <f t="shared" si="73"/>
        <v>0</v>
      </c>
      <c r="E117" s="138">
        <f t="shared" si="74"/>
        <v>22</v>
      </c>
      <c r="F117" s="138">
        <f t="shared" si="75"/>
        <v>0</v>
      </c>
      <c r="G117" s="138">
        <f t="shared" si="76"/>
        <v>130</v>
      </c>
      <c r="H117" s="138">
        <f t="shared" si="77"/>
        <v>0</v>
      </c>
      <c r="I117" s="138">
        <f t="shared" si="78"/>
        <v>30</v>
      </c>
      <c r="J117" s="138">
        <f t="shared" si="79"/>
        <v>0</v>
      </c>
      <c r="K117" s="138">
        <f t="shared" si="80"/>
        <v>102</v>
      </c>
      <c r="L117" s="138">
        <f t="shared" si="81"/>
        <v>0</v>
      </c>
      <c r="M117" s="138">
        <f t="shared" si="82"/>
        <v>38</v>
      </c>
      <c r="N117" s="138">
        <f t="shared" si="83"/>
        <v>0</v>
      </c>
      <c r="O117" s="138">
        <f>C117+E117+G117+I117+K117+M117</f>
        <v>340</v>
      </c>
      <c r="P117" s="154" t="s">
        <v>269</v>
      </c>
      <c r="Q117" s="141"/>
      <c r="R117" s="137">
        <f t="shared" ref="R117" si="86">O117*Q117</f>
        <v>0</v>
      </c>
      <c r="T117" s="142">
        <v>5</v>
      </c>
      <c r="U117" s="142">
        <v>4</v>
      </c>
    </row>
    <row r="118" spans="1:21" x14ac:dyDescent="0.2">
      <c r="A118" s="139"/>
      <c r="B118" s="136"/>
      <c r="C118" s="138">
        <f t="shared" si="72"/>
        <v>0</v>
      </c>
      <c r="D118" s="138">
        <f t="shared" si="73"/>
        <v>0</v>
      </c>
      <c r="E118" s="138">
        <f t="shared" si="74"/>
        <v>0</v>
      </c>
      <c r="F118" s="138">
        <f t="shared" si="75"/>
        <v>0</v>
      </c>
      <c r="G118" s="138">
        <f t="shared" si="76"/>
        <v>0</v>
      </c>
      <c r="H118" s="138">
        <f t="shared" si="77"/>
        <v>0</v>
      </c>
      <c r="I118" s="138">
        <f t="shared" si="78"/>
        <v>0</v>
      </c>
      <c r="J118" s="138">
        <f t="shared" si="79"/>
        <v>0</v>
      </c>
      <c r="K118" s="138">
        <f t="shared" si="80"/>
        <v>0</v>
      </c>
      <c r="L118" s="138">
        <f t="shared" si="81"/>
        <v>0</v>
      </c>
      <c r="M118" s="138">
        <f t="shared" si="82"/>
        <v>0</v>
      </c>
      <c r="N118" s="138">
        <f t="shared" si="83"/>
        <v>0</v>
      </c>
      <c r="O118" s="138">
        <f t="shared" si="84"/>
        <v>0</v>
      </c>
      <c r="P118" s="154"/>
      <c r="Q118" s="141"/>
      <c r="R118" s="137"/>
      <c r="T118" s="142"/>
      <c r="U118" s="142"/>
    </row>
    <row r="119" spans="1:21" ht="28.5" x14ac:dyDescent="0.2">
      <c r="A119" s="139" t="s">
        <v>68</v>
      </c>
      <c r="B119" s="136" t="s">
        <v>347</v>
      </c>
      <c r="C119" s="138">
        <f t="shared" si="72"/>
        <v>20</v>
      </c>
      <c r="D119" s="138">
        <f t="shared" si="73"/>
        <v>0</v>
      </c>
      <c r="E119" s="138">
        <f t="shared" si="74"/>
        <v>25</v>
      </c>
      <c r="F119" s="138">
        <f t="shared" si="75"/>
        <v>0</v>
      </c>
      <c r="G119" s="138">
        <f t="shared" si="76"/>
        <v>150</v>
      </c>
      <c r="H119" s="138">
        <f t="shared" si="77"/>
        <v>0</v>
      </c>
      <c r="I119" s="138">
        <f t="shared" si="78"/>
        <v>35</v>
      </c>
      <c r="J119" s="138">
        <f t="shared" si="79"/>
        <v>0</v>
      </c>
      <c r="K119" s="138">
        <f t="shared" si="80"/>
        <v>120</v>
      </c>
      <c r="L119" s="138">
        <f t="shared" si="81"/>
        <v>0</v>
      </c>
      <c r="M119" s="138">
        <f t="shared" si="82"/>
        <v>45</v>
      </c>
      <c r="N119" s="138">
        <f t="shared" si="83"/>
        <v>0</v>
      </c>
      <c r="O119" s="138">
        <f>C119+E119+G119+I119+K119+M119</f>
        <v>395</v>
      </c>
      <c r="P119" s="154" t="s">
        <v>269</v>
      </c>
      <c r="Q119" s="141"/>
      <c r="R119" s="137">
        <f>O119*Q119</f>
        <v>0</v>
      </c>
      <c r="T119" s="142">
        <v>5</v>
      </c>
      <c r="U119" s="142">
        <v>5</v>
      </c>
    </row>
    <row r="120" spans="1:21" x14ac:dyDescent="0.2">
      <c r="A120" s="139"/>
      <c r="B120" s="136"/>
      <c r="C120" s="138">
        <f t="shared" si="72"/>
        <v>0</v>
      </c>
      <c r="D120" s="138">
        <f t="shared" si="73"/>
        <v>0</v>
      </c>
      <c r="E120" s="138">
        <f t="shared" si="74"/>
        <v>0</v>
      </c>
      <c r="F120" s="138">
        <f t="shared" si="75"/>
        <v>0</v>
      </c>
      <c r="G120" s="138">
        <f t="shared" si="76"/>
        <v>0</v>
      </c>
      <c r="H120" s="138">
        <f t="shared" si="77"/>
        <v>0</v>
      </c>
      <c r="I120" s="138">
        <f t="shared" si="78"/>
        <v>0</v>
      </c>
      <c r="J120" s="138">
        <f t="shared" si="79"/>
        <v>0</v>
      </c>
      <c r="K120" s="138">
        <f t="shared" si="80"/>
        <v>0</v>
      </c>
      <c r="L120" s="138">
        <f t="shared" si="81"/>
        <v>0</v>
      </c>
      <c r="M120" s="138">
        <f t="shared" si="82"/>
        <v>0</v>
      </c>
      <c r="N120" s="138">
        <f t="shared" si="83"/>
        <v>0</v>
      </c>
      <c r="O120" s="138">
        <f t="shared" si="84"/>
        <v>0</v>
      </c>
      <c r="P120" s="154"/>
      <c r="Q120" s="141"/>
      <c r="R120" s="137"/>
      <c r="T120" s="142"/>
      <c r="U120" s="142"/>
    </row>
    <row r="121" spans="1:21" x14ac:dyDescent="0.2">
      <c r="A121" s="139" t="s">
        <v>69</v>
      </c>
      <c r="B121" s="136" t="s">
        <v>348</v>
      </c>
      <c r="C121" s="138">
        <f t="shared" si="72"/>
        <v>4</v>
      </c>
      <c r="D121" s="138">
        <f t="shared" si="73"/>
        <v>0</v>
      </c>
      <c r="E121" s="138">
        <f t="shared" si="74"/>
        <v>5</v>
      </c>
      <c r="F121" s="138">
        <f t="shared" si="75"/>
        <v>0</v>
      </c>
      <c r="G121" s="138">
        <f t="shared" si="76"/>
        <v>30</v>
      </c>
      <c r="H121" s="138">
        <f t="shared" si="77"/>
        <v>0</v>
      </c>
      <c r="I121" s="138">
        <f t="shared" si="78"/>
        <v>7</v>
      </c>
      <c r="J121" s="138">
        <f t="shared" si="79"/>
        <v>0</v>
      </c>
      <c r="K121" s="138">
        <f t="shared" si="80"/>
        <v>24</v>
      </c>
      <c r="L121" s="138">
        <f t="shared" si="81"/>
        <v>0</v>
      </c>
      <c r="M121" s="138">
        <f t="shared" si="82"/>
        <v>9</v>
      </c>
      <c r="N121" s="138">
        <f t="shared" si="83"/>
        <v>0</v>
      </c>
      <c r="O121" s="138">
        <f>C121+E121+G121+I121+K121+M121</f>
        <v>79</v>
      </c>
      <c r="P121" s="154" t="s">
        <v>269</v>
      </c>
      <c r="Q121" s="141"/>
      <c r="R121" s="137">
        <f>O121*Q121</f>
        <v>0</v>
      </c>
      <c r="T121" s="142">
        <v>1</v>
      </c>
      <c r="U121" s="142">
        <v>1</v>
      </c>
    </row>
    <row r="122" spans="1:21" x14ac:dyDescent="0.2">
      <c r="A122" s="139"/>
      <c r="B122" s="136"/>
      <c r="C122" s="138">
        <f t="shared" si="72"/>
        <v>0</v>
      </c>
      <c r="D122" s="138">
        <f t="shared" si="73"/>
        <v>0</v>
      </c>
      <c r="E122" s="138">
        <f t="shared" si="74"/>
        <v>0</v>
      </c>
      <c r="F122" s="138">
        <f t="shared" si="75"/>
        <v>0</v>
      </c>
      <c r="G122" s="138">
        <f t="shared" si="76"/>
        <v>0</v>
      </c>
      <c r="H122" s="138">
        <f t="shared" si="77"/>
        <v>0</v>
      </c>
      <c r="I122" s="138">
        <f t="shared" si="78"/>
        <v>0</v>
      </c>
      <c r="J122" s="138">
        <f t="shared" si="79"/>
        <v>0</v>
      </c>
      <c r="K122" s="138">
        <f t="shared" si="80"/>
        <v>0</v>
      </c>
      <c r="L122" s="138">
        <f t="shared" si="81"/>
        <v>0</v>
      </c>
      <c r="M122" s="138">
        <f t="shared" si="82"/>
        <v>0</v>
      </c>
      <c r="N122" s="138">
        <f t="shared" si="83"/>
        <v>0</v>
      </c>
      <c r="O122" s="138">
        <f t="shared" si="84"/>
        <v>0</v>
      </c>
      <c r="P122" s="154"/>
      <c r="Q122" s="141"/>
      <c r="R122" s="137"/>
      <c r="T122" s="142"/>
      <c r="U122" s="142"/>
    </row>
    <row r="123" spans="1:21" x14ac:dyDescent="0.2">
      <c r="A123" s="139" t="s">
        <v>70</v>
      </c>
      <c r="B123" s="136" t="s">
        <v>349</v>
      </c>
      <c r="C123" s="138">
        <f t="shared" si="72"/>
        <v>4</v>
      </c>
      <c r="D123" s="138">
        <f t="shared" si="73"/>
        <v>0</v>
      </c>
      <c r="E123" s="138">
        <f t="shared" si="74"/>
        <v>5</v>
      </c>
      <c r="F123" s="138">
        <f t="shared" si="75"/>
        <v>0</v>
      </c>
      <c r="G123" s="138">
        <f t="shared" si="76"/>
        <v>30</v>
      </c>
      <c r="H123" s="138">
        <f t="shared" si="77"/>
        <v>0</v>
      </c>
      <c r="I123" s="138">
        <f t="shared" si="78"/>
        <v>7</v>
      </c>
      <c r="J123" s="138">
        <f t="shared" si="79"/>
        <v>0</v>
      </c>
      <c r="K123" s="138">
        <f t="shared" si="80"/>
        <v>24</v>
      </c>
      <c r="L123" s="138">
        <f t="shared" si="81"/>
        <v>0</v>
      </c>
      <c r="M123" s="138">
        <f t="shared" si="82"/>
        <v>9</v>
      </c>
      <c r="N123" s="138">
        <f t="shared" si="83"/>
        <v>0</v>
      </c>
      <c r="O123" s="138">
        <f>C123+E123+G123+I123+K123+M123</f>
        <v>79</v>
      </c>
      <c r="P123" s="154" t="s">
        <v>269</v>
      </c>
      <c r="Q123" s="141"/>
      <c r="R123" s="137">
        <f>O123*Q123</f>
        <v>0</v>
      </c>
      <c r="T123" s="142">
        <v>1</v>
      </c>
      <c r="U123" s="142">
        <v>1</v>
      </c>
    </row>
    <row r="124" spans="1:21" x14ac:dyDescent="0.2">
      <c r="A124" s="139"/>
      <c r="B124" s="136"/>
      <c r="C124" s="138">
        <f t="shared" si="72"/>
        <v>0</v>
      </c>
      <c r="D124" s="138">
        <f t="shared" si="73"/>
        <v>0</v>
      </c>
      <c r="E124" s="138">
        <f t="shared" si="74"/>
        <v>0</v>
      </c>
      <c r="F124" s="138">
        <f t="shared" si="75"/>
        <v>0</v>
      </c>
      <c r="G124" s="138">
        <f t="shared" si="76"/>
        <v>0</v>
      </c>
      <c r="H124" s="138">
        <f t="shared" si="77"/>
        <v>0</v>
      </c>
      <c r="I124" s="138">
        <f t="shared" si="78"/>
        <v>0</v>
      </c>
      <c r="J124" s="138">
        <f t="shared" si="79"/>
        <v>0</v>
      </c>
      <c r="K124" s="138">
        <f t="shared" si="80"/>
        <v>0</v>
      </c>
      <c r="L124" s="138">
        <f t="shared" si="81"/>
        <v>0</v>
      </c>
      <c r="M124" s="138">
        <f t="shared" si="82"/>
        <v>0</v>
      </c>
      <c r="N124" s="138">
        <f t="shared" si="83"/>
        <v>0</v>
      </c>
      <c r="O124" s="138">
        <f t="shared" si="84"/>
        <v>0</v>
      </c>
      <c r="P124" s="154"/>
      <c r="Q124" s="141"/>
      <c r="R124" s="137"/>
      <c r="T124" s="142"/>
      <c r="U124" s="142"/>
    </row>
    <row r="125" spans="1:21" x14ac:dyDescent="0.2">
      <c r="A125" s="139" t="s">
        <v>71</v>
      </c>
      <c r="B125" s="136" t="s">
        <v>350</v>
      </c>
      <c r="C125" s="138">
        <f t="shared" si="72"/>
        <v>0</v>
      </c>
      <c r="D125" s="138">
        <f t="shared" si="73"/>
        <v>0</v>
      </c>
      <c r="E125" s="138">
        <f t="shared" si="74"/>
        <v>0</v>
      </c>
      <c r="F125" s="138">
        <f t="shared" si="75"/>
        <v>0</v>
      </c>
      <c r="G125" s="138">
        <f t="shared" si="76"/>
        <v>0</v>
      </c>
      <c r="H125" s="138">
        <f t="shared" si="77"/>
        <v>0</v>
      </c>
      <c r="I125" s="138">
        <f t="shared" si="78"/>
        <v>0</v>
      </c>
      <c r="J125" s="138">
        <f t="shared" si="79"/>
        <v>0</v>
      </c>
      <c r="K125" s="138">
        <f t="shared" si="80"/>
        <v>0</v>
      </c>
      <c r="L125" s="138">
        <f t="shared" si="81"/>
        <v>0</v>
      </c>
      <c r="M125" s="138">
        <f t="shared" si="82"/>
        <v>0</v>
      </c>
      <c r="N125" s="138">
        <f t="shared" si="83"/>
        <v>0</v>
      </c>
      <c r="O125" s="138">
        <f t="shared" si="84"/>
        <v>0</v>
      </c>
      <c r="P125" s="154" t="s">
        <v>269</v>
      </c>
      <c r="Q125" s="141"/>
      <c r="R125" s="128" t="s">
        <v>246</v>
      </c>
      <c r="T125" s="142"/>
      <c r="U125" s="142"/>
    </row>
    <row r="126" spans="1:21" x14ac:dyDescent="0.2">
      <c r="A126" s="139"/>
      <c r="B126" s="136"/>
      <c r="C126" s="138">
        <f t="shared" si="72"/>
        <v>0</v>
      </c>
      <c r="D126" s="138">
        <f t="shared" si="73"/>
        <v>0</v>
      </c>
      <c r="E126" s="138">
        <f t="shared" si="74"/>
        <v>0</v>
      </c>
      <c r="F126" s="138">
        <f t="shared" si="75"/>
        <v>0</v>
      </c>
      <c r="G126" s="138">
        <f t="shared" si="76"/>
        <v>0</v>
      </c>
      <c r="H126" s="138">
        <f t="shared" si="77"/>
        <v>0</v>
      </c>
      <c r="I126" s="138">
        <f t="shared" si="78"/>
        <v>0</v>
      </c>
      <c r="J126" s="138">
        <f t="shared" si="79"/>
        <v>0</v>
      </c>
      <c r="K126" s="138">
        <f t="shared" si="80"/>
        <v>0</v>
      </c>
      <c r="L126" s="138">
        <f t="shared" si="81"/>
        <v>0</v>
      </c>
      <c r="M126" s="138">
        <f t="shared" si="82"/>
        <v>0</v>
      </c>
      <c r="N126" s="138">
        <f t="shared" si="83"/>
        <v>0</v>
      </c>
      <c r="O126" s="138">
        <f t="shared" si="84"/>
        <v>0</v>
      </c>
      <c r="P126" s="154"/>
      <c r="Q126" s="141"/>
      <c r="R126" s="137"/>
      <c r="T126" s="142"/>
      <c r="U126" s="142"/>
    </row>
    <row r="127" spans="1:21" x14ac:dyDescent="0.2">
      <c r="A127" s="139" t="s">
        <v>72</v>
      </c>
      <c r="B127" s="136" t="s">
        <v>351</v>
      </c>
      <c r="C127" s="138">
        <f t="shared" si="72"/>
        <v>0</v>
      </c>
      <c r="D127" s="138">
        <f t="shared" si="73"/>
        <v>0</v>
      </c>
      <c r="E127" s="138">
        <f t="shared" si="74"/>
        <v>0</v>
      </c>
      <c r="F127" s="138">
        <f t="shared" si="75"/>
        <v>0</v>
      </c>
      <c r="G127" s="138">
        <f t="shared" si="76"/>
        <v>0</v>
      </c>
      <c r="H127" s="138">
        <f t="shared" si="77"/>
        <v>0</v>
      </c>
      <c r="I127" s="138">
        <f t="shared" si="78"/>
        <v>0</v>
      </c>
      <c r="J127" s="138">
        <f t="shared" si="79"/>
        <v>0</v>
      </c>
      <c r="K127" s="138">
        <f t="shared" si="80"/>
        <v>0</v>
      </c>
      <c r="L127" s="138">
        <f t="shared" si="81"/>
        <v>0</v>
      </c>
      <c r="M127" s="138">
        <f t="shared" si="82"/>
        <v>0</v>
      </c>
      <c r="N127" s="138">
        <f t="shared" si="83"/>
        <v>0</v>
      </c>
      <c r="O127" s="138">
        <f t="shared" si="84"/>
        <v>0</v>
      </c>
      <c r="P127" s="154" t="s">
        <v>269</v>
      </c>
      <c r="Q127" s="141"/>
      <c r="R127" s="128" t="s">
        <v>246</v>
      </c>
      <c r="T127" s="142"/>
      <c r="U127" s="142"/>
    </row>
    <row r="128" spans="1:21" x14ac:dyDescent="0.2">
      <c r="A128" s="139"/>
      <c r="B128" s="136"/>
      <c r="C128" s="138">
        <f t="shared" si="72"/>
        <v>0</v>
      </c>
      <c r="D128" s="138">
        <f t="shared" si="73"/>
        <v>0</v>
      </c>
      <c r="E128" s="138">
        <f t="shared" si="74"/>
        <v>0</v>
      </c>
      <c r="F128" s="138">
        <f t="shared" si="75"/>
        <v>0</v>
      </c>
      <c r="G128" s="138">
        <f t="shared" si="76"/>
        <v>0</v>
      </c>
      <c r="H128" s="138">
        <f t="shared" si="77"/>
        <v>0</v>
      </c>
      <c r="I128" s="138">
        <f t="shared" si="78"/>
        <v>0</v>
      </c>
      <c r="J128" s="138">
        <f t="shared" si="79"/>
        <v>0</v>
      </c>
      <c r="K128" s="138">
        <f t="shared" si="80"/>
        <v>0</v>
      </c>
      <c r="L128" s="138">
        <f t="shared" si="81"/>
        <v>0</v>
      </c>
      <c r="M128" s="138">
        <f t="shared" si="82"/>
        <v>0</v>
      </c>
      <c r="N128" s="138">
        <f t="shared" si="83"/>
        <v>0</v>
      </c>
      <c r="O128" s="138">
        <f t="shared" si="84"/>
        <v>0</v>
      </c>
      <c r="P128" s="154"/>
      <c r="Q128" s="141"/>
      <c r="R128" s="137"/>
      <c r="T128" s="142"/>
      <c r="U128" s="142"/>
    </row>
    <row r="129" spans="1:21" x14ac:dyDescent="0.2">
      <c r="A129" s="139" t="s">
        <v>73</v>
      </c>
      <c r="B129" s="136" t="s">
        <v>352</v>
      </c>
      <c r="C129" s="138">
        <f t="shared" si="72"/>
        <v>0</v>
      </c>
      <c r="D129" s="138">
        <f t="shared" si="73"/>
        <v>0</v>
      </c>
      <c r="E129" s="138">
        <f t="shared" si="74"/>
        <v>0</v>
      </c>
      <c r="F129" s="138">
        <f t="shared" si="75"/>
        <v>0</v>
      </c>
      <c r="G129" s="138">
        <f t="shared" si="76"/>
        <v>0</v>
      </c>
      <c r="H129" s="138">
        <f t="shared" si="77"/>
        <v>0</v>
      </c>
      <c r="I129" s="138">
        <f t="shared" si="78"/>
        <v>0</v>
      </c>
      <c r="J129" s="138">
        <f t="shared" si="79"/>
        <v>0</v>
      </c>
      <c r="K129" s="138">
        <f t="shared" si="80"/>
        <v>0</v>
      </c>
      <c r="L129" s="138">
        <f t="shared" si="81"/>
        <v>0</v>
      </c>
      <c r="M129" s="138">
        <f t="shared" si="82"/>
        <v>0</v>
      </c>
      <c r="N129" s="138">
        <f t="shared" si="83"/>
        <v>0</v>
      </c>
      <c r="O129" s="138">
        <f t="shared" si="84"/>
        <v>0</v>
      </c>
      <c r="P129" s="154" t="s">
        <v>269</v>
      </c>
      <c r="Q129" s="141"/>
      <c r="R129" s="128" t="s">
        <v>246</v>
      </c>
      <c r="T129" s="142"/>
      <c r="U129" s="142"/>
    </row>
    <row r="130" spans="1:21" x14ac:dyDescent="0.2">
      <c r="A130" s="139"/>
      <c r="B130" s="136"/>
      <c r="C130" s="138">
        <f t="shared" si="72"/>
        <v>0</v>
      </c>
      <c r="D130" s="138">
        <f t="shared" si="73"/>
        <v>0</v>
      </c>
      <c r="E130" s="138">
        <f t="shared" si="74"/>
        <v>0</v>
      </c>
      <c r="F130" s="138">
        <f t="shared" si="75"/>
        <v>0</v>
      </c>
      <c r="G130" s="138">
        <f t="shared" si="76"/>
        <v>0</v>
      </c>
      <c r="H130" s="138">
        <f t="shared" si="77"/>
        <v>0</v>
      </c>
      <c r="I130" s="138">
        <f t="shared" si="78"/>
        <v>0</v>
      </c>
      <c r="J130" s="138">
        <f t="shared" si="79"/>
        <v>0</v>
      </c>
      <c r="K130" s="138">
        <f t="shared" si="80"/>
        <v>0</v>
      </c>
      <c r="L130" s="138">
        <f t="shared" si="81"/>
        <v>0</v>
      </c>
      <c r="M130" s="138">
        <f t="shared" si="82"/>
        <v>0</v>
      </c>
      <c r="N130" s="138">
        <f t="shared" si="83"/>
        <v>0</v>
      </c>
      <c r="O130" s="138">
        <f t="shared" si="84"/>
        <v>0</v>
      </c>
      <c r="P130" s="154"/>
      <c r="Q130" s="141"/>
      <c r="R130" s="137"/>
      <c r="T130" s="142"/>
      <c r="U130" s="142"/>
    </row>
    <row r="131" spans="1:21" x14ac:dyDescent="0.2">
      <c r="A131" s="139" t="s">
        <v>74</v>
      </c>
      <c r="B131" s="136" t="s">
        <v>353</v>
      </c>
      <c r="C131" s="138">
        <f t="shared" si="72"/>
        <v>0</v>
      </c>
      <c r="D131" s="138">
        <f t="shared" si="73"/>
        <v>0</v>
      </c>
      <c r="E131" s="138">
        <f t="shared" si="74"/>
        <v>0</v>
      </c>
      <c r="F131" s="138">
        <f t="shared" si="75"/>
        <v>0</v>
      </c>
      <c r="G131" s="138">
        <f t="shared" si="76"/>
        <v>0</v>
      </c>
      <c r="H131" s="138">
        <f t="shared" si="77"/>
        <v>0</v>
      </c>
      <c r="I131" s="138">
        <f t="shared" si="78"/>
        <v>0</v>
      </c>
      <c r="J131" s="138">
        <f t="shared" si="79"/>
        <v>0</v>
      </c>
      <c r="K131" s="138">
        <f t="shared" si="80"/>
        <v>0</v>
      </c>
      <c r="L131" s="138">
        <f t="shared" si="81"/>
        <v>0</v>
      </c>
      <c r="M131" s="138">
        <f t="shared" si="82"/>
        <v>0</v>
      </c>
      <c r="N131" s="138">
        <f t="shared" si="83"/>
        <v>0</v>
      </c>
      <c r="O131" s="138">
        <f t="shared" si="84"/>
        <v>0</v>
      </c>
      <c r="P131" s="154" t="s">
        <v>269</v>
      </c>
      <c r="Q131" s="141"/>
      <c r="R131" s="128" t="s">
        <v>246</v>
      </c>
      <c r="T131" s="142"/>
      <c r="U131" s="142"/>
    </row>
    <row r="132" spans="1:21" x14ac:dyDescent="0.2">
      <c r="A132" s="139"/>
      <c r="B132" s="136"/>
      <c r="C132" s="138">
        <f t="shared" si="72"/>
        <v>0</v>
      </c>
      <c r="D132" s="138">
        <f t="shared" si="73"/>
        <v>0</v>
      </c>
      <c r="E132" s="138">
        <f t="shared" si="74"/>
        <v>0</v>
      </c>
      <c r="F132" s="138">
        <f t="shared" si="75"/>
        <v>0</v>
      </c>
      <c r="G132" s="138">
        <f t="shared" si="76"/>
        <v>0</v>
      </c>
      <c r="H132" s="138">
        <f t="shared" si="77"/>
        <v>0</v>
      </c>
      <c r="I132" s="138">
        <f t="shared" si="78"/>
        <v>0</v>
      </c>
      <c r="J132" s="138">
        <f t="shared" si="79"/>
        <v>0</v>
      </c>
      <c r="K132" s="138">
        <f t="shared" si="80"/>
        <v>0</v>
      </c>
      <c r="L132" s="138">
        <f t="shared" si="81"/>
        <v>0</v>
      </c>
      <c r="M132" s="138">
        <f t="shared" si="82"/>
        <v>0</v>
      </c>
      <c r="N132" s="138">
        <f t="shared" si="83"/>
        <v>0</v>
      </c>
      <c r="O132" s="138">
        <f t="shared" si="84"/>
        <v>0</v>
      </c>
      <c r="P132" s="154"/>
      <c r="Q132" s="141"/>
      <c r="R132" s="137"/>
      <c r="T132" s="142"/>
      <c r="U132" s="142"/>
    </row>
    <row r="133" spans="1:21" x14ac:dyDescent="0.2">
      <c r="A133" s="139" t="s">
        <v>75</v>
      </c>
      <c r="B133" s="136" t="s">
        <v>354</v>
      </c>
      <c r="C133" s="138">
        <f t="shared" si="72"/>
        <v>0</v>
      </c>
      <c r="D133" s="138">
        <f t="shared" si="73"/>
        <v>0</v>
      </c>
      <c r="E133" s="138">
        <f t="shared" si="74"/>
        <v>0</v>
      </c>
      <c r="F133" s="138">
        <f t="shared" si="75"/>
        <v>0</v>
      </c>
      <c r="G133" s="138">
        <f t="shared" si="76"/>
        <v>0</v>
      </c>
      <c r="H133" s="138">
        <f t="shared" si="77"/>
        <v>0</v>
      </c>
      <c r="I133" s="138">
        <f t="shared" si="78"/>
        <v>0</v>
      </c>
      <c r="J133" s="138">
        <f t="shared" si="79"/>
        <v>0</v>
      </c>
      <c r="K133" s="138">
        <f t="shared" si="80"/>
        <v>0</v>
      </c>
      <c r="L133" s="138">
        <f t="shared" si="81"/>
        <v>0</v>
      </c>
      <c r="M133" s="138">
        <f t="shared" si="82"/>
        <v>0</v>
      </c>
      <c r="N133" s="138">
        <f t="shared" si="83"/>
        <v>0</v>
      </c>
      <c r="O133" s="138">
        <f t="shared" si="84"/>
        <v>0</v>
      </c>
      <c r="P133" s="154" t="s">
        <v>269</v>
      </c>
      <c r="Q133" s="141"/>
      <c r="R133" s="128" t="s">
        <v>246</v>
      </c>
      <c r="T133" s="142"/>
      <c r="U133" s="142"/>
    </row>
    <row r="134" spans="1:21" x14ac:dyDescent="0.2">
      <c r="A134" s="139"/>
      <c r="B134" s="136"/>
      <c r="C134" s="138">
        <f t="shared" si="72"/>
        <v>0</v>
      </c>
      <c r="D134" s="138">
        <f t="shared" si="73"/>
        <v>0</v>
      </c>
      <c r="E134" s="138">
        <f t="shared" si="74"/>
        <v>0</v>
      </c>
      <c r="F134" s="138">
        <f t="shared" si="75"/>
        <v>0</v>
      </c>
      <c r="G134" s="138">
        <f t="shared" si="76"/>
        <v>0</v>
      </c>
      <c r="H134" s="138">
        <f t="shared" si="77"/>
        <v>0</v>
      </c>
      <c r="I134" s="138">
        <f t="shared" si="78"/>
        <v>0</v>
      </c>
      <c r="J134" s="138">
        <f t="shared" si="79"/>
        <v>0</v>
      </c>
      <c r="K134" s="138">
        <f t="shared" si="80"/>
        <v>0</v>
      </c>
      <c r="L134" s="138">
        <f t="shared" si="81"/>
        <v>0</v>
      </c>
      <c r="M134" s="138">
        <f t="shared" si="82"/>
        <v>0</v>
      </c>
      <c r="N134" s="138">
        <f t="shared" si="83"/>
        <v>0</v>
      </c>
      <c r="O134" s="138">
        <f t="shared" si="84"/>
        <v>0</v>
      </c>
      <c r="P134" s="154"/>
      <c r="Q134" s="141"/>
      <c r="R134" s="137"/>
      <c r="T134" s="142"/>
      <c r="U134" s="142"/>
    </row>
    <row r="135" spans="1:21" x14ac:dyDescent="0.2">
      <c r="A135" s="139" t="s">
        <v>76</v>
      </c>
      <c r="B135" s="136" t="s">
        <v>355</v>
      </c>
      <c r="C135" s="138">
        <f t="shared" si="72"/>
        <v>0</v>
      </c>
      <c r="D135" s="138">
        <f t="shared" si="73"/>
        <v>0</v>
      </c>
      <c r="E135" s="138">
        <f t="shared" si="74"/>
        <v>0</v>
      </c>
      <c r="F135" s="138">
        <f t="shared" si="75"/>
        <v>0</v>
      </c>
      <c r="G135" s="138">
        <f t="shared" si="76"/>
        <v>0</v>
      </c>
      <c r="H135" s="138">
        <f t="shared" si="77"/>
        <v>0</v>
      </c>
      <c r="I135" s="138">
        <f t="shared" si="78"/>
        <v>0</v>
      </c>
      <c r="J135" s="138">
        <f t="shared" si="79"/>
        <v>0</v>
      </c>
      <c r="K135" s="138">
        <f t="shared" si="80"/>
        <v>0</v>
      </c>
      <c r="L135" s="138">
        <f t="shared" si="81"/>
        <v>0</v>
      </c>
      <c r="M135" s="138">
        <f t="shared" si="82"/>
        <v>0</v>
      </c>
      <c r="N135" s="138">
        <f t="shared" si="83"/>
        <v>0</v>
      </c>
      <c r="O135" s="138">
        <f t="shared" si="84"/>
        <v>0</v>
      </c>
      <c r="P135" s="154" t="s">
        <v>269</v>
      </c>
      <c r="Q135" s="141"/>
      <c r="R135" s="128" t="s">
        <v>246</v>
      </c>
      <c r="T135" s="142"/>
      <c r="U135" s="142"/>
    </row>
    <row r="136" spans="1:21" x14ac:dyDescent="0.2">
      <c r="A136" s="139"/>
      <c r="B136" s="136"/>
      <c r="C136" s="138">
        <f t="shared" si="72"/>
        <v>0</v>
      </c>
      <c r="D136" s="138">
        <f t="shared" si="73"/>
        <v>0</v>
      </c>
      <c r="E136" s="138">
        <f t="shared" si="74"/>
        <v>0</v>
      </c>
      <c r="F136" s="138">
        <f t="shared" si="75"/>
        <v>0</v>
      </c>
      <c r="G136" s="138">
        <f t="shared" si="76"/>
        <v>0</v>
      </c>
      <c r="H136" s="138">
        <f t="shared" si="77"/>
        <v>0</v>
      </c>
      <c r="I136" s="138">
        <f t="shared" si="78"/>
        <v>0</v>
      </c>
      <c r="J136" s="138">
        <f t="shared" si="79"/>
        <v>0</v>
      </c>
      <c r="K136" s="138">
        <f t="shared" si="80"/>
        <v>0</v>
      </c>
      <c r="L136" s="138">
        <f t="shared" si="81"/>
        <v>0</v>
      </c>
      <c r="M136" s="138">
        <f t="shared" si="82"/>
        <v>0</v>
      </c>
      <c r="N136" s="138">
        <f t="shared" si="83"/>
        <v>0</v>
      </c>
      <c r="O136" s="138">
        <f t="shared" si="84"/>
        <v>0</v>
      </c>
      <c r="P136" s="154"/>
      <c r="Q136" s="141"/>
      <c r="R136" s="137"/>
      <c r="T136" s="142"/>
      <c r="U136" s="142"/>
    </row>
    <row r="137" spans="1:21" x14ac:dyDescent="0.2">
      <c r="A137" s="139" t="s">
        <v>77</v>
      </c>
      <c r="B137" s="136" t="s">
        <v>356</v>
      </c>
      <c r="C137" s="138">
        <f t="shared" si="72"/>
        <v>0</v>
      </c>
      <c r="D137" s="138">
        <f t="shared" si="73"/>
        <v>0</v>
      </c>
      <c r="E137" s="138">
        <f t="shared" si="74"/>
        <v>0</v>
      </c>
      <c r="F137" s="138">
        <f t="shared" si="75"/>
        <v>0</v>
      </c>
      <c r="G137" s="138">
        <f t="shared" si="76"/>
        <v>0</v>
      </c>
      <c r="H137" s="138">
        <f t="shared" si="77"/>
        <v>0</v>
      </c>
      <c r="I137" s="138">
        <f t="shared" si="78"/>
        <v>0</v>
      </c>
      <c r="J137" s="138">
        <f t="shared" si="79"/>
        <v>0</v>
      </c>
      <c r="K137" s="138">
        <f t="shared" si="80"/>
        <v>0</v>
      </c>
      <c r="L137" s="138">
        <f t="shared" si="81"/>
        <v>0</v>
      </c>
      <c r="M137" s="138">
        <f t="shared" si="82"/>
        <v>0</v>
      </c>
      <c r="N137" s="138">
        <f t="shared" si="83"/>
        <v>0</v>
      </c>
      <c r="O137" s="138">
        <f t="shared" si="84"/>
        <v>0</v>
      </c>
      <c r="P137" s="154" t="s">
        <v>269</v>
      </c>
      <c r="Q137" s="141"/>
      <c r="R137" s="128" t="s">
        <v>246</v>
      </c>
      <c r="T137" s="142"/>
      <c r="U137" s="142"/>
    </row>
    <row r="138" spans="1:21" x14ac:dyDescent="0.2">
      <c r="A138" s="139"/>
      <c r="B138" s="136"/>
      <c r="C138" s="138">
        <f t="shared" si="72"/>
        <v>0</v>
      </c>
      <c r="D138" s="138">
        <f t="shared" si="73"/>
        <v>0</v>
      </c>
      <c r="E138" s="138">
        <f t="shared" si="74"/>
        <v>0</v>
      </c>
      <c r="F138" s="138">
        <f t="shared" si="75"/>
        <v>0</v>
      </c>
      <c r="G138" s="138">
        <f t="shared" si="76"/>
        <v>0</v>
      </c>
      <c r="H138" s="138">
        <f t="shared" si="77"/>
        <v>0</v>
      </c>
      <c r="I138" s="138">
        <f t="shared" si="78"/>
        <v>0</v>
      </c>
      <c r="J138" s="138">
        <f t="shared" si="79"/>
        <v>0</v>
      </c>
      <c r="K138" s="138">
        <f t="shared" si="80"/>
        <v>0</v>
      </c>
      <c r="L138" s="138">
        <f t="shared" si="81"/>
        <v>0</v>
      </c>
      <c r="M138" s="138">
        <f t="shared" si="82"/>
        <v>0</v>
      </c>
      <c r="N138" s="138">
        <f t="shared" si="83"/>
        <v>0</v>
      </c>
      <c r="O138" s="138">
        <f t="shared" si="84"/>
        <v>0</v>
      </c>
      <c r="P138" s="154"/>
      <c r="Q138" s="141"/>
      <c r="R138" s="137"/>
      <c r="T138" s="142"/>
      <c r="U138" s="142"/>
    </row>
    <row r="139" spans="1:21" x14ac:dyDescent="0.2">
      <c r="A139" s="139" t="s">
        <v>79</v>
      </c>
      <c r="B139" s="136" t="s">
        <v>357</v>
      </c>
      <c r="C139" s="138">
        <f t="shared" si="72"/>
        <v>0</v>
      </c>
      <c r="D139" s="138">
        <f t="shared" si="73"/>
        <v>0</v>
      </c>
      <c r="E139" s="138">
        <f t="shared" si="74"/>
        <v>0</v>
      </c>
      <c r="F139" s="138">
        <f t="shared" si="75"/>
        <v>0</v>
      </c>
      <c r="G139" s="138">
        <f t="shared" si="76"/>
        <v>0</v>
      </c>
      <c r="H139" s="138">
        <f t="shared" si="77"/>
        <v>0</v>
      </c>
      <c r="I139" s="138">
        <f t="shared" si="78"/>
        <v>0</v>
      </c>
      <c r="J139" s="138">
        <f t="shared" si="79"/>
        <v>0</v>
      </c>
      <c r="K139" s="138">
        <f t="shared" si="80"/>
        <v>0</v>
      </c>
      <c r="L139" s="138">
        <f t="shared" si="81"/>
        <v>0</v>
      </c>
      <c r="M139" s="138">
        <f t="shared" si="82"/>
        <v>0</v>
      </c>
      <c r="N139" s="138">
        <f t="shared" si="83"/>
        <v>0</v>
      </c>
      <c r="O139" s="138">
        <f t="shared" si="84"/>
        <v>0</v>
      </c>
      <c r="P139" s="154" t="s">
        <v>269</v>
      </c>
      <c r="Q139" s="141"/>
      <c r="R139" s="128" t="s">
        <v>246</v>
      </c>
      <c r="T139" s="142"/>
      <c r="U139" s="142"/>
    </row>
    <row r="140" spans="1:21" x14ac:dyDescent="0.2">
      <c r="A140" s="139"/>
      <c r="B140" s="136"/>
      <c r="C140" s="138">
        <f t="shared" si="72"/>
        <v>0</v>
      </c>
      <c r="D140" s="138">
        <f t="shared" si="73"/>
        <v>0</v>
      </c>
      <c r="E140" s="138">
        <f t="shared" si="74"/>
        <v>0</v>
      </c>
      <c r="F140" s="138">
        <f t="shared" si="75"/>
        <v>0</v>
      </c>
      <c r="G140" s="138">
        <f t="shared" si="76"/>
        <v>0</v>
      </c>
      <c r="H140" s="138">
        <f t="shared" si="77"/>
        <v>0</v>
      </c>
      <c r="I140" s="138">
        <f t="shared" si="78"/>
        <v>0</v>
      </c>
      <c r="J140" s="138">
        <f t="shared" si="79"/>
        <v>0</v>
      </c>
      <c r="K140" s="138">
        <f t="shared" si="80"/>
        <v>0</v>
      </c>
      <c r="L140" s="138">
        <f t="shared" si="81"/>
        <v>0</v>
      </c>
      <c r="M140" s="138">
        <f t="shared" si="82"/>
        <v>0</v>
      </c>
      <c r="N140" s="138">
        <f t="shared" si="83"/>
        <v>0</v>
      </c>
      <c r="O140" s="138">
        <f t="shared" si="84"/>
        <v>0</v>
      </c>
      <c r="P140" s="154"/>
      <c r="Q140" s="141"/>
      <c r="R140" s="137"/>
      <c r="T140" s="142"/>
      <c r="U140" s="142"/>
    </row>
    <row r="141" spans="1:21" x14ac:dyDescent="0.2">
      <c r="A141" s="139" t="s">
        <v>80</v>
      </c>
      <c r="B141" s="136" t="s">
        <v>358</v>
      </c>
      <c r="C141" s="138">
        <f t="shared" si="72"/>
        <v>0</v>
      </c>
      <c r="D141" s="138">
        <f t="shared" si="73"/>
        <v>0</v>
      </c>
      <c r="E141" s="138">
        <f t="shared" si="74"/>
        <v>0</v>
      </c>
      <c r="F141" s="138">
        <f t="shared" si="75"/>
        <v>0</v>
      </c>
      <c r="G141" s="138">
        <f t="shared" si="76"/>
        <v>0</v>
      </c>
      <c r="H141" s="138">
        <f t="shared" si="77"/>
        <v>0</v>
      </c>
      <c r="I141" s="138">
        <f t="shared" si="78"/>
        <v>0</v>
      </c>
      <c r="J141" s="138">
        <f t="shared" si="79"/>
        <v>0</v>
      </c>
      <c r="K141" s="138">
        <f t="shared" si="80"/>
        <v>0</v>
      </c>
      <c r="L141" s="138">
        <f t="shared" si="81"/>
        <v>0</v>
      </c>
      <c r="M141" s="138">
        <f t="shared" si="82"/>
        <v>0</v>
      </c>
      <c r="N141" s="138">
        <f t="shared" si="83"/>
        <v>0</v>
      </c>
      <c r="O141" s="138">
        <f t="shared" si="84"/>
        <v>0</v>
      </c>
      <c r="P141" s="154" t="s">
        <v>269</v>
      </c>
      <c r="Q141" s="141"/>
      <c r="R141" s="128" t="s">
        <v>246</v>
      </c>
      <c r="T141" s="142"/>
      <c r="U141" s="142"/>
    </row>
    <row r="142" spans="1:21" x14ac:dyDescent="0.2">
      <c r="A142" s="139"/>
      <c r="B142" s="136"/>
      <c r="C142" s="138">
        <f t="shared" si="72"/>
        <v>0</v>
      </c>
      <c r="D142" s="138">
        <f t="shared" si="73"/>
        <v>0</v>
      </c>
      <c r="E142" s="138">
        <f t="shared" si="74"/>
        <v>0</v>
      </c>
      <c r="F142" s="138">
        <f t="shared" si="75"/>
        <v>0</v>
      </c>
      <c r="G142" s="138">
        <f t="shared" si="76"/>
        <v>0</v>
      </c>
      <c r="H142" s="138">
        <f t="shared" si="77"/>
        <v>0</v>
      </c>
      <c r="I142" s="138">
        <f t="shared" si="78"/>
        <v>0</v>
      </c>
      <c r="J142" s="138">
        <f t="shared" si="79"/>
        <v>0</v>
      </c>
      <c r="K142" s="138">
        <f t="shared" si="80"/>
        <v>0</v>
      </c>
      <c r="L142" s="138">
        <f t="shared" si="81"/>
        <v>0</v>
      </c>
      <c r="M142" s="138">
        <f t="shared" si="82"/>
        <v>0</v>
      </c>
      <c r="N142" s="138">
        <f t="shared" si="83"/>
        <v>0</v>
      </c>
      <c r="O142" s="138">
        <f t="shared" si="84"/>
        <v>0</v>
      </c>
      <c r="P142" s="154"/>
      <c r="Q142" s="141"/>
      <c r="R142" s="137"/>
      <c r="T142" s="142"/>
      <c r="U142" s="142"/>
    </row>
    <row r="143" spans="1:21" x14ac:dyDescent="0.2">
      <c r="A143" s="139" t="s">
        <v>81</v>
      </c>
      <c r="B143" s="136" t="s">
        <v>359</v>
      </c>
      <c r="C143" s="138">
        <f t="shared" si="72"/>
        <v>0</v>
      </c>
      <c r="D143" s="138">
        <f t="shared" si="73"/>
        <v>0</v>
      </c>
      <c r="E143" s="138">
        <f t="shared" si="74"/>
        <v>0</v>
      </c>
      <c r="F143" s="138">
        <f t="shared" si="75"/>
        <v>0</v>
      </c>
      <c r="G143" s="138">
        <f t="shared" si="76"/>
        <v>0</v>
      </c>
      <c r="H143" s="138">
        <f t="shared" si="77"/>
        <v>0</v>
      </c>
      <c r="I143" s="138">
        <f t="shared" si="78"/>
        <v>0</v>
      </c>
      <c r="J143" s="138">
        <f t="shared" si="79"/>
        <v>0</v>
      </c>
      <c r="K143" s="138">
        <f t="shared" si="80"/>
        <v>0</v>
      </c>
      <c r="L143" s="138">
        <f t="shared" si="81"/>
        <v>0</v>
      </c>
      <c r="M143" s="138">
        <f t="shared" si="82"/>
        <v>0</v>
      </c>
      <c r="N143" s="138">
        <f t="shared" si="83"/>
        <v>0</v>
      </c>
      <c r="O143" s="138">
        <f t="shared" si="84"/>
        <v>0</v>
      </c>
      <c r="P143" s="154" t="s">
        <v>269</v>
      </c>
      <c r="Q143" s="141"/>
      <c r="R143" s="128" t="s">
        <v>246</v>
      </c>
      <c r="T143" s="142"/>
      <c r="U143" s="142"/>
    </row>
    <row r="144" spans="1:21" x14ac:dyDescent="0.2">
      <c r="A144" s="139"/>
      <c r="B144" s="136"/>
      <c r="C144" s="138"/>
      <c r="D144" s="138"/>
      <c r="E144" s="138"/>
      <c r="F144" s="138"/>
      <c r="G144" s="138"/>
      <c r="H144" s="138"/>
      <c r="I144" s="138"/>
      <c r="J144" s="138"/>
      <c r="K144" s="138"/>
      <c r="L144" s="138"/>
      <c r="M144" s="138"/>
      <c r="N144" s="138"/>
      <c r="O144" s="138"/>
      <c r="P144" s="154"/>
      <c r="Q144" s="141"/>
      <c r="R144" s="128"/>
      <c r="T144" s="142"/>
      <c r="U144" s="142"/>
    </row>
    <row r="145" spans="1:21" x14ac:dyDescent="0.2">
      <c r="A145" s="139"/>
      <c r="B145" s="136"/>
      <c r="C145" s="138"/>
      <c r="D145" s="138"/>
      <c r="E145" s="138"/>
      <c r="F145" s="138"/>
      <c r="G145" s="138"/>
      <c r="H145" s="138"/>
      <c r="I145" s="138"/>
      <c r="J145" s="138"/>
      <c r="K145" s="138"/>
      <c r="L145" s="138"/>
      <c r="M145" s="138"/>
      <c r="N145" s="138"/>
      <c r="O145" s="138"/>
      <c r="P145" s="154"/>
      <c r="Q145" s="141"/>
      <c r="R145" s="128"/>
      <c r="T145" s="142"/>
      <c r="U145" s="142"/>
    </row>
    <row r="146" spans="1:21" x14ac:dyDescent="0.2">
      <c r="A146" s="139"/>
      <c r="B146" s="136"/>
      <c r="C146" s="138"/>
      <c r="D146" s="138"/>
      <c r="E146" s="138"/>
      <c r="F146" s="138"/>
      <c r="G146" s="138"/>
      <c r="H146" s="138"/>
      <c r="I146" s="138"/>
      <c r="J146" s="138"/>
      <c r="K146" s="138"/>
      <c r="L146" s="138"/>
      <c r="M146" s="138"/>
      <c r="N146" s="138"/>
      <c r="O146" s="138"/>
      <c r="P146" s="154"/>
      <c r="Q146" s="141"/>
      <c r="R146" s="128"/>
      <c r="T146" s="142"/>
      <c r="U146" s="142"/>
    </row>
    <row r="147" spans="1:21" x14ac:dyDescent="0.2">
      <c r="A147" s="139"/>
      <c r="B147" s="136"/>
      <c r="C147" s="138"/>
      <c r="D147" s="138"/>
      <c r="E147" s="138"/>
      <c r="F147" s="138"/>
      <c r="G147" s="138"/>
      <c r="H147" s="138"/>
      <c r="I147" s="138"/>
      <c r="J147" s="138"/>
      <c r="K147" s="138"/>
      <c r="L147" s="138"/>
      <c r="M147" s="138"/>
      <c r="N147" s="138"/>
      <c r="O147" s="138"/>
      <c r="P147" s="154"/>
      <c r="Q147" s="141"/>
      <c r="R147" s="128"/>
      <c r="T147" s="142"/>
      <c r="U147" s="142"/>
    </row>
    <row r="148" spans="1:21" x14ac:dyDescent="0.2">
      <c r="A148" s="139"/>
      <c r="B148" s="136"/>
      <c r="C148" s="138"/>
      <c r="D148" s="138"/>
      <c r="E148" s="138"/>
      <c r="F148" s="138"/>
      <c r="G148" s="138"/>
      <c r="H148" s="138"/>
      <c r="I148" s="138"/>
      <c r="J148" s="138"/>
      <c r="K148" s="138"/>
      <c r="L148" s="138"/>
      <c r="M148" s="138"/>
      <c r="N148" s="138"/>
      <c r="O148" s="138"/>
      <c r="P148" s="154"/>
      <c r="Q148" s="141"/>
      <c r="R148" s="128"/>
      <c r="T148" s="142"/>
      <c r="U148" s="142"/>
    </row>
    <row r="149" spans="1:21" x14ac:dyDescent="0.2">
      <c r="A149" s="139"/>
      <c r="B149" s="136"/>
      <c r="C149" s="138"/>
      <c r="D149" s="138"/>
      <c r="E149" s="138"/>
      <c r="F149" s="138"/>
      <c r="G149" s="138"/>
      <c r="H149" s="138"/>
      <c r="I149" s="138"/>
      <c r="J149" s="138"/>
      <c r="K149" s="138"/>
      <c r="L149" s="138"/>
      <c r="M149" s="138"/>
      <c r="N149" s="138"/>
      <c r="O149" s="138"/>
      <c r="P149" s="154"/>
      <c r="Q149" s="141"/>
      <c r="R149" s="128"/>
      <c r="T149" s="142"/>
      <c r="U149" s="142"/>
    </row>
    <row r="150" spans="1:21" x14ac:dyDescent="0.2">
      <c r="A150" s="139"/>
      <c r="B150" s="136"/>
      <c r="C150" s="138"/>
      <c r="D150" s="138"/>
      <c r="E150" s="138"/>
      <c r="F150" s="138"/>
      <c r="G150" s="138"/>
      <c r="H150" s="138"/>
      <c r="I150" s="138"/>
      <c r="J150" s="138"/>
      <c r="K150" s="138"/>
      <c r="L150" s="138"/>
      <c r="M150" s="138"/>
      <c r="N150" s="138"/>
      <c r="O150" s="138"/>
      <c r="P150" s="154"/>
      <c r="Q150" s="141"/>
      <c r="R150" s="128"/>
      <c r="T150" s="142"/>
      <c r="U150" s="142"/>
    </row>
    <row r="151" spans="1:21" x14ac:dyDescent="0.2">
      <c r="A151" s="139"/>
      <c r="B151" s="136"/>
      <c r="C151" s="138">
        <f t="shared" ref="C151" si="87">ROUND((2*$T151+2*$U151)*C$3,0)</f>
        <v>0</v>
      </c>
      <c r="D151" s="138">
        <f t="shared" ref="D151" si="88">C151*$Q151</f>
        <v>0</v>
      </c>
      <c r="E151" s="138">
        <f t="shared" ref="E151" si="89">ROUND((2*$T151+3*$U151)*E$3,0)</f>
        <v>0</v>
      </c>
      <c r="F151" s="138">
        <f t="shared" ref="F151" si="90">E151*$Q151</f>
        <v>0</v>
      </c>
      <c r="G151" s="138">
        <f t="shared" ref="G151" si="91">ROUND((2*$T151+4*$U151)*G$3,0)</f>
        <v>0</v>
      </c>
      <c r="H151" s="138">
        <f t="shared" ref="H151" si="92">G151*$Q151</f>
        <v>0</v>
      </c>
      <c r="I151" s="138">
        <f t="shared" ref="I151" si="93">ROUND((2*$T151+5*$U151)*I$3,0)</f>
        <v>0</v>
      </c>
      <c r="J151" s="138">
        <f t="shared" ref="J151" si="94">I151*$Q151</f>
        <v>0</v>
      </c>
      <c r="K151" s="138">
        <f t="shared" ref="K151" si="95">ROUND((2*$T151+6*$U151)*K$3,0)</f>
        <v>0</v>
      </c>
      <c r="L151" s="138">
        <f t="shared" ref="L151" si="96">K151*$Q151</f>
        <v>0</v>
      </c>
      <c r="M151" s="138">
        <f t="shared" ref="M151" si="97">ROUND((2*$T151+7*$U151)*M$3,0)</f>
        <v>0</v>
      </c>
      <c r="N151" s="138">
        <f t="shared" ref="N151" si="98">M151*$Q151</f>
        <v>0</v>
      </c>
      <c r="O151" s="138">
        <f t="shared" ref="O151" si="99">C151+E151+G151+I151+K151+M151</f>
        <v>0</v>
      </c>
      <c r="P151" s="154"/>
      <c r="Q151" s="141"/>
      <c r="R151" s="137"/>
      <c r="T151" s="142"/>
      <c r="U151" s="142"/>
    </row>
    <row r="152" spans="1:21" x14ac:dyDescent="0.2">
      <c r="A152" s="127"/>
      <c r="B152" s="136"/>
      <c r="C152" s="128"/>
      <c r="D152" s="120"/>
      <c r="E152" s="120"/>
      <c r="F152" s="120"/>
      <c r="G152" s="120"/>
      <c r="H152" s="120"/>
      <c r="I152" s="120"/>
      <c r="J152" s="120"/>
      <c r="K152" s="120"/>
      <c r="L152" s="120"/>
      <c r="M152" s="120"/>
      <c r="N152" s="120"/>
      <c r="O152" s="120"/>
      <c r="P152" s="154"/>
      <c r="Q152" s="141"/>
      <c r="R152" s="137"/>
      <c r="T152" s="142"/>
      <c r="U152" s="142"/>
    </row>
    <row r="153" spans="1:21" x14ac:dyDescent="0.2">
      <c r="A153" s="129"/>
      <c r="B153" s="130"/>
      <c r="C153" s="131"/>
      <c r="D153" s="131"/>
      <c r="E153" s="131"/>
      <c r="F153" s="131"/>
      <c r="G153" s="131"/>
      <c r="H153" s="131"/>
      <c r="I153" s="131"/>
      <c r="J153" s="131"/>
      <c r="K153" s="131"/>
      <c r="L153" s="131"/>
      <c r="M153" s="131"/>
      <c r="N153" s="131"/>
      <c r="O153" s="131"/>
      <c r="P153" s="131"/>
      <c r="Q153" s="132"/>
      <c r="R153" s="126"/>
      <c r="T153" s="134"/>
      <c r="U153" s="134"/>
    </row>
    <row r="154" spans="1:21" x14ac:dyDescent="0.2">
      <c r="C154" s="122"/>
      <c r="D154" s="122"/>
      <c r="E154" s="122"/>
      <c r="F154" s="122"/>
      <c r="G154" s="122"/>
      <c r="H154" s="122"/>
      <c r="I154" s="122"/>
      <c r="J154" s="122"/>
      <c r="K154" s="122"/>
      <c r="L154" s="122"/>
      <c r="M154" s="122"/>
      <c r="N154" s="122"/>
      <c r="O154" s="122"/>
      <c r="P154" s="171" t="s">
        <v>1</v>
      </c>
      <c r="Q154" s="133" t="s">
        <v>0</v>
      </c>
      <c r="R154" s="137">
        <f>SUM(R110:R153)</f>
        <v>0</v>
      </c>
      <c r="T154" s="135"/>
      <c r="U154" s="135"/>
    </row>
    <row r="155" spans="1:21" x14ac:dyDescent="0.2">
      <c r="P155" s="188"/>
      <c r="Q155" s="124"/>
      <c r="R155" s="125"/>
      <c r="T155" s="142"/>
      <c r="U155" s="142"/>
    </row>
    <row r="156" spans="1:21" x14ac:dyDescent="0.2">
      <c r="A156" s="139"/>
      <c r="B156" s="136"/>
      <c r="C156" s="128"/>
      <c r="D156" s="120"/>
      <c r="E156" s="120"/>
      <c r="F156" s="120"/>
      <c r="G156" s="120"/>
      <c r="H156" s="120"/>
      <c r="I156" s="120"/>
      <c r="J156" s="120"/>
      <c r="K156" s="120"/>
      <c r="L156" s="120"/>
      <c r="M156" s="120"/>
      <c r="N156" s="120"/>
      <c r="O156" s="120"/>
      <c r="P156" s="154"/>
      <c r="Q156" s="141"/>
      <c r="R156" s="137"/>
      <c r="T156" s="142"/>
      <c r="U156" s="142"/>
    </row>
    <row r="157" spans="1:21" x14ac:dyDescent="0.2">
      <c r="A157" s="139"/>
      <c r="B157" s="82" t="s">
        <v>433</v>
      </c>
      <c r="C157" s="117"/>
      <c r="D157" s="117"/>
      <c r="E157" s="117"/>
      <c r="F157" s="117"/>
      <c r="G157" s="117"/>
      <c r="H157" s="117"/>
      <c r="I157" s="117"/>
      <c r="J157" s="117"/>
      <c r="K157" s="117"/>
      <c r="L157" s="117"/>
      <c r="M157" s="117"/>
      <c r="N157" s="117"/>
      <c r="O157" s="117"/>
      <c r="P157" s="108"/>
      <c r="Q157" s="109"/>
      <c r="R157" s="119"/>
      <c r="T157" s="142"/>
      <c r="U157" s="142"/>
    </row>
    <row r="158" spans="1:21" x14ac:dyDescent="0.2">
      <c r="A158" s="139"/>
      <c r="B158" s="82"/>
      <c r="C158" s="117"/>
      <c r="D158" s="117"/>
      <c r="E158" s="117"/>
      <c r="F158" s="117"/>
      <c r="G158" s="117"/>
      <c r="H158" s="117"/>
      <c r="I158" s="117"/>
      <c r="J158" s="117"/>
      <c r="K158" s="117"/>
      <c r="L158" s="117"/>
      <c r="M158" s="117"/>
      <c r="N158" s="117"/>
      <c r="O158" s="117"/>
      <c r="P158" s="108"/>
      <c r="Q158" s="109"/>
      <c r="R158" s="119"/>
      <c r="T158" s="142"/>
      <c r="U158" s="142"/>
    </row>
    <row r="159" spans="1:21" ht="28.5" x14ac:dyDescent="0.2">
      <c r="A159" s="139"/>
      <c r="B159" s="82" t="s">
        <v>434</v>
      </c>
      <c r="C159" s="138">
        <f t="shared" ref="C159:C179" si="100">ROUND((2*$T159+2*$U159)*C$3,0)</f>
        <v>0</v>
      </c>
      <c r="D159" s="138">
        <f t="shared" ref="D159:D179" si="101">C159*$Q159</f>
        <v>0</v>
      </c>
      <c r="E159" s="138">
        <f t="shared" ref="E159:E179" si="102">ROUND((2*$T159+3*$U159)*E$3,0)</f>
        <v>0</v>
      </c>
      <c r="F159" s="138">
        <f t="shared" ref="F159:F179" si="103">E159*$Q159</f>
        <v>0</v>
      </c>
      <c r="G159" s="138">
        <f t="shared" ref="G159:G179" si="104">ROUND((2*$T159+4*$U159)*G$3,0)</f>
        <v>0</v>
      </c>
      <c r="H159" s="138">
        <f t="shared" ref="H159:H179" si="105">G159*$Q159</f>
        <v>0</v>
      </c>
      <c r="I159" s="138">
        <f t="shared" ref="I159:I179" si="106">ROUND((2*$T159+5*$U159)*I$3,0)</f>
        <v>0</v>
      </c>
      <c r="J159" s="138">
        <f t="shared" ref="J159:J179" si="107">I159*$Q159</f>
        <v>0</v>
      </c>
      <c r="K159" s="138">
        <f t="shared" ref="K159:K179" si="108">ROUND((2*$T159+6*$U159)*K$3,0)</f>
        <v>0</v>
      </c>
      <c r="L159" s="138">
        <f t="shared" ref="L159:L179" si="109">K159*$Q159</f>
        <v>0</v>
      </c>
      <c r="M159" s="138">
        <f t="shared" ref="M159:M179" si="110">ROUND((2*$T159+7*$U159)*M$3,0)</f>
        <v>0</v>
      </c>
      <c r="N159" s="138">
        <f t="shared" ref="N159:N179" si="111">M159*$Q159</f>
        <v>0</v>
      </c>
      <c r="O159" s="138">
        <f t="shared" ref="O159:O179" si="112">C159+E159+G159+I159+K159+M159</f>
        <v>0</v>
      </c>
      <c r="P159" s="108"/>
      <c r="Q159" s="109"/>
      <c r="R159" s="119"/>
      <c r="T159" s="142"/>
      <c r="U159" s="142"/>
    </row>
    <row r="160" spans="1:21" x14ac:dyDescent="0.2">
      <c r="A160" s="139"/>
      <c r="B160" s="136"/>
      <c r="C160" s="138">
        <f t="shared" si="100"/>
        <v>0</v>
      </c>
      <c r="D160" s="138">
        <f t="shared" si="101"/>
        <v>0</v>
      </c>
      <c r="E160" s="138">
        <f t="shared" si="102"/>
        <v>0</v>
      </c>
      <c r="F160" s="138">
        <f t="shared" si="103"/>
        <v>0</v>
      </c>
      <c r="G160" s="138">
        <f t="shared" si="104"/>
        <v>0</v>
      </c>
      <c r="H160" s="138">
        <f t="shared" si="105"/>
        <v>0</v>
      </c>
      <c r="I160" s="138">
        <f t="shared" si="106"/>
        <v>0</v>
      </c>
      <c r="J160" s="138">
        <f t="shared" si="107"/>
        <v>0</v>
      </c>
      <c r="K160" s="138">
        <f t="shared" si="108"/>
        <v>0</v>
      </c>
      <c r="L160" s="138">
        <f t="shared" si="109"/>
        <v>0</v>
      </c>
      <c r="M160" s="138">
        <f t="shared" si="110"/>
        <v>0</v>
      </c>
      <c r="N160" s="138">
        <f t="shared" si="111"/>
        <v>0</v>
      </c>
      <c r="O160" s="138">
        <f t="shared" si="112"/>
        <v>0</v>
      </c>
      <c r="P160" s="154"/>
      <c r="Q160" s="141"/>
      <c r="R160" s="137"/>
      <c r="T160" s="142"/>
      <c r="U160" s="142"/>
    </row>
    <row r="161" spans="1:21" x14ac:dyDescent="0.2">
      <c r="A161" s="139" t="s">
        <v>66</v>
      </c>
      <c r="B161" s="136" t="s">
        <v>360</v>
      </c>
      <c r="C161" s="138">
        <f t="shared" si="100"/>
        <v>0</v>
      </c>
      <c r="D161" s="138">
        <f t="shared" si="101"/>
        <v>0</v>
      </c>
      <c r="E161" s="138">
        <f t="shared" si="102"/>
        <v>0</v>
      </c>
      <c r="F161" s="138">
        <f t="shared" si="103"/>
        <v>0</v>
      </c>
      <c r="G161" s="138">
        <f t="shared" si="104"/>
        <v>0</v>
      </c>
      <c r="H161" s="138">
        <f t="shared" si="105"/>
        <v>0</v>
      </c>
      <c r="I161" s="138">
        <f t="shared" si="106"/>
        <v>0</v>
      </c>
      <c r="J161" s="138">
        <f t="shared" si="107"/>
        <v>0</v>
      </c>
      <c r="K161" s="138">
        <f t="shared" si="108"/>
        <v>0</v>
      </c>
      <c r="L161" s="138">
        <f t="shared" si="109"/>
        <v>0</v>
      </c>
      <c r="M161" s="138">
        <f t="shared" si="110"/>
        <v>0</v>
      </c>
      <c r="N161" s="138">
        <f t="shared" si="111"/>
        <v>0</v>
      </c>
      <c r="O161" s="138">
        <f>C161+E161+G161+I161+K161+M161</f>
        <v>0</v>
      </c>
      <c r="P161" s="154" t="s">
        <v>269</v>
      </c>
      <c r="Q161" s="141"/>
      <c r="R161" s="128" t="s">
        <v>246</v>
      </c>
      <c r="T161" s="142"/>
      <c r="U161" s="142"/>
    </row>
    <row r="162" spans="1:21" x14ac:dyDescent="0.2">
      <c r="A162" s="139"/>
      <c r="B162" s="136"/>
      <c r="C162" s="138">
        <f t="shared" si="100"/>
        <v>0</v>
      </c>
      <c r="D162" s="138">
        <f t="shared" si="101"/>
        <v>0</v>
      </c>
      <c r="E162" s="138">
        <f t="shared" si="102"/>
        <v>0</v>
      </c>
      <c r="F162" s="138">
        <f t="shared" si="103"/>
        <v>0</v>
      </c>
      <c r="G162" s="138">
        <f t="shared" si="104"/>
        <v>0</v>
      </c>
      <c r="H162" s="138">
        <f t="shared" si="105"/>
        <v>0</v>
      </c>
      <c r="I162" s="138">
        <f t="shared" si="106"/>
        <v>0</v>
      </c>
      <c r="J162" s="138">
        <f t="shared" si="107"/>
        <v>0</v>
      </c>
      <c r="K162" s="138">
        <f t="shared" si="108"/>
        <v>0</v>
      </c>
      <c r="L162" s="138">
        <f t="shared" si="109"/>
        <v>0</v>
      </c>
      <c r="M162" s="138">
        <f t="shared" si="110"/>
        <v>0</v>
      </c>
      <c r="N162" s="138">
        <f t="shared" si="111"/>
        <v>0</v>
      </c>
      <c r="O162" s="138">
        <f t="shared" si="112"/>
        <v>0</v>
      </c>
      <c r="P162" s="154"/>
      <c r="Q162" s="141"/>
      <c r="R162" s="137"/>
      <c r="T162" s="142"/>
      <c r="U162" s="142"/>
    </row>
    <row r="163" spans="1:21" x14ac:dyDescent="0.2">
      <c r="A163" s="139" t="s">
        <v>67</v>
      </c>
      <c r="B163" s="136" t="s">
        <v>361</v>
      </c>
      <c r="C163" s="138">
        <f t="shared" si="100"/>
        <v>0</v>
      </c>
      <c r="D163" s="138">
        <f t="shared" si="101"/>
        <v>0</v>
      </c>
      <c r="E163" s="138">
        <f t="shared" si="102"/>
        <v>0</v>
      </c>
      <c r="F163" s="138">
        <f t="shared" si="103"/>
        <v>0</v>
      </c>
      <c r="G163" s="138">
        <f t="shared" si="104"/>
        <v>0</v>
      </c>
      <c r="H163" s="138">
        <f t="shared" si="105"/>
        <v>0</v>
      </c>
      <c r="I163" s="138">
        <f t="shared" si="106"/>
        <v>0</v>
      </c>
      <c r="J163" s="138">
        <f t="shared" si="107"/>
        <v>0</v>
      </c>
      <c r="K163" s="138">
        <f t="shared" si="108"/>
        <v>0</v>
      </c>
      <c r="L163" s="138">
        <f t="shared" si="109"/>
        <v>0</v>
      </c>
      <c r="M163" s="138">
        <f t="shared" si="110"/>
        <v>0</v>
      </c>
      <c r="N163" s="138">
        <f t="shared" si="111"/>
        <v>0</v>
      </c>
      <c r="O163" s="138">
        <f>C163+E163+G163+I163+K163+M163</f>
        <v>0</v>
      </c>
      <c r="P163" s="154" t="s">
        <v>269</v>
      </c>
      <c r="Q163" s="141"/>
      <c r="R163" s="128" t="s">
        <v>246</v>
      </c>
      <c r="T163" s="142"/>
      <c r="U163" s="142"/>
    </row>
    <row r="164" spans="1:21" x14ac:dyDescent="0.2">
      <c r="A164" s="139"/>
      <c r="B164" s="136"/>
      <c r="C164" s="138">
        <f t="shared" si="100"/>
        <v>0</v>
      </c>
      <c r="D164" s="138">
        <f t="shared" si="101"/>
        <v>0</v>
      </c>
      <c r="E164" s="138">
        <f t="shared" si="102"/>
        <v>0</v>
      </c>
      <c r="F164" s="138">
        <f t="shared" si="103"/>
        <v>0</v>
      </c>
      <c r="G164" s="138">
        <f t="shared" si="104"/>
        <v>0</v>
      </c>
      <c r="H164" s="138">
        <f t="shared" si="105"/>
        <v>0</v>
      </c>
      <c r="I164" s="138">
        <f t="shared" si="106"/>
        <v>0</v>
      </c>
      <c r="J164" s="138">
        <f t="shared" si="107"/>
        <v>0</v>
      </c>
      <c r="K164" s="138">
        <f t="shared" si="108"/>
        <v>0</v>
      </c>
      <c r="L164" s="138">
        <f t="shared" si="109"/>
        <v>0</v>
      </c>
      <c r="M164" s="138">
        <f t="shared" si="110"/>
        <v>0</v>
      </c>
      <c r="N164" s="138">
        <f t="shared" si="111"/>
        <v>0</v>
      </c>
      <c r="O164" s="138">
        <f t="shared" si="112"/>
        <v>0</v>
      </c>
      <c r="P164" s="154"/>
      <c r="Q164" s="141"/>
      <c r="R164" s="137"/>
      <c r="T164" s="142"/>
      <c r="U164" s="142"/>
    </row>
    <row r="165" spans="1:21" x14ac:dyDescent="0.2">
      <c r="A165" s="139" t="s">
        <v>68</v>
      </c>
      <c r="B165" s="136" t="s">
        <v>362</v>
      </c>
      <c r="C165" s="138">
        <f t="shared" si="100"/>
        <v>0</v>
      </c>
      <c r="D165" s="138">
        <f t="shared" si="101"/>
        <v>0</v>
      </c>
      <c r="E165" s="138">
        <f t="shared" si="102"/>
        <v>0</v>
      </c>
      <c r="F165" s="138">
        <f t="shared" si="103"/>
        <v>0</v>
      </c>
      <c r="G165" s="138">
        <f t="shared" si="104"/>
        <v>0</v>
      </c>
      <c r="H165" s="138">
        <f t="shared" si="105"/>
        <v>0</v>
      </c>
      <c r="I165" s="138">
        <f t="shared" si="106"/>
        <v>0</v>
      </c>
      <c r="J165" s="138">
        <f t="shared" si="107"/>
        <v>0</v>
      </c>
      <c r="K165" s="138">
        <f t="shared" si="108"/>
        <v>0</v>
      </c>
      <c r="L165" s="138">
        <f t="shared" si="109"/>
        <v>0</v>
      </c>
      <c r="M165" s="138">
        <f t="shared" si="110"/>
        <v>0</v>
      </c>
      <c r="N165" s="138">
        <f t="shared" si="111"/>
        <v>0</v>
      </c>
      <c r="O165" s="138">
        <f>C165+E165+G165+I165+K165+M165</f>
        <v>0</v>
      </c>
      <c r="P165" s="154" t="s">
        <v>269</v>
      </c>
      <c r="Q165" s="141"/>
      <c r="R165" s="128" t="s">
        <v>246</v>
      </c>
      <c r="T165" s="142"/>
      <c r="U165" s="142"/>
    </row>
    <row r="166" spans="1:21" x14ac:dyDescent="0.2">
      <c r="A166" s="139"/>
      <c r="B166" s="136"/>
      <c r="C166" s="138">
        <f t="shared" si="100"/>
        <v>0</v>
      </c>
      <c r="D166" s="138">
        <f t="shared" si="101"/>
        <v>0</v>
      </c>
      <c r="E166" s="138">
        <f t="shared" si="102"/>
        <v>0</v>
      </c>
      <c r="F166" s="138">
        <f t="shared" si="103"/>
        <v>0</v>
      </c>
      <c r="G166" s="138">
        <f t="shared" si="104"/>
        <v>0</v>
      </c>
      <c r="H166" s="138">
        <f t="shared" si="105"/>
        <v>0</v>
      </c>
      <c r="I166" s="138">
        <f t="shared" si="106"/>
        <v>0</v>
      </c>
      <c r="J166" s="138">
        <f t="shared" si="107"/>
        <v>0</v>
      </c>
      <c r="K166" s="138">
        <f t="shared" si="108"/>
        <v>0</v>
      </c>
      <c r="L166" s="138">
        <f t="shared" si="109"/>
        <v>0</v>
      </c>
      <c r="M166" s="138">
        <f t="shared" si="110"/>
        <v>0</v>
      </c>
      <c r="N166" s="138">
        <f t="shared" si="111"/>
        <v>0</v>
      </c>
      <c r="O166" s="138">
        <f t="shared" si="112"/>
        <v>0</v>
      </c>
      <c r="P166" s="154"/>
      <c r="Q166" s="141"/>
      <c r="R166" s="137"/>
      <c r="T166" s="142"/>
      <c r="U166" s="142"/>
    </row>
    <row r="167" spans="1:21" x14ac:dyDescent="0.2">
      <c r="A167" s="139" t="s">
        <v>69</v>
      </c>
      <c r="B167" s="136" t="s">
        <v>363</v>
      </c>
      <c r="C167" s="138">
        <f t="shared" si="100"/>
        <v>0</v>
      </c>
      <c r="D167" s="138">
        <f t="shared" si="101"/>
        <v>0</v>
      </c>
      <c r="E167" s="138">
        <f t="shared" si="102"/>
        <v>0</v>
      </c>
      <c r="F167" s="138">
        <f t="shared" si="103"/>
        <v>0</v>
      </c>
      <c r="G167" s="138">
        <f t="shared" si="104"/>
        <v>0</v>
      </c>
      <c r="H167" s="138">
        <f t="shared" si="105"/>
        <v>0</v>
      </c>
      <c r="I167" s="138">
        <f t="shared" si="106"/>
        <v>0</v>
      </c>
      <c r="J167" s="138">
        <f t="shared" si="107"/>
        <v>0</v>
      </c>
      <c r="K167" s="138">
        <f t="shared" si="108"/>
        <v>0</v>
      </c>
      <c r="L167" s="138">
        <f t="shared" si="109"/>
        <v>0</v>
      </c>
      <c r="M167" s="138">
        <f t="shared" si="110"/>
        <v>0</v>
      </c>
      <c r="N167" s="138">
        <f t="shared" si="111"/>
        <v>0</v>
      </c>
      <c r="O167" s="138">
        <f>C167+E167+G167+I167+K167+M167</f>
        <v>0</v>
      </c>
      <c r="P167" s="154" t="s">
        <v>269</v>
      </c>
      <c r="Q167" s="141"/>
      <c r="R167" s="128" t="s">
        <v>246</v>
      </c>
      <c r="T167" s="142"/>
      <c r="U167" s="142"/>
    </row>
    <row r="168" spans="1:21" x14ac:dyDescent="0.2">
      <c r="A168" s="139"/>
      <c r="B168" s="136"/>
      <c r="C168" s="138">
        <f t="shared" si="100"/>
        <v>0</v>
      </c>
      <c r="D168" s="138">
        <f t="shared" si="101"/>
        <v>0</v>
      </c>
      <c r="E168" s="138">
        <f t="shared" si="102"/>
        <v>0</v>
      </c>
      <c r="F168" s="138">
        <f t="shared" si="103"/>
        <v>0</v>
      </c>
      <c r="G168" s="138">
        <f t="shared" si="104"/>
        <v>0</v>
      </c>
      <c r="H168" s="138">
        <f t="shared" si="105"/>
        <v>0</v>
      </c>
      <c r="I168" s="138">
        <f t="shared" si="106"/>
        <v>0</v>
      </c>
      <c r="J168" s="138">
        <f t="shared" si="107"/>
        <v>0</v>
      </c>
      <c r="K168" s="138">
        <f t="shared" si="108"/>
        <v>0</v>
      </c>
      <c r="L168" s="138">
        <f t="shared" si="109"/>
        <v>0</v>
      </c>
      <c r="M168" s="138">
        <f t="shared" si="110"/>
        <v>0</v>
      </c>
      <c r="N168" s="138">
        <f t="shared" si="111"/>
        <v>0</v>
      </c>
      <c r="O168" s="138">
        <f t="shared" si="112"/>
        <v>0</v>
      </c>
      <c r="P168" s="154"/>
      <c r="Q168" s="141"/>
      <c r="R168" s="137"/>
      <c r="T168" s="142"/>
      <c r="U168" s="142"/>
    </row>
    <row r="169" spans="1:21" x14ac:dyDescent="0.2">
      <c r="A169" s="139" t="s">
        <v>70</v>
      </c>
      <c r="B169" s="136" t="s">
        <v>364</v>
      </c>
      <c r="C169" s="138">
        <f t="shared" si="100"/>
        <v>0</v>
      </c>
      <c r="D169" s="138">
        <f t="shared" si="101"/>
        <v>0</v>
      </c>
      <c r="E169" s="138">
        <f t="shared" si="102"/>
        <v>0</v>
      </c>
      <c r="F169" s="138">
        <f t="shared" si="103"/>
        <v>0</v>
      </c>
      <c r="G169" s="138">
        <f t="shared" si="104"/>
        <v>0</v>
      </c>
      <c r="H169" s="138">
        <f t="shared" si="105"/>
        <v>0</v>
      </c>
      <c r="I169" s="138">
        <f t="shared" si="106"/>
        <v>0</v>
      </c>
      <c r="J169" s="138">
        <f t="shared" si="107"/>
        <v>0</v>
      </c>
      <c r="K169" s="138">
        <f t="shared" si="108"/>
        <v>0</v>
      </c>
      <c r="L169" s="138">
        <f t="shared" si="109"/>
        <v>0</v>
      </c>
      <c r="M169" s="138">
        <f t="shared" si="110"/>
        <v>0</v>
      </c>
      <c r="N169" s="138">
        <f t="shared" si="111"/>
        <v>0</v>
      </c>
      <c r="O169" s="138">
        <f>C169+E169+G169+I169+K169+M169</f>
        <v>0</v>
      </c>
      <c r="P169" s="154" t="s">
        <v>269</v>
      </c>
      <c r="Q169" s="141"/>
      <c r="R169" s="128" t="s">
        <v>246</v>
      </c>
      <c r="T169" s="142"/>
      <c r="U169" s="142"/>
    </row>
    <row r="170" spans="1:21" x14ac:dyDescent="0.2">
      <c r="A170" s="139"/>
      <c r="B170" s="136"/>
      <c r="C170" s="138">
        <f t="shared" si="100"/>
        <v>0</v>
      </c>
      <c r="D170" s="138">
        <f t="shared" si="101"/>
        <v>0</v>
      </c>
      <c r="E170" s="138">
        <f t="shared" si="102"/>
        <v>0</v>
      </c>
      <c r="F170" s="138">
        <f t="shared" si="103"/>
        <v>0</v>
      </c>
      <c r="G170" s="138">
        <f t="shared" si="104"/>
        <v>0</v>
      </c>
      <c r="H170" s="138">
        <f t="shared" si="105"/>
        <v>0</v>
      </c>
      <c r="I170" s="138">
        <f t="shared" si="106"/>
        <v>0</v>
      </c>
      <c r="J170" s="138">
        <f t="shared" si="107"/>
        <v>0</v>
      </c>
      <c r="K170" s="138">
        <f t="shared" si="108"/>
        <v>0</v>
      </c>
      <c r="L170" s="138">
        <f t="shared" si="109"/>
        <v>0</v>
      </c>
      <c r="M170" s="138">
        <f t="shared" si="110"/>
        <v>0</v>
      </c>
      <c r="N170" s="138">
        <f t="shared" si="111"/>
        <v>0</v>
      </c>
      <c r="O170" s="138">
        <f t="shared" si="112"/>
        <v>0</v>
      </c>
      <c r="P170" s="154"/>
      <c r="Q170" s="141"/>
      <c r="R170" s="137"/>
      <c r="T170" s="142"/>
      <c r="U170" s="142"/>
    </row>
    <row r="171" spans="1:21" x14ac:dyDescent="0.2">
      <c r="A171" s="139" t="s">
        <v>71</v>
      </c>
      <c r="B171" s="136" t="s">
        <v>365</v>
      </c>
      <c r="C171" s="138">
        <f t="shared" si="100"/>
        <v>0</v>
      </c>
      <c r="D171" s="138">
        <f t="shared" si="101"/>
        <v>0</v>
      </c>
      <c r="E171" s="138">
        <f t="shared" si="102"/>
        <v>0</v>
      </c>
      <c r="F171" s="138">
        <f t="shared" si="103"/>
        <v>0</v>
      </c>
      <c r="G171" s="138">
        <f t="shared" si="104"/>
        <v>0</v>
      </c>
      <c r="H171" s="138">
        <f t="shared" si="105"/>
        <v>0</v>
      </c>
      <c r="I171" s="138">
        <f t="shared" si="106"/>
        <v>0</v>
      </c>
      <c r="J171" s="138">
        <f t="shared" si="107"/>
        <v>0</v>
      </c>
      <c r="K171" s="138">
        <f t="shared" si="108"/>
        <v>0</v>
      </c>
      <c r="L171" s="138">
        <f t="shared" si="109"/>
        <v>0</v>
      </c>
      <c r="M171" s="138">
        <f t="shared" si="110"/>
        <v>0</v>
      </c>
      <c r="N171" s="138">
        <f t="shared" si="111"/>
        <v>0</v>
      </c>
      <c r="O171" s="138">
        <f>C171+E171+G171+I171+K171+M171</f>
        <v>0</v>
      </c>
      <c r="P171" s="154" t="s">
        <v>269</v>
      </c>
      <c r="Q171" s="141"/>
      <c r="R171" s="128" t="s">
        <v>246</v>
      </c>
      <c r="T171" s="142"/>
      <c r="U171" s="142"/>
    </row>
    <row r="172" spans="1:21" x14ac:dyDescent="0.2">
      <c r="A172" s="139"/>
      <c r="B172" s="136"/>
      <c r="C172" s="138">
        <f t="shared" si="100"/>
        <v>0</v>
      </c>
      <c r="D172" s="138">
        <f t="shared" si="101"/>
        <v>0</v>
      </c>
      <c r="E172" s="138">
        <f t="shared" si="102"/>
        <v>0</v>
      </c>
      <c r="F172" s="138">
        <f t="shared" si="103"/>
        <v>0</v>
      </c>
      <c r="G172" s="138">
        <f t="shared" si="104"/>
        <v>0</v>
      </c>
      <c r="H172" s="138">
        <f t="shared" si="105"/>
        <v>0</v>
      </c>
      <c r="I172" s="138">
        <f t="shared" si="106"/>
        <v>0</v>
      </c>
      <c r="J172" s="138">
        <f t="shared" si="107"/>
        <v>0</v>
      </c>
      <c r="K172" s="138">
        <f t="shared" si="108"/>
        <v>0</v>
      </c>
      <c r="L172" s="138">
        <f t="shared" si="109"/>
        <v>0</v>
      </c>
      <c r="M172" s="138">
        <f t="shared" si="110"/>
        <v>0</v>
      </c>
      <c r="N172" s="138">
        <f t="shared" si="111"/>
        <v>0</v>
      </c>
      <c r="O172" s="138">
        <f t="shared" si="112"/>
        <v>0</v>
      </c>
      <c r="P172" s="154"/>
      <c r="Q172" s="141"/>
      <c r="R172" s="137"/>
      <c r="T172" s="142"/>
      <c r="U172" s="142"/>
    </row>
    <row r="173" spans="1:21" x14ac:dyDescent="0.2">
      <c r="A173" s="139" t="s">
        <v>72</v>
      </c>
      <c r="B173" s="136" t="s">
        <v>366</v>
      </c>
      <c r="C173" s="138">
        <f t="shared" si="100"/>
        <v>0</v>
      </c>
      <c r="D173" s="138">
        <f t="shared" si="101"/>
        <v>0</v>
      </c>
      <c r="E173" s="138">
        <f t="shared" si="102"/>
        <v>0</v>
      </c>
      <c r="F173" s="138">
        <f t="shared" si="103"/>
        <v>0</v>
      </c>
      <c r="G173" s="138">
        <f t="shared" si="104"/>
        <v>0</v>
      </c>
      <c r="H173" s="138">
        <f t="shared" si="105"/>
        <v>0</v>
      </c>
      <c r="I173" s="138">
        <f t="shared" si="106"/>
        <v>0</v>
      </c>
      <c r="J173" s="138">
        <f t="shared" si="107"/>
        <v>0</v>
      </c>
      <c r="K173" s="138">
        <f t="shared" si="108"/>
        <v>0</v>
      </c>
      <c r="L173" s="138">
        <f t="shared" si="109"/>
        <v>0</v>
      </c>
      <c r="M173" s="138">
        <f t="shared" si="110"/>
        <v>0</v>
      </c>
      <c r="N173" s="138">
        <f t="shared" si="111"/>
        <v>0</v>
      </c>
      <c r="O173" s="138">
        <f>C173+E173+G173+I173+K173+M173</f>
        <v>0</v>
      </c>
      <c r="P173" s="154" t="s">
        <v>269</v>
      </c>
      <c r="Q173" s="141"/>
      <c r="R173" s="128" t="s">
        <v>246</v>
      </c>
      <c r="T173" s="142"/>
      <c r="U173" s="142"/>
    </row>
    <row r="174" spans="1:21" x14ac:dyDescent="0.2">
      <c r="A174" s="139"/>
      <c r="B174" s="136"/>
      <c r="C174" s="138">
        <f t="shared" si="100"/>
        <v>0</v>
      </c>
      <c r="D174" s="138">
        <f t="shared" si="101"/>
        <v>0</v>
      </c>
      <c r="E174" s="138">
        <f t="shared" si="102"/>
        <v>0</v>
      </c>
      <c r="F174" s="138">
        <f t="shared" si="103"/>
        <v>0</v>
      </c>
      <c r="G174" s="138">
        <f t="shared" si="104"/>
        <v>0</v>
      </c>
      <c r="H174" s="138">
        <f t="shared" si="105"/>
        <v>0</v>
      </c>
      <c r="I174" s="138">
        <f t="shared" si="106"/>
        <v>0</v>
      </c>
      <c r="J174" s="138">
        <f t="shared" si="107"/>
        <v>0</v>
      </c>
      <c r="K174" s="138">
        <f t="shared" si="108"/>
        <v>0</v>
      </c>
      <c r="L174" s="138">
        <f t="shared" si="109"/>
        <v>0</v>
      </c>
      <c r="M174" s="138">
        <f t="shared" si="110"/>
        <v>0</v>
      </c>
      <c r="N174" s="138">
        <f t="shared" si="111"/>
        <v>0</v>
      </c>
      <c r="O174" s="138">
        <f t="shared" si="112"/>
        <v>0</v>
      </c>
      <c r="P174" s="154"/>
      <c r="Q174" s="141"/>
      <c r="R174" s="137"/>
      <c r="T174" s="142"/>
      <c r="U174" s="142"/>
    </row>
    <row r="175" spans="1:21" x14ac:dyDescent="0.2">
      <c r="A175" s="139"/>
      <c r="B175" s="82" t="s">
        <v>8</v>
      </c>
      <c r="C175" s="138">
        <f t="shared" si="100"/>
        <v>0</v>
      </c>
      <c r="D175" s="138">
        <f t="shared" si="101"/>
        <v>0</v>
      </c>
      <c r="E175" s="138">
        <f t="shared" si="102"/>
        <v>0</v>
      </c>
      <c r="F175" s="138">
        <f t="shared" si="103"/>
        <v>0</v>
      </c>
      <c r="G175" s="138">
        <f t="shared" si="104"/>
        <v>0</v>
      </c>
      <c r="H175" s="138">
        <f t="shared" si="105"/>
        <v>0</v>
      </c>
      <c r="I175" s="138">
        <f t="shared" si="106"/>
        <v>0</v>
      </c>
      <c r="J175" s="138">
        <f t="shared" si="107"/>
        <v>0</v>
      </c>
      <c r="K175" s="138">
        <f t="shared" si="108"/>
        <v>0</v>
      </c>
      <c r="L175" s="138">
        <f t="shared" si="109"/>
        <v>0</v>
      </c>
      <c r="M175" s="138">
        <f t="shared" si="110"/>
        <v>0</v>
      </c>
      <c r="N175" s="138">
        <f t="shared" si="111"/>
        <v>0</v>
      </c>
      <c r="O175" s="138">
        <f t="shared" si="112"/>
        <v>0</v>
      </c>
      <c r="P175" s="154"/>
      <c r="Q175" s="141"/>
      <c r="R175" s="137"/>
      <c r="T175" s="142"/>
      <c r="U175" s="142"/>
    </row>
    <row r="176" spans="1:21" x14ac:dyDescent="0.2">
      <c r="A176" s="139"/>
      <c r="B176" s="82"/>
      <c r="C176" s="138">
        <f t="shared" si="100"/>
        <v>0</v>
      </c>
      <c r="D176" s="138">
        <f t="shared" si="101"/>
        <v>0</v>
      </c>
      <c r="E176" s="138">
        <f t="shared" si="102"/>
        <v>0</v>
      </c>
      <c r="F176" s="138">
        <f t="shared" si="103"/>
        <v>0</v>
      </c>
      <c r="G176" s="138">
        <f t="shared" si="104"/>
        <v>0</v>
      </c>
      <c r="H176" s="138">
        <f t="shared" si="105"/>
        <v>0</v>
      </c>
      <c r="I176" s="138">
        <f t="shared" si="106"/>
        <v>0</v>
      </c>
      <c r="J176" s="138">
        <f t="shared" si="107"/>
        <v>0</v>
      </c>
      <c r="K176" s="138">
        <f t="shared" si="108"/>
        <v>0</v>
      </c>
      <c r="L176" s="138">
        <f t="shared" si="109"/>
        <v>0</v>
      </c>
      <c r="M176" s="138">
        <f t="shared" si="110"/>
        <v>0</v>
      </c>
      <c r="N176" s="138">
        <f t="shared" si="111"/>
        <v>0</v>
      </c>
      <c r="O176" s="138">
        <f t="shared" si="112"/>
        <v>0</v>
      </c>
      <c r="P176" s="154"/>
      <c r="Q176" s="141"/>
      <c r="R176" s="137"/>
      <c r="T176" s="142"/>
      <c r="U176" s="142"/>
    </row>
    <row r="177" spans="1:21" ht="42.75" x14ac:dyDescent="0.2">
      <c r="A177" s="139" t="s">
        <v>73</v>
      </c>
      <c r="B177" s="93" t="s">
        <v>91</v>
      </c>
      <c r="C177" s="138">
        <f t="shared" si="100"/>
        <v>0</v>
      </c>
      <c r="D177" s="138">
        <f t="shared" si="101"/>
        <v>0</v>
      </c>
      <c r="E177" s="138">
        <f t="shared" si="102"/>
        <v>0</v>
      </c>
      <c r="F177" s="138">
        <f t="shared" si="103"/>
        <v>0</v>
      </c>
      <c r="G177" s="138">
        <f t="shared" si="104"/>
        <v>0</v>
      </c>
      <c r="H177" s="138">
        <f t="shared" si="105"/>
        <v>0</v>
      </c>
      <c r="I177" s="138">
        <f t="shared" si="106"/>
        <v>0</v>
      </c>
      <c r="J177" s="138">
        <f t="shared" si="107"/>
        <v>0</v>
      </c>
      <c r="K177" s="138">
        <f t="shared" si="108"/>
        <v>0</v>
      </c>
      <c r="L177" s="138">
        <f t="shared" si="109"/>
        <v>0</v>
      </c>
      <c r="M177" s="138">
        <f t="shared" si="110"/>
        <v>0</v>
      </c>
      <c r="N177" s="138">
        <f t="shared" si="111"/>
        <v>0</v>
      </c>
      <c r="O177" s="138">
        <f>C177+E177+G177+I177+K177+M177</f>
        <v>0</v>
      </c>
      <c r="P177" s="2" t="s">
        <v>5</v>
      </c>
      <c r="Q177" s="141"/>
      <c r="R177" s="137">
        <f>O177*Q177</f>
        <v>0</v>
      </c>
      <c r="T177" s="142"/>
      <c r="U177" s="142"/>
    </row>
    <row r="178" spans="1:21" x14ac:dyDescent="0.2">
      <c r="A178" s="139"/>
      <c r="B178" s="136"/>
      <c r="C178" s="138">
        <f t="shared" si="100"/>
        <v>0</v>
      </c>
      <c r="D178" s="138">
        <f t="shared" si="101"/>
        <v>0</v>
      </c>
      <c r="E178" s="138">
        <f t="shared" si="102"/>
        <v>0</v>
      </c>
      <c r="F178" s="138">
        <f t="shared" si="103"/>
        <v>0</v>
      </c>
      <c r="G178" s="138">
        <f t="shared" si="104"/>
        <v>0</v>
      </c>
      <c r="H178" s="138">
        <f t="shared" si="105"/>
        <v>0</v>
      </c>
      <c r="I178" s="138">
        <f t="shared" si="106"/>
        <v>0</v>
      </c>
      <c r="J178" s="138">
        <f t="shared" si="107"/>
        <v>0</v>
      </c>
      <c r="K178" s="138">
        <f t="shared" si="108"/>
        <v>0</v>
      </c>
      <c r="L178" s="138">
        <f t="shared" si="109"/>
        <v>0</v>
      </c>
      <c r="M178" s="138">
        <f t="shared" si="110"/>
        <v>0</v>
      </c>
      <c r="N178" s="138">
        <f t="shared" si="111"/>
        <v>0</v>
      </c>
      <c r="O178" s="138">
        <f t="shared" si="112"/>
        <v>0</v>
      </c>
      <c r="P178" s="154"/>
      <c r="Q178" s="141"/>
      <c r="R178" s="137"/>
      <c r="T178" s="142"/>
      <c r="U178" s="142"/>
    </row>
    <row r="179" spans="1:21" x14ac:dyDescent="0.2">
      <c r="A179" s="139"/>
      <c r="B179" s="136"/>
      <c r="C179" s="138">
        <f t="shared" si="100"/>
        <v>0</v>
      </c>
      <c r="D179" s="138">
        <f t="shared" si="101"/>
        <v>0</v>
      </c>
      <c r="E179" s="138">
        <f t="shared" si="102"/>
        <v>0</v>
      </c>
      <c r="F179" s="138">
        <f t="shared" si="103"/>
        <v>0</v>
      </c>
      <c r="G179" s="138">
        <f t="shared" si="104"/>
        <v>0</v>
      </c>
      <c r="H179" s="138">
        <f t="shared" si="105"/>
        <v>0</v>
      </c>
      <c r="I179" s="138">
        <f t="shared" si="106"/>
        <v>0</v>
      </c>
      <c r="J179" s="138">
        <f t="shared" si="107"/>
        <v>0</v>
      </c>
      <c r="K179" s="138">
        <f t="shared" si="108"/>
        <v>0</v>
      </c>
      <c r="L179" s="138">
        <f t="shared" si="109"/>
        <v>0</v>
      </c>
      <c r="M179" s="138">
        <f t="shared" si="110"/>
        <v>0</v>
      </c>
      <c r="N179" s="138">
        <f t="shared" si="111"/>
        <v>0</v>
      </c>
      <c r="O179" s="138">
        <f t="shared" si="112"/>
        <v>0</v>
      </c>
      <c r="P179" s="154"/>
      <c r="Q179" s="141"/>
      <c r="R179" s="137"/>
      <c r="T179" s="142"/>
      <c r="U179" s="142"/>
    </row>
    <row r="180" spans="1:21" x14ac:dyDescent="0.2">
      <c r="A180" s="139"/>
      <c r="B180" s="136"/>
      <c r="C180" s="138"/>
      <c r="D180" s="138"/>
      <c r="E180" s="138"/>
      <c r="F180" s="138"/>
      <c r="G180" s="138"/>
      <c r="H180" s="138"/>
      <c r="I180" s="138"/>
      <c r="J180" s="138"/>
      <c r="K180" s="138"/>
      <c r="L180" s="138"/>
      <c r="M180" s="138"/>
      <c r="N180" s="138"/>
      <c r="O180" s="138"/>
      <c r="P180" s="154"/>
      <c r="Q180" s="141"/>
      <c r="R180" s="137"/>
      <c r="T180" s="142"/>
      <c r="U180" s="142"/>
    </row>
    <row r="181" spans="1:21" x14ac:dyDescent="0.2">
      <c r="A181" s="139"/>
      <c r="B181" s="136"/>
      <c r="C181" s="138"/>
      <c r="D181" s="138"/>
      <c r="E181" s="138"/>
      <c r="F181" s="138"/>
      <c r="G181" s="138"/>
      <c r="H181" s="138"/>
      <c r="I181" s="138"/>
      <c r="J181" s="138"/>
      <c r="K181" s="138"/>
      <c r="L181" s="138"/>
      <c r="M181" s="138"/>
      <c r="N181" s="138"/>
      <c r="O181" s="138"/>
      <c r="P181" s="154"/>
      <c r="Q181" s="141"/>
      <c r="R181" s="137"/>
      <c r="T181" s="142"/>
      <c r="U181" s="142"/>
    </row>
    <row r="182" spans="1:21" x14ac:dyDescent="0.2">
      <c r="A182" s="139"/>
      <c r="B182" s="136"/>
      <c r="C182" s="138"/>
      <c r="D182" s="138"/>
      <c r="E182" s="138"/>
      <c r="F182" s="138"/>
      <c r="G182" s="138"/>
      <c r="H182" s="138"/>
      <c r="I182" s="138"/>
      <c r="J182" s="138"/>
      <c r="K182" s="138"/>
      <c r="L182" s="138"/>
      <c r="M182" s="138"/>
      <c r="N182" s="138"/>
      <c r="O182" s="138"/>
      <c r="P182" s="154"/>
      <c r="Q182" s="141"/>
      <c r="R182" s="137"/>
      <c r="T182" s="142"/>
      <c r="U182" s="142"/>
    </row>
    <row r="183" spans="1:21" x14ac:dyDescent="0.2">
      <c r="A183" s="139"/>
      <c r="B183" s="136"/>
      <c r="C183" s="138"/>
      <c r="D183" s="138"/>
      <c r="E183" s="138"/>
      <c r="F183" s="138"/>
      <c r="G183" s="138"/>
      <c r="H183" s="138"/>
      <c r="I183" s="138"/>
      <c r="J183" s="138"/>
      <c r="K183" s="138"/>
      <c r="L183" s="138"/>
      <c r="M183" s="138"/>
      <c r="N183" s="138"/>
      <c r="O183" s="138"/>
      <c r="P183" s="154"/>
      <c r="Q183" s="141"/>
      <c r="R183" s="137"/>
      <c r="T183" s="142"/>
      <c r="U183" s="142"/>
    </row>
    <row r="184" spans="1:21" x14ac:dyDescent="0.2">
      <c r="A184" s="139"/>
      <c r="B184" s="136"/>
      <c r="C184" s="138"/>
      <c r="D184" s="138"/>
      <c r="E184" s="138"/>
      <c r="F184" s="138"/>
      <c r="G184" s="138"/>
      <c r="H184" s="138"/>
      <c r="I184" s="138"/>
      <c r="J184" s="138"/>
      <c r="K184" s="138"/>
      <c r="L184" s="138"/>
      <c r="M184" s="138"/>
      <c r="N184" s="138"/>
      <c r="O184" s="138"/>
      <c r="P184" s="154"/>
      <c r="Q184" s="141"/>
      <c r="R184" s="137"/>
      <c r="T184" s="142"/>
      <c r="U184" s="142"/>
    </row>
    <row r="185" spans="1:21" x14ac:dyDescent="0.2">
      <c r="A185" s="139"/>
      <c r="B185" s="136"/>
      <c r="C185" s="138"/>
      <c r="D185" s="138"/>
      <c r="E185" s="138"/>
      <c r="F185" s="138"/>
      <c r="G185" s="138"/>
      <c r="H185" s="138"/>
      <c r="I185" s="138"/>
      <c r="J185" s="138"/>
      <c r="K185" s="138"/>
      <c r="L185" s="138"/>
      <c r="M185" s="138"/>
      <c r="N185" s="138"/>
      <c r="O185" s="138"/>
      <c r="P185" s="154"/>
      <c r="Q185" s="141"/>
      <c r="R185" s="137"/>
      <c r="T185" s="142"/>
      <c r="U185" s="142"/>
    </row>
    <row r="186" spans="1:21" x14ac:dyDescent="0.2">
      <c r="A186" s="139"/>
      <c r="B186" s="136"/>
      <c r="C186" s="138"/>
      <c r="D186" s="138"/>
      <c r="E186" s="138"/>
      <c r="F186" s="138"/>
      <c r="G186" s="138"/>
      <c r="H186" s="138"/>
      <c r="I186" s="138"/>
      <c r="J186" s="138"/>
      <c r="K186" s="138"/>
      <c r="L186" s="138"/>
      <c r="M186" s="138"/>
      <c r="N186" s="138"/>
      <c r="O186" s="138"/>
      <c r="P186" s="154"/>
      <c r="Q186" s="141"/>
      <c r="R186" s="137"/>
      <c r="T186" s="142"/>
      <c r="U186" s="142"/>
    </row>
    <row r="187" spans="1:21" x14ac:dyDescent="0.2">
      <c r="A187" s="139"/>
      <c r="B187" s="136"/>
      <c r="C187" s="138"/>
      <c r="D187" s="138"/>
      <c r="E187" s="138"/>
      <c r="F187" s="138"/>
      <c r="G187" s="138"/>
      <c r="H187" s="138"/>
      <c r="I187" s="138"/>
      <c r="J187" s="138"/>
      <c r="K187" s="138"/>
      <c r="L187" s="138"/>
      <c r="M187" s="138"/>
      <c r="N187" s="138"/>
      <c r="O187" s="138"/>
      <c r="P187" s="154"/>
      <c r="Q187" s="141"/>
      <c r="R187" s="137"/>
      <c r="T187" s="142"/>
      <c r="U187" s="142"/>
    </row>
    <row r="188" spans="1:21" x14ac:dyDescent="0.2">
      <c r="A188" s="139"/>
      <c r="B188" s="136"/>
      <c r="C188" s="138"/>
      <c r="D188" s="138"/>
      <c r="E188" s="138"/>
      <c r="F188" s="138"/>
      <c r="G188" s="138"/>
      <c r="H188" s="138"/>
      <c r="I188" s="138"/>
      <c r="J188" s="138"/>
      <c r="K188" s="138"/>
      <c r="L188" s="138"/>
      <c r="M188" s="138"/>
      <c r="N188" s="138"/>
      <c r="O188" s="138"/>
      <c r="P188" s="154"/>
      <c r="Q188" s="141"/>
      <c r="R188" s="137"/>
      <c r="T188" s="142"/>
      <c r="U188" s="142"/>
    </row>
    <row r="189" spans="1:21" x14ac:dyDescent="0.2">
      <c r="A189" s="139"/>
      <c r="B189" s="136"/>
      <c r="C189" s="138"/>
      <c r="D189" s="138"/>
      <c r="E189" s="138"/>
      <c r="F189" s="138"/>
      <c r="G189" s="138"/>
      <c r="H189" s="138"/>
      <c r="I189" s="138"/>
      <c r="J189" s="138"/>
      <c r="K189" s="138"/>
      <c r="L189" s="138"/>
      <c r="M189" s="138"/>
      <c r="N189" s="138"/>
      <c r="O189" s="138"/>
      <c r="P189" s="154"/>
      <c r="Q189" s="141"/>
      <c r="R189" s="137"/>
      <c r="T189" s="142"/>
      <c r="U189" s="142"/>
    </row>
    <row r="190" spans="1:21" x14ac:dyDescent="0.2">
      <c r="A190" s="139"/>
      <c r="B190" s="136"/>
      <c r="C190" s="138"/>
      <c r="D190" s="138"/>
      <c r="E190" s="138"/>
      <c r="F190" s="138"/>
      <c r="G190" s="138"/>
      <c r="H190" s="138"/>
      <c r="I190" s="138"/>
      <c r="J190" s="138"/>
      <c r="K190" s="138"/>
      <c r="L190" s="138"/>
      <c r="M190" s="138"/>
      <c r="N190" s="138"/>
      <c r="O190" s="138"/>
      <c r="P190" s="154"/>
      <c r="Q190" s="141"/>
      <c r="R190" s="137"/>
      <c r="T190" s="142"/>
      <c r="U190" s="142"/>
    </row>
    <row r="191" spans="1:21" x14ac:dyDescent="0.2">
      <c r="A191" s="139"/>
      <c r="B191" s="136"/>
      <c r="C191" s="138">
        <f t="shared" ref="C191:C195" si="113">ROUND(T191*C$3,0)</f>
        <v>0</v>
      </c>
      <c r="D191" s="138">
        <f t="shared" ref="D191:D197" si="114">C191*$Q191</f>
        <v>0</v>
      </c>
      <c r="E191" s="138"/>
      <c r="F191" s="138"/>
      <c r="G191" s="138"/>
      <c r="H191" s="138"/>
      <c r="I191" s="138"/>
      <c r="J191" s="138"/>
      <c r="K191" s="138"/>
      <c r="L191" s="138"/>
      <c r="M191" s="138"/>
      <c r="N191" s="138"/>
      <c r="O191" s="138"/>
      <c r="P191" s="154"/>
      <c r="Q191" s="141"/>
      <c r="R191" s="128"/>
      <c r="T191" s="142"/>
      <c r="U191" s="142"/>
    </row>
    <row r="192" spans="1:21" x14ac:dyDescent="0.2">
      <c r="A192" s="139"/>
      <c r="B192" s="136"/>
      <c r="C192" s="138">
        <f t="shared" si="113"/>
        <v>0</v>
      </c>
      <c r="D192" s="138">
        <f t="shared" si="114"/>
        <v>0</v>
      </c>
      <c r="E192" s="138"/>
      <c r="F192" s="138"/>
      <c r="G192" s="138"/>
      <c r="H192" s="138"/>
      <c r="I192" s="138"/>
      <c r="J192" s="138"/>
      <c r="K192" s="138"/>
      <c r="L192" s="138"/>
      <c r="M192" s="138"/>
      <c r="N192" s="138"/>
      <c r="O192" s="138"/>
      <c r="P192" s="154"/>
      <c r="Q192" s="141"/>
      <c r="R192" s="137"/>
      <c r="T192" s="142"/>
      <c r="U192" s="142"/>
    </row>
    <row r="193" spans="1:21" x14ac:dyDescent="0.2">
      <c r="A193" s="139"/>
      <c r="B193" s="136"/>
      <c r="C193" s="138">
        <f t="shared" si="113"/>
        <v>0</v>
      </c>
      <c r="D193" s="138">
        <f t="shared" si="114"/>
        <v>0</v>
      </c>
      <c r="E193" s="138"/>
      <c r="F193" s="138"/>
      <c r="G193" s="138"/>
      <c r="H193" s="138"/>
      <c r="I193" s="138"/>
      <c r="J193" s="138"/>
      <c r="K193" s="138"/>
      <c r="L193" s="138"/>
      <c r="M193" s="138"/>
      <c r="N193" s="138"/>
      <c r="O193" s="138"/>
      <c r="P193" s="154"/>
      <c r="Q193" s="141"/>
      <c r="R193" s="128"/>
      <c r="T193" s="142"/>
      <c r="U193" s="142"/>
    </row>
    <row r="194" spans="1:21" x14ac:dyDescent="0.2">
      <c r="A194" s="139"/>
      <c r="B194" s="136"/>
      <c r="C194" s="138">
        <f t="shared" si="113"/>
        <v>0</v>
      </c>
      <c r="D194" s="138">
        <f t="shared" si="114"/>
        <v>0</v>
      </c>
      <c r="E194" s="138"/>
      <c r="F194" s="138"/>
      <c r="G194" s="138"/>
      <c r="H194" s="138"/>
      <c r="I194" s="138"/>
      <c r="J194" s="138"/>
      <c r="K194" s="138"/>
      <c r="L194" s="138"/>
      <c r="M194" s="138"/>
      <c r="N194" s="138"/>
      <c r="O194" s="138"/>
      <c r="P194" s="154"/>
      <c r="Q194" s="141"/>
      <c r="R194" s="137"/>
      <c r="T194" s="142"/>
      <c r="U194" s="142"/>
    </row>
    <row r="195" spans="1:21" x14ac:dyDescent="0.2">
      <c r="A195" s="139"/>
      <c r="B195" s="136"/>
      <c r="C195" s="138">
        <f t="shared" si="113"/>
        <v>0</v>
      </c>
      <c r="D195" s="138">
        <f t="shared" si="114"/>
        <v>0</v>
      </c>
      <c r="E195" s="138"/>
      <c r="F195" s="138"/>
      <c r="G195" s="138"/>
      <c r="H195" s="138"/>
      <c r="I195" s="138"/>
      <c r="J195" s="138"/>
      <c r="K195" s="138"/>
      <c r="L195" s="138"/>
      <c r="M195" s="138"/>
      <c r="N195" s="138"/>
      <c r="O195" s="138"/>
      <c r="P195" s="154"/>
      <c r="Q195" s="141"/>
      <c r="R195" s="128"/>
      <c r="T195" s="142"/>
      <c r="U195" s="142"/>
    </row>
    <row r="196" spans="1:21" x14ac:dyDescent="0.2">
      <c r="A196" s="139"/>
      <c r="B196" s="136"/>
      <c r="C196" s="138">
        <f t="shared" ref="C196:C197" si="115">ROUND(T196*C$3,0)</f>
        <v>0</v>
      </c>
      <c r="D196" s="138">
        <f t="shared" si="114"/>
        <v>0</v>
      </c>
      <c r="E196" s="138"/>
      <c r="F196" s="138"/>
      <c r="G196" s="138"/>
      <c r="H196" s="138"/>
      <c r="I196" s="138"/>
      <c r="J196" s="138"/>
      <c r="K196" s="138"/>
      <c r="L196" s="138"/>
      <c r="M196" s="138"/>
      <c r="N196" s="138"/>
      <c r="O196" s="138"/>
      <c r="P196" s="154"/>
      <c r="Q196" s="141"/>
      <c r="R196" s="137"/>
      <c r="T196" s="142"/>
      <c r="U196" s="142"/>
    </row>
    <row r="197" spans="1:21" x14ac:dyDescent="0.2">
      <c r="A197" s="139"/>
      <c r="B197" s="136"/>
      <c r="C197" s="138">
        <f t="shared" si="115"/>
        <v>0</v>
      </c>
      <c r="D197" s="138">
        <f t="shared" si="114"/>
        <v>0</v>
      </c>
      <c r="E197" s="138"/>
      <c r="F197" s="138"/>
      <c r="G197" s="138"/>
      <c r="H197" s="138"/>
      <c r="I197" s="138"/>
      <c r="J197" s="138"/>
      <c r="K197" s="138"/>
      <c r="L197" s="138"/>
      <c r="M197" s="138"/>
      <c r="N197" s="138"/>
      <c r="O197" s="138"/>
      <c r="P197" s="154"/>
      <c r="Q197" s="141"/>
      <c r="R197" s="137"/>
      <c r="T197" s="142"/>
      <c r="U197" s="142"/>
    </row>
    <row r="198" spans="1:21" x14ac:dyDescent="0.2">
      <c r="A198" s="127"/>
      <c r="B198" s="136"/>
      <c r="C198" s="128"/>
      <c r="D198" s="120"/>
      <c r="E198" s="120"/>
      <c r="F198" s="120"/>
      <c r="G198" s="120"/>
      <c r="H198" s="120"/>
      <c r="I198" s="120"/>
      <c r="J198" s="120"/>
      <c r="K198" s="120"/>
      <c r="L198" s="120"/>
      <c r="M198" s="120"/>
      <c r="N198" s="120"/>
      <c r="O198" s="120"/>
      <c r="P198" s="154"/>
      <c r="Q198" s="141"/>
      <c r="R198" s="137"/>
      <c r="T198" s="142"/>
      <c r="U198" s="142"/>
    </row>
    <row r="199" spans="1:21" x14ac:dyDescent="0.2">
      <c r="A199" s="129"/>
      <c r="B199" s="130"/>
      <c r="C199" s="131"/>
      <c r="D199" s="131"/>
      <c r="E199" s="131"/>
      <c r="F199" s="131"/>
      <c r="G199" s="131"/>
      <c r="H199" s="131"/>
      <c r="I199" s="131"/>
      <c r="J199" s="131"/>
      <c r="K199" s="131"/>
      <c r="L199" s="131"/>
      <c r="M199" s="131"/>
      <c r="N199" s="131"/>
      <c r="O199" s="131"/>
      <c r="P199" s="131"/>
      <c r="Q199" s="132"/>
      <c r="R199" s="126"/>
      <c r="T199" s="134"/>
      <c r="U199" s="134"/>
    </row>
    <row r="200" spans="1:21" x14ac:dyDescent="0.2">
      <c r="C200" s="122"/>
      <c r="D200" s="122"/>
      <c r="E200" s="122"/>
      <c r="F200" s="122"/>
      <c r="G200" s="122"/>
      <c r="H200" s="122"/>
      <c r="I200" s="122"/>
      <c r="J200" s="122"/>
      <c r="K200" s="122"/>
      <c r="L200" s="122"/>
      <c r="M200" s="122"/>
      <c r="N200" s="122"/>
      <c r="O200" s="122"/>
      <c r="P200" s="171" t="s">
        <v>1</v>
      </c>
      <c r="Q200" s="133" t="s">
        <v>0</v>
      </c>
      <c r="R200" s="137">
        <f>SUM(R156:R198)</f>
        <v>0</v>
      </c>
      <c r="T200" s="135"/>
      <c r="U200" s="135"/>
    </row>
    <row r="201" spans="1:21" x14ac:dyDescent="0.2">
      <c r="P201" s="188"/>
      <c r="Q201" s="124"/>
      <c r="R201" s="125"/>
      <c r="T201" s="142"/>
      <c r="U201" s="142"/>
    </row>
    <row r="202" spans="1:21" x14ac:dyDescent="0.2">
      <c r="A202" s="36"/>
      <c r="B202" s="37"/>
      <c r="C202" s="188"/>
      <c r="D202" s="188"/>
      <c r="E202" s="188"/>
      <c r="F202" s="188"/>
      <c r="G202" s="188"/>
      <c r="H202" s="188"/>
      <c r="I202" s="188"/>
      <c r="J202" s="188"/>
      <c r="K202" s="188"/>
      <c r="L202" s="188"/>
      <c r="M202" s="188"/>
      <c r="N202" s="188"/>
      <c r="O202" s="188"/>
      <c r="P202" s="188"/>
      <c r="Q202" s="42"/>
      <c r="R202" s="137"/>
      <c r="T202" s="118"/>
      <c r="U202" s="118"/>
    </row>
    <row r="203" spans="1:21" x14ac:dyDescent="0.2">
      <c r="A203" s="36"/>
      <c r="B203" s="37"/>
      <c r="C203" s="188"/>
      <c r="D203" s="188"/>
      <c r="E203" s="188"/>
      <c r="F203" s="188"/>
      <c r="G203" s="188"/>
      <c r="H203" s="188"/>
      <c r="I203" s="188"/>
      <c r="J203" s="188"/>
      <c r="K203" s="188"/>
      <c r="L203" s="188"/>
      <c r="M203" s="188"/>
      <c r="N203" s="188"/>
      <c r="O203" s="188"/>
      <c r="P203" s="188"/>
      <c r="Q203" s="42"/>
      <c r="R203" s="137"/>
      <c r="T203" s="118"/>
      <c r="U203" s="118"/>
    </row>
    <row r="204" spans="1:21" x14ac:dyDescent="0.2">
      <c r="A204" s="36"/>
      <c r="B204" s="37"/>
      <c r="C204" s="188"/>
      <c r="D204" s="188"/>
      <c r="E204" s="188"/>
      <c r="F204" s="188"/>
      <c r="G204" s="188"/>
      <c r="H204" s="188"/>
      <c r="I204" s="188"/>
      <c r="J204" s="188"/>
      <c r="K204" s="188"/>
      <c r="L204" s="188"/>
      <c r="M204" s="188"/>
      <c r="N204" s="188"/>
      <c r="O204" s="534" t="s">
        <v>17</v>
      </c>
      <c r="P204" s="534"/>
      <c r="Q204" s="42"/>
      <c r="R204" s="137"/>
      <c r="T204" s="49"/>
      <c r="U204" s="49"/>
    </row>
    <row r="205" spans="1:21" x14ac:dyDescent="0.2">
      <c r="A205" s="36"/>
      <c r="B205" s="37"/>
      <c r="C205" s="188"/>
      <c r="D205" s="188"/>
      <c r="E205" s="188"/>
      <c r="F205" s="188"/>
      <c r="G205" s="188"/>
      <c r="H205" s="188"/>
      <c r="I205" s="188"/>
      <c r="J205" s="188"/>
      <c r="K205" s="188"/>
      <c r="L205" s="188"/>
      <c r="M205" s="188"/>
      <c r="N205" s="188"/>
      <c r="O205" s="188"/>
      <c r="P205" s="188"/>
      <c r="Q205" s="42"/>
      <c r="R205" s="137"/>
      <c r="T205" s="118"/>
      <c r="U205" s="118"/>
    </row>
    <row r="206" spans="1:21" x14ac:dyDescent="0.2">
      <c r="A206" s="36"/>
      <c r="B206" s="37"/>
      <c r="C206" s="188"/>
      <c r="D206" s="188"/>
      <c r="E206" s="188"/>
      <c r="F206" s="188"/>
      <c r="G206" s="188"/>
      <c r="H206" s="188"/>
      <c r="I206" s="188"/>
      <c r="J206" s="188"/>
      <c r="K206" s="188"/>
      <c r="L206" s="188"/>
      <c r="M206" s="188"/>
      <c r="N206" s="188"/>
      <c r="O206" s="188" t="s">
        <v>270</v>
      </c>
      <c r="P206" s="188" t="s">
        <v>596</v>
      </c>
      <c r="Q206" s="42"/>
      <c r="R206" s="137">
        <f>R37</f>
        <v>0</v>
      </c>
      <c r="T206" s="118"/>
      <c r="U206" s="118"/>
    </row>
    <row r="207" spans="1:21" x14ac:dyDescent="0.2">
      <c r="A207" s="36"/>
      <c r="B207" s="37"/>
      <c r="C207" s="188"/>
      <c r="D207" s="188"/>
      <c r="E207" s="188"/>
      <c r="F207" s="188"/>
      <c r="G207" s="188"/>
      <c r="H207" s="188"/>
      <c r="I207" s="188"/>
      <c r="J207" s="188"/>
      <c r="K207" s="188"/>
      <c r="L207" s="188"/>
      <c r="M207" s="188"/>
      <c r="N207" s="188"/>
      <c r="O207" s="188"/>
      <c r="P207" s="188"/>
      <c r="Q207" s="42"/>
      <c r="R207" s="137"/>
      <c r="T207" s="118"/>
      <c r="U207" s="118"/>
    </row>
    <row r="208" spans="1:21" x14ac:dyDescent="0.2">
      <c r="A208" s="36"/>
      <c r="B208" s="37"/>
      <c r="C208" s="188"/>
      <c r="D208" s="188"/>
      <c r="E208" s="188"/>
      <c r="F208" s="188"/>
      <c r="G208" s="188"/>
      <c r="H208" s="188"/>
      <c r="I208" s="188"/>
      <c r="J208" s="188"/>
      <c r="K208" s="188"/>
      <c r="L208" s="188"/>
      <c r="M208" s="188"/>
      <c r="N208" s="188"/>
      <c r="O208" s="188" t="s">
        <v>270</v>
      </c>
      <c r="P208" s="188" t="s">
        <v>597</v>
      </c>
      <c r="Q208" s="42"/>
      <c r="R208" s="137">
        <f>R70</f>
        <v>0</v>
      </c>
      <c r="T208" s="118"/>
      <c r="U208" s="118"/>
    </row>
    <row r="209" spans="1:21" x14ac:dyDescent="0.2">
      <c r="A209" s="36"/>
      <c r="B209" s="37"/>
      <c r="C209" s="188"/>
      <c r="D209" s="188"/>
      <c r="E209" s="188"/>
      <c r="F209" s="188"/>
      <c r="G209" s="188"/>
      <c r="H209" s="188"/>
      <c r="I209" s="188"/>
      <c r="J209" s="188"/>
      <c r="K209" s="188"/>
      <c r="L209" s="188"/>
      <c r="M209" s="188"/>
      <c r="N209" s="188"/>
      <c r="O209" s="188"/>
      <c r="P209" s="188"/>
      <c r="Q209" s="42"/>
      <c r="R209" s="137"/>
      <c r="T209" s="118"/>
      <c r="U209" s="118"/>
    </row>
    <row r="210" spans="1:21" x14ac:dyDescent="0.2">
      <c r="A210" s="36"/>
      <c r="B210" s="37"/>
      <c r="C210" s="188"/>
      <c r="D210" s="188"/>
      <c r="E210" s="188"/>
      <c r="F210" s="188"/>
      <c r="G210" s="188"/>
      <c r="H210" s="188"/>
      <c r="I210" s="188"/>
      <c r="J210" s="188"/>
      <c r="K210" s="188"/>
      <c r="L210" s="188"/>
      <c r="M210" s="188"/>
      <c r="N210" s="188"/>
      <c r="O210" s="188" t="s">
        <v>270</v>
      </c>
      <c r="P210" s="188" t="s">
        <v>598</v>
      </c>
      <c r="Q210" s="42"/>
      <c r="R210" s="137">
        <f>R108</f>
        <v>0</v>
      </c>
      <c r="T210" s="118"/>
      <c r="U210" s="118"/>
    </row>
    <row r="211" spans="1:21" x14ac:dyDescent="0.2">
      <c r="A211" s="36"/>
      <c r="B211" s="37"/>
      <c r="C211" s="188"/>
      <c r="D211" s="188"/>
      <c r="E211" s="188"/>
      <c r="F211" s="188"/>
      <c r="G211" s="188"/>
      <c r="H211" s="188"/>
      <c r="I211" s="188"/>
      <c r="J211" s="188"/>
      <c r="K211" s="188"/>
      <c r="L211" s="188"/>
      <c r="M211" s="188"/>
      <c r="N211" s="188"/>
      <c r="O211" s="188"/>
      <c r="P211" s="188"/>
      <c r="Q211" s="42"/>
      <c r="R211" s="137"/>
      <c r="T211" s="118"/>
      <c r="U211" s="118"/>
    </row>
    <row r="212" spans="1:21" x14ac:dyDescent="0.2">
      <c r="A212" s="36"/>
      <c r="B212" s="37"/>
      <c r="C212" s="188"/>
      <c r="D212" s="188"/>
      <c r="E212" s="188"/>
      <c r="F212" s="188"/>
      <c r="G212" s="188"/>
      <c r="H212" s="188"/>
      <c r="I212" s="188"/>
      <c r="J212" s="188"/>
      <c r="K212" s="188"/>
      <c r="L212" s="188"/>
      <c r="M212" s="188"/>
      <c r="N212" s="188"/>
      <c r="O212" s="188" t="s">
        <v>270</v>
      </c>
      <c r="P212" s="188" t="s">
        <v>599</v>
      </c>
      <c r="Q212" s="42"/>
      <c r="R212" s="137">
        <f>R154</f>
        <v>0</v>
      </c>
      <c r="T212" s="118"/>
      <c r="U212" s="118"/>
    </row>
    <row r="213" spans="1:21" x14ac:dyDescent="0.2">
      <c r="A213" s="36"/>
      <c r="B213" s="37"/>
      <c r="C213" s="188"/>
      <c r="D213" s="188"/>
      <c r="E213" s="188"/>
      <c r="F213" s="188"/>
      <c r="G213" s="188"/>
      <c r="H213" s="188"/>
      <c r="I213" s="188"/>
      <c r="J213" s="188"/>
      <c r="K213" s="188"/>
      <c r="L213" s="188"/>
      <c r="M213" s="188"/>
      <c r="N213" s="188"/>
      <c r="O213" s="188"/>
      <c r="P213" s="188"/>
      <c r="Q213" s="42"/>
      <c r="R213" s="137"/>
      <c r="T213" s="118"/>
      <c r="U213" s="118"/>
    </row>
    <row r="214" spans="1:21" x14ac:dyDescent="0.2">
      <c r="A214" s="36"/>
      <c r="B214" s="37"/>
      <c r="C214" s="188"/>
      <c r="D214" s="188"/>
      <c r="E214" s="188"/>
      <c r="F214" s="188"/>
      <c r="G214" s="188"/>
      <c r="H214" s="188"/>
      <c r="I214" s="188"/>
      <c r="J214" s="188"/>
      <c r="K214" s="188"/>
      <c r="L214" s="188"/>
      <c r="M214" s="188"/>
      <c r="N214" s="188"/>
      <c r="O214" s="188" t="s">
        <v>270</v>
      </c>
      <c r="P214" s="188" t="s">
        <v>600</v>
      </c>
      <c r="Q214" s="42"/>
      <c r="R214" s="137">
        <f>R200</f>
        <v>0</v>
      </c>
      <c r="T214" s="118"/>
      <c r="U214" s="118"/>
    </row>
    <row r="215" spans="1:21" x14ac:dyDescent="0.2">
      <c r="A215" s="36"/>
      <c r="B215" s="37"/>
      <c r="C215" s="188"/>
      <c r="D215" s="188"/>
      <c r="E215" s="188"/>
      <c r="F215" s="188"/>
      <c r="G215" s="188"/>
      <c r="H215" s="188"/>
      <c r="I215" s="188"/>
      <c r="J215" s="188"/>
      <c r="K215" s="188"/>
      <c r="L215" s="188"/>
      <c r="M215" s="188"/>
      <c r="N215" s="188"/>
      <c r="O215" s="188"/>
      <c r="P215" s="188"/>
      <c r="Q215" s="42"/>
      <c r="R215" s="137"/>
      <c r="T215" s="118"/>
      <c r="U215" s="118"/>
    </row>
    <row r="216" spans="1:21" x14ac:dyDescent="0.2">
      <c r="A216" s="36"/>
      <c r="B216" s="37"/>
      <c r="C216" s="188"/>
      <c r="D216" s="188"/>
      <c r="E216" s="188"/>
      <c r="F216" s="188"/>
      <c r="G216" s="188"/>
      <c r="H216" s="188"/>
      <c r="I216" s="188"/>
      <c r="J216" s="188"/>
      <c r="K216" s="188"/>
      <c r="L216" s="188"/>
      <c r="M216" s="188"/>
      <c r="N216" s="188"/>
      <c r="O216" s="188"/>
      <c r="P216" s="188"/>
      <c r="Q216" s="42"/>
      <c r="R216" s="137"/>
      <c r="T216" s="118"/>
      <c r="U216" s="118"/>
    </row>
    <row r="217" spans="1:21" x14ac:dyDescent="0.2">
      <c r="A217" s="36"/>
      <c r="B217" s="37"/>
      <c r="C217" s="188"/>
      <c r="D217" s="188"/>
      <c r="E217" s="188"/>
      <c r="F217" s="188"/>
      <c r="G217" s="188"/>
      <c r="H217" s="188"/>
      <c r="I217" s="188"/>
      <c r="J217" s="188"/>
      <c r="K217" s="188"/>
      <c r="L217" s="188"/>
      <c r="M217" s="188"/>
      <c r="N217" s="188"/>
      <c r="O217" s="188"/>
      <c r="P217" s="188"/>
      <c r="Q217" s="42"/>
      <c r="R217" s="137"/>
      <c r="T217" s="118"/>
      <c r="U217" s="118"/>
    </row>
    <row r="218" spans="1:21" x14ac:dyDescent="0.2">
      <c r="A218" s="36"/>
      <c r="B218" s="37"/>
      <c r="C218" s="188"/>
      <c r="D218" s="188"/>
      <c r="E218" s="188"/>
      <c r="F218" s="188"/>
      <c r="G218" s="188"/>
      <c r="H218" s="188"/>
      <c r="I218" s="188"/>
      <c r="J218" s="188"/>
      <c r="K218" s="188"/>
      <c r="L218" s="188"/>
      <c r="M218" s="188"/>
      <c r="N218" s="188"/>
      <c r="O218" s="188"/>
      <c r="P218" s="188"/>
      <c r="Q218" s="42"/>
      <c r="R218" s="137"/>
      <c r="T218" s="118"/>
      <c r="U218" s="118"/>
    </row>
    <row r="219" spans="1:21" x14ac:dyDescent="0.2">
      <c r="A219" s="36"/>
      <c r="B219" s="37"/>
      <c r="C219" s="188"/>
      <c r="D219" s="188"/>
      <c r="E219" s="188"/>
      <c r="F219" s="188"/>
      <c r="G219" s="188"/>
      <c r="H219" s="188"/>
      <c r="I219" s="188"/>
      <c r="J219" s="188"/>
      <c r="K219" s="188"/>
      <c r="L219" s="188"/>
      <c r="M219" s="188"/>
      <c r="N219" s="188"/>
      <c r="O219" s="188"/>
      <c r="P219" s="188"/>
      <c r="Q219" s="42"/>
      <c r="R219" s="137"/>
      <c r="T219" s="118"/>
      <c r="U219" s="118"/>
    </row>
    <row r="220" spans="1:21" x14ac:dyDescent="0.2">
      <c r="A220" s="36"/>
      <c r="B220" s="37"/>
      <c r="C220" s="188"/>
      <c r="D220" s="188"/>
      <c r="E220" s="188"/>
      <c r="F220" s="188"/>
      <c r="G220" s="188"/>
      <c r="H220" s="188"/>
      <c r="I220" s="188"/>
      <c r="J220" s="188"/>
      <c r="K220" s="188"/>
      <c r="L220" s="188"/>
      <c r="M220" s="188"/>
      <c r="N220" s="188"/>
      <c r="O220" s="188"/>
      <c r="P220" s="188"/>
      <c r="Q220" s="42"/>
      <c r="R220" s="137"/>
      <c r="T220" s="118"/>
      <c r="U220" s="118"/>
    </row>
    <row r="221" spans="1:21" x14ac:dyDescent="0.2">
      <c r="A221" s="36"/>
      <c r="B221" s="37"/>
      <c r="C221" s="188"/>
      <c r="D221" s="188"/>
      <c r="E221" s="188"/>
      <c r="F221" s="188"/>
      <c r="G221" s="188"/>
      <c r="H221" s="188"/>
      <c r="I221" s="188"/>
      <c r="J221" s="188"/>
      <c r="K221" s="188"/>
      <c r="L221" s="188"/>
      <c r="M221" s="188"/>
      <c r="N221" s="188"/>
      <c r="O221" s="188"/>
      <c r="P221" s="188"/>
      <c r="Q221" s="42"/>
      <c r="R221" s="137"/>
      <c r="T221" s="118"/>
      <c r="U221" s="118"/>
    </row>
    <row r="222" spans="1:21" x14ac:dyDescent="0.2">
      <c r="A222" s="36"/>
      <c r="B222" s="37"/>
      <c r="C222" s="188"/>
      <c r="D222" s="188"/>
      <c r="E222" s="188"/>
      <c r="F222" s="188"/>
      <c r="G222" s="188"/>
      <c r="H222" s="188"/>
      <c r="I222" s="188"/>
      <c r="J222" s="188"/>
      <c r="K222" s="188"/>
      <c r="L222" s="188"/>
      <c r="M222" s="188"/>
      <c r="N222" s="188"/>
      <c r="O222" s="188"/>
      <c r="P222" s="188"/>
      <c r="Q222" s="42"/>
      <c r="R222" s="137"/>
      <c r="T222" s="118"/>
      <c r="U222" s="118"/>
    </row>
    <row r="223" spans="1:21" x14ac:dyDescent="0.2">
      <c r="A223" s="36"/>
      <c r="B223" s="37"/>
      <c r="C223" s="188"/>
      <c r="D223" s="188"/>
      <c r="E223" s="188"/>
      <c r="F223" s="188"/>
      <c r="G223" s="188"/>
      <c r="H223" s="188"/>
      <c r="I223" s="188"/>
      <c r="J223" s="188"/>
      <c r="K223" s="188"/>
      <c r="L223" s="188"/>
      <c r="M223" s="188"/>
      <c r="N223" s="188"/>
      <c r="O223" s="188"/>
      <c r="P223" s="188"/>
      <c r="Q223" s="42"/>
      <c r="R223" s="137"/>
      <c r="T223" s="118"/>
      <c r="U223" s="118"/>
    </row>
    <row r="224" spans="1:21" x14ac:dyDescent="0.2">
      <c r="A224" s="36"/>
      <c r="B224" s="37"/>
      <c r="C224" s="188"/>
      <c r="D224" s="188"/>
      <c r="E224" s="188"/>
      <c r="F224" s="188"/>
      <c r="G224" s="188"/>
      <c r="H224" s="188"/>
      <c r="I224" s="188"/>
      <c r="J224" s="188"/>
      <c r="K224" s="188"/>
      <c r="L224" s="188"/>
      <c r="M224" s="188"/>
      <c r="N224" s="188"/>
      <c r="O224" s="188"/>
      <c r="P224" s="188"/>
      <c r="Q224" s="42"/>
      <c r="R224" s="137"/>
      <c r="T224" s="118"/>
      <c r="U224" s="118"/>
    </row>
    <row r="225" spans="1:21" x14ac:dyDescent="0.2">
      <c r="A225" s="36"/>
      <c r="B225" s="37"/>
      <c r="C225" s="188"/>
      <c r="D225" s="188"/>
      <c r="E225" s="188"/>
      <c r="F225" s="188"/>
      <c r="G225" s="188"/>
      <c r="H225" s="188"/>
      <c r="I225" s="188"/>
      <c r="J225" s="188"/>
      <c r="K225" s="188"/>
      <c r="L225" s="188"/>
      <c r="M225" s="188"/>
      <c r="N225" s="188"/>
      <c r="O225" s="188"/>
      <c r="P225" s="188"/>
      <c r="Q225" s="42"/>
      <c r="R225" s="137"/>
      <c r="T225" s="118"/>
      <c r="U225" s="118"/>
    </row>
    <row r="226" spans="1:21" x14ac:dyDescent="0.2">
      <c r="A226" s="36"/>
      <c r="B226" s="37"/>
      <c r="C226" s="188"/>
      <c r="D226" s="188"/>
      <c r="E226" s="188"/>
      <c r="F226" s="188"/>
      <c r="G226" s="188"/>
      <c r="H226" s="188"/>
      <c r="I226" s="188"/>
      <c r="J226" s="188"/>
      <c r="K226" s="188"/>
      <c r="L226" s="188"/>
      <c r="M226" s="188"/>
      <c r="N226" s="188"/>
      <c r="O226" s="188"/>
      <c r="P226" s="188"/>
      <c r="Q226" s="42"/>
      <c r="R226" s="137"/>
      <c r="T226" s="118"/>
      <c r="U226" s="118"/>
    </row>
    <row r="227" spans="1:21" x14ac:dyDescent="0.2">
      <c r="A227" s="36"/>
      <c r="B227" s="37"/>
      <c r="C227" s="188"/>
      <c r="D227" s="188"/>
      <c r="E227" s="188"/>
      <c r="F227" s="188"/>
      <c r="G227" s="188"/>
      <c r="H227" s="188"/>
      <c r="I227" s="188"/>
      <c r="J227" s="188"/>
      <c r="K227" s="188"/>
      <c r="L227" s="188"/>
      <c r="M227" s="188"/>
      <c r="N227" s="188"/>
      <c r="O227" s="188"/>
      <c r="P227" s="188"/>
      <c r="Q227" s="42"/>
      <c r="R227" s="137"/>
      <c r="T227" s="118"/>
      <c r="U227" s="118"/>
    </row>
    <row r="228" spans="1:21" x14ac:dyDescent="0.2">
      <c r="A228" s="36"/>
      <c r="B228" s="37"/>
      <c r="C228" s="188"/>
      <c r="D228" s="188"/>
      <c r="E228" s="188"/>
      <c r="F228" s="188"/>
      <c r="G228" s="188"/>
      <c r="H228" s="188"/>
      <c r="I228" s="188"/>
      <c r="J228" s="188"/>
      <c r="K228" s="188"/>
      <c r="L228" s="188"/>
      <c r="M228" s="188"/>
      <c r="N228" s="188"/>
      <c r="O228" s="188"/>
      <c r="P228" s="188"/>
      <c r="Q228" s="42"/>
      <c r="R228" s="137"/>
      <c r="T228" s="118"/>
      <c r="U228" s="118"/>
    </row>
    <row r="229" spans="1:21" x14ac:dyDescent="0.2">
      <c r="A229" s="36"/>
      <c r="B229" s="37"/>
      <c r="C229" s="188"/>
      <c r="D229" s="188"/>
      <c r="E229" s="188"/>
      <c r="F229" s="188"/>
      <c r="G229" s="188"/>
      <c r="H229" s="188"/>
      <c r="I229" s="188"/>
      <c r="J229" s="188"/>
      <c r="K229" s="188"/>
      <c r="L229" s="188"/>
      <c r="M229" s="188"/>
      <c r="N229" s="188"/>
      <c r="O229" s="188"/>
      <c r="P229" s="188"/>
      <c r="Q229" s="42"/>
      <c r="R229" s="137"/>
      <c r="T229" s="118"/>
      <c r="U229" s="118"/>
    </row>
    <row r="230" spans="1:21" x14ac:dyDescent="0.2">
      <c r="A230" s="99"/>
      <c r="B230" s="168" t="s">
        <v>92</v>
      </c>
      <c r="C230" s="131"/>
      <c r="D230" s="131"/>
      <c r="E230" s="131"/>
      <c r="F230" s="131"/>
      <c r="G230" s="131"/>
      <c r="H230" s="131"/>
      <c r="I230" s="131"/>
      <c r="J230" s="131"/>
      <c r="K230" s="131"/>
      <c r="L230" s="131"/>
      <c r="M230" s="131"/>
      <c r="N230" s="131"/>
      <c r="O230" s="131"/>
      <c r="P230" s="131"/>
      <c r="Q230" s="132"/>
      <c r="R230" s="126"/>
      <c r="T230" s="97"/>
      <c r="U230" s="97"/>
    </row>
    <row r="231" spans="1:21" x14ac:dyDescent="0.2">
      <c r="A231" s="100"/>
      <c r="B231" s="42"/>
      <c r="C231" s="46"/>
      <c r="D231" s="46"/>
      <c r="E231" s="46"/>
      <c r="F231" s="46"/>
      <c r="G231" s="46"/>
      <c r="H231" s="46"/>
      <c r="I231" s="46"/>
      <c r="J231" s="46"/>
      <c r="K231" s="46"/>
      <c r="L231" s="46"/>
      <c r="M231" s="46"/>
      <c r="N231" s="46"/>
      <c r="O231" s="46"/>
      <c r="P231" s="171" t="s">
        <v>15</v>
      </c>
      <c r="Q231" s="133" t="s">
        <v>0</v>
      </c>
      <c r="R231" s="137">
        <f>SUM(R202:R229)</f>
        <v>0</v>
      </c>
      <c r="T231" s="98"/>
      <c r="U231" s="98"/>
    </row>
    <row r="232" spans="1:21" x14ac:dyDescent="0.2">
      <c r="A232" s="100"/>
      <c r="P232" s="188"/>
      <c r="Q232" s="124"/>
      <c r="R232" s="125"/>
      <c r="T232" s="96"/>
      <c r="U232" s="96"/>
    </row>
  </sheetData>
  <customSheetViews>
    <customSheetView guid="{CBA2F18A-D99E-4593-B5C7-F549C46D482A}" scale="90" showPageBreaks="1" zeroValues="0" printArea="1" hiddenColumns="1" view="pageBreakPreview">
      <pane xSplit="2" ySplit="3" topLeftCell="C1369" activePane="bottomRight" state="frozen"/>
      <selection pane="bottomRight" activeCell="W575" sqref="W575:X575"/>
      <pageMargins left="0.51181102362204722" right="0.19685039370078741" top="0.98425196850393704" bottom="0.59055118110236227" header="0.31496062992125984" footer="0.31496062992125984"/>
      <pageSetup paperSize="8" scale="90" orientation="landscape" useFirstPageNumber="1" r:id="rId1"/>
      <headerFooter>
        <oddHeader>&amp;R&amp;UBILL NO. 2
DOORS AND WINDOWS</oddHeader>
        <oddFooter>&amp;L&amp;8MBR GPV PH1A BQ ADD5&amp;C&amp;10 2/H/&amp;P</oddFooter>
      </headerFooter>
    </customSheetView>
    <customSheetView guid="{A5028593-220E-41E5-9B7F-B61B224ADECB}" scale="85" showPageBreaks="1" zeroValues="0" printArea="1" hiddenColumns="1" view="pageBreakPreview">
      <pane xSplit="2" ySplit="3" topLeftCell="C303" activePane="bottomRight" state="frozen"/>
      <selection pane="bottomRight" activeCell="B48" sqref="B48"/>
      <pageMargins left="0.51181102362204722" right="0.19685039370078741" top="0.98425196850393704" bottom="0.59055118110236227" header="0.31496062992125984" footer="0.31496062992125984"/>
      <pageSetup paperSize="8" scale="85" orientation="landscape" useFirstPageNumber="1" r:id="rId2"/>
      <headerFooter>
        <oddHeader>&amp;R&amp;UBILL NO. 2
DOORS AND WINDOWS</oddHeader>
        <oddFooter>&amp;L&amp;8MBR CV BQ&amp;C&amp;10 2/H/&amp;P</oddFooter>
      </headerFooter>
    </customSheetView>
    <customSheetView guid="{9B0AB937-A858-4024-AFD2-25458CC5120D}" scale="85" showPageBreaks="1" zeroValues="0" printArea="1" hiddenColumns="1" view="pageBreakPreview">
      <pane xSplit="2" ySplit="3" topLeftCell="C303" activePane="bottomRight" state="frozen"/>
      <selection pane="bottomRight" activeCell="B48" sqref="B48"/>
      <pageMargins left="0.51181102362204722" right="0.19685039370078741" top="0.98425196850393704" bottom="0.59055118110236227" header="0.31496062992125984" footer="0.31496062992125984"/>
      <pageSetup paperSize="8" scale="85" orientation="landscape" useFirstPageNumber="1" r:id="rId3"/>
      <headerFooter>
        <oddHeader>&amp;R&amp;UBILL NO. 2
DOORS AND WINDOWS</oddHeader>
        <oddFooter>&amp;L&amp;8MBR CV BQ&amp;C&amp;10 2/H/&amp;P</oddFooter>
      </headerFooter>
    </customSheetView>
    <customSheetView guid="{09AFA358-18AB-4F70-994A-26F8BCF8C7CA}" scale="85" showPageBreaks="1" zeroValues="0" printArea="1" hiddenColumns="1" view="pageBreakPreview">
      <pane xSplit="2" ySplit="3" topLeftCell="C303" activePane="bottomRight" state="frozen"/>
      <selection pane="bottomRight" activeCell="B48" sqref="B48"/>
      <pageMargins left="0.51181102362204722" right="0.19685039370078741" top="0.98425196850393704" bottom="0.59055118110236227" header="0.31496062992125984" footer="0.31496062992125984"/>
      <pageSetup paperSize="8" scale="85" orientation="landscape" useFirstPageNumber="1" r:id="rId4"/>
      <headerFooter>
        <oddHeader>&amp;R&amp;UBILL NO. 2
DOORS AND WINDOWS</oddHeader>
        <oddFooter>&amp;L&amp;8MBR CV BQ&amp;C&amp;10 2/H/&amp;P</oddFooter>
      </headerFooter>
    </customSheetView>
  </customSheetViews>
  <mergeCells count="14">
    <mergeCell ref="R1:R3"/>
    <mergeCell ref="D2:D3"/>
    <mergeCell ref="F2:F3"/>
    <mergeCell ref="H2:H3"/>
    <mergeCell ref="Q1:Q3"/>
    <mergeCell ref="J2:J3"/>
    <mergeCell ref="L2:L3"/>
    <mergeCell ref="N2:N3"/>
    <mergeCell ref="O2:O3"/>
    <mergeCell ref="O204:P204"/>
    <mergeCell ref="A1:A3"/>
    <mergeCell ref="B1:B3"/>
    <mergeCell ref="C1:O1"/>
    <mergeCell ref="P1:P3"/>
  </mergeCells>
  <printOptions horizontalCentered="1"/>
  <pageMargins left="0.51181102362204722" right="0.19685039370078741" top="0.98425196850393704" bottom="0.59055118110236227" header="0.31496062992125984" footer="0.31496062992125984"/>
  <pageSetup paperSize="8" orientation="landscape" useFirstPageNumber="1" r:id="rId5"/>
  <headerFooter>
    <oddHeader>&amp;R&amp;UBILL NO. 3: TOWNHOUSE A 
DOORS AND WINDOWS</oddHeader>
    <oddFooter>&amp;L&amp;8DMS No. 148110 Package 3 (30 Sept 2021)&amp;C&amp;10 3/H/&amp;P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A1:Y356"/>
  <sheetViews>
    <sheetView showZeros="0" view="pageBreakPreview" zoomScale="90" zoomScaleNormal="85" zoomScaleSheetLayoutView="90" workbookViewId="0">
      <pane xSplit="2" ySplit="3" topLeftCell="C118" activePane="bottomRight" state="frozen"/>
      <selection activeCell="T57" sqref="T57"/>
      <selection pane="topRight" activeCell="T57" sqref="T57"/>
      <selection pane="bottomLeft" activeCell="T57" sqref="T57"/>
      <selection pane="bottomRight" activeCell="B115" sqref="B115"/>
    </sheetView>
  </sheetViews>
  <sheetFormatPr defaultRowHeight="14.25" x14ac:dyDescent="0.2"/>
  <cols>
    <col min="1" max="1" width="6.125" style="121" customWidth="1"/>
    <col min="2" max="2" width="61.875" style="122" customWidth="1"/>
    <col min="3" max="3" width="11.125" style="204" customWidth="1"/>
    <col min="4" max="4" width="10.625" style="204" hidden="1" customWidth="1"/>
    <col min="5" max="5" width="11.125" style="204" customWidth="1"/>
    <col min="6" max="6" width="10.625" style="204" hidden="1" customWidth="1"/>
    <col min="7" max="7" width="11.125" style="204" customWidth="1"/>
    <col min="8" max="8" width="10.625" style="204" hidden="1" customWidth="1"/>
    <col min="9" max="9" width="11.125" style="204" customWidth="1"/>
    <col min="10" max="10" width="10.625" style="204" hidden="1" customWidth="1"/>
    <col min="11" max="11" width="11.125" style="204" customWidth="1"/>
    <col min="12" max="12" width="10.625" style="204" hidden="1" customWidth="1"/>
    <col min="13" max="13" width="11.125" style="204" customWidth="1"/>
    <col min="14" max="14" width="10.625" style="204" hidden="1" customWidth="1"/>
    <col min="15" max="15" width="12.125" style="204" customWidth="1"/>
    <col min="16" max="16" width="7.125" style="204" customWidth="1"/>
    <col min="17" max="17" width="12.125" style="46" customWidth="1"/>
    <col min="18" max="18" width="16.625" style="46" customWidth="1"/>
    <col min="19" max="19" width="15.375" style="140" customWidth="1"/>
    <col min="20" max="21" width="9.75" style="142" customWidth="1"/>
    <col min="22" max="16384" width="9" style="140"/>
  </cols>
  <sheetData>
    <row r="1" spans="1:21" s="98" customFormat="1" x14ac:dyDescent="0.2">
      <c r="A1" s="521" t="s">
        <v>5</v>
      </c>
      <c r="B1" s="521" t="s">
        <v>4</v>
      </c>
      <c r="C1" s="530" t="s">
        <v>3</v>
      </c>
      <c r="D1" s="530"/>
      <c r="E1" s="530"/>
      <c r="F1" s="530"/>
      <c r="G1" s="530"/>
      <c r="H1" s="530"/>
      <c r="I1" s="530"/>
      <c r="J1" s="530"/>
      <c r="K1" s="530"/>
      <c r="L1" s="530"/>
      <c r="M1" s="530"/>
      <c r="N1" s="530"/>
      <c r="O1" s="530"/>
      <c r="P1" s="531" t="s">
        <v>2</v>
      </c>
      <c r="Q1" s="518" t="s">
        <v>6</v>
      </c>
      <c r="R1" s="521" t="s">
        <v>7</v>
      </c>
      <c r="T1" s="155"/>
      <c r="U1" s="155"/>
    </row>
    <row r="2" spans="1:21" s="98" customFormat="1" ht="28.5" x14ac:dyDescent="0.2">
      <c r="A2" s="522"/>
      <c r="B2" s="522"/>
      <c r="C2" s="427" t="s">
        <v>439</v>
      </c>
      <c r="D2" s="524" t="s">
        <v>23</v>
      </c>
      <c r="E2" s="427" t="s">
        <v>440</v>
      </c>
      <c r="F2" s="524" t="s">
        <v>23</v>
      </c>
      <c r="G2" s="427" t="s">
        <v>441</v>
      </c>
      <c r="H2" s="524" t="s">
        <v>23</v>
      </c>
      <c r="I2" s="427" t="s">
        <v>442</v>
      </c>
      <c r="J2" s="524" t="s">
        <v>23</v>
      </c>
      <c r="K2" s="427" t="s">
        <v>443</v>
      </c>
      <c r="L2" s="524" t="s">
        <v>23</v>
      </c>
      <c r="M2" s="427" t="s">
        <v>444</v>
      </c>
      <c r="N2" s="524" t="s">
        <v>23</v>
      </c>
      <c r="O2" s="526" t="s">
        <v>22</v>
      </c>
      <c r="P2" s="532"/>
      <c r="Q2" s="519"/>
      <c r="R2" s="522"/>
      <c r="T2" s="194" t="s">
        <v>445</v>
      </c>
      <c r="U2" s="75" t="s">
        <v>446</v>
      </c>
    </row>
    <row r="3" spans="1:21" s="98" customFormat="1" x14ac:dyDescent="0.2">
      <c r="A3" s="523"/>
      <c r="B3" s="523"/>
      <c r="C3" s="192">
        <v>1</v>
      </c>
      <c r="D3" s="525"/>
      <c r="E3" s="192">
        <v>1</v>
      </c>
      <c r="F3" s="525"/>
      <c r="G3" s="192">
        <v>5</v>
      </c>
      <c r="H3" s="525"/>
      <c r="I3" s="192">
        <v>1</v>
      </c>
      <c r="J3" s="525"/>
      <c r="K3" s="192">
        <v>3</v>
      </c>
      <c r="L3" s="525"/>
      <c r="M3" s="192">
        <v>1</v>
      </c>
      <c r="N3" s="525"/>
      <c r="O3" s="527"/>
      <c r="P3" s="533"/>
      <c r="Q3" s="520"/>
      <c r="R3" s="523"/>
      <c r="S3" s="95">
        <f>C3+E3+G3+I3+K3+M3</f>
        <v>12</v>
      </c>
      <c r="T3" s="35"/>
      <c r="U3" s="35"/>
    </row>
    <row r="4" spans="1:21" x14ac:dyDescent="0.2">
      <c r="A4" s="127"/>
      <c r="B4" s="136"/>
      <c r="C4" s="128"/>
      <c r="D4" s="120"/>
      <c r="E4" s="120"/>
      <c r="F4" s="120"/>
      <c r="G4" s="120"/>
      <c r="H4" s="120"/>
      <c r="I4" s="120"/>
      <c r="J4" s="120"/>
      <c r="K4" s="120"/>
      <c r="L4" s="120"/>
      <c r="M4" s="120"/>
      <c r="N4" s="120"/>
      <c r="O4" s="120"/>
      <c r="P4" s="154"/>
      <c r="Q4" s="141"/>
      <c r="R4" s="137"/>
    </row>
    <row r="5" spans="1:21" x14ac:dyDescent="0.2">
      <c r="A5" s="139"/>
      <c r="B5" s="163" t="s">
        <v>11</v>
      </c>
      <c r="C5" s="128"/>
      <c r="D5" s="120"/>
      <c r="E5" s="120"/>
      <c r="F5" s="120"/>
      <c r="G5" s="120"/>
      <c r="H5" s="120"/>
      <c r="I5" s="120"/>
      <c r="J5" s="120"/>
      <c r="K5" s="120"/>
      <c r="L5" s="120"/>
      <c r="M5" s="120"/>
      <c r="N5" s="120"/>
      <c r="O5" s="120"/>
      <c r="P5" s="154"/>
      <c r="Q5" s="141"/>
      <c r="R5" s="137"/>
    </row>
    <row r="6" spans="1:21" x14ac:dyDescent="0.2">
      <c r="A6" s="139"/>
      <c r="B6" s="14"/>
      <c r="C6" s="128"/>
      <c r="D6" s="120"/>
      <c r="E6" s="120"/>
      <c r="F6" s="120"/>
      <c r="G6" s="120"/>
      <c r="H6" s="120"/>
      <c r="I6" s="120"/>
      <c r="J6" s="120"/>
      <c r="K6" s="120"/>
      <c r="L6" s="120"/>
      <c r="M6" s="120"/>
      <c r="N6" s="120"/>
      <c r="O6" s="120"/>
      <c r="P6" s="154"/>
      <c r="Q6" s="141"/>
      <c r="R6" s="137"/>
      <c r="T6" s="119"/>
      <c r="U6" s="119"/>
    </row>
    <row r="7" spans="1:21" x14ac:dyDescent="0.2">
      <c r="A7" s="139"/>
      <c r="B7" s="23" t="s">
        <v>313</v>
      </c>
      <c r="C7" s="128"/>
      <c r="D7" s="120"/>
      <c r="E7" s="120"/>
      <c r="F7" s="120"/>
      <c r="G7" s="120"/>
      <c r="H7" s="120"/>
      <c r="I7" s="120"/>
      <c r="J7" s="120"/>
      <c r="K7" s="120"/>
      <c r="L7" s="120"/>
      <c r="M7" s="120"/>
      <c r="N7" s="120"/>
      <c r="O7" s="120"/>
      <c r="P7" s="154"/>
      <c r="Q7" s="141"/>
      <c r="R7" s="137"/>
      <c r="T7" s="128"/>
      <c r="U7" s="128"/>
    </row>
    <row r="8" spans="1:21" x14ac:dyDescent="0.2">
      <c r="A8" s="139"/>
      <c r="B8" s="136" t="s">
        <v>386</v>
      </c>
      <c r="C8" s="128"/>
      <c r="D8" s="120"/>
      <c r="E8" s="120"/>
      <c r="F8" s="120"/>
      <c r="G8" s="120"/>
      <c r="H8" s="120"/>
      <c r="I8" s="120"/>
      <c r="J8" s="120"/>
      <c r="K8" s="120"/>
      <c r="L8" s="120"/>
      <c r="M8" s="120"/>
      <c r="N8" s="120"/>
      <c r="O8" s="120"/>
      <c r="P8" s="154"/>
      <c r="Q8" s="141"/>
      <c r="R8" s="137"/>
      <c r="T8" s="128"/>
      <c r="U8" s="128"/>
    </row>
    <row r="9" spans="1:21" x14ac:dyDescent="0.2">
      <c r="A9" s="139"/>
      <c r="B9" s="88" t="s">
        <v>316</v>
      </c>
      <c r="C9" s="128"/>
      <c r="D9" s="120"/>
      <c r="E9" s="120"/>
      <c r="F9" s="120"/>
      <c r="G9" s="120"/>
      <c r="H9" s="120"/>
      <c r="I9" s="120"/>
      <c r="J9" s="120"/>
      <c r="K9" s="120"/>
      <c r="L9" s="120"/>
      <c r="M9" s="120"/>
      <c r="N9" s="120"/>
      <c r="O9" s="120"/>
      <c r="P9" s="154"/>
      <c r="Q9" s="141"/>
      <c r="R9" s="137"/>
      <c r="T9" s="128"/>
      <c r="U9" s="128"/>
    </row>
    <row r="10" spans="1:21" x14ac:dyDescent="0.2">
      <c r="A10" s="139"/>
      <c r="B10" s="88" t="s">
        <v>387</v>
      </c>
      <c r="C10" s="128"/>
      <c r="D10" s="120"/>
      <c r="E10" s="120"/>
      <c r="F10" s="120"/>
      <c r="G10" s="120"/>
      <c r="H10" s="120"/>
      <c r="I10" s="120"/>
      <c r="J10" s="120"/>
      <c r="K10" s="120"/>
      <c r="L10" s="120"/>
      <c r="M10" s="120"/>
      <c r="N10" s="120"/>
      <c r="O10" s="120"/>
      <c r="P10" s="154"/>
      <c r="Q10" s="141"/>
      <c r="R10" s="137"/>
      <c r="T10" s="128"/>
      <c r="U10" s="128"/>
    </row>
    <row r="11" spans="1:21" s="74" customFormat="1" x14ac:dyDescent="0.2">
      <c r="A11" s="47"/>
      <c r="B11" s="164"/>
      <c r="C11" s="48"/>
      <c r="D11" s="48"/>
      <c r="E11" s="48"/>
      <c r="F11" s="48"/>
      <c r="G11" s="48"/>
      <c r="H11" s="48"/>
      <c r="I11" s="48"/>
      <c r="J11" s="48"/>
      <c r="K11" s="48"/>
      <c r="L11" s="48"/>
      <c r="M11" s="48"/>
      <c r="N11" s="48"/>
      <c r="O11" s="48"/>
      <c r="P11" s="71"/>
      <c r="Q11" s="72"/>
      <c r="R11" s="73"/>
      <c r="T11" s="142"/>
      <c r="U11" s="142"/>
    </row>
    <row r="12" spans="1:21" x14ac:dyDescent="0.2">
      <c r="A12" s="139"/>
      <c r="B12" s="80" t="s">
        <v>39</v>
      </c>
      <c r="C12" s="128"/>
      <c r="D12" s="120"/>
      <c r="E12" s="120"/>
      <c r="F12" s="120"/>
      <c r="G12" s="120"/>
      <c r="H12" s="120"/>
      <c r="I12" s="120"/>
      <c r="J12" s="120"/>
      <c r="K12" s="120"/>
      <c r="L12" s="120"/>
      <c r="M12" s="120"/>
      <c r="N12" s="120"/>
      <c r="O12" s="120"/>
      <c r="P12" s="154"/>
      <c r="Q12" s="141"/>
      <c r="R12" s="137"/>
    </row>
    <row r="13" spans="1:21" x14ac:dyDescent="0.2">
      <c r="A13" s="139"/>
      <c r="B13" s="80"/>
      <c r="C13" s="120"/>
      <c r="D13" s="120"/>
      <c r="E13" s="120"/>
      <c r="F13" s="120"/>
      <c r="G13" s="120"/>
      <c r="H13" s="120"/>
      <c r="I13" s="120"/>
      <c r="J13" s="120"/>
      <c r="K13" s="120"/>
      <c r="L13" s="120"/>
      <c r="M13" s="120"/>
      <c r="N13" s="120"/>
      <c r="O13" s="120"/>
      <c r="P13" s="154"/>
      <c r="Q13" s="141"/>
      <c r="R13" s="137"/>
    </row>
    <row r="14" spans="1:21" x14ac:dyDescent="0.2">
      <c r="A14" s="139"/>
      <c r="B14" s="160" t="s">
        <v>40</v>
      </c>
      <c r="C14" s="120"/>
      <c r="D14" s="120"/>
      <c r="E14" s="120"/>
      <c r="F14" s="120"/>
      <c r="G14" s="120"/>
      <c r="H14" s="120"/>
      <c r="I14" s="120"/>
      <c r="J14" s="120"/>
      <c r="K14" s="120"/>
      <c r="L14" s="120"/>
      <c r="M14" s="120"/>
      <c r="N14" s="120"/>
      <c r="O14" s="120"/>
      <c r="P14" s="154"/>
      <c r="Q14" s="141"/>
      <c r="R14" s="137"/>
    </row>
    <row r="15" spans="1:21" x14ac:dyDescent="0.2">
      <c r="A15" s="139"/>
      <c r="B15" s="160"/>
      <c r="C15" s="138"/>
      <c r="D15" s="138"/>
      <c r="E15" s="138"/>
      <c r="F15" s="138"/>
      <c r="G15" s="138"/>
      <c r="H15" s="138"/>
      <c r="I15" s="138"/>
      <c r="J15" s="138"/>
      <c r="K15" s="138"/>
      <c r="L15" s="138"/>
      <c r="M15" s="138"/>
      <c r="N15" s="138"/>
      <c r="O15" s="138"/>
      <c r="P15" s="154"/>
      <c r="Q15" s="141"/>
      <c r="R15" s="137"/>
    </row>
    <row r="16" spans="1:21" x14ac:dyDescent="0.2">
      <c r="A16" s="139"/>
      <c r="B16" s="160" t="s">
        <v>186</v>
      </c>
      <c r="C16" s="138">
        <f t="shared" ref="C16:C32" si="0">ROUND((2*$T16+2*$U16)*C$3,0)</f>
        <v>0</v>
      </c>
      <c r="D16" s="138">
        <f t="shared" ref="D16:D32" si="1">C16*$Q16</f>
        <v>0</v>
      </c>
      <c r="E16" s="138"/>
      <c r="F16" s="138"/>
      <c r="G16" s="138"/>
      <c r="H16" s="138"/>
      <c r="I16" s="138"/>
      <c r="J16" s="138"/>
      <c r="K16" s="138"/>
      <c r="L16" s="138"/>
      <c r="M16" s="138"/>
      <c r="N16" s="138"/>
      <c r="O16" s="138"/>
      <c r="P16" s="154"/>
      <c r="Q16" s="141"/>
      <c r="R16" s="137"/>
    </row>
    <row r="17" spans="1:22" x14ac:dyDescent="0.2">
      <c r="A17" s="139"/>
      <c r="B17" s="24"/>
      <c r="C17" s="138"/>
      <c r="D17" s="138">
        <f t="shared" si="1"/>
        <v>0</v>
      </c>
      <c r="E17" s="138"/>
      <c r="F17" s="138"/>
      <c r="G17" s="138"/>
      <c r="H17" s="138"/>
      <c r="I17" s="138"/>
      <c r="J17" s="138"/>
      <c r="K17" s="138"/>
      <c r="L17" s="138"/>
      <c r="M17" s="138"/>
      <c r="N17" s="138"/>
      <c r="O17" s="138"/>
      <c r="P17" s="154"/>
      <c r="Q17" s="141"/>
      <c r="R17" s="137"/>
      <c r="T17" s="142">
        <f>T60+T66+T76+T121*0.1+T123*0.25</f>
        <v>168.6</v>
      </c>
      <c r="U17" s="142">
        <f>U60+U66+U76+U121*0.1+U123*0.25</f>
        <v>151.25</v>
      </c>
    </row>
    <row r="18" spans="1:22" x14ac:dyDescent="0.2">
      <c r="A18" s="139" t="s">
        <v>66</v>
      </c>
      <c r="B18" s="83" t="s">
        <v>379</v>
      </c>
      <c r="C18" s="488">
        <f t="shared" si="0"/>
        <v>640</v>
      </c>
      <c r="D18" s="488">
        <f t="shared" si="1"/>
        <v>0</v>
      </c>
      <c r="E18" s="488">
        <f t="shared" ref="E18:E32" si="2">ROUND((2*$T18+3*$U18)*E$3,0)</f>
        <v>791</v>
      </c>
      <c r="F18" s="488">
        <f t="shared" ref="F18:F30" si="3">E18*$Q18</f>
        <v>0</v>
      </c>
      <c r="G18" s="488">
        <f t="shared" ref="G18:G32" si="4">ROUND((2*$T18+4*$U18)*G$3,0)</f>
        <v>4710</v>
      </c>
      <c r="H18" s="488">
        <f t="shared" ref="H18:H30" si="5">G18*$Q18</f>
        <v>0</v>
      </c>
      <c r="I18" s="488">
        <f t="shared" ref="I18:I32" si="6">ROUND((2*$T18+5*$U18)*I$3,0)</f>
        <v>1093</v>
      </c>
      <c r="J18" s="488">
        <f t="shared" ref="J18:J30" si="7">I18*$Q18</f>
        <v>0</v>
      </c>
      <c r="K18" s="488">
        <f t="shared" ref="K18:K32" si="8">ROUND((2*$T18+6*$U18)*K$3,0)</f>
        <v>3732</v>
      </c>
      <c r="L18" s="488">
        <f t="shared" ref="L18:L30" si="9">K18*$Q18</f>
        <v>0</v>
      </c>
      <c r="M18" s="488">
        <f t="shared" ref="M18:M32" si="10">ROUND((2*$T18+7*$U18)*M$3,0)</f>
        <v>1395</v>
      </c>
      <c r="N18" s="488">
        <f t="shared" ref="N18:N30" si="11">M18*$Q18</f>
        <v>0</v>
      </c>
      <c r="O18" s="488">
        <f>C18+E18+G18+I18+K18+M18</f>
        <v>12361</v>
      </c>
      <c r="P18" s="9" t="s">
        <v>10</v>
      </c>
      <c r="Q18" s="141"/>
      <c r="R18" s="137">
        <f>O18*Q18</f>
        <v>0</v>
      </c>
      <c r="T18" s="485">
        <v>169</v>
      </c>
      <c r="U18" s="485">
        <v>151</v>
      </c>
      <c r="V18" s="140" t="s">
        <v>564</v>
      </c>
    </row>
    <row r="19" spans="1:22" x14ac:dyDescent="0.2">
      <c r="A19" s="139"/>
      <c r="B19" s="24"/>
      <c r="C19" s="138"/>
      <c r="D19" s="138">
        <f t="shared" ref="D19:D20" si="12">C19*$Q19</f>
        <v>0</v>
      </c>
      <c r="E19" s="138"/>
      <c r="F19" s="138"/>
      <c r="G19" s="138"/>
      <c r="H19" s="138"/>
      <c r="I19" s="138"/>
      <c r="J19" s="138"/>
      <c r="K19" s="138"/>
      <c r="L19" s="138"/>
      <c r="M19" s="138"/>
      <c r="N19" s="138"/>
      <c r="O19" s="138"/>
      <c r="P19" s="154"/>
      <c r="Q19" s="141"/>
      <c r="R19" s="137"/>
      <c r="T19" s="485"/>
      <c r="U19" s="485"/>
    </row>
    <row r="20" spans="1:22" ht="28.5" x14ac:dyDescent="0.2">
      <c r="A20" s="486" t="s">
        <v>67</v>
      </c>
      <c r="B20" s="497" t="s">
        <v>948</v>
      </c>
      <c r="C20" s="488">
        <f t="shared" si="0"/>
        <v>46</v>
      </c>
      <c r="D20" s="488">
        <f t="shared" si="12"/>
        <v>0</v>
      </c>
      <c r="E20" s="488">
        <f t="shared" si="2"/>
        <v>57</v>
      </c>
      <c r="F20" s="488">
        <f t="shared" ref="F20" si="13">E20*$Q20</f>
        <v>0</v>
      </c>
      <c r="G20" s="488">
        <f t="shared" si="4"/>
        <v>340</v>
      </c>
      <c r="H20" s="488">
        <f t="shared" ref="H20" si="14">G20*$Q20</f>
        <v>0</v>
      </c>
      <c r="I20" s="488">
        <f t="shared" si="6"/>
        <v>79</v>
      </c>
      <c r="J20" s="488">
        <f t="shared" ref="J20" si="15">I20*$Q20</f>
        <v>0</v>
      </c>
      <c r="K20" s="488">
        <f t="shared" si="8"/>
        <v>270</v>
      </c>
      <c r="L20" s="488">
        <f t="shared" ref="L20" si="16">K20*$Q20</f>
        <v>0</v>
      </c>
      <c r="M20" s="488">
        <f t="shared" si="10"/>
        <v>101</v>
      </c>
      <c r="N20" s="488">
        <f t="shared" ref="N20" si="17">M20*$Q20</f>
        <v>0</v>
      </c>
      <c r="O20" s="488">
        <f>C20+E20+G20+I20+K20+M20</f>
        <v>893</v>
      </c>
      <c r="P20" s="498" t="s">
        <v>10</v>
      </c>
      <c r="Q20" s="141"/>
      <c r="R20" s="137">
        <f>O20*Q20</f>
        <v>0</v>
      </c>
      <c r="T20" s="485">
        <v>12</v>
      </c>
      <c r="U20" s="485">
        <v>11</v>
      </c>
    </row>
    <row r="21" spans="1:22" x14ac:dyDescent="0.2">
      <c r="A21" s="139"/>
      <c r="B21" s="24"/>
      <c r="C21" s="138">
        <f t="shared" si="0"/>
        <v>0</v>
      </c>
      <c r="D21" s="138">
        <f t="shared" si="1"/>
        <v>0</v>
      </c>
      <c r="E21" s="138">
        <f t="shared" si="2"/>
        <v>0</v>
      </c>
      <c r="F21" s="138">
        <f t="shared" si="3"/>
        <v>0</v>
      </c>
      <c r="G21" s="138">
        <f t="shared" si="4"/>
        <v>0</v>
      </c>
      <c r="H21" s="138">
        <f t="shared" si="5"/>
        <v>0</v>
      </c>
      <c r="I21" s="138">
        <f t="shared" si="6"/>
        <v>0</v>
      </c>
      <c r="J21" s="138">
        <f t="shared" si="7"/>
        <v>0</v>
      </c>
      <c r="K21" s="138">
        <f t="shared" si="8"/>
        <v>0</v>
      </c>
      <c r="L21" s="138">
        <f t="shared" si="9"/>
        <v>0</v>
      </c>
      <c r="M21" s="138">
        <f t="shared" si="10"/>
        <v>0</v>
      </c>
      <c r="N21" s="138">
        <f t="shared" si="11"/>
        <v>0</v>
      </c>
      <c r="O21" s="138">
        <f t="shared" ref="O21:O24" si="18">C21+E21+G21+I21+K21+M21</f>
        <v>0</v>
      </c>
      <c r="P21" s="154"/>
      <c r="Q21" s="141"/>
      <c r="R21" s="137"/>
    </row>
    <row r="22" spans="1:22" x14ac:dyDescent="0.2">
      <c r="A22" s="139" t="s">
        <v>68</v>
      </c>
      <c r="B22" s="83" t="s">
        <v>384</v>
      </c>
      <c r="C22" s="138">
        <f t="shared" si="0"/>
        <v>40</v>
      </c>
      <c r="D22" s="138">
        <f t="shared" si="1"/>
        <v>0</v>
      </c>
      <c r="E22" s="138">
        <f t="shared" si="2"/>
        <v>50</v>
      </c>
      <c r="F22" s="138">
        <f t="shared" si="3"/>
        <v>0</v>
      </c>
      <c r="G22" s="138">
        <f t="shared" si="4"/>
        <v>300</v>
      </c>
      <c r="H22" s="138">
        <f t="shared" si="5"/>
        <v>0</v>
      </c>
      <c r="I22" s="138">
        <f t="shared" si="6"/>
        <v>70</v>
      </c>
      <c r="J22" s="138">
        <f t="shared" si="7"/>
        <v>0</v>
      </c>
      <c r="K22" s="138">
        <f t="shared" si="8"/>
        <v>240</v>
      </c>
      <c r="L22" s="138">
        <f t="shared" si="9"/>
        <v>0</v>
      </c>
      <c r="M22" s="138">
        <f t="shared" si="10"/>
        <v>90</v>
      </c>
      <c r="N22" s="138">
        <f t="shared" si="11"/>
        <v>0</v>
      </c>
      <c r="O22" s="138">
        <f>C22+E22+G22+I22+K22+M22</f>
        <v>790</v>
      </c>
      <c r="P22" s="9" t="s">
        <v>10</v>
      </c>
      <c r="Q22" s="141"/>
      <c r="R22" s="137">
        <f>O22*Q22</f>
        <v>0</v>
      </c>
      <c r="T22" s="142">
        <v>10</v>
      </c>
      <c r="U22" s="142">
        <v>10</v>
      </c>
    </row>
    <row r="23" spans="1:22" x14ac:dyDescent="0.2">
      <c r="A23" s="139"/>
      <c r="B23" s="83"/>
      <c r="C23" s="138">
        <f t="shared" si="0"/>
        <v>0</v>
      </c>
      <c r="D23" s="138">
        <f t="shared" si="1"/>
        <v>0</v>
      </c>
      <c r="E23" s="138">
        <f t="shared" si="2"/>
        <v>0</v>
      </c>
      <c r="F23" s="138">
        <f t="shared" si="3"/>
        <v>0</v>
      </c>
      <c r="G23" s="138">
        <f t="shared" si="4"/>
        <v>0</v>
      </c>
      <c r="H23" s="138">
        <f t="shared" si="5"/>
        <v>0</v>
      </c>
      <c r="I23" s="138">
        <f t="shared" si="6"/>
        <v>0</v>
      </c>
      <c r="J23" s="138">
        <f t="shared" si="7"/>
        <v>0</v>
      </c>
      <c r="K23" s="138">
        <f t="shared" si="8"/>
        <v>0</v>
      </c>
      <c r="L23" s="138">
        <f t="shared" si="9"/>
        <v>0</v>
      </c>
      <c r="M23" s="138">
        <f t="shared" si="10"/>
        <v>0</v>
      </c>
      <c r="N23" s="138">
        <f t="shared" si="11"/>
        <v>0</v>
      </c>
      <c r="O23" s="138">
        <f t="shared" si="18"/>
        <v>0</v>
      </c>
      <c r="P23" s="9"/>
      <c r="Q23" s="141"/>
      <c r="R23" s="137"/>
    </row>
    <row r="24" spans="1:22" x14ac:dyDescent="0.2">
      <c r="A24" s="139"/>
      <c r="B24" s="160" t="s">
        <v>380</v>
      </c>
      <c r="C24" s="138">
        <f t="shared" si="0"/>
        <v>0</v>
      </c>
      <c r="D24" s="138">
        <f t="shared" si="1"/>
        <v>0</v>
      </c>
      <c r="E24" s="138">
        <f t="shared" si="2"/>
        <v>0</v>
      </c>
      <c r="F24" s="138">
        <f t="shared" si="3"/>
        <v>0</v>
      </c>
      <c r="G24" s="138">
        <f t="shared" si="4"/>
        <v>0</v>
      </c>
      <c r="H24" s="138">
        <f t="shared" si="5"/>
        <v>0</v>
      </c>
      <c r="I24" s="138">
        <f t="shared" si="6"/>
        <v>0</v>
      </c>
      <c r="J24" s="138">
        <f t="shared" si="7"/>
        <v>0</v>
      </c>
      <c r="K24" s="138">
        <f t="shared" si="8"/>
        <v>0</v>
      </c>
      <c r="L24" s="138">
        <f t="shared" si="9"/>
        <v>0</v>
      </c>
      <c r="M24" s="138">
        <f t="shared" si="10"/>
        <v>0</v>
      </c>
      <c r="N24" s="138">
        <f t="shared" si="11"/>
        <v>0</v>
      </c>
      <c r="O24" s="138">
        <f t="shared" si="18"/>
        <v>0</v>
      </c>
      <c r="P24" s="9"/>
      <c r="Q24" s="141"/>
      <c r="R24" s="137">
        <f>O24*Q24</f>
        <v>0</v>
      </c>
    </row>
    <row r="25" spans="1:22" ht="13.5" customHeight="1" x14ac:dyDescent="0.2">
      <c r="A25" s="139"/>
      <c r="B25" s="83"/>
      <c r="C25" s="138"/>
      <c r="D25" s="138">
        <f t="shared" si="1"/>
        <v>0</v>
      </c>
      <c r="E25" s="138"/>
      <c r="F25" s="138"/>
      <c r="G25" s="138"/>
      <c r="H25" s="138"/>
      <c r="I25" s="138"/>
      <c r="J25" s="138"/>
      <c r="K25" s="138"/>
      <c r="L25" s="138"/>
      <c r="M25" s="138"/>
      <c r="N25" s="138"/>
      <c r="O25" s="138"/>
      <c r="P25" s="9"/>
      <c r="Q25" s="141"/>
      <c r="R25" s="137"/>
      <c r="T25" s="142">
        <f>T109+T113+T117</f>
        <v>77</v>
      </c>
      <c r="U25" s="142">
        <f>U109+U113+U117</f>
        <v>78</v>
      </c>
    </row>
    <row r="26" spans="1:22" x14ac:dyDescent="0.2">
      <c r="A26" s="139" t="s">
        <v>69</v>
      </c>
      <c r="B26" s="83" t="s">
        <v>381</v>
      </c>
      <c r="C26" s="488">
        <f t="shared" si="0"/>
        <v>310</v>
      </c>
      <c r="D26" s="488">
        <f t="shared" si="1"/>
        <v>0</v>
      </c>
      <c r="E26" s="488">
        <f t="shared" si="2"/>
        <v>388</v>
      </c>
      <c r="F26" s="488">
        <f t="shared" si="3"/>
        <v>0</v>
      </c>
      <c r="G26" s="488">
        <f t="shared" si="4"/>
        <v>2330</v>
      </c>
      <c r="H26" s="488">
        <f t="shared" si="5"/>
        <v>0</v>
      </c>
      <c r="I26" s="488">
        <f t="shared" si="6"/>
        <v>544</v>
      </c>
      <c r="J26" s="488">
        <f t="shared" si="7"/>
        <v>0</v>
      </c>
      <c r="K26" s="488">
        <f t="shared" si="8"/>
        <v>1866</v>
      </c>
      <c r="L26" s="488">
        <f t="shared" si="9"/>
        <v>0</v>
      </c>
      <c r="M26" s="488">
        <f t="shared" si="10"/>
        <v>700</v>
      </c>
      <c r="N26" s="488">
        <f t="shared" si="11"/>
        <v>0</v>
      </c>
      <c r="O26" s="488">
        <f>C26+E26+G26+I26+K26+M26</f>
        <v>6138</v>
      </c>
      <c r="P26" s="9" t="s">
        <v>10</v>
      </c>
      <c r="Q26" s="141"/>
      <c r="R26" s="137">
        <f>O26*Q26</f>
        <v>0</v>
      </c>
      <c r="T26" s="485">
        <v>77</v>
      </c>
      <c r="U26" s="485">
        <v>78</v>
      </c>
    </row>
    <row r="27" spans="1:22" x14ac:dyDescent="0.2">
      <c r="A27" s="139"/>
      <c r="B27" s="83"/>
      <c r="C27" s="138"/>
      <c r="D27" s="138">
        <f t="shared" si="1"/>
        <v>0</v>
      </c>
      <c r="E27" s="138"/>
      <c r="F27" s="138"/>
      <c r="G27" s="138"/>
      <c r="H27" s="138"/>
      <c r="I27" s="138"/>
      <c r="J27" s="138"/>
      <c r="K27" s="138"/>
      <c r="L27" s="138"/>
      <c r="M27" s="138"/>
      <c r="N27" s="138"/>
      <c r="O27" s="138"/>
      <c r="P27" s="9"/>
      <c r="Q27" s="141"/>
      <c r="R27" s="137"/>
      <c r="T27" s="142">
        <f>T233+T241</f>
        <v>445</v>
      </c>
      <c r="U27" s="142">
        <f>U233+U241</f>
        <v>366</v>
      </c>
    </row>
    <row r="28" spans="1:22" x14ac:dyDescent="0.2">
      <c r="A28" s="139" t="s">
        <v>70</v>
      </c>
      <c r="B28" s="112" t="s">
        <v>43</v>
      </c>
      <c r="C28" s="488">
        <f t="shared" si="0"/>
        <v>1622</v>
      </c>
      <c r="D28" s="488">
        <f t="shared" si="1"/>
        <v>0</v>
      </c>
      <c r="E28" s="488">
        <f t="shared" si="2"/>
        <v>1988</v>
      </c>
      <c r="F28" s="488">
        <f t="shared" si="3"/>
        <v>0</v>
      </c>
      <c r="G28" s="488">
        <f t="shared" si="4"/>
        <v>11770</v>
      </c>
      <c r="H28" s="488">
        <f t="shared" si="5"/>
        <v>0</v>
      </c>
      <c r="I28" s="488">
        <f t="shared" si="6"/>
        <v>2720</v>
      </c>
      <c r="J28" s="488">
        <f t="shared" si="7"/>
        <v>0</v>
      </c>
      <c r="K28" s="488">
        <f t="shared" si="8"/>
        <v>9258</v>
      </c>
      <c r="L28" s="488">
        <f t="shared" si="9"/>
        <v>0</v>
      </c>
      <c r="M28" s="488">
        <f t="shared" si="10"/>
        <v>3452</v>
      </c>
      <c r="N28" s="488">
        <f t="shared" si="11"/>
        <v>0</v>
      </c>
      <c r="O28" s="488">
        <f>C28+E28+G28+I28+K28+M28</f>
        <v>30810</v>
      </c>
      <c r="P28" s="9" t="s">
        <v>10</v>
      </c>
      <c r="Q28" s="141"/>
      <c r="R28" s="137">
        <f>O28*Q28</f>
        <v>0</v>
      </c>
      <c r="T28" s="485">
        <v>445</v>
      </c>
      <c r="U28" s="485">
        <v>366</v>
      </c>
    </row>
    <row r="29" spans="1:22" x14ac:dyDescent="0.2">
      <c r="A29" s="139"/>
      <c r="B29" s="24"/>
      <c r="C29" s="138"/>
      <c r="D29" s="138"/>
      <c r="E29" s="138"/>
      <c r="F29" s="138"/>
      <c r="G29" s="138"/>
      <c r="H29" s="138"/>
      <c r="I29" s="138"/>
      <c r="J29" s="138"/>
      <c r="K29" s="138"/>
      <c r="L29" s="138"/>
      <c r="M29" s="138"/>
      <c r="N29" s="138"/>
      <c r="O29" s="138"/>
      <c r="P29" s="154"/>
      <c r="Q29" s="141"/>
      <c r="R29" s="137"/>
      <c r="T29" s="142">
        <f>T249</f>
        <v>83</v>
      </c>
      <c r="U29" s="142">
        <f>U249</f>
        <v>91</v>
      </c>
    </row>
    <row r="30" spans="1:22" x14ac:dyDescent="0.2">
      <c r="A30" s="139" t="s">
        <v>71</v>
      </c>
      <c r="B30" s="12" t="s">
        <v>382</v>
      </c>
      <c r="C30" s="138">
        <f t="shared" si="0"/>
        <v>348</v>
      </c>
      <c r="D30" s="138">
        <f t="shared" si="1"/>
        <v>0</v>
      </c>
      <c r="E30" s="138">
        <f t="shared" si="2"/>
        <v>439</v>
      </c>
      <c r="F30" s="138">
        <f t="shared" si="3"/>
        <v>0</v>
      </c>
      <c r="G30" s="138">
        <f t="shared" si="4"/>
        <v>2650</v>
      </c>
      <c r="H30" s="138">
        <f t="shared" si="5"/>
        <v>0</v>
      </c>
      <c r="I30" s="138">
        <f t="shared" si="6"/>
        <v>621</v>
      </c>
      <c r="J30" s="138">
        <f t="shared" si="7"/>
        <v>0</v>
      </c>
      <c r="K30" s="138">
        <f t="shared" si="8"/>
        <v>2136</v>
      </c>
      <c r="L30" s="138">
        <f t="shared" si="9"/>
        <v>0</v>
      </c>
      <c r="M30" s="138">
        <f t="shared" si="10"/>
        <v>803</v>
      </c>
      <c r="N30" s="138">
        <f t="shared" si="11"/>
        <v>0</v>
      </c>
      <c r="O30" s="138">
        <f>C30+E30+G30+I30+K30+M30</f>
        <v>6997</v>
      </c>
      <c r="P30" s="9" t="s">
        <v>10</v>
      </c>
      <c r="Q30" s="141"/>
      <c r="R30" s="137">
        <f>O30*Q30</f>
        <v>0</v>
      </c>
      <c r="T30" s="485">
        <v>83</v>
      </c>
      <c r="U30" s="485">
        <v>91</v>
      </c>
    </row>
    <row r="31" spans="1:22" x14ac:dyDescent="0.2">
      <c r="A31" s="139"/>
      <c r="B31" s="24"/>
      <c r="C31" s="138"/>
      <c r="D31" s="138">
        <f t="shared" si="1"/>
        <v>0</v>
      </c>
      <c r="E31" s="138"/>
      <c r="F31" s="138"/>
      <c r="G31" s="138"/>
      <c r="H31" s="138"/>
      <c r="I31" s="138"/>
      <c r="J31" s="138"/>
      <c r="K31" s="138"/>
      <c r="L31" s="138"/>
      <c r="M31" s="138"/>
      <c r="N31" s="138"/>
      <c r="O31" s="138"/>
      <c r="P31" s="154"/>
      <c r="Q31" s="141"/>
      <c r="R31" s="137"/>
    </row>
    <row r="32" spans="1:22" x14ac:dyDescent="0.2">
      <c r="A32" s="486" t="s">
        <v>72</v>
      </c>
      <c r="B32" s="499" t="s">
        <v>949</v>
      </c>
      <c r="C32" s="488">
        <f t="shared" si="0"/>
        <v>296</v>
      </c>
      <c r="D32" s="488">
        <f t="shared" si="1"/>
        <v>0</v>
      </c>
      <c r="E32" s="488">
        <f t="shared" si="2"/>
        <v>363</v>
      </c>
      <c r="F32" s="488">
        <f t="shared" ref="F32" si="19">E32*$Q32</f>
        <v>0</v>
      </c>
      <c r="G32" s="488">
        <f t="shared" si="4"/>
        <v>2150</v>
      </c>
      <c r="H32" s="488">
        <f t="shared" ref="H32" si="20">G32*$Q32</f>
        <v>0</v>
      </c>
      <c r="I32" s="488">
        <f t="shared" si="6"/>
        <v>497</v>
      </c>
      <c r="J32" s="488">
        <f t="shared" ref="J32" si="21">I32*$Q32</f>
        <v>0</v>
      </c>
      <c r="K32" s="488">
        <f t="shared" si="8"/>
        <v>1692</v>
      </c>
      <c r="L32" s="488">
        <f t="shared" ref="L32" si="22">K32*$Q32</f>
        <v>0</v>
      </c>
      <c r="M32" s="488">
        <f t="shared" si="10"/>
        <v>631</v>
      </c>
      <c r="N32" s="488">
        <f t="shared" ref="N32" si="23">M32*$Q32</f>
        <v>0</v>
      </c>
      <c r="O32" s="488">
        <f>C32+E32+G32+I32+K32+M32</f>
        <v>5629</v>
      </c>
      <c r="P32" s="498" t="s">
        <v>10</v>
      </c>
      <c r="Q32" s="141"/>
      <c r="R32" s="137">
        <f>O32*Q32</f>
        <v>0</v>
      </c>
      <c r="T32" s="485">
        <v>81</v>
      </c>
      <c r="U32" s="485">
        <v>67</v>
      </c>
    </row>
    <row r="33" spans="1:21" x14ac:dyDescent="0.2">
      <c r="A33" s="139"/>
      <c r="B33" s="160"/>
      <c r="C33" s="138">
        <f t="shared" ref="C33:C48" si="24">ROUND((2*$T33+2*$U33)*C$3,0)</f>
        <v>0</v>
      </c>
      <c r="D33" s="138">
        <f t="shared" ref="D33:D48" si="25">C33*$Q33</f>
        <v>0</v>
      </c>
      <c r="E33" s="138">
        <f t="shared" ref="E33:E44" si="26">ROUND((2*$T33+3*$U33)*E$3,0)</f>
        <v>0</v>
      </c>
      <c r="F33" s="138">
        <f t="shared" ref="F33:F44" si="27">E33*$Q33</f>
        <v>0</v>
      </c>
      <c r="G33" s="138">
        <f t="shared" ref="G33:G44" si="28">ROUND((2*$T33+4*$U33)*G$3,0)</f>
        <v>0</v>
      </c>
      <c r="H33" s="138">
        <f t="shared" ref="H33:H44" si="29">G33*$Q33</f>
        <v>0</v>
      </c>
      <c r="I33" s="138">
        <f t="shared" ref="I33:I44" si="30">ROUND((2*$T33+5*$U33)*I$3,0)</f>
        <v>0</v>
      </c>
      <c r="J33" s="138">
        <f t="shared" ref="J33:J44" si="31">I33*$Q33</f>
        <v>0</v>
      </c>
      <c r="K33" s="138">
        <f t="shared" ref="K33:K44" si="32">ROUND((2*$T33+6*$U33)*K$3,0)</f>
        <v>0</v>
      </c>
      <c r="L33" s="138">
        <f t="shared" ref="L33:L44" si="33">K33*$Q33</f>
        <v>0</v>
      </c>
      <c r="M33" s="138">
        <f t="shared" ref="M33:M44" si="34">ROUND((2*$T33+7*$U33)*M$3,0)</f>
        <v>0</v>
      </c>
      <c r="N33" s="138">
        <f t="shared" ref="N33:N44" si="35">M33*$Q33</f>
        <v>0</v>
      </c>
      <c r="O33" s="138">
        <f t="shared" ref="O33:O44" si="36">C33+E33+G33+I33+K33+M33</f>
        <v>0</v>
      </c>
      <c r="P33" s="154"/>
      <c r="Q33" s="141"/>
      <c r="R33" s="137"/>
    </row>
    <row r="34" spans="1:21" x14ac:dyDescent="0.2">
      <c r="A34" s="139"/>
      <c r="B34" s="160" t="s">
        <v>41</v>
      </c>
      <c r="C34" s="138">
        <f t="shared" si="24"/>
        <v>0</v>
      </c>
      <c r="D34" s="138">
        <f t="shared" si="25"/>
        <v>0</v>
      </c>
      <c r="E34" s="138">
        <f t="shared" si="26"/>
        <v>0</v>
      </c>
      <c r="F34" s="138">
        <f t="shared" si="27"/>
        <v>0</v>
      </c>
      <c r="G34" s="138">
        <f t="shared" si="28"/>
        <v>0</v>
      </c>
      <c r="H34" s="138">
        <f t="shared" si="29"/>
        <v>0</v>
      </c>
      <c r="I34" s="138">
        <f t="shared" si="30"/>
        <v>0</v>
      </c>
      <c r="J34" s="138">
        <f t="shared" si="31"/>
        <v>0</v>
      </c>
      <c r="K34" s="138">
        <f t="shared" si="32"/>
        <v>0</v>
      </c>
      <c r="L34" s="138">
        <f t="shared" si="33"/>
        <v>0</v>
      </c>
      <c r="M34" s="138">
        <f t="shared" si="34"/>
        <v>0</v>
      </c>
      <c r="N34" s="138">
        <f t="shared" si="35"/>
        <v>0</v>
      </c>
      <c r="O34" s="138">
        <f t="shared" si="36"/>
        <v>0</v>
      </c>
      <c r="P34" s="9"/>
      <c r="Q34" s="141"/>
      <c r="R34" s="137"/>
    </row>
    <row r="35" spans="1:21" ht="13.5" customHeight="1" x14ac:dyDescent="0.2">
      <c r="A35" s="139"/>
      <c r="B35" s="83"/>
      <c r="C35" s="138"/>
      <c r="D35" s="138">
        <f t="shared" si="25"/>
        <v>0</v>
      </c>
      <c r="E35" s="138"/>
      <c r="F35" s="138"/>
      <c r="G35" s="138"/>
      <c r="H35" s="138"/>
      <c r="I35" s="138"/>
      <c r="J35" s="138"/>
      <c r="K35" s="138"/>
      <c r="L35" s="138"/>
      <c r="M35" s="138"/>
      <c r="N35" s="138"/>
      <c r="O35" s="138"/>
      <c r="P35" s="9"/>
      <c r="Q35" s="141"/>
      <c r="R35" s="137"/>
    </row>
    <row r="36" spans="1:21" x14ac:dyDescent="0.2">
      <c r="A36" s="139"/>
      <c r="B36" s="160" t="s">
        <v>385</v>
      </c>
      <c r="C36" s="138">
        <f t="shared" si="24"/>
        <v>0</v>
      </c>
      <c r="D36" s="138">
        <f t="shared" si="25"/>
        <v>0</v>
      </c>
      <c r="E36" s="138">
        <f t="shared" si="26"/>
        <v>0</v>
      </c>
      <c r="F36" s="138">
        <f t="shared" si="27"/>
        <v>0</v>
      </c>
      <c r="G36" s="138">
        <f t="shared" si="28"/>
        <v>0</v>
      </c>
      <c r="H36" s="138">
        <f t="shared" si="29"/>
        <v>0</v>
      </c>
      <c r="I36" s="138">
        <f t="shared" si="30"/>
        <v>0</v>
      </c>
      <c r="J36" s="138">
        <f t="shared" si="31"/>
        <v>0</v>
      </c>
      <c r="K36" s="138">
        <f t="shared" si="32"/>
        <v>0</v>
      </c>
      <c r="L36" s="138">
        <f t="shared" si="33"/>
        <v>0</v>
      </c>
      <c r="M36" s="138">
        <f t="shared" si="34"/>
        <v>0</v>
      </c>
      <c r="N36" s="138">
        <f t="shared" si="35"/>
        <v>0</v>
      </c>
      <c r="O36" s="138">
        <f t="shared" si="36"/>
        <v>0</v>
      </c>
      <c r="P36" s="154"/>
      <c r="Q36" s="141"/>
      <c r="R36" s="137"/>
    </row>
    <row r="37" spans="1:21" ht="13.5" customHeight="1" x14ac:dyDescent="0.2">
      <c r="A37" s="139"/>
      <c r="B37" s="83"/>
      <c r="C37" s="138"/>
      <c r="D37" s="138">
        <f t="shared" si="25"/>
        <v>0</v>
      </c>
      <c r="E37" s="138"/>
      <c r="F37" s="138"/>
      <c r="G37" s="138"/>
      <c r="H37" s="138"/>
      <c r="I37" s="138"/>
      <c r="J37" s="138"/>
      <c r="K37" s="138"/>
      <c r="L37" s="138"/>
      <c r="M37" s="138"/>
      <c r="N37" s="138"/>
      <c r="O37" s="138"/>
      <c r="P37" s="9"/>
      <c r="Q37" s="141"/>
      <c r="R37" s="137"/>
    </row>
    <row r="38" spans="1:21" x14ac:dyDescent="0.2">
      <c r="A38" s="139" t="s">
        <v>73</v>
      </c>
      <c r="B38" s="83" t="s">
        <v>247</v>
      </c>
      <c r="C38" s="138">
        <f t="shared" si="24"/>
        <v>72</v>
      </c>
      <c r="D38" s="138">
        <f t="shared" si="25"/>
        <v>0</v>
      </c>
      <c r="E38" s="138">
        <f t="shared" si="26"/>
        <v>87</v>
      </c>
      <c r="F38" s="138">
        <f t="shared" si="27"/>
        <v>0</v>
      </c>
      <c r="G38" s="138">
        <f t="shared" si="28"/>
        <v>510</v>
      </c>
      <c r="H38" s="138">
        <f t="shared" si="29"/>
        <v>0</v>
      </c>
      <c r="I38" s="138">
        <f t="shared" si="30"/>
        <v>117</v>
      </c>
      <c r="J38" s="138">
        <f t="shared" si="31"/>
        <v>0</v>
      </c>
      <c r="K38" s="138">
        <f t="shared" si="32"/>
        <v>396</v>
      </c>
      <c r="L38" s="138">
        <f t="shared" si="33"/>
        <v>0</v>
      </c>
      <c r="M38" s="138">
        <f t="shared" si="34"/>
        <v>147</v>
      </c>
      <c r="N38" s="138">
        <f t="shared" si="35"/>
        <v>0</v>
      </c>
      <c r="O38" s="138">
        <f>C38+E38+G38+I38+K38+M38</f>
        <v>1329</v>
      </c>
      <c r="P38" s="9" t="s">
        <v>10</v>
      </c>
      <c r="Q38" s="141"/>
      <c r="R38" s="137">
        <f>O38*Q38</f>
        <v>0</v>
      </c>
      <c r="T38" s="142">
        <v>21</v>
      </c>
      <c r="U38" s="142">
        <v>15</v>
      </c>
    </row>
    <row r="39" spans="1:21" x14ac:dyDescent="0.2">
      <c r="A39" s="139"/>
      <c r="B39" s="83"/>
      <c r="C39" s="138">
        <f t="shared" si="24"/>
        <v>0</v>
      </c>
      <c r="D39" s="138">
        <f t="shared" si="25"/>
        <v>0</v>
      </c>
      <c r="E39" s="138">
        <f t="shared" si="26"/>
        <v>0</v>
      </c>
      <c r="F39" s="138">
        <f t="shared" si="27"/>
        <v>0</v>
      </c>
      <c r="G39" s="138">
        <f t="shared" si="28"/>
        <v>0</v>
      </c>
      <c r="H39" s="138">
        <f t="shared" si="29"/>
        <v>0</v>
      </c>
      <c r="I39" s="138">
        <f t="shared" si="30"/>
        <v>0</v>
      </c>
      <c r="J39" s="138">
        <f t="shared" si="31"/>
        <v>0</v>
      </c>
      <c r="K39" s="138">
        <f t="shared" si="32"/>
        <v>0</v>
      </c>
      <c r="L39" s="138">
        <f t="shared" si="33"/>
        <v>0</v>
      </c>
      <c r="M39" s="138">
        <f t="shared" si="34"/>
        <v>0</v>
      </c>
      <c r="N39" s="138">
        <f t="shared" si="35"/>
        <v>0</v>
      </c>
      <c r="O39" s="138">
        <f t="shared" si="36"/>
        <v>0</v>
      </c>
      <c r="P39" s="9"/>
      <c r="Q39" s="141"/>
      <c r="R39" s="137"/>
      <c r="T39" s="119"/>
      <c r="U39" s="119"/>
    </row>
    <row r="40" spans="1:21" x14ac:dyDescent="0.2">
      <c r="A40" s="139"/>
      <c r="B40" s="160" t="s">
        <v>494</v>
      </c>
      <c r="C40" s="138">
        <f t="shared" si="24"/>
        <v>0</v>
      </c>
      <c r="D40" s="138">
        <f t="shared" si="25"/>
        <v>0</v>
      </c>
      <c r="E40" s="138">
        <f t="shared" si="26"/>
        <v>0</v>
      </c>
      <c r="F40" s="138">
        <f t="shared" si="27"/>
        <v>0</v>
      </c>
      <c r="G40" s="138">
        <f t="shared" si="28"/>
        <v>0</v>
      </c>
      <c r="H40" s="138">
        <f t="shared" si="29"/>
        <v>0</v>
      </c>
      <c r="I40" s="138">
        <f t="shared" si="30"/>
        <v>0</v>
      </c>
      <c r="J40" s="138">
        <f t="shared" si="31"/>
        <v>0</v>
      </c>
      <c r="K40" s="138">
        <f t="shared" si="32"/>
        <v>0</v>
      </c>
      <c r="L40" s="138">
        <f t="shared" si="33"/>
        <v>0</v>
      </c>
      <c r="M40" s="138">
        <f t="shared" si="34"/>
        <v>0</v>
      </c>
      <c r="N40" s="138">
        <f t="shared" si="35"/>
        <v>0</v>
      </c>
      <c r="O40" s="138">
        <f t="shared" si="36"/>
        <v>0</v>
      </c>
      <c r="P40" s="154"/>
      <c r="Q40" s="141"/>
      <c r="R40" s="137"/>
    </row>
    <row r="41" spans="1:21" ht="13.5" customHeight="1" x14ac:dyDescent="0.2">
      <c r="A41" s="139"/>
      <c r="B41" s="83"/>
      <c r="C41" s="138"/>
      <c r="D41" s="138">
        <f t="shared" si="25"/>
        <v>0</v>
      </c>
      <c r="E41" s="138"/>
      <c r="F41" s="138"/>
      <c r="G41" s="138"/>
      <c r="H41" s="138"/>
      <c r="I41" s="138"/>
      <c r="J41" s="138"/>
      <c r="K41" s="138"/>
      <c r="L41" s="138"/>
      <c r="M41" s="138"/>
      <c r="N41" s="138"/>
      <c r="O41" s="138"/>
      <c r="P41" s="9"/>
      <c r="Q41" s="141"/>
      <c r="R41" s="137"/>
    </row>
    <row r="42" spans="1:21" x14ac:dyDescent="0.2">
      <c r="A42" s="139" t="s">
        <v>74</v>
      </c>
      <c r="B42" s="83" t="s">
        <v>495</v>
      </c>
      <c r="C42" s="138">
        <f t="shared" si="24"/>
        <v>4</v>
      </c>
      <c r="D42" s="138">
        <f t="shared" si="25"/>
        <v>0</v>
      </c>
      <c r="E42" s="138">
        <f t="shared" si="26"/>
        <v>5</v>
      </c>
      <c r="F42" s="138">
        <f t="shared" si="27"/>
        <v>0</v>
      </c>
      <c r="G42" s="138">
        <f t="shared" si="28"/>
        <v>30</v>
      </c>
      <c r="H42" s="138">
        <f t="shared" si="29"/>
        <v>0</v>
      </c>
      <c r="I42" s="138">
        <f t="shared" si="30"/>
        <v>7</v>
      </c>
      <c r="J42" s="138">
        <f t="shared" si="31"/>
        <v>0</v>
      </c>
      <c r="K42" s="138">
        <f t="shared" si="32"/>
        <v>24</v>
      </c>
      <c r="L42" s="138">
        <f t="shared" si="33"/>
        <v>0</v>
      </c>
      <c r="M42" s="138">
        <f t="shared" si="34"/>
        <v>9</v>
      </c>
      <c r="N42" s="138">
        <f t="shared" si="35"/>
        <v>0</v>
      </c>
      <c r="O42" s="138">
        <f>C42+E42+G42+I42+K42+M42</f>
        <v>79</v>
      </c>
      <c r="P42" s="9" t="s">
        <v>10</v>
      </c>
      <c r="Q42" s="141"/>
      <c r="R42" s="137">
        <f>O42*Q42</f>
        <v>0</v>
      </c>
      <c r="T42" s="142">
        <v>1</v>
      </c>
      <c r="U42" s="142">
        <v>1</v>
      </c>
    </row>
    <row r="43" spans="1:21" x14ac:dyDescent="0.2">
      <c r="A43" s="139"/>
      <c r="B43" s="112"/>
      <c r="C43" s="138">
        <f t="shared" si="24"/>
        <v>0</v>
      </c>
      <c r="D43" s="138">
        <f t="shared" si="25"/>
        <v>0</v>
      </c>
      <c r="E43" s="138">
        <f t="shared" si="26"/>
        <v>0</v>
      </c>
      <c r="F43" s="138">
        <f t="shared" si="27"/>
        <v>0</v>
      </c>
      <c r="G43" s="138">
        <f t="shared" si="28"/>
        <v>0</v>
      </c>
      <c r="H43" s="138">
        <f t="shared" si="29"/>
        <v>0</v>
      </c>
      <c r="I43" s="138">
        <f t="shared" si="30"/>
        <v>0</v>
      </c>
      <c r="J43" s="138">
        <f t="shared" si="31"/>
        <v>0</v>
      </c>
      <c r="K43" s="138">
        <f t="shared" si="32"/>
        <v>0</v>
      </c>
      <c r="L43" s="138">
        <f t="shared" si="33"/>
        <v>0</v>
      </c>
      <c r="M43" s="138">
        <f t="shared" si="34"/>
        <v>0</v>
      </c>
      <c r="N43" s="138">
        <f t="shared" si="35"/>
        <v>0</v>
      </c>
      <c r="O43" s="138">
        <f t="shared" si="36"/>
        <v>0</v>
      </c>
      <c r="P43" s="154"/>
      <c r="Q43" s="141"/>
      <c r="R43" s="137"/>
    </row>
    <row r="44" spans="1:21" x14ac:dyDescent="0.2">
      <c r="A44" s="139"/>
      <c r="B44" s="111" t="s">
        <v>380</v>
      </c>
      <c r="C44" s="138">
        <f t="shared" si="24"/>
        <v>0</v>
      </c>
      <c r="D44" s="138">
        <f t="shared" si="25"/>
        <v>0</v>
      </c>
      <c r="E44" s="138">
        <f t="shared" si="26"/>
        <v>0</v>
      </c>
      <c r="F44" s="138">
        <f t="shared" si="27"/>
        <v>0</v>
      </c>
      <c r="G44" s="138">
        <f t="shared" si="28"/>
        <v>0</v>
      </c>
      <c r="H44" s="138">
        <f t="shared" si="29"/>
        <v>0</v>
      </c>
      <c r="I44" s="138">
        <f t="shared" si="30"/>
        <v>0</v>
      </c>
      <c r="J44" s="138">
        <f t="shared" si="31"/>
        <v>0</v>
      </c>
      <c r="K44" s="138">
        <f t="shared" si="32"/>
        <v>0</v>
      </c>
      <c r="L44" s="138">
        <f t="shared" si="33"/>
        <v>0</v>
      </c>
      <c r="M44" s="138">
        <f t="shared" si="34"/>
        <v>0</v>
      </c>
      <c r="N44" s="138">
        <f t="shared" si="35"/>
        <v>0</v>
      </c>
      <c r="O44" s="138">
        <f t="shared" si="36"/>
        <v>0</v>
      </c>
      <c r="P44" s="154"/>
      <c r="Q44" s="141"/>
      <c r="R44" s="137"/>
    </row>
    <row r="45" spans="1:21" ht="13.5" customHeight="1" x14ac:dyDescent="0.2">
      <c r="A45" s="139"/>
      <c r="B45" s="83"/>
      <c r="C45" s="138"/>
      <c r="D45" s="138">
        <f t="shared" si="25"/>
        <v>0</v>
      </c>
      <c r="E45" s="138"/>
      <c r="F45" s="138"/>
      <c r="G45" s="138"/>
      <c r="H45" s="138"/>
      <c r="I45" s="138"/>
      <c r="J45" s="138"/>
      <c r="K45" s="138"/>
      <c r="L45" s="138"/>
      <c r="M45" s="138"/>
      <c r="N45" s="138"/>
      <c r="O45" s="138"/>
      <c r="P45" s="9"/>
      <c r="Q45" s="141"/>
      <c r="R45" s="137"/>
      <c r="T45" s="142">
        <f>T272+T278+T284</f>
        <v>329</v>
      </c>
      <c r="U45" s="142">
        <f>U272+U278+U284</f>
        <v>255</v>
      </c>
    </row>
    <row r="46" spans="1:21" x14ac:dyDescent="0.2">
      <c r="A46" s="139" t="s">
        <v>75</v>
      </c>
      <c r="B46" s="83" t="s">
        <v>43</v>
      </c>
      <c r="C46" s="488">
        <f t="shared" si="24"/>
        <v>1168</v>
      </c>
      <c r="D46" s="488">
        <f t="shared" si="25"/>
        <v>0</v>
      </c>
      <c r="E46" s="488">
        <f>ROUND((2*$T46+3*$U46)*E$3,0)</f>
        <v>1423</v>
      </c>
      <c r="F46" s="488">
        <f>E46*$Q46</f>
        <v>0</v>
      </c>
      <c r="G46" s="488">
        <f>ROUND((2*$T46+4*$U46)*G$3,0)</f>
        <v>8390</v>
      </c>
      <c r="H46" s="488">
        <f>G46*$Q46</f>
        <v>0</v>
      </c>
      <c r="I46" s="488">
        <f>ROUND((2*$T46+5*$U46)*I$3,0)</f>
        <v>1933</v>
      </c>
      <c r="J46" s="488">
        <f>I46*$Q46</f>
        <v>0</v>
      </c>
      <c r="K46" s="488">
        <f>ROUND((2*$T46+6*$U46)*K$3,0)</f>
        <v>6564</v>
      </c>
      <c r="L46" s="488">
        <f>K46*$Q46</f>
        <v>0</v>
      </c>
      <c r="M46" s="488">
        <f>ROUND((2*$T46+7*$U46)*M$3,0)</f>
        <v>2443</v>
      </c>
      <c r="N46" s="488">
        <f>M46*$Q46</f>
        <v>0</v>
      </c>
      <c r="O46" s="488">
        <f>C46+E46+G46+I46+K46+M46</f>
        <v>21921</v>
      </c>
      <c r="P46" s="9" t="s">
        <v>10</v>
      </c>
      <c r="Q46" s="141"/>
      <c r="R46" s="137">
        <f>O46*Q46</f>
        <v>0</v>
      </c>
      <c r="T46" s="485">
        <v>329</v>
      </c>
      <c r="U46" s="142">
        <v>255</v>
      </c>
    </row>
    <row r="47" spans="1:21" x14ac:dyDescent="0.2">
      <c r="A47" s="139"/>
      <c r="B47" s="160"/>
      <c r="C47" s="138"/>
      <c r="D47" s="138"/>
      <c r="E47" s="138"/>
      <c r="F47" s="138"/>
      <c r="G47" s="138"/>
      <c r="H47" s="138"/>
      <c r="I47" s="138"/>
      <c r="J47" s="138"/>
      <c r="K47" s="138"/>
      <c r="L47" s="138"/>
      <c r="M47" s="138"/>
      <c r="N47" s="138"/>
      <c r="O47" s="138"/>
      <c r="P47" s="154"/>
      <c r="Q47" s="141"/>
      <c r="R47" s="137"/>
      <c r="T47" s="142">
        <f>T274+T280</f>
        <v>15</v>
      </c>
      <c r="U47" s="142">
        <f>U274+U280</f>
        <v>24</v>
      </c>
    </row>
    <row r="48" spans="1:21" x14ac:dyDescent="0.2">
      <c r="A48" s="490" t="s">
        <v>76</v>
      </c>
      <c r="B48" s="514" t="s">
        <v>383</v>
      </c>
      <c r="C48" s="492">
        <f t="shared" si="24"/>
        <v>74</v>
      </c>
      <c r="D48" s="492">
        <f t="shared" si="25"/>
        <v>0</v>
      </c>
      <c r="E48" s="492">
        <f>ROUND((2*$T48+3*$U48)*E$3,0)</f>
        <v>97</v>
      </c>
      <c r="F48" s="492">
        <f>E48*$Q48</f>
        <v>0</v>
      </c>
      <c r="G48" s="492">
        <f>ROUND((2*$T48+4*$U48)*G$3,0)</f>
        <v>600</v>
      </c>
      <c r="H48" s="492">
        <f>G48*$Q48</f>
        <v>0</v>
      </c>
      <c r="I48" s="492">
        <f>ROUND((2*$T48+5*$U48)*I$3,0)</f>
        <v>143</v>
      </c>
      <c r="J48" s="492">
        <f>I48*$Q48</f>
        <v>0</v>
      </c>
      <c r="K48" s="492">
        <f>ROUND((2*$T48+6*$U48)*K$3,0)</f>
        <v>498</v>
      </c>
      <c r="L48" s="492">
        <f>K48*$Q48</f>
        <v>0</v>
      </c>
      <c r="M48" s="492">
        <f>ROUND((2*$T48+7*$U48)*M$3,0)</f>
        <v>189</v>
      </c>
      <c r="N48" s="492">
        <f>M48*$Q48</f>
        <v>0</v>
      </c>
      <c r="O48" s="492">
        <f>C48+E48+G48+I48+K48+M48</f>
        <v>1601</v>
      </c>
      <c r="P48" s="515" t="s">
        <v>10</v>
      </c>
      <c r="Q48" s="516"/>
      <c r="R48" s="495" t="s">
        <v>904</v>
      </c>
      <c r="T48" s="142">
        <v>14</v>
      </c>
      <c r="U48" s="142">
        <v>23</v>
      </c>
    </row>
    <row r="49" spans="1:21" ht="5.25" customHeight="1" x14ac:dyDescent="0.2">
      <c r="A49" s="127"/>
      <c r="B49" s="136"/>
      <c r="C49" s="128"/>
      <c r="D49" s="120"/>
      <c r="E49" s="120"/>
      <c r="F49" s="120"/>
      <c r="G49" s="120"/>
      <c r="H49" s="120"/>
      <c r="I49" s="120"/>
      <c r="J49" s="120"/>
      <c r="K49" s="120"/>
      <c r="L49" s="120"/>
      <c r="M49" s="120"/>
      <c r="N49" s="120"/>
      <c r="O49" s="120"/>
      <c r="P49" s="154"/>
      <c r="Q49" s="141"/>
      <c r="R49" s="137"/>
    </row>
    <row r="50" spans="1:21" x14ac:dyDescent="0.2">
      <c r="A50" s="129"/>
      <c r="B50" s="130"/>
      <c r="C50" s="131"/>
      <c r="D50" s="131"/>
      <c r="E50" s="131"/>
      <c r="F50" s="131"/>
      <c r="G50" s="131"/>
      <c r="H50" s="131"/>
      <c r="I50" s="131"/>
      <c r="J50" s="131"/>
      <c r="K50" s="131"/>
      <c r="L50" s="131"/>
      <c r="M50" s="131"/>
      <c r="N50" s="131"/>
      <c r="O50" s="131"/>
      <c r="P50" s="131"/>
      <c r="Q50" s="132"/>
      <c r="R50" s="126"/>
      <c r="T50" s="134"/>
      <c r="U50" s="134"/>
    </row>
    <row r="51" spans="1:21" x14ac:dyDescent="0.2">
      <c r="C51" s="122"/>
      <c r="D51" s="122"/>
      <c r="E51" s="122"/>
      <c r="F51" s="122"/>
      <c r="G51" s="122"/>
      <c r="H51" s="122"/>
      <c r="I51" s="122"/>
      <c r="J51" s="122"/>
      <c r="K51" s="122"/>
      <c r="L51" s="122"/>
      <c r="M51" s="122"/>
      <c r="N51" s="122"/>
      <c r="O51" s="122"/>
      <c r="P51" s="171" t="s">
        <v>1</v>
      </c>
      <c r="Q51" s="133" t="s">
        <v>0</v>
      </c>
      <c r="R51" s="137">
        <f>SUM(R4:R49)</f>
        <v>0</v>
      </c>
      <c r="T51" s="135"/>
      <c r="U51" s="135"/>
    </row>
    <row r="52" spans="1:21" x14ac:dyDescent="0.2">
      <c r="P52" s="188"/>
      <c r="Q52" s="124"/>
      <c r="R52" s="125"/>
    </row>
    <row r="53" spans="1:21" x14ac:dyDescent="0.2">
      <c r="A53" s="139"/>
      <c r="B53" s="83"/>
      <c r="C53" s="138"/>
      <c r="D53" s="138"/>
      <c r="E53" s="138"/>
      <c r="F53" s="138"/>
      <c r="G53" s="138"/>
      <c r="H53" s="138"/>
      <c r="I53" s="138"/>
      <c r="J53" s="138"/>
      <c r="K53" s="138"/>
      <c r="L53" s="138"/>
      <c r="M53" s="138"/>
      <c r="N53" s="138"/>
      <c r="O53" s="138"/>
      <c r="P53" s="9"/>
      <c r="Q53" s="141"/>
      <c r="R53" s="137"/>
    </row>
    <row r="54" spans="1:21" x14ac:dyDescent="0.2">
      <c r="A54" s="139"/>
      <c r="B54" s="160" t="s">
        <v>42</v>
      </c>
      <c r="C54" s="138">
        <f t="shared" ref="C54:C88" si="37">ROUND((2*$T54+2*$U54)*C$3,0)</f>
        <v>0</v>
      </c>
      <c r="D54" s="138">
        <f t="shared" ref="D54:D88" si="38">C54*$Q54</f>
        <v>0</v>
      </c>
      <c r="E54" s="138">
        <f t="shared" ref="E54:E88" si="39">ROUND((2*$T54+3*$U54)*E$3,0)</f>
        <v>0</v>
      </c>
      <c r="F54" s="138">
        <f t="shared" ref="F54:F88" si="40">E54*$Q54</f>
        <v>0</v>
      </c>
      <c r="G54" s="138">
        <f t="shared" ref="G54:G88" si="41">ROUND((2*$T54+4*$U54)*G$3,0)</f>
        <v>0</v>
      </c>
      <c r="H54" s="138">
        <f t="shared" ref="H54:H88" si="42">G54*$Q54</f>
        <v>0</v>
      </c>
      <c r="I54" s="138">
        <f t="shared" ref="I54:I88" si="43">ROUND((2*$T54+5*$U54)*I$3,0)</f>
        <v>0</v>
      </c>
      <c r="J54" s="138">
        <f t="shared" ref="J54:J88" si="44">I54*$Q54</f>
        <v>0</v>
      </c>
      <c r="K54" s="138">
        <f t="shared" ref="K54:K88" si="45">ROUND((2*$T54+6*$U54)*K$3,0)</f>
        <v>0</v>
      </c>
      <c r="L54" s="138">
        <f t="shared" ref="L54:L88" si="46">K54*$Q54</f>
        <v>0</v>
      </c>
      <c r="M54" s="138">
        <f t="shared" ref="M54:M88" si="47">ROUND((2*$T54+7*$U54)*M$3,0)</f>
        <v>0</v>
      </c>
      <c r="N54" s="138">
        <f t="shared" ref="N54:N88" si="48">M54*$Q54</f>
        <v>0</v>
      </c>
      <c r="O54" s="138">
        <f t="shared" ref="O54:O88" si="49">C54+E54+G54+I54+K54+M54</f>
        <v>0</v>
      </c>
      <c r="P54" s="154"/>
      <c r="Q54" s="141"/>
      <c r="R54" s="137"/>
    </row>
    <row r="55" spans="1:21" x14ac:dyDescent="0.2">
      <c r="A55" s="139"/>
      <c r="B55" s="112"/>
      <c r="C55" s="138">
        <f t="shared" si="37"/>
        <v>0</v>
      </c>
      <c r="D55" s="138">
        <f t="shared" si="38"/>
        <v>0</v>
      </c>
      <c r="E55" s="138">
        <f t="shared" si="39"/>
        <v>0</v>
      </c>
      <c r="F55" s="138">
        <f t="shared" si="40"/>
        <v>0</v>
      </c>
      <c r="G55" s="138">
        <f t="shared" si="41"/>
        <v>0</v>
      </c>
      <c r="H55" s="138">
        <f t="shared" si="42"/>
        <v>0</v>
      </c>
      <c r="I55" s="138">
        <f t="shared" si="43"/>
        <v>0</v>
      </c>
      <c r="J55" s="138">
        <f t="shared" si="44"/>
        <v>0</v>
      </c>
      <c r="K55" s="138">
        <f t="shared" si="45"/>
        <v>0</v>
      </c>
      <c r="L55" s="138">
        <f t="shared" si="46"/>
        <v>0</v>
      </c>
      <c r="M55" s="138">
        <f t="shared" si="47"/>
        <v>0</v>
      </c>
      <c r="N55" s="138">
        <f t="shared" si="48"/>
        <v>0</v>
      </c>
      <c r="O55" s="138">
        <f t="shared" si="49"/>
        <v>0</v>
      </c>
      <c r="P55" s="154"/>
      <c r="Q55" s="141"/>
      <c r="R55" s="137"/>
    </row>
    <row r="56" spans="1:21" x14ac:dyDescent="0.2">
      <c r="A56" s="139"/>
      <c r="B56" s="160" t="s">
        <v>40</v>
      </c>
      <c r="C56" s="138">
        <f t="shared" si="37"/>
        <v>0</v>
      </c>
      <c r="D56" s="138">
        <f t="shared" si="38"/>
        <v>0</v>
      </c>
      <c r="E56" s="138">
        <f t="shared" si="39"/>
        <v>0</v>
      </c>
      <c r="F56" s="138">
        <f t="shared" si="40"/>
        <v>0</v>
      </c>
      <c r="G56" s="138">
        <f t="shared" si="41"/>
        <v>0</v>
      </c>
      <c r="H56" s="138">
        <f t="shared" si="42"/>
        <v>0</v>
      </c>
      <c r="I56" s="138">
        <f t="shared" si="43"/>
        <v>0</v>
      </c>
      <c r="J56" s="138">
        <f t="shared" si="44"/>
        <v>0</v>
      </c>
      <c r="K56" s="138">
        <f t="shared" si="45"/>
        <v>0</v>
      </c>
      <c r="L56" s="138">
        <f t="shared" si="46"/>
        <v>0</v>
      </c>
      <c r="M56" s="138">
        <f t="shared" si="47"/>
        <v>0</v>
      </c>
      <c r="N56" s="138">
        <f t="shared" si="48"/>
        <v>0</v>
      </c>
      <c r="O56" s="138">
        <f t="shared" si="49"/>
        <v>0</v>
      </c>
      <c r="P56" s="154"/>
      <c r="Q56" s="141"/>
      <c r="R56" s="137"/>
    </row>
    <row r="57" spans="1:21" x14ac:dyDescent="0.2">
      <c r="A57" s="139"/>
      <c r="B57" s="12"/>
      <c r="C57" s="138">
        <f t="shared" si="37"/>
        <v>0</v>
      </c>
      <c r="D57" s="138">
        <f t="shared" si="38"/>
        <v>0</v>
      </c>
      <c r="E57" s="138">
        <f t="shared" si="39"/>
        <v>0</v>
      </c>
      <c r="F57" s="138">
        <f t="shared" si="40"/>
        <v>0</v>
      </c>
      <c r="G57" s="138">
        <f t="shared" si="41"/>
        <v>0</v>
      </c>
      <c r="H57" s="138">
        <f t="shared" si="42"/>
        <v>0</v>
      </c>
      <c r="I57" s="138">
        <f t="shared" si="43"/>
        <v>0</v>
      </c>
      <c r="J57" s="138">
        <f t="shared" si="44"/>
        <v>0</v>
      </c>
      <c r="K57" s="138">
        <f t="shared" si="45"/>
        <v>0</v>
      </c>
      <c r="L57" s="138">
        <f t="shared" si="46"/>
        <v>0</v>
      </c>
      <c r="M57" s="138">
        <f t="shared" si="47"/>
        <v>0</v>
      </c>
      <c r="N57" s="138">
        <f t="shared" si="48"/>
        <v>0</v>
      </c>
      <c r="O57" s="138">
        <f t="shared" si="49"/>
        <v>0</v>
      </c>
      <c r="P57" s="9"/>
      <c r="Q57" s="141"/>
      <c r="R57" s="137"/>
    </row>
    <row r="58" spans="1:21" ht="42.75" x14ac:dyDescent="0.2">
      <c r="A58" s="139"/>
      <c r="B58" s="111" t="s">
        <v>496</v>
      </c>
      <c r="C58" s="138">
        <f t="shared" si="37"/>
        <v>0</v>
      </c>
      <c r="D58" s="138">
        <f t="shared" si="38"/>
        <v>0</v>
      </c>
      <c r="E58" s="138">
        <f t="shared" si="39"/>
        <v>0</v>
      </c>
      <c r="F58" s="138">
        <f t="shared" si="40"/>
        <v>0</v>
      </c>
      <c r="G58" s="138">
        <f t="shared" si="41"/>
        <v>0</v>
      </c>
      <c r="H58" s="138">
        <f t="shared" si="42"/>
        <v>0</v>
      </c>
      <c r="I58" s="138">
        <f t="shared" si="43"/>
        <v>0</v>
      </c>
      <c r="J58" s="138">
        <f t="shared" si="44"/>
        <v>0</v>
      </c>
      <c r="K58" s="138">
        <f t="shared" si="45"/>
        <v>0</v>
      </c>
      <c r="L58" s="138">
        <f t="shared" si="46"/>
        <v>0</v>
      </c>
      <c r="M58" s="138">
        <f t="shared" si="47"/>
        <v>0</v>
      </c>
      <c r="N58" s="138">
        <f t="shared" si="48"/>
        <v>0</v>
      </c>
      <c r="O58" s="138">
        <f t="shared" si="49"/>
        <v>0</v>
      </c>
      <c r="P58" s="154"/>
      <c r="Q58" s="141"/>
      <c r="R58" s="137"/>
    </row>
    <row r="59" spans="1:21" x14ac:dyDescent="0.2">
      <c r="A59" s="139"/>
      <c r="B59" s="112"/>
      <c r="C59" s="138">
        <f t="shared" si="37"/>
        <v>0</v>
      </c>
      <c r="D59" s="138">
        <f t="shared" si="38"/>
        <v>0</v>
      </c>
      <c r="E59" s="138">
        <f t="shared" si="39"/>
        <v>0</v>
      </c>
      <c r="F59" s="138">
        <f t="shared" si="40"/>
        <v>0</v>
      </c>
      <c r="G59" s="138">
        <f t="shared" si="41"/>
        <v>0</v>
      </c>
      <c r="H59" s="138">
        <f t="shared" si="42"/>
        <v>0</v>
      </c>
      <c r="I59" s="138">
        <f t="shared" si="43"/>
        <v>0</v>
      </c>
      <c r="J59" s="138">
        <f t="shared" si="44"/>
        <v>0</v>
      </c>
      <c r="K59" s="138">
        <f t="shared" si="45"/>
        <v>0</v>
      </c>
      <c r="L59" s="138">
        <f t="shared" si="46"/>
        <v>0</v>
      </c>
      <c r="M59" s="138">
        <f t="shared" si="47"/>
        <v>0</v>
      </c>
      <c r="N59" s="138">
        <f t="shared" si="48"/>
        <v>0</v>
      </c>
      <c r="O59" s="138">
        <f t="shared" si="49"/>
        <v>0</v>
      </c>
      <c r="P59" s="154"/>
      <c r="Q59" s="141"/>
      <c r="R59" s="137"/>
    </row>
    <row r="60" spans="1:21" x14ac:dyDescent="0.2">
      <c r="A60" s="139" t="s">
        <v>66</v>
      </c>
      <c r="B60" s="12" t="s">
        <v>388</v>
      </c>
      <c r="C60" s="488">
        <f t="shared" si="37"/>
        <v>224</v>
      </c>
      <c r="D60" s="488">
        <f t="shared" si="38"/>
        <v>0</v>
      </c>
      <c r="E60" s="488">
        <f t="shared" si="39"/>
        <v>279</v>
      </c>
      <c r="F60" s="488">
        <f t="shared" si="40"/>
        <v>0</v>
      </c>
      <c r="G60" s="488">
        <f t="shared" si="41"/>
        <v>1670</v>
      </c>
      <c r="H60" s="488">
        <f t="shared" si="42"/>
        <v>0</v>
      </c>
      <c r="I60" s="488">
        <f t="shared" si="43"/>
        <v>389</v>
      </c>
      <c r="J60" s="488">
        <f t="shared" si="44"/>
        <v>0</v>
      </c>
      <c r="K60" s="488">
        <f t="shared" si="45"/>
        <v>1332</v>
      </c>
      <c r="L60" s="488">
        <f t="shared" si="46"/>
        <v>0</v>
      </c>
      <c r="M60" s="488">
        <f t="shared" si="47"/>
        <v>499</v>
      </c>
      <c r="N60" s="488">
        <f t="shared" si="48"/>
        <v>0</v>
      </c>
      <c r="O60" s="488">
        <f>C60+E60+G60+I60+K60+M60</f>
        <v>4393</v>
      </c>
      <c r="P60" s="9" t="s">
        <v>10</v>
      </c>
      <c r="Q60" s="141"/>
      <c r="R60" s="137">
        <f>O60*Q60</f>
        <v>0</v>
      </c>
      <c r="T60" s="485">
        <v>57</v>
      </c>
      <c r="U60" s="485">
        <v>55</v>
      </c>
    </row>
    <row r="61" spans="1:21" x14ac:dyDescent="0.2">
      <c r="A61" s="139"/>
      <c r="B61" s="112"/>
      <c r="C61" s="138">
        <f t="shared" si="37"/>
        <v>0</v>
      </c>
      <c r="D61" s="138">
        <f t="shared" si="38"/>
        <v>0</v>
      </c>
      <c r="E61" s="138">
        <f t="shared" si="39"/>
        <v>0</v>
      </c>
      <c r="F61" s="138">
        <f t="shared" si="40"/>
        <v>0</v>
      </c>
      <c r="G61" s="138">
        <f t="shared" si="41"/>
        <v>0</v>
      </c>
      <c r="H61" s="138">
        <f t="shared" si="42"/>
        <v>0</v>
      </c>
      <c r="I61" s="138">
        <f t="shared" si="43"/>
        <v>0</v>
      </c>
      <c r="J61" s="138">
        <f t="shared" si="44"/>
        <v>0</v>
      </c>
      <c r="K61" s="138">
        <f t="shared" si="45"/>
        <v>0</v>
      </c>
      <c r="L61" s="138">
        <f t="shared" si="46"/>
        <v>0</v>
      </c>
      <c r="M61" s="138">
        <f t="shared" si="47"/>
        <v>0</v>
      </c>
      <c r="N61" s="138">
        <f t="shared" si="48"/>
        <v>0</v>
      </c>
      <c r="O61" s="138">
        <f t="shared" si="49"/>
        <v>0</v>
      </c>
      <c r="P61" s="154"/>
      <c r="Q61" s="141"/>
      <c r="R61" s="137"/>
    </row>
    <row r="62" spans="1:21" x14ac:dyDescent="0.2">
      <c r="A62" s="139" t="s">
        <v>67</v>
      </c>
      <c r="B62" s="12" t="s">
        <v>389</v>
      </c>
      <c r="C62" s="138">
        <f t="shared" si="37"/>
        <v>222</v>
      </c>
      <c r="D62" s="138">
        <f t="shared" si="38"/>
        <v>0</v>
      </c>
      <c r="E62" s="138">
        <f t="shared" si="39"/>
        <v>275</v>
      </c>
      <c r="F62" s="138">
        <f t="shared" si="40"/>
        <v>0</v>
      </c>
      <c r="G62" s="138">
        <f t="shared" si="41"/>
        <v>1640</v>
      </c>
      <c r="H62" s="138">
        <f t="shared" si="42"/>
        <v>0</v>
      </c>
      <c r="I62" s="138">
        <f t="shared" si="43"/>
        <v>381</v>
      </c>
      <c r="J62" s="138">
        <f t="shared" si="44"/>
        <v>0</v>
      </c>
      <c r="K62" s="138">
        <f t="shared" si="45"/>
        <v>1302</v>
      </c>
      <c r="L62" s="138">
        <f t="shared" si="46"/>
        <v>0</v>
      </c>
      <c r="M62" s="138">
        <f t="shared" si="47"/>
        <v>487</v>
      </c>
      <c r="N62" s="138">
        <f t="shared" si="48"/>
        <v>0</v>
      </c>
      <c r="O62" s="138">
        <f>C62+E62+G62+I62+K62+M62</f>
        <v>4307</v>
      </c>
      <c r="P62" s="9" t="s">
        <v>12</v>
      </c>
      <c r="Q62" s="141"/>
      <c r="R62" s="137">
        <f t="shared" ref="R62" si="50">O62*Q62</f>
        <v>0</v>
      </c>
      <c r="T62" s="142">
        <v>58</v>
      </c>
      <c r="U62" s="142">
        <v>53</v>
      </c>
    </row>
    <row r="63" spans="1:21" x14ac:dyDescent="0.2">
      <c r="A63" s="139"/>
      <c r="B63" s="24"/>
      <c r="C63" s="138">
        <f t="shared" si="37"/>
        <v>0</v>
      </c>
      <c r="D63" s="138">
        <f t="shared" si="38"/>
        <v>0</v>
      </c>
      <c r="E63" s="138">
        <f t="shared" si="39"/>
        <v>0</v>
      </c>
      <c r="F63" s="138">
        <f t="shared" si="40"/>
        <v>0</v>
      </c>
      <c r="G63" s="138">
        <f t="shared" si="41"/>
        <v>0</v>
      </c>
      <c r="H63" s="138">
        <f t="shared" si="42"/>
        <v>0</v>
      </c>
      <c r="I63" s="138">
        <f t="shared" si="43"/>
        <v>0</v>
      </c>
      <c r="J63" s="138">
        <f t="shared" si="44"/>
        <v>0</v>
      </c>
      <c r="K63" s="138">
        <f t="shared" si="45"/>
        <v>0</v>
      </c>
      <c r="L63" s="138">
        <f t="shared" si="46"/>
        <v>0</v>
      </c>
      <c r="M63" s="138">
        <f t="shared" si="47"/>
        <v>0</v>
      </c>
      <c r="N63" s="138">
        <f t="shared" si="48"/>
        <v>0</v>
      </c>
      <c r="O63" s="138">
        <f t="shared" si="49"/>
        <v>0</v>
      </c>
      <c r="P63" s="154"/>
      <c r="Q63" s="141"/>
      <c r="R63" s="137"/>
    </row>
    <row r="64" spans="1:21" ht="42.75" x14ac:dyDescent="0.2">
      <c r="A64" s="139"/>
      <c r="B64" s="111" t="s">
        <v>497</v>
      </c>
      <c r="C64" s="138">
        <f t="shared" si="37"/>
        <v>0</v>
      </c>
      <c r="D64" s="138">
        <f t="shared" si="38"/>
        <v>0</v>
      </c>
      <c r="E64" s="138">
        <f t="shared" si="39"/>
        <v>0</v>
      </c>
      <c r="F64" s="138">
        <f t="shared" si="40"/>
        <v>0</v>
      </c>
      <c r="G64" s="138">
        <f t="shared" si="41"/>
        <v>0</v>
      </c>
      <c r="H64" s="138">
        <f t="shared" si="42"/>
        <v>0</v>
      </c>
      <c r="I64" s="138">
        <f t="shared" si="43"/>
        <v>0</v>
      </c>
      <c r="J64" s="138">
        <f t="shared" si="44"/>
        <v>0</v>
      </c>
      <c r="K64" s="138">
        <f t="shared" si="45"/>
        <v>0</v>
      </c>
      <c r="L64" s="138">
        <f t="shared" si="46"/>
        <v>0</v>
      </c>
      <c r="M64" s="138">
        <f t="shared" si="47"/>
        <v>0</v>
      </c>
      <c r="N64" s="138">
        <f t="shared" si="48"/>
        <v>0</v>
      </c>
      <c r="O64" s="138">
        <f t="shared" si="49"/>
        <v>0</v>
      </c>
      <c r="P64" s="154"/>
      <c r="Q64" s="141"/>
      <c r="R64" s="137"/>
    </row>
    <row r="65" spans="1:21" x14ac:dyDescent="0.2">
      <c r="A65" s="139"/>
      <c r="B65" s="112"/>
      <c r="C65" s="138">
        <f t="shared" si="37"/>
        <v>0</v>
      </c>
      <c r="D65" s="138">
        <f t="shared" si="38"/>
        <v>0</v>
      </c>
      <c r="E65" s="138">
        <f t="shared" si="39"/>
        <v>0</v>
      </c>
      <c r="F65" s="138">
        <f t="shared" si="40"/>
        <v>0</v>
      </c>
      <c r="G65" s="138">
        <f t="shared" si="41"/>
        <v>0</v>
      </c>
      <c r="H65" s="138">
        <f t="shared" si="42"/>
        <v>0</v>
      </c>
      <c r="I65" s="138">
        <f t="shared" si="43"/>
        <v>0</v>
      </c>
      <c r="J65" s="138">
        <f t="shared" si="44"/>
        <v>0</v>
      </c>
      <c r="K65" s="138">
        <f t="shared" si="45"/>
        <v>0</v>
      </c>
      <c r="L65" s="138">
        <f t="shared" si="46"/>
        <v>0</v>
      </c>
      <c r="M65" s="138">
        <f t="shared" si="47"/>
        <v>0</v>
      </c>
      <c r="N65" s="138">
        <f t="shared" si="48"/>
        <v>0</v>
      </c>
      <c r="O65" s="138">
        <f t="shared" si="49"/>
        <v>0</v>
      </c>
      <c r="P65" s="154"/>
      <c r="Q65" s="141"/>
      <c r="R65" s="137"/>
    </row>
    <row r="66" spans="1:21" x14ac:dyDescent="0.2">
      <c r="A66" s="139" t="s">
        <v>68</v>
      </c>
      <c r="B66" s="12" t="s">
        <v>498</v>
      </c>
      <c r="C66" s="488">
        <f t="shared" si="37"/>
        <v>254</v>
      </c>
      <c r="D66" s="488">
        <f t="shared" si="38"/>
        <v>0</v>
      </c>
      <c r="E66" s="488">
        <f t="shared" si="39"/>
        <v>312</v>
      </c>
      <c r="F66" s="488">
        <f t="shared" si="40"/>
        <v>0</v>
      </c>
      <c r="G66" s="488">
        <f t="shared" si="41"/>
        <v>1850</v>
      </c>
      <c r="H66" s="488">
        <f t="shared" si="42"/>
        <v>0</v>
      </c>
      <c r="I66" s="488">
        <f t="shared" si="43"/>
        <v>428</v>
      </c>
      <c r="J66" s="488">
        <f t="shared" si="44"/>
        <v>0</v>
      </c>
      <c r="K66" s="488">
        <f t="shared" si="45"/>
        <v>1458</v>
      </c>
      <c r="L66" s="488">
        <f t="shared" si="46"/>
        <v>0</v>
      </c>
      <c r="M66" s="488">
        <f t="shared" si="47"/>
        <v>544</v>
      </c>
      <c r="N66" s="488">
        <f t="shared" si="48"/>
        <v>0</v>
      </c>
      <c r="O66" s="488">
        <f>C66+E66+G66+I66+K66+M66</f>
        <v>4846</v>
      </c>
      <c r="P66" s="9" t="s">
        <v>10</v>
      </c>
      <c r="Q66" s="141"/>
      <c r="R66" s="137">
        <f>O66*Q66</f>
        <v>0</v>
      </c>
      <c r="T66" s="485">
        <v>69</v>
      </c>
      <c r="U66" s="485">
        <v>58</v>
      </c>
    </row>
    <row r="67" spans="1:21" x14ac:dyDescent="0.2">
      <c r="A67" s="139"/>
      <c r="B67" s="112"/>
      <c r="C67" s="138">
        <f t="shared" si="37"/>
        <v>0</v>
      </c>
      <c r="D67" s="138">
        <f t="shared" si="38"/>
        <v>0</v>
      </c>
      <c r="E67" s="138">
        <f t="shared" si="39"/>
        <v>0</v>
      </c>
      <c r="F67" s="138">
        <f t="shared" si="40"/>
        <v>0</v>
      </c>
      <c r="G67" s="138">
        <f t="shared" si="41"/>
        <v>0</v>
      </c>
      <c r="H67" s="138">
        <f t="shared" si="42"/>
        <v>0</v>
      </c>
      <c r="I67" s="138">
        <f t="shared" si="43"/>
        <v>0</v>
      </c>
      <c r="J67" s="138">
        <f t="shared" si="44"/>
        <v>0</v>
      </c>
      <c r="K67" s="138">
        <f t="shared" si="45"/>
        <v>0</v>
      </c>
      <c r="L67" s="138">
        <f t="shared" si="46"/>
        <v>0</v>
      </c>
      <c r="M67" s="138">
        <f t="shared" si="47"/>
        <v>0</v>
      </c>
      <c r="N67" s="138">
        <f t="shared" si="48"/>
        <v>0</v>
      </c>
      <c r="O67" s="138">
        <f t="shared" si="49"/>
        <v>0</v>
      </c>
      <c r="P67" s="154"/>
      <c r="Q67" s="141"/>
      <c r="R67" s="137">
        <f>O67*Q67</f>
        <v>0</v>
      </c>
    </row>
    <row r="68" spans="1:21" x14ac:dyDescent="0.2">
      <c r="A68" s="139" t="s">
        <v>69</v>
      </c>
      <c r="B68" s="12" t="s">
        <v>499</v>
      </c>
      <c r="C68" s="138">
        <f t="shared" si="37"/>
        <v>212</v>
      </c>
      <c r="D68" s="138">
        <f t="shared" si="38"/>
        <v>0</v>
      </c>
      <c r="E68" s="138">
        <f t="shared" si="39"/>
        <v>260</v>
      </c>
      <c r="F68" s="138">
        <f t="shared" si="40"/>
        <v>0</v>
      </c>
      <c r="G68" s="138">
        <f t="shared" si="41"/>
        <v>1540</v>
      </c>
      <c r="H68" s="138">
        <f t="shared" si="42"/>
        <v>0</v>
      </c>
      <c r="I68" s="138">
        <f t="shared" si="43"/>
        <v>356</v>
      </c>
      <c r="J68" s="138">
        <f t="shared" si="44"/>
        <v>0</v>
      </c>
      <c r="K68" s="138">
        <f t="shared" si="45"/>
        <v>1212</v>
      </c>
      <c r="L68" s="138">
        <f t="shared" si="46"/>
        <v>0</v>
      </c>
      <c r="M68" s="138">
        <f t="shared" si="47"/>
        <v>452</v>
      </c>
      <c r="N68" s="138">
        <f t="shared" si="48"/>
        <v>0</v>
      </c>
      <c r="O68" s="138">
        <f>C68+E68+G68+I68+K68+M68</f>
        <v>4032</v>
      </c>
      <c r="P68" s="9" t="s">
        <v>12</v>
      </c>
      <c r="Q68" s="141"/>
      <c r="R68" s="137">
        <f>O68*Q68</f>
        <v>0</v>
      </c>
      <c r="T68" s="142">
        <v>58</v>
      </c>
      <c r="U68" s="142">
        <v>48</v>
      </c>
    </row>
    <row r="69" spans="1:21" x14ac:dyDescent="0.2">
      <c r="A69" s="139"/>
      <c r="B69" s="24"/>
      <c r="C69" s="138">
        <f t="shared" si="37"/>
        <v>0</v>
      </c>
      <c r="D69" s="138">
        <f t="shared" si="38"/>
        <v>0</v>
      </c>
      <c r="E69" s="138">
        <f t="shared" si="39"/>
        <v>0</v>
      </c>
      <c r="F69" s="138">
        <f t="shared" si="40"/>
        <v>0</v>
      </c>
      <c r="G69" s="138">
        <f t="shared" si="41"/>
        <v>0</v>
      </c>
      <c r="H69" s="138">
        <f t="shared" si="42"/>
        <v>0</v>
      </c>
      <c r="I69" s="138">
        <f t="shared" si="43"/>
        <v>0</v>
      </c>
      <c r="J69" s="138">
        <f t="shared" si="44"/>
        <v>0</v>
      </c>
      <c r="K69" s="138">
        <f t="shared" si="45"/>
        <v>0</v>
      </c>
      <c r="L69" s="138">
        <f t="shared" si="46"/>
        <v>0</v>
      </c>
      <c r="M69" s="138">
        <f t="shared" si="47"/>
        <v>0</v>
      </c>
      <c r="N69" s="138">
        <f t="shared" si="48"/>
        <v>0</v>
      </c>
      <c r="O69" s="138">
        <f t="shared" si="49"/>
        <v>0</v>
      </c>
      <c r="P69" s="154"/>
      <c r="Q69" s="141"/>
      <c r="R69" s="137"/>
    </row>
    <row r="70" spans="1:21" ht="42.75" x14ac:dyDescent="0.2">
      <c r="A70" s="214"/>
      <c r="B70" s="241" t="s">
        <v>500</v>
      </c>
      <c r="C70" s="215">
        <f t="shared" si="37"/>
        <v>0</v>
      </c>
      <c r="D70" s="215">
        <f t="shared" si="38"/>
        <v>0</v>
      </c>
      <c r="E70" s="215">
        <f t="shared" si="39"/>
        <v>0</v>
      </c>
      <c r="F70" s="215">
        <f t="shared" si="40"/>
        <v>0</v>
      </c>
      <c r="G70" s="215">
        <f t="shared" si="41"/>
        <v>0</v>
      </c>
      <c r="H70" s="215">
        <f t="shared" si="42"/>
        <v>0</v>
      </c>
      <c r="I70" s="215">
        <f t="shared" si="43"/>
        <v>0</v>
      </c>
      <c r="J70" s="215">
        <f t="shared" si="44"/>
        <v>0</v>
      </c>
      <c r="K70" s="215">
        <f t="shared" si="45"/>
        <v>0</v>
      </c>
      <c r="L70" s="215">
        <f t="shared" si="46"/>
        <v>0</v>
      </c>
      <c r="M70" s="215">
        <f t="shared" si="47"/>
        <v>0</v>
      </c>
      <c r="N70" s="215">
        <f t="shared" si="48"/>
        <v>0</v>
      </c>
      <c r="O70" s="215">
        <f t="shared" si="49"/>
        <v>0</v>
      </c>
      <c r="P70" s="216"/>
      <c r="Q70" s="141"/>
      <c r="R70" s="137"/>
    </row>
    <row r="71" spans="1:21" x14ac:dyDescent="0.2">
      <c r="A71" s="214"/>
      <c r="B71" s="242"/>
      <c r="C71" s="215">
        <f t="shared" si="37"/>
        <v>0</v>
      </c>
      <c r="D71" s="215">
        <f t="shared" si="38"/>
        <v>0</v>
      </c>
      <c r="E71" s="215">
        <f t="shared" si="39"/>
        <v>0</v>
      </c>
      <c r="F71" s="215">
        <f t="shared" si="40"/>
        <v>0</v>
      </c>
      <c r="G71" s="215">
        <f t="shared" si="41"/>
        <v>0</v>
      </c>
      <c r="H71" s="215">
        <f t="shared" si="42"/>
        <v>0</v>
      </c>
      <c r="I71" s="215">
        <f t="shared" si="43"/>
        <v>0</v>
      </c>
      <c r="J71" s="215">
        <f t="shared" si="44"/>
        <v>0</v>
      </c>
      <c r="K71" s="215">
        <f t="shared" si="45"/>
        <v>0</v>
      </c>
      <c r="L71" s="215">
        <f t="shared" si="46"/>
        <v>0</v>
      </c>
      <c r="M71" s="215">
        <f t="shared" si="47"/>
        <v>0</v>
      </c>
      <c r="N71" s="215">
        <f t="shared" si="48"/>
        <v>0</v>
      </c>
      <c r="O71" s="215">
        <f t="shared" si="49"/>
        <v>0</v>
      </c>
      <c r="P71" s="216"/>
      <c r="Q71" s="141"/>
      <c r="R71" s="137"/>
    </row>
    <row r="72" spans="1:21" x14ac:dyDescent="0.2">
      <c r="A72" s="225" t="s">
        <v>70</v>
      </c>
      <c r="B72" s="243" t="s">
        <v>501</v>
      </c>
      <c r="C72" s="227">
        <f t="shared" si="37"/>
        <v>18</v>
      </c>
      <c r="D72" s="227">
        <f t="shared" si="38"/>
        <v>0</v>
      </c>
      <c r="E72" s="227">
        <f t="shared" si="39"/>
        <v>18</v>
      </c>
      <c r="F72" s="227">
        <f t="shared" si="40"/>
        <v>0</v>
      </c>
      <c r="G72" s="227">
        <f t="shared" si="41"/>
        <v>90</v>
      </c>
      <c r="H72" s="227">
        <f t="shared" si="42"/>
        <v>0</v>
      </c>
      <c r="I72" s="227">
        <f t="shared" si="43"/>
        <v>18</v>
      </c>
      <c r="J72" s="227">
        <f t="shared" si="44"/>
        <v>0</v>
      </c>
      <c r="K72" s="227">
        <f t="shared" si="45"/>
        <v>54</v>
      </c>
      <c r="L72" s="227">
        <f t="shared" si="46"/>
        <v>0</v>
      </c>
      <c r="M72" s="227">
        <f t="shared" si="47"/>
        <v>18</v>
      </c>
      <c r="N72" s="227">
        <f t="shared" si="48"/>
        <v>0</v>
      </c>
      <c r="O72" s="227">
        <f>C72+E72+G72+I72+K72+M72</f>
        <v>216</v>
      </c>
      <c r="P72" s="232" t="s">
        <v>10</v>
      </c>
      <c r="Q72" s="240"/>
      <c r="R72" s="230" t="s">
        <v>904</v>
      </c>
      <c r="S72" s="140" t="s">
        <v>891</v>
      </c>
      <c r="T72" s="142">
        <v>9</v>
      </c>
      <c r="U72" s="142">
        <v>0</v>
      </c>
    </row>
    <row r="73" spans="1:21" x14ac:dyDescent="0.2">
      <c r="A73" s="139"/>
      <c r="B73" s="112"/>
      <c r="C73" s="138">
        <f t="shared" si="37"/>
        <v>0</v>
      </c>
      <c r="D73" s="138">
        <f t="shared" si="38"/>
        <v>0</v>
      </c>
      <c r="E73" s="138">
        <f t="shared" si="39"/>
        <v>0</v>
      </c>
      <c r="F73" s="138">
        <f t="shared" si="40"/>
        <v>0</v>
      </c>
      <c r="G73" s="138">
        <f t="shared" si="41"/>
        <v>0</v>
      </c>
      <c r="H73" s="138">
        <f t="shared" si="42"/>
        <v>0</v>
      </c>
      <c r="I73" s="138">
        <f t="shared" si="43"/>
        <v>0</v>
      </c>
      <c r="J73" s="138">
        <f t="shared" si="44"/>
        <v>0</v>
      </c>
      <c r="K73" s="138">
        <f t="shared" si="45"/>
        <v>0</v>
      </c>
      <c r="L73" s="138">
        <f t="shared" si="46"/>
        <v>0</v>
      </c>
      <c r="M73" s="138">
        <f t="shared" si="47"/>
        <v>0</v>
      </c>
      <c r="N73" s="138">
        <f t="shared" si="48"/>
        <v>0</v>
      </c>
      <c r="O73" s="138">
        <f t="shared" si="49"/>
        <v>0</v>
      </c>
      <c r="P73" s="154"/>
      <c r="Q73" s="141"/>
      <c r="R73" s="137">
        <f t="shared" ref="R73:R74" si="51">O73*Q73</f>
        <v>0</v>
      </c>
    </row>
    <row r="74" spans="1:21" ht="42.75" x14ac:dyDescent="0.2">
      <c r="A74" s="139"/>
      <c r="B74" s="111" t="s">
        <v>502</v>
      </c>
      <c r="C74" s="138">
        <f t="shared" si="37"/>
        <v>0</v>
      </c>
      <c r="D74" s="138">
        <f t="shared" si="38"/>
        <v>0</v>
      </c>
      <c r="E74" s="138">
        <f t="shared" si="39"/>
        <v>0</v>
      </c>
      <c r="F74" s="138">
        <f t="shared" si="40"/>
        <v>0</v>
      </c>
      <c r="G74" s="138">
        <f t="shared" si="41"/>
        <v>0</v>
      </c>
      <c r="H74" s="138">
        <f t="shared" si="42"/>
        <v>0</v>
      </c>
      <c r="I74" s="138">
        <f t="shared" si="43"/>
        <v>0</v>
      </c>
      <c r="J74" s="138">
        <f t="shared" si="44"/>
        <v>0</v>
      </c>
      <c r="K74" s="138">
        <f t="shared" si="45"/>
        <v>0</v>
      </c>
      <c r="L74" s="138">
        <f t="shared" si="46"/>
        <v>0</v>
      </c>
      <c r="M74" s="138">
        <f t="shared" si="47"/>
        <v>0</v>
      </c>
      <c r="N74" s="138">
        <f t="shared" si="48"/>
        <v>0</v>
      </c>
      <c r="O74" s="138">
        <f t="shared" si="49"/>
        <v>0</v>
      </c>
      <c r="P74" s="9"/>
      <c r="Q74" s="141"/>
      <c r="R74" s="137">
        <f t="shared" si="51"/>
        <v>0</v>
      </c>
    </row>
    <row r="75" spans="1:21" x14ac:dyDescent="0.2">
      <c r="A75" s="139"/>
      <c r="B75" s="24"/>
      <c r="C75" s="138">
        <f t="shared" si="37"/>
        <v>0</v>
      </c>
      <c r="D75" s="138">
        <f t="shared" si="38"/>
        <v>0</v>
      </c>
      <c r="E75" s="138">
        <f t="shared" si="39"/>
        <v>0</v>
      </c>
      <c r="F75" s="138">
        <f t="shared" si="40"/>
        <v>0</v>
      </c>
      <c r="G75" s="138">
        <f t="shared" si="41"/>
        <v>0</v>
      </c>
      <c r="H75" s="138">
        <f t="shared" si="42"/>
        <v>0</v>
      </c>
      <c r="I75" s="138">
        <f t="shared" si="43"/>
        <v>0</v>
      </c>
      <c r="J75" s="138">
        <f t="shared" si="44"/>
        <v>0</v>
      </c>
      <c r="K75" s="138">
        <f t="shared" si="45"/>
        <v>0</v>
      </c>
      <c r="L75" s="138">
        <f t="shared" si="46"/>
        <v>0</v>
      </c>
      <c r="M75" s="138">
        <f t="shared" si="47"/>
        <v>0</v>
      </c>
      <c r="N75" s="138">
        <f t="shared" si="48"/>
        <v>0</v>
      </c>
      <c r="O75" s="138">
        <f t="shared" si="49"/>
        <v>0</v>
      </c>
      <c r="P75" s="154"/>
      <c r="Q75" s="141"/>
      <c r="R75" s="137"/>
    </row>
    <row r="76" spans="1:21" x14ac:dyDescent="0.2">
      <c r="A76" s="139" t="s">
        <v>71</v>
      </c>
      <c r="B76" s="12" t="s">
        <v>503</v>
      </c>
      <c r="C76" s="488">
        <f t="shared" si="37"/>
        <v>148</v>
      </c>
      <c r="D76" s="488">
        <f t="shared" si="38"/>
        <v>0</v>
      </c>
      <c r="E76" s="488">
        <f t="shared" si="39"/>
        <v>183</v>
      </c>
      <c r="F76" s="488">
        <f t="shared" si="40"/>
        <v>0</v>
      </c>
      <c r="G76" s="488">
        <f t="shared" si="41"/>
        <v>1090</v>
      </c>
      <c r="H76" s="488">
        <f t="shared" si="42"/>
        <v>0</v>
      </c>
      <c r="I76" s="488">
        <f t="shared" si="43"/>
        <v>253</v>
      </c>
      <c r="J76" s="488">
        <f t="shared" si="44"/>
        <v>0</v>
      </c>
      <c r="K76" s="488">
        <f t="shared" si="45"/>
        <v>864</v>
      </c>
      <c r="L76" s="488">
        <f t="shared" si="46"/>
        <v>0</v>
      </c>
      <c r="M76" s="488">
        <f t="shared" si="47"/>
        <v>323</v>
      </c>
      <c r="N76" s="488">
        <f t="shared" si="48"/>
        <v>0</v>
      </c>
      <c r="O76" s="488">
        <f>C76+E76+G76+I76+K76+M76</f>
        <v>2861</v>
      </c>
      <c r="P76" s="154" t="s">
        <v>10</v>
      </c>
      <c r="Q76" s="141"/>
      <c r="R76" s="137">
        <f>O76*Q76</f>
        <v>0</v>
      </c>
      <c r="T76" s="485">
        <v>39</v>
      </c>
      <c r="U76" s="485">
        <v>35</v>
      </c>
    </row>
    <row r="77" spans="1:21" x14ac:dyDescent="0.2">
      <c r="A77" s="139"/>
      <c r="B77" s="12"/>
      <c r="C77" s="138">
        <f t="shared" si="37"/>
        <v>0</v>
      </c>
      <c r="D77" s="138">
        <f t="shared" si="38"/>
        <v>0</v>
      </c>
      <c r="E77" s="138">
        <f t="shared" si="39"/>
        <v>0</v>
      </c>
      <c r="F77" s="138">
        <f t="shared" si="40"/>
        <v>0</v>
      </c>
      <c r="G77" s="138">
        <f t="shared" si="41"/>
        <v>0</v>
      </c>
      <c r="H77" s="138">
        <f t="shared" si="42"/>
        <v>0</v>
      </c>
      <c r="I77" s="138">
        <f t="shared" si="43"/>
        <v>0</v>
      </c>
      <c r="J77" s="138">
        <f t="shared" si="44"/>
        <v>0</v>
      </c>
      <c r="K77" s="138">
        <f t="shared" si="45"/>
        <v>0</v>
      </c>
      <c r="L77" s="138">
        <f t="shared" si="46"/>
        <v>0</v>
      </c>
      <c r="M77" s="138">
        <f t="shared" si="47"/>
        <v>0</v>
      </c>
      <c r="N77" s="138">
        <f t="shared" si="48"/>
        <v>0</v>
      </c>
      <c r="O77" s="138">
        <f t="shared" si="49"/>
        <v>0</v>
      </c>
      <c r="P77" s="9"/>
      <c r="Q77" s="141"/>
      <c r="R77" s="137">
        <f t="shared" ref="R77:R87" si="52">O77*Q77</f>
        <v>0</v>
      </c>
    </row>
    <row r="78" spans="1:21" x14ac:dyDescent="0.2">
      <c r="A78" s="139"/>
      <c r="B78" s="12"/>
      <c r="C78" s="138"/>
      <c r="D78" s="138"/>
      <c r="E78" s="138"/>
      <c r="F78" s="138"/>
      <c r="G78" s="138"/>
      <c r="H78" s="138"/>
      <c r="I78" s="138"/>
      <c r="J78" s="138"/>
      <c r="K78" s="138"/>
      <c r="L78" s="138"/>
      <c r="M78" s="138"/>
      <c r="N78" s="138"/>
      <c r="O78" s="138"/>
      <c r="P78" s="9"/>
      <c r="Q78" s="141"/>
      <c r="R78" s="137"/>
    </row>
    <row r="79" spans="1:21" x14ac:dyDescent="0.2">
      <c r="A79" s="139"/>
      <c r="B79" s="12"/>
      <c r="C79" s="138"/>
      <c r="D79" s="138"/>
      <c r="E79" s="138"/>
      <c r="F79" s="138"/>
      <c r="G79" s="138"/>
      <c r="H79" s="138"/>
      <c r="I79" s="138"/>
      <c r="J79" s="138"/>
      <c r="K79" s="138"/>
      <c r="L79" s="138"/>
      <c r="M79" s="138"/>
      <c r="N79" s="138"/>
      <c r="O79" s="138"/>
      <c r="P79" s="9"/>
      <c r="Q79" s="141"/>
      <c r="R79" s="137"/>
    </row>
    <row r="80" spans="1:21" x14ac:dyDescent="0.2">
      <c r="A80" s="139"/>
      <c r="B80" s="112"/>
      <c r="C80" s="138">
        <f t="shared" si="37"/>
        <v>0</v>
      </c>
      <c r="D80" s="138">
        <f t="shared" si="38"/>
        <v>0</v>
      </c>
      <c r="E80" s="138">
        <f t="shared" si="39"/>
        <v>0</v>
      </c>
      <c r="F80" s="138">
        <f t="shared" si="40"/>
        <v>0</v>
      </c>
      <c r="G80" s="138">
        <f t="shared" si="41"/>
        <v>0</v>
      </c>
      <c r="H80" s="138">
        <f t="shared" si="42"/>
        <v>0</v>
      </c>
      <c r="I80" s="138">
        <f t="shared" si="43"/>
        <v>0</v>
      </c>
      <c r="J80" s="138">
        <f t="shared" si="44"/>
        <v>0</v>
      </c>
      <c r="K80" s="138">
        <f t="shared" si="45"/>
        <v>0</v>
      </c>
      <c r="L80" s="138">
        <f t="shared" si="46"/>
        <v>0</v>
      </c>
      <c r="M80" s="138">
        <f t="shared" si="47"/>
        <v>0</v>
      </c>
      <c r="N80" s="138">
        <f t="shared" si="48"/>
        <v>0</v>
      </c>
      <c r="O80" s="138">
        <f t="shared" si="49"/>
        <v>0</v>
      </c>
      <c r="P80" s="154"/>
      <c r="Q80" s="141"/>
      <c r="R80" s="137">
        <f t="shared" si="52"/>
        <v>0</v>
      </c>
    </row>
    <row r="81" spans="1:25" x14ac:dyDescent="0.2">
      <c r="A81" s="139"/>
      <c r="B81" s="12"/>
      <c r="C81" s="138">
        <f t="shared" si="37"/>
        <v>0</v>
      </c>
      <c r="D81" s="138">
        <f t="shared" si="38"/>
        <v>0</v>
      </c>
      <c r="E81" s="138">
        <f t="shared" si="39"/>
        <v>0</v>
      </c>
      <c r="F81" s="138">
        <f t="shared" si="40"/>
        <v>0</v>
      </c>
      <c r="G81" s="138">
        <f t="shared" si="41"/>
        <v>0</v>
      </c>
      <c r="H81" s="138">
        <f t="shared" si="42"/>
        <v>0</v>
      </c>
      <c r="I81" s="138">
        <f t="shared" si="43"/>
        <v>0</v>
      </c>
      <c r="J81" s="138">
        <f t="shared" si="44"/>
        <v>0</v>
      </c>
      <c r="K81" s="138">
        <f t="shared" si="45"/>
        <v>0</v>
      </c>
      <c r="L81" s="138">
        <f t="shared" si="46"/>
        <v>0</v>
      </c>
      <c r="M81" s="138">
        <f t="shared" si="47"/>
        <v>0</v>
      </c>
      <c r="N81" s="138">
        <f t="shared" si="48"/>
        <v>0</v>
      </c>
      <c r="O81" s="138">
        <f t="shared" si="49"/>
        <v>0</v>
      </c>
      <c r="P81" s="9"/>
      <c r="Q81" s="141"/>
      <c r="R81" s="137">
        <f t="shared" si="52"/>
        <v>0</v>
      </c>
    </row>
    <row r="82" spans="1:25" x14ac:dyDescent="0.2">
      <c r="A82" s="139"/>
      <c r="B82" s="112"/>
      <c r="C82" s="138">
        <f t="shared" si="37"/>
        <v>0</v>
      </c>
      <c r="D82" s="138">
        <f t="shared" si="38"/>
        <v>0</v>
      </c>
      <c r="E82" s="138">
        <f t="shared" si="39"/>
        <v>0</v>
      </c>
      <c r="F82" s="138">
        <f t="shared" si="40"/>
        <v>0</v>
      </c>
      <c r="G82" s="138">
        <f t="shared" si="41"/>
        <v>0</v>
      </c>
      <c r="H82" s="138">
        <f t="shared" si="42"/>
        <v>0</v>
      </c>
      <c r="I82" s="138">
        <f t="shared" si="43"/>
        <v>0</v>
      </c>
      <c r="J82" s="138">
        <f t="shared" si="44"/>
        <v>0</v>
      </c>
      <c r="K82" s="138">
        <f t="shared" si="45"/>
        <v>0</v>
      </c>
      <c r="L82" s="138">
        <f t="shared" si="46"/>
        <v>0</v>
      </c>
      <c r="M82" s="138">
        <f t="shared" si="47"/>
        <v>0</v>
      </c>
      <c r="N82" s="138">
        <f t="shared" si="48"/>
        <v>0</v>
      </c>
      <c r="O82" s="138">
        <f t="shared" si="49"/>
        <v>0</v>
      </c>
      <c r="P82" s="154"/>
      <c r="Q82" s="141"/>
      <c r="R82" s="137">
        <f t="shared" si="52"/>
        <v>0</v>
      </c>
    </row>
    <row r="83" spans="1:25" x14ac:dyDescent="0.2">
      <c r="A83" s="139"/>
      <c r="B83" s="111"/>
      <c r="C83" s="138">
        <f t="shared" si="37"/>
        <v>0</v>
      </c>
      <c r="D83" s="138">
        <f t="shared" si="38"/>
        <v>0</v>
      </c>
      <c r="E83" s="138">
        <f t="shared" si="39"/>
        <v>0</v>
      </c>
      <c r="F83" s="138">
        <f t="shared" si="40"/>
        <v>0</v>
      </c>
      <c r="G83" s="138">
        <f t="shared" si="41"/>
        <v>0</v>
      </c>
      <c r="H83" s="138">
        <f t="shared" si="42"/>
        <v>0</v>
      </c>
      <c r="I83" s="138">
        <f t="shared" si="43"/>
        <v>0</v>
      </c>
      <c r="J83" s="138">
        <f t="shared" si="44"/>
        <v>0</v>
      </c>
      <c r="K83" s="138">
        <f t="shared" si="45"/>
        <v>0</v>
      </c>
      <c r="L83" s="138">
        <f t="shared" si="46"/>
        <v>0</v>
      </c>
      <c r="M83" s="138">
        <f t="shared" si="47"/>
        <v>0</v>
      </c>
      <c r="N83" s="138">
        <f t="shared" si="48"/>
        <v>0</v>
      </c>
      <c r="O83" s="138">
        <f t="shared" si="49"/>
        <v>0</v>
      </c>
      <c r="P83" s="9"/>
      <c r="Q83" s="141"/>
      <c r="R83" s="137">
        <f t="shared" si="52"/>
        <v>0</v>
      </c>
    </row>
    <row r="84" spans="1:25" x14ac:dyDescent="0.2">
      <c r="A84" s="139"/>
      <c r="B84" s="112"/>
      <c r="C84" s="138">
        <f t="shared" si="37"/>
        <v>0</v>
      </c>
      <c r="D84" s="138">
        <f t="shared" si="38"/>
        <v>0</v>
      </c>
      <c r="E84" s="138">
        <f t="shared" si="39"/>
        <v>0</v>
      </c>
      <c r="F84" s="138">
        <f t="shared" si="40"/>
        <v>0</v>
      </c>
      <c r="G84" s="138">
        <f t="shared" si="41"/>
        <v>0</v>
      </c>
      <c r="H84" s="138">
        <f t="shared" si="42"/>
        <v>0</v>
      </c>
      <c r="I84" s="138">
        <f t="shared" si="43"/>
        <v>0</v>
      </c>
      <c r="J84" s="138">
        <f t="shared" si="44"/>
        <v>0</v>
      </c>
      <c r="K84" s="138">
        <f t="shared" si="45"/>
        <v>0</v>
      </c>
      <c r="L84" s="138">
        <f t="shared" si="46"/>
        <v>0</v>
      </c>
      <c r="M84" s="138">
        <f t="shared" si="47"/>
        <v>0</v>
      </c>
      <c r="N84" s="138">
        <f t="shared" si="48"/>
        <v>0</v>
      </c>
      <c r="O84" s="138">
        <f t="shared" si="49"/>
        <v>0</v>
      </c>
      <c r="P84" s="154"/>
      <c r="Q84" s="141"/>
      <c r="R84" s="137">
        <f t="shared" si="52"/>
        <v>0</v>
      </c>
    </row>
    <row r="85" spans="1:25" x14ac:dyDescent="0.2">
      <c r="A85" s="139"/>
      <c r="B85" s="12"/>
      <c r="C85" s="138">
        <f t="shared" si="37"/>
        <v>0</v>
      </c>
      <c r="D85" s="138">
        <f t="shared" si="38"/>
        <v>0</v>
      </c>
      <c r="E85" s="138">
        <f t="shared" si="39"/>
        <v>0</v>
      </c>
      <c r="F85" s="138">
        <f t="shared" si="40"/>
        <v>0</v>
      </c>
      <c r="G85" s="138">
        <f t="shared" si="41"/>
        <v>0</v>
      </c>
      <c r="H85" s="138">
        <f t="shared" si="42"/>
        <v>0</v>
      </c>
      <c r="I85" s="138">
        <f t="shared" si="43"/>
        <v>0</v>
      </c>
      <c r="J85" s="138">
        <f t="shared" si="44"/>
        <v>0</v>
      </c>
      <c r="K85" s="138">
        <f t="shared" si="45"/>
        <v>0</v>
      </c>
      <c r="L85" s="138">
        <f t="shared" si="46"/>
        <v>0</v>
      </c>
      <c r="M85" s="138">
        <f t="shared" si="47"/>
        <v>0</v>
      </c>
      <c r="N85" s="138">
        <f t="shared" si="48"/>
        <v>0</v>
      </c>
      <c r="O85" s="138">
        <f t="shared" si="49"/>
        <v>0</v>
      </c>
      <c r="P85" s="9"/>
      <c r="Q85" s="141"/>
      <c r="R85" s="137">
        <f t="shared" si="52"/>
        <v>0</v>
      </c>
    </row>
    <row r="86" spans="1:25" x14ac:dyDescent="0.2">
      <c r="A86" s="139"/>
      <c r="B86" s="12"/>
      <c r="C86" s="138">
        <f t="shared" si="37"/>
        <v>0</v>
      </c>
      <c r="D86" s="138">
        <f t="shared" si="38"/>
        <v>0</v>
      </c>
      <c r="E86" s="138">
        <f t="shared" si="39"/>
        <v>0</v>
      </c>
      <c r="F86" s="138">
        <f t="shared" si="40"/>
        <v>0</v>
      </c>
      <c r="G86" s="138">
        <f t="shared" si="41"/>
        <v>0</v>
      </c>
      <c r="H86" s="138">
        <f t="shared" si="42"/>
        <v>0</v>
      </c>
      <c r="I86" s="138">
        <f t="shared" si="43"/>
        <v>0</v>
      </c>
      <c r="J86" s="138">
        <f t="shared" si="44"/>
        <v>0</v>
      </c>
      <c r="K86" s="138">
        <f t="shared" si="45"/>
        <v>0</v>
      </c>
      <c r="L86" s="138">
        <f t="shared" si="46"/>
        <v>0</v>
      </c>
      <c r="M86" s="138">
        <f t="shared" si="47"/>
        <v>0</v>
      </c>
      <c r="N86" s="138">
        <f t="shared" si="48"/>
        <v>0</v>
      </c>
      <c r="O86" s="138">
        <f t="shared" si="49"/>
        <v>0</v>
      </c>
      <c r="P86" s="154"/>
      <c r="Q86" s="124"/>
      <c r="R86" s="137">
        <f t="shared" si="52"/>
        <v>0</v>
      </c>
    </row>
    <row r="87" spans="1:25" x14ac:dyDescent="0.2">
      <c r="A87" s="139"/>
      <c r="B87" s="12"/>
      <c r="C87" s="138">
        <f t="shared" si="37"/>
        <v>0</v>
      </c>
      <c r="D87" s="138">
        <f t="shared" si="38"/>
        <v>0</v>
      </c>
      <c r="E87" s="138">
        <f t="shared" si="39"/>
        <v>0</v>
      </c>
      <c r="F87" s="138">
        <f t="shared" si="40"/>
        <v>0</v>
      </c>
      <c r="G87" s="138">
        <f t="shared" si="41"/>
        <v>0</v>
      </c>
      <c r="H87" s="138">
        <f t="shared" si="42"/>
        <v>0</v>
      </c>
      <c r="I87" s="138">
        <f t="shared" si="43"/>
        <v>0</v>
      </c>
      <c r="J87" s="138">
        <f t="shared" si="44"/>
        <v>0</v>
      </c>
      <c r="K87" s="138">
        <f t="shared" si="45"/>
        <v>0</v>
      </c>
      <c r="L87" s="138">
        <f t="shared" si="46"/>
        <v>0</v>
      </c>
      <c r="M87" s="138">
        <f t="shared" si="47"/>
        <v>0</v>
      </c>
      <c r="N87" s="138">
        <f t="shared" si="48"/>
        <v>0</v>
      </c>
      <c r="O87" s="138">
        <f t="shared" si="49"/>
        <v>0</v>
      </c>
      <c r="P87" s="154"/>
      <c r="Q87" s="141"/>
      <c r="R87" s="137">
        <f t="shared" si="52"/>
        <v>0</v>
      </c>
    </row>
    <row r="88" spans="1:25" x14ac:dyDescent="0.2">
      <c r="A88" s="139"/>
      <c r="B88" s="12"/>
      <c r="C88" s="138">
        <f t="shared" si="37"/>
        <v>0</v>
      </c>
      <c r="D88" s="138">
        <f t="shared" si="38"/>
        <v>0</v>
      </c>
      <c r="E88" s="138">
        <f t="shared" si="39"/>
        <v>0</v>
      </c>
      <c r="F88" s="138">
        <f t="shared" si="40"/>
        <v>0</v>
      </c>
      <c r="G88" s="138">
        <f t="shared" si="41"/>
        <v>0</v>
      </c>
      <c r="H88" s="138">
        <f t="shared" si="42"/>
        <v>0</v>
      </c>
      <c r="I88" s="138">
        <f t="shared" si="43"/>
        <v>0</v>
      </c>
      <c r="J88" s="138">
        <f t="shared" si="44"/>
        <v>0</v>
      </c>
      <c r="K88" s="138">
        <f t="shared" si="45"/>
        <v>0</v>
      </c>
      <c r="L88" s="138">
        <f t="shared" si="46"/>
        <v>0</v>
      </c>
      <c r="M88" s="138">
        <f t="shared" si="47"/>
        <v>0</v>
      </c>
      <c r="N88" s="138">
        <f t="shared" si="48"/>
        <v>0</v>
      </c>
      <c r="O88" s="138">
        <f t="shared" si="49"/>
        <v>0</v>
      </c>
      <c r="P88" s="154"/>
      <c r="Q88" s="141"/>
      <c r="R88" s="128"/>
    </row>
    <row r="89" spans="1:25" x14ac:dyDescent="0.2">
      <c r="A89" s="139"/>
      <c r="B89" s="12"/>
      <c r="C89" s="138"/>
      <c r="D89" s="138"/>
      <c r="E89" s="138"/>
      <c r="F89" s="138"/>
      <c r="G89" s="138"/>
      <c r="H89" s="138"/>
      <c r="I89" s="138"/>
      <c r="J89" s="138"/>
      <c r="K89" s="138"/>
      <c r="L89" s="138"/>
      <c r="M89" s="138"/>
      <c r="N89" s="138"/>
      <c r="O89" s="138"/>
      <c r="P89" s="154"/>
      <c r="Q89" s="141"/>
      <c r="R89" s="128"/>
    </row>
    <row r="90" spans="1:25" x14ac:dyDescent="0.2">
      <c r="A90" s="127"/>
      <c r="B90" s="136"/>
      <c r="C90" s="128"/>
      <c r="D90" s="120"/>
      <c r="E90" s="120"/>
      <c r="F90" s="120"/>
      <c r="G90" s="120"/>
      <c r="H90" s="120"/>
      <c r="I90" s="120"/>
      <c r="J90" s="120"/>
      <c r="K90" s="120"/>
      <c r="L90" s="120"/>
      <c r="M90" s="120"/>
      <c r="N90" s="120"/>
      <c r="O90" s="120"/>
      <c r="P90" s="154"/>
      <c r="Q90" s="141"/>
      <c r="R90" s="137"/>
    </row>
    <row r="91" spans="1:25" x14ac:dyDescent="0.2">
      <c r="A91" s="129"/>
      <c r="B91" s="130"/>
      <c r="C91" s="131"/>
      <c r="D91" s="131"/>
      <c r="E91" s="131"/>
      <c r="F91" s="131"/>
      <c r="G91" s="131"/>
      <c r="H91" s="131"/>
      <c r="I91" s="131"/>
      <c r="J91" s="131"/>
      <c r="K91" s="131"/>
      <c r="L91" s="131"/>
      <c r="M91" s="131"/>
      <c r="N91" s="131"/>
      <c r="O91" s="131"/>
      <c r="P91" s="131"/>
      <c r="Q91" s="132"/>
      <c r="R91" s="126"/>
      <c r="T91" s="134"/>
      <c r="U91" s="134"/>
    </row>
    <row r="92" spans="1:25" x14ac:dyDescent="0.2">
      <c r="C92" s="122"/>
      <c r="D92" s="122"/>
      <c r="E92" s="122"/>
      <c r="F92" s="122"/>
      <c r="G92" s="122"/>
      <c r="H92" s="122"/>
      <c r="I92" s="122"/>
      <c r="J92" s="122"/>
      <c r="K92" s="122"/>
      <c r="L92" s="122"/>
      <c r="M92" s="122"/>
      <c r="N92" s="122"/>
      <c r="O92" s="122"/>
      <c r="P92" s="171" t="s">
        <v>1</v>
      </c>
      <c r="Q92" s="133" t="s">
        <v>0</v>
      </c>
      <c r="R92" s="137">
        <f>SUM(R53:R90)</f>
        <v>0</v>
      </c>
      <c r="T92" s="135"/>
      <c r="U92" s="135"/>
    </row>
    <row r="93" spans="1:25" x14ac:dyDescent="0.2">
      <c r="P93" s="188"/>
      <c r="Q93" s="124"/>
      <c r="R93" s="125"/>
    </row>
    <row r="94" spans="1:25" x14ac:dyDescent="0.2">
      <c r="A94" s="139"/>
      <c r="B94" s="136"/>
      <c r="C94" s="128"/>
      <c r="D94" s="120"/>
      <c r="E94" s="120"/>
      <c r="F94" s="120"/>
      <c r="G94" s="120"/>
      <c r="H94" s="120"/>
      <c r="I94" s="120"/>
      <c r="J94" s="120"/>
      <c r="K94" s="120"/>
      <c r="L94" s="120"/>
      <c r="M94" s="120"/>
      <c r="N94" s="120"/>
      <c r="O94" s="120"/>
      <c r="P94" s="154"/>
      <c r="Q94" s="141"/>
      <c r="R94" s="137"/>
    </row>
    <row r="95" spans="1:25" x14ac:dyDescent="0.2">
      <c r="A95" s="139"/>
      <c r="B95" s="160" t="s">
        <v>44</v>
      </c>
      <c r="C95" s="120"/>
      <c r="D95" s="120"/>
      <c r="E95" s="120"/>
      <c r="F95" s="120"/>
      <c r="G95" s="120"/>
      <c r="H95" s="120"/>
      <c r="I95" s="120"/>
      <c r="J95" s="120"/>
      <c r="K95" s="120"/>
      <c r="L95" s="120"/>
      <c r="M95" s="120"/>
      <c r="N95" s="120"/>
      <c r="O95" s="120"/>
      <c r="P95" s="154"/>
      <c r="Q95" s="141"/>
      <c r="R95" s="137"/>
    </row>
    <row r="96" spans="1:25" s="90" customFormat="1" x14ac:dyDescent="0.2">
      <c r="A96" s="150"/>
      <c r="B96" s="198"/>
      <c r="C96" s="199"/>
      <c r="D96" s="199"/>
      <c r="E96" s="199"/>
      <c r="F96" s="199"/>
      <c r="G96" s="199"/>
      <c r="H96" s="199"/>
      <c r="I96" s="199"/>
      <c r="J96" s="199"/>
      <c r="K96" s="199"/>
      <c r="L96" s="199"/>
      <c r="M96" s="199"/>
      <c r="N96" s="199"/>
      <c r="O96" s="199"/>
      <c r="P96" s="151"/>
      <c r="Q96" s="152"/>
      <c r="R96" s="149"/>
      <c r="T96" s="142"/>
      <c r="U96" s="142"/>
      <c r="V96" s="142"/>
      <c r="W96" s="142"/>
      <c r="X96" s="142"/>
      <c r="Y96" s="142"/>
    </row>
    <row r="97" spans="1:25" s="90" customFormat="1" x14ac:dyDescent="0.2">
      <c r="A97" s="150"/>
      <c r="B97" s="200" t="s">
        <v>45</v>
      </c>
      <c r="C97" s="199"/>
      <c r="D97" s="199"/>
      <c r="E97" s="199"/>
      <c r="F97" s="199"/>
      <c r="G97" s="199"/>
      <c r="H97" s="199"/>
      <c r="I97" s="199"/>
      <c r="J97" s="199"/>
      <c r="K97" s="199"/>
      <c r="L97" s="199"/>
      <c r="M97" s="199"/>
      <c r="N97" s="199"/>
      <c r="O97" s="199"/>
      <c r="P97" s="151"/>
      <c r="Q97" s="152"/>
      <c r="R97" s="149"/>
      <c r="T97" s="142"/>
      <c r="U97" s="142"/>
      <c r="V97" s="142"/>
      <c r="W97" s="142"/>
      <c r="X97" s="142"/>
      <c r="Y97" s="142"/>
    </row>
    <row r="98" spans="1:25" x14ac:dyDescent="0.2">
      <c r="A98" s="139"/>
      <c r="B98" s="112"/>
      <c r="C98" s="138">
        <f t="shared" ref="C98:C105" si="53">ROUND((2*$T98+2*$U98)*C$3,0)</f>
        <v>0</v>
      </c>
      <c r="D98" s="138">
        <f t="shared" ref="D98:D105" si="54">C98*$Q98</f>
        <v>0</v>
      </c>
      <c r="E98" s="138">
        <f t="shared" ref="E98:E105" si="55">ROUND((2*$T98+3*$U98)*E$3,0)</f>
        <v>0</v>
      </c>
      <c r="F98" s="138">
        <f t="shared" ref="F98:F105" si="56">E98*$Q98</f>
        <v>0</v>
      </c>
      <c r="G98" s="138">
        <f t="shared" ref="G98:G105" si="57">ROUND((2*$T98+4*$U98)*G$3,0)</f>
        <v>0</v>
      </c>
      <c r="H98" s="138">
        <f t="shared" ref="H98:H105" si="58">G98*$Q98</f>
        <v>0</v>
      </c>
      <c r="I98" s="138">
        <f t="shared" ref="I98:I105" si="59">ROUND((2*$T98+5*$U98)*I$3,0)</f>
        <v>0</v>
      </c>
      <c r="J98" s="138">
        <f t="shared" ref="J98:J105" si="60">I98*$Q98</f>
        <v>0</v>
      </c>
      <c r="K98" s="138">
        <f t="shared" ref="K98:K105" si="61">ROUND((2*$T98+6*$U98)*K$3,0)</f>
        <v>0</v>
      </c>
      <c r="L98" s="138">
        <f t="shared" ref="L98:L105" si="62">K98*$Q98</f>
        <v>0</v>
      </c>
      <c r="M98" s="138">
        <f t="shared" ref="M98:M105" si="63">ROUND((2*$T98+7*$U98)*M$3,0)</f>
        <v>0</v>
      </c>
      <c r="N98" s="138">
        <f t="shared" ref="N98:N105" si="64">M98*$Q98</f>
        <v>0</v>
      </c>
      <c r="O98" s="138">
        <f t="shared" ref="O98:O104" si="65">C98+E98+G98+I98+K98+M98</f>
        <v>0</v>
      </c>
      <c r="P98" s="154"/>
      <c r="Q98" s="141"/>
      <c r="R98" s="137">
        <f t="shared" ref="R98:R99" si="66">O98*Q98</f>
        <v>0</v>
      </c>
    </row>
    <row r="99" spans="1:25" ht="42.75" x14ac:dyDescent="0.2">
      <c r="A99" s="139"/>
      <c r="B99" s="111" t="s">
        <v>436</v>
      </c>
      <c r="C99" s="138">
        <f t="shared" si="53"/>
        <v>0</v>
      </c>
      <c r="D99" s="138">
        <f t="shared" si="54"/>
        <v>0</v>
      </c>
      <c r="E99" s="138">
        <f t="shared" si="55"/>
        <v>0</v>
      </c>
      <c r="F99" s="138">
        <f t="shared" si="56"/>
        <v>0</v>
      </c>
      <c r="G99" s="138">
        <f t="shared" si="57"/>
        <v>0</v>
      </c>
      <c r="H99" s="138">
        <f t="shared" si="58"/>
        <v>0</v>
      </c>
      <c r="I99" s="138">
        <f t="shared" si="59"/>
        <v>0</v>
      </c>
      <c r="J99" s="138">
        <f t="shared" si="60"/>
        <v>0</v>
      </c>
      <c r="K99" s="138">
        <f t="shared" si="61"/>
        <v>0</v>
      </c>
      <c r="L99" s="138">
        <f t="shared" si="62"/>
        <v>0</v>
      </c>
      <c r="M99" s="138">
        <f t="shared" si="63"/>
        <v>0</v>
      </c>
      <c r="N99" s="138">
        <f t="shared" si="64"/>
        <v>0</v>
      </c>
      <c r="O99" s="138">
        <f t="shared" si="65"/>
        <v>0</v>
      </c>
      <c r="P99" s="9"/>
      <c r="Q99" s="141"/>
      <c r="R99" s="137">
        <f t="shared" si="66"/>
        <v>0</v>
      </c>
    </row>
    <row r="100" spans="1:25" x14ac:dyDescent="0.2">
      <c r="A100" s="139"/>
      <c r="B100" s="12"/>
      <c r="C100" s="138">
        <f t="shared" si="53"/>
        <v>0</v>
      </c>
      <c r="D100" s="138">
        <f t="shared" si="54"/>
        <v>0</v>
      </c>
      <c r="E100" s="138">
        <f t="shared" si="55"/>
        <v>0</v>
      </c>
      <c r="F100" s="138">
        <f t="shared" si="56"/>
        <v>0</v>
      </c>
      <c r="G100" s="138">
        <f t="shared" si="57"/>
        <v>0</v>
      </c>
      <c r="H100" s="138">
        <f t="shared" si="58"/>
        <v>0</v>
      </c>
      <c r="I100" s="138">
        <f t="shared" si="59"/>
        <v>0</v>
      </c>
      <c r="J100" s="138">
        <f t="shared" si="60"/>
        <v>0</v>
      </c>
      <c r="K100" s="138">
        <f t="shared" si="61"/>
        <v>0</v>
      </c>
      <c r="L100" s="138">
        <f t="shared" si="62"/>
        <v>0</v>
      </c>
      <c r="M100" s="138">
        <f t="shared" si="63"/>
        <v>0</v>
      </c>
      <c r="N100" s="138">
        <f t="shared" si="64"/>
        <v>0</v>
      </c>
      <c r="O100" s="138">
        <f t="shared" si="65"/>
        <v>0</v>
      </c>
      <c r="P100" s="154"/>
      <c r="Q100" s="141"/>
      <c r="R100" s="128"/>
    </row>
    <row r="101" spans="1:25" x14ac:dyDescent="0.2">
      <c r="A101" s="139" t="s">
        <v>66</v>
      </c>
      <c r="B101" s="12" t="s">
        <v>504</v>
      </c>
      <c r="C101" s="138">
        <f t="shared" si="53"/>
        <v>4</v>
      </c>
      <c r="D101" s="138">
        <f t="shared" si="54"/>
        <v>0</v>
      </c>
      <c r="E101" s="138">
        <f t="shared" si="55"/>
        <v>5</v>
      </c>
      <c r="F101" s="138">
        <f t="shared" si="56"/>
        <v>0</v>
      </c>
      <c r="G101" s="138">
        <f t="shared" si="57"/>
        <v>30</v>
      </c>
      <c r="H101" s="138">
        <f t="shared" si="58"/>
        <v>0</v>
      </c>
      <c r="I101" s="138">
        <f t="shared" si="59"/>
        <v>7</v>
      </c>
      <c r="J101" s="138">
        <f t="shared" si="60"/>
        <v>0</v>
      </c>
      <c r="K101" s="138">
        <f t="shared" si="61"/>
        <v>24</v>
      </c>
      <c r="L101" s="138">
        <f t="shared" si="62"/>
        <v>0</v>
      </c>
      <c r="M101" s="138">
        <f t="shared" si="63"/>
        <v>9</v>
      </c>
      <c r="N101" s="138">
        <f t="shared" si="64"/>
        <v>0</v>
      </c>
      <c r="O101" s="138">
        <f>C101+E101+G101+I101+K101+M101</f>
        <v>79</v>
      </c>
      <c r="P101" s="9" t="s">
        <v>10</v>
      </c>
      <c r="Q101" s="141"/>
      <c r="R101" s="128">
        <f>O101*Q101</f>
        <v>0</v>
      </c>
      <c r="T101" s="142">
        <v>1</v>
      </c>
      <c r="U101" s="142">
        <v>1</v>
      </c>
    </row>
    <row r="102" spans="1:25" x14ac:dyDescent="0.2">
      <c r="A102" s="139"/>
      <c r="B102" s="12"/>
      <c r="C102" s="138">
        <f t="shared" si="53"/>
        <v>0</v>
      </c>
      <c r="D102" s="138">
        <f t="shared" si="54"/>
        <v>0</v>
      </c>
      <c r="E102" s="138">
        <f t="shared" si="55"/>
        <v>0</v>
      </c>
      <c r="F102" s="138">
        <f t="shared" si="56"/>
        <v>0</v>
      </c>
      <c r="G102" s="138">
        <f t="shared" si="57"/>
        <v>0</v>
      </c>
      <c r="H102" s="138">
        <f t="shared" si="58"/>
        <v>0</v>
      </c>
      <c r="I102" s="138">
        <f t="shared" si="59"/>
        <v>0</v>
      </c>
      <c r="J102" s="138">
        <f t="shared" si="60"/>
        <v>0</v>
      </c>
      <c r="K102" s="138">
        <f t="shared" si="61"/>
        <v>0</v>
      </c>
      <c r="L102" s="138">
        <f t="shared" si="62"/>
        <v>0</v>
      </c>
      <c r="M102" s="138">
        <f t="shared" si="63"/>
        <v>0</v>
      </c>
      <c r="N102" s="138">
        <f t="shared" si="64"/>
        <v>0</v>
      </c>
      <c r="O102" s="138">
        <f t="shared" si="65"/>
        <v>0</v>
      </c>
      <c r="P102" s="9"/>
      <c r="Q102" s="141"/>
      <c r="R102" s="128"/>
    </row>
    <row r="103" spans="1:25" x14ac:dyDescent="0.2">
      <c r="A103" s="139" t="s">
        <v>67</v>
      </c>
      <c r="B103" s="12" t="s">
        <v>505</v>
      </c>
      <c r="C103" s="488">
        <f t="shared" si="53"/>
        <v>92</v>
      </c>
      <c r="D103" s="488">
        <f t="shared" si="54"/>
        <v>0</v>
      </c>
      <c r="E103" s="488">
        <f t="shared" si="55"/>
        <v>115</v>
      </c>
      <c r="F103" s="488">
        <f t="shared" si="56"/>
        <v>0</v>
      </c>
      <c r="G103" s="488">
        <f t="shared" si="57"/>
        <v>690</v>
      </c>
      <c r="H103" s="488">
        <f t="shared" si="58"/>
        <v>0</v>
      </c>
      <c r="I103" s="488">
        <f t="shared" si="59"/>
        <v>161</v>
      </c>
      <c r="J103" s="488">
        <f t="shared" si="60"/>
        <v>0</v>
      </c>
      <c r="K103" s="488">
        <f t="shared" si="61"/>
        <v>552</v>
      </c>
      <c r="L103" s="488">
        <f t="shared" si="62"/>
        <v>0</v>
      </c>
      <c r="M103" s="488">
        <f t="shared" si="63"/>
        <v>207</v>
      </c>
      <c r="N103" s="488">
        <f t="shared" si="64"/>
        <v>0</v>
      </c>
      <c r="O103" s="488">
        <f>C103+E103+G103+I103+K103+M103</f>
        <v>1817</v>
      </c>
      <c r="P103" s="9" t="s">
        <v>12</v>
      </c>
      <c r="Q103" s="141"/>
      <c r="R103" s="128">
        <f>O103*Q103</f>
        <v>0</v>
      </c>
      <c r="T103" s="485">
        <v>23</v>
      </c>
      <c r="U103" s="485">
        <v>23</v>
      </c>
    </row>
    <row r="104" spans="1:25" x14ac:dyDescent="0.2">
      <c r="A104" s="139"/>
      <c r="B104" s="12"/>
      <c r="C104" s="138">
        <f t="shared" si="53"/>
        <v>0</v>
      </c>
      <c r="D104" s="138">
        <f t="shared" si="54"/>
        <v>0</v>
      </c>
      <c r="E104" s="138">
        <f t="shared" si="55"/>
        <v>0</v>
      </c>
      <c r="F104" s="138">
        <f t="shared" si="56"/>
        <v>0</v>
      </c>
      <c r="G104" s="138">
        <f t="shared" si="57"/>
        <v>0</v>
      </c>
      <c r="H104" s="138">
        <f t="shared" si="58"/>
        <v>0</v>
      </c>
      <c r="I104" s="138">
        <f t="shared" si="59"/>
        <v>0</v>
      </c>
      <c r="J104" s="138">
        <f t="shared" si="60"/>
        <v>0</v>
      </c>
      <c r="K104" s="138">
        <f t="shared" si="61"/>
        <v>0</v>
      </c>
      <c r="L104" s="138">
        <f t="shared" si="62"/>
        <v>0</v>
      </c>
      <c r="M104" s="138">
        <f t="shared" si="63"/>
        <v>0</v>
      </c>
      <c r="N104" s="138">
        <f t="shared" si="64"/>
        <v>0</v>
      </c>
      <c r="O104" s="138">
        <f t="shared" si="65"/>
        <v>0</v>
      </c>
      <c r="P104" s="9"/>
      <c r="Q104" s="141"/>
      <c r="R104" s="128"/>
    </row>
    <row r="105" spans="1:25" x14ac:dyDescent="0.2">
      <c r="A105" s="139" t="s">
        <v>68</v>
      </c>
      <c r="B105" s="12" t="s">
        <v>506</v>
      </c>
      <c r="C105" s="138">
        <f t="shared" si="53"/>
        <v>96</v>
      </c>
      <c r="D105" s="138">
        <f t="shared" si="54"/>
        <v>0</v>
      </c>
      <c r="E105" s="138">
        <f t="shared" si="55"/>
        <v>120</v>
      </c>
      <c r="F105" s="138">
        <f t="shared" si="56"/>
        <v>0</v>
      </c>
      <c r="G105" s="138">
        <f t="shared" si="57"/>
        <v>720</v>
      </c>
      <c r="H105" s="138">
        <f t="shared" si="58"/>
        <v>0</v>
      </c>
      <c r="I105" s="138">
        <f t="shared" si="59"/>
        <v>168</v>
      </c>
      <c r="J105" s="138">
        <f t="shared" si="60"/>
        <v>0</v>
      </c>
      <c r="K105" s="138">
        <f t="shared" si="61"/>
        <v>576</v>
      </c>
      <c r="L105" s="138">
        <f t="shared" si="62"/>
        <v>0</v>
      </c>
      <c r="M105" s="138">
        <f t="shared" si="63"/>
        <v>216</v>
      </c>
      <c r="N105" s="138">
        <f t="shared" si="64"/>
        <v>0</v>
      </c>
      <c r="O105" s="138">
        <f>C105+E105+G105+I105+K105+M105</f>
        <v>1896</v>
      </c>
      <c r="P105" s="9" t="s">
        <v>12</v>
      </c>
      <c r="Q105" s="141"/>
      <c r="R105" s="128">
        <f>O105*Q105</f>
        <v>0</v>
      </c>
      <c r="T105" s="142">
        <v>24</v>
      </c>
      <c r="U105" s="142">
        <v>24</v>
      </c>
    </row>
    <row r="106" spans="1:25" x14ac:dyDescent="0.2">
      <c r="A106" s="139"/>
      <c r="B106" s="24"/>
      <c r="C106" s="138">
        <f t="shared" ref="C106:C123" si="67">ROUND((2*$T106+2*$U106)*C$3,0)</f>
        <v>0</v>
      </c>
      <c r="D106" s="138">
        <f t="shared" ref="D106:D123" si="68">C106*$Q106</f>
        <v>0</v>
      </c>
      <c r="E106" s="138">
        <f t="shared" ref="E106:E123" si="69">ROUND((2*$T106+3*$U106)*E$3,0)</f>
        <v>0</v>
      </c>
      <c r="F106" s="138">
        <f t="shared" ref="F106:F123" si="70">E106*$Q106</f>
        <v>0</v>
      </c>
      <c r="G106" s="138">
        <f t="shared" ref="G106:G123" si="71">ROUND((2*$T106+4*$U106)*G$3,0)</f>
        <v>0</v>
      </c>
      <c r="H106" s="138">
        <f t="shared" ref="H106:H123" si="72">G106*$Q106</f>
        <v>0</v>
      </c>
      <c r="I106" s="138">
        <f t="shared" ref="I106:I123" si="73">ROUND((2*$T106+5*$U106)*I$3,0)</f>
        <v>0</v>
      </c>
      <c r="J106" s="138">
        <f t="shared" ref="J106:J123" si="74">I106*$Q106</f>
        <v>0</v>
      </c>
      <c r="K106" s="138">
        <f t="shared" ref="K106:K123" si="75">ROUND((2*$T106+6*$U106)*K$3,0)</f>
        <v>0</v>
      </c>
      <c r="L106" s="138">
        <f t="shared" ref="L106:L123" si="76">K106*$Q106</f>
        <v>0</v>
      </c>
      <c r="M106" s="138">
        <f t="shared" ref="M106:M123" si="77">ROUND((2*$T106+7*$U106)*M$3,0)</f>
        <v>0</v>
      </c>
      <c r="N106" s="138">
        <f t="shared" ref="N106:N123" si="78">M106*$Q106</f>
        <v>0</v>
      </c>
      <c r="O106" s="138">
        <f t="shared" ref="O106:O122" si="79">C106+E106+G106+I106+K106+M106</f>
        <v>0</v>
      </c>
      <c r="P106" s="154"/>
      <c r="Q106" s="141"/>
      <c r="R106" s="137"/>
    </row>
    <row r="107" spans="1:25" ht="42.75" x14ac:dyDescent="0.2">
      <c r="A107" s="139"/>
      <c r="B107" s="111" t="s">
        <v>507</v>
      </c>
      <c r="C107" s="138">
        <f t="shared" si="67"/>
        <v>0</v>
      </c>
      <c r="D107" s="138">
        <f t="shared" si="68"/>
        <v>0</v>
      </c>
      <c r="E107" s="138">
        <f t="shared" si="69"/>
        <v>0</v>
      </c>
      <c r="F107" s="138">
        <f t="shared" si="70"/>
        <v>0</v>
      </c>
      <c r="G107" s="138">
        <f t="shared" si="71"/>
        <v>0</v>
      </c>
      <c r="H107" s="138">
        <f t="shared" si="72"/>
        <v>0</v>
      </c>
      <c r="I107" s="138">
        <f t="shared" si="73"/>
        <v>0</v>
      </c>
      <c r="J107" s="138">
        <f t="shared" si="74"/>
        <v>0</v>
      </c>
      <c r="K107" s="138">
        <f t="shared" si="75"/>
        <v>0</v>
      </c>
      <c r="L107" s="138">
        <f t="shared" si="76"/>
        <v>0</v>
      </c>
      <c r="M107" s="138">
        <f t="shared" si="77"/>
        <v>0</v>
      </c>
      <c r="N107" s="138">
        <f t="shared" si="78"/>
        <v>0</v>
      </c>
      <c r="O107" s="138">
        <f t="shared" si="79"/>
        <v>0</v>
      </c>
      <c r="P107" s="154"/>
      <c r="Q107" s="141"/>
      <c r="R107" s="137"/>
    </row>
    <row r="108" spans="1:25" x14ac:dyDescent="0.2">
      <c r="A108" s="139"/>
      <c r="B108" s="112"/>
      <c r="C108" s="138">
        <f t="shared" si="67"/>
        <v>0</v>
      </c>
      <c r="D108" s="138">
        <f t="shared" si="68"/>
        <v>0</v>
      </c>
      <c r="E108" s="138">
        <f t="shared" si="69"/>
        <v>0</v>
      </c>
      <c r="F108" s="138">
        <f t="shared" si="70"/>
        <v>0</v>
      </c>
      <c r="G108" s="138">
        <f t="shared" si="71"/>
        <v>0</v>
      </c>
      <c r="H108" s="138">
        <f t="shared" si="72"/>
        <v>0</v>
      </c>
      <c r="I108" s="138">
        <f t="shared" si="73"/>
        <v>0</v>
      </c>
      <c r="J108" s="138">
        <f t="shared" si="74"/>
        <v>0</v>
      </c>
      <c r="K108" s="138">
        <f t="shared" si="75"/>
        <v>0</v>
      </c>
      <c r="L108" s="138">
        <f t="shared" si="76"/>
        <v>0</v>
      </c>
      <c r="M108" s="138">
        <f t="shared" si="77"/>
        <v>0</v>
      </c>
      <c r="N108" s="138">
        <f t="shared" si="78"/>
        <v>0</v>
      </c>
      <c r="O108" s="138">
        <f t="shared" si="79"/>
        <v>0</v>
      </c>
      <c r="P108" s="154"/>
      <c r="Q108" s="141"/>
      <c r="R108" s="137"/>
    </row>
    <row r="109" spans="1:25" ht="28.5" x14ac:dyDescent="0.2">
      <c r="A109" s="139" t="s">
        <v>69</v>
      </c>
      <c r="B109" s="12" t="s">
        <v>918</v>
      </c>
      <c r="C109" s="138">
        <f t="shared" si="67"/>
        <v>20</v>
      </c>
      <c r="D109" s="138">
        <f t="shared" si="68"/>
        <v>0</v>
      </c>
      <c r="E109" s="138">
        <f t="shared" si="69"/>
        <v>25</v>
      </c>
      <c r="F109" s="138">
        <f t="shared" si="70"/>
        <v>0</v>
      </c>
      <c r="G109" s="138">
        <f t="shared" si="71"/>
        <v>150</v>
      </c>
      <c r="H109" s="138">
        <f t="shared" si="72"/>
        <v>0</v>
      </c>
      <c r="I109" s="138">
        <f t="shared" si="73"/>
        <v>35</v>
      </c>
      <c r="J109" s="138">
        <f t="shared" si="74"/>
        <v>0</v>
      </c>
      <c r="K109" s="138">
        <f t="shared" si="75"/>
        <v>120</v>
      </c>
      <c r="L109" s="138">
        <f t="shared" si="76"/>
        <v>0</v>
      </c>
      <c r="M109" s="138">
        <f t="shared" si="77"/>
        <v>45</v>
      </c>
      <c r="N109" s="138">
        <f t="shared" si="78"/>
        <v>0</v>
      </c>
      <c r="O109" s="138">
        <f>C109+E109+G109+I109+K109+M109</f>
        <v>395</v>
      </c>
      <c r="P109" s="9" t="s">
        <v>10</v>
      </c>
      <c r="Q109" s="141"/>
      <c r="R109" s="137">
        <f>O109*Q109</f>
        <v>0</v>
      </c>
      <c r="T109" s="142">
        <v>5</v>
      </c>
      <c r="U109" s="142">
        <v>5</v>
      </c>
    </row>
    <row r="110" spans="1:25" x14ac:dyDescent="0.2">
      <c r="A110" s="139"/>
      <c r="B110" s="112"/>
      <c r="C110" s="138">
        <f t="shared" si="67"/>
        <v>0</v>
      </c>
      <c r="D110" s="138">
        <f t="shared" si="68"/>
        <v>0</v>
      </c>
      <c r="E110" s="138">
        <f t="shared" si="69"/>
        <v>0</v>
      </c>
      <c r="F110" s="138">
        <f t="shared" si="70"/>
        <v>0</v>
      </c>
      <c r="G110" s="138">
        <f t="shared" si="71"/>
        <v>0</v>
      </c>
      <c r="H110" s="138">
        <f t="shared" si="72"/>
        <v>0</v>
      </c>
      <c r="I110" s="138">
        <f t="shared" si="73"/>
        <v>0</v>
      </c>
      <c r="J110" s="138">
        <f t="shared" si="74"/>
        <v>0</v>
      </c>
      <c r="K110" s="138">
        <f t="shared" si="75"/>
        <v>0</v>
      </c>
      <c r="L110" s="138">
        <f t="shared" si="76"/>
        <v>0</v>
      </c>
      <c r="M110" s="138">
        <f t="shared" si="77"/>
        <v>0</v>
      </c>
      <c r="N110" s="138">
        <f t="shared" si="78"/>
        <v>0</v>
      </c>
      <c r="O110" s="138">
        <f t="shared" si="79"/>
        <v>0</v>
      </c>
      <c r="P110" s="154"/>
      <c r="Q110" s="141"/>
      <c r="R110" s="137">
        <f t="shared" ref="R110:R113" si="80">O110*Q110</f>
        <v>0</v>
      </c>
    </row>
    <row r="111" spans="1:25" ht="42.75" x14ac:dyDescent="0.2">
      <c r="A111" s="139"/>
      <c r="B111" s="111" t="s">
        <v>508</v>
      </c>
      <c r="C111" s="138">
        <f t="shared" si="67"/>
        <v>0</v>
      </c>
      <c r="D111" s="138">
        <f t="shared" si="68"/>
        <v>0</v>
      </c>
      <c r="E111" s="138">
        <f t="shared" si="69"/>
        <v>0</v>
      </c>
      <c r="F111" s="138">
        <f t="shared" si="70"/>
        <v>0</v>
      </c>
      <c r="G111" s="138">
        <f t="shared" si="71"/>
        <v>0</v>
      </c>
      <c r="H111" s="138">
        <f t="shared" si="72"/>
        <v>0</v>
      </c>
      <c r="I111" s="138">
        <f t="shared" si="73"/>
        <v>0</v>
      </c>
      <c r="J111" s="138">
        <f t="shared" si="74"/>
        <v>0</v>
      </c>
      <c r="K111" s="138">
        <f t="shared" si="75"/>
        <v>0</v>
      </c>
      <c r="L111" s="138">
        <f t="shared" si="76"/>
        <v>0</v>
      </c>
      <c r="M111" s="138">
        <f t="shared" si="77"/>
        <v>0</v>
      </c>
      <c r="N111" s="138">
        <f t="shared" si="78"/>
        <v>0</v>
      </c>
      <c r="O111" s="138">
        <f t="shared" si="79"/>
        <v>0</v>
      </c>
      <c r="P111" s="9"/>
      <c r="Q111" s="141"/>
      <c r="R111" s="137">
        <f t="shared" si="80"/>
        <v>0</v>
      </c>
    </row>
    <row r="112" spans="1:25" x14ac:dyDescent="0.2">
      <c r="A112" s="139"/>
      <c r="B112" s="112"/>
      <c r="C112" s="138">
        <f t="shared" si="67"/>
        <v>0</v>
      </c>
      <c r="D112" s="138">
        <f t="shared" si="68"/>
        <v>0</v>
      </c>
      <c r="E112" s="138">
        <f t="shared" si="69"/>
        <v>0</v>
      </c>
      <c r="F112" s="138">
        <f t="shared" si="70"/>
        <v>0</v>
      </c>
      <c r="G112" s="138">
        <f t="shared" si="71"/>
        <v>0</v>
      </c>
      <c r="H112" s="138">
        <f t="shared" si="72"/>
        <v>0</v>
      </c>
      <c r="I112" s="138">
        <f t="shared" si="73"/>
        <v>0</v>
      </c>
      <c r="J112" s="138">
        <f t="shared" si="74"/>
        <v>0</v>
      </c>
      <c r="K112" s="138">
        <f t="shared" si="75"/>
        <v>0</v>
      </c>
      <c r="L112" s="138">
        <f t="shared" si="76"/>
        <v>0</v>
      </c>
      <c r="M112" s="138">
        <f t="shared" si="77"/>
        <v>0</v>
      </c>
      <c r="N112" s="138">
        <f t="shared" si="78"/>
        <v>0</v>
      </c>
      <c r="O112" s="138">
        <f t="shared" si="79"/>
        <v>0</v>
      </c>
      <c r="P112" s="154"/>
      <c r="Q112" s="141"/>
      <c r="R112" s="137">
        <f t="shared" si="80"/>
        <v>0</v>
      </c>
    </row>
    <row r="113" spans="1:21" x14ac:dyDescent="0.2">
      <c r="A113" s="139" t="s">
        <v>70</v>
      </c>
      <c r="B113" s="12" t="s">
        <v>509</v>
      </c>
      <c r="C113" s="138">
        <f t="shared" si="67"/>
        <v>136</v>
      </c>
      <c r="D113" s="138">
        <f t="shared" si="68"/>
        <v>0</v>
      </c>
      <c r="E113" s="138">
        <f t="shared" si="69"/>
        <v>171</v>
      </c>
      <c r="F113" s="138">
        <f t="shared" si="70"/>
        <v>0</v>
      </c>
      <c r="G113" s="138">
        <f t="shared" si="71"/>
        <v>1030</v>
      </c>
      <c r="H113" s="138">
        <f t="shared" si="72"/>
        <v>0</v>
      </c>
      <c r="I113" s="138">
        <f t="shared" si="73"/>
        <v>241</v>
      </c>
      <c r="J113" s="138">
        <f t="shared" si="74"/>
        <v>0</v>
      </c>
      <c r="K113" s="138">
        <f t="shared" si="75"/>
        <v>828</v>
      </c>
      <c r="L113" s="138">
        <f t="shared" si="76"/>
        <v>0</v>
      </c>
      <c r="M113" s="138">
        <f t="shared" si="77"/>
        <v>311</v>
      </c>
      <c r="N113" s="138">
        <f t="shared" si="78"/>
        <v>0</v>
      </c>
      <c r="O113" s="138">
        <f>C113+E113+G113+I113+K113+M113</f>
        <v>2717</v>
      </c>
      <c r="P113" s="9" t="s">
        <v>10</v>
      </c>
      <c r="Q113" s="141"/>
      <c r="R113" s="137">
        <f t="shared" si="80"/>
        <v>0</v>
      </c>
      <c r="T113" s="142">
        <v>33</v>
      </c>
      <c r="U113" s="142">
        <v>35</v>
      </c>
    </row>
    <row r="114" spans="1:21" x14ac:dyDescent="0.2">
      <c r="A114" s="139"/>
      <c r="B114" s="24"/>
      <c r="C114" s="138">
        <f t="shared" si="67"/>
        <v>0</v>
      </c>
      <c r="D114" s="138">
        <f t="shared" si="68"/>
        <v>0</v>
      </c>
      <c r="E114" s="138">
        <f t="shared" si="69"/>
        <v>0</v>
      </c>
      <c r="F114" s="138">
        <f t="shared" si="70"/>
        <v>0</v>
      </c>
      <c r="G114" s="138">
        <f t="shared" si="71"/>
        <v>0</v>
      </c>
      <c r="H114" s="138">
        <f t="shared" si="72"/>
        <v>0</v>
      </c>
      <c r="I114" s="138">
        <f t="shared" si="73"/>
        <v>0</v>
      </c>
      <c r="J114" s="138">
        <f t="shared" si="74"/>
        <v>0</v>
      </c>
      <c r="K114" s="138">
        <f t="shared" si="75"/>
        <v>0</v>
      </c>
      <c r="L114" s="138">
        <f t="shared" si="76"/>
        <v>0</v>
      </c>
      <c r="M114" s="138">
        <f t="shared" si="77"/>
        <v>0</v>
      </c>
      <c r="N114" s="138">
        <f t="shared" si="78"/>
        <v>0</v>
      </c>
      <c r="O114" s="138">
        <f t="shared" si="79"/>
        <v>0</v>
      </c>
      <c r="P114" s="154"/>
      <c r="Q114" s="141"/>
      <c r="R114" s="137"/>
    </row>
    <row r="115" spans="1:21" ht="42.75" x14ac:dyDescent="0.2">
      <c r="A115" s="139"/>
      <c r="B115" s="111" t="s">
        <v>500</v>
      </c>
      <c r="C115" s="138">
        <f t="shared" si="67"/>
        <v>0</v>
      </c>
      <c r="D115" s="138">
        <f t="shared" si="68"/>
        <v>0</v>
      </c>
      <c r="E115" s="138">
        <f t="shared" si="69"/>
        <v>0</v>
      </c>
      <c r="F115" s="138">
        <f t="shared" si="70"/>
        <v>0</v>
      </c>
      <c r="G115" s="138">
        <f t="shared" si="71"/>
        <v>0</v>
      </c>
      <c r="H115" s="138">
        <f t="shared" si="72"/>
        <v>0</v>
      </c>
      <c r="I115" s="138">
        <f t="shared" si="73"/>
        <v>0</v>
      </c>
      <c r="J115" s="138">
        <f t="shared" si="74"/>
        <v>0</v>
      </c>
      <c r="K115" s="138">
        <f t="shared" si="75"/>
        <v>0</v>
      </c>
      <c r="L115" s="138">
        <f t="shared" si="76"/>
        <v>0</v>
      </c>
      <c r="M115" s="138">
        <f t="shared" si="77"/>
        <v>0</v>
      </c>
      <c r="N115" s="138">
        <f t="shared" si="78"/>
        <v>0</v>
      </c>
      <c r="O115" s="138">
        <f t="shared" si="79"/>
        <v>0</v>
      </c>
      <c r="P115" s="154"/>
      <c r="Q115" s="141"/>
      <c r="R115" s="137"/>
    </row>
    <row r="116" spans="1:21" x14ac:dyDescent="0.2">
      <c r="A116" s="139"/>
      <c r="B116" s="112"/>
      <c r="C116" s="138">
        <f t="shared" si="67"/>
        <v>0</v>
      </c>
      <c r="D116" s="138">
        <f t="shared" si="68"/>
        <v>0</v>
      </c>
      <c r="E116" s="138">
        <f t="shared" si="69"/>
        <v>0</v>
      </c>
      <c r="F116" s="138">
        <f t="shared" si="70"/>
        <v>0</v>
      </c>
      <c r="G116" s="138">
        <f t="shared" si="71"/>
        <v>0</v>
      </c>
      <c r="H116" s="138">
        <f t="shared" si="72"/>
        <v>0</v>
      </c>
      <c r="I116" s="138">
        <f t="shared" si="73"/>
        <v>0</v>
      </c>
      <c r="J116" s="138">
        <f t="shared" si="74"/>
        <v>0</v>
      </c>
      <c r="K116" s="138">
        <f t="shared" si="75"/>
        <v>0</v>
      </c>
      <c r="L116" s="138">
        <f t="shared" si="76"/>
        <v>0</v>
      </c>
      <c r="M116" s="138">
        <f t="shared" si="77"/>
        <v>0</v>
      </c>
      <c r="N116" s="138">
        <f t="shared" si="78"/>
        <v>0</v>
      </c>
      <c r="O116" s="138">
        <f t="shared" si="79"/>
        <v>0</v>
      </c>
      <c r="P116" s="154"/>
      <c r="Q116" s="141"/>
      <c r="R116" s="137"/>
    </row>
    <row r="117" spans="1:21" x14ac:dyDescent="0.2">
      <c r="A117" s="139" t="s">
        <v>71</v>
      </c>
      <c r="B117" s="12" t="s">
        <v>510</v>
      </c>
      <c r="C117" s="488">
        <f t="shared" si="67"/>
        <v>154</v>
      </c>
      <c r="D117" s="488">
        <f t="shared" si="68"/>
        <v>0</v>
      </c>
      <c r="E117" s="488">
        <f t="shared" si="69"/>
        <v>192</v>
      </c>
      <c r="F117" s="488">
        <f t="shared" si="70"/>
        <v>0</v>
      </c>
      <c r="G117" s="488">
        <f t="shared" si="71"/>
        <v>1150</v>
      </c>
      <c r="H117" s="488">
        <f t="shared" si="72"/>
        <v>0</v>
      </c>
      <c r="I117" s="488">
        <f t="shared" si="73"/>
        <v>268</v>
      </c>
      <c r="J117" s="488">
        <f t="shared" si="74"/>
        <v>0</v>
      </c>
      <c r="K117" s="488">
        <f t="shared" si="75"/>
        <v>918</v>
      </c>
      <c r="L117" s="488">
        <f t="shared" si="76"/>
        <v>0</v>
      </c>
      <c r="M117" s="488">
        <f t="shared" si="77"/>
        <v>344</v>
      </c>
      <c r="N117" s="488">
        <f t="shared" si="78"/>
        <v>0</v>
      </c>
      <c r="O117" s="488">
        <f>C117+E117+G117+I117+K117+M117</f>
        <v>3026</v>
      </c>
      <c r="P117" s="9" t="s">
        <v>10</v>
      </c>
      <c r="Q117" s="141"/>
      <c r="R117" s="137">
        <f>O117*Q117</f>
        <v>0</v>
      </c>
      <c r="T117" s="485">
        <v>39</v>
      </c>
      <c r="U117" s="485">
        <v>38</v>
      </c>
    </row>
    <row r="118" spans="1:21" x14ac:dyDescent="0.2">
      <c r="A118" s="139"/>
      <c r="B118" s="12"/>
      <c r="C118" s="138">
        <f t="shared" si="67"/>
        <v>0</v>
      </c>
      <c r="D118" s="138">
        <f t="shared" si="68"/>
        <v>0</v>
      </c>
      <c r="E118" s="138">
        <f t="shared" si="69"/>
        <v>0</v>
      </c>
      <c r="F118" s="138">
        <f t="shared" si="70"/>
        <v>0</v>
      </c>
      <c r="G118" s="138">
        <f t="shared" si="71"/>
        <v>0</v>
      </c>
      <c r="H118" s="138">
        <f t="shared" si="72"/>
        <v>0</v>
      </c>
      <c r="I118" s="138">
        <f t="shared" si="73"/>
        <v>0</v>
      </c>
      <c r="J118" s="138">
        <f t="shared" si="74"/>
        <v>0</v>
      </c>
      <c r="K118" s="138">
        <f t="shared" si="75"/>
        <v>0</v>
      </c>
      <c r="L118" s="138">
        <f t="shared" si="76"/>
        <v>0</v>
      </c>
      <c r="M118" s="138">
        <f t="shared" si="77"/>
        <v>0</v>
      </c>
      <c r="N118" s="138">
        <f t="shared" si="78"/>
        <v>0</v>
      </c>
      <c r="O118" s="138">
        <f t="shared" si="79"/>
        <v>0</v>
      </c>
      <c r="P118" s="9"/>
      <c r="Q118" s="141"/>
      <c r="R118" s="137"/>
    </row>
    <row r="119" spans="1:21" ht="42.75" x14ac:dyDescent="0.2">
      <c r="A119" s="139"/>
      <c r="B119" s="111" t="s">
        <v>511</v>
      </c>
      <c r="C119" s="138">
        <f t="shared" si="67"/>
        <v>0</v>
      </c>
      <c r="D119" s="138">
        <f t="shared" si="68"/>
        <v>0</v>
      </c>
      <c r="E119" s="138">
        <f t="shared" si="69"/>
        <v>0</v>
      </c>
      <c r="F119" s="138">
        <f t="shared" si="70"/>
        <v>0</v>
      </c>
      <c r="G119" s="138">
        <f t="shared" si="71"/>
        <v>0</v>
      </c>
      <c r="H119" s="138">
        <f t="shared" si="72"/>
        <v>0</v>
      </c>
      <c r="I119" s="138">
        <f t="shared" si="73"/>
        <v>0</v>
      </c>
      <c r="J119" s="138">
        <f t="shared" si="74"/>
        <v>0</v>
      </c>
      <c r="K119" s="138">
        <f t="shared" si="75"/>
        <v>0</v>
      </c>
      <c r="L119" s="138">
        <f t="shared" si="76"/>
        <v>0</v>
      </c>
      <c r="M119" s="138">
        <f t="shared" si="77"/>
        <v>0</v>
      </c>
      <c r="N119" s="138">
        <f t="shared" si="78"/>
        <v>0</v>
      </c>
      <c r="O119" s="138">
        <f t="shared" si="79"/>
        <v>0</v>
      </c>
      <c r="P119" s="154"/>
      <c r="Q119" s="141"/>
      <c r="R119" s="137"/>
    </row>
    <row r="120" spans="1:21" s="91" customFormat="1" x14ac:dyDescent="0.2">
      <c r="A120" s="8"/>
      <c r="B120" s="112"/>
      <c r="C120" s="138">
        <f t="shared" si="67"/>
        <v>0</v>
      </c>
      <c r="D120" s="138">
        <f t="shared" si="68"/>
        <v>0</v>
      </c>
      <c r="E120" s="138">
        <f t="shared" si="69"/>
        <v>0</v>
      </c>
      <c r="F120" s="138">
        <f t="shared" si="70"/>
        <v>0</v>
      </c>
      <c r="G120" s="138">
        <f t="shared" si="71"/>
        <v>0</v>
      </c>
      <c r="H120" s="138">
        <f t="shared" si="72"/>
        <v>0</v>
      </c>
      <c r="I120" s="138">
        <f t="shared" si="73"/>
        <v>0</v>
      </c>
      <c r="J120" s="138">
        <f t="shared" si="74"/>
        <v>0</v>
      </c>
      <c r="K120" s="138">
        <f t="shared" si="75"/>
        <v>0</v>
      </c>
      <c r="L120" s="138">
        <f t="shared" si="76"/>
        <v>0</v>
      </c>
      <c r="M120" s="138">
        <f t="shared" si="77"/>
        <v>0</v>
      </c>
      <c r="N120" s="138">
        <f t="shared" si="78"/>
        <v>0</v>
      </c>
      <c r="O120" s="138">
        <f t="shared" si="79"/>
        <v>0</v>
      </c>
      <c r="P120" s="9"/>
      <c r="Q120" s="10"/>
      <c r="R120" s="137"/>
      <c r="T120" s="142"/>
      <c r="U120" s="142"/>
    </row>
    <row r="121" spans="1:21" s="91" customFormat="1" x14ac:dyDescent="0.2">
      <c r="A121" s="8" t="s">
        <v>72</v>
      </c>
      <c r="B121" s="112" t="s">
        <v>421</v>
      </c>
      <c r="C121" s="138">
        <f t="shared" si="67"/>
        <v>42</v>
      </c>
      <c r="D121" s="138">
        <f t="shared" si="68"/>
        <v>0</v>
      </c>
      <c r="E121" s="138">
        <f t="shared" si="69"/>
        <v>52</v>
      </c>
      <c r="F121" s="138">
        <f t="shared" si="70"/>
        <v>0</v>
      </c>
      <c r="G121" s="138">
        <f t="shared" si="71"/>
        <v>310</v>
      </c>
      <c r="H121" s="138">
        <f t="shared" si="72"/>
        <v>0</v>
      </c>
      <c r="I121" s="138">
        <f t="shared" si="73"/>
        <v>72</v>
      </c>
      <c r="J121" s="138">
        <f t="shared" si="74"/>
        <v>0</v>
      </c>
      <c r="K121" s="138">
        <f t="shared" si="75"/>
        <v>246</v>
      </c>
      <c r="L121" s="138">
        <f t="shared" si="76"/>
        <v>0</v>
      </c>
      <c r="M121" s="138">
        <f t="shared" si="77"/>
        <v>92</v>
      </c>
      <c r="N121" s="138">
        <f t="shared" si="78"/>
        <v>0</v>
      </c>
      <c r="O121" s="138">
        <f>C121+E121+G121+I121+K121+M121</f>
        <v>814</v>
      </c>
      <c r="P121" s="113" t="s">
        <v>12</v>
      </c>
      <c r="Q121" s="10"/>
      <c r="R121" s="137">
        <f t="shared" ref="R121:R123" si="81">O121*Q121</f>
        <v>0</v>
      </c>
      <c r="T121" s="142">
        <v>11</v>
      </c>
      <c r="U121" s="142">
        <v>10</v>
      </c>
    </row>
    <row r="122" spans="1:21" s="91" customFormat="1" x14ac:dyDescent="0.2">
      <c r="A122" s="8"/>
      <c r="B122" s="112"/>
      <c r="C122" s="138">
        <f t="shared" si="67"/>
        <v>0</v>
      </c>
      <c r="D122" s="138">
        <f t="shared" si="68"/>
        <v>0</v>
      </c>
      <c r="E122" s="138">
        <f t="shared" si="69"/>
        <v>0</v>
      </c>
      <c r="F122" s="138">
        <f t="shared" si="70"/>
        <v>0</v>
      </c>
      <c r="G122" s="138">
        <f t="shared" si="71"/>
        <v>0</v>
      </c>
      <c r="H122" s="138">
        <f t="shared" si="72"/>
        <v>0</v>
      </c>
      <c r="I122" s="138">
        <f t="shared" si="73"/>
        <v>0</v>
      </c>
      <c r="J122" s="138">
        <f t="shared" si="74"/>
        <v>0</v>
      </c>
      <c r="K122" s="138">
        <f t="shared" si="75"/>
        <v>0</v>
      </c>
      <c r="L122" s="138">
        <f t="shared" si="76"/>
        <v>0</v>
      </c>
      <c r="M122" s="138">
        <f t="shared" si="77"/>
        <v>0</v>
      </c>
      <c r="N122" s="138">
        <f t="shared" si="78"/>
        <v>0</v>
      </c>
      <c r="O122" s="138">
        <f t="shared" si="79"/>
        <v>0</v>
      </c>
      <c r="P122" s="9"/>
      <c r="Q122" s="10"/>
      <c r="R122" s="137"/>
      <c r="T122" s="142"/>
      <c r="U122" s="142"/>
    </row>
    <row r="123" spans="1:21" s="91" customFormat="1" x14ac:dyDescent="0.2">
      <c r="A123" s="8" t="s">
        <v>73</v>
      </c>
      <c r="B123" s="112" t="s">
        <v>422</v>
      </c>
      <c r="C123" s="138">
        <f t="shared" si="67"/>
        <v>38</v>
      </c>
      <c r="D123" s="138">
        <f t="shared" si="68"/>
        <v>0</v>
      </c>
      <c r="E123" s="138">
        <f t="shared" si="69"/>
        <v>47</v>
      </c>
      <c r="F123" s="138">
        <f t="shared" si="70"/>
        <v>0</v>
      </c>
      <c r="G123" s="138">
        <f t="shared" si="71"/>
        <v>280</v>
      </c>
      <c r="H123" s="138">
        <f t="shared" si="72"/>
        <v>0</v>
      </c>
      <c r="I123" s="138">
        <f t="shared" si="73"/>
        <v>65</v>
      </c>
      <c r="J123" s="138">
        <f t="shared" si="74"/>
        <v>0</v>
      </c>
      <c r="K123" s="138">
        <f t="shared" si="75"/>
        <v>222</v>
      </c>
      <c r="L123" s="138">
        <f t="shared" si="76"/>
        <v>0</v>
      </c>
      <c r="M123" s="138">
        <f t="shared" si="77"/>
        <v>83</v>
      </c>
      <c r="N123" s="138">
        <f t="shared" si="78"/>
        <v>0</v>
      </c>
      <c r="O123" s="138">
        <f>C123+E123+G123+I123+K123+M123</f>
        <v>735</v>
      </c>
      <c r="P123" s="113" t="s">
        <v>12</v>
      </c>
      <c r="Q123" s="10"/>
      <c r="R123" s="137">
        <f t="shared" si="81"/>
        <v>0</v>
      </c>
      <c r="T123" s="142">
        <v>10</v>
      </c>
      <c r="U123" s="142">
        <v>9</v>
      </c>
    </row>
    <row r="124" spans="1:21" x14ac:dyDescent="0.2">
      <c r="A124" s="139"/>
      <c r="B124" s="12"/>
      <c r="C124" s="138"/>
      <c r="D124" s="138"/>
      <c r="E124" s="138"/>
      <c r="F124" s="138"/>
      <c r="G124" s="138"/>
      <c r="H124" s="138"/>
      <c r="I124" s="138"/>
      <c r="J124" s="138"/>
      <c r="K124" s="138"/>
      <c r="L124" s="138"/>
      <c r="M124" s="138"/>
      <c r="N124" s="138"/>
      <c r="O124" s="138"/>
      <c r="P124" s="9"/>
      <c r="Q124" s="141"/>
      <c r="R124" s="128"/>
    </row>
    <row r="125" spans="1:21" x14ac:dyDescent="0.2">
      <c r="A125" s="139"/>
      <c r="B125" s="12"/>
      <c r="C125" s="138"/>
      <c r="D125" s="138"/>
      <c r="E125" s="138"/>
      <c r="F125" s="138"/>
      <c r="G125" s="138"/>
      <c r="H125" s="138"/>
      <c r="I125" s="138"/>
      <c r="J125" s="138"/>
      <c r="K125" s="138"/>
      <c r="L125" s="138"/>
      <c r="M125" s="138"/>
      <c r="N125" s="138"/>
      <c r="O125" s="138"/>
      <c r="P125" s="9"/>
      <c r="Q125" s="141"/>
      <c r="R125" s="128"/>
    </row>
    <row r="126" spans="1:21" x14ac:dyDescent="0.2">
      <c r="A126" s="139"/>
      <c r="B126" s="12"/>
      <c r="C126" s="138"/>
      <c r="D126" s="138"/>
      <c r="E126" s="138"/>
      <c r="F126" s="138"/>
      <c r="G126" s="138"/>
      <c r="H126" s="138"/>
      <c r="I126" s="138"/>
      <c r="J126" s="138"/>
      <c r="K126" s="138"/>
      <c r="L126" s="138"/>
      <c r="M126" s="138"/>
      <c r="N126" s="138"/>
      <c r="O126" s="138"/>
      <c r="P126" s="9"/>
      <c r="Q126" s="141"/>
      <c r="R126" s="128"/>
    </row>
    <row r="127" spans="1:21" x14ac:dyDescent="0.2">
      <c r="A127" s="139"/>
      <c r="B127" s="24"/>
      <c r="C127" s="138"/>
      <c r="D127" s="138"/>
      <c r="E127" s="138"/>
      <c r="F127" s="138"/>
      <c r="G127" s="138"/>
      <c r="H127" s="138"/>
      <c r="I127" s="138"/>
      <c r="J127" s="138"/>
      <c r="K127" s="138"/>
      <c r="L127" s="138"/>
      <c r="M127" s="138"/>
      <c r="N127" s="138"/>
      <c r="O127" s="138"/>
      <c r="P127" s="154"/>
      <c r="Q127" s="141"/>
      <c r="R127" s="137"/>
    </row>
    <row r="128" spans="1:21" x14ac:dyDescent="0.2">
      <c r="A128" s="127"/>
      <c r="B128" s="136"/>
      <c r="C128" s="128"/>
      <c r="D128" s="120"/>
      <c r="E128" s="120"/>
      <c r="F128" s="120"/>
      <c r="G128" s="120"/>
      <c r="H128" s="120"/>
      <c r="I128" s="120"/>
      <c r="J128" s="120"/>
      <c r="K128" s="120"/>
      <c r="L128" s="120"/>
      <c r="M128" s="120"/>
      <c r="N128" s="120"/>
      <c r="O128" s="120"/>
      <c r="P128" s="154"/>
      <c r="Q128" s="141"/>
      <c r="R128" s="137"/>
    </row>
    <row r="129" spans="1:21" x14ac:dyDescent="0.2">
      <c r="A129" s="129"/>
      <c r="B129" s="130"/>
      <c r="C129" s="131"/>
      <c r="D129" s="131"/>
      <c r="E129" s="131"/>
      <c r="F129" s="131"/>
      <c r="G129" s="131"/>
      <c r="H129" s="131"/>
      <c r="I129" s="131"/>
      <c r="J129" s="131"/>
      <c r="K129" s="131"/>
      <c r="L129" s="131"/>
      <c r="M129" s="131"/>
      <c r="N129" s="131"/>
      <c r="O129" s="131"/>
      <c r="P129" s="131"/>
      <c r="Q129" s="132"/>
      <c r="R129" s="126"/>
      <c r="T129" s="134"/>
      <c r="U129" s="134"/>
    </row>
    <row r="130" spans="1:21" x14ac:dyDescent="0.2">
      <c r="C130" s="122"/>
      <c r="D130" s="122"/>
      <c r="E130" s="122"/>
      <c r="F130" s="122"/>
      <c r="G130" s="122"/>
      <c r="H130" s="122"/>
      <c r="I130" s="122"/>
      <c r="J130" s="122"/>
      <c r="K130" s="122"/>
      <c r="L130" s="122"/>
      <c r="M130" s="122"/>
      <c r="N130" s="122"/>
      <c r="O130" s="122"/>
      <c r="P130" s="171" t="s">
        <v>1</v>
      </c>
      <c r="Q130" s="133" t="s">
        <v>0</v>
      </c>
      <c r="R130" s="137">
        <f>SUM(R94:R128)</f>
        <v>0</v>
      </c>
      <c r="T130" s="135"/>
      <c r="U130" s="135"/>
    </row>
    <row r="131" spans="1:21" x14ac:dyDescent="0.2">
      <c r="P131" s="188"/>
      <c r="Q131" s="124"/>
      <c r="R131" s="125"/>
    </row>
    <row r="132" spans="1:21" x14ac:dyDescent="0.2">
      <c r="A132" s="139"/>
      <c r="B132" s="24"/>
      <c r="C132" s="138"/>
      <c r="D132" s="138"/>
      <c r="E132" s="138"/>
      <c r="F132" s="138"/>
      <c r="G132" s="138"/>
      <c r="H132" s="138"/>
      <c r="I132" s="138"/>
      <c r="J132" s="138"/>
      <c r="K132" s="138"/>
      <c r="L132" s="138"/>
      <c r="M132" s="138"/>
      <c r="N132" s="138"/>
      <c r="O132" s="138"/>
      <c r="P132" s="154"/>
      <c r="Q132" s="141"/>
      <c r="R132" s="137"/>
    </row>
    <row r="133" spans="1:21" x14ac:dyDescent="0.2">
      <c r="A133" s="139"/>
      <c r="B133" s="160" t="s">
        <v>44</v>
      </c>
      <c r="C133" s="138"/>
      <c r="D133" s="138"/>
      <c r="E133" s="138"/>
      <c r="F133" s="138"/>
      <c r="G133" s="138"/>
      <c r="H133" s="138"/>
      <c r="I133" s="138"/>
      <c r="J133" s="138"/>
      <c r="K133" s="138"/>
      <c r="L133" s="138"/>
      <c r="M133" s="138"/>
      <c r="N133" s="138"/>
      <c r="O133" s="138"/>
      <c r="P133" s="154"/>
      <c r="Q133" s="141"/>
      <c r="R133" s="137"/>
    </row>
    <row r="134" spans="1:21" x14ac:dyDescent="0.2">
      <c r="A134" s="139"/>
      <c r="B134" s="112"/>
      <c r="C134" s="138">
        <f t="shared" ref="C134:C170" si="82">ROUND((2*$T134+2*$U134)*C$3,0)</f>
        <v>0</v>
      </c>
      <c r="D134" s="138">
        <f t="shared" ref="D134:D170" si="83">C134*$Q134</f>
        <v>0</v>
      </c>
      <c r="E134" s="138">
        <f t="shared" ref="E134:E170" si="84">ROUND((2*$T134+3*$U134)*E$3,0)</f>
        <v>0</v>
      </c>
      <c r="F134" s="138">
        <f t="shared" ref="F134:F170" si="85">E134*$Q134</f>
        <v>0</v>
      </c>
      <c r="G134" s="138">
        <f t="shared" ref="G134:G170" si="86">ROUND((2*$T134+4*$U134)*G$3,0)</f>
        <v>0</v>
      </c>
      <c r="H134" s="138">
        <f t="shared" ref="H134:H170" si="87">G134*$Q134</f>
        <v>0</v>
      </c>
      <c r="I134" s="138">
        <f t="shared" ref="I134:I170" si="88">ROUND((2*$T134+5*$U134)*I$3,0)</f>
        <v>0</v>
      </c>
      <c r="J134" s="138">
        <f t="shared" ref="J134:J170" si="89">I134*$Q134</f>
        <v>0</v>
      </c>
      <c r="K134" s="138">
        <f t="shared" ref="K134:K170" si="90">ROUND((2*$T134+6*$U134)*K$3,0)</f>
        <v>0</v>
      </c>
      <c r="L134" s="138">
        <f t="shared" ref="L134:L170" si="91">K134*$Q134</f>
        <v>0</v>
      </c>
      <c r="M134" s="138">
        <f t="shared" ref="M134:M170" si="92">ROUND((2*$T134+7*$U134)*M$3,0)</f>
        <v>0</v>
      </c>
      <c r="N134" s="138">
        <f t="shared" ref="N134:N170" si="93">M134*$Q134</f>
        <v>0</v>
      </c>
      <c r="O134" s="138">
        <f t="shared" ref="O134:O170" si="94">C134+E134+G134+I134+K134+M134</f>
        <v>0</v>
      </c>
      <c r="P134" s="154"/>
      <c r="Q134" s="141"/>
      <c r="R134" s="137"/>
    </row>
    <row r="135" spans="1:21" x14ac:dyDescent="0.2">
      <c r="A135" s="139"/>
      <c r="B135" s="160" t="s">
        <v>41</v>
      </c>
      <c r="C135" s="138">
        <f t="shared" si="82"/>
        <v>0</v>
      </c>
      <c r="D135" s="138">
        <f t="shared" si="83"/>
        <v>0</v>
      </c>
      <c r="E135" s="138">
        <f t="shared" si="84"/>
        <v>0</v>
      </c>
      <c r="F135" s="138">
        <f t="shared" si="85"/>
        <v>0</v>
      </c>
      <c r="G135" s="138">
        <f t="shared" si="86"/>
        <v>0</v>
      </c>
      <c r="H135" s="138">
        <f t="shared" si="87"/>
        <v>0</v>
      </c>
      <c r="I135" s="138">
        <f t="shared" si="88"/>
        <v>0</v>
      </c>
      <c r="J135" s="138">
        <f t="shared" si="89"/>
        <v>0</v>
      </c>
      <c r="K135" s="138">
        <f t="shared" si="90"/>
        <v>0</v>
      </c>
      <c r="L135" s="138">
        <f t="shared" si="91"/>
        <v>0</v>
      </c>
      <c r="M135" s="138">
        <f t="shared" si="92"/>
        <v>0</v>
      </c>
      <c r="N135" s="138">
        <f t="shared" si="93"/>
        <v>0</v>
      </c>
      <c r="O135" s="138">
        <f t="shared" si="94"/>
        <v>0</v>
      </c>
      <c r="P135" s="154"/>
      <c r="Q135" s="141"/>
      <c r="R135" s="137"/>
    </row>
    <row r="136" spans="1:21" x14ac:dyDescent="0.2">
      <c r="A136" s="139"/>
      <c r="B136" s="112"/>
      <c r="C136" s="138">
        <f t="shared" si="82"/>
        <v>0</v>
      </c>
      <c r="D136" s="138">
        <f t="shared" si="83"/>
        <v>0</v>
      </c>
      <c r="E136" s="138">
        <f t="shared" si="84"/>
        <v>0</v>
      </c>
      <c r="F136" s="138">
        <f t="shared" si="85"/>
        <v>0</v>
      </c>
      <c r="G136" s="138">
        <f t="shared" si="86"/>
        <v>0</v>
      </c>
      <c r="H136" s="138">
        <f t="shared" si="87"/>
        <v>0</v>
      </c>
      <c r="I136" s="138">
        <f t="shared" si="88"/>
        <v>0</v>
      </c>
      <c r="J136" s="138">
        <f t="shared" si="89"/>
        <v>0</v>
      </c>
      <c r="K136" s="138">
        <f t="shared" si="90"/>
        <v>0</v>
      </c>
      <c r="L136" s="138">
        <f t="shared" si="91"/>
        <v>0</v>
      </c>
      <c r="M136" s="138">
        <f t="shared" si="92"/>
        <v>0</v>
      </c>
      <c r="N136" s="138">
        <f t="shared" si="93"/>
        <v>0</v>
      </c>
      <c r="O136" s="138">
        <f t="shared" si="94"/>
        <v>0</v>
      </c>
      <c r="P136" s="154"/>
      <c r="Q136" s="141"/>
      <c r="R136" s="137">
        <f>O136*Q136</f>
        <v>0</v>
      </c>
    </row>
    <row r="137" spans="1:21" ht="42.75" x14ac:dyDescent="0.2">
      <c r="A137" s="139"/>
      <c r="B137" s="111" t="s">
        <v>437</v>
      </c>
      <c r="C137" s="138">
        <f t="shared" si="82"/>
        <v>0</v>
      </c>
      <c r="D137" s="138">
        <f t="shared" si="83"/>
        <v>0</v>
      </c>
      <c r="E137" s="138">
        <f t="shared" si="84"/>
        <v>0</v>
      </c>
      <c r="F137" s="138">
        <f t="shared" si="85"/>
        <v>0</v>
      </c>
      <c r="G137" s="138">
        <f t="shared" si="86"/>
        <v>0</v>
      </c>
      <c r="H137" s="138">
        <f t="shared" si="87"/>
        <v>0</v>
      </c>
      <c r="I137" s="138">
        <f t="shared" si="88"/>
        <v>0</v>
      </c>
      <c r="J137" s="138">
        <f t="shared" si="89"/>
        <v>0</v>
      </c>
      <c r="K137" s="138">
        <f t="shared" si="90"/>
        <v>0</v>
      </c>
      <c r="L137" s="138">
        <f t="shared" si="91"/>
        <v>0</v>
      </c>
      <c r="M137" s="138">
        <f t="shared" si="92"/>
        <v>0</v>
      </c>
      <c r="N137" s="138">
        <f t="shared" si="93"/>
        <v>0</v>
      </c>
      <c r="O137" s="138">
        <f t="shared" si="94"/>
        <v>0</v>
      </c>
      <c r="P137" s="154"/>
      <c r="Q137" s="141"/>
      <c r="R137" s="137">
        <f>O137*Q137</f>
        <v>0</v>
      </c>
    </row>
    <row r="138" spans="1:21" x14ac:dyDescent="0.2">
      <c r="A138" s="139"/>
      <c r="B138" s="112"/>
      <c r="C138" s="138">
        <f t="shared" si="82"/>
        <v>0</v>
      </c>
      <c r="D138" s="138">
        <f t="shared" si="83"/>
        <v>0</v>
      </c>
      <c r="E138" s="138">
        <f t="shared" si="84"/>
        <v>0</v>
      </c>
      <c r="F138" s="138">
        <f t="shared" si="85"/>
        <v>0</v>
      </c>
      <c r="G138" s="138">
        <f t="shared" si="86"/>
        <v>0</v>
      </c>
      <c r="H138" s="138">
        <f t="shared" si="87"/>
        <v>0</v>
      </c>
      <c r="I138" s="138">
        <f t="shared" si="88"/>
        <v>0</v>
      </c>
      <c r="J138" s="138">
        <f t="shared" si="89"/>
        <v>0</v>
      </c>
      <c r="K138" s="138">
        <f t="shared" si="90"/>
        <v>0</v>
      </c>
      <c r="L138" s="138">
        <f t="shared" si="91"/>
        <v>0</v>
      </c>
      <c r="M138" s="138">
        <f t="shared" si="92"/>
        <v>0</v>
      </c>
      <c r="N138" s="138">
        <f t="shared" si="93"/>
        <v>0</v>
      </c>
      <c r="O138" s="138">
        <f t="shared" si="94"/>
        <v>0</v>
      </c>
      <c r="P138" s="154"/>
      <c r="Q138" s="141"/>
      <c r="R138" s="137">
        <f>O138*Q138</f>
        <v>0</v>
      </c>
    </row>
    <row r="139" spans="1:21" x14ac:dyDescent="0.2">
      <c r="A139" s="139" t="s">
        <v>66</v>
      </c>
      <c r="B139" s="12" t="s">
        <v>390</v>
      </c>
      <c r="C139" s="138">
        <f t="shared" si="82"/>
        <v>72</v>
      </c>
      <c r="D139" s="138">
        <f t="shared" si="83"/>
        <v>0</v>
      </c>
      <c r="E139" s="138">
        <f t="shared" si="84"/>
        <v>87</v>
      </c>
      <c r="F139" s="138">
        <f t="shared" si="85"/>
        <v>0</v>
      </c>
      <c r="G139" s="138">
        <f t="shared" si="86"/>
        <v>510</v>
      </c>
      <c r="H139" s="138">
        <f t="shared" si="87"/>
        <v>0</v>
      </c>
      <c r="I139" s="138">
        <f t="shared" si="88"/>
        <v>117</v>
      </c>
      <c r="J139" s="138">
        <f t="shared" si="89"/>
        <v>0</v>
      </c>
      <c r="K139" s="138">
        <f t="shared" si="90"/>
        <v>396</v>
      </c>
      <c r="L139" s="138">
        <f t="shared" si="91"/>
        <v>0</v>
      </c>
      <c r="M139" s="138">
        <f t="shared" si="92"/>
        <v>147</v>
      </c>
      <c r="N139" s="138">
        <f t="shared" si="93"/>
        <v>0</v>
      </c>
      <c r="O139" s="138">
        <f>C139+E139+G139+I139+K139+M139</f>
        <v>1329</v>
      </c>
      <c r="P139" s="9" t="s">
        <v>10</v>
      </c>
      <c r="Q139" s="141"/>
      <c r="R139" s="137">
        <f>O139*Q139</f>
        <v>0</v>
      </c>
      <c r="T139" s="142">
        <v>21</v>
      </c>
      <c r="U139" s="142">
        <v>15</v>
      </c>
    </row>
    <row r="140" spans="1:21" x14ac:dyDescent="0.2">
      <c r="A140" s="139"/>
      <c r="B140" s="24"/>
      <c r="C140" s="138">
        <f t="shared" si="82"/>
        <v>0</v>
      </c>
      <c r="D140" s="138">
        <f t="shared" si="83"/>
        <v>0</v>
      </c>
      <c r="E140" s="138">
        <f t="shared" si="84"/>
        <v>0</v>
      </c>
      <c r="F140" s="138">
        <f t="shared" si="85"/>
        <v>0</v>
      </c>
      <c r="G140" s="138">
        <f t="shared" si="86"/>
        <v>0</v>
      </c>
      <c r="H140" s="138">
        <f t="shared" si="87"/>
        <v>0</v>
      </c>
      <c r="I140" s="138">
        <f t="shared" si="88"/>
        <v>0</v>
      </c>
      <c r="J140" s="138">
        <f t="shared" si="89"/>
        <v>0</v>
      </c>
      <c r="K140" s="138">
        <f t="shared" si="90"/>
        <v>0</v>
      </c>
      <c r="L140" s="138">
        <f t="shared" si="91"/>
        <v>0</v>
      </c>
      <c r="M140" s="138">
        <f t="shared" si="92"/>
        <v>0</v>
      </c>
      <c r="N140" s="138">
        <f t="shared" si="93"/>
        <v>0</v>
      </c>
      <c r="O140" s="138">
        <f t="shared" si="94"/>
        <v>0</v>
      </c>
      <c r="P140" s="154"/>
      <c r="Q140" s="141"/>
      <c r="R140" s="137"/>
    </row>
    <row r="141" spans="1:21" s="91" customFormat="1" x14ac:dyDescent="0.2">
      <c r="A141" s="92" t="s">
        <v>67</v>
      </c>
      <c r="B141" s="112" t="s">
        <v>435</v>
      </c>
      <c r="C141" s="138">
        <f t="shared" si="82"/>
        <v>54</v>
      </c>
      <c r="D141" s="138">
        <f t="shared" si="83"/>
        <v>0</v>
      </c>
      <c r="E141" s="138">
        <f t="shared" si="84"/>
        <v>67</v>
      </c>
      <c r="F141" s="138">
        <f t="shared" si="85"/>
        <v>0</v>
      </c>
      <c r="G141" s="138">
        <f t="shared" si="86"/>
        <v>400</v>
      </c>
      <c r="H141" s="138">
        <f t="shared" si="87"/>
        <v>0</v>
      </c>
      <c r="I141" s="138">
        <f t="shared" si="88"/>
        <v>93</v>
      </c>
      <c r="J141" s="138">
        <f t="shared" si="89"/>
        <v>0</v>
      </c>
      <c r="K141" s="138">
        <f t="shared" si="90"/>
        <v>318</v>
      </c>
      <c r="L141" s="138">
        <f t="shared" si="91"/>
        <v>0</v>
      </c>
      <c r="M141" s="138">
        <f t="shared" si="92"/>
        <v>119</v>
      </c>
      <c r="N141" s="138">
        <f t="shared" si="93"/>
        <v>0</v>
      </c>
      <c r="O141" s="138">
        <f>C141+E141+G141+I141+K141+M141</f>
        <v>1051</v>
      </c>
      <c r="P141" s="9" t="s">
        <v>12</v>
      </c>
      <c r="Q141" s="10"/>
      <c r="R141" s="137">
        <f>O141*Q141</f>
        <v>0</v>
      </c>
      <c r="T141" s="142">
        <v>14</v>
      </c>
      <c r="U141" s="142">
        <v>13</v>
      </c>
    </row>
    <row r="142" spans="1:21" x14ac:dyDescent="0.2">
      <c r="A142" s="139"/>
      <c r="B142" s="112"/>
      <c r="C142" s="138">
        <f t="shared" si="82"/>
        <v>0</v>
      </c>
      <c r="D142" s="138">
        <f t="shared" si="83"/>
        <v>0</v>
      </c>
      <c r="E142" s="138">
        <f t="shared" si="84"/>
        <v>0</v>
      </c>
      <c r="F142" s="138">
        <f t="shared" si="85"/>
        <v>0</v>
      </c>
      <c r="G142" s="138">
        <f t="shared" si="86"/>
        <v>0</v>
      </c>
      <c r="H142" s="138">
        <f t="shared" si="87"/>
        <v>0</v>
      </c>
      <c r="I142" s="138">
        <f t="shared" si="88"/>
        <v>0</v>
      </c>
      <c r="J142" s="138">
        <f t="shared" si="89"/>
        <v>0</v>
      </c>
      <c r="K142" s="138">
        <f t="shared" si="90"/>
        <v>0</v>
      </c>
      <c r="L142" s="138">
        <f t="shared" si="91"/>
        <v>0</v>
      </c>
      <c r="M142" s="138">
        <f t="shared" si="92"/>
        <v>0</v>
      </c>
      <c r="N142" s="138">
        <f t="shared" si="93"/>
        <v>0</v>
      </c>
      <c r="O142" s="138">
        <f t="shared" si="94"/>
        <v>0</v>
      </c>
      <c r="P142" s="154"/>
      <c r="Q142" s="141"/>
      <c r="R142" s="137"/>
    </row>
    <row r="143" spans="1:21" x14ac:dyDescent="0.2">
      <c r="A143" s="139" t="s">
        <v>68</v>
      </c>
      <c r="B143" s="12" t="s">
        <v>423</v>
      </c>
      <c r="C143" s="138">
        <f t="shared" si="82"/>
        <v>5</v>
      </c>
      <c r="D143" s="138">
        <f t="shared" si="83"/>
        <v>0</v>
      </c>
      <c r="E143" s="138">
        <f t="shared" si="84"/>
        <v>7</v>
      </c>
      <c r="F143" s="138">
        <f t="shared" si="85"/>
        <v>0</v>
      </c>
      <c r="G143" s="138">
        <f t="shared" si="86"/>
        <v>40</v>
      </c>
      <c r="H143" s="138">
        <f t="shared" si="87"/>
        <v>0</v>
      </c>
      <c r="I143" s="138">
        <f t="shared" si="88"/>
        <v>9</v>
      </c>
      <c r="J143" s="138">
        <f t="shared" si="89"/>
        <v>0</v>
      </c>
      <c r="K143" s="138">
        <f t="shared" si="90"/>
        <v>32</v>
      </c>
      <c r="L143" s="138">
        <f t="shared" si="91"/>
        <v>0</v>
      </c>
      <c r="M143" s="138">
        <f t="shared" si="92"/>
        <v>12</v>
      </c>
      <c r="N143" s="138">
        <f t="shared" si="93"/>
        <v>0</v>
      </c>
      <c r="O143" s="138">
        <f>C143+E143+G143+I143+K143+M143</f>
        <v>105</v>
      </c>
      <c r="P143" s="9" t="s">
        <v>12</v>
      </c>
      <c r="Q143" s="141"/>
      <c r="R143" s="137">
        <f>O143*Q143</f>
        <v>0</v>
      </c>
      <c r="T143" s="142">
        <f>1.35</f>
        <v>1.35</v>
      </c>
      <c r="U143" s="142">
        <v>1.3</v>
      </c>
    </row>
    <row r="144" spans="1:21" x14ac:dyDescent="0.2">
      <c r="A144" s="139"/>
      <c r="B144" s="112"/>
      <c r="C144" s="138">
        <f t="shared" si="82"/>
        <v>0</v>
      </c>
      <c r="D144" s="138">
        <f t="shared" si="83"/>
        <v>0</v>
      </c>
      <c r="E144" s="138">
        <f t="shared" si="84"/>
        <v>0</v>
      </c>
      <c r="F144" s="138">
        <f t="shared" si="85"/>
        <v>0</v>
      </c>
      <c r="G144" s="138">
        <f t="shared" si="86"/>
        <v>0</v>
      </c>
      <c r="H144" s="138">
        <f t="shared" si="87"/>
        <v>0</v>
      </c>
      <c r="I144" s="138">
        <f t="shared" si="88"/>
        <v>0</v>
      </c>
      <c r="J144" s="138">
        <f t="shared" si="89"/>
        <v>0</v>
      </c>
      <c r="K144" s="138">
        <f t="shared" si="90"/>
        <v>0</v>
      </c>
      <c r="L144" s="138">
        <f t="shared" si="91"/>
        <v>0</v>
      </c>
      <c r="M144" s="138">
        <f t="shared" si="92"/>
        <v>0</v>
      </c>
      <c r="N144" s="138">
        <f t="shared" si="93"/>
        <v>0</v>
      </c>
      <c r="O144" s="138">
        <f t="shared" si="94"/>
        <v>0</v>
      </c>
      <c r="P144" s="154"/>
      <c r="Q144" s="141"/>
      <c r="R144" s="137"/>
    </row>
    <row r="145" spans="1:21" x14ac:dyDescent="0.2">
      <c r="A145" s="139" t="s">
        <v>69</v>
      </c>
      <c r="B145" s="12" t="s">
        <v>424</v>
      </c>
      <c r="C145" s="138">
        <f t="shared" si="82"/>
        <v>11</v>
      </c>
      <c r="D145" s="138">
        <f t="shared" si="83"/>
        <v>0</v>
      </c>
      <c r="E145" s="138">
        <f t="shared" si="84"/>
        <v>13</v>
      </c>
      <c r="F145" s="138">
        <f t="shared" si="85"/>
        <v>0</v>
      </c>
      <c r="G145" s="138">
        <f t="shared" si="86"/>
        <v>79</v>
      </c>
      <c r="H145" s="138">
        <f t="shared" si="87"/>
        <v>0</v>
      </c>
      <c r="I145" s="138">
        <f t="shared" si="88"/>
        <v>18</v>
      </c>
      <c r="J145" s="138">
        <f t="shared" si="89"/>
        <v>0</v>
      </c>
      <c r="K145" s="138">
        <f t="shared" si="90"/>
        <v>63</v>
      </c>
      <c r="L145" s="138">
        <f t="shared" si="91"/>
        <v>0</v>
      </c>
      <c r="M145" s="138">
        <f t="shared" si="92"/>
        <v>24</v>
      </c>
      <c r="N145" s="138">
        <f t="shared" si="93"/>
        <v>0</v>
      </c>
      <c r="O145" s="138">
        <f>C145+E145+G145+I145+K145+M145</f>
        <v>208</v>
      </c>
      <c r="P145" s="9" t="s">
        <v>12</v>
      </c>
      <c r="Q145" s="141"/>
      <c r="R145" s="137">
        <f>O145*Q145</f>
        <v>0</v>
      </c>
      <c r="T145" s="142">
        <f>1.35*2</f>
        <v>2.7</v>
      </c>
      <c r="U145" s="142">
        <f>1.3*2</f>
        <v>2.6</v>
      </c>
    </row>
    <row r="146" spans="1:21" x14ac:dyDescent="0.2">
      <c r="A146" s="1"/>
      <c r="B146" s="12"/>
      <c r="C146" s="138"/>
      <c r="D146" s="138"/>
      <c r="E146" s="138"/>
      <c r="F146" s="138"/>
      <c r="G146" s="138"/>
      <c r="H146" s="138"/>
      <c r="I146" s="138"/>
      <c r="J146" s="138"/>
      <c r="K146" s="138"/>
      <c r="L146" s="138"/>
      <c r="M146" s="138"/>
      <c r="N146" s="138"/>
      <c r="O146" s="138"/>
      <c r="P146" s="9"/>
      <c r="Q146" s="141"/>
      <c r="R146" s="128"/>
    </row>
    <row r="147" spans="1:21" x14ac:dyDescent="0.2">
      <c r="A147" s="139"/>
      <c r="B147" s="160" t="s">
        <v>46</v>
      </c>
      <c r="C147" s="128"/>
      <c r="D147" s="120"/>
      <c r="E147" s="120"/>
      <c r="F147" s="120"/>
      <c r="G147" s="120"/>
      <c r="H147" s="120"/>
      <c r="I147" s="120"/>
      <c r="J147" s="120"/>
      <c r="K147" s="120"/>
      <c r="L147" s="120"/>
      <c r="M147" s="120"/>
      <c r="N147" s="120"/>
      <c r="O147" s="120"/>
      <c r="P147" s="154"/>
      <c r="Q147" s="141"/>
      <c r="R147" s="137"/>
    </row>
    <row r="148" spans="1:21" x14ac:dyDescent="0.2">
      <c r="A148" s="139"/>
      <c r="B148" s="23"/>
      <c r="C148" s="138">
        <f t="shared" ref="C148:C165" si="95">ROUND((2*$T148+2*$U148)*C$3,0)</f>
        <v>0</v>
      </c>
      <c r="D148" s="138">
        <f t="shared" ref="D148:D165" si="96">C148*$Q148</f>
        <v>0</v>
      </c>
      <c r="E148" s="138">
        <f t="shared" ref="E148:E165" si="97">ROUND((2*$T148+3*$U148)*E$3,0)</f>
        <v>0</v>
      </c>
      <c r="F148" s="138">
        <f t="shared" ref="F148:F165" si="98">E148*$Q148</f>
        <v>0</v>
      </c>
      <c r="G148" s="138">
        <f t="shared" ref="G148:G165" si="99">ROUND((2*$T148+4*$U148)*G$3,0)</f>
        <v>0</v>
      </c>
      <c r="H148" s="138">
        <f t="shared" ref="H148:H165" si="100">G148*$Q148</f>
        <v>0</v>
      </c>
      <c r="I148" s="138">
        <f t="shared" ref="I148:I165" si="101">ROUND((2*$T148+5*$U148)*I$3,0)</f>
        <v>0</v>
      </c>
      <c r="J148" s="138">
        <f t="shared" ref="J148:J165" si="102">I148*$Q148</f>
        <v>0</v>
      </c>
      <c r="K148" s="138">
        <f t="shared" ref="K148:K165" si="103">ROUND((2*$T148+6*$U148)*K$3,0)</f>
        <v>0</v>
      </c>
      <c r="L148" s="138">
        <f t="shared" ref="L148:L165" si="104">K148*$Q148</f>
        <v>0</v>
      </c>
      <c r="M148" s="138">
        <f t="shared" ref="M148:M165" si="105">ROUND((2*$T148+7*$U148)*M$3,0)</f>
        <v>0</v>
      </c>
      <c r="N148" s="138">
        <f t="shared" ref="N148:N165" si="106">M148*$Q148</f>
        <v>0</v>
      </c>
      <c r="O148" s="138">
        <f t="shared" ref="O148:O164" si="107">C148+E148+G148+I148+K148+M148</f>
        <v>0</v>
      </c>
      <c r="P148" s="154"/>
      <c r="Q148" s="141"/>
      <c r="R148" s="137"/>
    </row>
    <row r="149" spans="1:21" x14ac:dyDescent="0.2">
      <c r="A149" s="139"/>
      <c r="B149" s="160" t="s">
        <v>40</v>
      </c>
      <c r="C149" s="138">
        <f t="shared" si="95"/>
        <v>0</v>
      </c>
      <c r="D149" s="138">
        <f t="shared" si="96"/>
        <v>0</v>
      </c>
      <c r="E149" s="138">
        <f t="shared" si="97"/>
        <v>0</v>
      </c>
      <c r="F149" s="138">
        <f t="shared" si="98"/>
        <v>0</v>
      </c>
      <c r="G149" s="138">
        <f t="shared" si="99"/>
        <v>0</v>
      </c>
      <c r="H149" s="138">
        <f t="shared" si="100"/>
        <v>0</v>
      </c>
      <c r="I149" s="138">
        <f t="shared" si="101"/>
        <v>0</v>
      </c>
      <c r="J149" s="138">
        <f t="shared" si="102"/>
        <v>0</v>
      </c>
      <c r="K149" s="138">
        <f t="shared" si="103"/>
        <v>0</v>
      </c>
      <c r="L149" s="138">
        <f t="shared" si="104"/>
        <v>0</v>
      </c>
      <c r="M149" s="138">
        <f t="shared" si="105"/>
        <v>0</v>
      </c>
      <c r="N149" s="138">
        <f t="shared" si="106"/>
        <v>0</v>
      </c>
      <c r="O149" s="138">
        <f t="shared" si="107"/>
        <v>0</v>
      </c>
      <c r="P149" s="154"/>
      <c r="Q149" s="141"/>
      <c r="R149" s="137"/>
    </row>
    <row r="150" spans="1:21" x14ac:dyDescent="0.2">
      <c r="A150" s="139"/>
      <c r="B150" s="112"/>
      <c r="C150" s="138">
        <f t="shared" si="95"/>
        <v>0</v>
      </c>
      <c r="D150" s="138">
        <f t="shared" si="96"/>
        <v>0</v>
      </c>
      <c r="E150" s="138">
        <f t="shared" si="97"/>
        <v>0</v>
      </c>
      <c r="F150" s="138">
        <f t="shared" si="98"/>
        <v>0</v>
      </c>
      <c r="G150" s="138">
        <f t="shared" si="99"/>
        <v>0</v>
      </c>
      <c r="H150" s="138">
        <f t="shared" si="100"/>
        <v>0</v>
      </c>
      <c r="I150" s="138">
        <f t="shared" si="101"/>
        <v>0</v>
      </c>
      <c r="J150" s="138">
        <f t="shared" si="102"/>
        <v>0</v>
      </c>
      <c r="K150" s="138">
        <f t="shared" si="103"/>
        <v>0</v>
      </c>
      <c r="L150" s="138">
        <f t="shared" si="104"/>
        <v>0</v>
      </c>
      <c r="M150" s="138">
        <f t="shared" si="105"/>
        <v>0</v>
      </c>
      <c r="N150" s="138">
        <f t="shared" si="106"/>
        <v>0</v>
      </c>
      <c r="O150" s="138">
        <f t="shared" si="107"/>
        <v>0</v>
      </c>
      <c r="P150" s="154"/>
      <c r="Q150" s="141"/>
      <c r="R150" s="137"/>
    </row>
    <row r="151" spans="1:21" ht="42.75" x14ac:dyDescent="0.2">
      <c r="A151" s="139"/>
      <c r="B151" s="80" t="s">
        <v>512</v>
      </c>
      <c r="C151" s="138">
        <f t="shared" si="95"/>
        <v>0</v>
      </c>
      <c r="D151" s="138">
        <f t="shared" si="96"/>
        <v>0</v>
      </c>
      <c r="E151" s="138">
        <f t="shared" si="97"/>
        <v>0</v>
      </c>
      <c r="F151" s="138">
        <f t="shared" si="98"/>
        <v>0</v>
      </c>
      <c r="G151" s="138">
        <f t="shared" si="99"/>
        <v>0</v>
      </c>
      <c r="H151" s="138">
        <f t="shared" si="100"/>
        <v>0</v>
      </c>
      <c r="I151" s="138">
        <f t="shared" si="101"/>
        <v>0</v>
      </c>
      <c r="J151" s="138">
        <f t="shared" si="102"/>
        <v>0</v>
      </c>
      <c r="K151" s="138">
        <f t="shared" si="103"/>
        <v>0</v>
      </c>
      <c r="L151" s="138">
        <f t="shared" si="104"/>
        <v>0</v>
      </c>
      <c r="M151" s="138">
        <f t="shared" si="105"/>
        <v>0</v>
      </c>
      <c r="N151" s="138">
        <f t="shared" si="106"/>
        <v>0</v>
      </c>
      <c r="O151" s="138">
        <f t="shared" si="107"/>
        <v>0</v>
      </c>
      <c r="P151" s="154"/>
      <c r="Q151" s="141"/>
      <c r="R151" s="137"/>
    </row>
    <row r="152" spans="1:21" x14ac:dyDescent="0.2">
      <c r="A152" s="139"/>
      <c r="B152" s="112"/>
      <c r="C152" s="138">
        <f t="shared" si="95"/>
        <v>0</v>
      </c>
      <c r="D152" s="138">
        <f t="shared" si="96"/>
        <v>0</v>
      </c>
      <c r="E152" s="138">
        <f t="shared" si="97"/>
        <v>0</v>
      </c>
      <c r="F152" s="138">
        <f t="shared" si="98"/>
        <v>0</v>
      </c>
      <c r="G152" s="138">
        <f t="shared" si="99"/>
        <v>0</v>
      </c>
      <c r="H152" s="138">
        <f t="shared" si="100"/>
        <v>0</v>
      </c>
      <c r="I152" s="138">
        <f t="shared" si="101"/>
        <v>0</v>
      </c>
      <c r="J152" s="138">
        <f t="shared" si="102"/>
        <v>0</v>
      </c>
      <c r="K152" s="138">
        <f t="shared" si="103"/>
        <v>0</v>
      </c>
      <c r="L152" s="138">
        <f t="shared" si="104"/>
        <v>0</v>
      </c>
      <c r="M152" s="138">
        <f t="shared" si="105"/>
        <v>0</v>
      </c>
      <c r="N152" s="138">
        <f t="shared" si="106"/>
        <v>0</v>
      </c>
      <c r="O152" s="138">
        <f t="shared" si="107"/>
        <v>0</v>
      </c>
      <c r="P152" s="9"/>
      <c r="Q152" s="141"/>
      <c r="R152" s="137"/>
    </row>
    <row r="153" spans="1:21" x14ac:dyDescent="0.2">
      <c r="A153" s="1" t="s">
        <v>70</v>
      </c>
      <c r="B153" s="83" t="s">
        <v>426</v>
      </c>
      <c r="C153" s="138">
        <f t="shared" si="95"/>
        <v>52</v>
      </c>
      <c r="D153" s="138">
        <f t="shared" si="96"/>
        <v>0</v>
      </c>
      <c r="E153" s="138">
        <f t="shared" si="97"/>
        <v>53</v>
      </c>
      <c r="F153" s="138">
        <f t="shared" si="98"/>
        <v>0</v>
      </c>
      <c r="G153" s="138">
        <f t="shared" si="99"/>
        <v>270</v>
      </c>
      <c r="H153" s="138">
        <f t="shared" si="100"/>
        <v>0</v>
      </c>
      <c r="I153" s="138">
        <f t="shared" si="101"/>
        <v>55</v>
      </c>
      <c r="J153" s="138">
        <f t="shared" si="102"/>
        <v>0</v>
      </c>
      <c r="K153" s="138">
        <f t="shared" si="103"/>
        <v>168</v>
      </c>
      <c r="L153" s="138">
        <f t="shared" si="104"/>
        <v>0</v>
      </c>
      <c r="M153" s="138">
        <f t="shared" si="105"/>
        <v>57</v>
      </c>
      <c r="N153" s="138">
        <f t="shared" si="106"/>
        <v>0</v>
      </c>
      <c r="O153" s="138">
        <f>C153+E153+G153+I153+K153+M153</f>
        <v>655</v>
      </c>
      <c r="P153" s="9" t="s">
        <v>10</v>
      </c>
      <c r="Q153" s="141"/>
      <c r="R153" s="137">
        <f>O153*Q153</f>
        <v>0</v>
      </c>
      <c r="T153" s="142">
        <v>25</v>
      </c>
      <c r="U153" s="142">
        <v>1</v>
      </c>
    </row>
    <row r="154" spans="1:21" x14ac:dyDescent="0.2">
      <c r="A154" s="139"/>
      <c r="B154" s="82"/>
      <c r="C154" s="138">
        <f t="shared" si="95"/>
        <v>0</v>
      </c>
      <c r="D154" s="138">
        <f t="shared" si="96"/>
        <v>0</v>
      </c>
      <c r="E154" s="138">
        <f t="shared" si="97"/>
        <v>0</v>
      </c>
      <c r="F154" s="138">
        <f t="shared" si="98"/>
        <v>0</v>
      </c>
      <c r="G154" s="138">
        <f t="shared" si="99"/>
        <v>0</v>
      </c>
      <c r="H154" s="138">
        <f t="shared" si="100"/>
        <v>0</v>
      </c>
      <c r="I154" s="138">
        <f t="shared" si="101"/>
        <v>0</v>
      </c>
      <c r="J154" s="138">
        <f t="shared" si="102"/>
        <v>0</v>
      </c>
      <c r="K154" s="138">
        <f t="shared" si="103"/>
        <v>0</v>
      </c>
      <c r="L154" s="138">
        <f t="shared" si="104"/>
        <v>0</v>
      </c>
      <c r="M154" s="138">
        <f t="shared" si="105"/>
        <v>0</v>
      </c>
      <c r="N154" s="138">
        <f t="shared" si="106"/>
        <v>0</v>
      </c>
      <c r="O154" s="138">
        <f t="shared" si="107"/>
        <v>0</v>
      </c>
      <c r="P154" s="154"/>
      <c r="Q154" s="141"/>
      <c r="R154" s="137"/>
    </row>
    <row r="155" spans="1:21" x14ac:dyDescent="0.2">
      <c r="A155" s="1" t="s">
        <v>71</v>
      </c>
      <c r="B155" s="83" t="s">
        <v>48</v>
      </c>
      <c r="C155" s="138">
        <f t="shared" si="95"/>
        <v>182</v>
      </c>
      <c r="D155" s="138">
        <f t="shared" si="96"/>
        <v>0</v>
      </c>
      <c r="E155" s="138">
        <f t="shared" si="97"/>
        <v>244</v>
      </c>
      <c r="F155" s="138">
        <f t="shared" si="98"/>
        <v>0</v>
      </c>
      <c r="G155" s="138">
        <f t="shared" si="99"/>
        <v>1530</v>
      </c>
      <c r="H155" s="138">
        <f t="shared" si="100"/>
        <v>0</v>
      </c>
      <c r="I155" s="138">
        <f t="shared" si="101"/>
        <v>368</v>
      </c>
      <c r="J155" s="138">
        <f t="shared" si="102"/>
        <v>0</v>
      </c>
      <c r="K155" s="138">
        <f t="shared" si="103"/>
        <v>1290</v>
      </c>
      <c r="L155" s="138">
        <f t="shared" si="104"/>
        <v>0</v>
      </c>
      <c r="M155" s="138">
        <f t="shared" si="105"/>
        <v>492</v>
      </c>
      <c r="N155" s="138">
        <f t="shared" si="106"/>
        <v>0</v>
      </c>
      <c r="O155" s="138">
        <f>C155+E155+G155+I155+K155+M155</f>
        <v>4106</v>
      </c>
      <c r="P155" s="9" t="s">
        <v>10</v>
      </c>
      <c r="Q155" s="141"/>
      <c r="R155" s="137">
        <f>O155*Q155</f>
        <v>0</v>
      </c>
      <c r="T155" s="142">
        <v>29</v>
      </c>
      <c r="U155" s="142">
        <v>62</v>
      </c>
    </row>
    <row r="156" spans="1:21" x14ac:dyDescent="0.2">
      <c r="A156" s="139"/>
      <c r="B156" s="82"/>
      <c r="C156" s="138">
        <f t="shared" si="95"/>
        <v>0</v>
      </c>
      <c r="D156" s="138">
        <f t="shared" si="96"/>
        <v>0</v>
      </c>
      <c r="E156" s="138">
        <f t="shared" si="97"/>
        <v>0</v>
      </c>
      <c r="F156" s="138">
        <f t="shared" si="98"/>
        <v>0</v>
      </c>
      <c r="G156" s="138">
        <f t="shared" si="99"/>
        <v>0</v>
      </c>
      <c r="H156" s="138">
        <f t="shared" si="100"/>
        <v>0</v>
      </c>
      <c r="I156" s="138">
        <f t="shared" si="101"/>
        <v>0</v>
      </c>
      <c r="J156" s="138">
        <f t="shared" si="102"/>
        <v>0</v>
      </c>
      <c r="K156" s="138">
        <f t="shared" si="103"/>
        <v>0</v>
      </c>
      <c r="L156" s="138">
        <f t="shared" si="104"/>
        <v>0</v>
      </c>
      <c r="M156" s="138">
        <f t="shared" si="105"/>
        <v>0</v>
      </c>
      <c r="N156" s="138">
        <f t="shared" si="106"/>
        <v>0</v>
      </c>
      <c r="O156" s="138">
        <f t="shared" si="107"/>
        <v>0</v>
      </c>
      <c r="P156" s="154"/>
      <c r="Q156" s="141"/>
      <c r="R156" s="137"/>
    </row>
    <row r="157" spans="1:21" x14ac:dyDescent="0.2">
      <c r="A157" s="1" t="s">
        <v>72</v>
      </c>
      <c r="B157" s="83" t="s">
        <v>185</v>
      </c>
      <c r="C157" s="138">
        <f t="shared" si="95"/>
        <v>12</v>
      </c>
      <c r="D157" s="138">
        <f t="shared" si="96"/>
        <v>0</v>
      </c>
      <c r="E157" s="138">
        <f t="shared" si="97"/>
        <v>13</v>
      </c>
      <c r="F157" s="138">
        <f t="shared" si="98"/>
        <v>0</v>
      </c>
      <c r="G157" s="138">
        <f t="shared" si="99"/>
        <v>70</v>
      </c>
      <c r="H157" s="138">
        <f t="shared" si="100"/>
        <v>0</v>
      </c>
      <c r="I157" s="138">
        <f t="shared" si="101"/>
        <v>15</v>
      </c>
      <c r="J157" s="138">
        <f t="shared" si="102"/>
        <v>0</v>
      </c>
      <c r="K157" s="138">
        <f t="shared" si="103"/>
        <v>48</v>
      </c>
      <c r="L157" s="138">
        <f t="shared" si="104"/>
        <v>0</v>
      </c>
      <c r="M157" s="138">
        <f t="shared" si="105"/>
        <v>17</v>
      </c>
      <c r="N157" s="138">
        <f t="shared" si="106"/>
        <v>0</v>
      </c>
      <c r="O157" s="138">
        <f>C157+E157+G157+I157+K157+M157</f>
        <v>175</v>
      </c>
      <c r="P157" s="9" t="s">
        <v>10</v>
      </c>
      <c r="Q157" s="141"/>
      <c r="R157" s="137">
        <f>O157*Q157</f>
        <v>0</v>
      </c>
      <c r="T157" s="142">
        <v>5</v>
      </c>
      <c r="U157" s="142">
        <v>1</v>
      </c>
    </row>
    <row r="158" spans="1:21" x14ac:dyDescent="0.2">
      <c r="A158" s="139"/>
      <c r="B158" s="82"/>
      <c r="C158" s="138">
        <f t="shared" si="95"/>
        <v>0</v>
      </c>
      <c r="D158" s="138">
        <f t="shared" si="96"/>
        <v>0</v>
      </c>
      <c r="E158" s="138">
        <f t="shared" si="97"/>
        <v>0</v>
      </c>
      <c r="F158" s="138">
        <f t="shared" si="98"/>
        <v>0</v>
      </c>
      <c r="G158" s="138">
        <f t="shared" si="99"/>
        <v>0</v>
      </c>
      <c r="H158" s="138">
        <f t="shared" si="100"/>
        <v>0</v>
      </c>
      <c r="I158" s="138">
        <f t="shared" si="101"/>
        <v>0</v>
      </c>
      <c r="J158" s="138">
        <f t="shared" si="102"/>
        <v>0</v>
      </c>
      <c r="K158" s="138">
        <f t="shared" si="103"/>
        <v>0</v>
      </c>
      <c r="L158" s="138">
        <f t="shared" si="104"/>
        <v>0</v>
      </c>
      <c r="M158" s="138">
        <f t="shared" si="105"/>
        <v>0</v>
      </c>
      <c r="N158" s="138">
        <f t="shared" si="106"/>
        <v>0</v>
      </c>
      <c r="O158" s="138">
        <f t="shared" si="107"/>
        <v>0</v>
      </c>
      <c r="P158" s="154"/>
      <c r="Q158" s="141"/>
      <c r="R158" s="137"/>
    </row>
    <row r="159" spans="1:21" x14ac:dyDescent="0.2">
      <c r="A159" s="1" t="s">
        <v>73</v>
      </c>
      <c r="B159" s="83" t="s">
        <v>392</v>
      </c>
      <c r="C159" s="138">
        <f t="shared" si="95"/>
        <v>62</v>
      </c>
      <c r="D159" s="138">
        <f t="shared" si="96"/>
        <v>0</v>
      </c>
      <c r="E159" s="138">
        <f t="shared" si="97"/>
        <v>81</v>
      </c>
      <c r="F159" s="138">
        <f t="shared" si="98"/>
        <v>0</v>
      </c>
      <c r="G159" s="138">
        <f t="shared" si="99"/>
        <v>500</v>
      </c>
      <c r="H159" s="138">
        <f t="shared" si="100"/>
        <v>0</v>
      </c>
      <c r="I159" s="138">
        <f t="shared" si="101"/>
        <v>119</v>
      </c>
      <c r="J159" s="138">
        <f t="shared" si="102"/>
        <v>0</v>
      </c>
      <c r="K159" s="138">
        <f t="shared" si="103"/>
        <v>414</v>
      </c>
      <c r="L159" s="138">
        <f t="shared" si="104"/>
        <v>0</v>
      </c>
      <c r="M159" s="138">
        <f t="shared" si="105"/>
        <v>157</v>
      </c>
      <c r="N159" s="138">
        <f t="shared" si="106"/>
        <v>0</v>
      </c>
      <c r="O159" s="138">
        <f>C159+E159+G159+I159+K159+M159</f>
        <v>1333</v>
      </c>
      <c r="P159" s="9" t="s">
        <v>10</v>
      </c>
      <c r="Q159" s="141"/>
      <c r="R159" s="137">
        <f>O159*Q159</f>
        <v>0</v>
      </c>
      <c r="T159" s="142">
        <f>11+1</f>
        <v>12</v>
      </c>
      <c r="U159" s="142">
        <v>19</v>
      </c>
    </row>
    <row r="160" spans="1:21" x14ac:dyDescent="0.2">
      <c r="A160" s="139"/>
      <c r="B160" s="82"/>
      <c r="C160" s="138">
        <f t="shared" si="95"/>
        <v>0</v>
      </c>
      <c r="D160" s="138">
        <f t="shared" si="96"/>
        <v>0</v>
      </c>
      <c r="E160" s="138">
        <f t="shared" si="97"/>
        <v>0</v>
      </c>
      <c r="F160" s="138">
        <f t="shared" si="98"/>
        <v>0</v>
      </c>
      <c r="G160" s="138">
        <f t="shared" si="99"/>
        <v>0</v>
      </c>
      <c r="H160" s="138">
        <f t="shared" si="100"/>
        <v>0</v>
      </c>
      <c r="I160" s="138">
        <f t="shared" si="101"/>
        <v>0</v>
      </c>
      <c r="J160" s="138">
        <f t="shared" si="102"/>
        <v>0</v>
      </c>
      <c r="K160" s="138">
        <f t="shared" si="103"/>
        <v>0</v>
      </c>
      <c r="L160" s="138">
        <f t="shared" si="104"/>
        <v>0</v>
      </c>
      <c r="M160" s="138">
        <f t="shared" si="105"/>
        <v>0</v>
      </c>
      <c r="N160" s="138">
        <f t="shared" si="106"/>
        <v>0</v>
      </c>
      <c r="O160" s="138">
        <f t="shared" si="107"/>
        <v>0</v>
      </c>
      <c r="P160" s="154"/>
      <c r="Q160" s="141"/>
      <c r="R160" s="137"/>
    </row>
    <row r="161" spans="1:21" x14ac:dyDescent="0.2">
      <c r="A161" s="1" t="s">
        <v>74</v>
      </c>
      <c r="B161" s="83" t="s">
        <v>393</v>
      </c>
      <c r="C161" s="138">
        <f t="shared" si="95"/>
        <v>8</v>
      </c>
      <c r="D161" s="138">
        <f t="shared" si="96"/>
        <v>0</v>
      </c>
      <c r="E161" s="138">
        <f t="shared" si="97"/>
        <v>9</v>
      </c>
      <c r="F161" s="138">
        <f t="shared" si="98"/>
        <v>0</v>
      </c>
      <c r="G161" s="138">
        <f t="shared" si="99"/>
        <v>50</v>
      </c>
      <c r="H161" s="138">
        <f t="shared" si="100"/>
        <v>0</v>
      </c>
      <c r="I161" s="138">
        <f t="shared" si="101"/>
        <v>11</v>
      </c>
      <c r="J161" s="138">
        <f t="shared" si="102"/>
        <v>0</v>
      </c>
      <c r="K161" s="138">
        <f t="shared" si="103"/>
        <v>36</v>
      </c>
      <c r="L161" s="138">
        <f t="shared" si="104"/>
        <v>0</v>
      </c>
      <c r="M161" s="138">
        <f t="shared" si="105"/>
        <v>13</v>
      </c>
      <c r="N161" s="138">
        <f t="shared" si="106"/>
        <v>0</v>
      </c>
      <c r="O161" s="138">
        <f>C161+E161+G161+I161+K161+M161</f>
        <v>127</v>
      </c>
      <c r="P161" s="9" t="s">
        <v>10</v>
      </c>
      <c r="Q161" s="141"/>
      <c r="R161" s="137">
        <f>O161*Q161</f>
        <v>0</v>
      </c>
      <c r="T161" s="142">
        <v>3</v>
      </c>
      <c r="U161" s="142">
        <v>1</v>
      </c>
    </row>
    <row r="162" spans="1:21" x14ac:dyDescent="0.2">
      <c r="A162" s="139"/>
      <c r="B162" s="112"/>
      <c r="C162" s="138">
        <f t="shared" si="95"/>
        <v>0</v>
      </c>
      <c r="D162" s="138">
        <f t="shared" si="96"/>
        <v>0</v>
      </c>
      <c r="E162" s="138">
        <f t="shared" si="97"/>
        <v>0</v>
      </c>
      <c r="F162" s="138">
        <f t="shared" si="98"/>
        <v>0</v>
      </c>
      <c r="G162" s="138">
        <f t="shared" si="99"/>
        <v>0</v>
      </c>
      <c r="H162" s="138">
        <f t="shared" si="100"/>
        <v>0</v>
      </c>
      <c r="I162" s="138">
        <f t="shared" si="101"/>
        <v>0</v>
      </c>
      <c r="J162" s="138">
        <f t="shared" si="102"/>
        <v>0</v>
      </c>
      <c r="K162" s="138">
        <f t="shared" si="103"/>
        <v>0</v>
      </c>
      <c r="L162" s="138">
        <f t="shared" si="104"/>
        <v>0</v>
      </c>
      <c r="M162" s="138">
        <f t="shared" si="105"/>
        <v>0</v>
      </c>
      <c r="N162" s="138">
        <f t="shared" si="106"/>
        <v>0</v>
      </c>
      <c r="O162" s="138">
        <f t="shared" si="107"/>
        <v>0</v>
      </c>
      <c r="P162" s="9"/>
      <c r="Q162" s="141"/>
      <c r="R162" s="137"/>
    </row>
    <row r="163" spans="1:21" x14ac:dyDescent="0.2">
      <c r="A163" s="1" t="s">
        <v>75</v>
      </c>
      <c r="B163" s="83" t="s">
        <v>394</v>
      </c>
      <c r="C163" s="138">
        <f t="shared" si="95"/>
        <v>36</v>
      </c>
      <c r="D163" s="138">
        <f t="shared" si="96"/>
        <v>0</v>
      </c>
      <c r="E163" s="138">
        <f t="shared" si="97"/>
        <v>36</v>
      </c>
      <c r="F163" s="138">
        <f t="shared" si="98"/>
        <v>0</v>
      </c>
      <c r="G163" s="138">
        <f t="shared" si="99"/>
        <v>180</v>
      </c>
      <c r="H163" s="138">
        <f t="shared" si="100"/>
        <v>0</v>
      </c>
      <c r="I163" s="138">
        <f t="shared" si="101"/>
        <v>36</v>
      </c>
      <c r="J163" s="138">
        <f t="shared" si="102"/>
        <v>0</v>
      </c>
      <c r="K163" s="138">
        <f t="shared" si="103"/>
        <v>108</v>
      </c>
      <c r="L163" s="138">
        <f t="shared" si="104"/>
        <v>0</v>
      </c>
      <c r="M163" s="138">
        <f t="shared" si="105"/>
        <v>36</v>
      </c>
      <c r="N163" s="138">
        <f t="shared" si="106"/>
        <v>0</v>
      </c>
      <c r="O163" s="138">
        <f>C163+E163+G163+I163+K163+M163</f>
        <v>432</v>
      </c>
      <c r="P163" s="9" t="s">
        <v>12</v>
      </c>
      <c r="Q163" s="141"/>
      <c r="R163" s="137">
        <f>O163*Q163</f>
        <v>0</v>
      </c>
      <c r="T163" s="142">
        <v>18</v>
      </c>
      <c r="U163" s="142">
        <v>0</v>
      </c>
    </row>
    <row r="164" spans="1:21" x14ac:dyDescent="0.2">
      <c r="A164" s="1"/>
      <c r="B164" s="83"/>
      <c r="C164" s="138">
        <f t="shared" si="95"/>
        <v>0</v>
      </c>
      <c r="D164" s="138">
        <f t="shared" si="96"/>
        <v>0</v>
      </c>
      <c r="E164" s="138">
        <f t="shared" si="97"/>
        <v>0</v>
      </c>
      <c r="F164" s="138">
        <f t="shared" si="98"/>
        <v>0</v>
      </c>
      <c r="G164" s="138">
        <f t="shared" si="99"/>
        <v>0</v>
      </c>
      <c r="H164" s="138">
        <f t="shared" si="100"/>
        <v>0</v>
      </c>
      <c r="I164" s="138">
        <f t="shared" si="101"/>
        <v>0</v>
      </c>
      <c r="J164" s="138">
        <f t="shared" si="102"/>
        <v>0</v>
      </c>
      <c r="K164" s="138">
        <f t="shared" si="103"/>
        <v>0</v>
      </c>
      <c r="L164" s="138">
        <f t="shared" si="104"/>
        <v>0</v>
      </c>
      <c r="M164" s="138">
        <f t="shared" si="105"/>
        <v>0</v>
      </c>
      <c r="N164" s="138">
        <f t="shared" si="106"/>
        <v>0</v>
      </c>
      <c r="O164" s="138">
        <f t="shared" si="107"/>
        <v>0</v>
      </c>
      <c r="P164" s="113"/>
      <c r="Q164" s="141"/>
      <c r="R164" s="137"/>
    </row>
    <row r="165" spans="1:21" x14ac:dyDescent="0.2">
      <c r="A165" s="1" t="s">
        <v>76</v>
      </c>
      <c r="B165" s="83" t="s">
        <v>514</v>
      </c>
      <c r="C165" s="138">
        <f t="shared" si="95"/>
        <v>16</v>
      </c>
      <c r="D165" s="138">
        <f t="shared" si="96"/>
        <v>0</v>
      </c>
      <c r="E165" s="138">
        <f t="shared" si="97"/>
        <v>18</v>
      </c>
      <c r="F165" s="138">
        <f t="shared" si="98"/>
        <v>0</v>
      </c>
      <c r="G165" s="138">
        <f t="shared" si="99"/>
        <v>100</v>
      </c>
      <c r="H165" s="138">
        <f t="shared" si="100"/>
        <v>0</v>
      </c>
      <c r="I165" s="138">
        <f t="shared" si="101"/>
        <v>22</v>
      </c>
      <c r="J165" s="138">
        <f t="shared" si="102"/>
        <v>0</v>
      </c>
      <c r="K165" s="138">
        <f t="shared" si="103"/>
        <v>72</v>
      </c>
      <c r="L165" s="138">
        <f t="shared" si="104"/>
        <v>0</v>
      </c>
      <c r="M165" s="138">
        <f t="shared" si="105"/>
        <v>26</v>
      </c>
      <c r="N165" s="138">
        <f t="shared" si="106"/>
        <v>0</v>
      </c>
      <c r="O165" s="138">
        <f>C165+E165+G165+I165+K165+M165</f>
        <v>254</v>
      </c>
      <c r="P165" s="113" t="s">
        <v>12</v>
      </c>
      <c r="Q165" s="141"/>
      <c r="R165" s="137">
        <f>O165*Q165</f>
        <v>0</v>
      </c>
      <c r="T165" s="142">
        <v>6</v>
      </c>
      <c r="U165" s="142">
        <v>2</v>
      </c>
    </row>
    <row r="166" spans="1:21" x14ac:dyDescent="0.2">
      <c r="A166" s="1"/>
      <c r="B166" s="83"/>
      <c r="C166" s="138"/>
      <c r="D166" s="138"/>
      <c r="E166" s="138"/>
      <c r="F166" s="138"/>
      <c r="G166" s="138"/>
      <c r="H166" s="138"/>
      <c r="I166" s="138"/>
      <c r="J166" s="138"/>
      <c r="K166" s="138"/>
      <c r="L166" s="138"/>
      <c r="M166" s="138"/>
      <c r="N166" s="138"/>
      <c r="O166" s="138"/>
      <c r="P166" s="113"/>
      <c r="Q166" s="141"/>
      <c r="R166" s="137"/>
    </row>
    <row r="167" spans="1:21" x14ac:dyDescent="0.2">
      <c r="A167" s="139"/>
      <c r="B167" s="83"/>
      <c r="C167" s="138">
        <f t="shared" si="82"/>
        <v>0</v>
      </c>
      <c r="D167" s="138">
        <f t="shared" si="83"/>
        <v>0</v>
      </c>
      <c r="E167" s="138">
        <f t="shared" si="84"/>
        <v>0</v>
      </c>
      <c r="F167" s="138">
        <f t="shared" si="85"/>
        <v>0</v>
      </c>
      <c r="G167" s="138">
        <f t="shared" si="86"/>
        <v>0</v>
      </c>
      <c r="H167" s="138">
        <f t="shared" si="87"/>
        <v>0</v>
      </c>
      <c r="I167" s="138">
        <f t="shared" si="88"/>
        <v>0</v>
      </c>
      <c r="J167" s="138">
        <f t="shared" si="89"/>
        <v>0</v>
      </c>
      <c r="K167" s="138">
        <f t="shared" si="90"/>
        <v>0</v>
      </c>
      <c r="L167" s="138">
        <f t="shared" si="91"/>
        <v>0</v>
      </c>
      <c r="M167" s="138">
        <f t="shared" si="92"/>
        <v>0</v>
      </c>
      <c r="N167" s="138">
        <f t="shared" si="93"/>
        <v>0</v>
      </c>
      <c r="O167" s="138">
        <f t="shared" si="94"/>
        <v>0</v>
      </c>
      <c r="P167" s="9"/>
      <c r="Q167" s="141"/>
      <c r="R167" s="128"/>
      <c r="T167" s="119"/>
      <c r="U167" s="119"/>
    </row>
    <row r="168" spans="1:21" x14ac:dyDescent="0.2">
      <c r="A168" s="139"/>
      <c r="B168" s="83"/>
      <c r="C168" s="138"/>
      <c r="D168" s="138"/>
      <c r="E168" s="138"/>
      <c r="F168" s="138"/>
      <c r="G168" s="138"/>
      <c r="H168" s="138"/>
      <c r="I168" s="138"/>
      <c r="J168" s="138"/>
      <c r="K168" s="138"/>
      <c r="L168" s="138"/>
      <c r="M168" s="138"/>
      <c r="N168" s="138"/>
      <c r="O168" s="138"/>
      <c r="P168" s="9"/>
      <c r="Q168" s="141"/>
      <c r="R168" s="128"/>
      <c r="T168" s="119"/>
      <c r="U168" s="119"/>
    </row>
    <row r="169" spans="1:21" x14ac:dyDescent="0.2">
      <c r="A169" s="139"/>
      <c r="B169" s="83"/>
      <c r="C169" s="138">
        <f t="shared" si="82"/>
        <v>0</v>
      </c>
      <c r="D169" s="138">
        <f t="shared" si="83"/>
        <v>0</v>
      </c>
      <c r="E169" s="138">
        <f t="shared" si="84"/>
        <v>0</v>
      </c>
      <c r="F169" s="138">
        <f t="shared" si="85"/>
        <v>0</v>
      </c>
      <c r="G169" s="138">
        <f t="shared" si="86"/>
        <v>0</v>
      </c>
      <c r="H169" s="138">
        <f t="shared" si="87"/>
        <v>0</v>
      </c>
      <c r="I169" s="138">
        <f t="shared" si="88"/>
        <v>0</v>
      </c>
      <c r="J169" s="138">
        <f t="shared" si="89"/>
        <v>0</v>
      </c>
      <c r="K169" s="138">
        <f t="shared" si="90"/>
        <v>0</v>
      </c>
      <c r="L169" s="138">
        <f t="shared" si="91"/>
        <v>0</v>
      </c>
      <c r="M169" s="138">
        <f t="shared" si="92"/>
        <v>0</v>
      </c>
      <c r="N169" s="138">
        <f t="shared" si="93"/>
        <v>0</v>
      </c>
      <c r="O169" s="138">
        <f t="shared" si="94"/>
        <v>0</v>
      </c>
      <c r="P169" s="9"/>
      <c r="Q169" s="141"/>
      <c r="R169" s="128"/>
      <c r="T169" s="119"/>
      <c r="U169" s="119"/>
    </row>
    <row r="170" spans="1:21" x14ac:dyDescent="0.2">
      <c r="A170" s="139"/>
      <c r="B170" s="83"/>
      <c r="C170" s="138">
        <f t="shared" si="82"/>
        <v>0</v>
      </c>
      <c r="D170" s="138">
        <f t="shared" si="83"/>
        <v>0</v>
      </c>
      <c r="E170" s="138">
        <f t="shared" si="84"/>
        <v>0</v>
      </c>
      <c r="F170" s="138">
        <f t="shared" si="85"/>
        <v>0</v>
      </c>
      <c r="G170" s="138">
        <f t="shared" si="86"/>
        <v>0</v>
      </c>
      <c r="H170" s="138">
        <f t="shared" si="87"/>
        <v>0</v>
      </c>
      <c r="I170" s="138">
        <f t="shared" si="88"/>
        <v>0</v>
      </c>
      <c r="J170" s="138">
        <f t="shared" si="89"/>
        <v>0</v>
      </c>
      <c r="K170" s="138">
        <f t="shared" si="90"/>
        <v>0</v>
      </c>
      <c r="L170" s="138">
        <f t="shared" si="91"/>
        <v>0</v>
      </c>
      <c r="M170" s="138">
        <f t="shared" si="92"/>
        <v>0</v>
      </c>
      <c r="N170" s="138">
        <f t="shared" si="93"/>
        <v>0</v>
      </c>
      <c r="O170" s="138">
        <f t="shared" si="94"/>
        <v>0</v>
      </c>
      <c r="P170" s="9"/>
      <c r="Q170" s="141"/>
      <c r="R170" s="128"/>
      <c r="T170" s="119"/>
      <c r="U170" s="119"/>
    </row>
    <row r="171" spans="1:21" x14ac:dyDescent="0.2">
      <c r="A171" s="139"/>
      <c r="B171" s="83"/>
      <c r="C171" s="138"/>
      <c r="D171" s="138"/>
      <c r="E171" s="138"/>
      <c r="F171" s="138"/>
      <c r="G171" s="138"/>
      <c r="H171" s="138"/>
      <c r="I171" s="138"/>
      <c r="J171" s="138"/>
      <c r="K171" s="138"/>
      <c r="L171" s="138"/>
      <c r="M171" s="138"/>
      <c r="N171" s="138"/>
      <c r="O171" s="138"/>
      <c r="P171" s="9"/>
      <c r="Q171" s="141"/>
      <c r="R171" s="128"/>
      <c r="T171" s="119"/>
      <c r="U171" s="119"/>
    </row>
    <row r="172" spans="1:21" x14ac:dyDescent="0.2">
      <c r="A172" s="139"/>
      <c r="B172" s="83"/>
      <c r="C172" s="138"/>
      <c r="D172" s="138"/>
      <c r="E172" s="138"/>
      <c r="F172" s="138"/>
      <c r="G172" s="138"/>
      <c r="H172" s="138"/>
      <c r="I172" s="138"/>
      <c r="J172" s="138"/>
      <c r="K172" s="138"/>
      <c r="L172" s="138"/>
      <c r="M172" s="138"/>
      <c r="N172" s="138"/>
      <c r="O172" s="138"/>
      <c r="P172" s="9"/>
      <c r="Q172" s="141"/>
      <c r="R172" s="128"/>
      <c r="T172" s="119"/>
      <c r="U172" s="119"/>
    </row>
    <row r="173" spans="1:21" x14ac:dyDescent="0.2">
      <c r="A173" s="127"/>
      <c r="B173" s="136"/>
      <c r="C173" s="128"/>
      <c r="D173" s="120"/>
      <c r="E173" s="120"/>
      <c r="F173" s="120"/>
      <c r="G173" s="120"/>
      <c r="H173" s="120"/>
      <c r="I173" s="120"/>
      <c r="J173" s="120"/>
      <c r="K173" s="120"/>
      <c r="L173" s="120"/>
      <c r="M173" s="120"/>
      <c r="N173" s="120"/>
      <c r="O173" s="120"/>
      <c r="P173" s="154"/>
      <c r="Q173" s="141"/>
      <c r="R173" s="137"/>
      <c r="T173" s="52"/>
      <c r="U173" s="52"/>
    </row>
    <row r="174" spans="1:21" x14ac:dyDescent="0.2">
      <c r="A174" s="129"/>
      <c r="B174" s="130"/>
      <c r="C174" s="131"/>
      <c r="D174" s="131"/>
      <c r="E174" s="131"/>
      <c r="F174" s="131"/>
      <c r="G174" s="131"/>
      <c r="H174" s="131"/>
      <c r="I174" s="131"/>
      <c r="J174" s="131"/>
      <c r="K174" s="131"/>
      <c r="L174" s="131"/>
      <c r="M174" s="131"/>
      <c r="N174" s="131"/>
      <c r="O174" s="131"/>
      <c r="P174" s="131"/>
      <c r="Q174" s="132"/>
      <c r="R174" s="126"/>
      <c r="T174" s="134"/>
      <c r="U174" s="134"/>
    </row>
    <row r="175" spans="1:21" x14ac:dyDescent="0.2">
      <c r="C175" s="122"/>
      <c r="D175" s="122"/>
      <c r="E175" s="122"/>
      <c r="F175" s="122"/>
      <c r="G175" s="122"/>
      <c r="H175" s="122"/>
      <c r="I175" s="122"/>
      <c r="J175" s="122"/>
      <c r="K175" s="122"/>
      <c r="L175" s="122"/>
      <c r="M175" s="122"/>
      <c r="N175" s="122"/>
      <c r="O175" s="122"/>
      <c r="P175" s="171" t="s">
        <v>1</v>
      </c>
      <c r="Q175" s="133" t="s">
        <v>0</v>
      </c>
      <c r="R175" s="137">
        <f>SUM(R132:R173)</f>
        <v>0</v>
      </c>
      <c r="T175" s="135"/>
      <c r="U175" s="135"/>
    </row>
    <row r="176" spans="1:21" x14ac:dyDescent="0.2">
      <c r="P176" s="188"/>
      <c r="Q176" s="124"/>
      <c r="R176" s="125"/>
    </row>
    <row r="177" spans="1:21" x14ac:dyDescent="0.2">
      <c r="A177" s="1"/>
      <c r="B177" s="12"/>
      <c r="C177" s="138"/>
      <c r="D177" s="138"/>
      <c r="E177" s="138"/>
      <c r="F177" s="138"/>
      <c r="G177" s="138"/>
      <c r="H177" s="138"/>
      <c r="I177" s="138"/>
      <c r="J177" s="138"/>
      <c r="K177" s="138"/>
      <c r="L177" s="138"/>
      <c r="M177" s="138"/>
      <c r="N177" s="138"/>
      <c r="O177" s="138"/>
      <c r="P177" s="9"/>
      <c r="Q177" s="141"/>
      <c r="R177" s="128"/>
    </row>
    <row r="178" spans="1:21" x14ac:dyDescent="0.2">
      <c r="A178" s="139"/>
      <c r="B178" s="160" t="s">
        <v>558</v>
      </c>
      <c r="C178" s="128"/>
      <c r="D178" s="120"/>
      <c r="E178" s="120"/>
      <c r="F178" s="120"/>
      <c r="G178" s="120"/>
      <c r="H178" s="120"/>
      <c r="I178" s="120"/>
      <c r="J178" s="120"/>
      <c r="K178" s="120"/>
      <c r="L178" s="120"/>
      <c r="M178" s="120"/>
      <c r="N178" s="120"/>
      <c r="O178" s="120"/>
      <c r="P178" s="154"/>
      <c r="Q178" s="141"/>
      <c r="R178" s="137"/>
    </row>
    <row r="179" spans="1:21" x14ac:dyDescent="0.2">
      <c r="A179" s="139"/>
      <c r="B179" s="23"/>
      <c r="C179" s="138">
        <f>ROUND((2*$T179+2*$U179)*C$3,0)</f>
        <v>0</v>
      </c>
      <c r="D179" s="138">
        <f>C179*$Q179</f>
        <v>0</v>
      </c>
      <c r="E179" s="138">
        <f>ROUND((2*$T179+3*$U179)*E$3,0)</f>
        <v>0</v>
      </c>
      <c r="F179" s="138">
        <f>E179*$Q179</f>
        <v>0</v>
      </c>
      <c r="G179" s="138">
        <f>ROUND((2*$T179+4*$U179)*G$3,0)</f>
        <v>0</v>
      </c>
      <c r="H179" s="138">
        <f>G179*$Q179</f>
        <v>0</v>
      </c>
      <c r="I179" s="138">
        <f>ROUND((2*$T179+5*$U179)*I$3,0)</f>
        <v>0</v>
      </c>
      <c r="J179" s="138">
        <f>I179*$Q179</f>
        <v>0</v>
      </c>
      <c r="K179" s="138">
        <f>ROUND((2*$T179+6*$U179)*K$3,0)</f>
        <v>0</v>
      </c>
      <c r="L179" s="138">
        <f>K179*$Q179</f>
        <v>0</v>
      </c>
      <c r="M179" s="138">
        <f>ROUND((2*$T179+7*$U179)*M$3,0)</f>
        <v>0</v>
      </c>
      <c r="N179" s="138">
        <f>M179*$Q179</f>
        <v>0</v>
      </c>
      <c r="O179" s="138">
        <f>C179+E179+G179+I179+K179+M179</f>
        <v>0</v>
      </c>
      <c r="P179" s="154"/>
      <c r="Q179" s="141"/>
      <c r="R179" s="137"/>
    </row>
    <row r="180" spans="1:21" x14ac:dyDescent="0.2">
      <c r="A180" s="139"/>
      <c r="B180" s="160" t="s">
        <v>45</v>
      </c>
      <c r="C180" s="138">
        <f>ROUND((2*$T180+2*$U180)*C$3,0)</f>
        <v>0</v>
      </c>
      <c r="D180" s="138">
        <f>C180*$Q180</f>
        <v>0</v>
      </c>
      <c r="E180" s="138">
        <f>ROUND((2*$T180+3*$U180)*E$3,0)</f>
        <v>0</v>
      </c>
      <c r="F180" s="138">
        <f>E180*$Q180</f>
        <v>0</v>
      </c>
      <c r="G180" s="138">
        <f>ROUND((2*$T180+4*$U180)*G$3,0)</f>
        <v>0</v>
      </c>
      <c r="H180" s="138">
        <f>G180*$Q180</f>
        <v>0</v>
      </c>
      <c r="I180" s="138">
        <f>ROUND((2*$T180+5*$U180)*I$3,0)</f>
        <v>0</v>
      </c>
      <c r="J180" s="138">
        <f>I180*$Q180</f>
        <v>0</v>
      </c>
      <c r="K180" s="138">
        <f>ROUND((2*$T180+6*$U180)*K$3,0)</f>
        <v>0</v>
      </c>
      <c r="L180" s="138">
        <f>K180*$Q180</f>
        <v>0</v>
      </c>
      <c r="M180" s="138">
        <f>ROUND((2*$T180+7*$U180)*M$3,0)</f>
        <v>0</v>
      </c>
      <c r="N180" s="138">
        <f>M180*$Q180</f>
        <v>0</v>
      </c>
      <c r="O180" s="138">
        <f>C180+E180+G180+I180+K180+M180</f>
        <v>0</v>
      </c>
      <c r="P180" s="154"/>
      <c r="Q180" s="141"/>
      <c r="R180" s="137"/>
    </row>
    <row r="181" spans="1:21" x14ac:dyDescent="0.2">
      <c r="A181" s="1"/>
      <c r="B181" s="83"/>
      <c r="C181" s="138">
        <f t="shared" ref="C181:C215" si="108">ROUND((2*$T181+2*$U181)*C$3,0)</f>
        <v>0</v>
      </c>
      <c r="D181" s="138">
        <f t="shared" ref="D181:D215" si="109">C181*$Q181</f>
        <v>0</v>
      </c>
      <c r="E181" s="138">
        <f t="shared" ref="E181:E215" si="110">ROUND((2*$T181+3*$U181)*E$3,0)</f>
        <v>0</v>
      </c>
      <c r="F181" s="138">
        <f t="shared" ref="F181:F215" si="111">E181*$Q181</f>
        <v>0</v>
      </c>
      <c r="G181" s="138">
        <f t="shared" ref="G181:G215" si="112">ROUND((2*$T181+4*$U181)*G$3,0)</f>
        <v>0</v>
      </c>
      <c r="H181" s="138">
        <f t="shared" ref="H181:H215" si="113">G181*$Q181</f>
        <v>0</v>
      </c>
      <c r="I181" s="138">
        <f t="shared" ref="I181:I215" si="114">ROUND((2*$T181+5*$U181)*I$3,0)</f>
        <v>0</v>
      </c>
      <c r="J181" s="138">
        <f t="shared" ref="J181:J215" si="115">I181*$Q181</f>
        <v>0</v>
      </c>
      <c r="K181" s="138">
        <f t="shared" ref="K181:K215" si="116">ROUND((2*$T181+6*$U181)*K$3,0)</f>
        <v>0</v>
      </c>
      <c r="L181" s="138">
        <f t="shared" ref="L181:L215" si="117">K181*$Q181</f>
        <v>0</v>
      </c>
      <c r="M181" s="138">
        <f t="shared" ref="M181:M215" si="118">ROUND((2*$T181+7*$U181)*M$3,0)</f>
        <v>0</v>
      </c>
      <c r="N181" s="138">
        <f t="shared" ref="N181:N215" si="119">M181*$Q181</f>
        <v>0</v>
      </c>
      <c r="O181" s="138">
        <f t="shared" ref="O181:O215" si="120">C181+E181+G181+I181+K181+M181</f>
        <v>0</v>
      </c>
      <c r="P181" s="9"/>
      <c r="Q181" s="141"/>
      <c r="R181" s="137"/>
    </row>
    <row r="182" spans="1:21" ht="42.75" x14ac:dyDescent="0.2">
      <c r="A182" s="1"/>
      <c r="B182" s="160" t="s">
        <v>513</v>
      </c>
      <c r="C182" s="138">
        <f t="shared" si="108"/>
        <v>0</v>
      </c>
      <c r="D182" s="138">
        <f t="shared" si="109"/>
        <v>0</v>
      </c>
      <c r="E182" s="138">
        <f t="shared" si="110"/>
        <v>0</v>
      </c>
      <c r="F182" s="138">
        <f t="shared" si="111"/>
        <v>0</v>
      </c>
      <c r="G182" s="138">
        <f t="shared" si="112"/>
        <v>0</v>
      </c>
      <c r="H182" s="138">
        <f t="shared" si="113"/>
        <v>0</v>
      </c>
      <c r="I182" s="138">
        <f t="shared" si="114"/>
        <v>0</v>
      </c>
      <c r="J182" s="138">
        <f t="shared" si="115"/>
        <v>0</v>
      </c>
      <c r="K182" s="138">
        <f t="shared" si="116"/>
        <v>0</v>
      </c>
      <c r="L182" s="138">
        <f t="shared" si="117"/>
        <v>0</v>
      </c>
      <c r="M182" s="138">
        <f t="shared" si="118"/>
        <v>0</v>
      </c>
      <c r="N182" s="138">
        <f t="shared" si="119"/>
        <v>0</v>
      </c>
      <c r="O182" s="138">
        <f t="shared" si="120"/>
        <v>0</v>
      </c>
      <c r="P182" s="9"/>
      <c r="Q182" s="141"/>
      <c r="R182" s="137"/>
    </row>
    <row r="183" spans="1:21" x14ac:dyDescent="0.2">
      <c r="A183" s="139"/>
      <c r="B183" s="112"/>
      <c r="C183" s="138">
        <f t="shared" si="108"/>
        <v>0</v>
      </c>
      <c r="D183" s="138">
        <f t="shared" si="109"/>
        <v>0</v>
      </c>
      <c r="E183" s="138">
        <f t="shared" si="110"/>
        <v>0</v>
      </c>
      <c r="F183" s="138">
        <f t="shared" si="111"/>
        <v>0</v>
      </c>
      <c r="G183" s="138">
        <f t="shared" si="112"/>
        <v>0</v>
      </c>
      <c r="H183" s="138">
        <f t="shared" si="113"/>
        <v>0</v>
      </c>
      <c r="I183" s="138">
        <f t="shared" si="114"/>
        <v>0</v>
      </c>
      <c r="J183" s="138">
        <f t="shared" si="115"/>
        <v>0</v>
      </c>
      <c r="K183" s="138">
        <f t="shared" si="116"/>
        <v>0</v>
      </c>
      <c r="L183" s="138">
        <f t="shared" si="117"/>
        <v>0</v>
      </c>
      <c r="M183" s="138">
        <f t="shared" si="118"/>
        <v>0</v>
      </c>
      <c r="N183" s="138">
        <f t="shared" si="119"/>
        <v>0</v>
      </c>
      <c r="O183" s="138">
        <f t="shared" si="120"/>
        <v>0</v>
      </c>
      <c r="P183" s="9"/>
      <c r="Q183" s="141"/>
      <c r="R183" s="137"/>
    </row>
    <row r="184" spans="1:21" x14ac:dyDescent="0.2">
      <c r="A184" s="1" t="s">
        <v>66</v>
      </c>
      <c r="B184" s="83" t="s">
        <v>48</v>
      </c>
      <c r="C184" s="138">
        <f t="shared" si="108"/>
        <v>90</v>
      </c>
      <c r="D184" s="138">
        <f t="shared" si="109"/>
        <v>0</v>
      </c>
      <c r="E184" s="138">
        <f t="shared" si="110"/>
        <v>112</v>
      </c>
      <c r="F184" s="138">
        <f t="shared" si="111"/>
        <v>0</v>
      </c>
      <c r="G184" s="138">
        <f t="shared" si="112"/>
        <v>670</v>
      </c>
      <c r="H184" s="138">
        <f t="shared" si="113"/>
        <v>0</v>
      </c>
      <c r="I184" s="138">
        <f t="shared" si="114"/>
        <v>156</v>
      </c>
      <c r="J184" s="138">
        <f t="shared" si="115"/>
        <v>0</v>
      </c>
      <c r="K184" s="138">
        <f t="shared" si="116"/>
        <v>534</v>
      </c>
      <c r="L184" s="138">
        <f t="shared" si="117"/>
        <v>0</v>
      </c>
      <c r="M184" s="138">
        <f t="shared" si="118"/>
        <v>200</v>
      </c>
      <c r="N184" s="138">
        <f t="shared" si="119"/>
        <v>0</v>
      </c>
      <c r="O184" s="138">
        <f>C184+E184+G184+I184+K184+M184</f>
        <v>1762</v>
      </c>
      <c r="P184" s="9" t="s">
        <v>10</v>
      </c>
      <c r="Q184" s="141"/>
      <c r="R184" s="137">
        <f>O184*Q184</f>
        <v>0</v>
      </c>
      <c r="T184" s="142">
        <v>23</v>
      </c>
      <c r="U184" s="142">
        <v>22</v>
      </c>
    </row>
    <row r="185" spans="1:21" x14ac:dyDescent="0.2">
      <c r="A185" s="139"/>
      <c r="B185" s="112"/>
      <c r="C185" s="138">
        <f t="shared" si="108"/>
        <v>0</v>
      </c>
      <c r="D185" s="138">
        <f t="shared" si="109"/>
        <v>0</v>
      </c>
      <c r="E185" s="138">
        <f t="shared" si="110"/>
        <v>0</v>
      </c>
      <c r="F185" s="138">
        <f t="shared" si="111"/>
        <v>0</v>
      </c>
      <c r="G185" s="138">
        <f t="shared" si="112"/>
        <v>0</v>
      </c>
      <c r="H185" s="138">
        <f t="shared" si="113"/>
        <v>0</v>
      </c>
      <c r="I185" s="138">
        <f t="shared" si="114"/>
        <v>0</v>
      </c>
      <c r="J185" s="138">
        <f t="shared" si="115"/>
        <v>0</v>
      </c>
      <c r="K185" s="138">
        <f t="shared" si="116"/>
        <v>0</v>
      </c>
      <c r="L185" s="138">
        <f t="shared" si="117"/>
        <v>0</v>
      </c>
      <c r="M185" s="138">
        <f t="shared" si="118"/>
        <v>0</v>
      </c>
      <c r="N185" s="138">
        <f t="shared" si="119"/>
        <v>0</v>
      </c>
      <c r="O185" s="138">
        <f t="shared" si="120"/>
        <v>0</v>
      </c>
      <c r="P185" s="9"/>
      <c r="Q185" s="141"/>
      <c r="R185" s="137"/>
    </row>
    <row r="186" spans="1:21" x14ac:dyDescent="0.2">
      <c r="A186" s="1" t="s">
        <v>67</v>
      </c>
      <c r="B186" s="83" t="s">
        <v>185</v>
      </c>
      <c r="C186" s="138">
        <f t="shared" si="108"/>
        <v>16</v>
      </c>
      <c r="D186" s="138">
        <f t="shared" si="109"/>
        <v>0</v>
      </c>
      <c r="E186" s="138">
        <f t="shared" si="110"/>
        <v>21</v>
      </c>
      <c r="F186" s="138">
        <f t="shared" si="111"/>
        <v>0</v>
      </c>
      <c r="G186" s="138">
        <f t="shared" si="112"/>
        <v>130</v>
      </c>
      <c r="H186" s="138">
        <f t="shared" si="113"/>
        <v>0</v>
      </c>
      <c r="I186" s="138">
        <f t="shared" si="114"/>
        <v>31</v>
      </c>
      <c r="J186" s="138">
        <f t="shared" si="115"/>
        <v>0</v>
      </c>
      <c r="K186" s="138">
        <f t="shared" si="116"/>
        <v>108</v>
      </c>
      <c r="L186" s="138">
        <f t="shared" si="117"/>
        <v>0</v>
      </c>
      <c r="M186" s="138">
        <f t="shared" si="118"/>
        <v>41</v>
      </c>
      <c r="N186" s="138">
        <f t="shared" si="119"/>
        <v>0</v>
      </c>
      <c r="O186" s="138">
        <f>C186+E186+G186+I186+K186+M186</f>
        <v>347</v>
      </c>
      <c r="P186" s="9" t="s">
        <v>10</v>
      </c>
      <c r="Q186" s="141"/>
      <c r="R186" s="137">
        <f>O186*Q186</f>
        <v>0</v>
      </c>
      <c r="T186" s="142">
        <v>3</v>
      </c>
      <c r="U186" s="142">
        <v>5</v>
      </c>
    </row>
    <row r="187" spans="1:21" x14ac:dyDescent="0.2">
      <c r="A187" s="139"/>
      <c r="B187" s="82"/>
      <c r="C187" s="138">
        <f t="shared" si="108"/>
        <v>0</v>
      </c>
      <c r="D187" s="138">
        <f t="shared" si="109"/>
        <v>0</v>
      </c>
      <c r="E187" s="138">
        <f t="shared" si="110"/>
        <v>0</v>
      </c>
      <c r="F187" s="138">
        <f t="shared" si="111"/>
        <v>0</v>
      </c>
      <c r="G187" s="138">
        <f t="shared" si="112"/>
        <v>0</v>
      </c>
      <c r="H187" s="138">
        <f t="shared" si="113"/>
        <v>0</v>
      </c>
      <c r="I187" s="138">
        <f t="shared" si="114"/>
        <v>0</v>
      </c>
      <c r="J187" s="138">
        <f t="shared" si="115"/>
        <v>0</v>
      </c>
      <c r="K187" s="138">
        <f t="shared" si="116"/>
        <v>0</v>
      </c>
      <c r="L187" s="138">
        <f t="shared" si="117"/>
        <v>0</v>
      </c>
      <c r="M187" s="138">
        <f t="shared" si="118"/>
        <v>0</v>
      </c>
      <c r="N187" s="138">
        <f t="shared" si="119"/>
        <v>0</v>
      </c>
      <c r="O187" s="138">
        <f t="shared" si="120"/>
        <v>0</v>
      </c>
      <c r="P187" s="154"/>
      <c r="Q187" s="141"/>
      <c r="R187" s="137"/>
    </row>
    <row r="188" spans="1:21" x14ac:dyDescent="0.2">
      <c r="A188" s="1" t="s">
        <v>68</v>
      </c>
      <c r="B188" s="83" t="s">
        <v>394</v>
      </c>
      <c r="C188" s="138">
        <f t="shared" si="108"/>
        <v>16</v>
      </c>
      <c r="D188" s="138">
        <f t="shared" si="109"/>
        <v>0</v>
      </c>
      <c r="E188" s="138">
        <f t="shared" si="110"/>
        <v>19</v>
      </c>
      <c r="F188" s="138">
        <f t="shared" si="111"/>
        <v>0</v>
      </c>
      <c r="G188" s="138">
        <f t="shared" si="112"/>
        <v>110</v>
      </c>
      <c r="H188" s="138">
        <f t="shared" si="113"/>
        <v>0</v>
      </c>
      <c r="I188" s="138">
        <f t="shared" si="114"/>
        <v>25</v>
      </c>
      <c r="J188" s="138">
        <f t="shared" si="115"/>
        <v>0</v>
      </c>
      <c r="K188" s="138">
        <f t="shared" si="116"/>
        <v>84</v>
      </c>
      <c r="L188" s="138">
        <f t="shared" si="117"/>
        <v>0</v>
      </c>
      <c r="M188" s="138">
        <f t="shared" si="118"/>
        <v>31</v>
      </c>
      <c r="N188" s="138">
        <f t="shared" si="119"/>
        <v>0</v>
      </c>
      <c r="O188" s="138">
        <f>C188+E188+G188+I188+K188+M188</f>
        <v>285</v>
      </c>
      <c r="P188" s="9" t="s">
        <v>12</v>
      </c>
      <c r="Q188" s="141"/>
      <c r="R188" s="137">
        <f>O188*Q188</f>
        <v>0</v>
      </c>
      <c r="T188" s="142">
        <f>5</f>
        <v>5</v>
      </c>
      <c r="U188" s="142">
        <v>3</v>
      </c>
    </row>
    <row r="189" spans="1:21" x14ac:dyDescent="0.2">
      <c r="A189" s="139"/>
      <c r="B189" s="82"/>
      <c r="C189" s="138">
        <f t="shared" si="108"/>
        <v>0</v>
      </c>
      <c r="D189" s="138">
        <f t="shared" si="109"/>
        <v>0</v>
      </c>
      <c r="E189" s="138">
        <f t="shared" si="110"/>
        <v>0</v>
      </c>
      <c r="F189" s="138">
        <f t="shared" si="111"/>
        <v>0</v>
      </c>
      <c r="G189" s="138">
        <f t="shared" si="112"/>
        <v>0</v>
      </c>
      <c r="H189" s="138">
        <f t="shared" si="113"/>
        <v>0</v>
      </c>
      <c r="I189" s="138">
        <f t="shared" si="114"/>
        <v>0</v>
      </c>
      <c r="J189" s="138">
        <f t="shared" si="115"/>
        <v>0</v>
      </c>
      <c r="K189" s="138">
        <f t="shared" si="116"/>
        <v>0</v>
      </c>
      <c r="L189" s="138">
        <f t="shared" si="117"/>
        <v>0</v>
      </c>
      <c r="M189" s="138">
        <f t="shared" si="118"/>
        <v>0</v>
      </c>
      <c r="N189" s="138">
        <f t="shared" si="119"/>
        <v>0</v>
      </c>
      <c r="O189" s="138">
        <f t="shared" ref="O189" si="121">C189+E189+G189+I189+K189+M189</f>
        <v>0</v>
      </c>
      <c r="P189" s="154"/>
      <c r="Q189" s="141"/>
      <c r="R189" s="137"/>
    </row>
    <row r="190" spans="1:21" x14ac:dyDescent="0.2">
      <c r="A190" s="1" t="s">
        <v>69</v>
      </c>
      <c r="B190" s="83" t="s">
        <v>515</v>
      </c>
      <c r="C190" s="138">
        <f t="shared" si="108"/>
        <v>78</v>
      </c>
      <c r="D190" s="138">
        <f t="shared" si="109"/>
        <v>0</v>
      </c>
      <c r="E190" s="138">
        <f t="shared" si="110"/>
        <v>94</v>
      </c>
      <c r="F190" s="138">
        <f t="shared" si="111"/>
        <v>0</v>
      </c>
      <c r="G190" s="138">
        <f t="shared" si="112"/>
        <v>550</v>
      </c>
      <c r="H190" s="138">
        <f t="shared" si="113"/>
        <v>0</v>
      </c>
      <c r="I190" s="138">
        <f t="shared" si="114"/>
        <v>126</v>
      </c>
      <c r="J190" s="138">
        <f t="shared" si="115"/>
        <v>0</v>
      </c>
      <c r="K190" s="138">
        <f t="shared" si="116"/>
        <v>426</v>
      </c>
      <c r="L190" s="138">
        <f t="shared" si="117"/>
        <v>0</v>
      </c>
      <c r="M190" s="138">
        <f t="shared" si="118"/>
        <v>158</v>
      </c>
      <c r="N190" s="138">
        <f t="shared" si="119"/>
        <v>0</v>
      </c>
      <c r="O190" s="138">
        <f>C190+E190+G190+I190+K190+M190</f>
        <v>1432</v>
      </c>
      <c r="P190" s="9" t="s">
        <v>12</v>
      </c>
      <c r="Q190" s="141"/>
      <c r="R190" s="137">
        <f>O190*Q190</f>
        <v>0</v>
      </c>
      <c r="T190" s="142">
        <f>23</f>
        <v>23</v>
      </c>
      <c r="U190" s="142">
        <v>16</v>
      </c>
    </row>
    <row r="191" spans="1:21" x14ac:dyDescent="0.2">
      <c r="A191" s="1"/>
      <c r="B191" s="83"/>
      <c r="C191" s="138">
        <f t="shared" si="108"/>
        <v>0</v>
      </c>
      <c r="D191" s="138">
        <f t="shared" si="109"/>
        <v>0</v>
      </c>
      <c r="E191" s="138">
        <f t="shared" si="110"/>
        <v>0</v>
      </c>
      <c r="F191" s="138">
        <f t="shared" si="111"/>
        <v>0</v>
      </c>
      <c r="G191" s="138">
        <f t="shared" si="112"/>
        <v>0</v>
      </c>
      <c r="H191" s="138">
        <f t="shared" si="113"/>
        <v>0</v>
      </c>
      <c r="I191" s="138">
        <f t="shared" si="114"/>
        <v>0</v>
      </c>
      <c r="J191" s="138">
        <f t="shared" si="115"/>
        <v>0</v>
      </c>
      <c r="K191" s="138">
        <f t="shared" si="116"/>
        <v>0</v>
      </c>
      <c r="L191" s="138">
        <f t="shared" si="117"/>
        <v>0</v>
      </c>
      <c r="M191" s="138">
        <f t="shared" si="118"/>
        <v>0</v>
      </c>
      <c r="N191" s="138">
        <f t="shared" si="119"/>
        <v>0</v>
      </c>
      <c r="O191" s="138">
        <f t="shared" si="120"/>
        <v>0</v>
      </c>
      <c r="P191" s="113"/>
      <c r="Q191" s="141"/>
      <c r="R191" s="137"/>
    </row>
    <row r="192" spans="1:21" ht="42.75" customHeight="1" x14ac:dyDescent="0.2">
      <c r="A192" s="139"/>
      <c r="B192" s="453" t="s">
        <v>894</v>
      </c>
      <c r="C192" s="138">
        <f t="shared" si="108"/>
        <v>0</v>
      </c>
      <c r="D192" s="138">
        <f t="shared" si="109"/>
        <v>0</v>
      </c>
      <c r="E192" s="138">
        <f t="shared" si="110"/>
        <v>0</v>
      </c>
      <c r="F192" s="138">
        <f t="shared" si="111"/>
        <v>0</v>
      </c>
      <c r="G192" s="138">
        <f t="shared" si="112"/>
        <v>0</v>
      </c>
      <c r="H192" s="138">
        <f t="shared" si="113"/>
        <v>0</v>
      </c>
      <c r="I192" s="138">
        <f t="shared" si="114"/>
        <v>0</v>
      </c>
      <c r="J192" s="138">
        <f t="shared" si="115"/>
        <v>0</v>
      </c>
      <c r="K192" s="138">
        <f t="shared" si="116"/>
        <v>0</v>
      </c>
      <c r="L192" s="138">
        <f t="shared" si="117"/>
        <v>0</v>
      </c>
      <c r="M192" s="138">
        <f t="shared" si="118"/>
        <v>0</v>
      </c>
      <c r="N192" s="138">
        <f t="shared" si="119"/>
        <v>0</v>
      </c>
      <c r="O192" s="138">
        <f t="shared" si="120"/>
        <v>0</v>
      </c>
      <c r="P192" s="154"/>
      <c r="Q192" s="141"/>
      <c r="R192" s="137"/>
    </row>
    <row r="193" spans="1:21" x14ac:dyDescent="0.2">
      <c r="A193" s="139"/>
      <c r="B193" s="82"/>
      <c r="C193" s="138">
        <f t="shared" si="108"/>
        <v>0</v>
      </c>
      <c r="D193" s="138">
        <f t="shared" si="109"/>
        <v>0</v>
      </c>
      <c r="E193" s="138">
        <f t="shared" si="110"/>
        <v>0</v>
      </c>
      <c r="F193" s="138">
        <f t="shared" si="111"/>
        <v>0</v>
      </c>
      <c r="G193" s="138">
        <f t="shared" si="112"/>
        <v>0</v>
      </c>
      <c r="H193" s="138">
        <f t="shared" si="113"/>
        <v>0</v>
      </c>
      <c r="I193" s="138">
        <f t="shared" si="114"/>
        <v>0</v>
      </c>
      <c r="J193" s="138">
        <f t="shared" si="115"/>
        <v>0</v>
      </c>
      <c r="K193" s="138">
        <f t="shared" si="116"/>
        <v>0</v>
      </c>
      <c r="L193" s="138">
        <f t="shared" si="117"/>
        <v>0</v>
      </c>
      <c r="M193" s="138">
        <f t="shared" si="118"/>
        <v>0</v>
      </c>
      <c r="N193" s="138">
        <f t="shared" si="119"/>
        <v>0</v>
      </c>
      <c r="O193" s="138">
        <f t="shared" si="120"/>
        <v>0</v>
      </c>
      <c r="P193" s="154"/>
      <c r="Q193" s="141"/>
      <c r="R193" s="137"/>
    </row>
    <row r="194" spans="1:21" x14ac:dyDescent="0.2">
      <c r="A194" s="1" t="s">
        <v>70</v>
      </c>
      <c r="B194" s="83" t="s">
        <v>48</v>
      </c>
      <c r="C194" s="138">
        <f t="shared" si="108"/>
        <v>34</v>
      </c>
      <c r="D194" s="138">
        <f t="shared" si="109"/>
        <v>0</v>
      </c>
      <c r="E194" s="138">
        <f t="shared" si="110"/>
        <v>40</v>
      </c>
      <c r="F194" s="138">
        <f t="shared" si="111"/>
        <v>0</v>
      </c>
      <c r="G194" s="138">
        <f t="shared" si="112"/>
        <v>230</v>
      </c>
      <c r="H194" s="138">
        <f t="shared" si="113"/>
        <v>0</v>
      </c>
      <c r="I194" s="138">
        <f t="shared" si="114"/>
        <v>52</v>
      </c>
      <c r="J194" s="138">
        <f t="shared" si="115"/>
        <v>0</v>
      </c>
      <c r="K194" s="138">
        <f t="shared" si="116"/>
        <v>174</v>
      </c>
      <c r="L194" s="138">
        <f t="shared" si="117"/>
        <v>0</v>
      </c>
      <c r="M194" s="138">
        <f t="shared" si="118"/>
        <v>64</v>
      </c>
      <c r="N194" s="138">
        <f t="shared" si="119"/>
        <v>0</v>
      </c>
      <c r="O194" s="138">
        <f>C194+E194+G194+I194+K194+M194</f>
        <v>594</v>
      </c>
      <c r="P194" s="9" t="s">
        <v>10</v>
      </c>
      <c r="Q194" s="141"/>
      <c r="R194" s="137">
        <f>O194*Q194</f>
        <v>0</v>
      </c>
      <c r="T194" s="142">
        <v>11</v>
      </c>
      <c r="U194" s="142">
        <v>6</v>
      </c>
    </row>
    <row r="195" spans="1:21" x14ac:dyDescent="0.2">
      <c r="A195" s="139"/>
      <c r="B195" s="82"/>
      <c r="C195" s="138">
        <f t="shared" si="108"/>
        <v>0</v>
      </c>
      <c r="D195" s="138">
        <f t="shared" si="109"/>
        <v>0</v>
      </c>
      <c r="E195" s="138">
        <f t="shared" si="110"/>
        <v>0</v>
      </c>
      <c r="F195" s="138">
        <f t="shared" si="111"/>
        <v>0</v>
      </c>
      <c r="G195" s="138">
        <f t="shared" si="112"/>
        <v>0</v>
      </c>
      <c r="H195" s="138">
        <f t="shared" si="113"/>
        <v>0</v>
      </c>
      <c r="I195" s="138">
        <f t="shared" si="114"/>
        <v>0</v>
      </c>
      <c r="J195" s="138">
        <f t="shared" si="115"/>
        <v>0</v>
      </c>
      <c r="K195" s="138">
        <f t="shared" si="116"/>
        <v>0</v>
      </c>
      <c r="L195" s="138">
        <f t="shared" si="117"/>
        <v>0</v>
      </c>
      <c r="M195" s="138">
        <f t="shared" si="118"/>
        <v>0</v>
      </c>
      <c r="N195" s="138">
        <f t="shared" si="119"/>
        <v>0</v>
      </c>
      <c r="O195" s="138">
        <f t="shared" si="120"/>
        <v>0</v>
      </c>
      <c r="P195" s="154"/>
      <c r="Q195" s="141"/>
      <c r="R195" s="137"/>
    </row>
    <row r="196" spans="1:21" x14ac:dyDescent="0.2">
      <c r="A196" s="1" t="s">
        <v>71</v>
      </c>
      <c r="B196" s="83" t="s">
        <v>185</v>
      </c>
      <c r="C196" s="138">
        <f t="shared" si="108"/>
        <v>12</v>
      </c>
      <c r="D196" s="138">
        <f t="shared" si="109"/>
        <v>0</v>
      </c>
      <c r="E196" s="138">
        <f t="shared" si="110"/>
        <v>15</v>
      </c>
      <c r="F196" s="138">
        <f t="shared" si="111"/>
        <v>0</v>
      </c>
      <c r="G196" s="138">
        <f t="shared" si="112"/>
        <v>90</v>
      </c>
      <c r="H196" s="138">
        <f t="shared" si="113"/>
        <v>0</v>
      </c>
      <c r="I196" s="138">
        <f t="shared" si="114"/>
        <v>21</v>
      </c>
      <c r="J196" s="138">
        <f t="shared" si="115"/>
        <v>0</v>
      </c>
      <c r="K196" s="138">
        <f t="shared" si="116"/>
        <v>72</v>
      </c>
      <c r="L196" s="138">
        <f t="shared" si="117"/>
        <v>0</v>
      </c>
      <c r="M196" s="138">
        <f t="shared" si="118"/>
        <v>27</v>
      </c>
      <c r="N196" s="138">
        <f t="shared" si="119"/>
        <v>0</v>
      </c>
      <c r="O196" s="138">
        <f>C196+E196+G196+I196+K196+M196</f>
        <v>237</v>
      </c>
      <c r="P196" s="9" t="s">
        <v>10</v>
      </c>
      <c r="Q196" s="141"/>
      <c r="R196" s="137">
        <f>O196*Q196</f>
        <v>0</v>
      </c>
      <c r="T196" s="142">
        <v>3</v>
      </c>
      <c r="U196" s="142">
        <v>3</v>
      </c>
    </row>
    <row r="197" spans="1:21" x14ac:dyDescent="0.2">
      <c r="A197" s="139"/>
      <c r="B197" s="23"/>
      <c r="C197" s="138">
        <f t="shared" ref="C197:C204" si="122">ROUND((2*$T197+2*$U197)*C$3,0)</f>
        <v>0</v>
      </c>
      <c r="D197" s="138">
        <f t="shared" ref="D197:D204" si="123">C197*$Q197</f>
        <v>0</v>
      </c>
      <c r="E197" s="138">
        <f t="shared" ref="E197:E204" si="124">ROUND((2*$T197+3*$U197)*E$3,0)</f>
        <v>0</v>
      </c>
      <c r="F197" s="138">
        <f t="shared" ref="F197:F204" si="125">E197*$Q197</f>
        <v>0</v>
      </c>
      <c r="G197" s="138">
        <f t="shared" ref="G197:G204" si="126">ROUND((2*$T197+4*$U197)*G$3,0)</f>
        <v>0</v>
      </c>
      <c r="H197" s="138">
        <f t="shared" ref="H197:H204" si="127">G197*$Q197</f>
        <v>0</v>
      </c>
      <c r="I197" s="138">
        <f t="shared" ref="I197:I204" si="128">ROUND((2*$T197+5*$U197)*I$3,0)</f>
        <v>0</v>
      </c>
      <c r="J197" s="138">
        <f t="shared" ref="J197:J204" si="129">I197*$Q197</f>
        <v>0</v>
      </c>
      <c r="K197" s="138">
        <f t="shared" ref="K197:K204" si="130">ROUND((2*$T197+6*$U197)*K$3,0)</f>
        <v>0</v>
      </c>
      <c r="L197" s="138">
        <f t="shared" ref="L197:L204" si="131">K197*$Q197</f>
        <v>0</v>
      </c>
      <c r="M197" s="138">
        <f t="shared" ref="M197:M204" si="132">ROUND((2*$T197+7*$U197)*M$3,0)</f>
        <v>0</v>
      </c>
      <c r="N197" s="138">
        <f t="shared" ref="N197:N204" si="133">M197*$Q197</f>
        <v>0</v>
      </c>
      <c r="O197" s="138">
        <f t="shared" ref="O197:O198" si="134">C197+E197+G197+I197+K197+M197</f>
        <v>0</v>
      </c>
      <c r="P197" s="154"/>
      <c r="Q197" s="141"/>
      <c r="R197" s="137"/>
    </row>
    <row r="198" spans="1:21" x14ac:dyDescent="0.2">
      <c r="A198" s="139"/>
      <c r="B198" s="160" t="s">
        <v>41</v>
      </c>
      <c r="C198" s="138">
        <f t="shared" si="122"/>
        <v>0</v>
      </c>
      <c r="D198" s="138">
        <f t="shared" si="123"/>
        <v>0</v>
      </c>
      <c r="E198" s="138">
        <f t="shared" si="124"/>
        <v>0</v>
      </c>
      <c r="F198" s="138">
        <f t="shared" si="125"/>
        <v>0</v>
      </c>
      <c r="G198" s="138">
        <f t="shared" si="126"/>
        <v>0</v>
      </c>
      <c r="H198" s="138">
        <f t="shared" si="127"/>
        <v>0</v>
      </c>
      <c r="I198" s="138">
        <f t="shared" si="128"/>
        <v>0</v>
      </c>
      <c r="J198" s="138">
        <f t="shared" si="129"/>
        <v>0</v>
      </c>
      <c r="K198" s="138">
        <f t="shared" si="130"/>
        <v>0</v>
      </c>
      <c r="L198" s="138">
        <f t="shared" si="131"/>
        <v>0</v>
      </c>
      <c r="M198" s="138">
        <f t="shared" si="132"/>
        <v>0</v>
      </c>
      <c r="N198" s="138">
        <f t="shared" si="133"/>
        <v>0</v>
      </c>
      <c r="O198" s="138">
        <f t="shared" si="134"/>
        <v>0</v>
      </c>
      <c r="P198" s="154"/>
      <c r="Q198" s="141"/>
      <c r="R198" s="137"/>
    </row>
    <row r="199" spans="1:21" x14ac:dyDescent="0.2">
      <c r="A199" s="139"/>
      <c r="B199" s="112"/>
      <c r="C199" s="138">
        <f t="shared" si="122"/>
        <v>0</v>
      </c>
      <c r="D199" s="138">
        <f t="shared" si="123"/>
        <v>0</v>
      </c>
      <c r="E199" s="138">
        <f t="shared" si="124"/>
        <v>0</v>
      </c>
      <c r="F199" s="138">
        <f t="shared" si="125"/>
        <v>0</v>
      </c>
      <c r="G199" s="138">
        <f t="shared" si="126"/>
        <v>0</v>
      </c>
      <c r="H199" s="138">
        <f t="shared" si="127"/>
        <v>0</v>
      </c>
      <c r="I199" s="138">
        <f t="shared" si="128"/>
        <v>0</v>
      </c>
      <c r="J199" s="138">
        <f t="shared" si="129"/>
        <v>0</v>
      </c>
      <c r="K199" s="138">
        <f t="shared" si="130"/>
        <v>0</v>
      </c>
      <c r="L199" s="138">
        <f t="shared" si="131"/>
        <v>0</v>
      </c>
      <c r="M199" s="138">
        <f t="shared" si="132"/>
        <v>0</v>
      </c>
      <c r="N199" s="138">
        <f t="shared" si="133"/>
        <v>0</v>
      </c>
      <c r="O199" s="138">
        <f t="shared" ref="O199:O203" si="135">C199+E199+G199+I199+K199+M199</f>
        <v>0</v>
      </c>
      <c r="P199" s="154"/>
      <c r="Q199" s="141"/>
      <c r="R199" s="137"/>
    </row>
    <row r="200" spans="1:21" ht="42.75" x14ac:dyDescent="0.2">
      <c r="A200" s="139"/>
      <c r="B200" s="80" t="s">
        <v>516</v>
      </c>
      <c r="C200" s="138">
        <f t="shared" si="122"/>
        <v>0</v>
      </c>
      <c r="D200" s="138">
        <f t="shared" si="123"/>
        <v>0</v>
      </c>
      <c r="E200" s="138">
        <f t="shared" si="124"/>
        <v>0</v>
      </c>
      <c r="F200" s="138">
        <f t="shared" si="125"/>
        <v>0</v>
      </c>
      <c r="G200" s="138">
        <f t="shared" si="126"/>
        <v>0</v>
      </c>
      <c r="H200" s="138">
        <f t="shared" si="127"/>
        <v>0</v>
      </c>
      <c r="I200" s="138">
        <f t="shared" si="128"/>
        <v>0</v>
      </c>
      <c r="J200" s="138">
        <f t="shared" si="129"/>
        <v>0</v>
      </c>
      <c r="K200" s="138">
        <f t="shared" si="130"/>
        <v>0</v>
      </c>
      <c r="L200" s="138">
        <f t="shared" si="131"/>
        <v>0</v>
      </c>
      <c r="M200" s="138">
        <f t="shared" si="132"/>
        <v>0</v>
      </c>
      <c r="N200" s="138">
        <f t="shared" si="133"/>
        <v>0</v>
      </c>
      <c r="O200" s="138">
        <f t="shared" si="135"/>
        <v>0</v>
      </c>
      <c r="P200" s="154"/>
      <c r="Q200" s="141"/>
      <c r="R200" s="137"/>
    </row>
    <row r="201" spans="1:21" x14ac:dyDescent="0.2">
      <c r="A201" s="139"/>
      <c r="B201" s="112"/>
      <c r="C201" s="138">
        <f t="shared" si="122"/>
        <v>0</v>
      </c>
      <c r="D201" s="138">
        <f t="shared" si="123"/>
        <v>0</v>
      </c>
      <c r="E201" s="138">
        <f t="shared" si="124"/>
        <v>0</v>
      </c>
      <c r="F201" s="138">
        <f t="shared" si="125"/>
        <v>0</v>
      </c>
      <c r="G201" s="138">
        <f t="shared" si="126"/>
        <v>0</v>
      </c>
      <c r="H201" s="138">
        <f t="shared" si="127"/>
        <v>0</v>
      </c>
      <c r="I201" s="138">
        <f t="shared" si="128"/>
        <v>0</v>
      </c>
      <c r="J201" s="138">
        <f t="shared" si="129"/>
        <v>0</v>
      </c>
      <c r="K201" s="138">
        <f t="shared" si="130"/>
        <v>0</v>
      </c>
      <c r="L201" s="138">
        <f t="shared" si="131"/>
        <v>0</v>
      </c>
      <c r="M201" s="138">
        <f t="shared" si="132"/>
        <v>0</v>
      </c>
      <c r="N201" s="138">
        <f t="shared" si="133"/>
        <v>0</v>
      </c>
      <c r="O201" s="138">
        <f t="shared" si="135"/>
        <v>0</v>
      </c>
      <c r="P201" s="9"/>
      <c r="Q201" s="141"/>
      <c r="R201" s="137"/>
    </row>
    <row r="202" spans="1:21" x14ac:dyDescent="0.2">
      <c r="A202" s="1" t="s">
        <v>72</v>
      </c>
      <c r="B202" s="83" t="s">
        <v>426</v>
      </c>
      <c r="C202" s="138">
        <f t="shared" si="122"/>
        <v>4</v>
      </c>
      <c r="D202" s="138">
        <f t="shared" si="123"/>
        <v>0</v>
      </c>
      <c r="E202" s="138">
        <f t="shared" si="124"/>
        <v>4</v>
      </c>
      <c r="F202" s="138">
        <f t="shared" si="125"/>
        <v>0</v>
      </c>
      <c r="G202" s="138">
        <f t="shared" si="126"/>
        <v>20</v>
      </c>
      <c r="H202" s="138">
        <f t="shared" si="127"/>
        <v>0</v>
      </c>
      <c r="I202" s="138">
        <f t="shared" si="128"/>
        <v>4</v>
      </c>
      <c r="J202" s="138">
        <f t="shared" si="129"/>
        <v>0</v>
      </c>
      <c r="K202" s="138">
        <f t="shared" si="130"/>
        <v>12</v>
      </c>
      <c r="L202" s="138">
        <f t="shared" si="131"/>
        <v>0</v>
      </c>
      <c r="M202" s="138">
        <f t="shared" si="132"/>
        <v>4</v>
      </c>
      <c r="N202" s="138">
        <f t="shared" si="133"/>
        <v>0</v>
      </c>
      <c r="O202" s="138">
        <f>C202+E202+G202+I202+K202+M202</f>
        <v>48</v>
      </c>
      <c r="P202" s="9" t="s">
        <v>10</v>
      </c>
      <c r="Q202" s="141"/>
      <c r="R202" s="137">
        <f>O202*Q202</f>
        <v>0</v>
      </c>
      <c r="T202" s="142">
        <v>2</v>
      </c>
      <c r="U202" s="142">
        <v>0</v>
      </c>
    </row>
    <row r="203" spans="1:21" x14ac:dyDescent="0.2">
      <c r="A203" s="139"/>
      <c r="B203" s="82"/>
      <c r="C203" s="138">
        <f t="shared" si="122"/>
        <v>0</v>
      </c>
      <c r="D203" s="138">
        <f t="shared" si="123"/>
        <v>0</v>
      </c>
      <c r="E203" s="138">
        <f t="shared" si="124"/>
        <v>0</v>
      </c>
      <c r="F203" s="138">
        <f t="shared" si="125"/>
        <v>0</v>
      </c>
      <c r="G203" s="138">
        <f t="shared" si="126"/>
        <v>0</v>
      </c>
      <c r="H203" s="138">
        <f t="shared" si="127"/>
        <v>0</v>
      </c>
      <c r="I203" s="138">
        <f t="shared" si="128"/>
        <v>0</v>
      </c>
      <c r="J203" s="138">
        <f t="shared" si="129"/>
        <v>0</v>
      </c>
      <c r="K203" s="138">
        <f t="shared" si="130"/>
        <v>0</v>
      </c>
      <c r="L203" s="138">
        <f t="shared" si="131"/>
        <v>0</v>
      </c>
      <c r="M203" s="138">
        <f t="shared" si="132"/>
        <v>0</v>
      </c>
      <c r="N203" s="138">
        <f t="shared" si="133"/>
        <v>0</v>
      </c>
      <c r="O203" s="138">
        <f t="shared" si="135"/>
        <v>0</v>
      </c>
      <c r="P203" s="154"/>
      <c r="Q203" s="141"/>
      <c r="R203" s="137"/>
    </row>
    <row r="204" spans="1:21" x14ac:dyDescent="0.2">
      <c r="A204" s="1" t="s">
        <v>73</v>
      </c>
      <c r="B204" s="83" t="s">
        <v>517</v>
      </c>
      <c r="C204" s="138">
        <f t="shared" si="122"/>
        <v>4</v>
      </c>
      <c r="D204" s="138">
        <f t="shared" si="123"/>
        <v>0</v>
      </c>
      <c r="E204" s="138">
        <f t="shared" si="124"/>
        <v>4</v>
      </c>
      <c r="F204" s="138">
        <f t="shared" si="125"/>
        <v>0</v>
      </c>
      <c r="G204" s="138">
        <f t="shared" si="126"/>
        <v>20</v>
      </c>
      <c r="H204" s="138">
        <f t="shared" si="127"/>
        <v>0</v>
      </c>
      <c r="I204" s="138">
        <f t="shared" si="128"/>
        <v>4</v>
      </c>
      <c r="J204" s="138">
        <f t="shared" si="129"/>
        <v>0</v>
      </c>
      <c r="K204" s="138">
        <f t="shared" si="130"/>
        <v>12</v>
      </c>
      <c r="L204" s="138">
        <f t="shared" si="131"/>
        <v>0</v>
      </c>
      <c r="M204" s="138">
        <f t="shared" si="132"/>
        <v>4</v>
      </c>
      <c r="N204" s="138">
        <f t="shared" si="133"/>
        <v>0</v>
      </c>
      <c r="O204" s="138">
        <f>C204+E204+G204+I204+K204+M204</f>
        <v>48</v>
      </c>
      <c r="P204" s="9" t="s">
        <v>10</v>
      </c>
      <c r="Q204" s="141"/>
      <c r="R204" s="137">
        <f>O204*Q204</f>
        <v>0</v>
      </c>
      <c r="T204" s="142">
        <v>2</v>
      </c>
      <c r="U204" s="142">
        <v>0</v>
      </c>
    </row>
    <row r="205" spans="1:21" x14ac:dyDescent="0.2">
      <c r="A205" s="1"/>
      <c r="B205" s="83"/>
      <c r="C205" s="138"/>
      <c r="D205" s="138"/>
      <c r="E205" s="138"/>
      <c r="F205" s="138"/>
      <c r="G205" s="138"/>
      <c r="H205" s="138"/>
      <c r="I205" s="138"/>
      <c r="J205" s="138"/>
      <c r="K205" s="138"/>
      <c r="L205" s="138"/>
      <c r="M205" s="138"/>
      <c r="N205" s="138"/>
      <c r="O205" s="138"/>
      <c r="P205" s="9"/>
      <c r="Q205" s="141"/>
      <c r="R205" s="137"/>
    </row>
    <row r="206" spans="1:21" x14ac:dyDescent="0.2">
      <c r="A206" s="1"/>
      <c r="B206" s="83"/>
      <c r="C206" s="138"/>
      <c r="D206" s="138"/>
      <c r="E206" s="138"/>
      <c r="F206" s="138"/>
      <c r="G206" s="138"/>
      <c r="H206" s="138"/>
      <c r="I206" s="138"/>
      <c r="J206" s="138"/>
      <c r="K206" s="138"/>
      <c r="L206" s="138"/>
      <c r="M206" s="138"/>
      <c r="N206" s="138"/>
      <c r="O206" s="138"/>
      <c r="P206" s="9"/>
      <c r="Q206" s="141"/>
      <c r="R206" s="137"/>
    </row>
    <row r="207" spans="1:21" x14ac:dyDescent="0.2">
      <c r="A207" s="1"/>
      <c r="B207" s="83"/>
      <c r="C207" s="138"/>
      <c r="D207" s="138"/>
      <c r="E207" s="138"/>
      <c r="F207" s="138"/>
      <c r="G207" s="138"/>
      <c r="H207" s="138"/>
      <c r="I207" s="138"/>
      <c r="J207" s="138"/>
      <c r="K207" s="138"/>
      <c r="L207" s="138"/>
      <c r="M207" s="138"/>
      <c r="N207" s="138"/>
      <c r="O207" s="138"/>
      <c r="P207" s="9"/>
      <c r="Q207" s="141"/>
      <c r="R207" s="137"/>
    </row>
    <row r="208" spans="1:21" x14ac:dyDescent="0.2">
      <c r="A208" s="1"/>
      <c r="B208" s="83"/>
      <c r="C208" s="138"/>
      <c r="D208" s="138"/>
      <c r="E208" s="138"/>
      <c r="F208" s="138"/>
      <c r="G208" s="138"/>
      <c r="H208" s="138"/>
      <c r="I208" s="138"/>
      <c r="J208" s="138"/>
      <c r="K208" s="138"/>
      <c r="L208" s="138"/>
      <c r="M208" s="138"/>
      <c r="N208" s="138"/>
      <c r="O208" s="138"/>
      <c r="P208" s="9"/>
      <c r="Q208" s="141"/>
      <c r="R208" s="137"/>
    </row>
    <row r="209" spans="1:21" x14ac:dyDescent="0.2">
      <c r="A209" s="1"/>
      <c r="B209" s="83"/>
      <c r="C209" s="138"/>
      <c r="D209" s="138"/>
      <c r="E209" s="138"/>
      <c r="F209" s="138"/>
      <c r="G209" s="138"/>
      <c r="H209" s="138"/>
      <c r="I209" s="138"/>
      <c r="J209" s="138"/>
      <c r="K209" s="138"/>
      <c r="L209" s="138"/>
      <c r="M209" s="138"/>
      <c r="N209" s="138"/>
      <c r="O209" s="138"/>
      <c r="P209" s="9"/>
      <c r="Q209" s="141"/>
      <c r="R209" s="137"/>
    </row>
    <row r="210" spans="1:21" x14ac:dyDescent="0.2">
      <c r="A210" s="1"/>
      <c r="B210" s="83"/>
      <c r="C210" s="138"/>
      <c r="D210" s="138"/>
      <c r="E210" s="138"/>
      <c r="F210" s="138"/>
      <c r="G210" s="138"/>
      <c r="H210" s="138"/>
      <c r="I210" s="138"/>
      <c r="J210" s="138"/>
      <c r="K210" s="138"/>
      <c r="L210" s="138"/>
      <c r="M210" s="138"/>
      <c r="N210" s="138"/>
      <c r="O210" s="138"/>
      <c r="P210" s="9"/>
      <c r="Q210" s="141"/>
      <c r="R210" s="137"/>
    </row>
    <row r="211" spans="1:21" x14ac:dyDescent="0.2">
      <c r="A211" s="1"/>
      <c r="B211" s="83"/>
      <c r="C211" s="138"/>
      <c r="D211" s="138"/>
      <c r="E211" s="138"/>
      <c r="F211" s="138"/>
      <c r="G211" s="138"/>
      <c r="H211" s="138"/>
      <c r="I211" s="138"/>
      <c r="J211" s="138"/>
      <c r="K211" s="138"/>
      <c r="L211" s="138"/>
      <c r="M211" s="138"/>
      <c r="N211" s="138"/>
      <c r="O211" s="138"/>
      <c r="P211" s="9"/>
      <c r="Q211" s="141"/>
      <c r="R211" s="137"/>
    </row>
    <row r="212" spans="1:21" x14ac:dyDescent="0.2">
      <c r="A212" s="1"/>
      <c r="B212" s="83"/>
      <c r="C212" s="138"/>
      <c r="D212" s="138"/>
      <c r="E212" s="138"/>
      <c r="F212" s="138"/>
      <c r="G212" s="138"/>
      <c r="H212" s="138"/>
      <c r="I212" s="138"/>
      <c r="J212" s="138"/>
      <c r="K212" s="138"/>
      <c r="L212" s="138"/>
      <c r="M212" s="138"/>
      <c r="N212" s="138"/>
      <c r="O212" s="138"/>
      <c r="P212" s="9"/>
      <c r="Q212" s="141"/>
      <c r="R212" s="137"/>
    </row>
    <row r="213" spans="1:21" x14ac:dyDescent="0.2">
      <c r="A213" s="1"/>
      <c r="B213" s="83"/>
      <c r="C213" s="138"/>
      <c r="D213" s="138"/>
      <c r="E213" s="138"/>
      <c r="F213" s="138"/>
      <c r="G213" s="138"/>
      <c r="H213" s="138"/>
      <c r="I213" s="138"/>
      <c r="J213" s="138"/>
      <c r="K213" s="138"/>
      <c r="L213" s="138"/>
      <c r="M213" s="138"/>
      <c r="N213" s="138"/>
      <c r="O213" s="138"/>
      <c r="P213" s="9"/>
      <c r="Q213" s="141"/>
      <c r="R213" s="137"/>
    </row>
    <row r="214" spans="1:21" x14ac:dyDescent="0.2">
      <c r="A214" s="1"/>
      <c r="B214" s="83"/>
      <c r="C214" s="138"/>
      <c r="D214" s="138"/>
      <c r="E214" s="138"/>
      <c r="F214" s="138"/>
      <c r="G214" s="138"/>
      <c r="H214" s="138"/>
      <c r="I214" s="138"/>
      <c r="J214" s="138"/>
      <c r="K214" s="138"/>
      <c r="L214" s="138"/>
      <c r="M214" s="138"/>
      <c r="N214" s="138"/>
      <c r="O214" s="138"/>
      <c r="P214" s="9"/>
      <c r="Q214" s="141"/>
      <c r="R214" s="137"/>
    </row>
    <row r="215" spans="1:21" x14ac:dyDescent="0.2">
      <c r="A215" s="1"/>
      <c r="B215" s="162"/>
      <c r="C215" s="138">
        <f t="shared" si="108"/>
        <v>0</v>
      </c>
      <c r="D215" s="138">
        <f t="shared" si="109"/>
        <v>0</v>
      </c>
      <c r="E215" s="138">
        <f t="shared" si="110"/>
        <v>0</v>
      </c>
      <c r="F215" s="138">
        <f t="shared" si="111"/>
        <v>0</v>
      </c>
      <c r="G215" s="138">
        <f t="shared" si="112"/>
        <v>0</v>
      </c>
      <c r="H215" s="138">
        <f t="shared" si="113"/>
        <v>0</v>
      </c>
      <c r="I215" s="138">
        <f t="shared" si="114"/>
        <v>0</v>
      </c>
      <c r="J215" s="138">
        <f t="shared" si="115"/>
        <v>0</v>
      </c>
      <c r="K215" s="138">
        <f t="shared" si="116"/>
        <v>0</v>
      </c>
      <c r="L215" s="138">
        <f t="shared" si="117"/>
        <v>0</v>
      </c>
      <c r="M215" s="138">
        <f t="shared" si="118"/>
        <v>0</v>
      </c>
      <c r="N215" s="138">
        <f t="shared" si="119"/>
        <v>0</v>
      </c>
      <c r="O215" s="138">
        <f t="shared" si="120"/>
        <v>0</v>
      </c>
      <c r="P215" s="113"/>
      <c r="Q215" s="141"/>
      <c r="R215" s="137"/>
    </row>
    <row r="216" spans="1:21" x14ac:dyDescent="0.2">
      <c r="A216" s="127"/>
      <c r="B216" s="136"/>
      <c r="C216" s="128"/>
      <c r="D216" s="120"/>
      <c r="E216" s="120"/>
      <c r="F216" s="120"/>
      <c r="G216" s="120"/>
      <c r="H216" s="120"/>
      <c r="I216" s="120"/>
      <c r="J216" s="120"/>
      <c r="K216" s="120"/>
      <c r="L216" s="120"/>
      <c r="M216" s="120"/>
      <c r="N216" s="120"/>
      <c r="O216" s="120"/>
      <c r="P216" s="154"/>
      <c r="Q216" s="141"/>
      <c r="R216" s="137"/>
      <c r="T216" s="52"/>
      <c r="U216" s="52"/>
    </row>
    <row r="217" spans="1:21" x14ac:dyDescent="0.2">
      <c r="A217" s="129"/>
      <c r="B217" s="130"/>
      <c r="C217" s="131"/>
      <c r="D217" s="131"/>
      <c r="E217" s="131"/>
      <c r="F217" s="131"/>
      <c r="G217" s="131"/>
      <c r="H217" s="131"/>
      <c r="I217" s="131"/>
      <c r="J217" s="131"/>
      <c r="K217" s="131"/>
      <c r="L217" s="131"/>
      <c r="M217" s="131"/>
      <c r="N217" s="131"/>
      <c r="O217" s="131"/>
      <c r="P217" s="131"/>
      <c r="Q217" s="132"/>
      <c r="R217" s="126"/>
      <c r="T217" s="134"/>
      <c r="U217" s="134"/>
    </row>
    <row r="218" spans="1:21" x14ac:dyDescent="0.2">
      <c r="C218" s="122"/>
      <c r="D218" s="122"/>
      <c r="E218" s="122"/>
      <c r="F218" s="122"/>
      <c r="G218" s="122"/>
      <c r="H218" s="122"/>
      <c r="I218" s="122"/>
      <c r="J218" s="122"/>
      <c r="K218" s="122"/>
      <c r="L218" s="122"/>
      <c r="M218" s="122"/>
      <c r="N218" s="122"/>
      <c r="O218" s="122"/>
      <c r="P218" s="171" t="s">
        <v>1</v>
      </c>
      <c r="Q218" s="133" t="s">
        <v>0</v>
      </c>
      <c r="R218" s="137">
        <f>SUM(R177:R216)</f>
        <v>0</v>
      </c>
      <c r="T218" s="135"/>
      <c r="U218" s="135"/>
    </row>
    <row r="219" spans="1:21" x14ac:dyDescent="0.2">
      <c r="P219" s="188"/>
      <c r="Q219" s="124"/>
      <c r="R219" s="125"/>
    </row>
    <row r="220" spans="1:21" x14ac:dyDescent="0.2">
      <c r="A220" s="1"/>
      <c r="B220" s="12"/>
      <c r="C220" s="138"/>
      <c r="D220" s="138"/>
      <c r="E220" s="138"/>
      <c r="F220" s="138"/>
      <c r="G220" s="138"/>
      <c r="H220" s="138"/>
      <c r="I220" s="138"/>
      <c r="J220" s="138"/>
      <c r="K220" s="138"/>
      <c r="L220" s="138"/>
      <c r="M220" s="138"/>
      <c r="N220" s="138"/>
      <c r="O220" s="138"/>
      <c r="P220" s="9"/>
      <c r="Q220" s="141"/>
      <c r="R220" s="128"/>
    </row>
    <row r="221" spans="1:21" x14ac:dyDescent="0.2">
      <c r="A221" s="139"/>
      <c r="B221" s="80" t="s">
        <v>47</v>
      </c>
      <c r="C221" s="128"/>
      <c r="D221" s="120"/>
      <c r="E221" s="120"/>
      <c r="F221" s="120"/>
      <c r="G221" s="120"/>
      <c r="H221" s="120"/>
      <c r="I221" s="120"/>
      <c r="J221" s="120"/>
      <c r="K221" s="120"/>
      <c r="L221" s="120"/>
      <c r="M221" s="120"/>
      <c r="N221" s="120"/>
      <c r="O221" s="120"/>
      <c r="P221" s="154"/>
      <c r="Q221" s="141"/>
      <c r="R221" s="137"/>
    </row>
    <row r="222" spans="1:21" x14ac:dyDescent="0.2">
      <c r="A222" s="139"/>
      <c r="B222" s="80"/>
      <c r="C222" s="128"/>
      <c r="D222" s="120"/>
      <c r="E222" s="120"/>
      <c r="F222" s="120"/>
      <c r="G222" s="120"/>
      <c r="H222" s="120"/>
      <c r="I222" s="120"/>
      <c r="J222" s="120"/>
      <c r="K222" s="120"/>
      <c r="L222" s="120"/>
      <c r="M222" s="120"/>
      <c r="N222" s="120"/>
      <c r="O222" s="120"/>
      <c r="P222" s="154"/>
      <c r="Q222" s="141"/>
      <c r="R222" s="137"/>
    </row>
    <row r="223" spans="1:21" x14ac:dyDescent="0.2">
      <c r="A223" s="139"/>
      <c r="B223" s="160" t="s">
        <v>40</v>
      </c>
      <c r="C223" s="138">
        <f t="shared" ref="C223:C257" si="136">ROUND((2*$T223+2*$U223)*C$3,0)</f>
        <v>0</v>
      </c>
      <c r="D223" s="138">
        <f t="shared" ref="D223:D257" si="137">C223*$Q223</f>
        <v>0</v>
      </c>
      <c r="E223" s="138">
        <f t="shared" ref="E223:E257" si="138">ROUND((2*$T223+3*$U223)*E$3,0)</f>
        <v>0</v>
      </c>
      <c r="F223" s="138">
        <f t="shared" ref="F223:F257" si="139">E223*$Q223</f>
        <v>0</v>
      </c>
      <c r="G223" s="138">
        <f t="shared" ref="G223:G257" si="140">ROUND((2*$T223+4*$U223)*G$3,0)</f>
        <v>0</v>
      </c>
      <c r="H223" s="138">
        <f t="shared" ref="H223:H257" si="141">G223*$Q223</f>
        <v>0</v>
      </c>
      <c r="I223" s="138">
        <f t="shared" ref="I223:I257" si="142">ROUND((2*$T223+5*$U223)*I$3,0)</f>
        <v>0</v>
      </c>
      <c r="J223" s="138">
        <f t="shared" ref="J223:J257" si="143">I223*$Q223</f>
        <v>0</v>
      </c>
      <c r="K223" s="138">
        <f t="shared" ref="K223:K257" si="144">ROUND((2*$T223+6*$U223)*K$3,0)</f>
        <v>0</v>
      </c>
      <c r="L223" s="138">
        <f t="shared" ref="L223:L257" si="145">K223*$Q223</f>
        <v>0</v>
      </c>
      <c r="M223" s="138">
        <f t="shared" ref="M223:M257" si="146">ROUND((2*$T223+7*$U223)*M$3,0)</f>
        <v>0</v>
      </c>
      <c r="N223" s="138">
        <f t="shared" ref="N223:N257" si="147">M223*$Q223</f>
        <v>0</v>
      </c>
      <c r="O223" s="138">
        <f t="shared" ref="O223:O257" si="148">C223+E223+G223+I223+K223+M223</f>
        <v>0</v>
      </c>
      <c r="P223" s="154"/>
      <c r="Q223" s="141"/>
      <c r="R223" s="137"/>
    </row>
    <row r="224" spans="1:21" x14ac:dyDescent="0.2">
      <c r="A224" s="1"/>
      <c r="B224" s="12"/>
      <c r="C224" s="138">
        <f t="shared" si="136"/>
        <v>0</v>
      </c>
      <c r="D224" s="138">
        <f t="shared" si="137"/>
        <v>0</v>
      </c>
      <c r="E224" s="138">
        <f t="shared" si="138"/>
        <v>0</v>
      </c>
      <c r="F224" s="138">
        <f t="shared" si="139"/>
        <v>0</v>
      </c>
      <c r="G224" s="138">
        <f t="shared" si="140"/>
        <v>0</v>
      </c>
      <c r="H224" s="138">
        <f t="shared" si="141"/>
        <v>0</v>
      </c>
      <c r="I224" s="138">
        <f t="shared" si="142"/>
        <v>0</v>
      </c>
      <c r="J224" s="138">
        <f t="shared" si="143"/>
        <v>0</v>
      </c>
      <c r="K224" s="138">
        <f t="shared" si="144"/>
        <v>0</v>
      </c>
      <c r="L224" s="138">
        <f t="shared" si="145"/>
        <v>0</v>
      </c>
      <c r="M224" s="138">
        <f t="shared" si="146"/>
        <v>0</v>
      </c>
      <c r="N224" s="138">
        <f t="shared" si="147"/>
        <v>0</v>
      </c>
      <c r="O224" s="138">
        <f t="shared" si="148"/>
        <v>0</v>
      </c>
      <c r="P224" s="154"/>
      <c r="Q224" s="141"/>
      <c r="R224" s="137"/>
    </row>
    <row r="225" spans="1:22" ht="28.5" x14ac:dyDescent="0.2">
      <c r="A225" s="1"/>
      <c r="B225" s="111" t="s">
        <v>395</v>
      </c>
      <c r="C225" s="138">
        <f t="shared" si="136"/>
        <v>0</v>
      </c>
      <c r="D225" s="138">
        <f t="shared" si="137"/>
        <v>0</v>
      </c>
      <c r="E225" s="138">
        <f t="shared" si="138"/>
        <v>0</v>
      </c>
      <c r="F225" s="138">
        <f t="shared" si="139"/>
        <v>0</v>
      </c>
      <c r="G225" s="138">
        <f t="shared" si="140"/>
        <v>0</v>
      </c>
      <c r="H225" s="138">
        <f t="shared" si="141"/>
        <v>0</v>
      </c>
      <c r="I225" s="138">
        <f t="shared" si="142"/>
        <v>0</v>
      </c>
      <c r="J225" s="138">
        <f t="shared" si="143"/>
        <v>0</v>
      </c>
      <c r="K225" s="138">
        <f t="shared" si="144"/>
        <v>0</v>
      </c>
      <c r="L225" s="138">
        <f t="shared" si="145"/>
        <v>0</v>
      </c>
      <c r="M225" s="138">
        <f t="shared" si="146"/>
        <v>0</v>
      </c>
      <c r="N225" s="138">
        <f t="shared" si="147"/>
        <v>0</v>
      </c>
      <c r="O225" s="138">
        <f t="shared" si="148"/>
        <v>0</v>
      </c>
      <c r="P225" s="9"/>
      <c r="Q225" s="141"/>
      <c r="R225" s="137"/>
    </row>
    <row r="226" spans="1:22" x14ac:dyDescent="0.2">
      <c r="A226" s="1"/>
      <c r="B226" s="12"/>
      <c r="C226" s="138">
        <f t="shared" si="136"/>
        <v>0</v>
      </c>
      <c r="D226" s="138">
        <f t="shared" si="137"/>
        <v>0</v>
      </c>
      <c r="E226" s="138">
        <f t="shared" si="138"/>
        <v>0</v>
      </c>
      <c r="F226" s="138">
        <f t="shared" si="139"/>
        <v>0</v>
      </c>
      <c r="G226" s="138">
        <f t="shared" si="140"/>
        <v>0</v>
      </c>
      <c r="H226" s="138">
        <f t="shared" si="141"/>
        <v>0</v>
      </c>
      <c r="I226" s="138">
        <f t="shared" si="142"/>
        <v>0</v>
      </c>
      <c r="J226" s="138">
        <f t="shared" si="143"/>
        <v>0</v>
      </c>
      <c r="K226" s="138">
        <f t="shared" si="144"/>
        <v>0</v>
      </c>
      <c r="L226" s="138">
        <f t="shared" si="145"/>
        <v>0</v>
      </c>
      <c r="M226" s="138">
        <f t="shared" si="146"/>
        <v>0</v>
      </c>
      <c r="N226" s="138">
        <f t="shared" si="147"/>
        <v>0</v>
      </c>
      <c r="O226" s="138">
        <f t="shared" si="148"/>
        <v>0</v>
      </c>
      <c r="P226" s="154"/>
      <c r="Q226" s="141"/>
      <c r="R226" s="137"/>
    </row>
    <row r="227" spans="1:22" x14ac:dyDescent="0.2">
      <c r="A227" s="139" t="s">
        <v>66</v>
      </c>
      <c r="B227" s="454" t="s">
        <v>895</v>
      </c>
      <c r="C227" s="138">
        <f t="shared" si="136"/>
        <v>304</v>
      </c>
      <c r="D227" s="138">
        <f t="shared" si="137"/>
        <v>0</v>
      </c>
      <c r="E227" s="138">
        <f t="shared" si="138"/>
        <v>371</v>
      </c>
      <c r="F227" s="138">
        <f t="shared" si="139"/>
        <v>0</v>
      </c>
      <c r="G227" s="138">
        <f t="shared" si="140"/>
        <v>2190</v>
      </c>
      <c r="H227" s="138">
        <f t="shared" si="141"/>
        <v>0</v>
      </c>
      <c r="I227" s="138">
        <f t="shared" si="142"/>
        <v>505</v>
      </c>
      <c r="J227" s="138">
        <f t="shared" si="143"/>
        <v>0</v>
      </c>
      <c r="K227" s="138">
        <f t="shared" si="144"/>
        <v>1716</v>
      </c>
      <c r="L227" s="138">
        <f t="shared" si="145"/>
        <v>0</v>
      </c>
      <c r="M227" s="138">
        <f t="shared" si="146"/>
        <v>639</v>
      </c>
      <c r="N227" s="138">
        <f t="shared" si="147"/>
        <v>0</v>
      </c>
      <c r="O227" s="138">
        <f>C227+E227+G227+I227+K227+M227</f>
        <v>5725</v>
      </c>
      <c r="P227" s="9" t="s">
        <v>10</v>
      </c>
      <c r="Q227" s="141"/>
      <c r="R227" s="137">
        <f>O227*Q227</f>
        <v>0</v>
      </c>
      <c r="T227" s="142">
        <v>85</v>
      </c>
      <c r="U227" s="142">
        <v>67</v>
      </c>
    </row>
    <row r="228" spans="1:22" x14ac:dyDescent="0.2">
      <c r="A228" s="1"/>
      <c r="B228" s="12"/>
      <c r="C228" s="138">
        <f t="shared" si="136"/>
        <v>0</v>
      </c>
      <c r="D228" s="138">
        <f t="shared" si="137"/>
        <v>0</v>
      </c>
      <c r="E228" s="138">
        <f t="shared" si="138"/>
        <v>0</v>
      </c>
      <c r="F228" s="138">
        <f t="shared" si="139"/>
        <v>0</v>
      </c>
      <c r="G228" s="138">
        <f t="shared" si="140"/>
        <v>0</v>
      </c>
      <c r="H228" s="138">
        <f t="shared" si="141"/>
        <v>0</v>
      </c>
      <c r="I228" s="138">
        <f t="shared" si="142"/>
        <v>0</v>
      </c>
      <c r="J228" s="138">
        <f t="shared" si="143"/>
        <v>0</v>
      </c>
      <c r="K228" s="138">
        <f t="shared" si="144"/>
        <v>0</v>
      </c>
      <c r="L228" s="138">
        <f t="shared" si="145"/>
        <v>0</v>
      </c>
      <c r="M228" s="138">
        <f t="shared" si="146"/>
        <v>0</v>
      </c>
      <c r="N228" s="138">
        <f t="shared" si="147"/>
        <v>0</v>
      </c>
      <c r="O228" s="138">
        <f t="shared" si="148"/>
        <v>0</v>
      </c>
      <c r="P228" s="154"/>
      <c r="Q228" s="141"/>
      <c r="R228" s="137"/>
    </row>
    <row r="229" spans="1:22" x14ac:dyDescent="0.2">
      <c r="A229" s="139" t="s">
        <v>67</v>
      </c>
      <c r="B229" s="12" t="s">
        <v>396</v>
      </c>
      <c r="C229" s="138">
        <f t="shared" si="136"/>
        <v>246</v>
      </c>
      <c r="D229" s="138">
        <f t="shared" si="137"/>
        <v>0</v>
      </c>
      <c r="E229" s="138">
        <f t="shared" si="138"/>
        <v>310</v>
      </c>
      <c r="F229" s="138">
        <f t="shared" si="139"/>
        <v>0</v>
      </c>
      <c r="G229" s="138">
        <f t="shared" si="140"/>
        <v>1870</v>
      </c>
      <c r="H229" s="138">
        <f t="shared" si="141"/>
        <v>0</v>
      </c>
      <c r="I229" s="138">
        <f t="shared" si="142"/>
        <v>438</v>
      </c>
      <c r="J229" s="138">
        <f t="shared" si="143"/>
        <v>0</v>
      </c>
      <c r="K229" s="138">
        <f t="shared" si="144"/>
        <v>1506</v>
      </c>
      <c r="L229" s="138">
        <f t="shared" si="145"/>
        <v>0</v>
      </c>
      <c r="M229" s="138">
        <f t="shared" si="146"/>
        <v>566</v>
      </c>
      <c r="N229" s="138">
        <f t="shared" si="147"/>
        <v>0</v>
      </c>
      <c r="O229" s="138">
        <f>C229+E229+G229+I229+K229+M229</f>
        <v>4936</v>
      </c>
      <c r="P229" s="9" t="s">
        <v>10</v>
      </c>
      <c r="Q229" s="141"/>
      <c r="R229" s="137">
        <f>O229*Q229</f>
        <v>0</v>
      </c>
      <c r="T229" s="142">
        <v>59</v>
      </c>
      <c r="U229" s="142">
        <v>64</v>
      </c>
    </row>
    <row r="230" spans="1:22" x14ac:dyDescent="0.2">
      <c r="A230" s="1"/>
      <c r="B230" s="12"/>
      <c r="C230" s="138">
        <f t="shared" si="136"/>
        <v>0</v>
      </c>
      <c r="D230" s="138">
        <f t="shared" si="137"/>
        <v>0</v>
      </c>
      <c r="E230" s="138">
        <f t="shared" si="138"/>
        <v>0</v>
      </c>
      <c r="F230" s="138">
        <f t="shared" si="139"/>
        <v>0</v>
      </c>
      <c r="G230" s="138">
        <f t="shared" si="140"/>
        <v>0</v>
      </c>
      <c r="H230" s="138">
        <f t="shared" si="141"/>
        <v>0</v>
      </c>
      <c r="I230" s="138">
        <f t="shared" si="142"/>
        <v>0</v>
      </c>
      <c r="J230" s="138">
        <f t="shared" si="143"/>
        <v>0</v>
      </c>
      <c r="K230" s="138">
        <f t="shared" si="144"/>
        <v>0</v>
      </c>
      <c r="L230" s="138">
        <f t="shared" si="145"/>
        <v>0</v>
      </c>
      <c r="M230" s="138">
        <f t="shared" si="146"/>
        <v>0</v>
      </c>
      <c r="N230" s="138">
        <f t="shared" si="147"/>
        <v>0</v>
      </c>
      <c r="O230" s="138">
        <f t="shared" si="148"/>
        <v>0</v>
      </c>
      <c r="P230" s="154"/>
      <c r="Q230" s="141"/>
      <c r="R230" s="137"/>
    </row>
    <row r="231" spans="1:22" x14ac:dyDescent="0.2">
      <c r="A231" s="139" t="s">
        <v>68</v>
      </c>
      <c r="B231" s="12" t="s">
        <v>397</v>
      </c>
      <c r="C231" s="138">
        <f t="shared" si="136"/>
        <v>88</v>
      </c>
      <c r="D231" s="138">
        <f t="shared" si="137"/>
        <v>0</v>
      </c>
      <c r="E231" s="138">
        <f t="shared" si="138"/>
        <v>108</v>
      </c>
      <c r="F231" s="138">
        <f t="shared" si="139"/>
        <v>0</v>
      </c>
      <c r="G231" s="138">
        <f t="shared" si="140"/>
        <v>640</v>
      </c>
      <c r="H231" s="138">
        <f t="shared" si="141"/>
        <v>0</v>
      </c>
      <c r="I231" s="138">
        <f t="shared" si="142"/>
        <v>148</v>
      </c>
      <c r="J231" s="138">
        <f t="shared" si="143"/>
        <v>0</v>
      </c>
      <c r="K231" s="138">
        <f t="shared" si="144"/>
        <v>504</v>
      </c>
      <c r="L231" s="138">
        <f t="shared" si="145"/>
        <v>0</v>
      </c>
      <c r="M231" s="138">
        <f t="shared" si="146"/>
        <v>188</v>
      </c>
      <c r="N231" s="138">
        <f t="shared" si="147"/>
        <v>0</v>
      </c>
      <c r="O231" s="138">
        <f>C231+E231+G231+I231+K231+M231</f>
        <v>1676</v>
      </c>
      <c r="P231" s="9" t="s">
        <v>10</v>
      </c>
      <c r="Q231" s="141"/>
      <c r="R231" s="137">
        <f>O231*Q231</f>
        <v>0</v>
      </c>
      <c r="T231" s="142">
        <v>24</v>
      </c>
      <c r="U231" s="142">
        <v>20</v>
      </c>
    </row>
    <row r="232" spans="1:22" x14ac:dyDescent="0.2">
      <c r="A232" s="1"/>
      <c r="B232" s="12"/>
      <c r="C232" s="138">
        <f t="shared" si="136"/>
        <v>0</v>
      </c>
      <c r="D232" s="138">
        <f t="shared" si="137"/>
        <v>0</v>
      </c>
      <c r="E232" s="138">
        <f t="shared" si="138"/>
        <v>0</v>
      </c>
      <c r="F232" s="138">
        <f t="shared" si="139"/>
        <v>0</v>
      </c>
      <c r="G232" s="138">
        <f t="shared" si="140"/>
        <v>0</v>
      </c>
      <c r="H232" s="138">
        <f t="shared" si="141"/>
        <v>0</v>
      </c>
      <c r="I232" s="138">
        <f t="shared" si="142"/>
        <v>0</v>
      </c>
      <c r="J232" s="138">
        <f t="shared" si="143"/>
        <v>0</v>
      </c>
      <c r="K232" s="138">
        <f t="shared" si="144"/>
        <v>0</v>
      </c>
      <c r="L232" s="138">
        <f t="shared" si="145"/>
        <v>0</v>
      </c>
      <c r="M232" s="138">
        <f t="shared" si="146"/>
        <v>0</v>
      </c>
      <c r="N232" s="138">
        <f t="shared" si="147"/>
        <v>0</v>
      </c>
      <c r="O232" s="138">
        <f t="shared" si="148"/>
        <v>0</v>
      </c>
      <c r="P232" s="9"/>
      <c r="Q232" s="141"/>
      <c r="R232" s="137"/>
    </row>
    <row r="233" spans="1:22" x14ac:dyDescent="0.2">
      <c r="A233" s="1" t="s">
        <v>69</v>
      </c>
      <c r="B233" s="12" t="s">
        <v>398</v>
      </c>
      <c r="C233" s="488">
        <f t="shared" si="136"/>
        <v>1286</v>
      </c>
      <c r="D233" s="488">
        <f t="shared" si="137"/>
        <v>0</v>
      </c>
      <c r="E233" s="488">
        <f t="shared" si="138"/>
        <v>1576</v>
      </c>
      <c r="F233" s="488">
        <f t="shared" si="139"/>
        <v>0</v>
      </c>
      <c r="G233" s="488">
        <f t="shared" si="140"/>
        <v>9330</v>
      </c>
      <c r="H233" s="488">
        <f t="shared" si="141"/>
        <v>0</v>
      </c>
      <c r="I233" s="488">
        <f t="shared" si="142"/>
        <v>2156</v>
      </c>
      <c r="J233" s="488">
        <f t="shared" si="143"/>
        <v>0</v>
      </c>
      <c r="K233" s="488">
        <f t="shared" si="144"/>
        <v>7338</v>
      </c>
      <c r="L233" s="488">
        <f t="shared" si="145"/>
        <v>0</v>
      </c>
      <c r="M233" s="488">
        <f t="shared" si="146"/>
        <v>2736</v>
      </c>
      <c r="N233" s="488">
        <f t="shared" si="147"/>
        <v>0</v>
      </c>
      <c r="O233" s="488">
        <f>C233+E233+G233+I233+K233+M233</f>
        <v>24422</v>
      </c>
      <c r="P233" s="9" t="s">
        <v>10</v>
      </c>
      <c r="Q233" s="141"/>
      <c r="R233" s="137">
        <f>O233*Q233</f>
        <v>0</v>
      </c>
      <c r="T233" s="485">
        <v>353</v>
      </c>
      <c r="U233" s="485">
        <v>290</v>
      </c>
      <c r="V233" s="86"/>
    </row>
    <row r="234" spans="1:22" x14ac:dyDescent="0.2">
      <c r="A234" s="139"/>
      <c r="B234" s="112"/>
      <c r="C234" s="138">
        <f t="shared" si="136"/>
        <v>0</v>
      </c>
      <c r="D234" s="138">
        <f t="shared" si="137"/>
        <v>0</v>
      </c>
      <c r="E234" s="138">
        <f t="shared" si="138"/>
        <v>0</v>
      </c>
      <c r="F234" s="138">
        <f t="shared" si="139"/>
        <v>0</v>
      </c>
      <c r="G234" s="138">
        <f t="shared" si="140"/>
        <v>0</v>
      </c>
      <c r="H234" s="138">
        <f t="shared" si="141"/>
        <v>0</v>
      </c>
      <c r="I234" s="138">
        <f t="shared" si="142"/>
        <v>0</v>
      </c>
      <c r="J234" s="138">
        <f t="shared" si="143"/>
        <v>0</v>
      </c>
      <c r="K234" s="138">
        <f t="shared" si="144"/>
        <v>0</v>
      </c>
      <c r="L234" s="138">
        <f t="shared" si="145"/>
        <v>0</v>
      </c>
      <c r="M234" s="138">
        <f t="shared" si="146"/>
        <v>0</v>
      </c>
      <c r="N234" s="138">
        <f t="shared" si="147"/>
        <v>0</v>
      </c>
      <c r="O234" s="138">
        <f t="shared" si="148"/>
        <v>0</v>
      </c>
      <c r="P234" s="154"/>
      <c r="Q234" s="141"/>
      <c r="R234" s="137"/>
    </row>
    <row r="235" spans="1:22" ht="28.5" x14ac:dyDescent="0.2">
      <c r="A235" s="1"/>
      <c r="B235" s="111" t="s">
        <v>399</v>
      </c>
      <c r="C235" s="138">
        <f t="shared" si="136"/>
        <v>0</v>
      </c>
      <c r="D235" s="138">
        <f t="shared" si="137"/>
        <v>0</v>
      </c>
      <c r="E235" s="138">
        <f t="shared" si="138"/>
        <v>0</v>
      </c>
      <c r="F235" s="138">
        <f t="shared" si="139"/>
        <v>0</v>
      </c>
      <c r="G235" s="138">
        <f t="shared" si="140"/>
        <v>0</v>
      </c>
      <c r="H235" s="138">
        <f t="shared" si="141"/>
        <v>0</v>
      </c>
      <c r="I235" s="138">
        <f t="shared" si="142"/>
        <v>0</v>
      </c>
      <c r="J235" s="138">
        <f t="shared" si="143"/>
        <v>0</v>
      </c>
      <c r="K235" s="138">
        <f t="shared" si="144"/>
        <v>0</v>
      </c>
      <c r="L235" s="138">
        <f t="shared" si="145"/>
        <v>0</v>
      </c>
      <c r="M235" s="138">
        <f t="shared" si="146"/>
        <v>0</v>
      </c>
      <c r="N235" s="138">
        <f t="shared" si="147"/>
        <v>0</v>
      </c>
      <c r="O235" s="138">
        <f t="shared" si="148"/>
        <v>0</v>
      </c>
      <c r="P235" s="9"/>
      <c r="Q235" s="141"/>
      <c r="R235" s="137">
        <f>O235*Q235</f>
        <v>0</v>
      </c>
    </row>
    <row r="236" spans="1:22" x14ac:dyDescent="0.2">
      <c r="A236" s="1"/>
      <c r="B236" s="12"/>
      <c r="C236" s="138">
        <f t="shared" si="136"/>
        <v>0</v>
      </c>
      <c r="D236" s="138">
        <f t="shared" si="137"/>
        <v>0</v>
      </c>
      <c r="E236" s="138">
        <f t="shared" si="138"/>
        <v>0</v>
      </c>
      <c r="F236" s="138">
        <f t="shared" si="139"/>
        <v>0</v>
      </c>
      <c r="G236" s="138">
        <f t="shared" si="140"/>
        <v>0</v>
      </c>
      <c r="H236" s="138">
        <f t="shared" si="141"/>
        <v>0</v>
      </c>
      <c r="I236" s="138">
        <f t="shared" si="142"/>
        <v>0</v>
      </c>
      <c r="J236" s="138">
        <f t="shared" si="143"/>
        <v>0</v>
      </c>
      <c r="K236" s="138">
        <f t="shared" si="144"/>
        <v>0</v>
      </c>
      <c r="L236" s="138">
        <f t="shared" si="145"/>
        <v>0</v>
      </c>
      <c r="M236" s="138">
        <f t="shared" si="146"/>
        <v>0</v>
      </c>
      <c r="N236" s="138">
        <f t="shared" si="147"/>
        <v>0</v>
      </c>
      <c r="O236" s="138">
        <f t="shared" si="148"/>
        <v>0</v>
      </c>
      <c r="P236" s="9"/>
      <c r="Q236" s="141"/>
      <c r="R236" s="137"/>
    </row>
    <row r="237" spans="1:22" x14ac:dyDescent="0.2">
      <c r="A237" s="139" t="s">
        <v>70</v>
      </c>
      <c r="B237" s="12" t="s">
        <v>400</v>
      </c>
      <c r="C237" s="138">
        <f t="shared" si="136"/>
        <v>106</v>
      </c>
      <c r="D237" s="138">
        <f t="shared" si="137"/>
        <v>0</v>
      </c>
      <c r="E237" s="138">
        <f t="shared" si="138"/>
        <v>133</v>
      </c>
      <c r="F237" s="138">
        <f t="shared" si="139"/>
        <v>0</v>
      </c>
      <c r="G237" s="138">
        <f t="shared" si="140"/>
        <v>800</v>
      </c>
      <c r="H237" s="138">
        <f t="shared" si="141"/>
        <v>0</v>
      </c>
      <c r="I237" s="138">
        <f t="shared" si="142"/>
        <v>187</v>
      </c>
      <c r="J237" s="138">
        <f t="shared" si="143"/>
        <v>0</v>
      </c>
      <c r="K237" s="138">
        <f t="shared" si="144"/>
        <v>642</v>
      </c>
      <c r="L237" s="138">
        <f t="shared" si="145"/>
        <v>0</v>
      </c>
      <c r="M237" s="138">
        <f t="shared" si="146"/>
        <v>241</v>
      </c>
      <c r="N237" s="138">
        <f t="shared" si="147"/>
        <v>0</v>
      </c>
      <c r="O237" s="138">
        <f>C237+E237+G237+I237+K237+M237</f>
        <v>2109</v>
      </c>
      <c r="P237" s="154" t="s">
        <v>10</v>
      </c>
      <c r="Q237" s="141"/>
      <c r="R237" s="137">
        <f>O237*Q237</f>
        <v>0</v>
      </c>
      <c r="T237" s="142">
        <v>26</v>
      </c>
      <c r="U237" s="142">
        <v>27</v>
      </c>
    </row>
    <row r="238" spans="1:22" x14ac:dyDescent="0.2">
      <c r="A238" s="1"/>
      <c r="B238" s="12"/>
      <c r="C238" s="138">
        <f t="shared" si="136"/>
        <v>0</v>
      </c>
      <c r="D238" s="138">
        <f t="shared" si="137"/>
        <v>0</v>
      </c>
      <c r="E238" s="138">
        <f t="shared" si="138"/>
        <v>0</v>
      </c>
      <c r="F238" s="138">
        <f t="shared" si="139"/>
        <v>0</v>
      </c>
      <c r="G238" s="138">
        <f t="shared" si="140"/>
        <v>0</v>
      </c>
      <c r="H238" s="138">
        <f t="shared" si="141"/>
        <v>0</v>
      </c>
      <c r="I238" s="138">
        <f t="shared" si="142"/>
        <v>0</v>
      </c>
      <c r="J238" s="138">
        <f t="shared" si="143"/>
        <v>0</v>
      </c>
      <c r="K238" s="138">
        <f t="shared" si="144"/>
        <v>0</v>
      </c>
      <c r="L238" s="138">
        <f t="shared" si="145"/>
        <v>0</v>
      </c>
      <c r="M238" s="138">
        <f t="shared" si="146"/>
        <v>0</v>
      </c>
      <c r="N238" s="138">
        <f t="shared" si="147"/>
        <v>0</v>
      </c>
      <c r="O238" s="138">
        <f t="shared" si="148"/>
        <v>0</v>
      </c>
      <c r="P238" s="154"/>
      <c r="Q238" s="141"/>
      <c r="R238" s="137"/>
    </row>
    <row r="239" spans="1:22" x14ac:dyDescent="0.2">
      <c r="A239" s="139" t="s">
        <v>71</v>
      </c>
      <c r="B239" s="12" t="s">
        <v>431</v>
      </c>
      <c r="C239" s="138">
        <f t="shared" si="136"/>
        <v>12</v>
      </c>
      <c r="D239" s="138">
        <f t="shared" si="137"/>
        <v>0</v>
      </c>
      <c r="E239" s="138">
        <f t="shared" si="138"/>
        <v>16</v>
      </c>
      <c r="F239" s="138">
        <f t="shared" si="139"/>
        <v>0</v>
      </c>
      <c r="G239" s="138">
        <f t="shared" si="140"/>
        <v>100</v>
      </c>
      <c r="H239" s="138">
        <f t="shared" si="141"/>
        <v>0</v>
      </c>
      <c r="I239" s="138">
        <f t="shared" si="142"/>
        <v>24</v>
      </c>
      <c r="J239" s="138">
        <f t="shared" si="143"/>
        <v>0</v>
      </c>
      <c r="K239" s="138">
        <f t="shared" si="144"/>
        <v>84</v>
      </c>
      <c r="L239" s="138">
        <f t="shared" si="145"/>
        <v>0</v>
      </c>
      <c r="M239" s="138">
        <f t="shared" si="146"/>
        <v>32</v>
      </c>
      <c r="N239" s="138">
        <f t="shared" si="147"/>
        <v>0</v>
      </c>
      <c r="O239" s="138">
        <f>C239+E239+G239+I239+K239+M239</f>
        <v>268</v>
      </c>
      <c r="P239" s="9" t="s">
        <v>10</v>
      </c>
      <c r="Q239" s="141"/>
      <c r="R239" s="137">
        <f>O239*Q239</f>
        <v>0</v>
      </c>
      <c r="T239" s="142">
        <v>2</v>
      </c>
      <c r="U239" s="142">
        <v>4</v>
      </c>
    </row>
    <row r="240" spans="1:22" x14ac:dyDescent="0.2">
      <c r="A240" s="139"/>
      <c r="B240" s="12"/>
      <c r="C240" s="138">
        <f t="shared" si="136"/>
        <v>0</v>
      </c>
      <c r="D240" s="138">
        <f t="shared" si="137"/>
        <v>0</v>
      </c>
      <c r="E240" s="138">
        <f t="shared" si="138"/>
        <v>0</v>
      </c>
      <c r="F240" s="138">
        <f t="shared" si="139"/>
        <v>0</v>
      </c>
      <c r="G240" s="138">
        <f t="shared" si="140"/>
        <v>0</v>
      </c>
      <c r="H240" s="138">
        <f t="shared" si="141"/>
        <v>0</v>
      </c>
      <c r="I240" s="138">
        <f t="shared" si="142"/>
        <v>0</v>
      </c>
      <c r="J240" s="138">
        <f t="shared" si="143"/>
        <v>0</v>
      </c>
      <c r="K240" s="138">
        <f t="shared" si="144"/>
        <v>0</v>
      </c>
      <c r="L240" s="138">
        <f t="shared" si="145"/>
        <v>0</v>
      </c>
      <c r="M240" s="138">
        <f t="shared" si="146"/>
        <v>0</v>
      </c>
      <c r="N240" s="138">
        <f t="shared" si="147"/>
        <v>0</v>
      </c>
      <c r="O240" s="138">
        <f t="shared" si="148"/>
        <v>0</v>
      </c>
      <c r="P240" s="154"/>
      <c r="Q240" s="141"/>
      <c r="R240" s="137"/>
    </row>
    <row r="241" spans="1:21" x14ac:dyDescent="0.2">
      <c r="A241" s="1" t="s">
        <v>72</v>
      </c>
      <c r="B241" s="12" t="s">
        <v>401</v>
      </c>
      <c r="C241" s="488">
        <f t="shared" si="136"/>
        <v>336</v>
      </c>
      <c r="D241" s="488">
        <f t="shared" si="137"/>
        <v>0</v>
      </c>
      <c r="E241" s="488">
        <f t="shared" si="138"/>
        <v>412</v>
      </c>
      <c r="F241" s="488">
        <f t="shared" si="139"/>
        <v>0</v>
      </c>
      <c r="G241" s="488">
        <f t="shared" si="140"/>
        <v>2440</v>
      </c>
      <c r="H241" s="488">
        <f t="shared" si="141"/>
        <v>0</v>
      </c>
      <c r="I241" s="488">
        <f t="shared" si="142"/>
        <v>564</v>
      </c>
      <c r="J241" s="488">
        <f t="shared" si="143"/>
        <v>0</v>
      </c>
      <c r="K241" s="488">
        <f t="shared" si="144"/>
        <v>1920</v>
      </c>
      <c r="L241" s="488">
        <f t="shared" si="145"/>
        <v>0</v>
      </c>
      <c r="M241" s="488">
        <f t="shared" si="146"/>
        <v>716</v>
      </c>
      <c r="N241" s="488">
        <f t="shared" si="147"/>
        <v>0</v>
      </c>
      <c r="O241" s="488">
        <f>C241+E241+G241+I241+K241+M241</f>
        <v>6388</v>
      </c>
      <c r="P241" s="9" t="s">
        <v>10</v>
      </c>
      <c r="Q241" s="141"/>
      <c r="R241" s="137">
        <f>O241*Q241</f>
        <v>0</v>
      </c>
      <c r="T241" s="485">
        <v>92</v>
      </c>
      <c r="U241" s="485">
        <v>76</v>
      </c>
    </row>
    <row r="242" spans="1:21" x14ac:dyDescent="0.2">
      <c r="A242" s="139"/>
      <c r="B242" s="12"/>
      <c r="C242" s="138">
        <f t="shared" si="136"/>
        <v>0</v>
      </c>
      <c r="D242" s="138">
        <f t="shared" si="137"/>
        <v>0</v>
      </c>
      <c r="E242" s="138">
        <f t="shared" si="138"/>
        <v>0</v>
      </c>
      <c r="F242" s="138">
        <f t="shared" si="139"/>
        <v>0</v>
      </c>
      <c r="G242" s="138">
        <f t="shared" si="140"/>
        <v>0</v>
      </c>
      <c r="H242" s="138">
        <f t="shared" si="141"/>
        <v>0</v>
      </c>
      <c r="I242" s="138">
        <f t="shared" si="142"/>
        <v>0</v>
      </c>
      <c r="J242" s="138">
        <f t="shared" si="143"/>
        <v>0</v>
      </c>
      <c r="K242" s="138">
        <f t="shared" si="144"/>
        <v>0</v>
      </c>
      <c r="L242" s="138">
        <f t="shared" si="145"/>
        <v>0</v>
      </c>
      <c r="M242" s="138">
        <f t="shared" si="146"/>
        <v>0</v>
      </c>
      <c r="N242" s="138">
        <f t="shared" si="147"/>
        <v>0</v>
      </c>
      <c r="O242" s="138">
        <f t="shared" ref="O242:O244" si="149">C242+E242+G242+I242+K242+M242</f>
        <v>0</v>
      </c>
      <c r="P242" s="154"/>
      <c r="Q242" s="141"/>
      <c r="R242" s="137"/>
    </row>
    <row r="243" spans="1:21" ht="28.5" x14ac:dyDescent="0.2">
      <c r="A243" s="1"/>
      <c r="B243" s="111" t="s">
        <v>559</v>
      </c>
      <c r="C243" s="138">
        <f t="shared" si="136"/>
        <v>0</v>
      </c>
      <c r="D243" s="138">
        <f t="shared" si="137"/>
        <v>0</v>
      </c>
      <c r="E243" s="138">
        <f t="shared" si="138"/>
        <v>0</v>
      </c>
      <c r="F243" s="138">
        <f t="shared" si="139"/>
        <v>0</v>
      </c>
      <c r="G243" s="138">
        <f t="shared" si="140"/>
        <v>0</v>
      </c>
      <c r="H243" s="138">
        <f t="shared" si="141"/>
        <v>0</v>
      </c>
      <c r="I243" s="138">
        <f t="shared" si="142"/>
        <v>0</v>
      </c>
      <c r="J243" s="138">
        <f t="shared" si="143"/>
        <v>0</v>
      </c>
      <c r="K243" s="138">
        <f t="shared" si="144"/>
        <v>0</v>
      </c>
      <c r="L243" s="138">
        <f t="shared" si="145"/>
        <v>0</v>
      </c>
      <c r="M243" s="138">
        <f t="shared" si="146"/>
        <v>0</v>
      </c>
      <c r="N243" s="138">
        <f t="shared" si="147"/>
        <v>0</v>
      </c>
      <c r="O243" s="138">
        <f t="shared" si="149"/>
        <v>0</v>
      </c>
      <c r="P243" s="9"/>
      <c r="Q243" s="141"/>
      <c r="R243" s="137">
        <f t="shared" ref="R243" si="150">O243*Q243</f>
        <v>0</v>
      </c>
    </row>
    <row r="244" spans="1:21" x14ac:dyDescent="0.2">
      <c r="A244" s="1"/>
      <c r="B244" s="12"/>
      <c r="C244" s="138">
        <f t="shared" si="136"/>
        <v>0</v>
      </c>
      <c r="D244" s="138">
        <f t="shared" si="137"/>
        <v>0</v>
      </c>
      <c r="E244" s="138">
        <f t="shared" si="138"/>
        <v>0</v>
      </c>
      <c r="F244" s="138">
        <f t="shared" si="139"/>
        <v>0</v>
      </c>
      <c r="G244" s="138">
        <f t="shared" si="140"/>
        <v>0</v>
      </c>
      <c r="H244" s="138">
        <f t="shared" si="141"/>
        <v>0</v>
      </c>
      <c r="I244" s="138">
        <f t="shared" si="142"/>
        <v>0</v>
      </c>
      <c r="J244" s="138">
        <f t="shared" si="143"/>
        <v>0</v>
      </c>
      <c r="K244" s="138">
        <f t="shared" si="144"/>
        <v>0</v>
      </c>
      <c r="L244" s="138">
        <f t="shared" si="145"/>
        <v>0</v>
      </c>
      <c r="M244" s="138">
        <f t="shared" si="146"/>
        <v>0</v>
      </c>
      <c r="N244" s="138">
        <f t="shared" si="147"/>
        <v>0</v>
      </c>
      <c r="O244" s="138">
        <f t="shared" si="149"/>
        <v>0</v>
      </c>
      <c r="P244" s="154"/>
      <c r="Q244" s="141"/>
      <c r="R244" s="137"/>
    </row>
    <row r="245" spans="1:21" x14ac:dyDescent="0.2">
      <c r="A245" s="139" t="s">
        <v>73</v>
      </c>
      <c r="B245" s="12" t="s">
        <v>565</v>
      </c>
      <c r="C245" s="488">
        <f t="shared" si="136"/>
        <v>2</v>
      </c>
      <c r="D245" s="488">
        <f t="shared" si="137"/>
        <v>0</v>
      </c>
      <c r="E245" s="488">
        <f t="shared" si="138"/>
        <v>3</v>
      </c>
      <c r="F245" s="488">
        <f t="shared" si="139"/>
        <v>0</v>
      </c>
      <c r="G245" s="488">
        <f t="shared" si="140"/>
        <v>20</v>
      </c>
      <c r="H245" s="488">
        <f t="shared" si="141"/>
        <v>0</v>
      </c>
      <c r="I245" s="488">
        <f t="shared" si="142"/>
        <v>5</v>
      </c>
      <c r="J245" s="488">
        <f t="shared" si="143"/>
        <v>0</v>
      </c>
      <c r="K245" s="488">
        <f t="shared" si="144"/>
        <v>18</v>
      </c>
      <c r="L245" s="488">
        <f t="shared" si="145"/>
        <v>0</v>
      </c>
      <c r="M245" s="488">
        <f t="shared" si="146"/>
        <v>7</v>
      </c>
      <c r="N245" s="488">
        <f t="shared" si="147"/>
        <v>0</v>
      </c>
      <c r="O245" s="488">
        <f>C245+E245+G245+I245+K245+M245</f>
        <v>55</v>
      </c>
      <c r="P245" s="9" t="s">
        <v>12</v>
      </c>
      <c r="Q245" s="141"/>
      <c r="R245" s="137">
        <f>O245*Q245</f>
        <v>0</v>
      </c>
      <c r="U245" s="485">
        <v>1</v>
      </c>
    </row>
    <row r="246" spans="1:21" x14ac:dyDescent="0.2">
      <c r="A246" s="139"/>
      <c r="B246" s="12"/>
      <c r="C246" s="138">
        <f t="shared" si="136"/>
        <v>0</v>
      </c>
      <c r="D246" s="138">
        <f t="shared" si="137"/>
        <v>0</v>
      </c>
      <c r="E246" s="138">
        <f t="shared" si="138"/>
        <v>0</v>
      </c>
      <c r="F246" s="138">
        <f t="shared" si="139"/>
        <v>0</v>
      </c>
      <c r="G246" s="138">
        <f t="shared" si="140"/>
        <v>0</v>
      </c>
      <c r="H246" s="138">
        <f t="shared" si="141"/>
        <v>0</v>
      </c>
      <c r="I246" s="138">
        <f t="shared" si="142"/>
        <v>0</v>
      </c>
      <c r="J246" s="138">
        <f t="shared" si="143"/>
        <v>0</v>
      </c>
      <c r="K246" s="138">
        <f t="shared" si="144"/>
        <v>0</v>
      </c>
      <c r="L246" s="138">
        <f t="shared" si="145"/>
        <v>0</v>
      </c>
      <c r="M246" s="138">
        <f t="shared" si="146"/>
        <v>0</v>
      </c>
      <c r="N246" s="138">
        <f t="shared" si="147"/>
        <v>0</v>
      </c>
      <c r="O246" s="138">
        <f t="shared" si="148"/>
        <v>0</v>
      </c>
      <c r="P246" s="154"/>
      <c r="Q246" s="141"/>
      <c r="R246" s="137"/>
    </row>
    <row r="247" spans="1:21" ht="28.5" x14ac:dyDescent="0.2">
      <c r="A247" s="1"/>
      <c r="B247" s="111" t="s">
        <v>572</v>
      </c>
      <c r="C247" s="138">
        <f t="shared" si="136"/>
        <v>0</v>
      </c>
      <c r="D247" s="138">
        <f t="shared" si="137"/>
        <v>0</v>
      </c>
      <c r="E247" s="138">
        <f t="shared" si="138"/>
        <v>0</v>
      </c>
      <c r="F247" s="138">
        <f t="shared" si="139"/>
        <v>0</v>
      </c>
      <c r="G247" s="138">
        <f t="shared" si="140"/>
        <v>0</v>
      </c>
      <c r="H247" s="138">
        <f t="shared" si="141"/>
        <v>0</v>
      </c>
      <c r="I247" s="138">
        <f t="shared" si="142"/>
        <v>0</v>
      </c>
      <c r="J247" s="138">
        <f t="shared" si="143"/>
        <v>0</v>
      </c>
      <c r="K247" s="138">
        <f t="shared" si="144"/>
        <v>0</v>
      </c>
      <c r="L247" s="138">
        <f t="shared" si="145"/>
        <v>0</v>
      </c>
      <c r="M247" s="138">
        <f t="shared" si="146"/>
        <v>0</v>
      </c>
      <c r="N247" s="138">
        <f t="shared" si="147"/>
        <v>0</v>
      </c>
      <c r="O247" s="138">
        <f t="shared" si="148"/>
        <v>0</v>
      </c>
      <c r="P247" s="9"/>
      <c r="Q247" s="141"/>
      <c r="R247" s="137">
        <f t="shared" ref="R247" si="151">O247*Q247</f>
        <v>0</v>
      </c>
    </row>
    <row r="248" spans="1:21" x14ac:dyDescent="0.2">
      <c r="A248" s="1"/>
      <c r="B248" s="12"/>
      <c r="C248" s="138">
        <f t="shared" si="136"/>
        <v>0</v>
      </c>
      <c r="D248" s="138">
        <f t="shared" si="137"/>
        <v>0</v>
      </c>
      <c r="E248" s="138">
        <f t="shared" si="138"/>
        <v>0</v>
      </c>
      <c r="F248" s="138">
        <f t="shared" si="139"/>
        <v>0</v>
      </c>
      <c r="G248" s="138">
        <f t="shared" si="140"/>
        <v>0</v>
      </c>
      <c r="H248" s="138">
        <f t="shared" si="141"/>
        <v>0</v>
      </c>
      <c r="I248" s="138">
        <f t="shared" si="142"/>
        <v>0</v>
      </c>
      <c r="J248" s="138">
        <f t="shared" si="143"/>
        <v>0</v>
      </c>
      <c r="K248" s="138">
        <f t="shared" si="144"/>
        <v>0</v>
      </c>
      <c r="L248" s="138">
        <f t="shared" si="145"/>
        <v>0</v>
      </c>
      <c r="M248" s="138">
        <f t="shared" si="146"/>
        <v>0</v>
      </c>
      <c r="N248" s="138">
        <f t="shared" si="147"/>
        <v>0</v>
      </c>
      <c r="O248" s="138">
        <f t="shared" si="148"/>
        <v>0</v>
      </c>
      <c r="P248" s="154"/>
      <c r="Q248" s="141"/>
      <c r="R248" s="137"/>
    </row>
    <row r="249" spans="1:21" x14ac:dyDescent="0.2">
      <c r="A249" s="139" t="s">
        <v>74</v>
      </c>
      <c r="B249" s="12" t="s">
        <v>402</v>
      </c>
      <c r="C249" s="138">
        <f t="shared" si="136"/>
        <v>348</v>
      </c>
      <c r="D249" s="138">
        <f t="shared" si="137"/>
        <v>0</v>
      </c>
      <c r="E249" s="138">
        <f t="shared" si="138"/>
        <v>439</v>
      </c>
      <c r="F249" s="138">
        <f t="shared" si="139"/>
        <v>0</v>
      </c>
      <c r="G249" s="138">
        <f t="shared" si="140"/>
        <v>2650</v>
      </c>
      <c r="H249" s="138">
        <f t="shared" si="141"/>
        <v>0</v>
      </c>
      <c r="I249" s="138">
        <f t="shared" si="142"/>
        <v>621</v>
      </c>
      <c r="J249" s="138">
        <f t="shared" si="143"/>
        <v>0</v>
      </c>
      <c r="K249" s="138">
        <f t="shared" si="144"/>
        <v>2136</v>
      </c>
      <c r="L249" s="138">
        <f t="shared" si="145"/>
        <v>0</v>
      </c>
      <c r="M249" s="138">
        <f t="shared" si="146"/>
        <v>803</v>
      </c>
      <c r="N249" s="138">
        <f t="shared" si="147"/>
        <v>0</v>
      </c>
      <c r="O249" s="138">
        <f>C249+E249+G249+I249+K249+M249</f>
        <v>6997</v>
      </c>
      <c r="P249" s="9" t="s">
        <v>10</v>
      </c>
      <c r="Q249" s="141"/>
      <c r="R249" s="137">
        <f>O249*Q249</f>
        <v>0</v>
      </c>
      <c r="T249" s="142">
        <v>83</v>
      </c>
      <c r="U249" s="142">
        <v>91</v>
      </c>
    </row>
    <row r="250" spans="1:21" x14ac:dyDescent="0.2">
      <c r="A250" s="1"/>
      <c r="B250" s="12"/>
      <c r="C250" s="138"/>
      <c r="D250" s="138"/>
      <c r="E250" s="138"/>
      <c r="F250" s="138"/>
      <c r="G250" s="138"/>
      <c r="H250" s="138"/>
      <c r="I250" s="138"/>
      <c r="J250" s="138"/>
      <c r="K250" s="138"/>
      <c r="L250" s="138"/>
      <c r="M250" s="138"/>
      <c r="N250" s="138"/>
      <c r="O250" s="138"/>
      <c r="P250" s="9"/>
      <c r="Q250" s="141"/>
      <c r="R250" s="128"/>
      <c r="T250" s="142">
        <f>T153+T155+T157+T184+T186+T194+T196</f>
        <v>99</v>
      </c>
      <c r="U250" s="142">
        <f>U153+U155+U157+U184+U186+U194+U196</f>
        <v>100</v>
      </c>
    </row>
    <row r="251" spans="1:21" x14ac:dyDescent="0.2">
      <c r="A251" s="1" t="s">
        <v>75</v>
      </c>
      <c r="B251" s="454" t="s">
        <v>896</v>
      </c>
      <c r="C251" s="488">
        <f t="shared" si="136"/>
        <v>398</v>
      </c>
      <c r="D251" s="488">
        <f t="shared" si="137"/>
        <v>0</v>
      </c>
      <c r="E251" s="488">
        <f t="shared" si="138"/>
        <v>498</v>
      </c>
      <c r="F251" s="488">
        <f t="shared" si="139"/>
        <v>0</v>
      </c>
      <c r="G251" s="488">
        <f t="shared" si="140"/>
        <v>2990</v>
      </c>
      <c r="H251" s="488">
        <f t="shared" si="141"/>
        <v>0</v>
      </c>
      <c r="I251" s="488">
        <f t="shared" si="142"/>
        <v>698</v>
      </c>
      <c r="J251" s="488">
        <f t="shared" si="143"/>
        <v>0</v>
      </c>
      <c r="K251" s="488">
        <f t="shared" si="144"/>
        <v>2394</v>
      </c>
      <c r="L251" s="488">
        <f t="shared" si="145"/>
        <v>0</v>
      </c>
      <c r="M251" s="488">
        <f t="shared" si="146"/>
        <v>898</v>
      </c>
      <c r="N251" s="488">
        <f t="shared" si="147"/>
        <v>0</v>
      </c>
      <c r="O251" s="488">
        <f>C251+E251+G251+I251+K251+M251</f>
        <v>7876</v>
      </c>
      <c r="P251" s="9" t="s">
        <v>10</v>
      </c>
      <c r="Q251" s="141"/>
      <c r="R251" s="137">
        <f>O251*Q251</f>
        <v>0</v>
      </c>
      <c r="T251" s="142">
        <v>99</v>
      </c>
      <c r="U251" s="142">
        <v>100</v>
      </c>
    </row>
    <row r="252" spans="1:21" x14ac:dyDescent="0.2">
      <c r="A252" s="1"/>
      <c r="B252" s="12"/>
      <c r="C252" s="138"/>
      <c r="D252" s="138"/>
      <c r="E252" s="138"/>
      <c r="F252" s="138"/>
      <c r="G252" s="138"/>
      <c r="H252" s="138"/>
      <c r="I252" s="138"/>
      <c r="J252" s="138"/>
      <c r="K252" s="138"/>
      <c r="L252" s="138"/>
      <c r="M252" s="138"/>
      <c r="N252" s="138"/>
      <c r="O252" s="138"/>
      <c r="P252" s="9"/>
      <c r="Q252" s="141"/>
      <c r="R252" s="137"/>
    </row>
    <row r="253" spans="1:21" x14ac:dyDescent="0.2">
      <c r="A253" s="1"/>
      <c r="B253" s="12"/>
      <c r="C253" s="138"/>
      <c r="D253" s="138"/>
      <c r="E253" s="138"/>
      <c r="F253" s="138"/>
      <c r="G253" s="138"/>
      <c r="H253" s="138"/>
      <c r="I253" s="138"/>
      <c r="J253" s="138"/>
      <c r="K253" s="138"/>
      <c r="L253" s="138"/>
      <c r="M253" s="138"/>
      <c r="N253" s="138"/>
      <c r="O253" s="138"/>
      <c r="P253" s="9"/>
      <c r="Q253" s="141"/>
      <c r="R253" s="137"/>
    </row>
    <row r="254" spans="1:21" x14ac:dyDescent="0.2">
      <c r="A254" s="1"/>
      <c r="B254" s="12"/>
      <c r="C254" s="138"/>
      <c r="D254" s="138"/>
      <c r="E254" s="138"/>
      <c r="F254" s="138"/>
      <c r="G254" s="138"/>
      <c r="H254" s="138"/>
      <c r="I254" s="138"/>
      <c r="J254" s="138"/>
      <c r="K254" s="138"/>
      <c r="L254" s="138"/>
      <c r="M254" s="138"/>
      <c r="N254" s="138"/>
      <c r="O254" s="138"/>
      <c r="P254" s="9"/>
      <c r="Q254" s="141"/>
      <c r="R254" s="137"/>
    </row>
    <row r="255" spans="1:21" x14ac:dyDescent="0.2">
      <c r="A255" s="1"/>
      <c r="B255" s="12"/>
      <c r="C255" s="138">
        <f t="shared" si="136"/>
        <v>0</v>
      </c>
      <c r="D255" s="138">
        <f t="shared" si="137"/>
        <v>0</v>
      </c>
      <c r="E255" s="138">
        <f t="shared" si="138"/>
        <v>0</v>
      </c>
      <c r="F255" s="138">
        <f t="shared" si="139"/>
        <v>0</v>
      </c>
      <c r="G255" s="138">
        <f t="shared" si="140"/>
        <v>0</v>
      </c>
      <c r="H255" s="138">
        <f t="shared" si="141"/>
        <v>0</v>
      </c>
      <c r="I255" s="138">
        <f t="shared" si="142"/>
        <v>0</v>
      </c>
      <c r="J255" s="138">
        <f t="shared" si="143"/>
        <v>0</v>
      </c>
      <c r="K255" s="138">
        <f t="shared" si="144"/>
        <v>0</v>
      </c>
      <c r="L255" s="138">
        <f t="shared" si="145"/>
        <v>0</v>
      </c>
      <c r="M255" s="138">
        <f t="shared" si="146"/>
        <v>0</v>
      </c>
      <c r="N255" s="138">
        <f t="shared" si="147"/>
        <v>0</v>
      </c>
      <c r="O255" s="138">
        <f t="shared" si="148"/>
        <v>0</v>
      </c>
      <c r="P255" s="9"/>
      <c r="Q255" s="141"/>
      <c r="R255" s="137"/>
    </row>
    <row r="256" spans="1:21" x14ac:dyDescent="0.2">
      <c r="A256" s="1"/>
      <c r="B256" s="12"/>
      <c r="C256" s="138">
        <f t="shared" si="136"/>
        <v>0</v>
      </c>
      <c r="D256" s="138">
        <f t="shared" si="137"/>
        <v>0</v>
      </c>
      <c r="E256" s="138">
        <f t="shared" si="138"/>
        <v>0</v>
      </c>
      <c r="F256" s="138">
        <f t="shared" si="139"/>
        <v>0</v>
      </c>
      <c r="G256" s="138">
        <f t="shared" si="140"/>
        <v>0</v>
      </c>
      <c r="H256" s="138">
        <f t="shared" si="141"/>
        <v>0</v>
      </c>
      <c r="I256" s="138">
        <f t="shared" si="142"/>
        <v>0</v>
      </c>
      <c r="J256" s="138">
        <f t="shared" si="143"/>
        <v>0</v>
      </c>
      <c r="K256" s="138">
        <f t="shared" si="144"/>
        <v>0</v>
      </c>
      <c r="L256" s="138">
        <f t="shared" si="145"/>
        <v>0</v>
      </c>
      <c r="M256" s="138">
        <f t="shared" si="146"/>
        <v>0</v>
      </c>
      <c r="N256" s="138">
        <f t="shared" si="147"/>
        <v>0</v>
      </c>
      <c r="O256" s="138">
        <f t="shared" si="148"/>
        <v>0</v>
      </c>
      <c r="P256" s="9"/>
      <c r="Q256" s="141"/>
      <c r="R256" s="137"/>
    </row>
    <row r="257" spans="1:21" x14ac:dyDescent="0.2">
      <c r="A257" s="1"/>
      <c r="B257" s="12"/>
      <c r="C257" s="138">
        <f t="shared" si="136"/>
        <v>0</v>
      </c>
      <c r="D257" s="138">
        <f t="shared" si="137"/>
        <v>0</v>
      </c>
      <c r="E257" s="138">
        <f t="shared" si="138"/>
        <v>0</v>
      </c>
      <c r="F257" s="138">
        <f t="shared" si="139"/>
        <v>0</v>
      </c>
      <c r="G257" s="138">
        <f t="shared" si="140"/>
        <v>0</v>
      </c>
      <c r="H257" s="138">
        <f t="shared" si="141"/>
        <v>0</v>
      </c>
      <c r="I257" s="138">
        <f t="shared" si="142"/>
        <v>0</v>
      </c>
      <c r="J257" s="138">
        <f t="shared" si="143"/>
        <v>0</v>
      </c>
      <c r="K257" s="138">
        <f t="shared" si="144"/>
        <v>0</v>
      </c>
      <c r="L257" s="138">
        <f t="shared" si="145"/>
        <v>0</v>
      </c>
      <c r="M257" s="138">
        <f t="shared" si="146"/>
        <v>0</v>
      </c>
      <c r="N257" s="138">
        <f t="shared" si="147"/>
        <v>0</v>
      </c>
      <c r="O257" s="138">
        <f t="shared" si="148"/>
        <v>0</v>
      </c>
      <c r="P257" s="9"/>
      <c r="Q257" s="141"/>
      <c r="R257" s="137"/>
    </row>
    <row r="258" spans="1:21" x14ac:dyDescent="0.2">
      <c r="A258" s="1"/>
      <c r="B258" s="12"/>
      <c r="C258" s="138"/>
      <c r="D258" s="138"/>
      <c r="E258" s="138"/>
      <c r="F258" s="138"/>
      <c r="G258" s="138"/>
      <c r="H258" s="138"/>
      <c r="I258" s="138"/>
      <c r="J258" s="138"/>
      <c r="K258" s="138"/>
      <c r="L258" s="138"/>
      <c r="M258" s="138"/>
      <c r="N258" s="138"/>
      <c r="O258" s="138"/>
      <c r="P258" s="9"/>
      <c r="Q258" s="141"/>
      <c r="R258" s="137"/>
    </row>
    <row r="259" spans="1:21" x14ac:dyDescent="0.2">
      <c r="A259" s="1"/>
      <c r="B259" s="12"/>
      <c r="C259" s="138"/>
      <c r="D259" s="138"/>
      <c r="E259" s="138"/>
      <c r="F259" s="138"/>
      <c r="G259" s="138"/>
      <c r="H259" s="138"/>
      <c r="I259" s="138"/>
      <c r="J259" s="138"/>
      <c r="K259" s="138"/>
      <c r="L259" s="138"/>
      <c r="M259" s="138"/>
      <c r="N259" s="138"/>
      <c r="O259" s="138"/>
      <c r="P259" s="9"/>
      <c r="Q259" s="141"/>
      <c r="R259" s="137"/>
    </row>
    <row r="260" spans="1:21" x14ac:dyDescent="0.2">
      <c r="A260" s="1"/>
      <c r="B260" s="12"/>
      <c r="C260" s="138"/>
      <c r="D260" s="138"/>
      <c r="E260" s="138"/>
      <c r="F260" s="138"/>
      <c r="G260" s="138"/>
      <c r="H260" s="138"/>
      <c r="I260" s="138"/>
      <c r="J260" s="138"/>
      <c r="K260" s="138"/>
      <c r="L260" s="138"/>
      <c r="M260" s="138"/>
      <c r="N260" s="138"/>
      <c r="O260" s="138"/>
      <c r="P260" s="9"/>
      <c r="Q260" s="141"/>
      <c r="R260" s="137"/>
    </row>
    <row r="261" spans="1:21" x14ac:dyDescent="0.2">
      <c r="A261" s="127"/>
      <c r="B261" s="136"/>
      <c r="C261" s="128"/>
      <c r="D261" s="120"/>
      <c r="E261" s="120"/>
      <c r="F261" s="120"/>
      <c r="G261" s="120"/>
      <c r="H261" s="120"/>
      <c r="I261" s="120"/>
      <c r="J261" s="120"/>
      <c r="K261" s="120"/>
      <c r="L261" s="120"/>
      <c r="M261" s="120"/>
      <c r="N261" s="120"/>
      <c r="O261" s="120"/>
      <c r="P261" s="154"/>
      <c r="Q261" s="141"/>
      <c r="R261" s="137"/>
      <c r="T261" s="52"/>
      <c r="U261" s="52"/>
    </row>
    <row r="262" spans="1:21" x14ac:dyDescent="0.2">
      <c r="A262" s="129"/>
      <c r="B262" s="130"/>
      <c r="C262" s="131"/>
      <c r="D262" s="131"/>
      <c r="E262" s="131"/>
      <c r="F262" s="131"/>
      <c r="G262" s="131"/>
      <c r="H262" s="131"/>
      <c r="I262" s="131"/>
      <c r="J262" s="131"/>
      <c r="K262" s="131"/>
      <c r="L262" s="131"/>
      <c r="M262" s="131"/>
      <c r="N262" s="131"/>
      <c r="O262" s="131"/>
      <c r="P262" s="131"/>
      <c r="Q262" s="132"/>
      <c r="R262" s="126"/>
      <c r="T262" s="134"/>
      <c r="U262" s="134"/>
    </row>
    <row r="263" spans="1:21" x14ac:dyDescent="0.2">
      <c r="C263" s="122"/>
      <c r="D263" s="122"/>
      <c r="E263" s="122"/>
      <c r="F263" s="122"/>
      <c r="G263" s="122"/>
      <c r="H263" s="122"/>
      <c r="I263" s="122"/>
      <c r="J263" s="122"/>
      <c r="K263" s="122"/>
      <c r="L263" s="122"/>
      <c r="M263" s="122"/>
      <c r="N263" s="122"/>
      <c r="O263" s="122"/>
      <c r="P263" s="171" t="s">
        <v>1</v>
      </c>
      <c r="Q263" s="133" t="s">
        <v>0</v>
      </c>
      <c r="R263" s="137">
        <f>SUM(R220:R261)</f>
        <v>0</v>
      </c>
      <c r="T263" s="135"/>
      <c r="U263" s="135"/>
    </row>
    <row r="264" spans="1:21" x14ac:dyDescent="0.2">
      <c r="P264" s="188"/>
      <c r="Q264" s="124"/>
      <c r="R264" s="125"/>
    </row>
    <row r="265" spans="1:21" x14ac:dyDescent="0.2">
      <c r="A265" s="139"/>
      <c r="B265" s="80"/>
      <c r="C265" s="128"/>
      <c r="D265" s="120"/>
      <c r="E265" s="120"/>
      <c r="F265" s="120"/>
      <c r="G265" s="120"/>
      <c r="H265" s="120"/>
      <c r="I265" s="120"/>
      <c r="J265" s="120"/>
      <c r="K265" s="120"/>
      <c r="L265" s="120"/>
      <c r="M265" s="120"/>
      <c r="N265" s="120"/>
      <c r="O265" s="120"/>
      <c r="P265" s="154"/>
      <c r="Q265" s="141"/>
      <c r="R265" s="137"/>
    </row>
    <row r="266" spans="1:21" x14ac:dyDescent="0.2">
      <c r="A266" s="139"/>
      <c r="B266" s="80" t="s">
        <v>87</v>
      </c>
      <c r="C266" s="128"/>
      <c r="D266" s="120"/>
      <c r="E266" s="120"/>
      <c r="F266" s="120"/>
      <c r="G266" s="120"/>
      <c r="H266" s="120"/>
      <c r="I266" s="120"/>
      <c r="J266" s="120"/>
      <c r="K266" s="120"/>
      <c r="L266" s="120"/>
      <c r="M266" s="120"/>
      <c r="N266" s="120"/>
      <c r="O266" s="120"/>
      <c r="P266" s="154"/>
      <c r="Q266" s="141"/>
      <c r="R266" s="137"/>
    </row>
    <row r="267" spans="1:21" x14ac:dyDescent="0.2">
      <c r="A267" s="139"/>
      <c r="B267" s="80"/>
      <c r="C267" s="128"/>
      <c r="D267" s="120"/>
      <c r="E267" s="120"/>
      <c r="F267" s="120"/>
      <c r="G267" s="120"/>
      <c r="H267" s="120"/>
      <c r="I267" s="120"/>
      <c r="J267" s="120"/>
      <c r="K267" s="120"/>
      <c r="L267" s="120"/>
      <c r="M267" s="120"/>
      <c r="N267" s="120"/>
      <c r="O267" s="120"/>
      <c r="P267" s="154"/>
      <c r="Q267" s="141"/>
      <c r="R267" s="137"/>
    </row>
    <row r="268" spans="1:21" x14ac:dyDescent="0.2">
      <c r="A268" s="139"/>
      <c r="B268" s="160" t="s">
        <v>41</v>
      </c>
      <c r="C268" s="138">
        <f t="shared" ref="C268:C326" si="152">ROUND((2*$T268+2*$U268)*C$3,0)</f>
        <v>0</v>
      </c>
      <c r="D268" s="138">
        <f t="shared" ref="D268:D326" si="153">C268*$Q268</f>
        <v>0</v>
      </c>
      <c r="E268" s="138">
        <f t="shared" ref="E268:E326" si="154">ROUND((2*$T268+3*$U268)*E$3,0)</f>
        <v>0</v>
      </c>
      <c r="F268" s="138">
        <f t="shared" ref="F268:F326" si="155">E268*$Q268</f>
        <v>0</v>
      </c>
      <c r="G268" s="138">
        <f t="shared" ref="G268:G326" si="156">ROUND((2*$T268+4*$U268)*G$3,0)</f>
        <v>0</v>
      </c>
      <c r="H268" s="138">
        <f t="shared" ref="H268:H326" si="157">G268*$Q268</f>
        <v>0</v>
      </c>
      <c r="I268" s="138">
        <f t="shared" ref="I268:I326" si="158">ROUND((2*$T268+5*$U268)*I$3,0)</f>
        <v>0</v>
      </c>
      <c r="J268" s="138">
        <f t="shared" ref="J268:J326" si="159">I268*$Q268</f>
        <v>0</v>
      </c>
      <c r="K268" s="138">
        <f t="shared" ref="K268:K326" si="160">ROUND((2*$T268+6*$U268)*K$3,0)</f>
        <v>0</v>
      </c>
      <c r="L268" s="138">
        <f t="shared" ref="L268:L326" si="161">K268*$Q268</f>
        <v>0</v>
      </c>
      <c r="M268" s="138">
        <f t="shared" ref="M268:M326" si="162">ROUND((2*$T268+7*$U268)*M$3,0)</f>
        <v>0</v>
      </c>
      <c r="N268" s="138">
        <f t="shared" ref="N268:N326" si="163">M268*$Q268</f>
        <v>0</v>
      </c>
      <c r="O268" s="138">
        <f t="shared" ref="O268:O326" si="164">C268+E268+G268+I268+K268+M268</f>
        <v>0</v>
      </c>
      <c r="P268" s="154"/>
      <c r="Q268" s="141"/>
      <c r="R268" s="137"/>
    </row>
    <row r="269" spans="1:21" x14ac:dyDescent="0.2">
      <c r="A269" s="139"/>
      <c r="B269" s="160"/>
      <c r="C269" s="138">
        <f t="shared" si="152"/>
        <v>0</v>
      </c>
      <c r="D269" s="138">
        <f t="shared" si="153"/>
        <v>0</v>
      </c>
      <c r="E269" s="138">
        <f t="shared" si="154"/>
        <v>0</v>
      </c>
      <c r="F269" s="138">
        <f t="shared" si="155"/>
        <v>0</v>
      </c>
      <c r="G269" s="138">
        <f t="shared" si="156"/>
        <v>0</v>
      </c>
      <c r="H269" s="138">
        <f t="shared" si="157"/>
        <v>0</v>
      </c>
      <c r="I269" s="138">
        <f t="shared" si="158"/>
        <v>0</v>
      </c>
      <c r="J269" s="138">
        <f t="shared" si="159"/>
        <v>0</v>
      </c>
      <c r="K269" s="138">
        <f t="shared" si="160"/>
        <v>0</v>
      </c>
      <c r="L269" s="138">
        <f t="shared" si="161"/>
        <v>0</v>
      </c>
      <c r="M269" s="138">
        <f t="shared" si="162"/>
        <v>0</v>
      </c>
      <c r="N269" s="138">
        <f t="shared" si="163"/>
        <v>0</v>
      </c>
      <c r="O269" s="138">
        <f t="shared" si="164"/>
        <v>0</v>
      </c>
      <c r="P269" s="154"/>
      <c r="Q269" s="141"/>
      <c r="R269" s="137"/>
    </row>
    <row r="270" spans="1:21" ht="28.5" x14ac:dyDescent="0.2">
      <c r="A270" s="1"/>
      <c r="B270" s="111" t="s">
        <v>518</v>
      </c>
      <c r="C270" s="138">
        <f t="shared" si="152"/>
        <v>0</v>
      </c>
      <c r="D270" s="138">
        <f t="shared" si="153"/>
        <v>0</v>
      </c>
      <c r="E270" s="138">
        <f t="shared" si="154"/>
        <v>0</v>
      </c>
      <c r="F270" s="138">
        <f t="shared" si="155"/>
        <v>0</v>
      </c>
      <c r="G270" s="138">
        <f t="shared" si="156"/>
        <v>0</v>
      </c>
      <c r="H270" s="138">
        <f t="shared" si="157"/>
        <v>0</v>
      </c>
      <c r="I270" s="138">
        <f t="shared" si="158"/>
        <v>0</v>
      </c>
      <c r="J270" s="138">
        <f t="shared" si="159"/>
        <v>0</v>
      </c>
      <c r="K270" s="138">
        <f t="shared" si="160"/>
        <v>0</v>
      </c>
      <c r="L270" s="138">
        <f t="shared" si="161"/>
        <v>0</v>
      </c>
      <c r="M270" s="138">
        <f t="shared" si="162"/>
        <v>0</v>
      </c>
      <c r="N270" s="138">
        <f t="shared" si="163"/>
        <v>0</v>
      </c>
      <c r="O270" s="138">
        <f t="shared" si="164"/>
        <v>0</v>
      </c>
      <c r="P270" s="9"/>
      <c r="Q270" s="141"/>
      <c r="R270" s="137"/>
    </row>
    <row r="271" spans="1:21" x14ac:dyDescent="0.2">
      <c r="A271" s="139"/>
      <c r="B271" s="112"/>
      <c r="C271" s="138">
        <f t="shared" si="152"/>
        <v>0</v>
      </c>
      <c r="D271" s="138">
        <f t="shared" si="153"/>
        <v>0</v>
      </c>
      <c r="E271" s="138">
        <f t="shared" si="154"/>
        <v>0</v>
      </c>
      <c r="F271" s="138">
        <f t="shared" si="155"/>
        <v>0</v>
      </c>
      <c r="G271" s="138">
        <f t="shared" si="156"/>
        <v>0</v>
      </c>
      <c r="H271" s="138">
        <f t="shared" si="157"/>
        <v>0</v>
      </c>
      <c r="I271" s="138">
        <f t="shared" si="158"/>
        <v>0</v>
      </c>
      <c r="J271" s="138">
        <f t="shared" si="159"/>
        <v>0</v>
      </c>
      <c r="K271" s="138">
        <f t="shared" si="160"/>
        <v>0</v>
      </c>
      <c r="L271" s="138">
        <f t="shared" si="161"/>
        <v>0</v>
      </c>
      <c r="M271" s="138">
        <f t="shared" si="162"/>
        <v>0</v>
      </c>
      <c r="N271" s="138">
        <f t="shared" si="163"/>
        <v>0</v>
      </c>
      <c r="O271" s="138">
        <f t="shared" si="164"/>
        <v>0</v>
      </c>
      <c r="P271" s="154"/>
      <c r="Q271" s="141"/>
      <c r="R271" s="137"/>
    </row>
    <row r="272" spans="1:21" x14ac:dyDescent="0.2">
      <c r="A272" s="1" t="s">
        <v>66</v>
      </c>
      <c r="B272" s="112" t="s">
        <v>519</v>
      </c>
      <c r="C272" s="138">
        <f t="shared" si="152"/>
        <v>52</v>
      </c>
      <c r="D272" s="138">
        <f t="shared" si="153"/>
        <v>0</v>
      </c>
      <c r="E272" s="138">
        <f t="shared" si="154"/>
        <v>65</v>
      </c>
      <c r="F272" s="138">
        <f t="shared" si="155"/>
        <v>0</v>
      </c>
      <c r="G272" s="138">
        <f t="shared" si="156"/>
        <v>390</v>
      </c>
      <c r="H272" s="138">
        <f t="shared" si="157"/>
        <v>0</v>
      </c>
      <c r="I272" s="138">
        <f t="shared" si="158"/>
        <v>91</v>
      </c>
      <c r="J272" s="138">
        <f t="shared" si="159"/>
        <v>0</v>
      </c>
      <c r="K272" s="138">
        <f t="shared" si="160"/>
        <v>312</v>
      </c>
      <c r="L272" s="138">
        <f t="shared" si="161"/>
        <v>0</v>
      </c>
      <c r="M272" s="138">
        <f t="shared" si="162"/>
        <v>117</v>
      </c>
      <c r="N272" s="138">
        <f t="shared" si="163"/>
        <v>0</v>
      </c>
      <c r="O272" s="138">
        <f>C272+E272+G272+I272+K272+M272</f>
        <v>1027</v>
      </c>
      <c r="P272" s="9" t="s">
        <v>10</v>
      </c>
      <c r="Q272" s="141"/>
      <c r="R272" s="137">
        <f>O272*Q272</f>
        <v>0</v>
      </c>
      <c r="T272" s="142">
        <v>13</v>
      </c>
      <c r="U272" s="142">
        <v>13</v>
      </c>
    </row>
    <row r="273" spans="1:21" x14ac:dyDescent="0.2">
      <c r="A273" s="139"/>
      <c r="B273" s="80"/>
      <c r="C273" s="138">
        <f t="shared" si="152"/>
        <v>0</v>
      </c>
      <c r="D273" s="138">
        <f t="shared" si="153"/>
        <v>0</v>
      </c>
      <c r="E273" s="138">
        <f t="shared" si="154"/>
        <v>0</v>
      </c>
      <c r="F273" s="138">
        <f t="shared" si="155"/>
        <v>0</v>
      </c>
      <c r="G273" s="138">
        <f t="shared" si="156"/>
        <v>0</v>
      </c>
      <c r="H273" s="138">
        <f t="shared" si="157"/>
        <v>0</v>
      </c>
      <c r="I273" s="138">
        <f t="shared" si="158"/>
        <v>0</v>
      </c>
      <c r="J273" s="138">
        <f t="shared" si="159"/>
        <v>0</v>
      </c>
      <c r="K273" s="138">
        <f t="shared" si="160"/>
        <v>0</v>
      </c>
      <c r="L273" s="138">
        <f t="shared" si="161"/>
        <v>0</v>
      </c>
      <c r="M273" s="138">
        <f t="shared" si="162"/>
        <v>0</v>
      </c>
      <c r="N273" s="138">
        <f t="shared" si="163"/>
        <v>0</v>
      </c>
      <c r="O273" s="138">
        <f t="shared" si="164"/>
        <v>0</v>
      </c>
      <c r="P273" s="154"/>
      <c r="Q273" s="141"/>
      <c r="R273" s="137"/>
    </row>
    <row r="274" spans="1:21" x14ac:dyDescent="0.2">
      <c r="A274" s="139" t="s">
        <v>67</v>
      </c>
      <c r="B274" s="12" t="s">
        <v>520</v>
      </c>
      <c r="C274" s="138">
        <f t="shared" si="152"/>
        <v>4</v>
      </c>
      <c r="D274" s="138">
        <f t="shared" si="153"/>
        <v>0</v>
      </c>
      <c r="E274" s="138">
        <f t="shared" si="154"/>
        <v>5</v>
      </c>
      <c r="F274" s="138">
        <f t="shared" si="155"/>
        <v>0</v>
      </c>
      <c r="G274" s="138">
        <f t="shared" si="156"/>
        <v>30</v>
      </c>
      <c r="H274" s="138">
        <f t="shared" si="157"/>
        <v>0</v>
      </c>
      <c r="I274" s="138">
        <f t="shared" si="158"/>
        <v>7</v>
      </c>
      <c r="J274" s="138">
        <f t="shared" si="159"/>
        <v>0</v>
      </c>
      <c r="K274" s="138">
        <f t="shared" si="160"/>
        <v>24</v>
      </c>
      <c r="L274" s="138">
        <f t="shared" si="161"/>
        <v>0</v>
      </c>
      <c r="M274" s="138">
        <f t="shared" si="162"/>
        <v>9</v>
      </c>
      <c r="N274" s="138">
        <f t="shared" si="163"/>
        <v>0</v>
      </c>
      <c r="O274" s="138">
        <f>C274+E274+G274+I274+K274+M274</f>
        <v>79</v>
      </c>
      <c r="P274" s="9" t="s">
        <v>10</v>
      </c>
      <c r="Q274" s="141"/>
      <c r="R274" s="137">
        <f>O274*Q274</f>
        <v>0</v>
      </c>
      <c r="T274" s="142">
        <v>1</v>
      </c>
      <c r="U274" s="142">
        <v>1</v>
      </c>
    </row>
    <row r="275" spans="1:21" x14ac:dyDescent="0.2">
      <c r="A275" s="139"/>
      <c r="B275" s="160"/>
      <c r="C275" s="138">
        <f t="shared" si="152"/>
        <v>0</v>
      </c>
      <c r="D275" s="138">
        <f t="shared" si="153"/>
        <v>0</v>
      </c>
      <c r="E275" s="138">
        <f t="shared" si="154"/>
        <v>0</v>
      </c>
      <c r="F275" s="138">
        <f t="shared" si="155"/>
        <v>0</v>
      </c>
      <c r="G275" s="138">
        <f t="shared" si="156"/>
        <v>0</v>
      </c>
      <c r="H275" s="138">
        <f t="shared" si="157"/>
        <v>0</v>
      </c>
      <c r="I275" s="138">
        <f t="shared" si="158"/>
        <v>0</v>
      </c>
      <c r="J275" s="138">
        <f t="shared" si="159"/>
        <v>0</v>
      </c>
      <c r="K275" s="138">
        <f t="shared" si="160"/>
        <v>0</v>
      </c>
      <c r="L275" s="138">
        <f t="shared" si="161"/>
        <v>0</v>
      </c>
      <c r="M275" s="138">
        <f t="shared" si="162"/>
        <v>0</v>
      </c>
      <c r="N275" s="138">
        <f t="shared" si="163"/>
        <v>0</v>
      </c>
      <c r="O275" s="138">
        <f t="shared" ref="O275:O279" si="165">C275+E275+G275+I275+K275+M275</f>
        <v>0</v>
      </c>
      <c r="P275" s="154"/>
      <c r="Q275" s="141"/>
      <c r="R275" s="137"/>
    </row>
    <row r="276" spans="1:21" ht="28.5" x14ac:dyDescent="0.2">
      <c r="A276" s="1"/>
      <c r="B276" s="111" t="s">
        <v>403</v>
      </c>
      <c r="C276" s="138">
        <f t="shared" si="152"/>
        <v>0</v>
      </c>
      <c r="D276" s="138">
        <f t="shared" si="153"/>
        <v>0</v>
      </c>
      <c r="E276" s="138">
        <f t="shared" si="154"/>
        <v>0</v>
      </c>
      <c r="F276" s="138">
        <f t="shared" si="155"/>
        <v>0</v>
      </c>
      <c r="G276" s="138">
        <f t="shared" si="156"/>
        <v>0</v>
      </c>
      <c r="H276" s="138">
        <f t="shared" si="157"/>
        <v>0</v>
      </c>
      <c r="I276" s="138">
        <f t="shared" si="158"/>
        <v>0</v>
      </c>
      <c r="J276" s="138">
        <f t="shared" si="159"/>
        <v>0</v>
      </c>
      <c r="K276" s="138">
        <f t="shared" si="160"/>
        <v>0</v>
      </c>
      <c r="L276" s="138">
        <f t="shared" si="161"/>
        <v>0</v>
      </c>
      <c r="M276" s="138">
        <f t="shared" si="162"/>
        <v>0</v>
      </c>
      <c r="N276" s="138">
        <f t="shared" si="163"/>
        <v>0</v>
      </c>
      <c r="O276" s="138">
        <f t="shared" si="165"/>
        <v>0</v>
      </c>
      <c r="P276" s="9"/>
      <c r="Q276" s="141"/>
      <c r="R276" s="137"/>
    </row>
    <row r="277" spans="1:21" x14ac:dyDescent="0.2">
      <c r="A277" s="139"/>
      <c r="B277" s="112"/>
      <c r="C277" s="138">
        <f t="shared" si="152"/>
        <v>0</v>
      </c>
      <c r="D277" s="138">
        <f t="shared" si="153"/>
        <v>0</v>
      </c>
      <c r="E277" s="138">
        <f t="shared" si="154"/>
        <v>0</v>
      </c>
      <c r="F277" s="138">
        <f t="shared" si="155"/>
        <v>0</v>
      </c>
      <c r="G277" s="138">
        <f t="shared" si="156"/>
        <v>0</v>
      </c>
      <c r="H277" s="138">
        <f t="shared" si="157"/>
        <v>0</v>
      </c>
      <c r="I277" s="138">
        <f t="shared" si="158"/>
        <v>0</v>
      </c>
      <c r="J277" s="138">
        <f t="shared" si="159"/>
        <v>0</v>
      </c>
      <c r="K277" s="138">
        <f t="shared" si="160"/>
        <v>0</v>
      </c>
      <c r="L277" s="138">
        <f t="shared" si="161"/>
        <v>0</v>
      </c>
      <c r="M277" s="138">
        <f t="shared" si="162"/>
        <v>0</v>
      </c>
      <c r="N277" s="138">
        <f t="shared" si="163"/>
        <v>0</v>
      </c>
      <c r="O277" s="138">
        <f t="shared" si="165"/>
        <v>0</v>
      </c>
      <c r="P277" s="154"/>
      <c r="Q277" s="141"/>
      <c r="R277" s="137"/>
    </row>
    <row r="278" spans="1:21" x14ac:dyDescent="0.2">
      <c r="A278" s="1" t="s">
        <v>68</v>
      </c>
      <c r="B278" s="112" t="s">
        <v>521</v>
      </c>
      <c r="C278" s="138">
        <f t="shared" si="152"/>
        <v>766</v>
      </c>
      <c r="D278" s="138">
        <f t="shared" si="153"/>
        <v>0</v>
      </c>
      <c r="E278" s="138">
        <f t="shared" si="154"/>
        <v>927</v>
      </c>
      <c r="F278" s="138">
        <f t="shared" si="155"/>
        <v>0</v>
      </c>
      <c r="G278" s="138">
        <f t="shared" si="156"/>
        <v>5440</v>
      </c>
      <c r="H278" s="138">
        <f t="shared" si="157"/>
        <v>0</v>
      </c>
      <c r="I278" s="138">
        <f t="shared" si="158"/>
        <v>1249</v>
      </c>
      <c r="J278" s="138">
        <f t="shared" si="159"/>
        <v>0</v>
      </c>
      <c r="K278" s="138">
        <f t="shared" si="160"/>
        <v>4230</v>
      </c>
      <c r="L278" s="138">
        <f t="shared" si="161"/>
        <v>0</v>
      </c>
      <c r="M278" s="138">
        <f t="shared" si="162"/>
        <v>1571</v>
      </c>
      <c r="N278" s="138">
        <f t="shared" si="163"/>
        <v>0</v>
      </c>
      <c r="O278" s="138">
        <f>C278+E278+G278+I278+K278+M278</f>
        <v>14183</v>
      </c>
      <c r="P278" s="9" t="s">
        <v>10</v>
      </c>
      <c r="Q278" s="141"/>
      <c r="R278" s="137">
        <f>O278*Q278</f>
        <v>0</v>
      </c>
      <c r="T278" s="142">
        <v>222</v>
      </c>
      <c r="U278" s="142">
        <v>161</v>
      </c>
    </row>
    <row r="279" spans="1:21" x14ac:dyDescent="0.2">
      <c r="A279" s="139"/>
      <c r="B279" s="80"/>
      <c r="C279" s="138">
        <f t="shared" si="152"/>
        <v>0</v>
      </c>
      <c r="D279" s="138">
        <f t="shared" si="153"/>
        <v>0</v>
      </c>
      <c r="E279" s="138">
        <f t="shared" si="154"/>
        <v>0</v>
      </c>
      <c r="F279" s="138">
        <f t="shared" si="155"/>
        <v>0</v>
      </c>
      <c r="G279" s="138">
        <f t="shared" si="156"/>
        <v>0</v>
      </c>
      <c r="H279" s="138">
        <f t="shared" si="157"/>
        <v>0</v>
      </c>
      <c r="I279" s="138">
        <f t="shared" si="158"/>
        <v>0</v>
      </c>
      <c r="J279" s="138">
        <f t="shared" si="159"/>
        <v>0</v>
      </c>
      <c r="K279" s="138">
        <f t="shared" si="160"/>
        <v>0</v>
      </c>
      <c r="L279" s="138">
        <f t="shared" si="161"/>
        <v>0</v>
      </c>
      <c r="M279" s="138">
        <f t="shared" si="162"/>
        <v>0</v>
      </c>
      <c r="N279" s="138">
        <f t="shared" si="163"/>
        <v>0</v>
      </c>
      <c r="O279" s="138">
        <f t="shared" si="165"/>
        <v>0</v>
      </c>
      <c r="P279" s="154"/>
      <c r="Q279" s="141"/>
      <c r="R279" s="137"/>
    </row>
    <row r="280" spans="1:21" x14ac:dyDescent="0.2">
      <c r="A280" s="139" t="s">
        <v>69</v>
      </c>
      <c r="B280" s="12" t="s">
        <v>522</v>
      </c>
      <c r="C280" s="138">
        <f t="shared" si="152"/>
        <v>74</v>
      </c>
      <c r="D280" s="138">
        <f t="shared" si="153"/>
        <v>0</v>
      </c>
      <c r="E280" s="138">
        <f t="shared" si="154"/>
        <v>97</v>
      </c>
      <c r="F280" s="138">
        <f t="shared" si="155"/>
        <v>0</v>
      </c>
      <c r="G280" s="138">
        <f t="shared" si="156"/>
        <v>600</v>
      </c>
      <c r="H280" s="138">
        <f t="shared" si="157"/>
        <v>0</v>
      </c>
      <c r="I280" s="138">
        <f t="shared" si="158"/>
        <v>143</v>
      </c>
      <c r="J280" s="138">
        <f t="shared" si="159"/>
        <v>0</v>
      </c>
      <c r="K280" s="138">
        <f t="shared" si="160"/>
        <v>498</v>
      </c>
      <c r="L280" s="138">
        <f t="shared" si="161"/>
        <v>0</v>
      </c>
      <c r="M280" s="138">
        <f t="shared" si="162"/>
        <v>189</v>
      </c>
      <c r="N280" s="138">
        <f t="shared" si="163"/>
        <v>0</v>
      </c>
      <c r="O280" s="138">
        <f>C280+E280+G280+I280+K280+M280</f>
        <v>1601</v>
      </c>
      <c r="P280" s="9" t="s">
        <v>10</v>
      </c>
      <c r="Q280" s="141"/>
      <c r="R280" s="137">
        <f>O280*Q280</f>
        <v>0</v>
      </c>
      <c r="T280" s="142">
        <v>14</v>
      </c>
      <c r="U280" s="142">
        <v>23</v>
      </c>
    </row>
    <row r="281" spans="1:21" x14ac:dyDescent="0.2">
      <c r="A281" s="139"/>
      <c r="B281" s="160"/>
      <c r="C281" s="138">
        <f t="shared" si="152"/>
        <v>0</v>
      </c>
      <c r="D281" s="138">
        <f t="shared" si="153"/>
        <v>0</v>
      </c>
      <c r="E281" s="138">
        <f t="shared" si="154"/>
        <v>0</v>
      </c>
      <c r="F281" s="138">
        <f t="shared" si="155"/>
        <v>0</v>
      </c>
      <c r="G281" s="138">
        <f t="shared" si="156"/>
        <v>0</v>
      </c>
      <c r="H281" s="138">
        <f t="shared" si="157"/>
        <v>0</v>
      </c>
      <c r="I281" s="138">
        <f t="shared" si="158"/>
        <v>0</v>
      </c>
      <c r="J281" s="138">
        <f t="shared" si="159"/>
        <v>0</v>
      </c>
      <c r="K281" s="138">
        <f t="shared" si="160"/>
        <v>0</v>
      </c>
      <c r="L281" s="138">
        <f t="shared" si="161"/>
        <v>0</v>
      </c>
      <c r="M281" s="138">
        <f t="shared" si="162"/>
        <v>0</v>
      </c>
      <c r="N281" s="138">
        <f t="shared" si="163"/>
        <v>0</v>
      </c>
      <c r="O281" s="138">
        <f t="shared" ref="O281:O285" si="166">C281+E281+G281+I281+K281+M281</f>
        <v>0</v>
      </c>
      <c r="P281" s="154"/>
      <c r="Q281" s="141"/>
      <c r="R281" s="137"/>
    </row>
    <row r="282" spans="1:21" ht="28.5" x14ac:dyDescent="0.2">
      <c r="A282" s="1"/>
      <c r="B282" s="111" t="s">
        <v>523</v>
      </c>
      <c r="C282" s="138">
        <f t="shared" si="152"/>
        <v>0</v>
      </c>
      <c r="D282" s="138">
        <f t="shared" si="153"/>
        <v>0</v>
      </c>
      <c r="E282" s="138">
        <f t="shared" si="154"/>
        <v>0</v>
      </c>
      <c r="F282" s="138">
        <f t="shared" si="155"/>
        <v>0</v>
      </c>
      <c r="G282" s="138">
        <f t="shared" si="156"/>
        <v>0</v>
      </c>
      <c r="H282" s="138">
        <f t="shared" si="157"/>
        <v>0</v>
      </c>
      <c r="I282" s="138">
        <f t="shared" si="158"/>
        <v>0</v>
      </c>
      <c r="J282" s="138">
        <f t="shared" si="159"/>
        <v>0</v>
      </c>
      <c r="K282" s="138">
        <f t="shared" si="160"/>
        <v>0</v>
      </c>
      <c r="L282" s="138">
        <f t="shared" si="161"/>
        <v>0</v>
      </c>
      <c r="M282" s="138">
        <f t="shared" si="162"/>
        <v>0</v>
      </c>
      <c r="N282" s="138">
        <f t="shared" si="163"/>
        <v>0</v>
      </c>
      <c r="O282" s="138">
        <f t="shared" si="166"/>
        <v>0</v>
      </c>
      <c r="P282" s="9"/>
      <c r="Q282" s="141"/>
      <c r="R282" s="137"/>
    </row>
    <row r="283" spans="1:21" x14ac:dyDescent="0.2">
      <c r="A283" s="139"/>
      <c r="B283" s="112"/>
      <c r="C283" s="138">
        <f t="shared" si="152"/>
        <v>0</v>
      </c>
      <c r="D283" s="138">
        <f t="shared" si="153"/>
        <v>0</v>
      </c>
      <c r="E283" s="138">
        <f t="shared" si="154"/>
        <v>0</v>
      </c>
      <c r="F283" s="138">
        <f t="shared" si="155"/>
        <v>0</v>
      </c>
      <c r="G283" s="138">
        <f t="shared" si="156"/>
        <v>0</v>
      </c>
      <c r="H283" s="138">
        <f t="shared" si="157"/>
        <v>0</v>
      </c>
      <c r="I283" s="138">
        <f t="shared" si="158"/>
        <v>0</v>
      </c>
      <c r="J283" s="138">
        <f t="shared" si="159"/>
        <v>0</v>
      </c>
      <c r="K283" s="138">
        <f t="shared" si="160"/>
        <v>0</v>
      </c>
      <c r="L283" s="138">
        <f t="shared" si="161"/>
        <v>0</v>
      </c>
      <c r="M283" s="138">
        <f t="shared" si="162"/>
        <v>0</v>
      </c>
      <c r="N283" s="138">
        <f t="shared" si="163"/>
        <v>0</v>
      </c>
      <c r="O283" s="138">
        <f t="shared" si="166"/>
        <v>0</v>
      </c>
      <c r="P283" s="154"/>
      <c r="Q283" s="141"/>
      <c r="R283" s="137"/>
    </row>
    <row r="284" spans="1:21" x14ac:dyDescent="0.2">
      <c r="A284" s="1" t="s">
        <v>70</v>
      </c>
      <c r="B284" s="112" t="s">
        <v>524</v>
      </c>
      <c r="C284" s="138">
        <f t="shared" si="152"/>
        <v>350</v>
      </c>
      <c r="D284" s="138">
        <f t="shared" si="153"/>
        <v>0</v>
      </c>
      <c r="E284" s="138">
        <f t="shared" si="154"/>
        <v>431</v>
      </c>
      <c r="F284" s="138">
        <f t="shared" si="155"/>
        <v>0</v>
      </c>
      <c r="G284" s="138">
        <f t="shared" si="156"/>
        <v>2560</v>
      </c>
      <c r="H284" s="138">
        <f t="shared" si="157"/>
        <v>0</v>
      </c>
      <c r="I284" s="138">
        <f t="shared" si="158"/>
        <v>593</v>
      </c>
      <c r="J284" s="138">
        <f t="shared" si="159"/>
        <v>0</v>
      </c>
      <c r="K284" s="138">
        <f t="shared" si="160"/>
        <v>2022</v>
      </c>
      <c r="L284" s="138">
        <f t="shared" si="161"/>
        <v>0</v>
      </c>
      <c r="M284" s="138">
        <f t="shared" si="162"/>
        <v>755</v>
      </c>
      <c r="N284" s="138">
        <f t="shared" si="163"/>
        <v>0</v>
      </c>
      <c r="O284" s="138">
        <f>C284+E284+G284+I284+K284+M284</f>
        <v>6711</v>
      </c>
      <c r="P284" s="9" t="s">
        <v>10</v>
      </c>
      <c r="Q284" s="141"/>
      <c r="R284" s="137">
        <f>O284*Q284</f>
        <v>0</v>
      </c>
      <c r="T284" s="142">
        <v>94</v>
      </c>
      <c r="U284" s="142">
        <v>81</v>
      </c>
    </row>
    <row r="285" spans="1:21" x14ac:dyDescent="0.2">
      <c r="A285" s="139"/>
      <c r="B285" s="80"/>
      <c r="C285" s="138">
        <f t="shared" si="152"/>
        <v>0</v>
      </c>
      <c r="D285" s="138">
        <f t="shared" si="153"/>
        <v>0</v>
      </c>
      <c r="E285" s="138">
        <f t="shared" si="154"/>
        <v>0</v>
      </c>
      <c r="F285" s="138">
        <f t="shared" si="155"/>
        <v>0</v>
      </c>
      <c r="G285" s="138">
        <f t="shared" si="156"/>
        <v>0</v>
      </c>
      <c r="H285" s="138">
        <f t="shared" si="157"/>
        <v>0</v>
      </c>
      <c r="I285" s="138">
        <f t="shared" si="158"/>
        <v>0</v>
      </c>
      <c r="J285" s="138">
        <f t="shared" si="159"/>
        <v>0</v>
      </c>
      <c r="K285" s="138">
        <f t="shared" si="160"/>
        <v>0</v>
      </c>
      <c r="L285" s="138">
        <f t="shared" si="161"/>
        <v>0</v>
      </c>
      <c r="M285" s="138">
        <f t="shared" si="162"/>
        <v>0</v>
      </c>
      <c r="N285" s="138">
        <f t="shared" si="163"/>
        <v>0</v>
      </c>
      <c r="O285" s="138">
        <f t="shared" si="166"/>
        <v>0</v>
      </c>
      <c r="P285" s="154"/>
      <c r="Q285" s="141"/>
      <c r="R285" s="137"/>
    </row>
    <row r="286" spans="1:21" x14ac:dyDescent="0.2">
      <c r="A286" s="139" t="s">
        <v>71</v>
      </c>
      <c r="B286" s="12" t="s">
        <v>525</v>
      </c>
      <c r="C286" s="138">
        <f t="shared" si="152"/>
        <v>4</v>
      </c>
      <c r="D286" s="138">
        <f t="shared" si="153"/>
        <v>0</v>
      </c>
      <c r="E286" s="138">
        <f t="shared" si="154"/>
        <v>5</v>
      </c>
      <c r="F286" s="138">
        <f t="shared" si="155"/>
        <v>0</v>
      </c>
      <c r="G286" s="138">
        <f t="shared" si="156"/>
        <v>30</v>
      </c>
      <c r="H286" s="138">
        <f t="shared" si="157"/>
        <v>0</v>
      </c>
      <c r="I286" s="138">
        <f t="shared" si="158"/>
        <v>7</v>
      </c>
      <c r="J286" s="138">
        <f t="shared" si="159"/>
        <v>0</v>
      </c>
      <c r="K286" s="138">
        <f t="shared" si="160"/>
        <v>24</v>
      </c>
      <c r="L286" s="138">
        <f t="shared" si="161"/>
        <v>0</v>
      </c>
      <c r="M286" s="138">
        <f t="shared" si="162"/>
        <v>9</v>
      </c>
      <c r="N286" s="138">
        <f t="shared" si="163"/>
        <v>0</v>
      </c>
      <c r="O286" s="138">
        <f>C286+E286+G286+I286+K286+M286</f>
        <v>79</v>
      </c>
      <c r="P286" s="9" t="s">
        <v>10</v>
      </c>
      <c r="Q286" s="141"/>
      <c r="R286" s="137">
        <f>O286*Q286</f>
        <v>0</v>
      </c>
      <c r="T286" s="142">
        <v>1</v>
      </c>
      <c r="U286" s="142">
        <v>1</v>
      </c>
    </row>
    <row r="287" spans="1:21" x14ac:dyDescent="0.2">
      <c r="A287" s="139"/>
      <c r="B287" s="80"/>
      <c r="C287" s="138">
        <f t="shared" si="152"/>
        <v>0</v>
      </c>
      <c r="D287" s="138">
        <f t="shared" si="153"/>
        <v>0</v>
      </c>
      <c r="E287" s="138">
        <f t="shared" si="154"/>
        <v>0</v>
      </c>
      <c r="F287" s="138">
        <f t="shared" si="155"/>
        <v>0</v>
      </c>
      <c r="G287" s="138">
        <f t="shared" si="156"/>
        <v>0</v>
      </c>
      <c r="H287" s="138">
        <f t="shared" si="157"/>
        <v>0</v>
      </c>
      <c r="I287" s="138">
        <f t="shared" si="158"/>
        <v>0</v>
      </c>
      <c r="J287" s="138">
        <f t="shared" si="159"/>
        <v>0</v>
      </c>
      <c r="K287" s="138">
        <f t="shared" si="160"/>
        <v>0</v>
      </c>
      <c r="L287" s="138">
        <f t="shared" si="161"/>
        <v>0</v>
      </c>
      <c r="M287" s="138">
        <f t="shared" si="162"/>
        <v>0</v>
      </c>
      <c r="N287" s="138">
        <f t="shared" si="163"/>
        <v>0</v>
      </c>
      <c r="O287" s="138">
        <f t="shared" ref="O287" si="167">C287+E287+G287+I287+K287+M287</f>
        <v>0</v>
      </c>
      <c r="P287" s="154"/>
      <c r="Q287" s="141"/>
      <c r="R287" s="137"/>
    </row>
    <row r="288" spans="1:21" x14ac:dyDescent="0.2">
      <c r="A288" s="139" t="s">
        <v>72</v>
      </c>
      <c r="B288" s="12" t="s">
        <v>526</v>
      </c>
      <c r="C288" s="138">
        <f t="shared" si="152"/>
        <v>12</v>
      </c>
      <c r="D288" s="138">
        <f t="shared" si="153"/>
        <v>0</v>
      </c>
      <c r="E288" s="138">
        <f t="shared" si="154"/>
        <v>15</v>
      </c>
      <c r="F288" s="138">
        <f t="shared" si="155"/>
        <v>0</v>
      </c>
      <c r="G288" s="138">
        <f t="shared" si="156"/>
        <v>90</v>
      </c>
      <c r="H288" s="138">
        <f t="shared" si="157"/>
        <v>0</v>
      </c>
      <c r="I288" s="138">
        <f t="shared" si="158"/>
        <v>21</v>
      </c>
      <c r="J288" s="138">
        <f t="shared" si="159"/>
        <v>0</v>
      </c>
      <c r="K288" s="138">
        <f t="shared" si="160"/>
        <v>72</v>
      </c>
      <c r="L288" s="138">
        <f t="shared" si="161"/>
        <v>0</v>
      </c>
      <c r="M288" s="138">
        <f t="shared" si="162"/>
        <v>27</v>
      </c>
      <c r="N288" s="138">
        <f t="shared" si="163"/>
        <v>0</v>
      </c>
      <c r="O288" s="138">
        <f>C288+E288+G288+I288+K288+M288</f>
        <v>237</v>
      </c>
      <c r="P288" s="9" t="s">
        <v>12</v>
      </c>
      <c r="Q288" s="141"/>
      <c r="R288" s="137">
        <f>O288*Q288</f>
        <v>0</v>
      </c>
      <c r="T288" s="142">
        <v>3</v>
      </c>
      <c r="U288" s="142">
        <v>3</v>
      </c>
    </row>
    <row r="289" spans="1:21" x14ac:dyDescent="0.2">
      <c r="A289" s="139"/>
      <c r="B289" s="80"/>
      <c r="C289" s="138">
        <f t="shared" si="152"/>
        <v>0</v>
      </c>
      <c r="D289" s="138">
        <f t="shared" si="153"/>
        <v>0</v>
      </c>
      <c r="E289" s="138">
        <f t="shared" si="154"/>
        <v>0</v>
      </c>
      <c r="F289" s="138">
        <f t="shared" si="155"/>
        <v>0</v>
      </c>
      <c r="G289" s="138">
        <f t="shared" si="156"/>
        <v>0</v>
      </c>
      <c r="H289" s="138">
        <f t="shared" si="157"/>
        <v>0</v>
      </c>
      <c r="I289" s="138">
        <f t="shared" si="158"/>
        <v>0</v>
      </c>
      <c r="J289" s="138">
        <f t="shared" si="159"/>
        <v>0</v>
      </c>
      <c r="K289" s="138">
        <f t="shared" si="160"/>
        <v>0</v>
      </c>
      <c r="L289" s="138">
        <f t="shared" si="161"/>
        <v>0</v>
      </c>
      <c r="M289" s="138">
        <f t="shared" si="162"/>
        <v>0</v>
      </c>
      <c r="N289" s="138">
        <f t="shared" si="163"/>
        <v>0</v>
      </c>
      <c r="O289" s="138">
        <f t="shared" si="164"/>
        <v>0</v>
      </c>
      <c r="P289" s="154"/>
      <c r="Q289" s="141"/>
      <c r="R289" s="137"/>
    </row>
    <row r="290" spans="1:21" x14ac:dyDescent="0.2">
      <c r="A290" s="139"/>
      <c r="B290" s="80" t="s">
        <v>54</v>
      </c>
      <c r="C290" s="138">
        <f t="shared" si="152"/>
        <v>0</v>
      </c>
      <c r="D290" s="138">
        <f t="shared" si="153"/>
        <v>0</v>
      </c>
      <c r="E290" s="138">
        <f t="shared" si="154"/>
        <v>0</v>
      </c>
      <c r="F290" s="138">
        <f t="shared" si="155"/>
        <v>0</v>
      </c>
      <c r="G290" s="138">
        <f t="shared" si="156"/>
        <v>0</v>
      </c>
      <c r="H290" s="138">
        <f t="shared" si="157"/>
        <v>0</v>
      </c>
      <c r="I290" s="138">
        <f t="shared" si="158"/>
        <v>0</v>
      </c>
      <c r="J290" s="138">
        <f t="shared" si="159"/>
        <v>0</v>
      </c>
      <c r="K290" s="138">
        <f t="shared" si="160"/>
        <v>0</v>
      </c>
      <c r="L290" s="138">
        <f t="shared" si="161"/>
        <v>0</v>
      </c>
      <c r="M290" s="138">
        <f t="shared" si="162"/>
        <v>0</v>
      </c>
      <c r="N290" s="138">
        <f t="shared" si="163"/>
        <v>0</v>
      </c>
      <c r="O290" s="138">
        <f t="shared" si="164"/>
        <v>0</v>
      </c>
      <c r="P290" s="154"/>
      <c r="Q290" s="141"/>
      <c r="R290" s="137"/>
    </row>
    <row r="291" spans="1:21" x14ac:dyDescent="0.2">
      <c r="A291" s="139"/>
      <c r="B291" s="80"/>
      <c r="C291" s="138">
        <f t="shared" si="152"/>
        <v>0</v>
      </c>
      <c r="D291" s="138">
        <f t="shared" si="153"/>
        <v>0</v>
      </c>
      <c r="E291" s="138">
        <f t="shared" si="154"/>
        <v>0</v>
      </c>
      <c r="F291" s="138">
        <f t="shared" si="155"/>
        <v>0</v>
      </c>
      <c r="G291" s="138">
        <f t="shared" si="156"/>
        <v>0</v>
      </c>
      <c r="H291" s="138">
        <f t="shared" si="157"/>
        <v>0</v>
      </c>
      <c r="I291" s="138">
        <f t="shared" si="158"/>
        <v>0</v>
      </c>
      <c r="J291" s="138">
        <f t="shared" si="159"/>
        <v>0</v>
      </c>
      <c r="K291" s="138">
        <f t="shared" si="160"/>
        <v>0</v>
      </c>
      <c r="L291" s="138">
        <f t="shared" si="161"/>
        <v>0</v>
      </c>
      <c r="M291" s="138">
        <f t="shared" si="162"/>
        <v>0</v>
      </c>
      <c r="N291" s="138">
        <f t="shared" si="163"/>
        <v>0</v>
      </c>
      <c r="O291" s="138">
        <f t="shared" si="164"/>
        <v>0</v>
      </c>
      <c r="P291" s="154"/>
      <c r="Q291" s="141"/>
      <c r="R291" s="137"/>
    </row>
    <row r="292" spans="1:21" ht="28.5" x14ac:dyDescent="0.2">
      <c r="A292" s="139"/>
      <c r="B292" s="111" t="s">
        <v>438</v>
      </c>
      <c r="C292" s="138">
        <f t="shared" si="152"/>
        <v>0</v>
      </c>
      <c r="D292" s="138">
        <f t="shared" si="153"/>
        <v>0</v>
      </c>
      <c r="E292" s="138">
        <f t="shared" si="154"/>
        <v>0</v>
      </c>
      <c r="F292" s="138">
        <f t="shared" si="155"/>
        <v>0</v>
      </c>
      <c r="G292" s="138">
        <f t="shared" si="156"/>
        <v>0</v>
      </c>
      <c r="H292" s="138">
        <f t="shared" si="157"/>
        <v>0</v>
      </c>
      <c r="I292" s="138">
        <f t="shared" si="158"/>
        <v>0</v>
      </c>
      <c r="J292" s="138">
        <f t="shared" si="159"/>
        <v>0</v>
      </c>
      <c r="K292" s="138">
        <f t="shared" si="160"/>
        <v>0</v>
      </c>
      <c r="L292" s="138">
        <f t="shared" si="161"/>
        <v>0</v>
      </c>
      <c r="M292" s="138">
        <f t="shared" si="162"/>
        <v>0</v>
      </c>
      <c r="N292" s="138">
        <f t="shared" si="163"/>
        <v>0</v>
      </c>
      <c r="O292" s="138">
        <f t="shared" si="164"/>
        <v>0</v>
      </c>
      <c r="P292" s="9"/>
      <c r="Q292" s="141"/>
      <c r="R292" s="137">
        <f t="shared" ref="R292" si="168">O292*Q292</f>
        <v>0</v>
      </c>
      <c r="S292" s="86"/>
    </row>
    <row r="293" spans="1:21" x14ac:dyDescent="0.2">
      <c r="A293" s="139"/>
      <c r="B293" s="160"/>
      <c r="C293" s="138">
        <f t="shared" si="152"/>
        <v>0</v>
      </c>
      <c r="D293" s="138">
        <f t="shared" si="153"/>
        <v>0</v>
      </c>
      <c r="E293" s="138">
        <f t="shared" si="154"/>
        <v>0</v>
      </c>
      <c r="F293" s="138">
        <f t="shared" si="155"/>
        <v>0</v>
      </c>
      <c r="G293" s="138">
        <f t="shared" si="156"/>
        <v>0</v>
      </c>
      <c r="H293" s="138">
        <f t="shared" si="157"/>
        <v>0</v>
      </c>
      <c r="I293" s="138">
        <f t="shared" si="158"/>
        <v>0</v>
      </c>
      <c r="J293" s="138">
        <f t="shared" si="159"/>
        <v>0</v>
      </c>
      <c r="K293" s="138">
        <f t="shared" si="160"/>
        <v>0</v>
      </c>
      <c r="L293" s="138">
        <f t="shared" si="161"/>
        <v>0</v>
      </c>
      <c r="M293" s="138">
        <f t="shared" si="162"/>
        <v>0</v>
      </c>
      <c r="N293" s="138">
        <f t="shared" si="163"/>
        <v>0</v>
      </c>
      <c r="O293" s="138">
        <f t="shared" si="164"/>
        <v>0</v>
      </c>
      <c r="P293" s="154"/>
      <c r="Q293" s="141"/>
      <c r="R293" s="137"/>
    </row>
    <row r="294" spans="1:21" x14ac:dyDescent="0.2">
      <c r="A294" s="139" t="s">
        <v>73</v>
      </c>
      <c r="B294" s="12" t="s">
        <v>404</v>
      </c>
      <c r="C294" s="138">
        <f t="shared" si="152"/>
        <v>90</v>
      </c>
      <c r="D294" s="138">
        <f t="shared" si="153"/>
        <v>0</v>
      </c>
      <c r="E294" s="138">
        <f t="shared" si="154"/>
        <v>105</v>
      </c>
      <c r="F294" s="138">
        <f t="shared" si="155"/>
        <v>0</v>
      </c>
      <c r="G294" s="138">
        <f t="shared" si="156"/>
        <v>600</v>
      </c>
      <c r="H294" s="138">
        <f t="shared" si="157"/>
        <v>0</v>
      </c>
      <c r="I294" s="138">
        <f t="shared" si="158"/>
        <v>135</v>
      </c>
      <c r="J294" s="138">
        <f t="shared" si="159"/>
        <v>0</v>
      </c>
      <c r="K294" s="138">
        <f t="shared" si="160"/>
        <v>450</v>
      </c>
      <c r="L294" s="138">
        <f t="shared" si="161"/>
        <v>0</v>
      </c>
      <c r="M294" s="138">
        <f t="shared" si="162"/>
        <v>165</v>
      </c>
      <c r="N294" s="138">
        <f t="shared" si="163"/>
        <v>0</v>
      </c>
      <c r="O294" s="138">
        <f>C294+E294+G294+I294+K294+M294</f>
        <v>1545</v>
      </c>
      <c r="P294" s="154" t="s">
        <v>12</v>
      </c>
      <c r="Q294" s="141"/>
      <c r="R294" s="137">
        <f>O294*Q294</f>
        <v>0</v>
      </c>
      <c r="T294" s="142">
        <v>30</v>
      </c>
      <c r="U294" s="142">
        <v>15</v>
      </c>
    </row>
    <row r="295" spans="1:21" x14ac:dyDescent="0.2">
      <c r="A295" s="139"/>
      <c r="B295" s="111"/>
      <c r="C295" s="138">
        <f t="shared" si="152"/>
        <v>0</v>
      </c>
      <c r="D295" s="138">
        <f t="shared" si="153"/>
        <v>0</v>
      </c>
      <c r="E295" s="138">
        <f t="shared" si="154"/>
        <v>0</v>
      </c>
      <c r="F295" s="138">
        <f t="shared" si="155"/>
        <v>0</v>
      </c>
      <c r="G295" s="138">
        <f t="shared" si="156"/>
        <v>0</v>
      </c>
      <c r="H295" s="138">
        <f t="shared" si="157"/>
        <v>0</v>
      </c>
      <c r="I295" s="138">
        <f t="shared" si="158"/>
        <v>0</v>
      </c>
      <c r="J295" s="138">
        <f t="shared" si="159"/>
        <v>0</v>
      </c>
      <c r="K295" s="138">
        <f t="shared" si="160"/>
        <v>0</v>
      </c>
      <c r="L295" s="138">
        <f t="shared" si="161"/>
        <v>0</v>
      </c>
      <c r="M295" s="138">
        <f t="shared" si="162"/>
        <v>0</v>
      </c>
      <c r="N295" s="138">
        <f t="shared" si="163"/>
        <v>0</v>
      </c>
      <c r="O295" s="138">
        <f t="shared" si="164"/>
        <v>0</v>
      </c>
      <c r="P295" s="154"/>
      <c r="Q295" s="141"/>
      <c r="R295" s="137"/>
    </row>
    <row r="296" spans="1:21" x14ac:dyDescent="0.2">
      <c r="A296" s="1" t="s">
        <v>74</v>
      </c>
      <c r="B296" s="112" t="s">
        <v>405</v>
      </c>
      <c r="C296" s="138">
        <f t="shared" si="152"/>
        <v>218</v>
      </c>
      <c r="D296" s="138">
        <f t="shared" si="153"/>
        <v>0</v>
      </c>
      <c r="E296" s="138">
        <f t="shared" si="154"/>
        <v>267</v>
      </c>
      <c r="F296" s="138">
        <f t="shared" si="155"/>
        <v>0</v>
      </c>
      <c r="G296" s="138">
        <f t="shared" si="156"/>
        <v>1580</v>
      </c>
      <c r="H296" s="138">
        <f t="shared" si="157"/>
        <v>0</v>
      </c>
      <c r="I296" s="138">
        <f t="shared" si="158"/>
        <v>365</v>
      </c>
      <c r="J296" s="138">
        <f t="shared" si="159"/>
        <v>0</v>
      </c>
      <c r="K296" s="138">
        <f t="shared" si="160"/>
        <v>1242</v>
      </c>
      <c r="L296" s="138">
        <f t="shared" si="161"/>
        <v>0</v>
      </c>
      <c r="M296" s="138">
        <f t="shared" si="162"/>
        <v>463</v>
      </c>
      <c r="N296" s="138">
        <f t="shared" si="163"/>
        <v>0</v>
      </c>
      <c r="O296" s="138">
        <f>C296+E296+G296+I296+K296+M296</f>
        <v>4135</v>
      </c>
      <c r="P296" s="154" t="s">
        <v>12</v>
      </c>
      <c r="Q296" s="141"/>
      <c r="R296" s="137">
        <f>O296*Q296</f>
        <v>0</v>
      </c>
      <c r="T296" s="142">
        <v>60</v>
      </c>
      <c r="U296" s="142">
        <v>49</v>
      </c>
    </row>
    <row r="297" spans="1:21" x14ac:dyDescent="0.2">
      <c r="A297" s="1"/>
      <c r="B297" s="112"/>
      <c r="C297" s="138"/>
      <c r="D297" s="138"/>
      <c r="E297" s="138"/>
      <c r="F297" s="138"/>
      <c r="G297" s="138"/>
      <c r="H297" s="138"/>
      <c r="I297" s="138"/>
      <c r="J297" s="138"/>
      <c r="K297" s="138"/>
      <c r="L297" s="138"/>
      <c r="M297" s="138"/>
      <c r="N297" s="138"/>
      <c r="O297" s="138"/>
      <c r="P297" s="154"/>
      <c r="Q297" s="141"/>
      <c r="R297" s="137"/>
    </row>
    <row r="298" spans="1:21" x14ac:dyDescent="0.2">
      <c r="A298" s="500"/>
      <c r="B298" s="501" t="s">
        <v>953</v>
      </c>
      <c r="C298" s="488"/>
      <c r="D298" s="488"/>
      <c r="E298" s="488"/>
      <c r="F298" s="488"/>
      <c r="G298" s="488"/>
      <c r="H298" s="488"/>
      <c r="I298" s="488"/>
      <c r="J298" s="488"/>
      <c r="K298" s="488"/>
      <c r="L298" s="488"/>
      <c r="M298" s="488"/>
      <c r="N298" s="488"/>
      <c r="O298" s="488"/>
      <c r="P298" s="489"/>
      <c r="Q298" s="141"/>
      <c r="R298" s="137"/>
    </row>
    <row r="299" spans="1:21" x14ac:dyDescent="0.2">
      <c r="A299" s="500"/>
      <c r="B299" s="497"/>
      <c r="C299" s="488"/>
      <c r="D299" s="488"/>
      <c r="E299" s="488"/>
      <c r="F299" s="488"/>
      <c r="G299" s="488"/>
      <c r="H299" s="488"/>
      <c r="I299" s="488"/>
      <c r="J299" s="488"/>
      <c r="K299" s="488"/>
      <c r="L299" s="488"/>
      <c r="M299" s="488"/>
      <c r="N299" s="488"/>
      <c r="O299" s="488"/>
      <c r="P299" s="489"/>
      <c r="Q299" s="141"/>
      <c r="R299" s="137"/>
    </row>
    <row r="300" spans="1:21" x14ac:dyDescent="0.2">
      <c r="A300" s="486" t="s">
        <v>75</v>
      </c>
      <c r="B300" s="499" t="s">
        <v>954</v>
      </c>
      <c r="C300" s="488">
        <f t="shared" si="152"/>
        <v>136</v>
      </c>
      <c r="D300" s="488">
        <f t="shared" ref="D300" si="169">C300*$Q300</f>
        <v>0</v>
      </c>
      <c r="E300" s="488">
        <f t="shared" si="154"/>
        <v>170</v>
      </c>
      <c r="F300" s="488">
        <f t="shared" ref="F300" si="170">E300*$Q300</f>
        <v>0</v>
      </c>
      <c r="G300" s="488">
        <f t="shared" si="156"/>
        <v>1020</v>
      </c>
      <c r="H300" s="488">
        <f t="shared" ref="H300" si="171">G300*$Q300</f>
        <v>0</v>
      </c>
      <c r="I300" s="488">
        <f t="shared" si="158"/>
        <v>238</v>
      </c>
      <c r="J300" s="488">
        <f t="shared" ref="J300" si="172">I300*$Q300</f>
        <v>0</v>
      </c>
      <c r="K300" s="488">
        <f t="shared" si="160"/>
        <v>816</v>
      </c>
      <c r="L300" s="488">
        <f t="shared" ref="L300" si="173">K300*$Q300</f>
        <v>0</v>
      </c>
      <c r="M300" s="488">
        <f t="shared" si="162"/>
        <v>306</v>
      </c>
      <c r="N300" s="488">
        <f t="shared" ref="N300" si="174">M300*$Q300</f>
        <v>0</v>
      </c>
      <c r="O300" s="488">
        <f>C300+E300+G300+I300+K300+M300</f>
        <v>2686</v>
      </c>
      <c r="P300" s="489" t="s">
        <v>12</v>
      </c>
      <c r="Q300" s="141"/>
      <c r="R300" s="137"/>
      <c r="T300" s="485">
        <v>34</v>
      </c>
      <c r="U300" s="485">
        <v>34</v>
      </c>
    </row>
    <row r="301" spans="1:21" x14ac:dyDescent="0.2">
      <c r="A301" s="1"/>
      <c r="B301" s="112"/>
      <c r="C301" s="138"/>
      <c r="D301" s="138"/>
      <c r="E301" s="138"/>
      <c r="F301" s="138"/>
      <c r="G301" s="138"/>
      <c r="H301" s="138"/>
      <c r="I301" s="138"/>
      <c r="J301" s="138"/>
      <c r="K301" s="138"/>
      <c r="L301" s="138"/>
      <c r="M301" s="138"/>
      <c r="N301" s="138"/>
      <c r="O301" s="138"/>
      <c r="P301" s="154"/>
      <c r="Q301" s="141"/>
      <c r="R301" s="137"/>
    </row>
    <row r="302" spans="1:21" x14ac:dyDescent="0.2">
      <c r="A302" s="1"/>
      <c r="B302" s="112"/>
      <c r="C302" s="138"/>
      <c r="D302" s="138"/>
      <c r="E302" s="138"/>
      <c r="F302" s="138"/>
      <c r="G302" s="138"/>
      <c r="H302" s="138"/>
      <c r="I302" s="138"/>
      <c r="J302" s="138"/>
      <c r="K302" s="138"/>
      <c r="L302" s="138"/>
      <c r="M302" s="138"/>
      <c r="N302" s="138"/>
      <c r="O302" s="138"/>
      <c r="P302" s="154"/>
      <c r="Q302" s="141"/>
      <c r="R302" s="137"/>
    </row>
    <row r="303" spans="1:21" x14ac:dyDescent="0.2">
      <c r="A303" s="1"/>
      <c r="B303" s="112"/>
      <c r="C303" s="138"/>
      <c r="D303" s="138"/>
      <c r="E303" s="138"/>
      <c r="F303" s="138"/>
      <c r="G303" s="138"/>
      <c r="H303" s="138"/>
      <c r="I303" s="138"/>
      <c r="J303" s="138"/>
      <c r="K303" s="138"/>
      <c r="L303" s="138"/>
      <c r="M303" s="138"/>
      <c r="N303" s="138"/>
      <c r="O303" s="138"/>
      <c r="P303" s="154"/>
      <c r="Q303" s="141"/>
      <c r="R303" s="137"/>
    </row>
    <row r="304" spans="1:21" x14ac:dyDescent="0.2">
      <c r="A304" s="1"/>
      <c r="B304" s="112"/>
      <c r="C304" s="138"/>
      <c r="D304" s="138"/>
      <c r="E304" s="138"/>
      <c r="F304" s="138"/>
      <c r="G304" s="138"/>
      <c r="H304" s="138"/>
      <c r="I304" s="138"/>
      <c r="J304" s="138"/>
      <c r="K304" s="138"/>
      <c r="L304" s="138"/>
      <c r="M304" s="138"/>
      <c r="N304" s="138"/>
      <c r="O304" s="138"/>
      <c r="P304" s="154"/>
      <c r="Q304" s="141"/>
      <c r="R304" s="137"/>
    </row>
    <row r="305" spans="1:21" x14ac:dyDescent="0.2">
      <c r="A305" s="1"/>
      <c r="B305" s="112"/>
      <c r="C305" s="138"/>
      <c r="D305" s="138"/>
      <c r="E305" s="138"/>
      <c r="F305" s="138"/>
      <c r="G305" s="138"/>
      <c r="H305" s="138"/>
      <c r="I305" s="138"/>
      <c r="J305" s="138"/>
      <c r="K305" s="138"/>
      <c r="L305" s="138"/>
      <c r="M305" s="138"/>
      <c r="N305" s="138"/>
      <c r="O305" s="138"/>
      <c r="P305" s="154"/>
      <c r="Q305" s="141"/>
      <c r="R305" s="137"/>
    </row>
    <row r="306" spans="1:21" x14ac:dyDescent="0.2">
      <c r="A306" s="127"/>
      <c r="B306" s="136"/>
      <c r="C306" s="128"/>
      <c r="D306" s="120"/>
      <c r="E306" s="120"/>
      <c r="F306" s="120"/>
      <c r="G306" s="120"/>
      <c r="H306" s="120"/>
      <c r="I306" s="120"/>
      <c r="J306" s="120"/>
      <c r="K306" s="120"/>
      <c r="L306" s="120"/>
      <c r="M306" s="120"/>
      <c r="N306" s="120"/>
      <c r="O306" s="120"/>
      <c r="P306" s="154"/>
      <c r="Q306" s="141"/>
      <c r="R306" s="137"/>
      <c r="T306" s="52"/>
      <c r="U306" s="52"/>
    </row>
    <row r="307" spans="1:21" x14ac:dyDescent="0.2">
      <c r="A307" s="129"/>
      <c r="B307" s="130"/>
      <c r="C307" s="131"/>
      <c r="D307" s="131"/>
      <c r="E307" s="131"/>
      <c r="F307" s="131"/>
      <c r="G307" s="131"/>
      <c r="H307" s="131"/>
      <c r="I307" s="131"/>
      <c r="J307" s="131"/>
      <c r="K307" s="131"/>
      <c r="L307" s="131"/>
      <c r="M307" s="131"/>
      <c r="N307" s="131"/>
      <c r="O307" s="131"/>
      <c r="P307" s="131"/>
      <c r="Q307" s="132"/>
      <c r="R307" s="126"/>
      <c r="T307" s="134"/>
      <c r="U307" s="134"/>
    </row>
    <row r="308" spans="1:21" x14ac:dyDescent="0.2">
      <c r="C308" s="122"/>
      <c r="D308" s="122"/>
      <c r="E308" s="122"/>
      <c r="F308" s="122"/>
      <c r="G308" s="122"/>
      <c r="H308" s="122"/>
      <c r="I308" s="122"/>
      <c r="J308" s="122"/>
      <c r="K308" s="122"/>
      <c r="L308" s="122"/>
      <c r="M308" s="122"/>
      <c r="N308" s="122"/>
      <c r="O308" s="122"/>
      <c r="P308" s="171" t="s">
        <v>1</v>
      </c>
      <c r="Q308" s="133" t="s">
        <v>0</v>
      </c>
      <c r="R308" s="137">
        <f>SUM(R265:R306)</f>
        <v>0</v>
      </c>
      <c r="T308" s="135"/>
      <c r="U308" s="135"/>
    </row>
    <row r="309" spans="1:21" x14ac:dyDescent="0.2">
      <c r="P309" s="188"/>
      <c r="Q309" s="124"/>
      <c r="R309" s="125"/>
    </row>
    <row r="310" spans="1:21" x14ac:dyDescent="0.2">
      <c r="A310" s="139"/>
      <c r="B310" s="80"/>
      <c r="C310" s="128"/>
      <c r="D310" s="120"/>
      <c r="E310" s="120"/>
      <c r="F310" s="120"/>
      <c r="G310" s="120"/>
      <c r="H310" s="120"/>
      <c r="I310" s="120"/>
      <c r="J310" s="120"/>
      <c r="K310" s="120"/>
      <c r="L310" s="120"/>
      <c r="M310" s="120"/>
      <c r="N310" s="120"/>
      <c r="O310" s="120"/>
      <c r="P310" s="154"/>
      <c r="Q310" s="141"/>
      <c r="R310" s="137"/>
    </row>
    <row r="311" spans="1:21" x14ac:dyDescent="0.2">
      <c r="A311" s="139"/>
      <c r="B311" s="82" t="s">
        <v>8</v>
      </c>
      <c r="C311" s="138">
        <f t="shared" si="152"/>
        <v>0</v>
      </c>
      <c r="D311" s="138">
        <f t="shared" si="153"/>
        <v>0</v>
      </c>
      <c r="E311" s="138">
        <f t="shared" si="154"/>
        <v>0</v>
      </c>
      <c r="F311" s="138">
        <f t="shared" si="155"/>
        <v>0</v>
      </c>
      <c r="G311" s="138">
        <f t="shared" si="156"/>
        <v>0</v>
      </c>
      <c r="H311" s="138">
        <f t="shared" si="157"/>
        <v>0</v>
      </c>
      <c r="I311" s="138">
        <f t="shared" si="158"/>
        <v>0</v>
      </c>
      <c r="J311" s="138">
        <f t="shared" si="159"/>
        <v>0</v>
      </c>
      <c r="K311" s="138">
        <f t="shared" si="160"/>
        <v>0</v>
      </c>
      <c r="L311" s="138">
        <f t="shared" si="161"/>
        <v>0</v>
      </c>
      <c r="M311" s="138">
        <f t="shared" si="162"/>
        <v>0</v>
      </c>
      <c r="N311" s="138">
        <f t="shared" si="163"/>
        <v>0</v>
      </c>
      <c r="O311" s="138">
        <f t="shared" si="164"/>
        <v>0</v>
      </c>
      <c r="P311" s="154"/>
      <c r="Q311" s="141"/>
      <c r="R311" s="137"/>
    </row>
    <row r="312" spans="1:21" x14ac:dyDescent="0.2">
      <c r="A312" s="139"/>
      <c r="B312" s="82"/>
      <c r="C312" s="138">
        <f t="shared" si="152"/>
        <v>0</v>
      </c>
      <c r="D312" s="138">
        <f t="shared" si="153"/>
        <v>0</v>
      </c>
      <c r="E312" s="138">
        <f t="shared" si="154"/>
        <v>0</v>
      </c>
      <c r="F312" s="138">
        <f t="shared" si="155"/>
        <v>0</v>
      </c>
      <c r="G312" s="138">
        <f t="shared" si="156"/>
        <v>0</v>
      </c>
      <c r="H312" s="138">
        <f t="shared" si="157"/>
        <v>0</v>
      </c>
      <c r="I312" s="138">
        <f t="shared" si="158"/>
        <v>0</v>
      </c>
      <c r="J312" s="138">
        <f t="shared" si="159"/>
        <v>0</v>
      </c>
      <c r="K312" s="138">
        <f t="shared" si="160"/>
        <v>0</v>
      </c>
      <c r="L312" s="138">
        <f t="shared" si="161"/>
        <v>0</v>
      </c>
      <c r="M312" s="138">
        <f t="shared" si="162"/>
        <v>0</v>
      </c>
      <c r="N312" s="138">
        <f t="shared" si="163"/>
        <v>0</v>
      </c>
      <c r="O312" s="138">
        <f t="shared" si="164"/>
        <v>0</v>
      </c>
      <c r="P312" s="154"/>
      <c r="Q312" s="141"/>
      <c r="R312" s="137"/>
    </row>
    <row r="313" spans="1:21" ht="42.75" x14ac:dyDescent="0.2">
      <c r="A313" s="1" t="s">
        <v>66</v>
      </c>
      <c r="B313" s="110" t="s">
        <v>38</v>
      </c>
      <c r="C313" s="138">
        <f t="shared" si="152"/>
        <v>0</v>
      </c>
      <c r="D313" s="138">
        <f t="shared" si="153"/>
        <v>0</v>
      </c>
      <c r="E313" s="138">
        <f t="shared" si="154"/>
        <v>0</v>
      </c>
      <c r="F313" s="138">
        <f t="shared" si="155"/>
        <v>0</v>
      </c>
      <c r="G313" s="138">
        <f t="shared" si="156"/>
        <v>0</v>
      </c>
      <c r="H313" s="138">
        <f t="shared" si="157"/>
        <v>0</v>
      </c>
      <c r="I313" s="138">
        <f t="shared" si="158"/>
        <v>0</v>
      </c>
      <c r="J313" s="138">
        <f t="shared" si="159"/>
        <v>0</v>
      </c>
      <c r="K313" s="138">
        <f t="shared" si="160"/>
        <v>0</v>
      </c>
      <c r="L313" s="138">
        <f t="shared" si="161"/>
        <v>0</v>
      </c>
      <c r="M313" s="138">
        <f t="shared" si="162"/>
        <v>0</v>
      </c>
      <c r="N313" s="138">
        <f t="shared" si="163"/>
        <v>0</v>
      </c>
      <c r="O313" s="138">
        <f t="shared" si="164"/>
        <v>0</v>
      </c>
      <c r="P313" s="2" t="s">
        <v>5</v>
      </c>
      <c r="Q313" s="141"/>
      <c r="R313" s="137">
        <f>O313*Q313</f>
        <v>0</v>
      </c>
    </row>
    <row r="314" spans="1:21" x14ac:dyDescent="0.2">
      <c r="A314" s="127"/>
      <c r="B314" s="136"/>
      <c r="C314" s="138">
        <f t="shared" si="152"/>
        <v>0</v>
      </c>
      <c r="D314" s="138">
        <f t="shared" si="153"/>
        <v>0</v>
      </c>
      <c r="E314" s="138">
        <f t="shared" si="154"/>
        <v>0</v>
      </c>
      <c r="F314" s="138">
        <f t="shared" si="155"/>
        <v>0</v>
      </c>
      <c r="G314" s="138">
        <f t="shared" si="156"/>
        <v>0</v>
      </c>
      <c r="H314" s="138">
        <f t="shared" si="157"/>
        <v>0</v>
      </c>
      <c r="I314" s="138">
        <f t="shared" si="158"/>
        <v>0</v>
      </c>
      <c r="J314" s="138">
        <f t="shared" si="159"/>
        <v>0</v>
      </c>
      <c r="K314" s="138">
        <f t="shared" si="160"/>
        <v>0</v>
      </c>
      <c r="L314" s="138">
        <f t="shared" si="161"/>
        <v>0</v>
      </c>
      <c r="M314" s="138">
        <f t="shared" si="162"/>
        <v>0</v>
      </c>
      <c r="N314" s="138">
        <f t="shared" si="163"/>
        <v>0</v>
      </c>
      <c r="O314" s="138">
        <f t="shared" si="164"/>
        <v>0</v>
      </c>
      <c r="P314" s="154"/>
      <c r="Q314" s="141"/>
      <c r="R314" s="137"/>
    </row>
    <row r="315" spans="1:21" x14ac:dyDescent="0.2">
      <c r="A315" s="127"/>
      <c r="B315" s="136"/>
      <c r="C315" s="138">
        <f t="shared" si="152"/>
        <v>0</v>
      </c>
      <c r="D315" s="138">
        <f t="shared" si="153"/>
        <v>0</v>
      </c>
      <c r="E315" s="138">
        <f t="shared" si="154"/>
        <v>0</v>
      </c>
      <c r="F315" s="138">
        <f t="shared" si="155"/>
        <v>0</v>
      </c>
      <c r="G315" s="138">
        <f t="shared" si="156"/>
        <v>0</v>
      </c>
      <c r="H315" s="138">
        <f t="shared" si="157"/>
        <v>0</v>
      </c>
      <c r="I315" s="138">
        <f t="shared" si="158"/>
        <v>0</v>
      </c>
      <c r="J315" s="138">
        <f t="shared" si="159"/>
        <v>0</v>
      </c>
      <c r="K315" s="138">
        <f t="shared" si="160"/>
        <v>0</v>
      </c>
      <c r="L315" s="138">
        <f t="shared" si="161"/>
        <v>0</v>
      </c>
      <c r="M315" s="138">
        <f t="shared" si="162"/>
        <v>0</v>
      </c>
      <c r="N315" s="138">
        <f t="shared" si="163"/>
        <v>0</v>
      </c>
      <c r="O315" s="138">
        <f t="shared" si="164"/>
        <v>0</v>
      </c>
      <c r="P315" s="154"/>
      <c r="Q315" s="141"/>
      <c r="R315" s="137"/>
    </row>
    <row r="316" spans="1:21" x14ac:dyDescent="0.2">
      <c r="A316" s="127"/>
      <c r="B316" s="136"/>
      <c r="C316" s="138">
        <f t="shared" si="152"/>
        <v>0</v>
      </c>
      <c r="D316" s="138">
        <f t="shared" si="153"/>
        <v>0</v>
      </c>
      <c r="E316" s="138">
        <f t="shared" si="154"/>
        <v>0</v>
      </c>
      <c r="F316" s="138">
        <f t="shared" si="155"/>
        <v>0</v>
      </c>
      <c r="G316" s="138">
        <f t="shared" si="156"/>
        <v>0</v>
      </c>
      <c r="H316" s="138">
        <f t="shared" si="157"/>
        <v>0</v>
      </c>
      <c r="I316" s="138">
        <f t="shared" si="158"/>
        <v>0</v>
      </c>
      <c r="J316" s="138">
        <f t="shared" si="159"/>
        <v>0</v>
      </c>
      <c r="K316" s="138">
        <f t="shared" si="160"/>
        <v>0</v>
      </c>
      <c r="L316" s="138">
        <f t="shared" si="161"/>
        <v>0</v>
      </c>
      <c r="M316" s="138">
        <f t="shared" si="162"/>
        <v>0</v>
      </c>
      <c r="N316" s="138">
        <f t="shared" si="163"/>
        <v>0</v>
      </c>
      <c r="O316" s="138">
        <f t="shared" si="164"/>
        <v>0</v>
      </c>
      <c r="P316" s="154"/>
      <c r="Q316" s="141"/>
      <c r="R316" s="137"/>
    </row>
    <row r="317" spans="1:21" x14ac:dyDescent="0.2">
      <c r="A317" s="127"/>
      <c r="B317" s="136"/>
      <c r="C317" s="138">
        <f t="shared" si="152"/>
        <v>0</v>
      </c>
      <c r="D317" s="138">
        <f t="shared" si="153"/>
        <v>0</v>
      </c>
      <c r="E317" s="138">
        <f t="shared" si="154"/>
        <v>0</v>
      </c>
      <c r="F317" s="138">
        <f t="shared" si="155"/>
        <v>0</v>
      </c>
      <c r="G317" s="138">
        <f t="shared" si="156"/>
        <v>0</v>
      </c>
      <c r="H317" s="138">
        <f t="shared" si="157"/>
        <v>0</v>
      </c>
      <c r="I317" s="138">
        <f t="shared" si="158"/>
        <v>0</v>
      </c>
      <c r="J317" s="138">
        <f t="shared" si="159"/>
        <v>0</v>
      </c>
      <c r="K317" s="138">
        <f t="shared" si="160"/>
        <v>0</v>
      </c>
      <c r="L317" s="138">
        <f t="shared" si="161"/>
        <v>0</v>
      </c>
      <c r="M317" s="138">
        <f t="shared" si="162"/>
        <v>0</v>
      </c>
      <c r="N317" s="138">
        <f t="shared" si="163"/>
        <v>0</v>
      </c>
      <c r="O317" s="138">
        <f t="shared" si="164"/>
        <v>0</v>
      </c>
      <c r="P317" s="154"/>
      <c r="Q317" s="141"/>
      <c r="R317" s="137"/>
    </row>
    <row r="318" spans="1:21" x14ac:dyDescent="0.2">
      <c r="A318" s="127"/>
      <c r="B318" s="136"/>
      <c r="C318" s="138">
        <f t="shared" si="152"/>
        <v>0</v>
      </c>
      <c r="D318" s="138">
        <f t="shared" si="153"/>
        <v>0</v>
      </c>
      <c r="E318" s="138">
        <f t="shared" si="154"/>
        <v>0</v>
      </c>
      <c r="F318" s="138">
        <f t="shared" si="155"/>
        <v>0</v>
      </c>
      <c r="G318" s="138">
        <f t="shared" si="156"/>
        <v>0</v>
      </c>
      <c r="H318" s="138">
        <f t="shared" si="157"/>
        <v>0</v>
      </c>
      <c r="I318" s="138">
        <f t="shared" si="158"/>
        <v>0</v>
      </c>
      <c r="J318" s="138">
        <f t="shared" si="159"/>
        <v>0</v>
      </c>
      <c r="K318" s="138">
        <f t="shared" si="160"/>
        <v>0</v>
      </c>
      <c r="L318" s="138">
        <f t="shared" si="161"/>
        <v>0</v>
      </c>
      <c r="M318" s="138">
        <f t="shared" si="162"/>
        <v>0</v>
      </c>
      <c r="N318" s="138">
        <f t="shared" si="163"/>
        <v>0</v>
      </c>
      <c r="O318" s="138">
        <f t="shared" si="164"/>
        <v>0</v>
      </c>
      <c r="P318" s="154"/>
      <c r="Q318" s="141"/>
      <c r="R318" s="137"/>
    </row>
    <row r="319" spans="1:21" x14ac:dyDescent="0.2">
      <c r="A319" s="127"/>
      <c r="B319" s="136"/>
      <c r="C319" s="138">
        <f t="shared" si="152"/>
        <v>0</v>
      </c>
      <c r="D319" s="138">
        <f t="shared" si="153"/>
        <v>0</v>
      </c>
      <c r="E319" s="138">
        <f t="shared" si="154"/>
        <v>0</v>
      </c>
      <c r="F319" s="138">
        <f t="shared" si="155"/>
        <v>0</v>
      </c>
      <c r="G319" s="138">
        <f t="shared" si="156"/>
        <v>0</v>
      </c>
      <c r="H319" s="138">
        <f t="shared" si="157"/>
        <v>0</v>
      </c>
      <c r="I319" s="138">
        <f t="shared" si="158"/>
        <v>0</v>
      </c>
      <c r="J319" s="138">
        <f t="shared" si="159"/>
        <v>0</v>
      </c>
      <c r="K319" s="138">
        <f t="shared" si="160"/>
        <v>0</v>
      </c>
      <c r="L319" s="138">
        <f t="shared" si="161"/>
        <v>0</v>
      </c>
      <c r="M319" s="138">
        <f t="shared" si="162"/>
        <v>0</v>
      </c>
      <c r="N319" s="138">
        <f t="shared" si="163"/>
        <v>0</v>
      </c>
      <c r="O319" s="138">
        <f t="shared" si="164"/>
        <v>0</v>
      </c>
      <c r="P319" s="154"/>
      <c r="Q319" s="141"/>
      <c r="R319" s="137"/>
    </row>
    <row r="320" spans="1:21" x14ac:dyDescent="0.2">
      <c r="A320" s="127"/>
      <c r="B320" s="136"/>
      <c r="C320" s="138">
        <f t="shared" si="152"/>
        <v>0</v>
      </c>
      <c r="D320" s="138">
        <f t="shared" si="153"/>
        <v>0</v>
      </c>
      <c r="E320" s="138">
        <f t="shared" si="154"/>
        <v>0</v>
      </c>
      <c r="F320" s="138">
        <f t="shared" si="155"/>
        <v>0</v>
      </c>
      <c r="G320" s="138">
        <f t="shared" si="156"/>
        <v>0</v>
      </c>
      <c r="H320" s="138">
        <f t="shared" si="157"/>
        <v>0</v>
      </c>
      <c r="I320" s="138">
        <f t="shared" si="158"/>
        <v>0</v>
      </c>
      <c r="J320" s="138">
        <f t="shared" si="159"/>
        <v>0</v>
      </c>
      <c r="K320" s="138">
        <f t="shared" si="160"/>
        <v>0</v>
      </c>
      <c r="L320" s="138">
        <f t="shared" si="161"/>
        <v>0</v>
      </c>
      <c r="M320" s="138">
        <f t="shared" si="162"/>
        <v>0</v>
      </c>
      <c r="N320" s="138">
        <f t="shared" si="163"/>
        <v>0</v>
      </c>
      <c r="O320" s="138">
        <f t="shared" si="164"/>
        <v>0</v>
      </c>
      <c r="P320" s="154"/>
      <c r="Q320" s="141"/>
      <c r="R320" s="137"/>
    </row>
    <row r="321" spans="1:21" x14ac:dyDescent="0.2">
      <c r="A321" s="127"/>
      <c r="B321" s="136"/>
      <c r="C321" s="138">
        <f t="shared" si="152"/>
        <v>0</v>
      </c>
      <c r="D321" s="138">
        <f t="shared" si="153"/>
        <v>0</v>
      </c>
      <c r="E321" s="138">
        <f t="shared" si="154"/>
        <v>0</v>
      </c>
      <c r="F321" s="138">
        <f t="shared" si="155"/>
        <v>0</v>
      </c>
      <c r="G321" s="138">
        <f t="shared" si="156"/>
        <v>0</v>
      </c>
      <c r="H321" s="138">
        <f t="shared" si="157"/>
        <v>0</v>
      </c>
      <c r="I321" s="138">
        <f t="shared" si="158"/>
        <v>0</v>
      </c>
      <c r="J321" s="138">
        <f t="shared" si="159"/>
        <v>0</v>
      </c>
      <c r="K321" s="138">
        <f t="shared" si="160"/>
        <v>0</v>
      </c>
      <c r="L321" s="138">
        <f t="shared" si="161"/>
        <v>0</v>
      </c>
      <c r="M321" s="138">
        <f t="shared" si="162"/>
        <v>0</v>
      </c>
      <c r="N321" s="138">
        <f t="shared" si="163"/>
        <v>0</v>
      </c>
      <c r="O321" s="138">
        <f t="shared" si="164"/>
        <v>0</v>
      </c>
      <c r="P321" s="154"/>
      <c r="Q321" s="141"/>
      <c r="R321" s="137"/>
    </row>
    <row r="322" spans="1:21" x14ac:dyDescent="0.2">
      <c r="A322" s="127"/>
      <c r="B322" s="136"/>
      <c r="C322" s="138">
        <f t="shared" si="152"/>
        <v>0</v>
      </c>
      <c r="D322" s="138">
        <f t="shared" si="153"/>
        <v>0</v>
      </c>
      <c r="E322" s="138">
        <f t="shared" si="154"/>
        <v>0</v>
      </c>
      <c r="F322" s="138">
        <f t="shared" si="155"/>
        <v>0</v>
      </c>
      <c r="G322" s="138">
        <f t="shared" si="156"/>
        <v>0</v>
      </c>
      <c r="H322" s="138">
        <f t="shared" si="157"/>
        <v>0</v>
      </c>
      <c r="I322" s="138">
        <f t="shared" si="158"/>
        <v>0</v>
      </c>
      <c r="J322" s="138">
        <f t="shared" si="159"/>
        <v>0</v>
      </c>
      <c r="K322" s="138">
        <f t="shared" si="160"/>
        <v>0</v>
      </c>
      <c r="L322" s="138">
        <f t="shared" si="161"/>
        <v>0</v>
      </c>
      <c r="M322" s="138">
        <f t="shared" si="162"/>
        <v>0</v>
      </c>
      <c r="N322" s="138">
        <f t="shared" si="163"/>
        <v>0</v>
      </c>
      <c r="O322" s="138">
        <f t="shared" si="164"/>
        <v>0</v>
      </c>
      <c r="P322" s="154"/>
      <c r="Q322" s="141"/>
      <c r="R322" s="137"/>
    </row>
    <row r="323" spans="1:21" x14ac:dyDescent="0.2">
      <c r="A323" s="127"/>
      <c r="B323" s="136"/>
      <c r="C323" s="138">
        <f t="shared" si="152"/>
        <v>0</v>
      </c>
      <c r="D323" s="138">
        <f t="shared" si="153"/>
        <v>0</v>
      </c>
      <c r="E323" s="138">
        <f t="shared" si="154"/>
        <v>0</v>
      </c>
      <c r="F323" s="138">
        <f t="shared" si="155"/>
        <v>0</v>
      </c>
      <c r="G323" s="138">
        <f t="shared" si="156"/>
        <v>0</v>
      </c>
      <c r="H323" s="138">
        <f t="shared" si="157"/>
        <v>0</v>
      </c>
      <c r="I323" s="138">
        <f t="shared" si="158"/>
        <v>0</v>
      </c>
      <c r="J323" s="138">
        <f t="shared" si="159"/>
        <v>0</v>
      </c>
      <c r="K323" s="138">
        <f t="shared" si="160"/>
        <v>0</v>
      </c>
      <c r="L323" s="138">
        <f t="shared" si="161"/>
        <v>0</v>
      </c>
      <c r="M323" s="138">
        <f t="shared" si="162"/>
        <v>0</v>
      </c>
      <c r="N323" s="138">
        <f t="shared" si="163"/>
        <v>0</v>
      </c>
      <c r="O323" s="138">
        <f t="shared" si="164"/>
        <v>0</v>
      </c>
      <c r="P323" s="154"/>
      <c r="Q323" s="141"/>
      <c r="R323" s="137"/>
    </row>
    <row r="324" spans="1:21" x14ac:dyDescent="0.2">
      <c r="A324" s="127"/>
      <c r="B324" s="136"/>
      <c r="C324" s="138">
        <f t="shared" si="152"/>
        <v>0</v>
      </c>
      <c r="D324" s="138">
        <f t="shared" si="153"/>
        <v>0</v>
      </c>
      <c r="E324" s="138">
        <f t="shared" si="154"/>
        <v>0</v>
      </c>
      <c r="F324" s="138">
        <f t="shared" si="155"/>
        <v>0</v>
      </c>
      <c r="G324" s="138">
        <f t="shared" si="156"/>
        <v>0</v>
      </c>
      <c r="H324" s="138">
        <f t="shared" si="157"/>
        <v>0</v>
      </c>
      <c r="I324" s="138">
        <f t="shared" si="158"/>
        <v>0</v>
      </c>
      <c r="J324" s="138">
        <f t="shared" si="159"/>
        <v>0</v>
      </c>
      <c r="K324" s="138">
        <f t="shared" si="160"/>
        <v>0</v>
      </c>
      <c r="L324" s="138">
        <f t="shared" si="161"/>
        <v>0</v>
      </c>
      <c r="M324" s="138">
        <f t="shared" si="162"/>
        <v>0</v>
      </c>
      <c r="N324" s="138">
        <f t="shared" si="163"/>
        <v>0</v>
      </c>
      <c r="O324" s="138">
        <f t="shared" si="164"/>
        <v>0</v>
      </c>
      <c r="P324" s="154"/>
      <c r="Q324" s="141"/>
      <c r="R324" s="137"/>
    </row>
    <row r="325" spans="1:21" x14ac:dyDescent="0.2">
      <c r="A325" s="127"/>
      <c r="B325" s="136"/>
      <c r="C325" s="138">
        <f t="shared" si="152"/>
        <v>0</v>
      </c>
      <c r="D325" s="138">
        <f t="shared" si="153"/>
        <v>0</v>
      </c>
      <c r="E325" s="138">
        <f t="shared" si="154"/>
        <v>0</v>
      </c>
      <c r="F325" s="138">
        <f t="shared" si="155"/>
        <v>0</v>
      </c>
      <c r="G325" s="138">
        <f t="shared" si="156"/>
        <v>0</v>
      </c>
      <c r="H325" s="138">
        <f t="shared" si="157"/>
        <v>0</v>
      </c>
      <c r="I325" s="138">
        <f t="shared" si="158"/>
        <v>0</v>
      </c>
      <c r="J325" s="138">
        <f t="shared" si="159"/>
        <v>0</v>
      </c>
      <c r="K325" s="138">
        <f t="shared" si="160"/>
        <v>0</v>
      </c>
      <c r="L325" s="138">
        <f t="shared" si="161"/>
        <v>0</v>
      </c>
      <c r="M325" s="138">
        <f t="shared" si="162"/>
        <v>0</v>
      </c>
      <c r="N325" s="138">
        <f t="shared" si="163"/>
        <v>0</v>
      </c>
      <c r="O325" s="138">
        <f t="shared" si="164"/>
        <v>0</v>
      </c>
      <c r="P325" s="154"/>
      <c r="Q325" s="141"/>
      <c r="R325" s="137"/>
    </row>
    <row r="326" spans="1:21" x14ac:dyDescent="0.2">
      <c r="A326" s="127"/>
      <c r="B326" s="136"/>
      <c r="C326" s="138">
        <f t="shared" si="152"/>
        <v>0</v>
      </c>
      <c r="D326" s="138">
        <f t="shared" si="153"/>
        <v>0</v>
      </c>
      <c r="E326" s="138">
        <f t="shared" si="154"/>
        <v>0</v>
      </c>
      <c r="F326" s="138">
        <f t="shared" si="155"/>
        <v>0</v>
      </c>
      <c r="G326" s="138">
        <f t="shared" si="156"/>
        <v>0</v>
      </c>
      <c r="H326" s="138">
        <f t="shared" si="157"/>
        <v>0</v>
      </c>
      <c r="I326" s="138">
        <f t="shared" si="158"/>
        <v>0</v>
      </c>
      <c r="J326" s="138">
        <f t="shared" si="159"/>
        <v>0</v>
      </c>
      <c r="K326" s="138">
        <f t="shared" si="160"/>
        <v>0</v>
      </c>
      <c r="L326" s="138">
        <f t="shared" si="161"/>
        <v>0</v>
      </c>
      <c r="M326" s="138">
        <f t="shared" si="162"/>
        <v>0</v>
      </c>
      <c r="N326" s="138">
        <f t="shared" si="163"/>
        <v>0</v>
      </c>
      <c r="O326" s="138">
        <f t="shared" si="164"/>
        <v>0</v>
      </c>
      <c r="P326" s="154"/>
      <c r="Q326" s="141"/>
      <c r="R326" s="137"/>
    </row>
    <row r="327" spans="1:21" x14ac:dyDescent="0.2">
      <c r="A327" s="127"/>
      <c r="B327" s="136"/>
      <c r="C327" s="138"/>
      <c r="D327" s="138"/>
      <c r="E327" s="138"/>
      <c r="F327" s="138"/>
      <c r="G327" s="138"/>
      <c r="H327" s="138"/>
      <c r="I327" s="138"/>
      <c r="J327" s="138"/>
      <c r="K327" s="138"/>
      <c r="L327" s="138"/>
      <c r="M327" s="138"/>
      <c r="N327" s="138"/>
      <c r="O327" s="138"/>
      <c r="P327" s="154"/>
      <c r="Q327" s="141"/>
      <c r="R327" s="137"/>
    </row>
    <row r="328" spans="1:21" x14ac:dyDescent="0.2">
      <c r="A328" s="127"/>
      <c r="B328" s="136"/>
      <c r="C328" s="138"/>
      <c r="D328" s="138"/>
      <c r="E328" s="138"/>
      <c r="F328" s="138"/>
      <c r="G328" s="138"/>
      <c r="H328" s="138"/>
      <c r="I328" s="138"/>
      <c r="J328" s="138"/>
      <c r="K328" s="138"/>
      <c r="L328" s="138"/>
      <c r="M328" s="138"/>
      <c r="N328" s="138"/>
      <c r="O328" s="138"/>
      <c r="P328" s="154"/>
      <c r="Q328" s="141"/>
      <c r="R328" s="137"/>
    </row>
    <row r="329" spans="1:21" x14ac:dyDescent="0.2">
      <c r="A329" s="127"/>
      <c r="B329" s="136"/>
      <c r="C329" s="128"/>
      <c r="D329" s="120"/>
      <c r="E329" s="120"/>
      <c r="F329" s="120"/>
      <c r="G329" s="120"/>
      <c r="H329" s="120"/>
      <c r="I329" s="120"/>
      <c r="J329" s="120"/>
      <c r="K329" s="120"/>
      <c r="L329" s="120"/>
      <c r="M329" s="120"/>
      <c r="N329" s="120"/>
      <c r="O329" s="120"/>
      <c r="P329" s="154"/>
      <c r="Q329" s="141"/>
      <c r="R329" s="137"/>
      <c r="T329" s="52"/>
      <c r="U329" s="52"/>
    </row>
    <row r="330" spans="1:21" x14ac:dyDescent="0.2">
      <c r="A330" s="129"/>
      <c r="B330" s="130"/>
      <c r="C330" s="131"/>
      <c r="D330" s="131"/>
      <c r="E330" s="131"/>
      <c r="F330" s="131"/>
      <c r="G330" s="131"/>
      <c r="H330" s="131"/>
      <c r="I330" s="131"/>
      <c r="J330" s="131"/>
      <c r="K330" s="131"/>
      <c r="L330" s="131"/>
      <c r="M330" s="131"/>
      <c r="N330" s="131"/>
      <c r="O330" s="131"/>
      <c r="P330" s="131"/>
      <c r="Q330" s="132"/>
      <c r="R330" s="126"/>
      <c r="T330" s="134"/>
      <c r="U330" s="134"/>
    </row>
    <row r="331" spans="1:21" x14ac:dyDescent="0.2">
      <c r="A331" s="144"/>
      <c r="B331" s="37"/>
      <c r="C331" s="37"/>
      <c r="D331" s="37"/>
      <c r="E331" s="37"/>
      <c r="F331" s="37"/>
      <c r="G331" s="37"/>
      <c r="H331" s="37"/>
      <c r="I331" s="37"/>
      <c r="J331" s="37"/>
      <c r="K331" s="37"/>
      <c r="L331" s="37"/>
      <c r="M331" s="37"/>
      <c r="N331" s="37"/>
      <c r="O331" s="37"/>
      <c r="P331" s="426" t="s">
        <v>1</v>
      </c>
      <c r="Q331" s="133" t="s">
        <v>0</v>
      </c>
      <c r="R331" s="137">
        <f>SUM(R310:R329)</f>
        <v>0</v>
      </c>
      <c r="T331" s="135"/>
      <c r="U331" s="135"/>
    </row>
    <row r="332" spans="1:21" x14ac:dyDescent="0.2">
      <c r="A332" s="145"/>
      <c r="B332" s="44"/>
      <c r="C332" s="94"/>
      <c r="D332" s="94"/>
      <c r="E332" s="94"/>
      <c r="F332" s="94"/>
      <c r="G332" s="94"/>
      <c r="H332" s="94"/>
      <c r="I332" s="94"/>
      <c r="J332" s="94"/>
      <c r="K332" s="94"/>
      <c r="L332" s="94"/>
      <c r="M332" s="94"/>
      <c r="N332" s="94"/>
      <c r="O332" s="94"/>
      <c r="P332" s="94"/>
      <c r="Q332" s="146"/>
      <c r="R332" s="125"/>
    </row>
    <row r="333" spans="1:21" x14ac:dyDescent="0.2">
      <c r="A333" s="36"/>
      <c r="B333" s="37"/>
      <c r="C333" s="188"/>
      <c r="D333" s="188"/>
      <c r="E333" s="188"/>
      <c r="F333" s="188"/>
      <c r="G333" s="188"/>
      <c r="H333" s="188"/>
      <c r="I333" s="188"/>
      <c r="J333" s="188"/>
      <c r="K333" s="188"/>
      <c r="L333" s="188"/>
      <c r="M333" s="188"/>
      <c r="N333" s="188"/>
      <c r="O333" s="188"/>
      <c r="P333" s="188"/>
      <c r="Q333" s="124"/>
      <c r="R333" s="126"/>
      <c r="T333" s="134"/>
      <c r="U333" s="134"/>
    </row>
    <row r="334" spans="1:21" x14ac:dyDescent="0.2">
      <c r="A334" s="36"/>
      <c r="B334" s="37"/>
      <c r="C334" s="188"/>
      <c r="D334" s="188"/>
      <c r="E334" s="188"/>
      <c r="F334" s="188"/>
      <c r="G334" s="188"/>
      <c r="H334" s="188"/>
      <c r="I334" s="188"/>
      <c r="J334" s="188"/>
      <c r="K334" s="188"/>
      <c r="L334" s="188"/>
      <c r="M334" s="188"/>
      <c r="N334" s="188"/>
      <c r="O334" s="188"/>
      <c r="P334" s="188"/>
      <c r="Q334" s="42"/>
      <c r="R334" s="137"/>
    </row>
    <row r="335" spans="1:21" x14ac:dyDescent="0.2">
      <c r="A335" s="36"/>
      <c r="B335" s="37"/>
      <c r="C335" s="188"/>
      <c r="D335" s="188"/>
      <c r="E335" s="188"/>
      <c r="F335" s="188"/>
      <c r="G335" s="188"/>
      <c r="H335" s="188"/>
      <c r="I335" s="188"/>
      <c r="J335" s="188"/>
      <c r="K335" s="188"/>
      <c r="L335" s="188"/>
      <c r="M335" s="188"/>
      <c r="N335" s="188"/>
      <c r="O335" s="534" t="s">
        <v>17</v>
      </c>
      <c r="P335" s="534"/>
      <c r="Q335" s="42"/>
      <c r="R335" s="137"/>
      <c r="T335" s="135"/>
      <c r="U335" s="135"/>
    </row>
    <row r="336" spans="1:21" x14ac:dyDescent="0.2">
      <c r="A336" s="36"/>
      <c r="B336" s="37"/>
      <c r="C336" s="188"/>
      <c r="D336" s="188"/>
      <c r="E336" s="188"/>
      <c r="F336" s="188"/>
      <c r="G336" s="188"/>
      <c r="H336" s="188"/>
      <c r="I336" s="188"/>
      <c r="J336" s="188"/>
      <c r="K336" s="188"/>
      <c r="L336" s="188"/>
      <c r="M336" s="188"/>
      <c r="N336" s="188"/>
      <c r="O336" s="188"/>
      <c r="P336" s="188"/>
      <c r="Q336" s="42"/>
      <c r="R336" s="137"/>
    </row>
    <row r="337" spans="1:18" x14ac:dyDescent="0.2">
      <c r="A337" s="36"/>
      <c r="B337" s="37"/>
      <c r="C337" s="188"/>
      <c r="D337" s="188"/>
      <c r="E337" s="188"/>
      <c r="F337" s="188"/>
      <c r="G337" s="188"/>
      <c r="H337" s="188"/>
      <c r="I337" s="188"/>
      <c r="J337" s="188"/>
      <c r="K337" s="188"/>
      <c r="L337" s="188"/>
      <c r="M337" s="188"/>
      <c r="N337" s="188"/>
      <c r="O337" s="188" t="s">
        <v>270</v>
      </c>
      <c r="P337" s="188" t="s">
        <v>601</v>
      </c>
      <c r="Q337" s="42"/>
      <c r="R337" s="137">
        <f>R51</f>
        <v>0</v>
      </c>
    </row>
    <row r="338" spans="1:18" x14ac:dyDescent="0.2">
      <c r="A338" s="36"/>
      <c r="B338" s="37"/>
      <c r="C338" s="188"/>
      <c r="D338" s="188"/>
      <c r="E338" s="188"/>
      <c r="F338" s="188"/>
      <c r="G338" s="188"/>
      <c r="H338" s="188"/>
      <c r="I338" s="188"/>
      <c r="J338" s="188"/>
      <c r="K338" s="188"/>
      <c r="L338" s="188"/>
      <c r="M338" s="188"/>
      <c r="N338" s="188"/>
      <c r="O338" s="188"/>
      <c r="P338" s="188"/>
      <c r="Q338" s="42"/>
      <c r="R338" s="137"/>
    </row>
    <row r="339" spans="1:18" x14ac:dyDescent="0.2">
      <c r="A339" s="36"/>
      <c r="B339" s="37"/>
      <c r="C339" s="188"/>
      <c r="D339" s="188"/>
      <c r="E339" s="188"/>
      <c r="F339" s="188"/>
      <c r="G339" s="188"/>
      <c r="H339" s="188"/>
      <c r="I339" s="188"/>
      <c r="J339" s="188"/>
      <c r="K339" s="188"/>
      <c r="L339" s="188"/>
      <c r="M339" s="188"/>
      <c r="N339" s="188"/>
      <c r="O339" s="188" t="s">
        <v>270</v>
      </c>
      <c r="P339" s="188" t="s">
        <v>602</v>
      </c>
      <c r="Q339" s="42"/>
      <c r="R339" s="137">
        <f>R92</f>
        <v>0</v>
      </c>
    </row>
    <row r="340" spans="1:18" x14ac:dyDescent="0.2">
      <c r="A340" s="36"/>
      <c r="B340" s="37"/>
      <c r="C340" s="188"/>
      <c r="D340" s="188"/>
      <c r="E340" s="188"/>
      <c r="F340" s="188"/>
      <c r="G340" s="188"/>
      <c r="H340" s="188"/>
      <c r="I340" s="188"/>
      <c r="J340" s="188"/>
      <c r="K340" s="188"/>
      <c r="L340" s="188"/>
      <c r="M340" s="188"/>
      <c r="N340" s="188"/>
      <c r="O340" s="188"/>
      <c r="P340" s="188"/>
      <c r="Q340" s="42"/>
      <c r="R340" s="137"/>
    </row>
    <row r="341" spans="1:18" x14ac:dyDescent="0.2">
      <c r="A341" s="36"/>
      <c r="B341" s="37"/>
      <c r="C341" s="188"/>
      <c r="D341" s="188"/>
      <c r="E341" s="188"/>
      <c r="F341" s="188"/>
      <c r="G341" s="188"/>
      <c r="H341" s="188"/>
      <c r="I341" s="188"/>
      <c r="J341" s="188"/>
      <c r="K341" s="188"/>
      <c r="L341" s="188"/>
      <c r="M341" s="188"/>
      <c r="N341" s="188"/>
      <c r="O341" s="188" t="s">
        <v>270</v>
      </c>
      <c r="P341" s="188" t="s">
        <v>603</v>
      </c>
      <c r="Q341" s="42"/>
      <c r="R341" s="137">
        <f>R130</f>
        <v>0</v>
      </c>
    </row>
    <row r="342" spans="1:18" x14ac:dyDescent="0.2">
      <c r="A342" s="36"/>
      <c r="B342" s="37"/>
      <c r="C342" s="188"/>
      <c r="D342" s="188"/>
      <c r="E342" s="188"/>
      <c r="F342" s="188"/>
      <c r="G342" s="188"/>
      <c r="H342" s="188"/>
      <c r="I342" s="188"/>
      <c r="J342" s="188"/>
      <c r="K342" s="188"/>
      <c r="L342" s="188"/>
      <c r="M342" s="188"/>
      <c r="N342" s="188"/>
      <c r="O342" s="188"/>
      <c r="P342" s="188"/>
      <c r="Q342" s="42"/>
      <c r="R342" s="137"/>
    </row>
    <row r="343" spans="1:18" x14ac:dyDescent="0.2">
      <c r="A343" s="36"/>
      <c r="B343" s="37"/>
      <c r="C343" s="188"/>
      <c r="D343" s="188"/>
      <c r="E343" s="188"/>
      <c r="F343" s="188"/>
      <c r="G343" s="188"/>
      <c r="H343" s="188"/>
      <c r="I343" s="188"/>
      <c r="J343" s="188"/>
      <c r="K343" s="188"/>
      <c r="L343" s="188"/>
      <c r="M343" s="188"/>
      <c r="N343" s="188"/>
      <c r="O343" s="188" t="s">
        <v>270</v>
      </c>
      <c r="P343" s="188" t="s">
        <v>604</v>
      </c>
      <c r="Q343" s="42"/>
      <c r="R343" s="137">
        <f>R175</f>
        <v>0</v>
      </c>
    </row>
    <row r="344" spans="1:18" x14ac:dyDescent="0.2">
      <c r="A344" s="36"/>
      <c r="B344" s="37"/>
      <c r="C344" s="188"/>
      <c r="D344" s="188"/>
      <c r="E344" s="188"/>
      <c r="F344" s="188"/>
      <c r="G344" s="188"/>
      <c r="H344" s="188"/>
      <c r="I344" s="188"/>
      <c r="J344" s="188"/>
      <c r="K344" s="188"/>
      <c r="L344" s="188"/>
      <c r="M344" s="188"/>
      <c r="N344" s="188"/>
      <c r="O344" s="188"/>
      <c r="P344" s="188"/>
      <c r="Q344" s="42"/>
      <c r="R344" s="137"/>
    </row>
    <row r="345" spans="1:18" x14ac:dyDescent="0.2">
      <c r="A345" s="36"/>
      <c r="B345" s="37"/>
      <c r="C345" s="188"/>
      <c r="D345" s="188"/>
      <c r="E345" s="188"/>
      <c r="F345" s="188"/>
      <c r="G345" s="188"/>
      <c r="H345" s="188"/>
      <c r="I345" s="188"/>
      <c r="J345" s="188"/>
      <c r="K345" s="188"/>
      <c r="L345" s="188"/>
      <c r="M345" s="188"/>
      <c r="N345" s="188"/>
      <c r="O345" s="188" t="s">
        <v>270</v>
      </c>
      <c r="P345" s="188" t="s">
        <v>605</v>
      </c>
      <c r="Q345" s="42"/>
      <c r="R345" s="137">
        <f>R218</f>
        <v>0</v>
      </c>
    </row>
    <row r="346" spans="1:18" x14ac:dyDescent="0.2">
      <c r="A346" s="36"/>
      <c r="B346" s="37"/>
      <c r="C346" s="188"/>
      <c r="D346" s="188"/>
      <c r="E346" s="188"/>
      <c r="F346" s="188"/>
      <c r="G346" s="188"/>
      <c r="H346" s="188"/>
      <c r="I346" s="188"/>
      <c r="J346" s="188"/>
      <c r="K346" s="188"/>
      <c r="L346" s="188"/>
      <c r="M346" s="188"/>
      <c r="N346" s="188"/>
      <c r="O346" s="188"/>
      <c r="P346" s="188"/>
      <c r="Q346" s="42"/>
      <c r="R346" s="137"/>
    </row>
    <row r="347" spans="1:18" x14ac:dyDescent="0.2">
      <c r="A347" s="36"/>
      <c r="B347" s="37"/>
      <c r="C347" s="188"/>
      <c r="D347" s="188"/>
      <c r="E347" s="188"/>
      <c r="F347" s="188"/>
      <c r="G347" s="188"/>
      <c r="H347" s="188"/>
      <c r="I347" s="188"/>
      <c r="J347" s="188"/>
      <c r="K347" s="188"/>
      <c r="L347" s="188"/>
      <c r="M347" s="188"/>
      <c r="N347" s="188"/>
      <c r="O347" s="188" t="s">
        <v>270</v>
      </c>
      <c r="P347" s="188" t="s">
        <v>606</v>
      </c>
      <c r="Q347" s="42"/>
      <c r="R347" s="137">
        <f>R263</f>
        <v>0</v>
      </c>
    </row>
    <row r="348" spans="1:18" x14ac:dyDescent="0.2">
      <c r="A348" s="36"/>
      <c r="B348" s="37"/>
      <c r="C348" s="188"/>
      <c r="D348" s="188"/>
      <c r="E348" s="188"/>
      <c r="F348" s="188"/>
      <c r="G348" s="188"/>
      <c r="H348" s="188"/>
      <c r="I348" s="188"/>
      <c r="J348" s="188"/>
      <c r="K348" s="188"/>
      <c r="L348" s="188"/>
      <c r="M348" s="188"/>
      <c r="N348" s="188"/>
      <c r="O348" s="188"/>
      <c r="P348" s="188"/>
      <c r="Q348" s="42"/>
      <c r="R348" s="137"/>
    </row>
    <row r="349" spans="1:18" x14ac:dyDescent="0.2">
      <c r="A349" s="36"/>
      <c r="B349" s="37"/>
      <c r="C349" s="188"/>
      <c r="D349" s="188"/>
      <c r="E349" s="188"/>
      <c r="F349" s="188"/>
      <c r="G349" s="188"/>
      <c r="H349" s="188"/>
      <c r="I349" s="188"/>
      <c r="J349" s="188"/>
      <c r="K349" s="188"/>
      <c r="L349" s="188"/>
      <c r="M349" s="188"/>
      <c r="N349" s="188"/>
      <c r="O349" s="188" t="s">
        <v>270</v>
      </c>
      <c r="P349" s="188" t="s">
        <v>607</v>
      </c>
      <c r="Q349" s="42"/>
      <c r="R349" s="137">
        <f>R308</f>
        <v>0</v>
      </c>
    </row>
    <row r="350" spans="1:18" x14ac:dyDescent="0.2">
      <c r="A350" s="36"/>
      <c r="B350" s="37"/>
      <c r="C350" s="188"/>
      <c r="D350" s="188"/>
      <c r="E350" s="188"/>
      <c r="F350" s="188"/>
      <c r="G350" s="188"/>
      <c r="H350" s="188"/>
      <c r="I350" s="188"/>
      <c r="J350" s="188"/>
      <c r="K350" s="188"/>
      <c r="L350" s="188"/>
      <c r="M350" s="188"/>
      <c r="N350" s="188"/>
      <c r="O350" s="188"/>
      <c r="P350" s="188"/>
      <c r="Q350" s="42"/>
      <c r="R350" s="137"/>
    </row>
    <row r="351" spans="1:18" x14ac:dyDescent="0.2">
      <c r="A351" s="36"/>
      <c r="B351" s="37"/>
      <c r="C351" s="188"/>
      <c r="D351" s="188"/>
      <c r="E351" s="188"/>
      <c r="F351" s="188"/>
      <c r="G351" s="188"/>
      <c r="H351" s="188"/>
      <c r="I351" s="188"/>
      <c r="J351" s="188"/>
      <c r="K351" s="188"/>
      <c r="L351" s="188"/>
      <c r="M351" s="188"/>
      <c r="N351" s="188"/>
      <c r="O351" s="188" t="s">
        <v>270</v>
      </c>
      <c r="P351" s="188" t="s">
        <v>608</v>
      </c>
      <c r="Q351" s="42"/>
      <c r="R351" s="137">
        <f>R331</f>
        <v>0</v>
      </c>
    </row>
    <row r="352" spans="1:18" x14ac:dyDescent="0.2">
      <c r="A352" s="36"/>
      <c r="B352" s="37"/>
      <c r="C352" s="188"/>
      <c r="D352" s="188"/>
      <c r="E352" s="188"/>
      <c r="F352" s="188"/>
      <c r="G352" s="188"/>
      <c r="H352" s="188"/>
      <c r="I352" s="188"/>
      <c r="J352" s="188"/>
      <c r="K352" s="188"/>
      <c r="L352" s="188"/>
      <c r="M352" s="188"/>
      <c r="N352" s="188"/>
      <c r="O352" s="188"/>
      <c r="P352" s="188"/>
      <c r="Q352" s="42"/>
      <c r="R352" s="137"/>
    </row>
    <row r="353" spans="1:21" x14ac:dyDescent="0.2">
      <c r="A353" s="43"/>
      <c r="B353" s="44"/>
      <c r="C353" s="94"/>
      <c r="D353" s="94"/>
      <c r="E353" s="94"/>
      <c r="F353" s="94"/>
      <c r="G353" s="94"/>
      <c r="H353" s="94"/>
      <c r="I353" s="94"/>
      <c r="J353" s="94"/>
      <c r="K353" s="94"/>
      <c r="L353" s="94"/>
      <c r="M353" s="94"/>
      <c r="N353" s="94"/>
      <c r="O353" s="94"/>
      <c r="P353" s="94"/>
      <c r="Q353" s="45"/>
      <c r="R353" s="125"/>
      <c r="T353" s="52"/>
      <c r="U353" s="52"/>
    </row>
    <row r="354" spans="1:21" x14ac:dyDescent="0.2">
      <c r="A354" s="129"/>
      <c r="B354" s="172" t="s">
        <v>37</v>
      </c>
      <c r="C354" s="131"/>
      <c r="D354" s="131"/>
      <c r="E354" s="131"/>
      <c r="F354" s="131"/>
      <c r="G354" s="131"/>
      <c r="H354" s="131"/>
      <c r="I354" s="131"/>
      <c r="J354" s="131"/>
      <c r="K354" s="131"/>
      <c r="L354" s="131"/>
      <c r="M354" s="131"/>
      <c r="N354" s="131"/>
      <c r="O354" s="131"/>
      <c r="P354" s="131"/>
      <c r="Q354" s="132"/>
      <c r="R354" s="126"/>
      <c r="T354" s="134"/>
      <c r="U354" s="134"/>
    </row>
    <row r="355" spans="1:21" x14ac:dyDescent="0.2">
      <c r="C355" s="46"/>
      <c r="D355" s="46"/>
      <c r="E355" s="46"/>
      <c r="F355" s="46"/>
      <c r="G355" s="46"/>
      <c r="H355" s="46"/>
      <c r="I355" s="46"/>
      <c r="J355" s="46"/>
      <c r="K355" s="46"/>
      <c r="L355" s="46"/>
      <c r="M355" s="46"/>
      <c r="N355" s="46"/>
      <c r="O355" s="46"/>
      <c r="P355" s="171" t="s">
        <v>15</v>
      </c>
      <c r="Q355" s="133" t="s">
        <v>0</v>
      </c>
      <c r="R355" s="137">
        <f>SUM(R333:R353)</f>
        <v>0</v>
      </c>
      <c r="T355" s="135"/>
      <c r="U355" s="135"/>
    </row>
    <row r="356" spans="1:21" x14ac:dyDescent="0.2">
      <c r="P356" s="188"/>
      <c r="Q356" s="124"/>
      <c r="R356" s="125"/>
    </row>
  </sheetData>
  <customSheetViews>
    <customSheetView guid="{CBA2F18A-D99E-4593-B5C7-F549C46D482A}" scale="70" showPageBreaks="1" zeroValues="0" printArea="1" hiddenRows="1" hiddenColumns="1" view="pageBreakPreview">
      <pane xSplit="2" ySplit="3" topLeftCell="C421" activePane="bottomRight" state="frozen"/>
      <selection pane="bottomRight" activeCell="Z446" sqref="Z446"/>
      <pageMargins left="0.51181102362204722" right="0.19685039370078741" top="0.98425196850393704" bottom="0.59055118110236227" header="0.31496062992125984" footer="0.31496062992125984"/>
      <pageSetup paperSize="8" scale="90" orientation="landscape" useFirstPageNumber="1" r:id="rId1"/>
      <headerFooter>
        <oddHeader>&amp;R&amp;UBILL NO. 2
FINISHES</oddHeader>
        <oddFooter>&amp;L&amp;8MBR GPV PH1A BQ ADD5&amp;C&amp;10 2/J/&amp;P</oddFooter>
      </headerFooter>
    </customSheetView>
    <customSheetView guid="{A5028593-220E-41E5-9B7F-B61B224ADECB}" scale="80" showPageBreaks="1" zeroValues="0" printArea="1" showAutoFilter="1" hiddenColumns="1" view="pageBreakPreview">
      <pane xSplit="2" ySplit="3" topLeftCell="C340" activePane="bottomRight" state="frozen"/>
      <selection pane="bottomRight" activeCell="E373" sqref="E373"/>
      <pageMargins left="0.51181102362204722" right="0.19685039370078741" top="0.98425196850393704" bottom="0.59055118110236227" header="0.31496062992125984" footer="0.31496062992125984"/>
      <pageSetup paperSize="8" scale="85" orientation="landscape" useFirstPageNumber="1" r:id="rId2"/>
      <headerFooter>
        <oddHeader>&amp;R&amp;UBILL NO. 2
FINISHES</oddHeader>
        <oddFooter>&amp;L&amp;8MBR CV BQ&amp;C&amp;10 2/J/&amp;P</oddFooter>
      </headerFooter>
      <autoFilter ref="A3:AQ388" xr:uid="{EAF43049-ADFA-4543-BF07-E2BDE873D455}"/>
    </customSheetView>
    <customSheetView guid="{9B0AB937-A858-4024-AFD2-25458CC5120D}" scale="80" showPageBreaks="1" zeroValues="0" printArea="1" showAutoFilter="1" hiddenColumns="1" view="pageBreakPreview">
      <pane xSplit="2" ySplit="3" topLeftCell="C340" activePane="bottomRight" state="frozen"/>
      <selection pane="bottomRight" activeCell="E373" sqref="E373"/>
      <pageMargins left="0.51181102362204722" right="0.19685039370078741" top="0.98425196850393704" bottom="0.59055118110236227" header="0.31496062992125984" footer="0.31496062992125984"/>
      <pageSetup paperSize="8" scale="85" orientation="landscape" useFirstPageNumber="1" r:id="rId3"/>
      <headerFooter>
        <oddHeader>&amp;R&amp;UBILL NO. 2
FINISHES</oddHeader>
        <oddFooter>&amp;L&amp;8MBR CV BQ&amp;C&amp;10 2/J/&amp;P</oddFooter>
      </headerFooter>
      <autoFilter ref="A3:AQ388" xr:uid="{E9E00CD8-9F9A-450F-9A9D-23489D7005E5}"/>
    </customSheetView>
    <customSheetView guid="{09AFA358-18AB-4F70-994A-26F8BCF8C7CA}" scale="80" showPageBreaks="1" zeroValues="0" printArea="1" showAutoFilter="1" hiddenColumns="1" view="pageBreakPreview">
      <pane xSplit="2" ySplit="3" topLeftCell="C352" activePane="bottomRight" state="frozen"/>
      <selection pane="bottomRight" activeCell="B68" sqref="B68"/>
      <pageMargins left="0.51181102362204722" right="0.19685039370078741" top="0.98425196850393704" bottom="0.59055118110236227" header="0.31496062992125984" footer="0.31496062992125984"/>
      <pageSetup paperSize="8" scale="85" orientation="landscape" useFirstPageNumber="1" r:id="rId4"/>
      <headerFooter>
        <oddHeader>&amp;R&amp;UBILL NO. 2
FINISHES</oddHeader>
        <oddFooter>&amp;L&amp;8MBR CV BQ&amp;C&amp;10 2/J/&amp;P</oddFooter>
      </headerFooter>
      <autoFilter ref="A3:AQ388" xr:uid="{641B4CE4-C78B-441A-AE5C-CFCD89394072}"/>
    </customSheetView>
  </customSheetViews>
  <mergeCells count="14">
    <mergeCell ref="O335:P335"/>
    <mergeCell ref="F2:F3"/>
    <mergeCell ref="H2:H3"/>
    <mergeCell ref="J2:J3"/>
    <mergeCell ref="L2:L3"/>
    <mergeCell ref="N2:N3"/>
    <mergeCell ref="O2:O3"/>
    <mergeCell ref="R1:R3"/>
    <mergeCell ref="D2:D3"/>
    <mergeCell ref="A1:A3"/>
    <mergeCell ref="B1:B3"/>
    <mergeCell ref="C1:O1"/>
    <mergeCell ref="P1:P3"/>
    <mergeCell ref="Q1:Q3"/>
  </mergeCells>
  <printOptions horizontalCentered="1"/>
  <pageMargins left="0.51181102362204722" right="0.19685039370078741" top="0.98425196850393704" bottom="0.59055118110236227" header="0.31496062992125984" footer="0.31496062992125984"/>
  <pageSetup paperSize="8" orientation="landscape" useFirstPageNumber="1" r:id="rId5"/>
  <headerFooter>
    <oddHeader>&amp;R&amp;U
BILL NO. 3: TOWNHOUSE A 
FINISHES</oddHeader>
    <oddFooter>&amp;L&amp;8DMS No. 148110 Package 3 (05 Oct 2021)&amp;C&amp;10 3/J/&amp;P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A1:U229"/>
  <sheetViews>
    <sheetView showZeros="0" view="pageBreakPreview" zoomScale="90" zoomScaleNormal="85" zoomScaleSheetLayoutView="90" workbookViewId="0">
      <pane xSplit="2" ySplit="3" topLeftCell="C131" activePane="bottomRight" state="frozen"/>
      <selection activeCell="T57" sqref="T57"/>
      <selection pane="topRight" activeCell="T57" sqref="T57"/>
      <selection pane="bottomLeft" activeCell="T57" sqref="T57"/>
      <selection pane="bottomRight" activeCell="B105" sqref="B105"/>
    </sheetView>
  </sheetViews>
  <sheetFormatPr defaultRowHeight="14.25" x14ac:dyDescent="0.2"/>
  <cols>
    <col min="1" max="1" width="6.125" style="121" customWidth="1"/>
    <col min="2" max="2" width="61.875" style="122" customWidth="1"/>
    <col min="3" max="3" width="11.125" style="204" customWidth="1"/>
    <col min="4" max="4" width="10.625" style="204" hidden="1" customWidth="1"/>
    <col min="5" max="5" width="11.125" style="204" customWidth="1"/>
    <col min="6" max="6" width="10.625" style="204" hidden="1" customWidth="1"/>
    <col min="7" max="7" width="11.125" style="204" customWidth="1"/>
    <col min="8" max="8" width="10.625" style="204" hidden="1" customWidth="1"/>
    <col min="9" max="9" width="11.125" style="204" customWidth="1"/>
    <col min="10" max="10" width="10.625" style="204" hidden="1" customWidth="1"/>
    <col min="11" max="11" width="11.125" style="204" customWidth="1"/>
    <col min="12" max="12" width="10.625" style="204" hidden="1" customWidth="1"/>
    <col min="13" max="13" width="11.125" style="204" customWidth="1"/>
    <col min="14" max="14" width="10.625" style="204" hidden="1" customWidth="1"/>
    <col min="15" max="15" width="12.125" style="204" customWidth="1"/>
    <col min="16" max="16" width="7.125" style="204" customWidth="1"/>
    <col min="17" max="17" width="12.125" style="46" customWidth="1"/>
    <col min="18" max="18" width="16.625" style="46" customWidth="1"/>
    <col min="19" max="19" width="12.5" style="140" customWidth="1"/>
    <col min="20" max="20" width="9.75" style="123" customWidth="1"/>
    <col min="21" max="21" width="9.75" style="128" customWidth="1"/>
    <col min="22" max="16384" width="9" style="140"/>
  </cols>
  <sheetData>
    <row r="1" spans="1:21" s="98" customFormat="1" x14ac:dyDescent="0.2">
      <c r="A1" s="521" t="s">
        <v>5</v>
      </c>
      <c r="B1" s="521" t="s">
        <v>4</v>
      </c>
      <c r="C1" s="530" t="s">
        <v>3</v>
      </c>
      <c r="D1" s="530"/>
      <c r="E1" s="530"/>
      <c r="F1" s="530"/>
      <c r="G1" s="530"/>
      <c r="H1" s="530"/>
      <c r="I1" s="530"/>
      <c r="J1" s="530"/>
      <c r="K1" s="530"/>
      <c r="L1" s="530"/>
      <c r="M1" s="530"/>
      <c r="N1" s="530"/>
      <c r="O1" s="530"/>
      <c r="P1" s="531" t="s">
        <v>2</v>
      </c>
      <c r="Q1" s="518" t="s">
        <v>6</v>
      </c>
      <c r="R1" s="521" t="s">
        <v>7</v>
      </c>
      <c r="T1" s="193"/>
      <c r="U1" s="155"/>
    </row>
    <row r="2" spans="1:21" s="98" customFormat="1" ht="28.5" x14ac:dyDescent="0.2">
      <c r="A2" s="522"/>
      <c r="B2" s="522"/>
      <c r="C2" s="427" t="s">
        <v>439</v>
      </c>
      <c r="D2" s="524" t="s">
        <v>23</v>
      </c>
      <c r="E2" s="427" t="s">
        <v>440</v>
      </c>
      <c r="F2" s="524" t="s">
        <v>23</v>
      </c>
      <c r="G2" s="427" t="s">
        <v>441</v>
      </c>
      <c r="H2" s="524" t="s">
        <v>23</v>
      </c>
      <c r="I2" s="427" t="s">
        <v>442</v>
      </c>
      <c r="J2" s="524" t="s">
        <v>23</v>
      </c>
      <c r="K2" s="427" t="s">
        <v>443</v>
      </c>
      <c r="L2" s="524" t="s">
        <v>23</v>
      </c>
      <c r="M2" s="427" t="s">
        <v>444</v>
      </c>
      <c r="N2" s="524" t="s">
        <v>23</v>
      </c>
      <c r="O2" s="526" t="s">
        <v>22</v>
      </c>
      <c r="P2" s="532"/>
      <c r="Q2" s="519"/>
      <c r="R2" s="522"/>
      <c r="T2" s="194" t="s">
        <v>445</v>
      </c>
      <c r="U2" s="75" t="s">
        <v>446</v>
      </c>
    </row>
    <row r="3" spans="1:21" s="98" customFormat="1" x14ac:dyDescent="0.2">
      <c r="A3" s="523"/>
      <c r="B3" s="523"/>
      <c r="C3" s="192">
        <v>1</v>
      </c>
      <c r="D3" s="525"/>
      <c r="E3" s="192">
        <v>1</v>
      </c>
      <c r="F3" s="525"/>
      <c r="G3" s="192">
        <v>5</v>
      </c>
      <c r="H3" s="525"/>
      <c r="I3" s="192">
        <v>1</v>
      </c>
      <c r="J3" s="525"/>
      <c r="K3" s="192">
        <v>3</v>
      </c>
      <c r="L3" s="525"/>
      <c r="M3" s="192">
        <v>1</v>
      </c>
      <c r="N3" s="525"/>
      <c r="O3" s="527"/>
      <c r="P3" s="533"/>
      <c r="Q3" s="520"/>
      <c r="R3" s="523"/>
      <c r="S3" s="95">
        <f>C3+E3+G3+I3+K3+M3</f>
        <v>12</v>
      </c>
      <c r="T3" s="194"/>
      <c r="U3" s="35"/>
    </row>
    <row r="4" spans="1:21" x14ac:dyDescent="0.2">
      <c r="A4" s="127"/>
      <c r="B4" s="136"/>
      <c r="C4" s="128"/>
      <c r="D4" s="120"/>
      <c r="E4" s="120"/>
      <c r="F4" s="120"/>
      <c r="G4" s="120"/>
      <c r="H4" s="120"/>
      <c r="I4" s="120"/>
      <c r="J4" s="120"/>
      <c r="K4" s="120"/>
      <c r="L4" s="120"/>
      <c r="M4" s="120"/>
      <c r="N4" s="120"/>
      <c r="O4" s="120"/>
      <c r="P4" s="154"/>
      <c r="Q4" s="141"/>
      <c r="R4" s="137"/>
      <c r="T4" s="120"/>
    </row>
    <row r="5" spans="1:21" x14ac:dyDescent="0.2">
      <c r="A5" s="139"/>
      <c r="B5" s="81" t="s">
        <v>16</v>
      </c>
      <c r="C5" s="128"/>
      <c r="D5" s="120"/>
      <c r="E5" s="120"/>
      <c r="F5" s="120"/>
      <c r="G5" s="120"/>
      <c r="H5" s="120"/>
      <c r="I5" s="120"/>
      <c r="J5" s="120"/>
      <c r="K5" s="120"/>
      <c r="L5" s="120"/>
      <c r="M5" s="120"/>
      <c r="N5" s="120"/>
      <c r="O5" s="120"/>
      <c r="P5" s="154"/>
      <c r="Q5" s="141"/>
      <c r="R5" s="137"/>
      <c r="T5" s="120"/>
    </row>
    <row r="6" spans="1:21" x14ac:dyDescent="0.2">
      <c r="A6" s="139"/>
      <c r="B6" s="136"/>
      <c r="C6" s="128"/>
      <c r="D6" s="120"/>
      <c r="E6" s="120"/>
      <c r="F6" s="120"/>
      <c r="G6" s="120"/>
      <c r="H6" s="120"/>
      <c r="I6" s="120"/>
      <c r="J6" s="120"/>
      <c r="K6" s="120"/>
      <c r="L6" s="120"/>
      <c r="M6" s="120"/>
      <c r="N6" s="120"/>
      <c r="O6" s="120"/>
      <c r="P6" s="154"/>
      <c r="Q6" s="141"/>
      <c r="R6" s="137"/>
      <c r="T6" s="120"/>
    </row>
    <row r="7" spans="1:21" ht="28.5" x14ac:dyDescent="0.2">
      <c r="A7" s="139"/>
      <c r="B7" s="23" t="s">
        <v>184</v>
      </c>
      <c r="C7" s="128"/>
      <c r="D7" s="120"/>
      <c r="E7" s="120"/>
      <c r="F7" s="120"/>
      <c r="G7" s="120"/>
      <c r="H7" s="120"/>
      <c r="I7" s="120"/>
      <c r="J7" s="120"/>
      <c r="K7" s="120"/>
      <c r="L7" s="120"/>
      <c r="M7" s="120"/>
      <c r="N7" s="120"/>
      <c r="O7" s="120"/>
      <c r="P7" s="154"/>
      <c r="Q7" s="141"/>
      <c r="R7" s="137"/>
      <c r="T7" s="120"/>
    </row>
    <row r="8" spans="1:21" x14ac:dyDescent="0.2">
      <c r="A8" s="139"/>
      <c r="B8" s="136"/>
      <c r="C8" s="128"/>
      <c r="D8" s="120"/>
      <c r="E8" s="120"/>
      <c r="F8" s="120"/>
      <c r="G8" s="120"/>
      <c r="H8" s="120"/>
      <c r="I8" s="120"/>
      <c r="J8" s="120"/>
      <c r="K8" s="120"/>
      <c r="L8" s="120"/>
      <c r="M8" s="120"/>
      <c r="N8" s="120"/>
      <c r="O8" s="120"/>
      <c r="P8" s="154"/>
      <c r="Q8" s="141"/>
      <c r="R8" s="137"/>
      <c r="T8" s="120"/>
    </row>
    <row r="9" spans="1:21" x14ac:dyDescent="0.2">
      <c r="A9" s="139"/>
      <c r="B9" s="78" t="s">
        <v>34</v>
      </c>
      <c r="C9" s="128"/>
      <c r="D9" s="120"/>
      <c r="E9" s="120"/>
      <c r="F9" s="120"/>
      <c r="G9" s="120"/>
      <c r="H9" s="120"/>
      <c r="I9" s="120"/>
      <c r="J9" s="120"/>
      <c r="K9" s="120"/>
      <c r="L9" s="120"/>
      <c r="M9" s="120"/>
      <c r="N9" s="120"/>
      <c r="O9" s="120"/>
      <c r="P9" s="154"/>
      <c r="Q9" s="141"/>
      <c r="R9" s="137"/>
      <c r="T9" s="120"/>
    </row>
    <row r="10" spans="1:21" x14ac:dyDescent="0.2">
      <c r="A10" s="139"/>
      <c r="B10" s="24"/>
      <c r="C10" s="138"/>
      <c r="D10" s="138"/>
      <c r="E10" s="138"/>
      <c r="F10" s="138"/>
      <c r="G10" s="138"/>
      <c r="H10" s="138"/>
      <c r="I10" s="138"/>
      <c r="J10" s="138"/>
      <c r="K10" s="138"/>
      <c r="L10" s="138"/>
      <c r="M10" s="138"/>
      <c r="N10" s="138"/>
      <c r="O10" s="138"/>
      <c r="P10" s="154"/>
      <c r="Q10" s="141"/>
      <c r="R10" s="137"/>
      <c r="T10" s="120"/>
    </row>
    <row r="11" spans="1:21" ht="42.75" x14ac:dyDescent="0.2">
      <c r="A11" s="139"/>
      <c r="B11" s="78" t="s">
        <v>527</v>
      </c>
      <c r="C11" s="138">
        <f t="shared" ref="C11:C21" si="0">ROUND((2*$T11+2*$U11)*C$3,0)</f>
        <v>0</v>
      </c>
      <c r="D11" s="138">
        <f t="shared" ref="D11:D21" si="1">C11*$Q11</f>
        <v>0</v>
      </c>
      <c r="E11" s="138">
        <f t="shared" ref="E11:E21" si="2">ROUND((2*$T11+3*$U11)*E$3,0)</f>
        <v>0</v>
      </c>
      <c r="F11" s="138">
        <f t="shared" ref="F11:F21" si="3">E11*$Q11</f>
        <v>0</v>
      </c>
      <c r="G11" s="138">
        <f t="shared" ref="G11:G21" si="4">ROUND((2*$T11+4*$U11)*G$3,0)</f>
        <v>0</v>
      </c>
      <c r="H11" s="138">
        <f t="shared" ref="H11:H21" si="5">G11*$Q11</f>
        <v>0</v>
      </c>
      <c r="I11" s="138">
        <f t="shared" ref="I11:I21" si="6">ROUND((2*$T11+5*$U11)*I$3,0)</f>
        <v>0</v>
      </c>
      <c r="J11" s="138">
        <f t="shared" ref="J11:J21" si="7">I11*$Q11</f>
        <v>0</v>
      </c>
      <c r="K11" s="138">
        <f t="shared" ref="K11:K21" si="8">ROUND((2*$T11+6*$U11)*K$3,0)</f>
        <v>0</v>
      </c>
      <c r="L11" s="138">
        <f t="shared" ref="L11:L21" si="9">K11*$Q11</f>
        <v>0</v>
      </c>
      <c r="M11" s="138">
        <f t="shared" ref="M11:M21" si="10">ROUND((2*$T11+7*$U11)*M$3,0)</f>
        <v>0</v>
      </c>
      <c r="N11" s="138">
        <f t="shared" ref="N11:N21" si="11">M11*$Q11</f>
        <v>0</v>
      </c>
      <c r="O11" s="138">
        <f t="shared" ref="O11:O20" si="12">C11+E11+G11+I11+K11+M11</f>
        <v>0</v>
      </c>
      <c r="P11" s="154"/>
      <c r="Q11" s="141"/>
      <c r="R11" s="137"/>
      <c r="T11" s="120"/>
    </row>
    <row r="12" spans="1:21" x14ac:dyDescent="0.2">
      <c r="A12" s="139"/>
      <c r="B12" s="24"/>
      <c r="C12" s="138">
        <f t="shared" si="0"/>
        <v>0</v>
      </c>
      <c r="D12" s="138">
        <f t="shared" si="1"/>
        <v>0</v>
      </c>
      <c r="E12" s="138">
        <f t="shared" si="2"/>
        <v>0</v>
      </c>
      <c r="F12" s="138">
        <f t="shared" si="3"/>
        <v>0</v>
      </c>
      <c r="G12" s="138">
        <f t="shared" si="4"/>
        <v>0</v>
      </c>
      <c r="H12" s="138">
        <f t="shared" si="5"/>
        <v>0</v>
      </c>
      <c r="I12" s="138">
        <f t="shared" si="6"/>
        <v>0</v>
      </c>
      <c r="J12" s="138">
        <f t="shared" si="7"/>
        <v>0</v>
      </c>
      <c r="K12" s="138">
        <f t="shared" si="8"/>
        <v>0</v>
      </c>
      <c r="L12" s="138">
        <f t="shared" si="9"/>
        <v>0</v>
      </c>
      <c r="M12" s="138">
        <f t="shared" si="10"/>
        <v>0</v>
      </c>
      <c r="N12" s="138">
        <f t="shared" si="11"/>
        <v>0</v>
      </c>
      <c r="O12" s="138">
        <f t="shared" si="12"/>
        <v>0</v>
      </c>
      <c r="P12" s="154"/>
      <c r="Q12" s="141"/>
      <c r="R12" s="137"/>
      <c r="T12" s="120"/>
    </row>
    <row r="13" spans="1:21" x14ac:dyDescent="0.2">
      <c r="A13" s="139" t="s">
        <v>66</v>
      </c>
      <c r="B13" s="6" t="s">
        <v>528</v>
      </c>
      <c r="C13" s="138">
        <f t="shared" si="0"/>
        <v>4</v>
      </c>
      <c r="D13" s="138">
        <f t="shared" si="1"/>
        <v>0</v>
      </c>
      <c r="E13" s="138">
        <f t="shared" si="2"/>
        <v>5</v>
      </c>
      <c r="F13" s="138">
        <f t="shared" si="3"/>
        <v>0</v>
      </c>
      <c r="G13" s="138">
        <f t="shared" si="4"/>
        <v>30</v>
      </c>
      <c r="H13" s="138">
        <f t="shared" si="5"/>
        <v>0</v>
      </c>
      <c r="I13" s="138">
        <f t="shared" si="6"/>
        <v>7</v>
      </c>
      <c r="J13" s="138">
        <f t="shared" si="7"/>
        <v>0</v>
      </c>
      <c r="K13" s="138">
        <f t="shared" si="8"/>
        <v>24</v>
      </c>
      <c r="L13" s="138">
        <f t="shared" si="9"/>
        <v>0</v>
      </c>
      <c r="M13" s="138">
        <f t="shared" si="10"/>
        <v>9</v>
      </c>
      <c r="N13" s="138">
        <f t="shared" si="11"/>
        <v>0</v>
      </c>
      <c r="O13" s="138">
        <f>C13+E13+G13+I13+K13+M13</f>
        <v>79</v>
      </c>
      <c r="P13" s="154" t="s">
        <v>269</v>
      </c>
      <c r="Q13" s="141"/>
      <c r="R13" s="137">
        <f>O13*Q13</f>
        <v>0</v>
      </c>
      <c r="T13" s="120">
        <v>1</v>
      </c>
      <c r="U13" s="128">
        <v>1</v>
      </c>
    </row>
    <row r="14" spans="1:21" x14ac:dyDescent="0.2">
      <c r="A14" s="139"/>
      <c r="B14" s="24"/>
      <c r="C14" s="138">
        <f t="shared" si="0"/>
        <v>0</v>
      </c>
      <c r="D14" s="138">
        <f t="shared" si="1"/>
        <v>0</v>
      </c>
      <c r="E14" s="138">
        <f t="shared" si="2"/>
        <v>0</v>
      </c>
      <c r="F14" s="138">
        <f t="shared" si="3"/>
        <v>0</v>
      </c>
      <c r="G14" s="138">
        <f t="shared" si="4"/>
        <v>0</v>
      </c>
      <c r="H14" s="138">
        <f t="shared" si="5"/>
        <v>0</v>
      </c>
      <c r="I14" s="138">
        <f t="shared" si="6"/>
        <v>0</v>
      </c>
      <c r="J14" s="138">
        <f t="shared" si="7"/>
        <v>0</v>
      </c>
      <c r="K14" s="138">
        <f t="shared" si="8"/>
        <v>0</v>
      </c>
      <c r="L14" s="138">
        <f t="shared" si="9"/>
        <v>0</v>
      </c>
      <c r="M14" s="138">
        <f t="shared" si="10"/>
        <v>0</v>
      </c>
      <c r="N14" s="138">
        <f t="shared" si="11"/>
        <v>0</v>
      </c>
      <c r="O14" s="138">
        <f t="shared" si="12"/>
        <v>0</v>
      </c>
      <c r="P14" s="154"/>
      <c r="Q14" s="141"/>
      <c r="R14" s="137"/>
      <c r="T14" s="120"/>
    </row>
    <row r="15" spans="1:21" x14ac:dyDescent="0.2">
      <c r="A15" s="139" t="s">
        <v>67</v>
      </c>
      <c r="B15" s="234" t="s">
        <v>899</v>
      </c>
      <c r="C15" s="138">
        <f t="shared" si="0"/>
        <v>4</v>
      </c>
      <c r="D15" s="138">
        <f t="shared" si="1"/>
        <v>0</v>
      </c>
      <c r="E15" s="138">
        <f t="shared" si="2"/>
        <v>5</v>
      </c>
      <c r="F15" s="138">
        <f t="shared" si="3"/>
        <v>0</v>
      </c>
      <c r="G15" s="138">
        <f t="shared" si="4"/>
        <v>30</v>
      </c>
      <c r="H15" s="138">
        <f t="shared" si="5"/>
        <v>0</v>
      </c>
      <c r="I15" s="138">
        <f t="shared" si="6"/>
        <v>7</v>
      </c>
      <c r="J15" s="138">
        <f t="shared" si="7"/>
        <v>0</v>
      </c>
      <c r="K15" s="138">
        <f t="shared" si="8"/>
        <v>24</v>
      </c>
      <c r="L15" s="138">
        <f t="shared" si="9"/>
        <v>0</v>
      </c>
      <c r="M15" s="138">
        <f t="shared" si="10"/>
        <v>9</v>
      </c>
      <c r="N15" s="138">
        <f t="shared" si="11"/>
        <v>0</v>
      </c>
      <c r="O15" s="138">
        <f>C15+E15+G15+I15+K15+M15</f>
        <v>79</v>
      </c>
      <c r="P15" s="154" t="s">
        <v>269</v>
      </c>
      <c r="Q15" s="141"/>
      <c r="R15" s="137">
        <f>O15*Q15</f>
        <v>0</v>
      </c>
      <c r="T15" s="120">
        <v>1</v>
      </c>
      <c r="U15" s="128">
        <v>1</v>
      </c>
    </row>
    <row r="16" spans="1:21" x14ac:dyDescent="0.2">
      <c r="A16" s="139"/>
      <c r="B16" s="24"/>
      <c r="C16" s="138">
        <f t="shared" si="0"/>
        <v>0</v>
      </c>
      <c r="D16" s="138">
        <f t="shared" si="1"/>
        <v>0</v>
      </c>
      <c r="E16" s="138">
        <f t="shared" si="2"/>
        <v>0</v>
      </c>
      <c r="F16" s="138">
        <f t="shared" si="3"/>
        <v>0</v>
      </c>
      <c r="G16" s="138">
        <f t="shared" si="4"/>
        <v>0</v>
      </c>
      <c r="H16" s="138">
        <f t="shared" si="5"/>
        <v>0</v>
      </c>
      <c r="I16" s="138">
        <f t="shared" si="6"/>
        <v>0</v>
      </c>
      <c r="J16" s="138">
        <f t="shared" si="7"/>
        <v>0</v>
      </c>
      <c r="K16" s="138">
        <f t="shared" si="8"/>
        <v>0</v>
      </c>
      <c r="L16" s="138">
        <f t="shared" si="9"/>
        <v>0</v>
      </c>
      <c r="M16" s="138">
        <f t="shared" si="10"/>
        <v>0</v>
      </c>
      <c r="N16" s="138">
        <f t="shared" si="11"/>
        <v>0</v>
      </c>
      <c r="O16" s="138">
        <f t="shared" si="12"/>
        <v>0</v>
      </c>
      <c r="P16" s="154"/>
      <c r="Q16" s="141"/>
      <c r="R16" s="137"/>
      <c r="T16" s="120"/>
    </row>
    <row r="17" spans="1:21" x14ac:dyDescent="0.2">
      <c r="A17" s="139" t="s">
        <v>68</v>
      </c>
      <c r="B17" s="234" t="s">
        <v>900</v>
      </c>
      <c r="C17" s="138">
        <f t="shared" si="0"/>
        <v>8</v>
      </c>
      <c r="D17" s="138">
        <f t="shared" si="1"/>
        <v>0</v>
      </c>
      <c r="E17" s="138">
        <f t="shared" si="2"/>
        <v>10</v>
      </c>
      <c r="F17" s="138">
        <f t="shared" si="3"/>
        <v>0</v>
      </c>
      <c r="G17" s="138">
        <f t="shared" si="4"/>
        <v>60</v>
      </c>
      <c r="H17" s="138">
        <f t="shared" si="5"/>
        <v>0</v>
      </c>
      <c r="I17" s="138">
        <f t="shared" si="6"/>
        <v>14</v>
      </c>
      <c r="J17" s="138">
        <f t="shared" si="7"/>
        <v>0</v>
      </c>
      <c r="K17" s="138">
        <f t="shared" si="8"/>
        <v>48</v>
      </c>
      <c r="L17" s="138">
        <f t="shared" si="9"/>
        <v>0</v>
      </c>
      <c r="M17" s="138">
        <f t="shared" si="10"/>
        <v>18</v>
      </c>
      <c r="N17" s="138">
        <f t="shared" si="11"/>
        <v>0</v>
      </c>
      <c r="O17" s="138">
        <f>C17+E17+G17+I17+K17+M17</f>
        <v>158</v>
      </c>
      <c r="P17" s="154" t="s">
        <v>269</v>
      </c>
      <c r="Q17" s="141"/>
      <c r="R17" s="137">
        <f>O17*Q17</f>
        <v>0</v>
      </c>
      <c r="T17" s="120">
        <v>2</v>
      </c>
      <c r="U17" s="128">
        <v>2</v>
      </c>
    </row>
    <row r="18" spans="1:21" x14ac:dyDescent="0.2">
      <c r="A18" s="139"/>
      <c r="B18" s="24"/>
      <c r="C18" s="138">
        <f t="shared" si="0"/>
        <v>0</v>
      </c>
      <c r="D18" s="138">
        <f t="shared" si="1"/>
        <v>0</v>
      </c>
      <c r="E18" s="138">
        <f t="shared" si="2"/>
        <v>0</v>
      </c>
      <c r="F18" s="138">
        <f t="shared" si="3"/>
        <v>0</v>
      </c>
      <c r="G18" s="138">
        <f t="shared" si="4"/>
        <v>0</v>
      </c>
      <c r="H18" s="138">
        <f t="shared" si="5"/>
        <v>0</v>
      </c>
      <c r="I18" s="138">
        <f t="shared" si="6"/>
        <v>0</v>
      </c>
      <c r="J18" s="138">
        <f t="shared" si="7"/>
        <v>0</v>
      </c>
      <c r="K18" s="138">
        <f t="shared" si="8"/>
        <v>0</v>
      </c>
      <c r="L18" s="138">
        <f t="shared" si="9"/>
        <v>0</v>
      </c>
      <c r="M18" s="138">
        <f t="shared" si="10"/>
        <v>0</v>
      </c>
      <c r="N18" s="138">
        <f t="shared" si="11"/>
        <v>0</v>
      </c>
      <c r="O18" s="138">
        <f t="shared" si="12"/>
        <v>0</v>
      </c>
      <c r="P18" s="154"/>
      <c r="Q18" s="141"/>
      <c r="R18" s="137"/>
      <c r="T18" s="120"/>
    </row>
    <row r="19" spans="1:21" x14ac:dyDescent="0.2">
      <c r="A19" s="139" t="s">
        <v>69</v>
      </c>
      <c r="B19" s="234" t="s">
        <v>901</v>
      </c>
      <c r="C19" s="138">
        <f t="shared" si="0"/>
        <v>4</v>
      </c>
      <c r="D19" s="138">
        <f t="shared" si="1"/>
        <v>0</v>
      </c>
      <c r="E19" s="138">
        <f t="shared" si="2"/>
        <v>5</v>
      </c>
      <c r="F19" s="138">
        <f t="shared" si="3"/>
        <v>0</v>
      </c>
      <c r="G19" s="138">
        <f t="shared" si="4"/>
        <v>30</v>
      </c>
      <c r="H19" s="138">
        <f t="shared" si="5"/>
        <v>0</v>
      </c>
      <c r="I19" s="138">
        <f t="shared" si="6"/>
        <v>7</v>
      </c>
      <c r="J19" s="138">
        <f t="shared" si="7"/>
        <v>0</v>
      </c>
      <c r="K19" s="138">
        <f t="shared" si="8"/>
        <v>24</v>
      </c>
      <c r="L19" s="138">
        <f t="shared" si="9"/>
        <v>0</v>
      </c>
      <c r="M19" s="138">
        <f t="shared" si="10"/>
        <v>9</v>
      </c>
      <c r="N19" s="138">
        <f t="shared" si="11"/>
        <v>0</v>
      </c>
      <c r="O19" s="138">
        <f>C19+E19+G19+I19+K19+M19</f>
        <v>79</v>
      </c>
      <c r="P19" s="154" t="s">
        <v>269</v>
      </c>
      <c r="Q19" s="141"/>
      <c r="R19" s="137">
        <f>O19*Q19</f>
        <v>0</v>
      </c>
      <c r="T19" s="120">
        <v>1</v>
      </c>
      <c r="U19" s="128">
        <v>1</v>
      </c>
    </row>
    <row r="20" spans="1:21" x14ac:dyDescent="0.2">
      <c r="A20" s="139"/>
      <c r="B20" s="24"/>
      <c r="C20" s="138">
        <f t="shared" si="0"/>
        <v>0</v>
      </c>
      <c r="D20" s="138">
        <f t="shared" si="1"/>
        <v>0</v>
      </c>
      <c r="E20" s="138">
        <f t="shared" si="2"/>
        <v>0</v>
      </c>
      <c r="F20" s="138">
        <f t="shared" si="3"/>
        <v>0</v>
      </c>
      <c r="G20" s="138">
        <f t="shared" si="4"/>
        <v>0</v>
      </c>
      <c r="H20" s="138">
        <f t="shared" si="5"/>
        <v>0</v>
      </c>
      <c r="I20" s="138">
        <f t="shared" si="6"/>
        <v>0</v>
      </c>
      <c r="J20" s="138">
        <f t="shared" si="7"/>
        <v>0</v>
      </c>
      <c r="K20" s="138">
        <f t="shared" si="8"/>
        <v>0</v>
      </c>
      <c r="L20" s="138">
        <f t="shared" si="9"/>
        <v>0</v>
      </c>
      <c r="M20" s="138">
        <f t="shared" si="10"/>
        <v>0</v>
      </c>
      <c r="N20" s="138">
        <f t="shared" si="11"/>
        <v>0</v>
      </c>
      <c r="O20" s="138">
        <f t="shared" si="12"/>
        <v>0</v>
      </c>
      <c r="P20" s="154"/>
      <c r="Q20" s="141"/>
      <c r="R20" s="137"/>
      <c r="T20" s="120"/>
    </row>
    <row r="21" spans="1:21" x14ac:dyDescent="0.2">
      <c r="A21" s="139" t="s">
        <v>70</v>
      </c>
      <c r="B21" s="79" t="s">
        <v>406</v>
      </c>
      <c r="C21" s="138">
        <f t="shared" si="0"/>
        <v>16</v>
      </c>
      <c r="D21" s="138">
        <f t="shared" si="1"/>
        <v>0</v>
      </c>
      <c r="E21" s="138">
        <f t="shared" si="2"/>
        <v>20</v>
      </c>
      <c r="F21" s="138">
        <f t="shared" si="3"/>
        <v>0</v>
      </c>
      <c r="G21" s="138">
        <f t="shared" si="4"/>
        <v>120</v>
      </c>
      <c r="H21" s="138">
        <f t="shared" si="5"/>
        <v>0</v>
      </c>
      <c r="I21" s="138">
        <f t="shared" si="6"/>
        <v>28</v>
      </c>
      <c r="J21" s="138">
        <f t="shared" si="7"/>
        <v>0</v>
      </c>
      <c r="K21" s="138">
        <f t="shared" si="8"/>
        <v>96</v>
      </c>
      <c r="L21" s="138">
        <f t="shared" si="9"/>
        <v>0</v>
      </c>
      <c r="M21" s="138">
        <f t="shared" si="10"/>
        <v>36</v>
      </c>
      <c r="N21" s="138">
        <f t="shared" si="11"/>
        <v>0</v>
      </c>
      <c r="O21" s="138">
        <f>C21+E21+G21+I21+K21+M21</f>
        <v>316</v>
      </c>
      <c r="P21" s="154" t="s">
        <v>269</v>
      </c>
      <c r="Q21" s="141"/>
      <c r="R21" s="137">
        <f>O21*Q21</f>
        <v>0</v>
      </c>
      <c r="T21" s="120">
        <v>4</v>
      </c>
      <c r="U21" s="128">
        <v>4</v>
      </c>
    </row>
    <row r="22" spans="1:21" x14ac:dyDescent="0.2">
      <c r="A22" s="139"/>
      <c r="B22" s="136"/>
      <c r="C22" s="128"/>
      <c r="D22" s="120"/>
      <c r="E22" s="120"/>
      <c r="F22" s="120"/>
      <c r="G22" s="120"/>
      <c r="H22" s="120"/>
      <c r="I22" s="120"/>
      <c r="J22" s="120"/>
      <c r="K22" s="120"/>
      <c r="L22" s="120"/>
      <c r="M22" s="120"/>
      <c r="N22" s="120"/>
      <c r="O22" s="120"/>
      <c r="P22" s="154"/>
      <c r="Q22" s="141"/>
      <c r="R22" s="137"/>
      <c r="T22" s="120"/>
    </row>
    <row r="23" spans="1:21" x14ac:dyDescent="0.2">
      <c r="A23" s="139"/>
      <c r="B23" s="80" t="s">
        <v>30</v>
      </c>
      <c r="C23" s="138">
        <f t="shared" ref="C23:C33" si="13">ROUND((2*$T23+2*$U23)*C$3,0)</f>
        <v>0</v>
      </c>
      <c r="D23" s="138">
        <f t="shared" ref="D23:D33" si="14">C23*$Q23</f>
        <v>0</v>
      </c>
      <c r="E23" s="138">
        <f t="shared" ref="E23:E33" si="15">ROUND((2*$T23+3*$U23)*E$3,0)</f>
        <v>0</v>
      </c>
      <c r="F23" s="138">
        <f t="shared" ref="F23:F33" si="16">E23*$Q23</f>
        <v>0</v>
      </c>
      <c r="G23" s="138">
        <f t="shared" ref="G23:G33" si="17">ROUND((2*$T23+4*$U23)*G$3,0)</f>
        <v>0</v>
      </c>
      <c r="H23" s="138">
        <f t="shared" ref="H23:H33" si="18">G23*$Q23</f>
        <v>0</v>
      </c>
      <c r="I23" s="138">
        <f t="shared" ref="I23:I33" si="19">ROUND((2*$T23+5*$U23)*I$3,0)</f>
        <v>0</v>
      </c>
      <c r="J23" s="138">
        <f t="shared" ref="J23:J33" si="20">I23*$Q23</f>
        <v>0</v>
      </c>
      <c r="K23" s="138">
        <f t="shared" ref="K23:K33" si="21">ROUND((2*$T23+6*$U23)*K$3,0)</f>
        <v>0</v>
      </c>
      <c r="L23" s="138">
        <f t="shared" ref="L23:L33" si="22">K23*$Q23</f>
        <v>0</v>
      </c>
      <c r="M23" s="138">
        <f t="shared" ref="M23:M33" si="23">ROUND((2*$T23+7*$U23)*M$3,0)</f>
        <v>0</v>
      </c>
      <c r="N23" s="138">
        <f t="shared" ref="N23:N33" si="24">M23*$Q23</f>
        <v>0</v>
      </c>
      <c r="O23" s="138">
        <f t="shared" ref="O23:O32" si="25">C23+E23+G23+I23+K23+M23</f>
        <v>0</v>
      </c>
      <c r="P23" s="154"/>
      <c r="Q23" s="141"/>
      <c r="R23" s="137"/>
      <c r="T23" s="120"/>
    </row>
    <row r="24" spans="1:21" x14ac:dyDescent="0.2">
      <c r="A24" s="139"/>
      <c r="B24" s="24"/>
      <c r="C24" s="138">
        <f t="shared" si="13"/>
        <v>0</v>
      </c>
      <c r="D24" s="138">
        <f t="shared" si="14"/>
        <v>0</v>
      </c>
      <c r="E24" s="138">
        <f t="shared" si="15"/>
        <v>0</v>
      </c>
      <c r="F24" s="138">
        <f t="shared" si="16"/>
        <v>0</v>
      </c>
      <c r="G24" s="138">
        <f t="shared" si="17"/>
        <v>0</v>
      </c>
      <c r="H24" s="138">
        <f t="shared" si="18"/>
        <v>0</v>
      </c>
      <c r="I24" s="138">
        <f t="shared" si="19"/>
        <v>0</v>
      </c>
      <c r="J24" s="138">
        <f t="shared" si="20"/>
        <v>0</v>
      </c>
      <c r="K24" s="138">
        <f t="shared" si="21"/>
        <v>0</v>
      </c>
      <c r="L24" s="138">
        <f t="shared" si="22"/>
        <v>0</v>
      </c>
      <c r="M24" s="138">
        <f t="shared" si="23"/>
        <v>0</v>
      </c>
      <c r="N24" s="138">
        <f t="shared" si="24"/>
        <v>0</v>
      </c>
      <c r="O24" s="138">
        <f t="shared" si="25"/>
        <v>0</v>
      </c>
      <c r="P24" s="154"/>
      <c r="Q24" s="141"/>
      <c r="R24" s="137"/>
      <c r="T24" s="120"/>
    </row>
    <row r="25" spans="1:21" ht="42.75" x14ac:dyDescent="0.2">
      <c r="A25" s="139"/>
      <c r="B25" s="451" t="s">
        <v>902</v>
      </c>
      <c r="C25" s="138">
        <f t="shared" si="13"/>
        <v>0</v>
      </c>
      <c r="D25" s="138">
        <f t="shared" si="14"/>
        <v>0</v>
      </c>
      <c r="E25" s="138">
        <f t="shared" si="15"/>
        <v>0</v>
      </c>
      <c r="F25" s="138">
        <f t="shared" si="16"/>
        <v>0</v>
      </c>
      <c r="G25" s="138">
        <f t="shared" si="17"/>
        <v>0</v>
      </c>
      <c r="H25" s="138">
        <f t="shared" si="18"/>
        <v>0</v>
      </c>
      <c r="I25" s="138">
        <f t="shared" si="19"/>
        <v>0</v>
      </c>
      <c r="J25" s="138">
        <f t="shared" si="20"/>
        <v>0</v>
      </c>
      <c r="K25" s="138">
        <f t="shared" si="21"/>
        <v>0</v>
      </c>
      <c r="L25" s="138">
        <f t="shared" si="22"/>
        <v>0</v>
      </c>
      <c r="M25" s="138">
        <f t="shared" si="23"/>
        <v>0</v>
      </c>
      <c r="N25" s="138">
        <f t="shared" si="24"/>
        <v>0</v>
      </c>
      <c r="O25" s="138">
        <f t="shared" si="25"/>
        <v>0</v>
      </c>
      <c r="P25" s="154"/>
      <c r="Q25" s="141"/>
      <c r="R25" s="137"/>
      <c r="T25" s="120"/>
    </row>
    <row r="26" spans="1:21" x14ac:dyDescent="0.2">
      <c r="A26" s="139"/>
      <c r="B26" s="24"/>
      <c r="C26" s="138">
        <f t="shared" si="13"/>
        <v>0</v>
      </c>
      <c r="D26" s="138">
        <f t="shared" si="14"/>
        <v>0</v>
      </c>
      <c r="E26" s="138">
        <f t="shared" si="15"/>
        <v>0</v>
      </c>
      <c r="F26" s="138">
        <f t="shared" si="16"/>
        <v>0</v>
      </c>
      <c r="G26" s="138">
        <f t="shared" si="17"/>
        <v>0</v>
      </c>
      <c r="H26" s="138">
        <f t="shared" si="18"/>
        <v>0</v>
      </c>
      <c r="I26" s="138">
        <f t="shared" si="19"/>
        <v>0</v>
      </c>
      <c r="J26" s="138">
        <f t="shared" si="20"/>
        <v>0</v>
      </c>
      <c r="K26" s="138">
        <f t="shared" si="21"/>
        <v>0</v>
      </c>
      <c r="L26" s="138">
        <f t="shared" si="22"/>
        <v>0</v>
      </c>
      <c r="M26" s="138">
        <f t="shared" si="23"/>
        <v>0</v>
      </c>
      <c r="N26" s="138">
        <f t="shared" si="24"/>
        <v>0</v>
      </c>
      <c r="O26" s="138">
        <f t="shared" si="25"/>
        <v>0</v>
      </c>
      <c r="P26" s="154"/>
      <c r="Q26" s="141"/>
      <c r="R26" s="137"/>
      <c r="T26" s="120"/>
    </row>
    <row r="27" spans="1:21" x14ac:dyDescent="0.2">
      <c r="A27" s="139" t="s">
        <v>71</v>
      </c>
      <c r="B27" s="136" t="s">
        <v>529</v>
      </c>
      <c r="C27" s="138">
        <f t="shared" si="13"/>
        <v>4</v>
      </c>
      <c r="D27" s="138">
        <f t="shared" si="14"/>
        <v>0</v>
      </c>
      <c r="E27" s="138">
        <f t="shared" si="15"/>
        <v>5</v>
      </c>
      <c r="F27" s="138">
        <f t="shared" si="16"/>
        <v>0</v>
      </c>
      <c r="G27" s="138">
        <f t="shared" si="17"/>
        <v>30</v>
      </c>
      <c r="H27" s="138">
        <f t="shared" si="18"/>
        <v>0</v>
      </c>
      <c r="I27" s="138">
        <f t="shared" si="19"/>
        <v>7</v>
      </c>
      <c r="J27" s="138">
        <f t="shared" si="20"/>
        <v>0</v>
      </c>
      <c r="K27" s="138">
        <f t="shared" si="21"/>
        <v>24</v>
      </c>
      <c r="L27" s="138">
        <f t="shared" si="22"/>
        <v>0</v>
      </c>
      <c r="M27" s="138">
        <f t="shared" si="23"/>
        <v>9</v>
      </c>
      <c r="N27" s="138">
        <f t="shared" si="24"/>
        <v>0</v>
      </c>
      <c r="O27" s="138">
        <f>C27+E27+G27+I27+K27+M27</f>
        <v>79</v>
      </c>
      <c r="P27" s="154" t="s">
        <v>269</v>
      </c>
      <c r="Q27" s="141"/>
      <c r="R27" s="137">
        <f>O27*Q27</f>
        <v>0</v>
      </c>
      <c r="T27" s="120">
        <v>1</v>
      </c>
      <c r="U27" s="128">
        <v>1</v>
      </c>
    </row>
    <row r="28" spans="1:21" x14ac:dyDescent="0.2">
      <c r="A28" s="139"/>
      <c r="B28" s="25"/>
      <c r="C28" s="138">
        <f t="shared" si="13"/>
        <v>0</v>
      </c>
      <c r="D28" s="138">
        <f t="shared" si="14"/>
        <v>0</v>
      </c>
      <c r="E28" s="138">
        <f t="shared" si="15"/>
        <v>0</v>
      </c>
      <c r="F28" s="138">
        <f t="shared" si="16"/>
        <v>0</v>
      </c>
      <c r="G28" s="138">
        <f t="shared" si="17"/>
        <v>0</v>
      </c>
      <c r="H28" s="138">
        <f t="shared" si="18"/>
        <v>0</v>
      </c>
      <c r="I28" s="138">
        <f t="shared" si="19"/>
        <v>0</v>
      </c>
      <c r="J28" s="138">
        <f t="shared" si="20"/>
        <v>0</v>
      </c>
      <c r="K28" s="138">
        <f t="shared" si="21"/>
        <v>0</v>
      </c>
      <c r="L28" s="138">
        <f t="shared" si="22"/>
        <v>0</v>
      </c>
      <c r="M28" s="138">
        <f t="shared" si="23"/>
        <v>0</v>
      </c>
      <c r="N28" s="138">
        <f t="shared" si="24"/>
        <v>0</v>
      </c>
      <c r="O28" s="138">
        <f t="shared" si="25"/>
        <v>0</v>
      </c>
      <c r="P28" s="154"/>
      <c r="Q28" s="141"/>
      <c r="R28" s="137">
        <f t="shared" ref="R28" si="26">O28*Q28</f>
        <v>0</v>
      </c>
      <c r="T28" s="120"/>
    </row>
    <row r="29" spans="1:21" x14ac:dyDescent="0.2">
      <c r="A29" s="139" t="s">
        <v>72</v>
      </c>
      <c r="B29" s="136" t="s">
        <v>530</v>
      </c>
      <c r="C29" s="138">
        <f t="shared" si="13"/>
        <v>8</v>
      </c>
      <c r="D29" s="138">
        <f t="shared" si="14"/>
        <v>0</v>
      </c>
      <c r="E29" s="138">
        <f t="shared" si="15"/>
        <v>10</v>
      </c>
      <c r="F29" s="138">
        <f t="shared" si="16"/>
        <v>0</v>
      </c>
      <c r="G29" s="138">
        <f t="shared" si="17"/>
        <v>60</v>
      </c>
      <c r="H29" s="138">
        <f t="shared" si="18"/>
        <v>0</v>
      </c>
      <c r="I29" s="138">
        <f t="shared" si="19"/>
        <v>14</v>
      </c>
      <c r="J29" s="138">
        <f t="shared" si="20"/>
        <v>0</v>
      </c>
      <c r="K29" s="138">
        <f t="shared" si="21"/>
        <v>48</v>
      </c>
      <c r="L29" s="138">
        <f t="shared" si="22"/>
        <v>0</v>
      </c>
      <c r="M29" s="138">
        <f t="shared" si="23"/>
        <v>18</v>
      </c>
      <c r="N29" s="138">
        <f t="shared" si="24"/>
        <v>0</v>
      </c>
      <c r="O29" s="138">
        <f>C29+E29+G29+I29+K29+M29</f>
        <v>158</v>
      </c>
      <c r="P29" s="154" t="s">
        <v>269</v>
      </c>
      <c r="Q29" s="141"/>
      <c r="R29" s="137">
        <f>O29*Q29</f>
        <v>0</v>
      </c>
      <c r="T29" s="120">
        <v>2</v>
      </c>
      <c r="U29" s="128">
        <v>2</v>
      </c>
    </row>
    <row r="30" spans="1:21" x14ac:dyDescent="0.2">
      <c r="A30" s="139"/>
      <c r="B30" s="24"/>
      <c r="C30" s="138">
        <f t="shared" si="13"/>
        <v>0</v>
      </c>
      <c r="D30" s="138">
        <f t="shared" si="14"/>
        <v>0</v>
      </c>
      <c r="E30" s="138">
        <f t="shared" si="15"/>
        <v>0</v>
      </c>
      <c r="F30" s="138">
        <f t="shared" si="16"/>
        <v>0</v>
      </c>
      <c r="G30" s="138">
        <f t="shared" si="17"/>
        <v>0</v>
      </c>
      <c r="H30" s="138">
        <f t="shared" si="18"/>
        <v>0</v>
      </c>
      <c r="I30" s="138">
        <f t="shared" si="19"/>
        <v>0</v>
      </c>
      <c r="J30" s="138">
        <f t="shared" si="20"/>
        <v>0</v>
      </c>
      <c r="K30" s="138">
        <f t="shared" si="21"/>
        <v>0</v>
      </c>
      <c r="L30" s="138">
        <f t="shared" si="22"/>
        <v>0</v>
      </c>
      <c r="M30" s="138">
        <f t="shared" si="23"/>
        <v>0</v>
      </c>
      <c r="N30" s="138">
        <f t="shared" si="24"/>
        <v>0</v>
      </c>
      <c r="O30" s="138">
        <f t="shared" si="25"/>
        <v>0</v>
      </c>
      <c r="P30" s="154"/>
      <c r="Q30" s="141"/>
      <c r="R30" s="137"/>
      <c r="T30" s="120"/>
    </row>
    <row r="31" spans="1:21" x14ac:dyDescent="0.2">
      <c r="A31" s="139" t="s">
        <v>73</v>
      </c>
      <c r="B31" s="136" t="s">
        <v>531</v>
      </c>
      <c r="C31" s="138">
        <f t="shared" si="13"/>
        <v>4</v>
      </c>
      <c r="D31" s="138">
        <f t="shared" si="14"/>
        <v>0</v>
      </c>
      <c r="E31" s="138">
        <f t="shared" si="15"/>
        <v>5</v>
      </c>
      <c r="F31" s="138">
        <f t="shared" si="16"/>
        <v>0</v>
      </c>
      <c r="G31" s="138">
        <f t="shared" si="17"/>
        <v>30</v>
      </c>
      <c r="H31" s="138">
        <f t="shared" si="18"/>
        <v>0</v>
      </c>
      <c r="I31" s="138">
        <f t="shared" si="19"/>
        <v>7</v>
      </c>
      <c r="J31" s="138">
        <f t="shared" si="20"/>
        <v>0</v>
      </c>
      <c r="K31" s="138">
        <f t="shared" si="21"/>
        <v>24</v>
      </c>
      <c r="L31" s="138">
        <f t="shared" si="22"/>
        <v>0</v>
      </c>
      <c r="M31" s="138">
        <f t="shared" si="23"/>
        <v>9</v>
      </c>
      <c r="N31" s="138">
        <f t="shared" si="24"/>
        <v>0</v>
      </c>
      <c r="O31" s="138">
        <f>C31+E31+G31+I31+K31+M31</f>
        <v>79</v>
      </c>
      <c r="P31" s="154" t="s">
        <v>269</v>
      </c>
      <c r="Q31" s="141"/>
      <c r="R31" s="137">
        <f>O31*Q31</f>
        <v>0</v>
      </c>
      <c r="T31" s="120">
        <v>1</v>
      </c>
      <c r="U31" s="128">
        <v>1</v>
      </c>
    </row>
    <row r="32" spans="1:21" x14ac:dyDescent="0.2">
      <c r="A32" s="139"/>
      <c r="B32" s="136"/>
      <c r="C32" s="138">
        <f t="shared" si="13"/>
        <v>0</v>
      </c>
      <c r="D32" s="138">
        <f t="shared" si="14"/>
        <v>0</v>
      </c>
      <c r="E32" s="138">
        <f t="shared" si="15"/>
        <v>0</v>
      </c>
      <c r="F32" s="138">
        <f t="shared" si="16"/>
        <v>0</v>
      </c>
      <c r="G32" s="138">
        <f t="shared" si="17"/>
        <v>0</v>
      </c>
      <c r="H32" s="138">
        <f t="shared" si="18"/>
        <v>0</v>
      </c>
      <c r="I32" s="138">
        <f t="shared" si="19"/>
        <v>0</v>
      </c>
      <c r="J32" s="138">
        <f t="shared" si="20"/>
        <v>0</v>
      </c>
      <c r="K32" s="138">
        <f t="shared" si="21"/>
        <v>0</v>
      </c>
      <c r="L32" s="138">
        <f t="shared" si="22"/>
        <v>0</v>
      </c>
      <c r="M32" s="138">
        <f t="shared" si="23"/>
        <v>0</v>
      </c>
      <c r="N32" s="138">
        <f t="shared" si="24"/>
        <v>0</v>
      </c>
      <c r="O32" s="138">
        <f t="shared" si="25"/>
        <v>0</v>
      </c>
      <c r="P32" s="154"/>
      <c r="Q32" s="141"/>
      <c r="R32" s="137"/>
      <c r="T32" s="120"/>
    </row>
    <row r="33" spans="1:21" x14ac:dyDescent="0.2">
      <c r="A33" s="127" t="s">
        <v>74</v>
      </c>
      <c r="B33" s="79" t="s">
        <v>65</v>
      </c>
      <c r="C33" s="138">
        <f t="shared" si="13"/>
        <v>16</v>
      </c>
      <c r="D33" s="138">
        <f t="shared" si="14"/>
        <v>0</v>
      </c>
      <c r="E33" s="138">
        <f t="shared" si="15"/>
        <v>20</v>
      </c>
      <c r="F33" s="138">
        <f t="shared" si="16"/>
        <v>0</v>
      </c>
      <c r="G33" s="138">
        <f t="shared" si="17"/>
        <v>120</v>
      </c>
      <c r="H33" s="138">
        <f t="shared" si="18"/>
        <v>0</v>
      </c>
      <c r="I33" s="138">
        <f t="shared" si="19"/>
        <v>28</v>
      </c>
      <c r="J33" s="138">
        <f t="shared" si="20"/>
        <v>0</v>
      </c>
      <c r="K33" s="138">
        <f t="shared" si="21"/>
        <v>96</v>
      </c>
      <c r="L33" s="138">
        <f t="shared" si="22"/>
        <v>0</v>
      </c>
      <c r="M33" s="138">
        <f t="shared" si="23"/>
        <v>36</v>
      </c>
      <c r="N33" s="138">
        <f t="shared" si="24"/>
        <v>0</v>
      </c>
      <c r="O33" s="138">
        <f>C33+E33+G33+I33+K33+M33</f>
        <v>316</v>
      </c>
      <c r="P33" s="154" t="s">
        <v>269</v>
      </c>
      <c r="Q33" s="141"/>
      <c r="R33" s="137">
        <f>O33*Q33</f>
        <v>0</v>
      </c>
      <c r="T33" s="120">
        <v>4</v>
      </c>
      <c r="U33" s="128">
        <v>4</v>
      </c>
    </row>
    <row r="34" spans="1:21" x14ac:dyDescent="0.2">
      <c r="A34" s="139"/>
      <c r="B34" s="110"/>
      <c r="C34" s="138"/>
      <c r="D34" s="138"/>
      <c r="E34" s="138"/>
      <c r="F34" s="138"/>
      <c r="G34" s="138"/>
      <c r="H34" s="138"/>
      <c r="I34" s="138"/>
      <c r="J34" s="138"/>
      <c r="K34" s="138"/>
      <c r="L34" s="138"/>
      <c r="M34" s="138"/>
      <c r="N34" s="138"/>
      <c r="O34" s="138"/>
      <c r="P34" s="154"/>
      <c r="Q34" s="141"/>
      <c r="R34" s="137"/>
      <c r="T34" s="120"/>
    </row>
    <row r="35" spans="1:21" x14ac:dyDescent="0.2">
      <c r="A35" s="139"/>
      <c r="B35" s="110"/>
      <c r="C35" s="138"/>
      <c r="D35" s="138"/>
      <c r="E35" s="138"/>
      <c r="F35" s="138"/>
      <c r="G35" s="138"/>
      <c r="H35" s="138"/>
      <c r="I35" s="138"/>
      <c r="J35" s="138"/>
      <c r="K35" s="138"/>
      <c r="L35" s="138"/>
      <c r="M35" s="138"/>
      <c r="N35" s="138"/>
      <c r="O35" s="138"/>
      <c r="P35" s="154"/>
      <c r="Q35" s="141"/>
      <c r="R35" s="137"/>
      <c r="T35" s="120"/>
    </row>
    <row r="36" spans="1:21" x14ac:dyDescent="0.2">
      <c r="A36" s="139"/>
      <c r="B36" s="110"/>
      <c r="C36" s="138"/>
      <c r="D36" s="138"/>
      <c r="E36" s="138"/>
      <c r="F36" s="138"/>
      <c r="G36" s="138"/>
      <c r="H36" s="138"/>
      <c r="I36" s="138"/>
      <c r="J36" s="138"/>
      <c r="K36" s="138"/>
      <c r="L36" s="138"/>
      <c r="M36" s="138"/>
      <c r="N36" s="138"/>
      <c r="O36" s="138"/>
      <c r="P36" s="154"/>
      <c r="Q36" s="141"/>
      <c r="R36" s="137"/>
      <c r="T36" s="120"/>
    </row>
    <row r="37" spans="1:21" x14ac:dyDescent="0.2">
      <c r="A37" s="139"/>
      <c r="B37" s="110"/>
      <c r="C37" s="138"/>
      <c r="D37" s="138"/>
      <c r="E37" s="138"/>
      <c r="F37" s="138"/>
      <c r="G37" s="138"/>
      <c r="H37" s="138"/>
      <c r="I37" s="138"/>
      <c r="J37" s="138"/>
      <c r="K37" s="138"/>
      <c r="L37" s="138"/>
      <c r="M37" s="138"/>
      <c r="N37" s="138"/>
      <c r="O37" s="138"/>
      <c r="P37" s="154"/>
      <c r="Q37" s="141"/>
      <c r="R37" s="137"/>
      <c r="T37" s="120"/>
    </row>
    <row r="38" spans="1:21" x14ac:dyDescent="0.2">
      <c r="A38" s="139"/>
      <c r="B38" s="110"/>
      <c r="C38" s="138"/>
      <c r="D38" s="138"/>
      <c r="E38" s="138"/>
      <c r="F38" s="138"/>
      <c r="G38" s="138"/>
      <c r="H38" s="138"/>
      <c r="I38" s="138"/>
      <c r="J38" s="138"/>
      <c r="K38" s="138"/>
      <c r="L38" s="138"/>
      <c r="M38" s="138"/>
      <c r="N38" s="138"/>
      <c r="O38" s="138"/>
      <c r="P38" s="154"/>
      <c r="Q38" s="141"/>
      <c r="R38" s="137"/>
      <c r="T38" s="120"/>
    </row>
    <row r="39" spans="1:21" x14ac:dyDescent="0.2">
      <c r="A39" s="139"/>
      <c r="B39" s="110"/>
      <c r="C39" s="138">
        <f t="shared" ref="C39:C43" si="27">ROUND(T39*C$3,0)</f>
        <v>0</v>
      </c>
      <c r="D39" s="138">
        <f t="shared" ref="D39:D43" si="28">C39*$Q39</f>
        <v>0</v>
      </c>
      <c r="E39" s="138"/>
      <c r="F39" s="138"/>
      <c r="G39" s="138"/>
      <c r="H39" s="138"/>
      <c r="I39" s="138"/>
      <c r="J39" s="138"/>
      <c r="K39" s="138"/>
      <c r="L39" s="138"/>
      <c r="M39" s="138"/>
      <c r="N39" s="138">
        <f t="shared" ref="N39:N43" si="29">M39*$Q39</f>
        <v>0</v>
      </c>
      <c r="O39" s="138">
        <f t="shared" ref="O39:O43" si="30">C39+E39+G39+I39+K39+M39</f>
        <v>0</v>
      </c>
      <c r="P39" s="154"/>
      <c r="Q39" s="141"/>
      <c r="R39" s="137"/>
      <c r="T39" s="120"/>
    </row>
    <row r="40" spans="1:21" x14ac:dyDescent="0.2">
      <c r="A40" s="139"/>
      <c r="B40" s="110"/>
      <c r="C40" s="138">
        <f t="shared" si="27"/>
        <v>0</v>
      </c>
      <c r="D40" s="138">
        <f t="shared" si="28"/>
        <v>0</v>
      </c>
      <c r="E40" s="138"/>
      <c r="F40" s="138"/>
      <c r="G40" s="138"/>
      <c r="H40" s="138"/>
      <c r="I40" s="138"/>
      <c r="J40" s="138"/>
      <c r="K40" s="138"/>
      <c r="L40" s="138"/>
      <c r="M40" s="138"/>
      <c r="N40" s="138">
        <f t="shared" si="29"/>
        <v>0</v>
      </c>
      <c r="O40" s="138">
        <f t="shared" si="30"/>
        <v>0</v>
      </c>
      <c r="P40" s="154"/>
      <c r="Q40" s="141"/>
      <c r="R40" s="137"/>
      <c r="T40" s="120"/>
    </row>
    <row r="41" spans="1:21" x14ac:dyDescent="0.2">
      <c r="A41" s="139"/>
      <c r="B41" s="110"/>
      <c r="C41" s="138">
        <f t="shared" si="27"/>
        <v>0</v>
      </c>
      <c r="D41" s="138">
        <f t="shared" si="28"/>
        <v>0</v>
      </c>
      <c r="E41" s="138"/>
      <c r="F41" s="138"/>
      <c r="G41" s="138"/>
      <c r="H41" s="138"/>
      <c r="I41" s="138"/>
      <c r="J41" s="138"/>
      <c r="K41" s="138"/>
      <c r="L41" s="138"/>
      <c r="M41" s="138"/>
      <c r="N41" s="138">
        <f t="shared" si="29"/>
        <v>0</v>
      </c>
      <c r="O41" s="138">
        <f t="shared" si="30"/>
        <v>0</v>
      </c>
      <c r="P41" s="154"/>
      <c r="Q41" s="141"/>
      <c r="R41" s="137"/>
      <c r="T41" s="120"/>
    </row>
    <row r="42" spans="1:21" x14ac:dyDescent="0.2">
      <c r="A42" s="139"/>
      <c r="B42" s="110"/>
      <c r="C42" s="138">
        <f t="shared" si="27"/>
        <v>0</v>
      </c>
      <c r="D42" s="138">
        <f t="shared" si="28"/>
        <v>0</v>
      </c>
      <c r="E42" s="138"/>
      <c r="F42" s="138"/>
      <c r="G42" s="138"/>
      <c r="H42" s="138"/>
      <c r="I42" s="138"/>
      <c r="J42" s="138"/>
      <c r="K42" s="138"/>
      <c r="L42" s="138"/>
      <c r="M42" s="138"/>
      <c r="N42" s="138">
        <f t="shared" si="29"/>
        <v>0</v>
      </c>
      <c r="O42" s="138">
        <f t="shared" si="30"/>
        <v>0</v>
      </c>
      <c r="P42" s="154"/>
      <c r="Q42" s="141"/>
      <c r="R42" s="137"/>
      <c r="T42" s="120"/>
    </row>
    <row r="43" spans="1:21" x14ac:dyDescent="0.2">
      <c r="A43" s="139"/>
      <c r="B43" s="110"/>
      <c r="C43" s="138">
        <f t="shared" si="27"/>
        <v>0</v>
      </c>
      <c r="D43" s="138">
        <f t="shared" si="28"/>
        <v>0</v>
      </c>
      <c r="E43" s="138"/>
      <c r="F43" s="138"/>
      <c r="G43" s="138"/>
      <c r="H43" s="138"/>
      <c r="I43" s="138"/>
      <c r="J43" s="138"/>
      <c r="K43" s="138"/>
      <c r="L43" s="138"/>
      <c r="M43" s="138"/>
      <c r="N43" s="138">
        <f t="shared" si="29"/>
        <v>0</v>
      </c>
      <c r="O43" s="138">
        <f t="shared" si="30"/>
        <v>0</v>
      </c>
      <c r="P43" s="154"/>
      <c r="Q43" s="141"/>
      <c r="R43" s="137"/>
      <c r="T43" s="120"/>
    </row>
    <row r="44" spans="1:21" x14ac:dyDescent="0.2">
      <c r="A44" s="139"/>
      <c r="B44" s="110"/>
      <c r="C44" s="138"/>
      <c r="D44" s="138"/>
      <c r="E44" s="138"/>
      <c r="F44" s="138"/>
      <c r="G44" s="138"/>
      <c r="H44" s="138"/>
      <c r="I44" s="138"/>
      <c r="J44" s="138"/>
      <c r="K44" s="138"/>
      <c r="L44" s="138"/>
      <c r="M44" s="138"/>
      <c r="N44" s="138"/>
      <c r="O44" s="138"/>
      <c r="P44" s="154"/>
      <c r="Q44" s="141"/>
      <c r="R44" s="137"/>
      <c r="T44" s="120"/>
    </row>
    <row r="45" spans="1:21" x14ac:dyDescent="0.2">
      <c r="A45" s="127"/>
      <c r="B45" s="136"/>
      <c r="C45" s="128"/>
      <c r="D45" s="120"/>
      <c r="E45" s="120"/>
      <c r="F45" s="120"/>
      <c r="G45" s="120"/>
      <c r="H45" s="120"/>
      <c r="I45" s="120"/>
      <c r="J45" s="120"/>
      <c r="K45" s="120"/>
      <c r="L45" s="120"/>
      <c r="M45" s="120"/>
      <c r="N45" s="120"/>
      <c r="O45" s="120"/>
      <c r="P45" s="154"/>
      <c r="Q45" s="141"/>
      <c r="R45" s="137"/>
      <c r="T45" s="120"/>
    </row>
    <row r="46" spans="1:21" x14ac:dyDescent="0.2">
      <c r="A46" s="129"/>
      <c r="B46" s="130"/>
      <c r="C46" s="131"/>
      <c r="D46" s="131"/>
      <c r="E46" s="131"/>
      <c r="F46" s="131"/>
      <c r="G46" s="131"/>
      <c r="H46" s="131"/>
      <c r="I46" s="131"/>
      <c r="J46" s="131"/>
      <c r="K46" s="131"/>
      <c r="L46" s="131"/>
      <c r="M46" s="131"/>
      <c r="N46" s="131"/>
      <c r="O46" s="131"/>
      <c r="P46" s="131"/>
      <c r="Q46" s="132"/>
      <c r="R46" s="126"/>
      <c r="T46" s="50"/>
      <c r="U46" s="39"/>
    </row>
    <row r="47" spans="1:21" x14ac:dyDescent="0.2">
      <c r="C47" s="122"/>
      <c r="D47" s="122"/>
      <c r="E47" s="122"/>
      <c r="F47" s="122"/>
      <c r="G47" s="122"/>
      <c r="H47" s="122"/>
      <c r="I47" s="122"/>
      <c r="J47" s="122"/>
      <c r="K47" s="122"/>
      <c r="L47" s="122"/>
      <c r="M47" s="122"/>
      <c r="N47" s="122"/>
      <c r="O47" s="122"/>
      <c r="P47" s="171" t="s">
        <v>1</v>
      </c>
      <c r="Q47" s="133" t="s">
        <v>0</v>
      </c>
      <c r="R47" s="137">
        <f>SUM(R4:R45)</f>
        <v>0</v>
      </c>
      <c r="T47" s="77"/>
      <c r="U47" s="70"/>
    </row>
    <row r="48" spans="1:21" x14ac:dyDescent="0.2">
      <c r="P48" s="188"/>
      <c r="Q48" s="124"/>
      <c r="R48" s="125"/>
      <c r="T48" s="120"/>
    </row>
    <row r="49" spans="1:21" x14ac:dyDescent="0.2">
      <c r="A49" s="139"/>
      <c r="B49" s="136"/>
      <c r="C49" s="128"/>
      <c r="D49" s="120"/>
      <c r="E49" s="120"/>
      <c r="F49" s="120"/>
      <c r="G49" s="120"/>
      <c r="H49" s="120"/>
      <c r="I49" s="120"/>
      <c r="J49" s="120"/>
      <c r="K49" s="120"/>
      <c r="L49" s="120"/>
      <c r="M49" s="120"/>
      <c r="N49" s="120"/>
      <c r="O49" s="120"/>
      <c r="P49" s="154"/>
      <c r="Q49" s="141"/>
      <c r="R49" s="137"/>
      <c r="T49" s="120"/>
    </row>
    <row r="50" spans="1:21" x14ac:dyDescent="0.2">
      <c r="A50" s="139"/>
      <c r="B50" s="82" t="s">
        <v>31</v>
      </c>
      <c r="C50" s="128"/>
      <c r="D50" s="120"/>
      <c r="E50" s="120"/>
      <c r="F50" s="120"/>
      <c r="G50" s="120"/>
      <c r="H50" s="120"/>
      <c r="I50" s="120"/>
      <c r="J50" s="120"/>
      <c r="K50" s="120"/>
      <c r="L50" s="120"/>
      <c r="M50" s="120"/>
      <c r="N50" s="120"/>
      <c r="O50" s="120"/>
      <c r="P50" s="154"/>
      <c r="Q50" s="141"/>
      <c r="R50" s="137"/>
      <c r="T50" s="120"/>
    </row>
    <row r="51" spans="1:21" x14ac:dyDescent="0.2">
      <c r="A51" s="139"/>
      <c r="B51" s="79"/>
      <c r="C51" s="138"/>
      <c r="D51" s="138"/>
      <c r="E51" s="138"/>
      <c r="F51" s="138"/>
      <c r="G51" s="138"/>
      <c r="H51" s="138"/>
      <c r="I51" s="138"/>
      <c r="J51" s="138"/>
      <c r="K51" s="138"/>
      <c r="L51" s="138"/>
      <c r="M51" s="138"/>
      <c r="N51" s="138"/>
      <c r="O51" s="138"/>
      <c r="P51" s="154"/>
      <c r="Q51" s="141"/>
      <c r="R51" s="137"/>
      <c r="T51" s="120"/>
    </row>
    <row r="52" spans="1:21" ht="28.5" x14ac:dyDescent="0.2">
      <c r="A52" s="139"/>
      <c r="B52" s="455" t="s">
        <v>909</v>
      </c>
      <c r="C52" s="138">
        <f t="shared" ref="C52:C83" si="31">ROUND((2*$T52+2*$U52)*C$3,0)</f>
        <v>0</v>
      </c>
      <c r="D52" s="138">
        <f t="shared" ref="D52:D83" si="32">C52*$Q52</f>
        <v>0</v>
      </c>
      <c r="E52" s="138">
        <f t="shared" ref="E52:E83" si="33">ROUND((2*$T52+3*$U52)*E$3,0)</f>
        <v>0</v>
      </c>
      <c r="F52" s="138">
        <f t="shared" ref="F52:F83" si="34">E52*$Q52</f>
        <v>0</v>
      </c>
      <c r="G52" s="138">
        <f t="shared" ref="G52:G83" si="35">ROUND((2*$T52+4*$U52)*G$3,0)</f>
        <v>0</v>
      </c>
      <c r="H52" s="138">
        <f t="shared" ref="H52:H83" si="36">G52*$Q52</f>
        <v>0</v>
      </c>
      <c r="I52" s="138">
        <f t="shared" ref="I52:I83" si="37">ROUND((2*$T52+5*$U52)*I$3,0)</f>
        <v>0</v>
      </c>
      <c r="J52" s="138">
        <f t="shared" ref="J52:J83" si="38">I52*$Q52</f>
        <v>0</v>
      </c>
      <c r="K52" s="138">
        <f t="shared" ref="K52:K83" si="39">ROUND((2*$T52+6*$U52)*K$3,0)</f>
        <v>0</v>
      </c>
      <c r="L52" s="138">
        <f t="shared" ref="L52:L83" si="40">K52*$Q52</f>
        <v>0</v>
      </c>
      <c r="M52" s="138">
        <f t="shared" ref="M52:M83" si="41">ROUND((2*$T52+7*$U52)*M$3,0)</f>
        <v>0</v>
      </c>
      <c r="N52" s="138">
        <f t="shared" ref="N52:N83" si="42">M52*$Q52</f>
        <v>0</v>
      </c>
      <c r="O52" s="138">
        <f t="shared" ref="O52:O83" si="43">C52+E52+G52+I52+K52+M52</f>
        <v>0</v>
      </c>
      <c r="P52" s="154"/>
      <c r="Q52" s="141"/>
      <c r="R52" s="137"/>
      <c r="T52" s="120"/>
    </row>
    <row r="53" spans="1:21" x14ac:dyDescent="0.2">
      <c r="A53" s="139"/>
      <c r="B53" s="24"/>
      <c r="C53" s="138">
        <f t="shared" si="31"/>
        <v>0</v>
      </c>
      <c r="D53" s="138">
        <f t="shared" si="32"/>
        <v>0</v>
      </c>
      <c r="E53" s="138">
        <f t="shared" si="33"/>
        <v>0</v>
      </c>
      <c r="F53" s="138">
        <f t="shared" si="34"/>
        <v>0</v>
      </c>
      <c r="G53" s="138">
        <f t="shared" si="35"/>
        <v>0</v>
      </c>
      <c r="H53" s="138">
        <f t="shared" si="36"/>
        <v>0</v>
      </c>
      <c r="I53" s="138">
        <f t="shared" si="37"/>
        <v>0</v>
      </c>
      <c r="J53" s="138">
        <f t="shared" si="38"/>
        <v>0</v>
      </c>
      <c r="K53" s="138">
        <f t="shared" si="39"/>
        <v>0</v>
      </c>
      <c r="L53" s="138">
        <f t="shared" si="40"/>
        <v>0</v>
      </c>
      <c r="M53" s="138">
        <f t="shared" si="41"/>
        <v>0</v>
      </c>
      <c r="N53" s="138">
        <f t="shared" si="42"/>
        <v>0</v>
      </c>
      <c r="O53" s="138">
        <f t="shared" si="43"/>
        <v>0</v>
      </c>
      <c r="P53" s="154"/>
      <c r="Q53" s="141"/>
      <c r="R53" s="137"/>
      <c r="T53" s="120"/>
    </row>
    <row r="54" spans="1:21" ht="28.5" x14ac:dyDescent="0.2">
      <c r="A54" s="139" t="s">
        <v>66</v>
      </c>
      <c r="B54" s="110" t="s">
        <v>532</v>
      </c>
      <c r="C54" s="138">
        <f t="shared" si="31"/>
        <v>2</v>
      </c>
      <c r="D54" s="138">
        <f t="shared" si="32"/>
        <v>0</v>
      </c>
      <c r="E54" s="138">
        <f t="shared" si="33"/>
        <v>2</v>
      </c>
      <c r="F54" s="138">
        <f t="shared" si="34"/>
        <v>0</v>
      </c>
      <c r="G54" s="138">
        <f t="shared" si="35"/>
        <v>10</v>
      </c>
      <c r="H54" s="138">
        <f t="shared" si="36"/>
        <v>0</v>
      </c>
      <c r="I54" s="138">
        <f t="shared" si="37"/>
        <v>2</v>
      </c>
      <c r="J54" s="138">
        <f t="shared" si="38"/>
        <v>0</v>
      </c>
      <c r="K54" s="138">
        <f t="shared" si="39"/>
        <v>6</v>
      </c>
      <c r="L54" s="138">
        <f t="shared" si="40"/>
        <v>0</v>
      </c>
      <c r="M54" s="138">
        <f t="shared" si="41"/>
        <v>2</v>
      </c>
      <c r="N54" s="138">
        <f t="shared" si="42"/>
        <v>0</v>
      </c>
      <c r="O54" s="138">
        <f>C54+E54+G54+I54+K54+M54</f>
        <v>24</v>
      </c>
      <c r="P54" s="154" t="s">
        <v>269</v>
      </c>
      <c r="Q54" s="141"/>
      <c r="R54" s="137">
        <f>O54*Q54</f>
        <v>0</v>
      </c>
      <c r="T54" s="120">
        <v>1</v>
      </c>
    </row>
    <row r="55" spans="1:21" x14ac:dyDescent="0.2">
      <c r="A55" s="139"/>
      <c r="B55" s="24"/>
      <c r="C55" s="138">
        <f>ROUND((2*$T55+2*$U55)*C$3,0)</f>
        <v>0</v>
      </c>
      <c r="D55" s="138">
        <f>C55*$Q55</f>
        <v>0</v>
      </c>
      <c r="E55" s="138">
        <f>ROUND((2*$T55+3*$U55)*E$3,0)</f>
        <v>0</v>
      </c>
      <c r="F55" s="138">
        <f>E55*$Q55</f>
        <v>0</v>
      </c>
      <c r="G55" s="138">
        <f>ROUND((2*$T55+4*$U55)*G$3,0)</f>
        <v>0</v>
      </c>
      <c r="H55" s="138">
        <f>G55*$Q55</f>
        <v>0</v>
      </c>
      <c r="I55" s="138">
        <f>ROUND((2*$T55+5*$U55)*I$3,0)</f>
        <v>0</v>
      </c>
      <c r="J55" s="138">
        <f>I55*$Q55</f>
        <v>0</v>
      </c>
      <c r="K55" s="138">
        <f>ROUND((2*$T55+6*$U55)*K$3,0)</f>
        <v>0</v>
      </c>
      <c r="L55" s="138">
        <f>K55*$Q55</f>
        <v>0</v>
      </c>
      <c r="M55" s="138">
        <f>ROUND((2*$T55+7*$U55)*M$3,0)</f>
        <v>0</v>
      </c>
      <c r="N55" s="138">
        <f>M55*$Q55</f>
        <v>0</v>
      </c>
      <c r="O55" s="138">
        <f>C55+E55+G55+I55+K55+M55</f>
        <v>0</v>
      </c>
      <c r="P55" s="154"/>
      <c r="Q55" s="141"/>
      <c r="R55" s="137"/>
      <c r="T55" s="120"/>
    </row>
    <row r="56" spans="1:21" ht="28.5" x14ac:dyDescent="0.2">
      <c r="A56" s="139" t="s">
        <v>67</v>
      </c>
      <c r="B56" s="110" t="s">
        <v>561</v>
      </c>
      <c r="C56" s="138">
        <f>ROUND((2*$T56+2*$U56)*C$3,0)</f>
        <v>2</v>
      </c>
      <c r="D56" s="138">
        <f>C56*$Q56</f>
        <v>0</v>
      </c>
      <c r="E56" s="138">
        <f>ROUND((2*$T56+3*$U56)*E$3,0)</f>
        <v>3</v>
      </c>
      <c r="F56" s="138">
        <f>E56*$Q56</f>
        <v>0</v>
      </c>
      <c r="G56" s="138">
        <f>ROUND((2*$T56+4*$U56)*G$3,0)</f>
        <v>20</v>
      </c>
      <c r="H56" s="138">
        <f>G56*$Q56</f>
        <v>0</v>
      </c>
      <c r="I56" s="138">
        <f>ROUND((2*$T56+5*$U56)*I$3,0)</f>
        <v>5</v>
      </c>
      <c r="J56" s="138">
        <f>I56*$Q56</f>
        <v>0</v>
      </c>
      <c r="K56" s="138">
        <f>ROUND((2*$T56+6*$U56)*K$3,0)</f>
        <v>18</v>
      </c>
      <c r="L56" s="138">
        <f>K56*$Q56</f>
        <v>0</v>
      </c>
      <c r="M56" s="138">
        <f>ROUND((2*$T56+7*$U56)*M$3,0)</f>
        <v>7</v>
      </c>
      <c r="N56" s="138">
        <f>M56*$Q56</f>
        <v>0</v>
      </c>
      <c r="O56" s="138">
        <f>C56+E56+G56+I56+K56+M56</f>
        <v>55</v>
      </c>
      <c r="P56" s="154" t="s">
        <v>269</v>
      </c>
      <c r="Q56" s="141"/>
      <c r="R56" s="137">
        <f>O56*Q56</f>
        <v>0</v>
      </c>
      <c r="T56" s="120"/>
      <c r="U56" s="128">
        <v>1</v>
      </c>
    </row>
    <row r="57" spans="1:21" x14ac:dyDescent="0.2">
      <c r="A57" s="139"/>
      <c r="B57" s="24"/>
      <c r="C57" s="138">
        <f t="shared" si="31"/>
        <v>0</v>
      </c>
      <c r="D57" s="138">
        <f t="shared" si="32"/>
        <v>0</v>
      </c>
      <c r="E57" s="138">
        <f t="shared" si="33"/>
        <v>0</v>
      </c>
      <c r="F57" s="138">
        <f t="shared" si="34"/>
        <v>0</v>
      </c>
      <c r="G57" s="138">
        <f t="shared" si="35"/>
        <v>0</v>
      </c>
      <c r="H57" s="138">
        <f t="shared" si="36"/>
        <v>0</v>
      </c>
      <c r="I57" s="138">
        <f t="shared" si="37"/>
        <v>0</v>
      </c>
      <c r="J57" s="138">
        <f t="shared" si="38"/>
        <v>0</v>
      </c>
      <c r="K57" s="138">
        <f t="shared" si="39"/>
        <v>0</v>
      </c>
      <c r="L57" s="138">
        <f t="shared" si="40"/>
        <v>0</v>
      </c>
      <c r="M57" s="138">
        <f t="shared" si="41"/>
        <v>0</v>
      </c>
      <c r="N57" s="138">
        <f t="shared" si="42"/>
        <v>0</v>
      </c>
      <c r="O57" s="138">
        <f t="shared" si="43"/>
        <v>0</v>
      </c>
      <c r="P57" s="154"/>
      <c r="Q57" s="141"/>
      <c r="R57" s="137"/>
      <c r="T57" s="120"/>
    </row>
    <row r="58" spans="1:21" x14ac:dyDescent="0.2">
      <c r="A58" s="139" t="s">
        <v>68</v>
      </c>
      <c r="B58" s="110" t="s">
        <v>533</v>
      </c>
      <c r="C58" s="138">
        <f t="shared" si="31"/>
        <v>2</v>
      </c>
      <c r="D58" s="138">
        <f t="shared" si="32"/>
        <v>0</v>
      </c>
      <c r="E58" s="138">
        <f t="shared" si="33"/>
        <v>2</v>
      </c>
      <c r="F58" s="138">
        <f t="shared" si="34"/>
        <v>0</v>
      </c>
      <c r="G58" s="138">
        <f t="shared" si="35"/>
        <v>10</v>
      </c>
      <c r="H58" s="138">
        <f t="shared" si="36"/>
        <v>0</v>
      </c>
      <c r="I58" s="138">
        <f t="shared" si="37"/>
        <v>2</v>
      </c>
      <c r="J58" s="138">
        <f t="shared" si="38"/>
        <v>0</v>
      </c>
      <c r="K58" s="138">
        <f t="shared" si="39"/>
        <v>6</v>
      </c>
      <c r="L58" s="138">
        <f t="shared" si="40"/>
        <v>0</v>
      </c>
      <c r="M58" s="138">
        <f t="shared" si="41"/>
        <v>2</v>
      </c>
      <c r="N58" s="138">
        <f t="shared" si="42"/>
        <v>0</v>
      </c>
      <c r="O58" s="138">
        <f>C58+E58+G58+I58+K58+M58</f>
        <v>24</v>
      </c>
      <c r="P58" s="154" t="s">
        <v>269</v>
      </c>
      <c r="Q58" s="141"/>
      <c r="R58" s="137">
        <f>O58*Q58</f>
        <v>0</v>
      </c>
      <c r="T58" s="120">
        <v>1</v>
      </c>
    </row>
    <row r="59" spans="1:21" x14ac:dyDescent="0.2">
      <c r="A59" s="139"/>
      <c r="B59" s="24"/>
      <c r="C59" s="138">
        <f t="shared" si="31"/>
        <v>0</v>
      </c>
      <c r="D59" s="138">
        <f t="shared" si="32"/>
        <v>0</v>
      </c>
      <c r="E59" s="138">
        <f t="shared" si="33"/>
        <v>0</v>
      </c>
      <c r="F59" s="138">
        <f t="shared" si="34"/>
        <v>0</v>
      </c>
      <c r="G59" s="138">
        <f t="shared" si="35"/>
        <v>0</v>
      </c>
      <c r="H59" s="138">
        <f t="shared" si="36"/>
        <v>0</v>
      </c>
      <c r="I59" s="138">
        <f t="shared" si="37"/>
        <v>0</v>
      </c>
      <c r="J59" s="138">
        <f t="shared" si="38"/>
        <v>0</v>
      </c>
      <c r="K59" s="138">
        <f t="shared" si="39"/>
        <v>0</v>
      </c>
      <c r="L59" s="138">
        <f t="shared" si="40"/>
        <v>0</v>
      </c>
      <c r="M59" s="138">
        <f t="shared" si="41"/>
        <v>0</v>
      </c>
      <c r="N59" s="138">
        <f t="shared" si="42"/>
        <v>0</v>
      </c>
      <c r="O59" s="138">
        <f t="shared" si="43"/>
        <v>0</v>
      </c>
      <c r="P59" s="154"/>
      <c r="Q59" s="141"/>
      <c r="R59" s="137"/>
      <c r="T59" s="120"/>
    </row>
    <row r="60" spans="1:21" x14ac:dyDescent="0.2">
      <c r="A60" s="139" t="s">
        <v>69</v>
      </c>
      <c r="B60" s="110" t="s">
        <v>562</v>
      </c>
      <c r="C60" s="138">
        <f t="shared" si="31"/>
        <v>2</v>
      </c>
      <c r="D60" s="138">
        <f t="shared" si="32"/>
        <v>0</v>
      </c>
      <c r="E60" s="138">
        <f t="shared" si="33"/>
        <v>3</v>
      </c>
      <c r="F60" s="138">
        <f t="shared" si="34"/>
        <v>0</v>
      </c>
      <c r="G60" s="138">
        <f t="shared" si="35"/>
        <v>20</v>
      </c>
      <c r="H60" s="138">
        <f t="shared" si="36"/>
        <v>0</v>
      </c>
      <c r="I60" s="138">
        <f t="shared" si="37"/>
        <v>5</v>
      </c>
      <c r="J60" s="138">
        <f t="shared" si="38"/>
        <v>0</v>
      </c>
      <c r="K60" s="138">
        <f t="shared" si="39"/>
        <v>18</v>
      </c>
      <c r="L60" s="138">
        <f t="shared" si="40"/>
        <v>0</v>
      </c>
      <c r="M60" s="138">
        <f t="shared" si="41"/>
        <v>7</v>
      </c>
      <c r="N60" s="138">
        <f t="shared" si="42"/>
        <v>0</v>
      </c>
      <c r="O60" s="138">
        <f>C60+E60+G60+I60+K60+M60</f>
        <v>55</v>
      </c>
      <c r="P60" s="154" t="s">
        <v>269</v>
      </c>
      <c r="Q60" s="141"/>
      <c r="R60" s="137">
        <f>O60*Q60</f>
        <v>0</v>
      </c>
      <c r="T60" s="120"/>
      <c r="U60" s="128">
        <v>1</v>
      </c>
    </row>
    <row r="61" spans="1:21" x14ac:dyDescent="0.2">
      <c r="A61" s="139"/>
      <c r="B61" s="24"/>
      <c r="C61" s="138">
        <f t="shared" si="31"/>
        <v>0</v>
      </c>
      <c r="D61" s="138">
        <f t="shared" si="32"/>
        <v>0</v>
      </c>
      <c r="E61" s="138">
        <f t="shared" si="33"/>
        <v>0</v>
      </c>
      <c r="F61" s="138">
        <f t="shared" si="34"/>
        <v>0</v>
      </c>
      <c r="G61" s="138">
        <f t="shared" si="35"/>
        <v>0</v>
      </c>
      <c r="H61" s="138">
        <f t="shared" si="36"/>
        <v>0</v>
      </c>
      <c r="I61" s="138">
        <f t="shared" si="37"/>
        <v>0</v>
      </c>
      <c r="J61" s="138">
        <f t="shared" si="38"/>
        <v>0</v>
      </c>
      <c r="K61" s="138">
        <f t="shared" si="39"/>
        <v>0</v>
      </c>
      <c r="L61" s="138">
        <f t="shared" si="40"/>
        <v>0</v>
      </c>
      <c r="M61" s="138">
        <f t="shared" si="41"/>
        <v>0</v>
      </c>
      <c r="N61" s="138">
        <f t="shared" si="42"/>
        <v>0</v>
      </c>
      <c r="O61" s="138">
        <f t="shared" si="43"/>
        <v>0</v>
      </c>
      <c r="P61" s="154"/>
      <c r="Q61" s="141"/>
      <c r="R61" s="137"/>
      <c r="T61" s="120"/>
    </row>
    <row r="62" spans="1:21" x14ac:dyDescent="0.2">
      <c r="A62" s="139" t="s">
        <v>70</v>
      </c>
      <c r="B62" s="110" t="s">
        <v>560</v>
      </c>
      <c r="C62" s="138">
        <f t="shared" si="31"/>
        <v>2</v>
      </c>
      <c r="D62" s="138">
        <f t="shared" si="32"/>
        <v>0</v>
      </c>
      <c r="E62" s="138">
        <f t="shared" si="33"/>
        <v>3</v>
      </c>
      <c r="F62" s="138">
        <f t="shared" si="34"/>
        <v>0</v>
      </c>
      <c r="G62" s="138">
        <f t="shared" si="35"/>
        <v>20</v>
      </c>
      <c r="H62" s="138">
        <f t="shared" si="36"/>
        <v>0</v>
      </c>
      <c r="I62" s="138">
        <f t="shared" si="37"/>
        <v>5</v>
      </c>
      <c r="J62" s="138">
        <f t="shared" si="38"/>
        <v>0</v>
      </c>
      <c r="K62" s="138">
        <f t="shared" si="39"/>
        <v>18</v>
      </c>
      <c r="L62" s="138">
        <f t="shared" si="40"/>
        <v>0</v>
      </c>
      <c r="M62" s="138">
        <f t="shared" si="41"/>
        <v>7</v>
      </c>
      <c r="N62" s="138">
        <f t="shared" si="42"/>
        <v>0</v>
      </c>
      <c r="O62" s="138">
        <f>C62+E62+G62+I62+K62+M62</f>
        <v>55</v>
      </c>
      <c r="P62" s="154" t="s">
        <v>269</v>
      </c>
      <c r="Q62" s="141"/>
      <c r="R62" s="137">
        <f>O62*Q62</f>
        <v>0</v>
      </c>
      <c r="T62" s="120"/>
      <c r="U62" s="128">
        <v>1</v>
      </c>
    </row>
    <row r="63" spans="1:21" x14ac:dyDescent="0.2">
      <c r="A63" s="139"/>
      <c r="B63" s="24"/>
      <c r="C63" s="138">
        <f t="shared" si="31"/>
        <v>0</v>
      </c>
      <c r="D63" s="138">
        <f t="shared" si="32"/>
        <v>0</v>
      </c>
      <c r="E63" s="138">
        <f t="shared" si="33"/>
        <v>0</v>
      </c>
      <c r="F63" s="138">
        <f t="shared" si="34"/>
        <v>0</v>
      </c>
      <c r="G63" s="138">
        <f t="shared" si="35"/>
        <v>0</v>
      </c>
      <c r="H63" s="138">
        <f t="shared" si="36"/>
        <v>0</v>
      </c>
      <c r="I63" s="138">
        <f t="shared" si="37"/>
        <v>0</v>
      </c>
      <c r="J63" s="138">
        <f t="shared" si="38"/>
        <v>0</v>
      </c>
      <c r="K63" s="138">
        <f t="shared" si="39"/>
        <v>0</v>
      </c>
      <c r="L63" s="138">
        <f t="shared" si="40"/>
        <v>0</v>
      </c>
      <c r="M63" s="138">
        <f t="shared" si="41"/>
        <v>0</v>
      </c>
      <c r="N63" s="138">
        <f t="shared" si="42"/>
        <v>0</v>
      </c>
      <c r="O63" s="138">
        <f t="shared" si="43"/>
        <v>0</v>
      </c>
      <c r="P63" s="154"/>
      <c r="Q63" s="141"/>
      <c r="R63" s="137"/>
      <c r="T63" s="120"/>
    </row>
    <row r="64" spans="1:21" x14ac:dyDescent="0.2">
      <c r="A64" s="139" t="s">
        <v>71</v>
      </c>
      <c r="B64" s="159" t="s">
        <v>178</v>
      </c>
      <c r="C64" s="138">
        <f t="shared" si="31"/>
        <v>4</v>
      </c>
      <c r="D64" s="138">
        <f t="shared" si="32"/>
        <v>0</v>
      </c>
      <c r="E64" s="138">
        <f t="shared" si="33"/>
        <v>5</v>
      </c>
      <c r="F64" s="138">
        <f t="shared" si="34"/>
        <v>0</v>
      </c>
      <c r="G64" s="138">
        <f t="shared" si="35"/>
        <v>30</v>
      </c>
      <c r="H64" s="138">
        <f t="shared" si="36"/>
        <v>0</v>
      </c>
      <c r="I64" s="138">
        <f t="shared" si="37"/>
        <v>7</v>
      </c>
      <c r="J64" s="138">
        <f t="shared" si="38"/>
        <v>0</v>
      </c>
      <c r="K64" s="138">
        <f t="shared" si="39"/>
        <v>24</v>
      </c>
      <c r="L64" s="138">
        <f t="shared" si="40"/>
        <v>0</v>
      </c>
      <c r="M64" s="138">
        <f t="shared" si="41"/>
        <v>9</v>
      </c>
      <c r="N64" s="138">
        <f t="shared" si="42"/>
        <v>0</v>
      </c>
      <c r="O64" s="138">
        <f>C64+E64+G64+I64+K64+M64</f>
        <v>79</v>
      </c>
      <c r="P64" s="154" t="s">
        <v>269</v>
      </c>
      <c r="Q64" s="141"/>
      <c r="R64" s="137">
        <f>O64*Q64</f>
        <v>0</v>
      </c>
      <c r="T64" s="120">
        <v>1</v>
      </c>
      <c r="U64" s="128">
        <v>1</v>
      </c>
    </row>
    <row r="65" spans="1:21" x14ac:dyDescent="0.2">
      <c r="A65" s="127"/>
      <c r="B65" s="82"/>
      <c r="C65" s="120"/>
      <c r="D65" s="120"/>
      <c r="E65" s="120"/>
      <c r="F65" s="120"/>
      <c r="G65" s="120"/>
      <c r="H65" s="120"/>
      <c r="I65" s="120"/>
      <c r="J65" s="120"/>
      <c r="K65" s="120"/>
      <c r="L65" s="120"/>
      <c r="M65" s="120"/>
      <c r="N65" s="120"/>
      <c r="O65" s="120"/>
      <c r="P65" s="154"/>
      <c r="Q65" s="141"/>
      <c r="R65" s="137"/>
      <c r="T65" s="120"/>
    </row>
    <row r="66" spans="1:21" x14ac:dyDescent="0.2">
      <c r="A66" s="139"/>
      <c r="B66" s="80" t="s">
        <v>182</v>
      </c>
      <c r="C66" s="120"/>
      <c r="D66" s="120"/>
      <c r="E66" s="120"/>
      <c r="F66" s="120"/>
      <c r="G66" s="120"/>
      <c r="H66" s="120"/>
      <c r="I66" s="120"/>
      <c r="J66" s="120"/>
      <c r="K66" s="120"/>
      <c r="L66" s="120"/>
      <c r="M66" s="120"/>
      <c r="N66" s="120"/>
      <c r="O66" s="120"/>
      <c r="P66" s="154"/>
      <c r="Q66" s="141"/>
      <c r="R66" s="137"/>
      <c r="T66" s="120"/>
    </row>
    <row r="67" spans="1:21" x14ac:dyDescent="0.2">
      <c r="A67" s="139"/>
      <c r="B67" s="110"/>
      <c r="C67" s="120"/>
      <c r="D67" s="120"/>
      <c r="E67" s="120"/>
      <c r="F67" s="120"/>
      <c r="G67" s="120"/>
      <c r="H67" s="120"/>
      <c r="I67" s="120"/>
      <c r="J67" s="120"/>
      <c r="K67" s="120"/>
      <c r="L67" s="120"/>
      <c r="M67" s="120"/>
      <c r="N67" s="120"/>
      <c r="O67" s="120"/>
      <c r="P67" s="154"/>
      <c r="Q67" s="141"/>
      <c r="R67" s="137"/>
      <c r="T67" s="120"/>
    </row>
    <row r="68" spans="1:21" ht="28.5" x14ac:dyDescent="0.2">
      <c r="A68" s="139"/>
      <c r="B68" s="111" t="s">
        <v>537</v>
      </c>
      <c r="C68" s="138">
        <f t="shared" ref="C68:C78" si="44">ROUND((2*$T68+2*$U68)*C$3,0)</f>
        <v>0</v>
      </c>
      <c r="D68" s="138">
        <f t="shared" ref="D68:D78" si="45">C68*$Q68</f>
        <v>0</v>
      </c>
      <c r="E68" s="138">
        <f t="shared" ref="E68:E78" si="46">ROUND((2*$T68+3*$U68)*E$3,0)</f>
        <v>0</v>
      </c>
      <c r="F68" s="138">
        <f t="shared" ref="F68:F78" si="47">E68*$Q68</f>
        <v>0</v>
      </c>
      <c r="G68" s="138">
        <f t="shared" ref="G68:G78" si="48">ROUND((2*$T68+4*$U68)*G$3,0)</f>
        <v>0</v>
      </c>
      <c r="H68" s="138">
        <f t="shared" ref="H68:H78" si="49">G68*$Q68</f>
        <v>0</v>
      </c>
      <c r="I68" s="138">
        <f t="shared" ref="I68:I78" si="50">ROUND((2*$T68+5*$U68)*I$3,0)</f>
        <v>0</v>
      </c>
      <c r="J68" s="138">
        <f t="shared" ref="J68:J78" si="51">I68*$Q68</f>
        <v>0</v>
      </c>
      <c r="K68" s="138">
        <f t="shared" ref="K68:K78" si="52">ROUND((2*$T68+6*$U68)*K$3,0)</f>
        <v>0</v>
      </c>
      <c r="L68" s="138">
        <f t="shared" ref="L68:L78" si="53">K68*$Q68</f>
        <v>0</v>
      </c>
      <c r="M68" s="138">
        <f t="shared" ref="M68:M78" si="54">ROUND((2*$T68+7*$U68)*M$3,0)</f>
        <v>0</v>
      </c>
      <c r="N68" s="138">
        <f t="shared" ref="N68:N78" si="55">M68*$Q68</f>
        <v>0</v>
      </c>
      <c r="O68" s="138">
        <f t="shared" ref="O68:O77" si="56">C68+E68+G68+I68+K68+M68</f>
        <v>0</v>
      </c>
      <c r="P68" s="154"/>
      <c r="Q68" s="141"/>
      <c r="R68" s="137"/>
      <c r="T68" s="120"/>
    </row>
    <row r="69" spans="1:21" x14ac:dyDescent="0.2">
      <c r="A69" s="139"/>
      <c r="B69" s="24"/>
      <c r="C69" s="138">
        <f t="shared" si="44"/>
        <v>0</v>
      </c>
      <c r="D69" s="138">
        <f t="shared" si="45"/>
        <v>0</v>
      </c>
      <c r="E69" s="138">
        <f t="shared" si="46"/>
        <v>0</v>
      </c>
      <c r="F69" s="138">
        <f t="shared" si="47"/>
        <v>0</v>
      </c>
      <c r="G69" s="138">
        <f t="shared" si="48"/>
        <v>0</v>
      </c>
      <c r="H69" s="138">
        <f t="shared" si="49"/>
        <v>0</v>
      </c>
      <c r="I69" s="138">
        <f t="shared" si="50"/>
        <v>0</v>
      </c>
      <c r="J69" s="138">
        <f t="shared" si="51"/>
        <v>0</v>
      </c>
      <c r="K69" s="138">
        <f t="shared" si="52"/>
        <v>0</v>
      </c>
      <c r="L69" s="138">
        <f t="shared" si="53"/>
        <v>0</v>
      </c>
      <c r="M69" s="138">
        <f t="shared" si="54"/>
        <v>0</v>
      </c>
      <c r="N69" s="138">
        <f t="shared" si="55"/>
        <v>0</v>
      </c>
      <c r="O69" s="138">
        <f t="shared" si="56"/>
        <v>0</v>
      </c>
      <c r="P69" s="154"/>
      <c r="Q69" s="141"/>
      <c r="R69" s="137"/>
      <c r="T69" s="120"/>
    </row>
    <row r="70" spans="1:21" x14ac:dyDescent="0.2">
      <c r="A70" s="139" t="s">
        <v>72</v>
      </c>
      <c r="B70" s="190" t="s">
        <v>534</v>
      </c>
      <c r="C70" s="138">
        <f t="shared" si="44"/>
        <v>4</v>
      </c>
      <c r="D70" s="138">
        <f t="shared" si="45"/>
        <v>0</v>
      </c>
      <c r="E70" s="138">
        <f t="shared" si="46"/>
        <v>5</v>
      </c>
      <c r="F70" s="138">
        <f t="shared" si="47"/>
        <v>0</v>
      </c>
      <c r="G70" s="138">
        <f t="shared" si="48"/>
        <v>30</v>
      </c>
      <c r="H70" s="138">
        <f t="shared" si="49"/>
        <v>0</v>
      </c>
      <c r="I70" s="138">
        <f t="shared" si="50"/>
        <v>7</v>
      </c>
      <c r="J70" s="138">
        <f t="shared" si="51"/>
        <v>0</v>
      </c>
      <c r="K70" s="138">
        <f t="shared" si="52"/>
        <v>24</v>
      </c>
      <c r="L70" s="138">
        <f t="shared" si="53"/>
        <v>0</v>
      </c>
      <c r="M70" s="138">
        <f t="shared" si="54"/>
        <v>9</v>
      </c>
      <c r="N70" s="138">
        <f t="shared" si="55"/>
        <v>0</v>
      </c>
      <c r="O70" s="138">
        <f>C70+E70+G70+I70+K70+M70</f>
        <v>79</v>
      </c>
      <c r="P70" s="154" t="s">
        <v>269</v>
      </c>
      <c r="Q70" s="141"/>
      <c r="R70" s="137">
        <f>O70*Q70</f>
        <v>0</v>
      </c>
      <c r="T70" s="120">
        <v>1</v>
      </c>
      <c r="U70" s="128">
        <v>1</v>
      </c>
    </row>
    <row r="71" spans="1:21" x14ac:dyDescent="0.2">
      <c r="A71" s="139"/>
      <c r="B71" s="24"/>
      <c r="C71" s="138">
        <f t="shared" si="44"/>
        <v>0</v>
      </c>
      <c r="D71" s="138">
        <f t="shared" si="45"/>
        <v>0</v>
      </c>
      <c r="E71" s="138">
        <f t="shared" si="46"/>
        <v>0</v>
      </c>
      <c r="F71" s="138">
        <f t="shared" si="47"/>
        <v>0</v>
      </c>
      <c r="G71" s="138">
        <f t="shared" si="48"/>
        <v>0</v>
      </c>
      <c r="H71" s="138">
        <f t="shared" si="49"/>
        <v>0</v>
      </c>
      <c r="I71" s="138">
        <f t="shared" si="50"/>
        <v>0</v>
      </c>
      <c r="J71" s="138">
        <f t="shared" si="51"/>
        <v>0</v>
      </c>
      <c r="K71" s="138">
        <f t="shared" si="52"/>
        <v>0</v>
      </c>
      <c r="L71" s="138">
        <f t="shared" si="53"/>
        <v>0</v>
      </c>
      <c r="M71" s="138">
        <f t="shared" si="54"/>
        <v>0</v>
      </c>
      <c r="N71" s="138">
        <f t="shared" si="55"/>
        <v>0</v>
      </c>
      <c r="O71" s="138">
        <f t="shared" si="56"/>
        <v>0</v>
      </c>
      <c r="P71" s="154"/>
      <c r="Q71" s="141"/>
      <c r="R71" s="137"/>
      <c r="T71" s="120"/>
    </row>
    <row r="72" spans="1:21" x14ac:dyDescent="0.2">
      <c r="A72" s="139" t="s">
        <v>73</v>
      </c>
      <c r="B72" s="6" t="s">
        <v>535</v>
      </c>
      <c r="C72" s="138">
        <f t="shared" si="44"/>
        <v>2</v>
      </c>
      <c r="D72" s="138">
        <f t="shared" si="45"/>
        <v>0</v>
      </c>
      <c r="E72" s="138">
        <f t="shared" si="46"/>
        <v>2</v>
      </c>
      <c r="F72" s="138">
        <f t="shared" si="47"/>
        <v>0</v>
      </c>
      <c r="G72" s="138">
        <f t="shared" si="48"/>
        <v>10</v>
      </c>
      <c r="H72" s="138">
        <f t="shared" si="49"/>
        <v>0</v>
      </c>
      <c r="I72" s="138">
        <f t="shared" si="50"/>
        <v>2</v>
      </c>
      <c r="J72" s="138">
        <f t="shared" si="51"/>
        <v>0</v>
      </c>
      <c r="K72" s="138">
        <f t="shared" si="52"/>
        <v>6</v>
      </c>
      <c r="L72" s="138">
        <f t="shared" si="53"/>
        <v>0</v>
      </c>
      <c r="M72" s="138">
        <f t="shared" si="54"/>
        <v>2</v>
      </c>
      <c r="N72" s="138">
        <f t="shared" si="55"/>
        <v>0</v>
      </c>
      <c r="O72" s="138">
        <f>C72+E72+G72+I72+K72+M72</f>
        <v>24</v>
      </c>
      <c r="P72" s="154" t="s">
        <v>269</v>
      </c>
      <c r="Q72" s="141"/>
      <c r="R72" s="137">
        <f>O72*Q72</f>
        <v>0</v>
      </c>
      <c r="T72" s="120">
        <v>1</v>
      </c>
    </row>
    <row r="73" spans="1:21" x14ac:dyDescent="0.2">
      <c r="A73" s="139"/>
      <c r="B73" s="24"/>
      <c r="C73" s="138">
        <f t="shared" si="44"/>
        <v>0</v>
      </c>
      <c r="D73" s="138">
        <f t="shared" si="45"/>
        <v>0</v>
      </c>
      <c r="E73" s="138">
        <f t="shared" si="46"/>
        <v>0</v>
      </c>
      <c r="F73" s="138">
        <f t="shared" si="47"/>
        <v>0</v>
      </c>
      <c r="G73" s="138">
        <f t="shared" si="48"/>
        <v>0</v>
      </c>
      <c r="H73" s="138">
        <f t="shared" si="49"/>
        <v>0</v>
      </c>
      <c r="I73" s="138">
        <f t="shared" si="50"/>
        <v>0</v>
      </c>
      <c r="J73" s="138">
        <f t="shared" si="51"/>
        <v>0</v>
      </c>
      <c r="K73" s="138">
        <f t="shared" si="52"/>
        <v>0</v>
      </c>
      <c r="L73" s="138">
        <f t="shared" si="53"/>
        <v>0</v>
      </c>
      <c r="M73" s="138">
        <f t="shared" si="54"/>
        <v>0</v>
      </c>
      <c r="N73" s="138">
        <f t="shared" si="55"/>
        <v>0</v>
      </c>
      <c r="O73" s="138">
        <f t="shared" si="56"/>
        <v>0</v>
      </c>
      <c r="P73" s="154"/>
      <c r="Q73" s="141"/>
      <c r="R73" s="137"/>
      <c r="T73" s="120"/>
    </row>
    <row r="74" spans="1:21" x14ac:dyDescent="0.2">
      <c r="A74" s="139" t="s">
        <v>74</v>
      </c>
      <c r="B74" s="190" t="s">
        <v>536</v>
      </c>
      <c r="C74" s="138">
        <f t="shared" si="44"/>
        <v>2</v>
      </c>
      <c r="D74" s="138">
        <f t="shared" si="45"/>
        <v>0</v>
      </c>
      <c r="E74" s="138">
        <f t="shared" si="46"/>
        <v>2</v>
      </c>
      <c r="F74" s="138">
        <f t="shared" si="47"/>
        <v>0</v>
      </c>
      <c r="G74" s="138">
        <f t="shared" si="48"/>
        <v>10</v>
      </c>
      <c r="H74" s="138">
        <f t="shared" si="49"/>
        <v>0</v>
      </c>
      <c r="I74" s="138">
        <f t="shared" si="50"/>
        <v>2</v>
      </c>
      <c r="J74" s="138">
        <f t="shared" si="51"/>
        <v>0</v>
      </c>
      <c r="K74" s="138">
        <f t="shared" si="52"/>
        <v>6</v>
      </c>
      <c r="L74" s="138">
        <f t="shared" si="53"/>
        <v>0</v>
      </c>
      <c r="M74" s="138">
        <f t="shared" si="54"/>
        <v>2</v>
      </c>
      <c r="N74" s="138">
        <f t="shared" si="55"/>
        <v>0</v>
      </c>
      <c r="O74" s="138">
        <f>C74+E74+G74+I74+K74+M74</f>
        <v>24</v>
      </c>
      <c r="P74" s="154" t="s">
        <v>269</v>
      </c>
      <c r="Q74" s="141"/>
      <c r="R74" s="137">
        <f>O74*Q74</f>
        <v>0</v>
      </c>
      <c r="T74" s="120">
        <v>1</v>
      </c>
    </row>
    <row r="75" spans="1:21" x14ac:dyDescent="0.2">
      <c r="A75" s="139"/>
      <c r="B75" s="110"/>
      <c r="C75" s="138">
        <f t="shared" si="44"/>
        <v>0</v>
      </c>
      <c r="D75" s="138">
        <f t="shared" si="45"/>
        <v>0</v>
      </c>
      <c r="E75" s="138">
        <f t="shared" si="46"/>
        <v>0</v>
      </c>
      <c r="F75" s="138">
        <f t="shared" si="47"/>
        <v>0</v>
      </c>
      <c r="G75" s="138">
        <f t="shared" si="48"/>
        <v>0</v>
      </c>
      <c r="H75" s="138">
        <f t="shared" si="49"/>
        <v>0</v>
      </c>
      <c r="I75" s="138">
        <f t="shared" si="50"/>
        <v>0</v>
      </c>
      <c r="J75" s="138">
        <f t="shared" si="51"/>
        <v>0</v>
      </c>
      <c r="K75" s="138">
        <f t="shared" si="52"/>
        <v>0</v>
      </c>
      <c r="L75" s="138">
        <f t="shared" si="53"/>
        <v>0</v>
      </c>
      <c r="M75" s="138">
        <f t="shared" si="54"/>
        <v>0</v>
      </c>
      <c r="N75" s="138">
        <f t="shared" si="55"/>
        <v>0</v>
      </c>
      <c r="O75" s="138">
        <f t="shared" si="56"/>
        <v>0</v>
      </c>
      <c r="P75" s="154"/>
      <c r="Q75" s="141"/>
      <c r="R75" s="137"/>
      <c r="T75" s="120"/>
    </row>
    <row r="76" spans="1:21" ht="28.5" x14ac:dyDescent="0.2">
      <c r="A76" s="139"/>
      <c r="B76" s="111" t="s">
        <v>538</v>
      </c>
      <c r="C76" s="138">
        <f t="shared" si="44"/>
        <v>0</v>
      </c>
      <c r="D76" s="138">
        <f t="shared" si="45"/>
        <v>0</v>
      </c>
      <c r="E76" s="138">
        <f t="shared" si="46"/>
        <v>0</v>
      </c>
      <c r="F76" s="138">
        <f t="shared" si="47"/>
        <v>0</v>
      </c>
      <c r="G76" s="138">
        <f t="shared" si="48"/>
        <v>0</v>
      </c>
      <c r="H76" s="138">
        <f t="shared" si="49"/>
        <v>0</v>
      </c>
      <c r="I76" s="138">
        <f t="shared" si="50"/>
        <v>0</v>
      </c>
      <c r="J76" s="138">
        <f t="shared" si="51"/>
        <v>0</v>
      </c>
      <c r="K76" s="138">
        <f t="shared" si="52"/>
        <v>0</v>
      </c>
      <c r="L76" s="138">
        <f t="shared" si="53"/>
        <v>0</v>
      </c>
      <c r="M76" s="138">
        <f t="shared" si="54"/>
        <v>0</v>
      </c>
      <c r="N76" s="138">
        <f t="shared" si="55"/>
        <v>0</v>
      </c>
      <c r="O76" s="138">
        <f t="shared" si="56"/>
        <v>0</v>
      </c>
      <c r="P76" s="154"/>
      <c r="Q76" s="141"/>
      <c r="R76" s="137"/>
      <c r="T76" s="120"/>
    </row>
    <row r="77" spans="1:21" x14ac:dyDescent="0.2">
      <c r="A77" s="139"/>
      <c r="B77" s="24"/>
      <c r="C77" s="138">
        <f t="shared" si="44"/>
        <v>0</v>
      </c>
      <c r="D77" s="138">
        <f t="shared" si="45"/>
        <v>0</v>
      </c>
      <c r="E77" s="138">
        <f t="shared" si="46"/>
        <v>0</v>
      </c>
      <c r="F77" s="138">
        <f t="shared" si="47"/>
        <v>0</v>
      </c>
      <c r="G77" s="138">
        <f t="shared" si="48"/>
        <v>0</v>
      </c>
      <c r="H77" s="138">
        <f t="shared" si="49"/>
        <v>0</v>
      </c>
      <c r="I77" s="138">
        <f t="shared" si="50"/>
        <v>0</v>
      </c>
      <c r="J77" s="138">
        <f t="shared" si="51"/>
        <v>0</v>
      </c>
      <c r="K77" s="138">
        <f t="shared" si="52"/>
        <v>0</v>
      </c>
      <c r="L77" s="138">
        <f t="shared" si="53"/>
        <v>0</v>
      </c>
      <c r="M77" s="138">
        <f t="shared" si="54"/>
        <v>0</v>
      </c>
      <c r="N77" s="138">
        <f t="shared" si="55"/>
        <v>0</v>
      </c>
      <c r="O77" s="138">
        <f t="shared" si="56"/>
        <v>0</v>
      </c>
      <c r="P77" s="154"/>
      <c r="Q77" s="141"/>
      <c r="R77" s="137"/>
      <c r="T77" s="120"/>
    </row>
    <row r="78" spans="1:21" x14ac:dyDescent="0.2">
      <c r="A78" s="139" t="s">
        <v>75</v>
      </c>
      <c r="B78" s="6" t="s">
        <v>407</v>
      </c>
      <c r="C78" s="138">
        <f t="shared" si="44"/>
        <v>16</v>
      </c>
      <c r="D78" s="138">
        <f t="shared" si="45"/>
        <v>0</v>
      </c>
      <c r="E78" s="138">
        <f t="shared" si="46"/>
        <v>20</v>
      </c>
      <c r="F78" s="138">
        <f t="shared" si="47"/>
        <v>0</v>
      </c>
      <c r="G78" s="138">
        <f t="shared" si="48"/>
        <v>120</v>
      </c>
      <c r="H78" s="138">
        <f t="shared" si="49"/>
        <v>0</v>
      </c>
      <c r="I78" s="138">
        <f t="shared" si="50"/>
        <v>28</v>
      </c>
      <c r="J78" s="138">
        <f t="shared" si="51"/>
        <v>0</v>
      </c>
      <c r="K78" s="138">
        <f t="shared" si="52"/>
        <v>96</v>
      </c>
      <c r="L78" s="138">
        <f t="shared" si="53"/>
        <v>0</v>
      </c>
      <c r="M78" s="138">
        <f t="shared" si="54"/>
        <v>36</v>
      </c>
      <c r="N78" s="138">
        <f t="shared" si="55"/>
        <v>0</v>
      </c>
      <c r="O78" s="138">
        <f>C78+E78+G78+I78+K78+M78</f>
        <v>316</v>
      </c>
      <c r="P78" s="154" t="s">
        <v>12</v>
      </c>
      <c r="Q78" s="141"/>
      <c r="R78" s="137">
        <f>O78*Q78</f>
        <v>0</v>
      </c>
      <c r="T78" s="120">
        <v>4</v>
      </c>
      <c r="U78" s="128">
        <v>4</v>
      </c>
    </row>
    <row r="79" spans="1:21" x14ac:dyDescent="0.2">
      <c r="A79" s="139"/>
      <c r="B79" s="159"/>
      <c r="C79" s="138">
        <f t="shared" si="31"/>
        <v>0</v>
      </c>
      <c r="D79" s="138">
        <f t="shared" si="32"/>
        <v>0</v>
      </c>
      <c r="E79" s="138">
        <f t="shared" si="33"/>
        <v>0</v>
      </c>
      <c r="F79" s="138">
        <f t="shared" si="34"/>
        <v>0</v>
      </c>
      <c r="G79" s="138">
        <f t="shared" si="35"/>
        <v>0</v>
      </c>
      <c r="H79" s="138">
        <f t="shared" si="36"/>
        <v>0</v>
      </c>
      <c r="I79" s="138">
        <f t="shared" si="37"/>
        <v>0</v>
      </c>
      <c r="J79" s="138">
        <f t="shared" si="38"/>
        <v>0</v>
      </c>
      <c r="K79" s="138">
        <f t="shared" si="39"/>
        <v>0</v>
      </c>
      <c r="L79" s="138">
        <f t="shared" si="40"/>
        <v>0</v>
      </c>
      <c r="M79" s="138">
        <f t="shared" si="41"/>
        <v>0</v>
      </c>
      <c r="N79" s="138">
        <f t="shared" si="42"/>
        <v>0</v>
      </c>
      <c r="O79" s="138">
        <f t="shared" si="43"/>
        <v>0</v>
      </c>
      <c r="P79" s="154"/>
      <c r="Q79" s="141"/>
      <c r="R79" s="137"/>
      <c r="T79" s="120"/>
    </row>
    <row r="80" spans="1:21" x14ac:dyDescent="0.2">
      <c r="A80" s="139"/>
      <c r="B80" s="159"/>
      <c r="C80" s="138">
        <f t="shared" si="31"/>
        <v>0</v>
      </c>
      <c r="D80" s="138">
        <f t="shared" si="32"/>
        <v>0</v>
      </c>
      <c r="E80" s="138">
        <f t="shared" si="33"/>
        <v>0</v>
      </c>
      <c r="F80" s="138">
        <f t="shared" si="34"/>
        <v>0</v>
      </c>
      <c r="G80" s="138">
        <f t="shared" si="35"/>
        <v>0</v>
      </c>
      <c r="H80" s="138">
        <f t="shared" si="36"/>
        <v>0</v>
      </c>
      <c r="I80" s="138">
        <f t="shared" si="37"/>
        <v>0</v>
      </c>
      <c r="J80" s="138">
        <f t="shared" si="38"/>
        <v>0</v>
      </c>
      <c r="K80" s="138">
        <f t="shared" si="39"/>
        <v>0</v>
      </c>
      <c r="L80" s="138">
        <f t="shared" si="40"/>
        <v>0</v>
      </c>
      <c r="M80" s="138">
        <f t="shared" si="41"/>
        <v>0</v>
      </c>
      <c r="N80" s="138">
        <f t="shared" si="42"/>
        <v>0</v>
      </c>
      <c r="O80" s="138">
        <f t="shared" si="43"/>
        <v>0</v>
      </c>
      <c r="P80" s="154"/>
      <c r="Q80" s="141"/>
      <c r="R80" s="137"/>
      <c r="T80" s="120"/>
    </row>
    <row r="81" spans="1:21" x14ac:dyDescent="0.2">
      <c r="A81" s="139"/>
      <c r="B81" s="159"/>
      <c r="C81" s="138">
        <f t="shared" si="31"/>
        <v>0</v>
      </c>
      <c r="D81" s="138">
        <f t="shared" si="32"/>
        <v>0</v>
      </c>
      <c r="E81" s="138">
        <f t="shared" si="33"/>
        <v>0</v>
      </c>
      <c r="F81" s="138">
        <f t="shared" si="34"/>
        <v>0</v>
      </c>
      <c r="G81" s="138">
        <f t="shared" si="35"/>
        <v>0</v>
      </c>
      <c r="H81" s="138">
        <f t="shared" si="36"/>
        <v>0</v>
      </c>
      <c r="I81" s="138">
        <f t="shared" si="37"/>
        <v>0</v>
      </c>
      <c r="J81" s="138">
        <f t="shared" si="38"/>
        <v>0</v>
      </c>
      <c r="K81" s="138">
        <f t="shared" si="39"/>
        <v>0</v>
      </c>
      <c r="L81" s="138">
        <f t="shared" si="40"/>
        <v>0</v>
      </c>
      <c r="M81" s="138">
        <f t="shared" si="41"/>
        <v>0</v>
      </c>
      <c r="N81" s="138">
        <f t="shared" si="42"/>
        <v>0</v>
      </c>
      <c r="O81" s="138">
        <f t="shared" si="43"/>
        <v>0</v>
      </c>
      <c r="P81" s="154"/>
      <c r="Q81" s="141"/>
      <c r="R81" s="137"/>
      <c r="T81" s="120"/>
    </row>
    <row r="82" spans="1:21" x14ac:dyDescent="0.2">
      <c r="A82" s="139"/>
      <c r="B82" s="159"/>
      <c r="C82" s="138">
        <f t="shared" si="31"/>
        <v>0</v>
      </c>
      <c r="D82" s="138">
        <f t="shared" si="32"/>
        <v>0</v>
      </c>
      <c r="E82" s="138">
        <f t="shared" si="33"/>
        <v>0</v>
      </c>
      <c r="F82" s="138">
        <f t="shared" si="34"/>
        <v>0</v>
      </c>
      <c r="G82" s="138">
        <f t="shared" si="35"/>
        <v>0</v>
      </c>
      <c r="H82" s="138">
        <f t="shared" si="36"/>
        <v>0</v>
      </c>
      <c r="I82" s="138">
        <f t="shared" si="37"/>
        <v>0</v>
      </c>
      <c r="J82" s="138">
        <f t="shared" si="38"/>
        <v>0</v>
      </c>
      <c r="K82" s="138">
        <f t="shared" si="39"/>
        <v>0</v>
      </c>
      <c r="L82" s="138">
        <f t="shared" si="40"/>
        <v>0</v>
      </c>
      <c r="M82" s="138">
        <f t="shared" si="41"/>
        <v>0</v>
      </c>
      <c r="N82" s="138">
        <f t="shared" si="42"/>
        <v>0</v>
      </c>
      <c r="O82" s="138">
        <f t="shared" si="43"/>
        <v>0</v>
      </c>
      <c r="P82" s="154"/>
      <c r="Q82" s="141"/>
      <c r="R82" s="137"/>
      <c r="T82" s="120"/>
    </row>
    <row r="83" spans="1:21" x14ac:dyDescent="0.2">
      <c r="A83" s="139"/>
      <c r="B83" s="159"/>
      <c r="C83" s="138">
        <f t="shared" si="31"/>
        <v>0</v>
      </c>
      <c r="D83" s="138">
        <f t="shared" si="32"/>
        <v>0</v>
      </c>
      <c r="E83" s="138">
        <f t="shared" si="33"/>
        <v>0</v>
      </c>
      <c r="F83" s="138">
        <f t="shared" si="34"/>
        <v>0</v>
      </c>
      <c r="G83" s="138">
        <f t="shared" si="35"/>
        <v>0</v>
      </c>
      <c r="H83" s="138">
        <f t="shared" si="36"/>
        <v>0</v>
      </c>
      <c r="I83" s="138">
        <f t="shared" si="37"/>
        <v>0</v>
      </c>
      <c r="J83" s="138">
        <f t="shared" si="38"/>
        <v>0</v>
      </c>
      <c r="K83" s="138">
        <f t="shared" si="39"/>
        <v>0</v>
      </c>
      <c r="L83" s="138">
        <f t="shared" si="40"/>
        <v>0</v>
      </c>
      <c r="M83" s="138">
        <f t="shared" si="41"/>
        <v>0</v>
      </c>
      <c r="N83" s="138">
        <f t="shared" si="42"/>
        <v>0</v>
      </c>
      <c r="O83" s="138">
        <f t="shared" si="43"/>
        <v>0</v>
      </c>
      <c r="P83" s="154"/>
      <c r="Q83" s="141"/>
      <c r="R83" s="137"/>
      <c r="T83" s="120"/>
    </row>
    <row r="84" spans="1:21" x14ac:dyDescent="0.2">
      <c r="A84" s="139"/>
      <c r="B84" s="159"/>
      <c r="C84" s="138"/>
      <c r="D84" s="138"/>
      <c r="E84" s="138"/>
      <c r="F84" s="138"/>
      <c r="G84" s="138"/>
      <c r="H84" s="138"/>
      <c r="I84" s="138"/>
      <c r="J84" s="138"/>
      <c r="K84" s="138"/>
      <c r="L84" s="138"/>
      <c r="M84" s="138"/>
      <c r="N84" s="138"/>
      <c r="O84" s="138"/>
      <c r="P84" s="154"/>
      <c r="Q84" s="141"/>
      <c r="R84" s="137"/>
      <c r="T84" s="120"/>
    </row>
    <row r="85" spans="1:21" x14ac:dyDescent="0.2">
      <c r="A85" s="139"/>
      <c r="B85" s="79"/>
      <c r="C85" s="138"/>
      <c r="D85" s="138"/>
      <c r="E85" s="138"/>
      <c r="F85" s="138"/>
      <c r="G85" s="138"/>
      <c r="H85" s="138"/>
      <c r="I85" s="138"/>
      <c r="J85" s="138"/>
      <c r="K85" s="138"/>
      <c r="L85" s="138"/>
      <c r="M85" s="138"/>
      <c r="N85" s="138"/>
      <c r="O85" s="138"/>
      <c r="P85" s="154"/>
      <c r="Q85" s="141"/>
      <c r="R85" s="137"/>
      <c r="T85" s="120"/>
    </row>
    <row r="86" spans="1:21" x14ac:dyDescent="0.2">
      <c r="A86" s="139"/>
      <c r="B86" s="6"/>
      <c r="C86" s="138"/>
      <c r="D86" s="138"/>
      <c r="E86" s="138"/>
      <c r="F86" s="138"/>
      <c r="G86" s="138"/>
      <c r="H86" s="138"/>
      <c r="I86" s="138"/>
      <c r="J86" s="138"/>
      <c r="K86" s="138"/>
      <c r="L86" s="138"/>
      <c r="M86" s="138"/>
      <c r="N86" s="138"/>
      <c r="O86" s="138"/>
      <c r="P86" s="154"/>
      <c r="Q86" s="141"/>
      <c r="R86" s="137"/>
      <c r="T86" s="120"/>
    </row>
    <row r="87" spans="1:21" x14ac:dyDescent="0.2">
      <c r="A87" s="139"/>
      <c r="B87" s="6"/>
      <c r="C87" s="138"/>
      <c r="D87" s="138"/>
      <c r="E87" s="138"/>
      <c r="F87" s="138"/>
      <c r="G87" s="138"/>
      <c r="H87" s="138"/>
      <c r="I87" s="138"/>
      <c r="J87" s="138"/>
      <c r="K87" s="138"/>
      <c r="L87" s="138"/>
      <c r="M87" s="138"/>
      <c r="N87" s="138"/>
      <c r="O87" s="138"/>
      <c r="P87" s="154"/>
      <c r="Q87" s="141"/>
      <c r="R87" s="137"/>
      <c r="T87" s="120"/>
    </row>
    <row r="88" spans="1:21" x14ac:dyDescent="0.2">
      <c r="A88" s="127"/>
      <c r="B88" s="136"/>
      <c r="C88" s="128"/>
      <c r="D88" s="120"/>
      <c r="E88" s="120"/>
      <c r="F88" s="120"/>
      <c r="G88" s="120"/>
      <c r="H88" s="120"/>
      <c r="I88" s="120"/>
      <c r="J88" s="120"/>
      <c r="K88" s="120"/>
      <c r="L88" s="120"/>
      <c r="M88" s="120"/>
      <c r="N88" s="120"/>
      <c r="O88" s="120"/>
      <c r="P88" s="154"/>
      <c r="Q88" s="141"/>
      <c r="R88" s="137"/>
      <c r="T88" s="120"/>
    </row>
    <row r="89" spans="1:21" x14ac:dyDescent="0.2">
      <c r="A89" s="129"/>
      <c r="B89" s="130"/>
      <c r="C89" s="131"/>
      <c r="D89" s="131"/>
      <c r="E89" s="131"/>
      <c r="F89" s="131"/>
      <c r="G89" s="131"/>
      <c r="H89" s="131"/>
      <c r="I89" s="131"/>
      <c r="J89" s="131"/>
      <c r="K89" s="131"/>
      <c r="L89" s="131"/>
      <c r="M89" s="131"/>
      <c r="N89" s="131"/>
      <c r="O89" s="131"/>
      <c r="P89" s="131"/>
      <c r="Q89" s="132"/>
      <c r="R89" s="126"/>
      <c r="T89" s="50"/>
      <c r="U89" s="39"/>
    </row>
    <row r="90" spans="1:21" x14ac:dyDescent="0.2">
      <c r="C90" s="122"/>
      <c r="D90" s="122"/>
      <c r="E90" s="122"/>
      <c r="F90" s="122"/>
      <c r="G90" s="122"/>
      <c r="H90" s="122"/>
      <c r="I90" s="122"/>
      <c r="J90" s="122"/>
      <c r="K90" s="122"/>
      <c r="L90" s="122"/>
      <c r="M90" s="122"/>
      <c r="N90" s="122"/>
      <c r="O90" s="122"/>
      <c r="P90" s="171" t="s">
        <v>1</v>
      </c>
      <c r="Q90" s="133" t="s">
        <v>0</v>
      </c>
      <c r="R90" s="137">
        <f>SUM(R49:R88)</f>
        <v>0</v>
      </c>
      <c r="T90" s="77"/>
      <c r="U90" s="70"/>
    </row>
    <row r="91" spans="1:21" x14ac:dyDescent="0.2">
      <c r="P91" s="188"/>
      <c r="Q91" s="124"/>
      <c r="R91" s="125"/>
      <c r="T91" s="120"/>
    </row>
    <row r="92" spans="1:21" x14ac:dyDescent="0.2">
      <c r="A92" s="127"/>
      <c r="B92" s="82"/>
      <c r="C92" s="120"/>
      <c r="D92" s="120"/>
      <c r="E92" s="120"/>
      <c r="F92" s="120"/>
      <c r="G92" s="120"/>
      <c r="H92" s="120"/>
      <c r="I92" s="120"/>
      <c r="J92" s="120"/>
      <c r="K92" s="120"/>
      <c r="L92" s="120"/>
      <c r="M92" s="120"/>
      <c r="N92" s="120"/>
      <c r="O92" s="120"/>
      <c r="P92" s="154"/>
      <c r="Q92" s="141"/>
      <c r="R92" s="137"/>
      <c r="T92" s="120"/>
    </row>
    <row r="93" spans="1:21" x14ac:dyDescent="0.2">
      <c r="A93" s="139"/>
      <c r="B93" s="80" t="s">
        <v>563</v>
      </c>
      <c r="C93" s="120"/>
      <c r="D93" s="120"/>
      <c r="E93" s="120"/>
      <c r="F93" s="120"/>
      <c r="G93" s="120"/>
      <c r="H93" s="120"/>
      <c r="I93" s="120"/>
      <c r="J93" s="120"/>
      <c r="K93" s="120"/>
      <c r="L93" s="120"/>
      <c r="M93" s="120"/>
      <c r="N93" s="120"/>
      <c r="O93" s="120"/>
      <c r="P93" s="154"/>
      <c r="Q93" s="141"/>
      <c r="R93" s="137"/>
      <c r="T93" s="120"/>
    </row>
    <row r="94" spans="1:21" x14ac:dyDescent="0.2">
      <c r="A94" s="139"/>
      <c r="B94" s="24"/>
      <c r="C94" s="138">
        <f t="shared" ref="C94:C101" si="57">ROUND((2*$T94+2*$U94)*C$3,0)</f>
        <v>0</v>
      </c>
      <c r="D94" s="138">
        <f t="shared" ref="D94:D101" si="58">C94*$Q94</f>
        <v>0</v>
      </c>
      <c r="E94" s="138">
        <f t="shared" ref="E94:E101" si="59">ROUND((2*$T94+3*$U94)*E$3,0)</f>
        <v>0</v>
      </c>
      <c r="F94" s="138">
        <f t="shared" ref="F94:F101" si="60">E94*$Q94</f>
        <v>0</v>
      </c>
      <c r="G94" s="138">
        <f t="shared" ref="G94:G101" si="61">ROUND((2*$T94+4*$U94)*G$3,0)</f>
        <v>0</v>
      </c>
      <c r="H94" s="138">
        <f t="shared" ref="H94:H101" si="62">G94*$Q94</f>
        <v>0</v>
      </c>
      <c r="I94" s="138">
        <f t="shared" ref="I94:I101" si="63">ROUND((2*$T94+5*$U94)*I$3,0)</f>
        <v>0</v>
      </c>
      <c r="J94" s="138">
        <f t="shared" ref="J94:J101" si="64">I94*$Q94</f>
        <v>0</v>
      </c>
      <c r="K94" s="138">
        <f t="shared" ref="K94:K101" si="65">ROUND((2*$T94+6*$U94)*K$3,0)</f>
        <v>0</v>
      </c>
      <c r="L94" s="138">
        <f t="shared" ref="L94:L101" si="66">K94*$Q94</f>
        <v>0</v>
      </c>
      <c r="M94" s="138">
        <f t="shared" ref="M94:M101" si="67">ROUND((2*$T94+7*$U94)*M$3,0)</f>
        <v>0</v>
      </c>
      <c r="N94" s="138">
        <f t="shared" ref="N94:N101" si="68">M94*$Q94</f>
        <v>0</v>
      </c>
      <c r="O94" s="138">
        <f t="shared" ref="O94:O100" si="69">C94+E94+G94+I94+K94+M94</f>
        <v>0</v>
      </c>
      <c r="P94" s="154"/>
      <c r="Q94" s="141"/>
      <c r="R94" s="137">
        <f t="shared" ref="R94:R100" si="70">O94*Q94</f>
        <v>0</v>
      </c>
      <c r="T94" s="120"/>
    </row>
    <row r="95" spans="1:21" ht="57" x14ac:dyDescent="0.2">
      <c r="A95" s="139"/>
      <c r="B95" s="456" t="s">
        <v>910</v>
      </c>
      <c r="C95" s="138">
        <f t="shared" si="57"/>
        <v>0</v>
      </c>
      <c r="D95" s="138">
        <f t="shared" si="58"/>
        <v>0</v>
      </c>
      <c r="E95" s="138">
        <f t="shared" si="59"/>
        <v>0</v>
      </c>
      <c r="F95" s="138">
        <f t="shared" si="60"/>
        <v>0</v>
      </c>
      <c r="G95" s="138">
        <f t="shared" si="61"/>
        <v>0</v>
      </c>
      <c r="H95" s="138">
        <f t="shared" si="62"/>
        <v>0</v>
      </c>
      <c r="I95" s="138">
        <f t="shared" si="63"/>
        <v>0</v>
      </c>
      <c r="J95" s="138">
        <f t="shared" si="64"/>
        <v>0</v>
      </c>
      <c r="K95" s="138">
        <f t="shared" si="65"/>
        <v>0</v>
      </c>
      <c r="L95" s="138">
        <f t="shared" si="66"/>
        <v>0</v>
      </c>
      <c r="M95" s="138">
        <f t="shared" si="67"/>
        <v>0</v>
      </c>
      <c r="N95" s="138">
        <f t="shared" si="68"/>
        <v>0</v>
      </c>
      <c r="O95" s="138">
        <f t="shared" si="69"/>
        <v>0</v>
      </c>
      <c r="P95" s="154"/>
      <c r="Q95" s="141"/>
      <c r="R95" s="137">
        <f t="shared" si="70"/>
        <v>0</v>
      </c>
      <c r="T95" s="120"/>
    </row>
    <row r="96" spans="1:21" x14ac:dyDescent="0.2">
      <c r="A96" s="139"/>
      <c r="B96" s="6"/>
      <c r="C96" s="138">
        <f t="shared" si="57"/>
        <v>0</v>
      </c>
      <c r="D96" s="138">
        <f t="shared" si="58"/>
        <v>0</v>
      </c>
      <c r="E96" s="138">
        <f t="shared" si="59"/>
        <v>0</v>
      </c>
      <c r="F96" s="138">
        <f t="shared" si="60"/>
        <v>0</v>
      </c>
      <c r="G96" s="138">
        <f t="shared" si="61"/>
        <v>0</v>
      </c>
      <c r="H96" s="138">
        <f t="shared" si="62"/>
        <v>0</v>
      </c>
      <c r="I96" s="138">
        <f t="shared" si="63"/>
        <v>0</v>
      </c>
      <c r="J96" s="138">
        <f t="shared" si="64"/>
        <v>0</v>
      </c>
      <c r="K96" s="138">
        <f t="shared" si="65"/>
        <v>0</v>
      </c>
      <c r="L96" s="138">
        <f t="shared" si="66"/>
        <v>0</v>
      </c>
      <c r="M96" s="138">
        <f t="shared" si="67"/>
        <v>0</v>
      </c>
      <c r="N96" s="138">
        <f t="shared" si="68"/>
        <v>0</v>
      </c>
      <c r="O96" s="138">
        <f t="shared" si="69"/>
        <v>0</v>
      </c>
      <c r="P96" s="154"/>
      <c r="Q96" s="141"/>
      <c r="R96" s="137">
        <f t="shared" si="70"/>
        <v>0</v>
      </c>
      <c r="T96" s="120"/>
    </row>
    <row r="97" spans="1:21" x14ac:dyDescent="0.2">
      <c r="A97" s="139" t="s">
        <v>66</v>
      </c>
      <c r="B97" s="12" t="s">
        <v>539</v>
      </c>
      <c r="C97" s="138">
        <f t="shared" si="57"/>
        <v>4</v>
      </c>
      <c r="D97" s="138">
        <f t="shared" si="58"/>
        <v>0</v>
      </c>
      <c r="E97" s="138">
        <f t="shared" si="59"/>
        <v>5</v>
      </c>
      <c r="F97" s="138">
        <f t="shared" si="60"/>
        <v>0</v>
      </c>
      <c r="G97" s="138">
        <f t="shared" si="61"/>
        <v>30</v>
      </c>
      <c r="H97" s="138">
        <f t="shared" si="62"/>
        <v>0</v>
      </c>
      <c r="I97" s="138">
        <f t="shared" si="63"/>
        <v>7</v>
      </c>
      <c r="J97" s="138">
        <f t="shared" si="64"/>
        <v>0</v>
      </c>
      <c r="K97" s="138">
        <f t="shared" si="65"/>
        <v>24</v>
      </c>
      <c r="L97" s="138">
        <f t="shared" si="66"/>
        <v>0</v>
      </c>
      <c r="M97" s="138">
        <f t="shared" si="67"/>
        <v>9</v>
      </c>
      <c r="N97" s="138">
        <f t="shared" si="68"/>
        <v>0</v>
      </c>
      <c r="O97" s="138">
        <f>C97+E97+G97+I97+K97+M97</f>
        <v>79</v>
      </c>
      <c r="P97" s="154" t="s">
        <v>269</v>
      </c>
      <c r="Q97" s="141"/>
      <c r="R97" s="137">
        <f>O97*Q97</f>
        <v>0</v>
      </c>
      <c r="T97" s="120">
        <v>1</v>
      </c>
      <c r="U97" s="128">
        <v>1</v>
      </c>
    </row>
    <row r="98" spans="1:21" x14ac:dyDescent="0.2">
      <c r="A98" s="139"/>
      <c r="B98" s="24"/>
      <c r="C98" s="138">
        <f t="shared" si="57"/>
        <v>0</v>
      </c>
      <c r="D98" s="138">
        <f t="shared" si="58"/>
        <v>0</v>
      </c>
      <c r="E98" s="138">
        <f t="shared" si="59"/>
        <v>0</v>
      </c>
      <c r="F98" s="138">
        <f t="shared" si="60"/>
        <v>0</v>
      </c>
      <c r="G98" s="138">
        <f t="shared" si="61"/>
        <v>0</v>
      </c>
      <c r="H98" s="138">
        <f t="shared" si="62"/>
        <v>0</v>
      </c>
      <c r="I98" s="138">
        <f t="shared" si="63"/>
        <v>0</v>
      </c>
      <c r="J98" s="138">
        <f t="shared" si="64"/>
        <v>0</v>
      </c>
      <c r="K98" s="138">
        <f t="shared" si="65"/>
        <v>0</v>
      </c>
      <c r="L98" s="138">
        <f t="shared" si="66"/>
        <v>0</v>
      </c>
      <c r="M98" s="138">
        <f t="shared" si="67"/>
        <v>0</v>
      </c>
      <c r="N98" s="138">
        <f t="shared" si="68"/>
        <v>0</v>
      </c>
      <c r="O98" s="138">
        <f t="shared" si="69"/>
        <v>0</v>
      </c>
      <c r="P98" s="154"/>
      <c r="Q98" s="141"/>
      <c r="R98" s="137">
        <f t="shared" si="70"/>
        <v>0</v>
      </c>
      <c r="T98" s="120"/>
    </row>
    <row r="99" spans="1:21" ht="42.75" x14ac:dyDescent="0.2">
      <c r="A99" s="139"/>
      <c r="B99" s="78" t="s">
        <v>540</v>
      </c>
      <c r="C99" s="138">
        <f t="shared" si="57"/>
        <v>0</v>
      </c>
      <c r="D99" s="138">
        <f t="shared" si="58"/>
        <v>0</v>
      </c>
      <c r="E99" s="138">
        <f t="shared" si="59"/>
        <v>0</v>
      </c>
      <c r="F99" s="138">
        <f t="shared" si="60"/>
        <v>0</v>
      </c>
      <c r="G99" s="138">
        <f t="shared" si="61"/>
        <v>0</v>
      </c>
      <c r="H99" s="138">
        <f t="shared" si="62"/>
        <v>0</v>
      </c>
      <c r="I99" s="138">
        <f t="shared" si="63"/>
        <v>0</v>
      </c>
      <c r="J99" s="138">
        <f t="shared" si="64"/>
        <v>0</v>
      </c>
      <c r="K99" s="138">
        <f t="shared" si="65"/>
        <v>0</v>
      </c>
      <c r="L99" s="138">
        <f t="shared" si="66"/>
        <v>0</v>
      </c>
      <c r="M99" s="138">
        <f t="shared" si="67"/>
        <v>0</v>
      </c>
      <c r="N99" s="138">
        <f t="shared" si="68"/>
        <v>0</v>
      </c>
      <c r="O99" s="138">
        <f t="shared" si="69"/>
        <v>0</v>
      </c>
      <c r="P99" s="154"/>
      <c r="Q99" s="141"/>
      <c r="R99" s="137">
        <f t="shared" si="70"/>
        <v>0</v>
      </c>
      <c r="T99" s="120"/>
    </row>
    <row r="100" spans="1:21" x14ac:dyDescent="0.2">
      <c r="A100" s="139"/>
      <c r="B100" s="24"/>
      <c r="C100" s="138">
        <f t="shared" si="57"/>
        <v>0</v>
      </c>
      <c r="D100" s="138">
        <f t="shared" si="58"/>
        <v>0</v>
      </c>
      <c r="E100" s="138">
        <f t="shared" si="59"/>
        <v>0</v>
      </c>
      <c r="F100" s="138">
        <f t="shared" si="60"/>
        <v>0</v>
      </c>
      <c r="G100" s="138">
        <f t="shared" si="61"/>
        <v>0</v>
      </c>
      <c r="H100" s="138">
        <f t="shared" si="62"/>
        <v>0</v>
      </c>
      <c r="I100" s="138">
        <f t="shared" si="63"/>
        <v>0</v>
      </c>
      <c r="J100" s="138">
        <f t="shared" si="64"/>
        <v>0</v>
      </c>
      <c r="K100" s="138">
        <f t="shared" si="65"/>
        <v>0</v>
      </c>
      <c r="L100" s="138">
        <f t="shared" si="66"/>
        <v>0</v>
      </c>
      <c r="M100" s="138">
        <f t="shared" si="67"/>
        <v>0</v>
      </c>
      <c r="N100" s="138">
        <f t="shared" si="68"/>
        <v>0</v>
      </c>
      <c r="O100" s="138">
        <f t="shared" si="69"/>
        <v>0</v>
      </c>
      <c r="P100" s="154"/>
      <c r="Q100" s="141"/>
      <c r="R100" s="137">
        <f t="shared" si="70"/>
        <v>0</v>
      </c>
      <c r="T100" s="120"/>
    </row>
    <row r="101" spans="1:21" x14ac:dyDescent="0.2">
      <c r="A101" s="139" t="s">
        <v>67</v>
      </c>
      <c r="B101" s="6" t="s">
        <v>408</v>
      </c>
      <c r="C101" s="138">
        <f t="shared" si="57"/>
        <v>12</v>
      </c>
      <c r="D101" s="138">
        <f t="shared" si="58"/>
        <v>0</v>
      </c>
      <c r="E101" s="138">
        <f t="shared" si="59"/>
        <v>15</v>
      </c>
      <c r="F101" s="138">
        <f t="shared" si="60"/>
        <v>0</v>
      </c>
      <c r="G101" s="138">
        <f t="shared" si="61"/>
        <v>90</v>
      </c>
      <c r="H101" s="138">
        <f t="shared" si="62"/>
        <v>0</v>
      </c>
      <c r="I101" s="138">
        <f t="shared" si="63"/>
        <v>21</v>
      </c>
      <c r="J101" s="138">
        <f t="shared" si="64"/>
        <v>0</v>
      </c>
      <c r="K101" s="138">
        <f t="shared" si="65"/>
        <v>72</v>
      </c>
      <c r="L101" s="138">
        <f t="shared" si="66"/>
        <v>0</v>
      </c>
      <c r="M101" s="138">
        <f t="shared" si="67"/>
        <v>27</v>
      </c>
      <c r="N101" s="138">
        <f t="shared" si="68"/>
        <v>0</v>
      </c>
      <c r="O101" s="138">
        <f>C101+E101+G101+I101+K101+M101</f>
        <v>237</v>
      </c>
      <c r="P101" s="154" t="s">
        <v>12</v>
      </c>
      <c r="Q101" s="141"/>
      <c r="R101" s="137">
        <f>O101*Q101</f>
        <v>0</v>
      </c>
      <c r="T101" s="120">
        <v>3</v>
      </c>
      <c r="U101" s="128">
        <v>3</v>
      </c>
    </row>
    <row r="102" spans="1:21" x14ac:dyDescent="0.2">
      <c r="A102" s="139"/>
      <c r="B102" s="136"/>
      <c r="C102" s="128"/>
      <c r="D102" s="120"/>
      <c r="E102" s="120"/>
      <c r="F102" s="120"/>
      <c r="G102" s="120"/>
      <c r="H102" s="120"/>
      <c r="I102" s="120"/>
      <c r="J102" s="120"/>
      <c r="K102" s="120"/>
      <c r="L102" s="120"/>
      <c r="M102" s="120"/>
      <c r="N102" s="120"/>
      <c r="O102" s="120"/>
      <c r="P102" s="154"/>
      <c r="Q102" s="141"/>
      <c r="R102" s="137"/>
      <c r="T102" s="120"/>
    </row>
    <row r="103" spans="1:21" x14ac:dyDescent="0.2">
      <c r="A103" s="127"/>
      <c r="B103" s="80" t="s">
        <v>32</v>
      </c>
      <c r="C103" s="120"/>
      <c r="D103" s="120"/>
      <c r="E103" s="120"/>
      <c r="F103" s="120"/>
      <c r="G103" s="120"/>
      <c r="H103" s="120"/>
      <c r="I103" s="120"/>
      <c r="J103" s="120"/>
      <c r="K103" s="120"/>
      <c r="L103" s="120"/>
      <c r="M103" s="120"/>
      <c r="N103" s="120"/>
      <c r="O103" s="120"/>
      <c r="P103" s="154"/>
      <c r="Q103" s="141"/>
      <c r="R103" s="137"/>
      <c r="T103" s="120"/>
    </row>
    <row r="104" spans="1:21" x14ac:dyDescent="0.2">
      <c r="A104" s="127"/>
      <c r="B104" s="7"/>
      <c r="C104" s="120"/>
      <c r="D104" s="120"/>
      <c r="E104" s="120"/>
      <c r="F104" s="120"/>
      <c r="G104" s="120"/>
      <c r="H104" s="120"/>
      <c r="I104" s="120"/>
      <c r="J104" s="120"/>
      <c r="K104" s="120"/>
      <c r="L104" s="120"/>
      <c r="M104" s="120"/>
      <c r="N104" s="120"/>
      <c r="O104" s="120"/>
      <c r="P104" s="154"/>
      <c r="Q104" s="141"/>
      <c r="R104" s="137"/>
      <c r="T104" s="120"/>
    </row>
    <row r="105" spans="1:21" ht="28.5" x14ac:dyDescent="0.2">
      <c r="A105" s="127"/>
      <c r="B105" s="453" t="s">
        <v>903</v>
      </c>
      <c r="C105" s="138">
        <f t="shared" ref="C105:C113" si="71">ROUND((2*$T105+2*$U105)*C$3,0)</f>
        <v>0</v>
      </c>
      <c r="D105" s="138">
        <f t="shared" ref="D105:D113" si="72">C105*$Q105</f>
        <v>0</v>
      </c>
      <c r="E105" s="138">
        <f t="shared" ref="E105:E113" si="73">ROUND((2*$T105+3*$U105)*E$3,0)</f>
        <v>0</v>
      </c>
      <c r="F105" s="138">
        <f t="shared" ref="F105:F113" si="74">E105*$Q105</f>
        <v>0</v>
      </c>
      <c r="G105" s="138">
        <f t="shared" ref="G105:G113" si="75">ROUND((2*$T105+4*$U105)*G$3,0)</f>
        <v>0</v>
      </c>
      <c r="H105" s="138">
        <f t="shared" ref="H105:H113" si="76">G105*$Q105</f>
        <v>0</v>
      </c>
      <c r="I105" s="138">
        <f t="shared" ref="I105:I113" si="77">ROUND((2*$T105+5*$U105)*I$3,0)</f>
        <v>0</v>
      </c>
      <c r="J105" s="138">
        <f t="shared" ref="J105:J113" si="78">I105*$Q105</f>
        <v>0</v>
      </c>
      <c r="K105" s="138">
        <f t="shared" ref="K105:K113" si="79">ROUND((2*$T105+6*$U105)*K$3,0)</f>
        <v>0</v>
      </c>
      <c r="L105" s="138">
        <f t="shared" ref="L105:L113" si="80">K105*$Q105</f>
        <v>0</v>
      </c>
      <c r="M105" s="138">
        <f t="shared" ref="M105:M113" si="81">ROUND((2*$T105+7*$U105)*M$3,0)</f>
        <v>0</v>
      </c>
      <c r="N105" s="138">
        <f t="shared" ref="N105:N113" si="82">M105*$Q105</f>
        <v>0</v>
      </c>
      <c r="O105" s="138">
        <f t="shared" ref="O105:O112" si="83">C105+E105+G105+I105+K105+M105</f>
        <v>0</v>
      </c>
      <c r="P105" s="154"/>
      <c r="Q105" s="141"/>
      <c r="R105" s="137"/>
      <c r="T105" s="120"/>
    </row>
    <row r="106" spans="1:21" x14ac:dyDescent="0.2">
      <c r="A106" s="127"/>
      <c r="B106" s="136"/>
      <c r="C106" s="138">
        <f t="shared" si="71"/>
        <v>0</v>
      </c>
      <c r="D106" s="138">
        <f t="shared" si="72"/>
        <v>0</v>
      </c>
      <c r="E106" s="138">
        <f t="shared" si="73"/>
        <v>0</v>
      </c>
      <c r="F106" s="138">
        <f t="shared" si="74"/>
        <v>0</v>
      </c>
      <c r="G106" s="138">
        <f t="shared" si="75"/>
        <v>0</v>
      </c>
      <c r="H106" s="138">
        <f t="shared" si="76"/>
        <v>0</v>
      </c>
      <c r="I106" s="138">
        <f t="shared" si="77"/>
        <v>0</v>
      </c>
      <c r="J106" s="138">
        <f t="shared" si="78"/>
        <v>0</v>
      </c>
      <c r="K106" s="138">
        <f t="shared" si="79"/>
        <v>0</v>
      </c>
      <c r="L106" s="138">
        <f t="shared" si="80"/>
        <v>0</v>
      </c>
      <c r="M106" s="138">
        <f t="shared" si="81"/>
        <v>0</v>
      </c>
      <c r="N106" s="138">
        <f t="shared" si="82"/>
        <v>0</v>
      </c>
      <c r="O106" s="138">
        <f t="shared" si="83"/>
        <v>0</v>
      </c>
      <c r="P106" s="154"/>
      <c r="Q106" s="141"/>
      <c r="R106" s="137"/>
      <c r="T106" s="120"/>
    </row>
    <row r="107" spans="1:21" x14ac:dyDescent="0.2">
      <c r="A107" s="139" t="s">
        <v>68</v>
      </c>
      <c r="B107" s="6" t="s">
        <v>432</v>
      </c>
      <c r="C107" s="138">
        <f t="shared" si="71"/>
        <v>4</v>
      </c>
      <c r="D107" s="138">
        <f t="shared" si="72"/>
        <v>0</v>
      </c>
      <c r="E107" s="138">
        <f t="shared" si="73"/>
        <v>5</v>
      </c>
      <c r="F107" s="138">
        <f t="shared" si="74"/>
        <v>0</v>
      </c>
      <c r="G107" s="138">
        <f t="shared" si="75"/>
        <v>30</v>
      </c>
      <c r="H107" s="138">
        <f t="shared" si="76"/>
        <v>0</v>
      </c>
      <c r="I107" s="138">
        <f t="shared" si="77"/>
        <v>7</v>
      </c>
      <c r="J107" s="138">
        <f t="shared" si="78"/>
        <v>0</v>
      </c>
      <c r="K107" s="138">
        <f t="shared" si="79"/>
        <v>24</v>
      </c>
      <c r="L107" s="138">
        <f t="shared" si="80"/>
        <v>0</v>
      </c>
      <c r="M107" s="138">
        <f t="shared" si="81"/>
        <v>9</v>
      </c>
      <c r="N107" s="138">
        <f t="shared" si="82"/>
        <v>0</v>
      </c>
      <c r="O107" s="138">
        <f>C107+E107+G107+I107+K107+M107</f>
        <v>79</v>
      </c>
      <c r="P107" s="154" t="s">
        <v>269</v>
      </c>
      <c r="Q107" s="141"/>
      <c r="R107" s="137">
        <f>O107*Q107</f>
        <v>0</v>
      </c>
      <c r="T107" s="120">
        <v>1</v>
      </c>
      <c r="U107" s="128">
        <v>1</v>
      </c>
    </row>
    <row r="108" spans="1:21" x14ac:dyDescent="0.2">
      <c r="A108" s="139"/>
      <c r="B108" s="136"/>
      <c r="C108" s="138">
        <f t="shared" si="71"/>
        <v>0</v>
      </c>
      <c r="D108" s="138">
        <f t="shared" si="72"/>
        <v>0</v>
      </c>
      <c r="E108" s="138">
        <f t="shared" si="73"/>
        <v>0</v>
      </c>
      <c r="F108" s="138">
        <f t="shared" si="74"/>
        <v>0</v>
      </c>
      <c r="G108" s="138">
        <f t="shared" si="75"/>
        <v>0</v>
      </c>
      <c r="H108" s="138">
        <f t="shared" si="76"/>
        <v>0</v>
      </c>
      <c r="I108" s="138">
        <f t="shared" si="77"/>
        <v>0</v>
      </c>
      <c r="J108" s="138">
        <f t="shared" si="78"/>
        <v>0</v>
      </c>
      <c r="K108" s="138">
        <f t="shared" si="79"/>
        <v>0</v>
      </c>
      <c r="L108" s="138">
        <f t="shared" si="80"/>
        <v>0</v>
      </c>
      <c r="M108" s="138">
        <f t="shared" si="81"/>
        <v>0</v>
      </c>
      <c r="N108" s="138">
        <f t="shared" si="82"/>
        <v>0</v>
      </c>
      <c r="O108" s="138">
        <f t="shared" si="83"/>
        <v>0</v>
      </c>
      <c r="P108" s="154"/>
      <c r="Q108" s="141"/>
      <c r="R108" s="137"/>
      <c r="T108" s="120"/>
    </row>
    <row r="109" spans="1:21" x14ac:dyDescent="0.2">
      <c r="A109" s="139" t="s">
        <v>69</v>
      </c>
      <c r="B109" s="6" t="s">
        <v>541</v>
      </c>
      <c r="C109" s="138">
        <f t="shared" si="71"/>
        <v>4</v>
      </c>
      <c r="D109" s="138">
        <f t="shared" si="72"/>
        <v>0</v>
      </c>
      <c r="E109" s="138">
        <f t="shared" si="73"/>
        <v>5</v>
      </c>
      <c r="F109" s="138">
        <f t="shared" si="74"/>
        <v>0</v>
      </c>
      <c r="G109" s="138">
        <f t="shared" si="75"/>
        <v>30</v>
      </c>
      <c r="H109" s="138">
        <f t="shared" si="76"/>
        <v>0</v>
      </c>
      <c r="I109" s="138">
        <f t="shared" si="77"/>
        <v>7</v>
      </c>
      <c r="J109" s="138">
        <f t="shared" si="78"/>
        <v>0</v>
      </c>
      <c r="K109" s="138">
        <f t="shared" si="79"/>
        <v>24</v>
      </c>
      <c r="L109" s="138">
        <f t="shared" si="80"/>
        <v>0</v>
      </c>
      <c r="M109" s="138">
        <f t="shared" si="81"/>
        <v>9</v>
      </c>
      <c r="N109" s="138">
        <f t="shared" si="82"/>
        <v>0</v>
      </c>
      <c r="O109" s="138">
        <f>C109+E109+G109+I109+K109+M109</f>
        <v>79</v>
      </c>
      <c r="P109" s="154" t="s">
        <v>269</v>
      </c>
      <c r="Q109" s="141"/>
      <c r="R109" s="137">
        <f>O109*Q109</f>
        <v>0</v>
      </c>
      <c r="T109" s="120">
        <v>1</v>
      </c>
      <c r="U109" s="128">
        <v>1</v>
      </c>
    </row>
    <row r="110" spans="1:21" x14ac:dyDescent="0.2">
      <c r="A110" s="139"/>
      <c r="B110" s="136"/>
      <c r="C110" s="138">
        <f t="shared" si="71"/>
        <v>0</v>
      </c>
      <c r="D110" s="138">
        <f t="shared" si="72"/>
        <v>0</v>
      </c>
      <c r="E110" s="138">
        <f t="shared" si="73"/>
        <v>0</v>
      </c>
      <c r="F110" s="138">
        <f t="shared" si="74"/>
        <v>0</v>
      </c>
      <c r="G110" s="138">
        <f t="shared" si="75"/>
        <v>0</v>
      </c>
      <c r="H110" s="138">
        <f t="shared" si="76"/>
        <v>0</v>
      </c>
      <c r="I110" s="138">
        <f t="shared" si="77"/>
        <v>0</v>
      </c>
      <c r="J110" s="138">
        <f t="shared" si="78"/>
        <v>0</v>
      </c>
      <c r="K110" s="138">
        <f t="shared" si="79"/>
        <v>0</v>
      </c>
      <c r="L110" s="138">
        <f t="shared" si="80"/>
        <v>0</v>
      </c>
      <c r="M110" s="138">
        <f t="shared" si="81"/>
        <v>0</v>
      </c>
      <c r="N110" s="138">
        <f t="shared" si="82"/>
        <v>0</v>
      </c>
      <c r="O110" s="138">
        <f t="shared" si="83"/>
        <v>0</v>
      </c>
      <c r="P110" s="154"/>
      <c r="Q110" s="141"/>
      <c r="R110" s="137"/>
      <c r="T110" s="120"/>
    </row>
    <row r="111" spans="1:21" x14ac:dyDescent="0.2">
      <c r="A111" s="139" t="s">
        <v>70</v>
      </c>
      <c r="B111" s="6" t="s">
        <v>542</v>
      </c>
      <c r="C111" s="138">
        <f t="shared" si="71"/>
        <v>8</v>
      </c>
      <c r="D111" s="138">
        <f t="shared" si="72"/>
        <v>0</v>
      </c>
      <c r="E111" s="138">
        <f t="shared" si="73"/>
        <v>10</v>
      </c>
      <c r="F111" s="138">
        <f t="shared" si="74"/>
        <v>0</v>
      </c>
      <c r="G111" s="138">
        <f t="shared" si="75"/>
        <v>60</v>
      </c>
      <c r="H111" s="138">
        <f t="shared" si="76"/>
        <v>0</v>
      </c>
      <c r="I111" s="138">
        <f t="shared" si="77"/>
        <v>14</v>
      </c>
      <c r="J111" s="138">
        <f t="shared" si="78"/>
        <v>0</v>
      </c>
      <c r="K111" s="138">
        <f t="shared" si="79"/>
        <v>48</v>
      </c>
      <c r="L111" s="138">
        <f t="shared" si="80"/>
        <v>0</v>
      </c>
      <c r="M111" s="138">
        <f t="shared" si="81"/>
        <v>18</v>
      </c>
      <c r="N111" s="138">
        <f t="shared" si="82"/>
        <v>0</v>
      </c>
      <c r="O111" s="138">
        <f>C111+E111+G111+I111+K111+M111</f>
        <v>158</v>
      </c>
      <c r="P111" s="154" t="s">
        <v>269</v>
      </c>
      <c r="Q111" s="141"/>
      <c r="R111" s="137">
        <f>O111*Q111</f>
        <v>0</v>
      </c>
      <c r="T111" s="120">
        <v>2</v>
      </c>
      <c r="U111" s="128">
        <v>2</v>
      </c>
    </row>
    <row r="112" spans="1:21" x14ac:dyDescent="0.2">
      <c r="A112" s="139"/>
      <c r="B112" s="136"/>
      <c r="C112" s="138">
        <f t="shared" si="71"/>
        <v>0</v>
      </c>
      <c r="D112" s="138">
        <f t="shared" si="72"/>
        <v>0</v>
      </c>
      <c r="E112" s="138">
        <f t="shared" si="73"/>
        <v>0</v>
      </c>
      <c r="F112" s="138">
        <f t="shared" si="74"/>
        <v>0</v>
      </c>
      <c r="G112" s="138">
        <f t="shared" si="75"/>
        <v>0</v>
      </c>
      <c r="H112" s="138">
        <f t="shared" si="76"/>
        <v>0</v>
      </c>
      <c r="I112" s="138">
        <f t="shared" si="77"/>
        <v>0</v>
      </c>
      <c r="J112" s="138">
        <f t="shared" si="78"/>
        <v>0</v>
      </c>
      <c r="K112" s="138">
        <f t="shared" si="79"/>
        <v>0</v>
      </c>
      <c r="L112" s="138">
        <f t="shared" si="80"/>
        <v>0</v>
      </c>
      <c r="M112" s="138">
        <f t="shared" si="81"/>
        <v>0</v>
      </c>
      <c r="N112" s="138">
        <f t="shared" si="82"/>
        <v>0</v>
      </c>
      <c r="O112" s="138">
        <f t="shared" si="83"/>
        <v>0</v>
      </c>
      <c r="P112" s="154"/>
      <c r="Q112" s="141"/>
      <c r="R112" s="137"/>
      <c r="T112" s="120"/>
    </row>
    <row r="113" spans="1:21" x14ac:dyDescent="0.2">
      <c r="A113" s="139" t="s">
        <v>71</v>
      </c>
      <c r="B113" s="6" t="s">
        <v>429</v>
      </c>
      <c r="C113" s="138">
        <f t="shared" si="71"/>
        <v>4</v>
      </c>
      <c r="D113" s="138">
        <f t="shared" si="72"/>
        <v>0</v>
      </c>
      <c r="E113" s="138">
        <f t="shared" si="73"/>
        <v>5</v>
      </c>
      <c r="F113" s="138">
        <f t="shared" si="74"/>
        <v>0</v>
      </c>
      <c r="G113" s="138">
        <f t="shared" si="75"/>
        <v>30</v>
      </c>
      <c r="H113" s="138">
        <f t="shared" si="76"/>
        <v>0</v>
      </c>
      <c r="I113" s="138">
        <f t="shared" si="77"/>
        <v>7</v>
      </c>
      <c r="J113" s="138">
        <f t="shared" si="78"/>
        <v>0</v>
      </c>
      <c r="K113" s="138">
        <f t="shared" si="79"/>
        <v>24</v>
      </c>
      <c r="L113" s="138">
        <f t="shared" si="80"/>
        <v>0</v>
      </c>
      <c r="M113" s="138">
        <f t="shared" si="81"/>
        <v>9</v>
      </c>
      <c r="N113" s="138">
        <f t="shared" si="82"/>
        <v>0</v>
      </c>
      <c r="O113" s="138">
        <f>C113+E113+G113+I113+K113+M113</f>
        <v>79</v>
      </c>
      <c r="P113" s="154" t="s">
        <v>269</v>
      </c>
      <c r="Q113" s="141"/>
      <c r="R113" s="137">
        <f>O113*Q113</f>
        <v>0</v>
      </c>
      <c r="T113" s="120">
        <v>1</v>
      </c>
      <c r="U113" s="128">
        <v>1</v>
      </c>
    </row>
    <row r="114" spans="1:21" x14ac:dyDescent="0.2">
      <c r="A114" s="139"/>
      <c r="B114" s="6"/>
      <c r="C114" s="138"/>
      <c r="D114" s="138"/>
      <c r="E114" s="138"/>
      <c r="F114" s="138"/>
      <c r="G114" s="138"/>
      <c r="H114" s="138"/>
      <c r="I114" s="138"/>
      <c r="J114" s="138"/>
      <c r="K114" s="138"/>
      <c r="L114" s="138"/>
      <c r="M114" s="138"/>
      <c r="N114" s="138"/>
      <c r="O114" s="138"/>
      <c r="P114" s="154"/>
      <c r="Q114" s="141"/>
      <c r="R114" s="137"/>
      <c r="T114" s="120"/>
    </row>
    <row r="115" spans="1:21" x14ac:dyDescent="0.2">
      <c r="A115" s="139"/>
      <c r="B115" s="6"/>
      <c r="C115" s="138"/>
      <c r="D115" s="138"/>
      <c r="E115" s="138"/>
      <c r="F115" s="138"/>
      <c r="G115" s="138"/>
      <c r="H115" s="138"/>
      <c r="I115" s="138"/>
      <c r="J115" s="138"/>
      <c r="K115" s="138"/>
      <c r="L115" s="138"/>
      <c r="M115" s="138"/>
      <c r="N115" s="138"/>
      <c r="O115" s="138"/>
      <c r="P115" s="154"/>
      <c r="Q115" s="141"/>
      <c r="R115" s="137"/>
      <c r="T115" s="120"/>
    </row>
    <row r="116" spans="1:21" x14ac:dyDescent="0.2">
      <c r="A116" s="139"/>
      <c r="B116" s="6"/>
      <c r="C116" s="138"/>
      <c r="D116" s="138"/>
      <c r="E116" s="138"/>
      <c r="F116" s="138"/>
      <c r="G116" s="138"/>
      <c r="H116" s="138"/>
      <c r="I116" s="138"/>
      <c r="J116" s="138"/>
      <c r="K116" s="138"/>
      <c r="L116" s="138"/>
      <c r="M116" s="138"/>
      <c r="N116" s="138"/>
      <c r="O116" s="138"/>
      <c r="P116" s="154"/>
      <c r="Q116" s="141"/>
      <c r="R116" s="137"/>
      <c r="T116" s="120"/>
    </row>
    <row r="117" spans="1:21" x14ac:dyDescent="0.2">
      <c r="A117" s="139"/>
      <c r="B117" s="6"/>
      <c r="C117" s="138"/>
      <c r="D117" s="138"/>
      <c r="E117" s="138"/>
      <c r="F117" s="138"/>
      <c r="G117" s="138"/>
      <c r="H117" s="138"/>
      <c r="I117" s="138"/>
      <c r="J117" s="138"/>
      <c r="K117" s="138"/>
      <c r="L117" s="138"/>
      <c r="M117" s="138"/>
      <c r="N117" s="138"/>
      <c r="O117" s="138"/>
      <c r="P117" s="154"/>
      <c r="Q117" s="141"/>
      <c r="R117" s="137"/>
      <c r="T117" s="120"/>
    </row>
    <row r="118" spans="1:21" x14ac:dyDescent="0.2">
      <c r="A118" s="139"/>
      <c r="B118" s="6"/>
      <c r="C118" s="138"/>
      <c r="D118" s="138"/>
      <c r="E118" s="138"/>
      <c r="F118" s="138"/>
      <c r="G118" s="138"/>
      <c r="H118" s="138"/>
      <c r="I118" s="138"/>
      <c r="J118" s="138"/>
      <c r="K118" s="138"/>
      <c r="L118" s="138"/>
      <c r="M118" s="138"/>
      <c r="N118" s="138"/>
      <c r="O118" s="138"/>
      <c r="P118" s="154"/>
      <c r="Q118" s="141"/>
      <c r="R118" s="137"/>
      <c r="T118" s="120"/>
    </row>
    <row r="119" spans="1:21" x14ac:dyDescent="0.2">
      <c r="A119" s="139"/>
      <c r="B119" s="6"/>
      <c r="C119" s="138"/>
      <c r="D119" s="138"/>
      <c r="E119" s="138"/>
      <c r="F119" s="138"/>
      <c r="G119" s="138"/>
      <c r="H119" s="138"/>
      <c r="I119" s="138"/>
      <c r="J119" s="138"/>
      <c r="K119" s="138"/>
      <c r="L119" s="138"/>
      <c r="M119" s="138"/>
      <c r="N119" s="138"/>
      <c r="O119" s="138"/>
      <c r="P119" s="154"/>
      <c r="Q119" s="141"/>
      <c r="R119" s="137"/>
      <c r="T119" s="120"/>
    </row>
    <row r="120" spans="1:21" x14ac:dyDescent="0.2">
      <c r="A120" s="139"/>
      <c r="B120" s="6"/>
      <c r="C120" s="138"/>
      <c r="D120" s="138"/>
      <c r="E120" s="138"/>
      <c r="F120" s="138"/>
      <c r="G120" s="138"/>
      <c r="H120" s="138"/>
      <c r="I120" s="138"/>
      <c r="J120" s="138"/>
      <c r="K120" s="138"/>
      <c r="L120" s="138"/>
      <c r="M120" s="138"/>
      <c r="N120" s="138"/>
      <c r="O120" s="138"/>
      <c r="P120" s="154"/>
      <c r="Q120" s="141"/>
      <c r="R120" s="137"/>
      <c r="T120" s="120"/>
    </row>
    <row r="121" spans="1:21" x14ac:dyDescent="0.2">
      <c r="A121" s="139"/>
      <c r="B121" s="6"/>
      <c r="C121" s="138"/>
      <c r="D121" s="138"/>
      <c r="E121" s="138"/>
      <c r="F121" s="138"/>
      <c r="G121" s="138"/>
      <c r="H121" s="138"/>
      <c r="I121" s="138"/>
      <c r="J121" s="138"/>
      <c r="K121" s="138"/>
      <c r="L121" s="138"/>
      <c r="M121" s="138"/>
      <c r="N121" s="138"/>
      <c r="O121" s="138"/>
      <c r="P121" s="154"/>
      <c r="Q121" s="141"/>
      <c r="R121" s="137"/>
      <c r="T121" s="120"/>
    </row>
    <row r="122" spans="1:21" x14ac:dyDescent="0.2">
      <c r="A122" s="139"/>
      <c r="B122" s="6"/>
      <c r="C122" s="138"/>
      <c r="D122" s="138"/>
      <c r="E122" s="138"/>
      <c r="F122" s="138"/>
      <c r="G122" s="138"/>
      <c r="H122" s="138"/>
      <c r="I122" s="138"/>
      <c r="J122" s="138"/>
      <c r="K122" s="138"/>
      <c r="L122" s="138"/>
      <c r="M122" s="138"/>
      <c r="N122" s="138"/>
      <c r="O122" s="138"/>
      <c r="P122" s="154"/>
      <c r="Q122" s="141"/>
      <c r="R122" s="137"/>
      <c r="T122" s="120"/>
    </row>
    <row r="123" spans="1:21" x14ac:dyDescent="0.2">
      <c r="A123" s="139"/>
      <c r="B123" s="6"/>
      <c r="C123" s="138"/>
      <c r="D123" s="138"/>
      <c r="E123" s="138"/>
      <c r="F123" s="138"/>
      <c r="G123" s="138"/>
      <c r="H123" s="138"/>
      <c r="I123" s="138"/>
      <c r="J123" s="138"/>
      <c r="K123" s="138"/>
      <c r="L123" s="138"/>
      <c r="M123" s="138"/>
      <c r="N123" s="138"/>
      <c r="O123" s="138"/>
      <c r="P123" s="154"/>
      <c r="Q123" s="141"/>
      <c r="R123" s="137"/>
      <c r="T123" s="120"/>
    </row>
    <row r="124" spans="1:21" x14ac:dyDescent="0.2">
      <c r="A124" s="139"/>
      <c r="B124" s="6"/>
      <c r="C124" s="138"/>
      <c r="D124" s="138"/>
      <c r="E124" s="138"/>
      <c r="F124" s="138"/>
      <c r="G124" s="138"/>
      <c r="H124" s="138"/>
      <c r="I124" s="138"/>
      <c r="J124" s="138"/>
      <c r="K124" s="138"/>
      <c r="L124" s="138"/>
      <c r="M124" s="138"/>
      <c r="N124" s="138"/>
      <c r="O124" s="138"/>
      <c r="P124" s="154"/>
      <c r="Q124" s="141"/>
      <c r="R124" s="137"/>
      <c r="T124" s="120"/>
    </row>
    <row r="125" spans="1:21" x14ac:dyDescent="0.2">
      <c r="A125" s="139"/>
      <c r="B125" s="6"/>
      <c r="C125" s="138"/>
      <c r="D125" s="138"/>
      <c r="E125" s="138"/>
      <c r="F125" s="138"/>
      <c r="G125" s="138"/>
      <c r="H125" s="138"/>
      <c r="I125" s="138"/>
      <c r="J125" s="138"/>
      <c r="K125" s="138"/>
      <c r="L125" s="138"/>
      <c r="M125" s="138"/>
      <c r="N125" s="138"/>
      <c r="O125" s="138"/>
      <c r="P125" s="154"/>
      <c r="Q125" s="141"/>
      <c r="R125" s="137"/>
      <c r="T125" s="120"/>
    </row>
    <row r="126" spans="1:21" x14ac:dyDescent="0.2">
      <c r="A126" s="139"/>
      <c r="B126" s="6"/>
      <c r="C126" s="138">
        <f t="shared" ref="C126:C130" si="84">ROUND((2*$T126+2*$U126)*C$3,0)</f>
        <v>0</v>
      </c>
      <c r="D126" s="138">
        <f t="shared" ref="D126:D130" si="85">C126*$Q126</f>
        <v>0</v>
      </c>
      <c r="E126" s="138">
        <f t="shared" ref="E126:E130" si="86">ROUND((2*$T126+3*$U126)*E$3,0)</f>
        <v>0</v>
      </c>
      <c r="F126" s="138">
        <f t="shared" ref="F126:F130" si="87">E126*$Q126</f>
        <v>0</v>
      </c>
      <c r="G126" s="138">
        <f t="shared" ref="G126:G130" si="88">ROUND((2*$T126+4*$U126)*G$3,0)</f>
        <v>0</v>
      </c>
      <c r="H126" s="138">
        <f t="shared" ref="H126:H130" si="89">G126*$Q126</f>
        <v>0</v>
      </c>
      <c r="I126" s="138">
        <f t="shared" ref="I126:I130" si="90">ROUND((2*$T126+5*$U126)*I$3,0)</f>
        <v>0</v>
      </c>
      <c r="J126" s="138">
        <f t="shared" ref="J126:J130" si="91">I126*$Q126</f>
        <v>0</v>
      </c>
      <c r="K126" s="138">
        <f t="shared" ref="K126:K130" si="92">ROUND((2*$T126+6*$U126)*K$3,0)</f>
        <v>0</v>
      </c>
      <c r="L126" s="138">
        <f t="shared" ref="L126:L130" si="93">K126*$Q126</f>
        <v>0</v>
      </c>
      <c r="M126" s="138">
        <f t="shared" ref="M126:M130" si="94">ROUND((2*$T126+7*$U126)*M$3,0)</f>
        <v>0</v>
      </c>
      <c r="N126" s="138">
        <f t="shared" ref="N126:N130" si="95">M126*$Q126</f>
        <v>0</v>
      </c>
      <c r="O126" s="138">
        <f t="shared" ref="O126:O130" si="96">C126+E126+G126+I126+K126+M126</f>
        <v>0</v>
      </c>
      <c r="P126" s="154"/>
      <c r="Q126" s="141"/>
      <c r="R126" s="137"/>
      <c r="T126" s="120"/>
    </row>
    <row r="127" spans="1:21" x14ac:dyDescent="0.2">
      <c r="A127" s="139"/>
      <c r="B127" s="6"/>
      <c r="C127" s="138">
        <f t="shared" si="84"/>
        <v>0</v>
      </c>
      <c r="D127" s="138">
        <f t="shared" si="85"/>
        <v>0</v>
      </c>
      <c r="E127" s="138">
        <f t="shared" si="86"/>
        <v>0</v>
      </c>
      <c r="F127" s="138">
        <f t="shared" si="87"/>
        <v>0</v>
      </c>
      <c r="G127" s="138">
        <f t="shared" si="88"/>
        <v>0</v>
      </c>
      <c r="H127" s="138">
        <f t="shared" si="89"/>
        <v>0</v>
      </c>
      <c r="I127" s="138">
        <f t="shared" si="90"/>
        <v>0</v>
      </c>
      <c r="J127" s="138">
        <f t="shared" si="91"/>
        <v>0</v>
      </c>
      <c r="K127" s="138">
        <f t="shared" si="92"/>
        <v>0</v>
      </c>
      <c r="L127" s="138">
        <f t="shared" si="93"/>
        <v>0</v>
      </c>
      <c r="M127" s="138">
        <f t="shared" si="94"/>
        <v>0</v>
      </c>
      <c r="N127" s="138">
        <f t="shared" si="95"/>
        <v>0</v>
      </c>
      <c r="O127" s="138">
        <f t="shared" si="96"/>
        <v>0</v>
      </c>
      <c r="P127" s="154"/>
      <c r="Q127" s="141"/>
      <c r="R127" s="137"/>
      <c r="T127" s="120"/>
    </row>
    <row r="128" spans="1:21" x14ac:dyDescent="0.2">
      <c r="A128" s="139"/>
      <c r="B128" s="6"/>
      <c r="C128" s="138">
        <f t="shared" si="84"/>
        <v>0</v>
      </c>
      <c r="D128" s="138">
        <f t="shared" si="85"/>
        <v>0</v>
      </c>
      <c r="E128" s="138">
        <f t="shared" si="86"/>
        <v>0</v>
      </c>
      <c r="F128" s="138">
        <f t="shared" si="87"/>
        <v>0</v>
      </c>
      <c r="G128" s="138">
        <f t="shared" si="88"/>
        <v>0</v>
      </c>
      <c r="H128" s="138">
        <f t="shared" si="89"/>
        <v>0</v>
      </c>
      <c r="I128" s="138">
        <f t="shared" si="90"/>
        <v>0</v>
      </c>
      <c r="J128" s="138">
        <f t="shared" si="91"/>
        <v>0</v>
      </c>
      <c r="K128" s="138">
        <f t="shared" si="92"/>
        <v>0</v>
      </c>
      <c r="L128" s="138">
        <f t="shared" si="93"/>
        <v>0</v>
      </c>
      <c r="M128" s="138">
        <f t="shared" si="94"/>
        <v>0</v>
      </c>
      <c r="N128" s="138">
        <f t="shared" si="95"/>
        <v>0</v>
      </c>
      <c r="O128" s="138">
        <f t="shared" si="96"/>
        <v>0</v>
      </c>
      <c r="P128" s="154"/>
      <c r="Q128" s="141"/>
      <c r="R128" s="137"/>
      <c r="T128" s="120"/>
    </row>
    <row r="129" spans="1:21" x14ac:dyDescent="0.2">
      <c r="A129" s="139"/>
      <c r="B129" s="110"/>
      <c r="C129" s="138">
        <f t="shared" si="84"/>
        <v>0</v>
      </c>
      <c r="D129" s="138">
        <f t="shared" si="85"/>
        <v>0</v>
      </c>
      <c r="E129" s="138">
        <f t="shared" si="86"/>
        <v>0</v>
      </c>
      <c r="F129" s="138">
        <f t="shared" si="87"/>
        <v>0</v>
      </c>
      <c r="G129" s="138">
        <f t="shared" si="88"/>
        <v>0</v>
      </c>
      <c r="H129" s="138">
        <f t="shared" si="89"/>
        <v>0</v>
      </c>
      <c r="I129" s="138">
        <f t="shared" si="90"/>
        <v>0</v>
      </c>
      <c r="J129" s="138">
        <f t="shared" si="91"/>
        <v>0</v>
      </c>
      <c r="K129" s="138">
        <f t="shared" si="92"/>
        <v>0</v>
      </c>
      <c r="L129" s="138">
        <f t="shared" si="93"/>
        <v>0</v>
      </c>
      <c r="M129" s="138">
        <f t="shared" si="94"/>
        <v>0</v>
      </c>
      <c r="N129" s="138">
        <f t="shared" si="95"/>
        <v>0</v>
      </c>
      <c r="O129" s="138">
        <f t="shared" si="96"/>
        <v>0</v>
      </c>
      <c r="P129" s="154"/>
      <c r="Q129" s="141"/>
      <c r="R129" s="137"/>
      <c r="T129" s="120"/>
    </row>
    <row r="130" spans="1:21" x14ac:dyDescent="0.2">
      <c r="A130" s="139"/>
      <c r="B130" s="111"/>
      <c r="C130" s="138">
        <f t="shared" si="84"/>
        <v>0</v>
      </c>
      <c r="D130" s="138">
        <f t="shared" si="85"/>
        <v>0</v>
      </c>
      <c r="E130" s="138">
        <f t="shared" si="86"/>
        <v>0</v>
      </c>
      <c r="F130" s="138">
        <f t="shared" si="87"/>
        <v>0</v>
      </c>
      <c r="G130" s="138">
        <f t="shared" si="88"/>
        <v>0</v>
      </c>
      <c r="H130" s="138">
        <f t="shared" si="89"/>
        <v>0</v>
      </c>
      <c r="I130" s="138">
        <f t="shared" si="90"/>
        <v>0</v>
      </c>
      <c r="J130" s="138">
        <f t="shared" si="91"/>
        <v>0</v>
      </c>
      <c r="K130" s="138">
        <f t="shared" si="92"/>
        <v>0</v>
      </c>
      <c r="L130" s="138">
        <f t="shared" si="93"/>
        <v>0</v>
      </c>
      <c r="M130" s="138">
        <f t="shared" si="94"/>
        <v>0</v>
      </c>
      <c r="N130" s="138">
        <f t="shared" si="95"/>
        <v>0</v>
      </c>
      <c r="O130" s="138">
        <f t="shared" si="96"/>
        <v>0</v>
      </c>
      <c r="P130" s="154"/>
      <c r="Q130" s="141"/>
      <c r="R130" s="137"/>
      <c r="T130" s="120"/>
    </row>
    <row r="131" spans="1:21" x14ac:dyDescent="0.2">
      <c r="A131" s="127"/>
      <c r="B131" s="136"/>
      <c r="C131" s="128"/>
      <c r="D131" s="120"/>
      <c r="E131" s="120"/>
      <c r="F131" s="120"/>
      <c r="G131" s="120"/>
      <c r="H131" s="120"/>
      <c r="I131" s="120"/>
      <c r="J131" s="120"/>
      <c r="K131" s="120"/>
      <c r="L131" s="120"/>
      <c r="M131" s="120"/>
      <c r="N131" s="120"/>
      <c r="O131" s="120"/>
      <c r="P131" s="154"/>
      <c r="Q131" s="141"/>
      <c r="R131" s="137"/>
      <c r="T131" s="51"/>
      <c r="U131" s="40"/>
    </row>
    <row r="132" spans="1:21" x14ac:dyDescent="0.2">
      <c r="A132" s="129"/>
      <c r="B132" s="130"/>
      <c r="C132" s="131"/>
      <c r="D132" s="131"/>
      <c r="E132" s="131"/>
      <c r="F132" s="131"/>
      <c r="G132" s="131"/>
      <c r="H132" s="131"/>
      <c r="I132" s="131"/>
      <c r="J132" s="131"/>
      <c r="K132" s="131"/>
      <c r="L132" s="131"/>
      <c r="M132" s="131"/>
      <c r="N132" s="131"/>
      <c r="O132" s="131"/>
      <c r="P132" s="131"/>
      <c r="Q132" s="132"/>
      <c r="R132" s="126"/>
      <c r="T132" s="131"/>
      <c r="U132" s="39"/>
    </row>
    <row r="133" spans="1:21" x14ac:dyDescent="0.2">
      <c r="C133" s="122"/>
      <c r="D133" s="122"/>
      <c r="E133" s="122"/>
      <c r="F133" s="122"/>
      <c r="G133" s="122"/>
      <c r="H133" s="122"/>
      <c r="I133" s="122"/>
      <c r="J133" s="122"/>
      <c r="K133" s="122"/>
      <c r="L133" s="122"/>
      <c r="M133" s="122"/>
      <c r="N133" s="122"/>
      <c r="O133" s="122"/>
      <c r="P133" s="171" t="s">
        <v>1</v>
      </c>
      <c r="Q133" s="133" t="s">
        <v>0</v>
      </c>
      <c r="R133" s="137">
        <f>SUM(R92:R131)</f>
        <v>0</v>
      </c>
      <c r="T133" s="140"/>
      <c r="U133" s="70"/>
    </row>
    <row r="134" spans="1:21" x14ac:dyDescent="0.2">
      <c r="P134" s="188"/>
      <c r="Q134" s="124"/>
      <c r="R134" s="125"/>
    </row>
    <row r="135" spans="1:21" x14ac:dyDescent="0.2">
      <c r="A135" s="139"/>
      <c r="B135" s="6"/>
      <c r="C135" s="138">
        <f t="shared" ref="C135:C178" si="97">ROUND((2*$T135+2*$U135)*C$3,0)</f>
        <v>0</v>
      </c>
      <c r="D135" s="138">
        <f t="shared" ref="D135:D178" si="98">C135*$Q135</f>
        <v>0</v>
      </c>
      <c r="E135" s="138">
        <f t="shared" ref="E135:E178" si="99">ROUND((2*$T135+3*$U135)*E$3,0)</f>
        <v>0</v>
      </c>
      <c r="F135" s="138">
        <f t="shared" ref="F135:F178" si="100">E135*$Q135</f>
        <v>0</v>
      </c>
      <c r="G135" s="138">
        <f t="shared" ref="G135:G178" si="101">ROUND((2*$T135+4*$U135)*G$3,0)</f>
        <v>0</v>
      </c>
      <c r="H135" s="138">
        <f t="shared" ref="H135:H178" si="102">G135*$Q135</f>
        <v>0</v>
      </c>
      <c r="I135" s="138">
        <f t="shared" ref="I135:I178" si="103">ROUND((2*$T135+5*$U135)*I$3,0)</f>
        <v>0</v>
      </c>
      <c r="J135" s="138">
        <f t="shared" ref="J135:J178" si="104">I135*$Q135</f>
        <v>0</v>
      </c>
      <c r="K135" s="138">
        <f t="shared" ref="K135:K178" si="105">ROUND((2*$T135+6*$U135)*K$3,0)</f>
        <v>0</v>
      </c>
      <c r="L135" s="138">
        <f t="shared" ref="L135:L178" si="106">K135*$Q135</f>
        <v>0</v>
      </c>
      <c r="M135" s="138">
        <f t="shared" ref="M135:M178" si="107">ROUND((2*$T135+7*$U135)*M$3,0)</f>
        <v>0</v>
      </c>
      <c r="N135" s="138">
        <f t="shared" ref="N135:N178" si="108">M135*$Q135</f>
        <v>0</v>
      </c>
      <c r="O135" s="138">
        <f t="shared" ref="O135:O178" si="109">C135+E135+G135+I135+K135+M135</f>
        <v>0</v>
      </c>
      <c r="P135" s="154"/>
      <c r="Q135" s="141"/>
      <c r="R135" s="137"/>
      <c r="T135" s="120"/>
    </row>
    <row r="136" spans="1:21" x14ac:dyDescent="0.2">
      <c r="A136" s="139"/>
      <c r="B136" s="7" t="s">
        <v>33</v>
      </c>
      <c r="C136" s="138">
        <f t="shared" si="97"/>
        <v>0</v>
      </c>
      <c r="D136" s="138">
        <f t="shared" si="98"/>
        <v>0</v>
      </c>
      <c r="E136" s="138">
        <f t="shared" si="99"/>
        <v>0</v>
      </c>
      <c r="F136" s="138">
        <f t="shared" si="100"/>
        <v>0</v>
      </c>
      <c r="G136" s="138">
        <f t="shared" si="101"/>
        <v>0</v>
      </c>
      <c r="H136" s="138">
        <f t="shared" si="102"/>
        <v>0</v>
      </c>
      <c r="I136" s="138">
        <f t="shared" si="103"/>
        <v>0</v>
      </c>
      <c r="J136" s="138">
        <f t="shared" si="104"/>
        <v>0</v>
      </c>
      <c r="K136" s="138">
        <f t="shared" si="105"/>
        <v>0</v>
      </c>
      <c r="L136" s="138">
        <f t="shared" si="106"/>
        <v>0</v>
      </c>
      <c r="M136" s="138">
        <f t="shared" si="107"/>
        <v>0</v>
      </c>
      <c r="N136" s="138">
        <f t="shared" si="108"/>
        <v>0</v>
      </c>
      <c r="O136" s="138">
        <f t="shared" si="109"/>
        <v>0</v>
      </c>
      <c r="P136" s="154"/>
      <c r="Q136" s="124"/>
      <c r="R136" s="137"/>
      <c r="T136" s="120"/>
    </row>
    <row r="137" spans="1:21" s="91" customFormat="1" x14ac:dyDescent="0.2">
      <c r="A137" s="8"/>
      <c r="B137" s="110"/>
      <c r="C137" s="138">
        <f t="shared" si="97"/>
        <v>0</v>
      </c>
      <c r="D137" s="138">
        <f t="shared" si="98"/>
        <v>0</v>
      </c>
      <c r="E137" s="138">
        <f t="shared" si="99"/>
        <v>0</v>
      </c>
      <c r="F137" s="138">
        <f t="shared" si="100"/>
        <v>0</v>
      </c>
      <c r="G137" s="138">
        <f t="shared" si="101"/>
        <v>0</v>
      </c>
      <c r="H137" s="138">
        <f t="shared" si="102"/>
        <v>0</v>
      </c>
      <c r="I137" s="138">
        <f t="shared" si="103"/>
        <v>0</v>
      </c>
      <c r="J137" s="138">
        <f t="shared" si="104"/>
        <v>0</v>
      </c>
      <c r="K137" s="138">
        <f t="shared" si="105"/>
        <v>0</v>
      </c>
      <c r="L137" s="138">
        <f t="shared" si="106"/>
        <v>0</v>
      </c>
      <c r="M137" s="138">
        <f t="shared" si="107"/>
        <v>0</v>
      </c>
      <c r="N137" s="138">
        <f t="shared" si="108"/>
        <v>0</v>
      </c>
      <c r="O137" s="138">
        <f t="shared" si="109"/>
        <v>0</v>
      </c>
      <c r="P137" s="9"/>
      <c r="Q137" s="10"/>
      <c r="R137" s="137"/>
      <c r="T137" s="120"/>
      <c r="U137" s="128"/>
    </row>
    <row r="138" spans="1:21" s="91" customFormat="1" ht="28.5" x14ac:dyDescent="0.2">
      <c r="A138" s="8"/>
      <c r="B138" s="7" t="s">
        <v>409</v>
      </c>
      <c r="C138" s="138">
        <f t="shared" si="97"/>
        <v>0</v>
      </c>
      <c r="D138" s="138">
        <f t="shared" si="98"/>
        <v>0</v>
      </c>
      <c r="E138" s="138">
        <f t="shared" si="99"/>
        <v>0</v>
      </c>
      <c r="F138" s="138">
        <f t="shared" si="100"/>
        <v>0</v>
      </c>
      <c r="G138" s="138">
        <f t="shared" si="101"/>
        <v>0</v>
      </c>
      <c r="H138" s="138">
        <f t="shared" si="102"/>
        <v>0</v>
      </c>
      <c r="I138" s="138">
        <f t="shared" si="103"/>
        <v>0</v>
      </c>
      <c r="J138" s="138">
        <f t="shared" si="104"/>
        <v>0</v>
      </c>
      <c r="K138" s="138">
        <f t="shared" si="105"/>
        <v>0</v>
      </c>
      <c r="L138" s="138">
        <f t="shared" si="106"/>
        <v>0</v>
      </c>
      <c r="M138" s="138">
        <f t="shared" si="107"/>
        <v>0</v>
      </c>
      <c r="N138" s="138">
        <f t="shared" si="108"/>
        <v>0</v>
      </c>
      <c r="O138" s="138">
        <f t="shared" si="109"/>
        <v>0</v>
      </c>
      <c r="P138" s="9"/>
      <c r="Q138" s="10"/>
      <c r="R138" s="137"/>
      <c r="T138" s="120"/>
      <c r="U138" s="128"/>
    </row>
    <row r="139" spans="1:21" s="91" customFormat="1" x14ac:dyDescent="0.2">
      <c r="A139" s="8"/>
      <c r="B139" s="110"/>
      <c r="C139" s="138">
        <f t="shared" si="97"/>
        <v>0</v>
      </c>
      <c r="D139" s="138">
        <f t="shared" si="98"/>
        <v>0</v>
      </c>
      <c r="E139" s="138">
        <f t="shared" si="99"/>
        <v>0</v>
      </c>
      <c r="F139" s="138">
        <f t="shared" si="100"/>
        <v>0</v>
      </c>
      <c r="G139" s="138">
        <f t="shared" si="101"/>
        <v>0</v>
      </c>
      <c r="H139" s="138">
        <f t="shared" si="102"/>
        <v>0</v>
      </c>
      <c r="I139" s="138">
        <f t="shared" si="103"/>
        <v>0</v>
      </c>
      <c r="J139" s="138">
        <f t="shared" si="104"/>
        <v>0</v>
      </c>
      <c r="K139" s="138">
        <f t="shared" si="105"/>
        <v>0</v>
      </c>
      <c r="L139" s="138">
        <f t="shared" si="106"/>
        <v>0</v>
      </c>
      <c r="M139" s="138">
        <f t="shared" si="107"/>
        <v>0</v>
      </c>
      <c r="N139" s="138">
        <f t="shared" si="108"/>
        <v>0</v>
      </c>
      <c r="O139" s="138">
        <f t="shared" si="109"/>
        <v>0</v>
      </c>
      <c r="P139" s="9"/>
      <c r="Q139" s="10"/>
      <c r="R139" s="137"/>
      <c r="T139" s="120"/>
      <c r="U139" s="128"/>
    </row>
    <row r="140" spans="1:21" s="91" customFormat="1" x14ac:dyDescent="0.2">
      <c r="A140" s="139" t="s">
        <v>66</v>
      </c>
      <c r="B140" s="110" t="s">
        <v>543</v>
      </c>
      <c r="C140" s="138">
        <f t="shared" si="97"/>
        <v>20</v>
      </c>
      <c r="D140" s="138">
        <f t="shared" si="98"/>
        <v>0</v>
      </c>
      <c r="E140" s="138">
        <f t="shared" si="99"/>
        <v>25</v>
      </c>
      <c r="F140" s="138">
        <f t="shared" si="100"/>
        <v>0</v>
      </c>
      <c r="G140" s="138">
        <f t="shared" si="101"/>
        <v>150</v>
      </c>
      <c r="H140" s="138">
        <f t="shared" si="102"/>
        <v>0</v>
      </c>
      <c r="I140" s="138">
        <f t="shared" si="103"/>
        <v>35</v>
      </c>
      <c r="J140" s="138">
        <f t="shared" si="104"/>
        <v>0</v>
      </c>
      <c r="K140" s="138">
        <f t="shared" si="105"/>
        <v>120</v>
      </c>
      <c r="L140" s="138">
        <f t="shared" si="106"/>
        <v>0</v>
      </c>
      <c r="M140" s="138">
        <f t="shared" si="107"/>
        <v>45</v>
      </c>
      <c r="N140" s="138">
        <f t="shared" si="108"/>
        <v>0</v>
      </c>
      <c r="O140" s="138">
        <f>C140+E140+G140+I140+K140+M140</f>
        <v>395</v>
      </c>
      <c r="P140" s="9" t="s">
        <v>269</v>
      </c>
      <c r="Q140" s="10"/>
      <c r="R140" s="137">
        <f>O140*Q140</f>
        <v>0</v>
      </c>
      <c r="T140" s="120">
        <v>5</v>
      </c>
      <c r="U140" s="128">
        <v>5</v>
      </c>
    </row>
    <row r="141" spans="1:21" s="91" customFormat="1" x14ac:dyDescent="0.2">
      <c r="A141" s="139"/>
      <c r="B141" s="110"/>
      <c r="C141" s="138">
        <f t="shared" si="97"/>
        <v>0</v>
      </c>
      <c r="D141" s="138">
        <f t="shared" si="98"/>
        <v>0</v>
      </c>
      <c r="E141" s="138">
        <f t="shared" si="99"/>
        <v>0</v>
      </c>
      <c r="F141" s="138">
        <f t="shared" si="100"/>
        <v>0</v>
      </c>
      <c r="G141" s="138">
        <f t="shared" si="101"/>
        <v>0</v>
      </c>
      <c r="H141" s="138">
        <f t="shared" si="102"/>
        <v>0</v>
      </c>
      <c r="I141" s="138">
        <f t="shared" si="103"/>
        <v>0</v>
      </c>
      <c r="J141" s="138">
        <f t="shared" si="104"/>
        <v>0</v>
      </c>
      <c r="K141" s="138">
        <f t="shared" si="105"/>
        <v>0</v>
      </c>
      <c r="L141" s="138">
        <f t="shared" si="106"/>
        <v>0</v>
      </c>
      <c r="M141" s="138">
        <f t="shared" si="107"/>
        <v>0</v>
      </c>
      <c r="N141" s="138">
        <f t="shared" si="108"/>
        <v>0</v>
      </c>
      <c r="O141" s="138">
        <f t="shared" si="109"/>
        <v>0</v>
      </c>
      <c r="P141" s="9"/>
      <c r="Q141" s="10"/>
      <c r="R141" s="137"/>
      <c r="T141" s="120"/>
      <c r="U141" s="128"/>
    </row>
    <row r="142" spans="1:21" s="91" customFormat="1" x14ac:dyDescent="0.2">
      <c r="A142" s="139" t="s">
        <v>67</v>
      </c>
      <c r="B142" s="110" t="s">
        <v>544</v>
      </c>
      <c r="C142" s="217">
        <f t="shared" si="97"/>
        <v>20</v>
      </c>
      <c r="D142" s="217">
        <f t="shared" si="98"/>
        <v>0</v>
      </c>
      <c r="E142" s="217">
        <f t="shared" si="99"/>
        <v>25</v>
      </c>
      <c r="F142" s="217">
        <f t="shared" si="100"/>
        <v>0</v>
      </c>
      <c r="G142" s="217">
        <f t="shared" si="101"/>
        <v>150</v>
      </c>
      <c r="H142" s="217">
        <f t="shared" si="102"/>
        <v>0</v>
      </c>
      <c r="I142" s="217">
        <f t="shared" si="103"/>
        <v>35</v>
      </c>
      <c r="J142" s="217">
        <f t="shared" si="104"/>
        <v>0</v>
      </c>
      <c r="K142" s="217">
        <f t="shared" si="105"/>
        <v>120</v>
      </c>
      <c r="L142" s="217">
        <f t="shared" si="106"/>
        <v>0</v>
      </c>
      <c r="M142" s="217">
        <f t="shared" si="107"/>
        <v>45</v>
      </c>
      <c r="N142" s="217">
        <f t="shared" si="108"/>
        <v>0</v>
      </c>
      <c r="O142" s="217">
        <f>C142+E142+G142+I142+K142+M142</f>
        <v>395</v>
      </c>
      <c r="P142" s="9" t="s">
        <v>269</v>
      </c>
      <c r="Q142" s="10"/>
      <c r="R142" s="137">
        <f t="shared" ref="R142:R148" si="110">O142*Q142</f>
        <v>0</v>
      </c>
      <c r="T142" s="236">
        <v>5</v>
      </c>
      <c r="U142" s="147">
        <v>5</v>
      </c>
    </row>
    <row r="143" spans="1:21" s="91" customFormat="1" x14ac:dyDescent="0.2">
      <c r="A143" s="139"/>
      <c r="B143" s="6"/>
      <c r="C143" s="138">
        <f t="shared" si="97"/>
        <v>0</v>
      </c>
      <c r="D143" s="138">
        <f t="shared" si="98"/>
        <v>0</v>
      </c>
      <c r="E143" s="138">
        <f t="shared" si="99"/>
        <v>0</v>
      </c>
      <c r="F143" s="138">
        <f t="shared" si="100"/>
        <v>0</v>
      </c>
      <c r="G143" s="138">
        <f t="shared" si="101"/>
        <v>0</v>
      </c>
      <c r="H143" s="138">
        <f t="shared" si="102"/>
        <v>0</v>
      </c>
      <c r="I143" s="138">
        <f t="shared" si="103"/>
        <v>0</v>
      </c>
      <c r="J143" s="138">
        <f t="shared" si="104"/>
        <v>0</v>
      </c>
      <c r="K143" s="138">
        <f t="shared" si="105"/>
        <v>0</v>
      </c>
      <c r="L143" s="138">
        <f t="shared" si="106"/>
        <v>0</v>
      </c>
      <c r="M143" s="138">
        <f t="shared" si="107"/>
        <v>0</v>
      </c>
      <c r="N143" s="138">
        <f t="shared" si="108"/>
        <v>0</v>
      </c>
      <c r="O143" s="138">
        <f t="shared" si="109"/>
        <v>0</v>
      </c>
      <c r="P143" s="9"/>
      <c r="Q143" s="10"/>
      <c r="R143" s="137">
        <f t="shared" si="110"/>
        <v>0</v>
      </c>
      <c r="T143" s="120"/>
      <c r="U143" s="128"/>
    </row>
    <row r="144" spans="1:21" s="91" customFormat="1" x14ac:dyDescent="0.2">
      <c r="A144" s="139" t="s">
        <v>68</v>
      </c>
      <c r="B144" s="6" t="s">
        <v>545</v>
      </c>
      <c r="C144" s="217">
        <f t="shared" si="97"/>
        <v>16</v>
      </c>
      <c r="D144" s="217">
        <f t="shared" si="98"/>
        <v>0</v>
      </c>
      <c r="E144" s="217">
        <f t="shared" si="99"/>
        <v>20</v>
      </c>
      <c r="F144" s="217">
        <f t="shared" si="100"/>
        <v>0</v>
      </c>
      <c r="G144" s="217">
        <f t="shared" si="101"/>
        <v>120</v>
      </c>
      <c r="H144" s="217">
        <f t="shared" si="102"/>
        <v>0</v>
      </c>
      <c r="I144" s="217">
        <f t="shared" si="103"/>
        <v>28</v>
      </c>
      <c r="J144" s="217">
        <f t="shared" si="104"/>
        <v>0</v>
      </c>
      <c r="K144" s="217">
        <f t="shared" si="105"/>
        <v>96</v>
      </c>
      <c r="L144" s="217">
        <f t="shared" si="106"/>
        <v>0</v>
      </c>
      <c r="M144" s="217">
        <f t="shared" si="107"/>
        <v>36</v>
      </c>
      <c r="N144" s="217">
        <f t="shared" si="108"/>
        <v>0</v>
      </c>
      <c r="O144" s="217">
        <f>C144+E144+G144+I144+K144+M144</f>
        <v>316</v>
      </c>
      <c r="P144" s="9" t="s">
        <v>269</v>
      </c>
      <c r="Q144" s="10"/>
      <c r="R144" s="137">
        <f t="shared" si="110"/>
        <v>0</v>
      </c>
      <c r="T144" s="236">
        <v>4</v>
      </c>
      <c r="U144" s="147">
        <v>4</v>
      </c>
    </row>
    <row r="145" spans="1:21" s="91" customFormat="1" x14ac:dyDescent="0.2">
      <c r="A145" s="139"/>
      <c r="B145" s="6"/>
      <c r="C145" s="138">
        <f t="shared" si="97"/>
        <v>0</v>
      </c>
      <c r="D145" s="138">
        <f t="shared" si="98"/>
        <v>0</v>
      </c>
      <c r="E145" s="138">
        <f t="shared" si="99"/>
        <v>0</v>
      </c>
      <c r="F145" s="138">
        <f t="shared" si="100"/>
        <v>0</v>
      </c>
      <c r="G145" s="138">
        <f t="shared" si="101"/>
        <v>0</v>
      </c>
      <c r="H145" s="138">
        <f t="shared" si="102"/>
        <v>0</v>
      </c>
      <c r="I145" s="138">
        <f t="shared" si="103"/>
        <v>0</v>
      </c>
      <c r="J145" s="138">
        <f t="shared" si="104"/>
        <v>0</v>
      </c>
      <c r="K145" s="138">
        <f t="shared" si="105"/>
        <v>0</v>
      </c>
      <c r="L145" s="138">
        <f t="shared" si="106"/>
        <v>0</v>
      </c>
      <c r="M145" s="138">
        <f t="shared" si="107"/>
        <v>0</v>
      </c>
      <c r="N145" s="138">
        <f t="shared" si="108"/>
        <v>0</v>
      </c>
      <c r="O145" s="138">
        <f t="shared" si="109"/>
        <v>0</v>
      </c>
      <c r="P145" s="9"/>
      <c r="Q145" s="10"/>
      <c r="R145" s="137">
        <f t="shared" si="110"/>
        <v>0</v>
      </c>
      <c r="T145" s="120"/>
      <c r="U145" s="128"/>
    </row>
    <row r="146" spans="1:21" s="91" customFormat="1" x14ac:dyDescent="0.2">
      <c r="A146" s="139" t="s">
        <v>69</v>
      </c>
      <c r="B146" s="6" t="s">
        <v>546</v>
      </c>
      <c r="C146" s="217">
        <f t="shared" si="97"/>
        <v>16</v>
      </c>
      <c r="D146" s="217">
        <f t="shared" si="98"/>
        <v>0</v>
      </c>
      <c r="E146" s="217">
        <f t="shared" si="99"/>
        <v>20</v>
      </c>
      <c r="F146" s="217">
        <f t="shared" si="100"/>
        <v>0</v>
      </c>
      <c r="G146" s="217">
        <f t="shared" si="101"/>
        <v>120</v>
      </c>
      <c r="H146" s="217">
        <f t="shared" si="102"/>
        <v>0</v>
      </c>
      <c r="I146" s="217">
        <f t="shared" si="103"/>
        <v>28</v>
      </c>
      <c r="J146" s="217">
        <f t="shared" si="104"/>
        <v>0</v>
      </c>
      <c r="K146" s="217">
        <f t="shared" si="105"/>
        <v>96</v>
      </c>
      <c r="L146" s="217">
        <f t="shared" si="106"/>
        <v>0</v>
      </c>
      <c r="M146" s="217">
        <f t="shared" si="107"/>
        <v>36</v>
      </c>
      <c r="N146" s="217">
        <f t="shared" si="108"/>
        <v>0</v>
      </c>
      <c r="O146" s="217">
        <f>C146+E146+G146+I146+K146+M146</f>
        <v>316</v>
      </c>
      <c r="P146" s="9" t="s">
        <v>269</v>
      </c>
      <c r="Q146" s="10"/>
      <c r="R146" s="137">
        <f t="shared" si="110"/>
        <v>0</v>
      </c>
      <c r="T146" s="236">
        <v>4</v>
      </c>
      <c r="U146" s="147">
        <v>4</v>
      </c>
    </row>
    <row r="147" spans="1:21" s="91" customFormat="1" x14ac:dyDescent="0.2">
      <c r="A147" s="139"/>
      <c r="B147" s="6"/>
      <c r="C147" s="138">
        <f t="shared" si="97"/>
        <v>0</v>
      </c>
      <c r="D147" s="138">
        <f t="shared" si="98"/>
        <v>0</v>
      </c>
      <c r="E147" s="138">
        <f t="shared" si="99"/>
        <v>0</v>
      </c>
      <c r="F147" s="138">
        <f t="shared" si="100"/>
        <v>0</v>
      </c>
      <c r="G147" s="138">
        <f t="shared" si="101"/>
        <v>0</v>
      </c>
      <c r="H147" s="138">
        <f t="shared" si="102"/>
        <v>0</v>
      </c>
      <c r="I147" s="138">
        <f t="shared" si="103"/>
        <v>0</v>
      </c>
      <c r="J147" s="138">
        <f t="shared" si="104"/>
        <v>0</v>
      </c>
      <c r="K147" s="138">
        <f t="shared" si="105"/>
        <v>0</v>
      </c>
      <c r="L147" s="138">
        <f t="shared" si="106"/>
        <v>0</v>
      </c>
      <c r="M147" s="138">
        <f t="shared" si="107"/>
        <v>0</v>
      </c>
      <c r="N147" s="138">
        <f t="shared" si="108"/>
        <v>0</v>
      </c>
      <c r="O147" s="138">
        <f t="shared" si="109"/>
        <v>0</v>
      </c>
      <c r="P147" s="9"/>
      <c r="Q147" s="10"/>
      <c r="R147" s="137">
        <f t="shared" si="110"/>
        <v>0</v>
      </c>
      <c r="T147" s="120"/>
      <c r="U147" s="128"/>
    </row>
    <row r="148" spans="1:21" s="91" customFormat="1" x14ac:dyDescent="0.2">
      <c r="A148" s="139" t="s">
        <v>70</v>
      </c>
      <c r="B148" s="110" t="s">
        <v>547</v>
      </c>
      <c r="C148" s="138">
        <f t="shared" si="97"/>
        <v>16</v>
      </c>
      <c r="D148" s="138">
        <f t="shared" si="98"/>
        <v>0</v>
      </c>
      <c r="E148" s="138">
        <f t="shared" si="99"/>
        <v>20</v>
      </c>
      <c r="F148" s="138">
        <f t="shared" si="100"/>
        <v>0</v>
      </c>
      <c r="G148" s="138">
        <f t="shared" si="101"/>
        <v>120</v>
      </c>
      <c r="H148" s="138">
        <f t="shared" si="102"/>
        <v>0</v>
      </c>
      <c r="I148" s="138">
        <f t="shared" si="103"/>
        <v>28</v>
      </c>
      <c r="J148" s="138">
        <f t="shared" si="104"/>
        <v>0</v>
      </c>
      <c r="K148" s="138">
        <f t="shared" si="105"/>
        <v>96</v>
      </c>
      <c r="L148" s="138">
        <f t="shared" si="106"/>
        <v>0</v>
      </c>
      <c r="M148" s="138">
        <f t="shared" si="107"/>
        <v>36</v>
      </c>
      <c r="N148" s="138">
        <f t="shared" si="108"/>
        <v>0</v>
      </c>
      <c r="O148" s="138">
        <f t="shared" ref="O148:O154" si="111">C148+E148+G148+I148+K148+M148</f>
        <v>316</v>
      </c>
      <c r="P148" s="9" t="s">
        <v>269</v>
      </c>
      <c r="Q148" s="10"/>
      <c r="R148" s="137">
        <f t="shared" si="110"/>
        <v>0</v>
      </c>
      <c r="T148" s="120">
        <v>4</v>
      </c>
      <c r="U148" s="128">
        <v>4</v>
      </c>
    </row>
    <row r="149" spans="1:21" s="91" customFormat="1" x14ac:dyDescent="0.2">
      <c r="A149" s="92"/>
      <c r="B149" s="6"/>
      <c r="C149" s="138">
        <f t="shared" ref="C149:C154" si="112">ROUND((2*$T149+2*$U149)*C$3,0)</f>
        <v>0</v>
      </c>
      <c r="D149" s="138">
        <f t="shared" ref="D149:D154" si="113">C149*$Q149</f>
        <v>0</v>
      </c>
      <c r="E149" s="138">
        <f t="shared" ref="E149:E154" si="114">ROUND((2*$T149+3*$U149)*E$3,0)</f>
        <v>0</v>
      </c>
      <c r="F149" s="138">
        <f t="shared" ref="F149:F154" si="115">E149*$Q149</f>
        <v>0</v>
      </c>
      <c r="G149" s="138">
        <f t="shared" ref="G149:G154" si="116">ROUND((2*$T149+4*$U149)*G$3,0)</f>
        <v>0</v>
      </c>
      <c r="H149" s="138">
        <f t="shared" ref="H149:H154" si="117">G149*$Q149</f>
        <v>0</v>
      </c>
      <c r="I149" s="138">
        <f t="shared" ref="I149:I154" si="118">ROUND((2*$T149+5*$U149)*I$3,0)</f>
        <v>0</v>
      </c>
      <c r="J149" s="138">
        <f t="shared" ref="J149:J154" si="119">I149*$Q149</f>
        <v>0</v>
      </c>
      <c r="K149" s="138">
        <f t="shared" ref="K149:K154" si="120">ROUND((2*$T149+6*$U149)*K$3,0)</f>
        <v>0</v>
      </c>
      <c r="L149" s="138">
        <f t="shared" ref="L149:L154" si="121">K149*$Q149</f>
        <v>0</v>
      </c>
      <c r="M149" s="138">
        <f t="shared" ref="M149:M154" si="122">ROUND((2*$T149+7*$U149)*M$3,0)</f>
        <v>0</v>
      </c>
      <c r="N149" s="138">
        <f t="shared" ref="N149:N154" si="123">M149*$Q149</f>
        <v>0</v>
      </c>
      <c r="O149" s="138">
        <f t="shared" si="111"/>
        <v>0</v>
      </c>
      <c r="P149" s="9"/>
      <c r="Q149" s="10"/>
      <c r="R149" s="137"/>
      <c r="T149" s="120"/>
      <c r="U149" s="128"/>
    </row>
    <row r="150" spans="1:21" s="91" customFormat="1" x14ac:dyDescent="0.2">
      <c r="A150" s="139" t="s">
        <v>71</v>
      </c>
      <c r="B150" s="6" t="s">
        <v>548</v>
      </c>
      <c r="C150" s="217">
        <f t="shared" si="112"/>
        <v>16</v>
      </c>
      <c r="D150" s="217">
        <f t="shared" si="113"/>
        <v>0</v>
      </c>
      <c r="E150" s="217">
        <f t="shared" si="114"/>
        <v>20</v>
      </c>
      <c r="F150" s="217">
        <f t="shared" si="115"/>
        <v>0</v>
      </c>
      <c r="G150" s="217">
        <f t="shared" si="116"/>
        <v>120</v>
      </c>
      <c r="H150" s="217">
        <f t="shared" si="117"/>
        <v>0</v>
      </c>
      <c r="I150" s="217">
        <f t="shared" si="118"/>
        <v>28</v>
      </c>
      <c r="J150" s="217">
        <f t="shared" si="119"/>
        <v>0</v>
      </c>
      <c r="K150" s="217">
        <f t="shared" si="120"/>
        <v>96</v>
      </c>
      <c r="L150" s="217">
        <f t="shared" si="121"/>
        <v>0</v>
      </c>
      <c r="M150" s="217">
        <f t="shared" si="122"/>
        <v>36</v>
      </c>
      <c r="N150" s="217">
        <f t="shared" si="123"/>
        <v>0</v>
      </c>
      <c r="O150" s="217">
        <f t="shared" si="111"/>
        <v>316</v>
      </c>
      <c r="P150" s="9" t="s">
        <v>269</v>
      </c>
      <c r="Q150" s="10"/>
      <c r="R150" s="137">
        <f>O150*Q150</f>
        <v>0</v>
      </c>
      <c r="T150" s="236">
        <v>4</v>
      </c>
      <c r="U150" s="147">
        <v>4</v>
      </c>
    </row>
    <row r="151" spans="1:21" s="91" customFormat="1" x14ac:dyDescent="0.2">
      <c r="A151" s="139"/>
      <c r="B151" s="6"/>
      <c r="C151" s="138">
        <f t="shared" si="112"/>
        <v>0</v>
      </c>
      <c r="D151" s="138">
        <f t="shared" si="113"/>
        <v>0</v>
      </c>
      <c r="E151" s="138">
        <f t="shared" si="114"/>
        <v>0</v>
      </c>
      <c r="F151" s="138">
        <f t="shared" si="115"/>
        <v>0</v>
      </c>
      <c r="G151" s="138">
        <f t="shared" si="116"/>
        <v>0</v>
      </c>
      <c r="H151" s="138">
        <f t="shared" si="117"/>
        <v>0</v>
      </c>
      <c r="I151" s="138">
        <f t="shared" si="118"/>
        <v>0</v>
      </c>
      <c r="J151" s="138">
        <f t="shared" si="119"/>
        <v>0</v>
      </c>
      <c r="K151" s="138">
        <f t="shared" si="120"/>
        <v>0</v>
      </c>
      <c r="L151" s="138">
        <f t="shared" si="121"/>
        <v>0</v>
      </c>
      <c r="M151" s="138">
        <f t="shared" si="122"/>
        <v>0</v>
      </c>
      <c r="N151" s="138">
        <f t="shared" si="123"/>
        <v>0</v>
      </c>
      <c r="O151" s="138">
        <f t="shared" si="111"/>
        <v>0</v>
      </c>
      <c r="P151" s="9"/>
      <c r="Q151" s="10"/>
      <c r="R151" s="137">
        <f>O151*Q151</f>
        <v>0</v>
      </c>
      <c r="T151" s="120"/>
      <c r="U151" s="128"/>
    </row>
    <row r="152" spans="1:21" x14ac:dyDescent="0.2">
      <c r="A152" s="139" t="s">
        <v>72</v>
      </c>
      <c r="B152" s="6" t="s">
        <v>549</v>
      </c>
      <c r="C152" s="217">
        <f t="shared" si="112"/>
        <v>16</v>
      </c>
      <c r="D152" s="217">
        <f t="shared" si="113"/>
        <v>0</v>
      </c>
      <c r="E152" s="217">
        <f t="shared" si="114"/>
        <v>20</v>
      </c>
      <c r="F152" s="217">
        <f t="shared" si="115"/>
        <v>0</v>
      </c>
      <c r="G152" s="217">
        <f t="shared" si="116"/>
        <v>120</v>
      </c>
      <c r="H152" s="217">
        <f t="shared" si="117"/>
        <v>0</v>
      </c>
      <c r="I152" s="217">
        <f t="shared" si="118"/>
        <v>28</v>
      </c>
      <c r="J152" s="217">
        <f t="shared" si="119"/>
        <v>0</v>
      </c>
      <c r="K152" s="217">
        <f t="shared" si="120"/>
        <v>96</v>
      </c>
      <c r="L152" s="217">
        <f t="shared" si="121"/>
        <v>0</v>
      </c>
      <c r="M152" s="217">
        <f t="shared" si="122"/>
        <v>36</v>
      </c>
      <c r="N152" s="217">
        <f t="shared" si="123"/>
        <v>0</v>
      </c>
      <c r="O152" s="217">
        <f t="shared" si="111"/>
        <v>316</v>
      </c>
      <c r="P152" s="9" t="s">
        <v>269</v>
      </c>
      <c r="Q152" s="141"/>
      <c r="R152" s="137">
        <f>O152*Q152</f>
        <v>0</v>
      </c>
      <c r="T152" s="236">
        <v>4</v>
      </c>
      <c r="U152" s="147">
        <v>4</v>
      </c>
    </row>
    <row r="153" spans="1:21" s="91" customFormat="1" x14ac:dyDescent="0.2">
      <c r="A153" s="92"/>
      <c r="B153" s="6"/>
      <c r="C153" s="138">
        <f t="shared" si="112"/>
        <v>0</v>
      </c>
      <c r="D153" s="138">
        <f t="shared" si="113"/>
        <v>0</v>
      </c>
      <c r="E153" s="138">
        <f t="shared" si="114"/>
        <v>0</v>
      </c>
      <c r="F153" s="138">
        <f t="shared" si="115"/>
        <v>0</v>
      </c>
      <c r="G153" s="138">
        <f t="shared" si="116"/>
        <v>0</v>
      </c>
      <c r="H153" s="138">
        <f t="shared" si="117"/>
        <v>0</v>
      </c>
      <c r="I153" s="138">
        <f t="shared" si="118"/>
        <v>0</v>
      </c>
      <c r="J153" s="138">
        <f t="shared" si="119"/>
        <v>0</v>
      </c>
      <c r="K153" s="138">
        <f t="shared" si="120"/>
        <v>0</v>
      </c>
      <c r="L153" s="138">
        <f t="shared" si="121"/>
        <v>0</v>
      </c>
      <c r="M153" s="138">
        <f t="shared" si="122"/>
        <v>0</v>
      </c>
      <c r="N153" s="138">
        <f t="shared" si="123"/>
        <v>0</v>
      </c>
      <c r="O153" s="138">
        <f t="shared" si="111"/>
        <v>0</v>
      </c>
      <c r="P153" s="9"/>
      <c r="Q153" s="10"/>
      <c r="R153" s="137"/>
      <c r="T153" s="120"/>
      <c r="U153" s="128"/>
    </row>
    <row r="154" spans="1:21" s="91" customFormat="1" x14ac:dyDescent="0.2">
      <c r="A154" s="220" t="s">
        <v>73</v>
      </c>
      <c r="B154" s="234" t="s">
        <v>921</v>
      </c>
      <c r="C154" s="217">
        <f t="shared" si="112"/>
        <v>12</v>
      </c>
      <c r="D154" s="217">
        <f t="shared" si="113"/>
        <v>0</v>
      </c>
      <c r="E154" s="217">
        <f t="shared" si="114"/>
        <v>15</v>
      </c>
      <c r="F154" s="217">
        <f t="shared" si="115"/>
        <v>0</v>
      </c>
      <c r="G154" s="217">
        <f t="shared" si="116"/>
        <v>90</v>
      </c>
      <c r="H154" s="217">
        <f t="shared" si="117"/>
        <v>0</v>
      </c>
      <c r="I154" s="217">
        <f t="shared" si="118"/>
        <v>21</v>
      </c>
      <c r="J154" s="217">
        <f t="shared" si="119"/>
        <v>0</v>
      </c>
      <c r="K154" s="217">
        <f t="shared" si="120"/>
        <v>72</v>
      </c>
      <c r="L154" s="217">
        <f t="shared" si="121"/>
        <v>0</v>
      </c>
      <c r="M154" s="217">
        <f t="shared" si="122"/>
        <v>27</v>
      </c>
      <c r="N154" s="217">
        <f t="shared" si="123"/>
        <v>0</v>
      </c>
      <c r="O154" s="217">
        <f t="shared" si="111"/>
        <v>237</v>
      </c>
      <c r="P154" s="235" t="s">
        <v>269</v>
      </c>
      <c r="Q154" s="10"/>
      <c r="R154" s="137">
        <f>O154*Q154</f>
        <v>0</v>
      </c>
      <c r="T154" s="236">
        <v>3</v>
      </c>
      <c r="U154" s="147">
        <v>3</v>
      </c>
    </row>
    <row r="155" spans="1:21" x14ac:dyDescent="0.2">
      <c r="A155" s="139"/>
      <c r="B155" s="6"/>
      <c r="C155" s="138">
        <f t="shared" si="97"/>
        <v>0</v>
      </c>
      <c r="D155" s="138">
        <f t="shared" si="98"/>
        <v>0</v>
      </c>
      <c r="E155" s="138">
        <f t="shared" si="99"/>
        <v>0</v>
      </c>
      <c r="F155" s="138">
        <f t="shared" si="100"/>
        <v>0</v>
      </c>
      <c r="G155" s="138">
        <f t="shared" si="101"/>
        <v>0</v>
      </c>
      <c r="H155" s="138">
        <f t="shared" si="102"/>
        <v>0</v>
      </c>
      <c r="I155" s="138">
        <f t="shared" si="103"/>
        <v>0</v>
      </c>
      <c r="J155" s="138">
        <f t="shared" si="104"/>
        <v>0</v>
      </c>
      <c r="K155" s="138">
        <f t="shared" si="105"/>
        <v>0</v>
      </c>
      <c r="L155" s="138">
        <f t="shared" si="106"/>
        <v>0</v>
      </c>
      <c r="M155" s="138">
        <f t="shared" si="107"/>
        <v>0</v>
      </c>
      <c r="N155" s="138">
        <f t="shared" si="108"/>
        <v>0</v>
      </c>
      <c r="O155" s="138">
        <f t="shared" si="109"/>
        <v>0</v>
      </c>
      <c r="P155" s="154"/>
      <c r="Q155" s="141"/>
      <c r="R155" s="137"/>
      <c r="T155" s="120"/>
    </row>
    <row r="156" spans="1:21" x14ac:dyDescent="0.2">
      <c r="A156" s="139"/>
      <c r="B156" s="7" t="s">
        <v>183</v>
      </c>
      <c r="C156" s="138">
        <f t="shared" si="97"/>
        <v>0</v>
      </c>
      <c r="D156" s="138">
        <f t="shared" si="98"/>
        <v>0</v>
      </c>
      <c r="E156" s="138">
        <f t="shared" si="99"/>
        <v>0</v>
      </c>
      <c r="F156" s="138">
        <f t="shared" si="100"/>
        <v>0</v>
      </c>
      <c r="G156" s="138">
        <f t="shared" si="101"/>
        <v>0</v>
      </c>
      <c r="H156" s="138">
        <f t="shared" si="102"/>
        <v>0</v>
      </c>
      <c r="I156" s="138">
        <f t="shared" si="103"/>
        <v>0</v>
      </c>
      <c r="J156" s="138">
        <f t="shared" si="104"/>
        <v>0</v>
      </c>
      <c r="K156" s="138">
        <f t="shared" si="105"/>
        <v>0</v>
      </c>
      <c r="L156" s="138">
        <f t="shared" si="106"/>
        <v>0</v>
      </c>
      <c r="M156" s="138">
        <f t="shared" si="107"/>
        <v>0</v>
      </c>
      <c r="N156" s="138">
        <f t="shared" si="108"/>
        <v>0</v>
      </c>
      <c r="O156" s="138">
        <f t="shared" si="109"/>
        <v>0</v>
      </c>
      <c r="P156" s="154"/>
      <c r="Q156" s="141"/>
      <c r="R156" s="137"/>
      <c r="T156" s="120"/>
    </row>
    <row r="157" spans="1:21" x14ac:dyDescent="0.2">
      <c r="A157" s="139"/>
      <c r="B157" s="110"/>
      <c r="C157" s="138">
        <f t="shared" si="97"/>
        <v>0</v>
      </c>
      <c r="D157" s="138">
        <f t="shared" si="98"/>
        <v>0</v>
      </c>
      <c r="E157" s="138">
        <f t="shared" si="99"/>
        <v>0</v>
      </c>
      <c r="F157" s="138">
        <f t="shared" si="100"/>
        <v>0</v>
      </c>
      <c r="G157" s="138">
        <f t="shared" si="101"/>
        <v>0</v>
      </c>
      <c r="H157" s="138">
        <f t="shared" si="102"/>
        <v>0</v>
      </c>
      <c r="I157" s="138">
        <f t="shared" si="103"/>
        <v>0</v>
      </c>
      <c r="J157" s="138">
        <f t="shared" si="104"/>
        <v>0</v>
      </c>
      <c r="K157" s="138">
        <f t="shared" si="105"/>
        <v>0</v>
      </c>
      <c r="L157" s="138">
        <f t="shared" si="106"/>
        <v>0</v>
      </c>
      <c r="M157" s="138">
        <f t="shared" si="107"/>
        <v>0</v>
      </c>
      <c r="N157" s="138">
        <f t="shared" si="108"/>
        <v>0</v>
      </c>
      <c r="O157" s="138">
        <f t="shared" si="109"/>
        <v>0</v>
      </c>
      <c r="P157" s="154"/>
      <c r="Q157" s="141"/>
      <c r="R157" s="137"/>
      <c r="T157" s="120"/>
    </row>
    <row r="158" spans="1:21" x14ac:dyDescent="0.2">
      <c r="A158" s="139"/>
      <c r="B158" s="7" t="s">
        <v>410</v>
      </c>
      <c r="C158" s="138">
        <f t="shared" si="97"/>
        <v>0</v>
      </c>
      <c r="D158" s="138">
        <f t="shared" si="98"/>
        <v>0</v>
      </c>
      <c r="E158" s="138">
        <f t="shared" si="99"/>
        <v>0</v>
      </c>
      <c r="F158" s="138">
        <f t="shared" si="100"/>
        <v>0</v>
      </c>
      <c r="G158" s="138">
        <f t="shared" si="101"/>
        <v>0</v>
      </c>
      <c r="H158" s="138">
        <f t="shared" si="102"/>
        <v>0</v>
      </c>
      <c r="I158" s="138">
        <f t="shared" si="103"/>
        <v>0</v>
      </c>
      <c r="J158" s="138">
        <f t="shared" si="104"/>
        <v>0</v>
      </c>
      <c r="K158" s="138">
        <f t="shared" si="105"/>
        <v>0</v>
      </c>
      <c r="L158" s="138">
        <f t="shared" si="106"/>
        <v>0</v>
      </c>
      <c r="M158" s="138">
        <f t="shared" si="107"/>
        <v>0</v>
      </c>
      <c r="N158" s="138">
        <f t="shared" si="108"/>
        <v>0</v>
      </c>
      <c r="O158" s="138">
        <f t="shared" si="109"/>
        <v>0</v>
      </c>
      <c r="P158" s="154"/>
      <c r="Q158" s="141"/>
      <c r="R158" s="137"/>
      <c r="T158" s="120"/>
    </row>
    <row r="159" spans="1:21" s="91" customFormat="1" x14ac:dyDescent="0.2">
      <c r="A159" s="8"/>
      <c r="B159" s="110"/>
      <c r="C159" s="138">
        <f t="shared" si="97"/>
        <v>0</v>
      </c>
      <c r="D159" s="138">
        <f t="shared" si="98"/>
        <v>0</v>
      </c>
      <c r="E159" s="138">
        <f t="shared" si="99"/>
        <v>0</v>
      </c>
      <c r="F159" s="138">
        <f t="shared" si="100"/>
        <v>0</v>
      </c>
      <c r="G159" s="138">
        <f t="shared" si="101"/>
        <v>0</v>
      </c>
      <c r="H159" s="138">
        <f t="shared" si="102"/>
        <v>0</v>
      </c>
      <c r="I159" s="138">
        <f t="shared" si="103"/>
        <v>0</v>
      </c>
      <c r="J159" s="138">
        <f t="shared" si="104"/>
        <v>0</v>
      </c>
      <c r="K159" s="138">
        <f t="shared" si="105"/>
        <v>0</v>
      </c>
      <c r="L159" s="138">
        <f t="shared" si="106"/>
        <v>0</v>
      </c>
      <c r="M159" s="138">
        <f t="shared" si="107"/>
        <v>0</v>
      </c>
      <c r="N159" s="138">
        <f t="shared" si="108"/>
        <v>0</v>
      </c>
      <c r="O159" s="138">
        <f t="shared" si="109"/>
        <v>0</v>
      </c>
      <c r="P159" s="9"/>
      <c r="Q159" s="10"/>
      <c r="R159" s="137"/>
      <c r="T159" s="120"/>
      <c r="U159" s="128"/>
    </row>
    <row r="160" spans="1:21" s="91" customFormat="1" x14ac:dyDescent="0.2">
      <c r="A160" s="237" t="s">
        <v>74</v>
      </c>
      <c r="B160" s="234" t="s">
        <v>911</v>
      </c>
      <c r="C160" s="138">
        <f t="shared" si="97"/>
        <v>4</v>
      </c>
      <c r="D160" s="138">
        <f t="shared" si="98"/>
        <v>0</v>
      </c>
      <c r="E160" s="138">
        <f t="shared" si="99"/>
        <v>5</v>
      </c>
      <c r="F160" s="138">
        <f t="shared" si="100"/>
        <v>0</v>
      </c>
      <c r="G160" s="138">
        <f t="shared" si="101"/>
        <v>30</v>
      </c>
      <c r="H160" s="138">
        <f t="shared" si="102"/>
        <v>0</v>
      </c>
      <c r="I160" s="138">
        <f t="shared" si="103"/>
        <v>7</v>
      </c>
      <c r="J160" s="138">
        <f t="shared" si="104"/>
        <v>0</v>
      </c>
      <c r="K160" s="138">
        <f t="shared" si="105"/>
        <v>24</v>
      </c>
      <c r="L160" s="138">
        <f t="shared" si="106"/>
        <v>0</v>
      </c>
      <c r="M160" s="138">
        <f t="shared" si="107"/>
        <v>9</v>
      </c>
      <c r="N160" s="138">
        <f t="shared" si="108"/>
        <v>0</v>
      </c>
      <c r="O160" s="138">
        <f>C160+E160+G160+I160+K160+M160</f>
        <v>79</v>
      </c>
      <c r="P160" s="9" t="s">
        <v>269</v>
      </c>
      <c r="Q160" s="10"/>
      <c r="R160" s="137">
        <f>O160*Q160</f>
        <v>0</v>
      </c>
      <c r="T160" s="120">
        <v>1</v>
      </c>
      <c r="U160" s="128">
        <v>1</v>
      </c>
    </row>
    <row r="161" spans="1:21" s="91" customFormat="1" x14ac:dyDescent="0.2">
      <c r="A161" s="92"/>
      <c r="B161" s="6"/>
      <c r="C161" s="138">
        <f t="shared" si="97"/>
        <v>0</v>
      </c>
      <c r="D161" s="138">
        <f t="shared" si="98"/>
        <v>0</v>
      </c>
      <c r="E161" s="138">
        <f t="shared" si="99"/>
        <v>0</v>
      </c>
      <c r="F161" s="138">
        <f t="shared" si="100"/>
        <v>0</v>
      </c>
      <c r="G161" s="138">
        <f t="shared" si="101"/>
        <v>0</v>
      </c>
      <c r="H161" s="138">
        <f t="shared" si="102"/>
        <v>0</v>
      </c>
      <c r="I161" s="138">
        <f t="shared" si="103"/>
        <v>0</v>
      </c>
      <c r="J161" s="138">
        <f t="shared" si="104"/>
        <v>0</v>
      </c>
      <c r="K161" s="138">
        <f t="shared" si="105"/>
        <v>0</v>
      </c>
      <c r="L161" s="138">
        <f t="shared" si="106"/>
        <v>0</v>
      </c>
      <c r="M161" s="138">
        <f t="shared" si="107"/>
        <v>0</v>
      </c>
      <c r="N161" s="138">
        <f t="shared" si="108"/>
        <v>0</v>
      </c>
      <c r="O161" s="138">
        <f t="shared" si="109"/>
        <v>0</v>
      </c>
      <c r="P161" s="9"/>
      <c r="Q161" s="10"/>
      <c r="R161" s="137"/>
      <c r="T161" s="120"/>
      <c r="U161" s="128"/>
    </row>
    <row r="162" spans="1:21" s="91" customFormat="1" x14ac:dyDescent="0.2">
      <c r="A162" s="92"/>
      <c r="B162" s="6"/>
      <c r="C162" s="138">
        <f t="shared" si="97"/>
        <v>0</v>
      </c>
      <c r="D162" s="138">
        <f t="shared" si="98"/>
        <v>0</v>
      </c>
      <c r="E162" s="138">
        <f t="shared" si="99"/>
        <v>0</v>
      </c>
      <c r="F162" s="138">
        <f t="shared" si="100"/>
        <v>0</v>
      </c>
      <c r="G162" s="138">
        <f t="shared" si="101"/>
        <v>0</v>
      </c>
      <c r="H162" s="138">
        <f t="shared" si="102"/>
        <v>0</v>
      </c>
      <c r="I162" s="138">
        <f t="shared" si="103"/>
        <v>0</v>
      </c>
      <c r="J162" s="138">
        <f t="shared" si="104"/>
        <v>0</v>
      </c>
      <c r="K162" s="138">
        <f t="shared" si="105"/>
        <v>0</v>
      </c>
      <c r="L162" s="138">
        <f t="shared" si="106"/>
        <v>0</v>
      </c>
      <c r="M162" s="138">
        <f t="shared" si="107"/>
        <v>0</v>
      </c>
      <c r="N162" s="138">
        <f t="shared" si="108"/>
        <v>0</v>
      </c>
      <c r="O162" s="138">
        <f t="shared" si="109"/>
        <v>0</v>
      </c>
      <c r="P162" s="9"/>
      <c r="Q162" s="10"/>
      <c r="R162" s="137"/>
      <c r="T162" s="120"/>
      <c r="U162" s="128"/>
    </row>
    <row r="163" spans="1:21" s="91" customFormat="1" x14ac:dyDescent="0.2">
      <c r="A163" s="92"/>
      <c r="B163" s="6"/>
      <c r="C163" s="138">
        <f t="shared" si="97"/>
        <v>0</v>
      </c>
      <c r="D163" s="138">
        <f t="shared" si="98"/>
        <v>0</v>
      </c>
      <c r="E163" s="138">
        <f t="shared" si="99"/>
        <v>0</v>
      </c>
      <c r="F163" s="138">
        <f t="shared" si="100"/>
        <v>0</v>
      </c>
      <c r="G163" s="138">
        <f t="shared" si="101"/>
        <v>0</v>
      </c>
      <c r="H163" s="138">
        <f t="shared" si="102"/>
        <v>0</v>
      </c>
      <c r="I163" s="138">
        <f t="shared" si="103"/>
        <v>0</v>
      </c>
      <c r="J163" s="138">
        <f t="shared" si="104"/>
        <v>0</v>
      </c>
      <c r="K163" s="138">
        <f t="shared" si="105"/>
        <v>0</v>
      </c>
      <c r="L163" s="138">
        <f t="shared" si="106"/>
        <v>0</v>
      </c>
      <c r="M163" s="138">
        <f t="shared" si="107"/>
        <v>0</v>
      </c>
      <c r="N163" s="138">
        <f t="shared" si="108"/>
        <v>0</v>
      </c>
      <c r="O163" s="138">
        <f t="shared" si="109"/>
        <v>0</v>
      </c>
      <c r="P163" s="9"/>
      <c r="Q163" s="10"/>
      <c r="R163" s="137"/>
      <c r="T163" s="120"/>
      <c r="U163" s="128"/>
    </row>
    <row r="164" spans="1:21" s="91" customFormat="1" x14ac:dyDescent="0.2">
      <c r="A164" s="92"/>
      <c r="B164" s="6"/>
      <c r="C164" s="138">
        <f t="shared" si="97"/>
        <v>0</v>
      </c>
      <c r="D164" s="138">
        <f t="shared" si="98"/>
        <v>0</v>
      </c>
      <c r="E164" s="138">
        <f t="shared" si="99"/>
        <v>0</v>
      </c>
      <c r="F164" s="138">
        <f t="shared" si="100"/>
        <v>0</v>
      </c>
      <c r="G164" s="138">
        <f t="shared" si="101"/>
        <v>0</v>
      </c>
      <c r="H164" s="138">
        <f t="shared" si="102"/>
        <v>0</v>
      </c>
      <c r="I164" s="138">
        <f t="shared" si="103"/>
        <v>0</v>
      </c>
      <c r="J164" s="138">
        <f t="shared" si="104"/>
        <v>0</v>
      </c>
      <c r="K164" s="138">
        <f t="shared" si="105"/>
        <v>0</v>
      </c>
      <c r="L164" s="138">
        <f t="shared" si="106"/>
        <v>0</v>
      </c>
      <c r="M164" s="138">
        <f t="shared" si="107"/>
        <v>0</v>
      </c>
      <c r="N164" s="138">
        <f t="shared" si="108"/>
        <v>0</v>
      </c>
      <c r="O164" s="138">
        <f t="shared" si="109"/>
        <v>0</v>
      </c>
      <c r="P164" s="9"/>
      <c r="Q164" s="10"/>
      <c r="R164" s="137"/>
      <c r="T164" s="120"/>
      <c r="U164" s="128"/>
    </row>
    <row r="165" spans="1:21" s="91" customFormat="1" x14ac:dyDescent="0.2">
      <c r="A165" s="92"/>
      <c r="B165" s="6"/>
      <c r="C165" s="138">
        <f t="shared" si="97"/>
        <v>0</v>
      </c>
      <c r="D165" s="138">
        <f t="shared" si="98"/>
        <v>0</v>
      </c>
      <c r="E165" s="138">
        <f t="shared" si="99"/>
        <v>0</v>
      </c>
      <c r="F165" s="138">
        <f t="shared" si="100"/>
        <v>0</v>
      </c>
      <c r="G165" s="138">
        <f t="shared" si="101"/>
        <v>0</v>
      </c>
      <c r="H165" s="138">
        <f t="shared" si="102"/>
        <v>0</v>
      </c>
      <c r="I165" s="138">
        <f t="shared" si="103"/>
        <v>0</v>
      </c>
      <c r="J165" s="138">
        <f t="shared" si="104"/>
        <v>0</v>
      </c>
      <c r="K165" s="138">
        <f t="shared" si="105"/>
        <v>0</v>
      </c>
      <c r="L165" s="138">
        <f t="shared" si="106"/>
        <v>0</v>
      </c>
      <c r="M165" s="138">
        <f t="shared" si="107"/>
        <v>0</v>
      </c>
      <c r="N165" s="138">
        <f t="shared" si="108"/>
        <v>0</v>
      </c>
      <c r="O165" s="138">
        <f t="shared" si="109"/>
        <v>0</v>
      </c>
      <c r="P165" s="9"/>
      <c r="Q165" s="10"/>
      <c r="R165" s="137"/>
      <c r="T165" s="120"/>
      <c r="U165" s="128"/>
    </row>
    <row r="166" spans="1:21" s="91" customFormat="1" x14ac:dyDescent="0.2">
      <c r="A166" s="92"/>
      <c r="B166" s="6"/>
      <c r="C166" s="138">
        <f t="shared" si="97"/>
        <v>0</v>
      </c>
      <c r="D166" s="138">
        <f t="shared" si="98"/>
        <v>0</v>
      </c>
      <c r="E166" s="138">
        <f t="shared" si="99"/>
        <v>0</v>
      </c>
      <c r="F166" s="138">
        <f t="shared" si="100"/>
        <v>0</v>
      </c>
      <c r="G166" s="138">
        <f t="shared" si="101"/>
        <v>0</v>
      </c>
      <c r="H166" s="138">
        <f t="shared" si="102"/>
        <v>0</v>
      </c>
      <c r="I166" s="138">
        <f t="shared" si="103"/>
        <v>0</v>
      </c>
      <c r="J166" s="138">
        <f t="shared" si="104"/>
        <v>0</v>
      </c>
      <c r="K166" s="138">
        <f t="shared" si="105"/>
        <v>0</v>
      </c>
      <c r="L166" s="138">
        <f t="shared" si="106"/>
        <v>0</v>
      </c>
      <c r="M166" s="138">
        <f t="shared" si="107"/>
        <v>0</v>
      </c>
      <c r="N166" s="138">
        <f t="shared" si="108"/>
        <v>0</v>
      </c>
      <c r="O166" s="138">
        <f t="shared" si="109"/>
        <v>0</v>
      </c>
      <c r="P166" s="9"/>
      <c r="Q166" s="10"/>
      <c r="R166" s="137"/>
      <c r="T166" s="120"/>
      <c r="U166" s="128"/>
    </row>
    <row r="167" spans="1:21" s="91" customFormat="1" x14ac:dyDescent="0.2">
      <c r="A167" s="92"/>
      <c r="B167" s="6"/>
      <c r="C167" s="138">
        <f t="shared" si="97"/>
        <v>0</v>
      </c>
      <c r="D167" s="138">
        <f t="shared" si="98"/>
        <v>0</v>
      </c>
      <c r="E167" s="138">
        <f t="shared" si="99"/>
        <v>0</v>
      </c>
      <c r="F167" s="138">
        <f t="shared" si="100"/>
        <v>0</v>
      </c>
      <c r="G167" s="138">
        <f t="shared" si="101"/>
        <v>0</v>
      </c>
      <c r="H167" s="138">
        <f t="shared" si="102"/>
        <v>0</v>
      </c>
      <c r="I167" s="138">
        <f t="shared" si="103"/>
        <v>0</v>
      </c>
      <c r="J167" s="138">
        <f t="shared" si="104"/>
        <v>0</v>
      </c>
      <c r="K167" s="138">
        <f t="shared" si="105"/>
        <v>0</v>
      </c>
      <c r="L167" s="138">
        <f t="shared" si="106"/>
        <v>0</v>
      </c>
      <c r="M167" s="138">
        <f t="shared" si="107"/>
        <v>0</v>
      </c>
      <c r="N167" s="138">
        <f t="shared" si="108"/>
        <v>0</v>
      </c>
      <c r="O167" s="138">
        <f t="shared" si="109"/>
        <v>0</v>
      </c>
      <c r="P167" s="9"/>
      <c r="Q167" s="10"/>
      <c r="R167" s="137"/>
      <c r="T167" s="120"/>
      <c r="U167" s="128"/>
    </row>
    <row r="168" spans="1:21" s="91" customFormat="1" x14ac:dyDescent="0.2">
      <c r="A168" s="92"/>
      <c r="B168" s="6"/>
      <c r="C168" s="138">
        <f t="shared" si="97"/>
        <v>0</v>
      </c>
      <c r="D168" s="138">
        <f t="shared" si="98"/>
        <v>0</v>
      </c>
      <c r="E168" s="138">
        <f t="shared" si="99"/>
        <v>0</v>
      </c>
      <c r="F168" s="138">
        <f t="shared" si="100"/>
        <v>0</v>
      </c>
      <c r="G168" s="138">
        <f t="shared" si="101"/>
        <v>0</v>
      </c>
      <c r="H168" s="138">
        <f t="shared" si="102"/>
        <v>0</v>
      </c>
      <c r="I168" s="138">
        <f t="shared" si="103"/>
        <v>0</v>
      </c>
      <c r="J168" s="138">
        <f t="shared" si="104"/>
        <v>0</v>
      </c>
      <c r="K168" s="138">
        <f t="shared" si="105"/>
        <v>0</v>
      </c>
      <c r="L168" s="138">
        <f t="shared" si="106"/>
        <v>0</v>
      </c>
      <c r="M168" s="138">
        <f t="shared" si="107"/>
        <v>0</v>
      </c>
      <c r="N168" s="138">
        <f t="shared" si="108"/>
        <v>0</v>
      </c>
      <c r="O168" s="138">
        <f t="shared" si="109"/>
        <v>0</v>
      </c>
      <c r="P168" s="9"/>
      <c r="Q168" s="10"/>
      <c r="R168" s="137"/>
      <c r="T168" s="120"/>
      <c r="U168" s="128"/>
    </row>
    <row r="169" spans="1:21" s="91" customFormat="1" x14ac:dyDescent="0.2">
      <c r="A169" s="92"/>
      <c r="B169" s="6"/>
      <c r="C169" s="138">
        <f t="shared" si="97"/>
        <v>0</v>
      </c>
      <c r="D169" s="138">
        <f t="shared" si="98"/>
        <v>0</v>
      </c>
      <c r="E169" s="138">
        <f t="shared" si="99"/>
        <v>0</v>
      </c>
      <c r="F169" s="138">
        <f t="shared" si="100"/>
        <v>0</v>
      </c>
      <c r="G169" s="138">
        <f t="shared" si="101"/>
        <v>0</v>
      </c>
      <c r="H169" s="138">
        <f t="shared" si="102"/>
        <v>0</v>
      </c>
      <c r="I169" s="138">
        <f t="shared" si="103"/>
        <v>0</v>
      </c>
      <c r="J169" s="138">
        <f t="shared" si="104"/>
        <v>0</v>
      </c>
      <c r="K169" s="138">
        <f t="shared" si="105"/>
        <v>0</v>
      </c>
      <c r="L169" s="138">
        <f t="shared" si="106"/>
        <v>0</v>
      </c>
      <c r="M169" s="138">
        <f t="shared" si="107"/>
        <v>0</v>
      </c>
      <c r="N169" s="138">
        <f t="shared" si="108"/>
        <v>0</v>
      </c>
      <c r="O169" s="138">
        <f t="shared" si="109"/>
        <v>0</v>
      </c>
      <c r="P169" s="9"/>
      <c r="Q169" s="10"/>
      <c r="R169" s="137"/>
      <c r="T169" s="120"/>
      <c r="U169" s="128"/>
    </row>
    <row r="170" spans="1:21" s="91" customFormat="1" x14ac:dyDescent="0.2">
      <c r="A170" s="92"/>
      <c r="B170" s="6"/>
      <c r="C170" s="138">
        <f t="shared" si="97"/>
        <v>0</v>
      </c>
      <c r="D170" s="138">
        <f t="shared" si="98"/>
        <v>0</v>
      </c>
      <c r="E170" s="138">
        <f t="shared" si="99"/>
        <v>0</v>
      </c>
      <c r="F170" s="138">
        <f t="shared" si="100"/>
        <v>0</v>
      </c>
      <c r="G170" s="138">
        <f t="shared" si="101"/>
        <v>0</v>
      </c>
      <c r="H170" s="138">
        <f t="shared" si="102"/>
        <v>0</v>
      </c>
      <c r="I170" s="138">
        <f t="shared" si="103"/>
        <v>0</v>
      </c>
      <c r="J170" s="138">
        <f t="shared" si="104"/>
        <v>0</v>
      </c>
      <c r="K170" s="138">
        <f t="shared" si="105"/>
        <v>0</v>
      </c>
      <c r="L170" s="138">
        <f t="shared" si="106"/>
        <v>0</v>
      </c>
      <c r="M170" s="138">
        <f t="shared" si="107"/>
        <v>0</v>
      </c>
      <c r="N170" s="138">
        <f t="shared" si="108"/>
        <v>0</v>
      </c>
      <c r="O170" s="138">
        <f t="shared" si="109"/>
        <v>0</v>
      </c>
      <c r="P170" s="9"/>
      <c r="Q170" s="10"/>
      <c r="R170" s="137"/>
      <c r="T170" s="120"/>
      <c r="U170" s="128"/>
    </row>
    <row r="171" spans="1:21" s="91" customFormat="1" x14ac:dyDescent="0.2">
      <c r="A171" s="92"/>
      <c r="B171" s="6"/>
      <c r="C171" s="138">
        <f t="shared" si="97"/>
        <v>0</v>
      </c>
      <c r="D171" s="138">
        <f t="shared" si="98"/>
        <v>0</v>
      </c>
      <c r="E171" s="138">
        <f t="shared" si="99"/>
        <v>0</v>
      </c>
      <c r="F171" s="138">
        <f t="shared" si="100"/>
        <v>0</v>
      </c>
      <c r="G171" s="138">
        <f t="shared" si="101"/>
        <v>0</v>
      </c>
      <c r="H171" s="138">
        <f t="shared" si="102"/>
        <v>0</v>
      </c>
      <c r="I171" s="138">
        <f t="shared" si="103"/>
        <v>0</v>
      </c>
      <c r="J171" s="138">
        <f t="shared" si="104"/>
        <v>0</v>
      </c>
      <c r="K171" s="138">
        <f t="shared" si="105"/>
        <v>0</v>
      </c>
      <c r="L171" s="138">
        <f t="shared" si="106"/>
        <v>0</v>
      </c>
      <c r="M171" s="138">
        <f t="shared" si="107"/>
        <v>0</v>
      </c>
      <c r="N171" s="138">
        <f t="shared" si="108"/>
        <v>0</v>
      </c>
      <c r="O171" s="138">
        <f t="shared" si="109"/>
        <v>0</v>
      </c>
      <c r="P171" s="9"/>
      <c r="Q171" s="10"/>
      <c r="R171" s="137"/>
      <c r="T171" s="120"/>
      <c r="U171" s="128"/>
    </row>
    <row r="172" spans="1:21" s="91" customFormat="1" x14ac:dyDescent="0.2">
      <c r="A172" s="92"/>
      <c r="B172" s="6"/>
      <c r="C172" s="138">
        <f t="shared" si="97"/>
        <v>0</v>
      </c>
      <c r="D172" s="138">
        <f t="shared" si="98"/>
        <v>0</v>
      </c>
      <c r="E172" s="138">
        <f t="shared" si="99"/>
        <v>0</v>
      </c>
      <c r="F172" s="138">
        <f t="shared" si="100"/>
        <v>0</v>
      </c>
      <c r="G172" s="138">
        <f t="shared" si="101"/>
        <v>0</v>
      </c>
      <c r="H172" s="138">
        <f t="shared" si="102"/>
        <v>0</v>
      </c>
      <c r="I172" s="138">
        <f t="shared" si="103"/>
        <v>0</v>
      </c>
      <c r="J172" s="138">
        <f t="shared" si="104"/>
        <v>0</v>
      </c>
      <c r="K172" s="138">
        <f t="shared" si="105"/>
        <v>0</v>
      </c>
      <c r="L172" s="138">
        <f t="shared" si="106"/>
        <v>0</v>
      </c>
      <c r="M172" s="138">
        <f t="shared" si="107"/>
        <v>0</v>
      </c>
      <c r="N172" s="138">
        <f t="shared" si="108"/>
        <v>0</v>
      </c>
      <c r="O172" s="138">
        <f t="shared" si="109"/>
        <v>0</v>
      </c>
      <c r="P172" s="9"/>
      <c r="Q172" s="10"/>
      <c r="R172" s="137"/>
      <c r="T172" s="120"/>
      <c r="U172" s="128"/>
    </row>
    <row r="173" spans="1:21" s="91" customFormat="1" x14ac:dyDescent="0.2">
      <c r="A173" s="92"/>
      <c r="B173" s="6"/>
      <c r="C173" s="138">
        <f t="shared" si="97"/>
        <v>0</v>
      </c>
      <c r="D173" s="138">
        <f t="shared" si="98"/>
        <v>0</v>
      </c>
      <c r="E173" s="138">
        <f t="shared" si="99"/>
        <v>0</v>
      </c>
      <c r="F173" s="138">
        <f t="shared" si="100"/>
        <v>0</v>
      </c>
      <c r="G173" s="138">
        <f t="shared" si="101"/>
        <v>0</v>
      </c>
      <c r="H173" s="138">
        <f t="shared" si="102"/>
        <v>0</v>
      </c>
      <c r="I173" s="138">
        <f t="shared" si="103"/>
        <v>0</v>
      </c>
      <c r="J173" s="138">
        <f t="shared" si="104"/>
        <v>0</v>
      </c>
      <c r="K173" s="138">
        <f t="shared" si="105"/>
        <v>0</v>
      </c>
      <c r="L173" s="138">
        <f t="shared" si="106"/>
        <v>0</v>
      </c>
      <c r="M173" s="138">
        <f t="shared" si="107"/>
        <v>0</v>
      </c>
      <c r="N173" s="138">
        <f t="shared" si="108"/>
        <v>0</v>
      </c>
      <c r="O173" s="138">
        <f t="shared" si="109"/>
        <v>0</v>
      </c>
      <c r="P173" s="9"/>
      <c r="Q173" s="10"/>
      <c r="R173" s="137"/>
      <c r="T173" s="120"/>
      <c r="U173" s="128"/>
    </row>
    <row r="174" spans="1:21" s="91" customFormat="1" x14ac:dyDescent="0.2">
      <c r="A174" s="92"/>
      <c r="B174" s="6"/>
      <c r="C174" s="138">
        <f t="shared" si="97"/>
        <v>0</v>
      </c>
      <c r="D174" s="138">
        <f t="shared" si="98"/>
        <v>0</v>
      </c>
      <c r="E174" s="138">
        <f t="shared" si="99"/>
        <v>0</v>
      </c>
      <c r="F174" s="138">
        <f t="shared" si="100"/>
        <v>0</v>
      </c>
      <c r="G174" s="138">
        <f t="shared" si="101"/>
        <v>0</v>
      </c>
      <c r="H174" s="138">
        <f t="shared" si="102"/>
        <v>0</v>
      </c>
      <c r="I174" s="138">
        <f t="shared" si="103"/>
        <v>0</v>
      </c>
      <c r="J174" s="138">
        <f t="shared" si="104"/>
        <v>0</v>
      </c>
      <c r="K174" s="138">
        <f t="shared" si="105"/>
        <v>0</v>
      </c>
      <c r="L174" s="138">
        <f t="shared" si="106"/>
        <v>0</v>
      </c>
      <c r="M174" s="138">
        <f t="shared" si="107"/>
        <v>0</v>
      </c>
      <c r="N174" s="138">
        <f t="shared" si="108"/>
        <v>0</v>
      </c>
      <c r="O174" s="138">
        <f t="shared" si="109"/>
        <v>0</v>
      </c>
      <c r="P174" s="9"/>
      <c r="Q174" s="10"/>
      <c r="R174" s="137"/>
      <c r="T174" s="120"/>
      <c r="U174" s="128"/>
    </row>
    <row r="175" spans="1:21" x14ac:dyDescent="0.2">
      <c r="A175" s="139"/>
      <c r="B175" s="12"/>
      <c r="C175" s="138">
        <f t="shared" si="97"/>
        <v>0</v>
      </c>
      <c r="D175" s="138">
        <f t="shared" si="98"/>
        <v>0</v>
      </c>
      <c r="E175" s="138">
        <f t="shared" si="99"/>
        <v>0</v>
      </c>
      <c r="F175" s="138">
        <f t="shared" si="100"/>
        <v>0</v>
      </c>
      <c r="G175" s="138">
        <f t="shared" si="101"/>
        <v>0</v>
      </c>
      <c r="H175" s="138">
        <f t="shared" si="102"/>
        <v>0</v>
      </c>
      <c r="I175" s="138">
        <f t="shared" si="103"/>
        <v>0</v>
      </c>
      <c r="J175" s="138">
        <f t="shared" si="104"/>
        <v>0</v>
      </c>
      <c r="K175" s="138">
        <f t="shared" si="105"/>
        <v>0</v>
      </c>
      <c r="L175" s="138">
        <f t="shared" si="106"/>
        <v>0</v>
      </c>
      <c r="M175" s="138">
        <f t="shared" si="107"/>
        <v>0</v>
      </c>
      <c r="N175" s="138">
        <f t="shared" si="108"/>
        <v>0</v>
      </c>
      <c r="O175" s="138">
        <f t="shared" si="109"/>
        <v>0</v>
      </c>
      <c r="P175" s="9"/>
      <c r="Q175" s="141"/>
      <c r="R175" s="137"/>
      <c r="T175" s="117"/>
      <c r="U175" s="142"/>
    </row>
    <row r="176" spans="1:21" x14ac:dyDescent="0.2">
      <c r="A176" s="127"/>
      <c r="B176" s="136"/>
      <c r="C176" s="138">
        <f t="shared" si="97"/>
        <v>0</v>
      </c>
      <c r="D176" s="138">
        <f t="shared" si="98"/>
        <v>0</v>
      </c>
      <c r="E176" s="138">
        <f t="shared" si="99"/>
        <v>0</v>
      </c>
      <c r="F176" s="138">
        <f t="shared" si="100"/>
        <v>0</v>
      </c>
      <c r="G176" s="138">
        <f t="shared" si="101"/>
        <v>0</v>
      </c>
      <c r="H176" s="138">
        <f t="shared" si="102"/>
        <v>0</v>
      </c>
      <c r="I176" s="138">
        <f t="shared" si="103"/>
        <v>0</v>
      </c>
      <c r="J176" s="138">
        <f t="shared" si="104"/>
        <v>0</v>
      </c>
      <c r="K176" s="138">
        <f t="shared" si="105"/>
        <v>0</v>
      </c>
      <c r="L176" s="138">
        <f t="shared" si="106"/>
        <v>0</v>
      </c>
      <c r="M176" s="138">
        <f t="shared" si="107"/>
        <v>0</v>
      </c>
      <c r="N176" s="138">
        <f t="shared" si="108"/>
        <v>0</v>
      </c>
      <c r="O176" s="138">
        <f t="shared" si="109"/>
        <v>0</v>
      </c>
      <c r="P176" s="154"/>
      <c r="Q176" s="141"/>
      <c r="R176" s="137"/>
      <c r="T176" s="120"/>
    </row>
    <row r="177" spans="1:21" x14ac:dyDescent="0.2">
      <c r="A177" s="127"/>
      <c r="B177" s="136"/>
      <c r="C177" s="138">
        <f t="shared" si="97"/>
        <v>0</v>
      </c>
      <c r="D177" s="138">
        <f t="shared" si="98"/>
        <v>0</v>
      </c>
      <c r="E177" s="138">
        <f t="shared" si="99"/>
        <v>0</v>
      </c>
      <c r="F177" s="138">
        <f t="shared" si="100"/>
        <v>0</v>
      </c>
      <c r="G177" s="138">
        <f t="shared" si="101"/>
        <v>0</v>
      </c>
      <c r="H177" s="138">
        <f t="shared" si="102"/>
        <v>0</v>
      </c>
      <c r="I177" s="138">
        <f t="shared" si="103"/>
        <v>0</v>
      </c>
      <c r="J177" s="138">
        <f t="shared" si="104"/>
        <v>0</v>
      </c>
      <c r="K177" s="138">
        <f t="shared" si="105"/>
        <v>0</v>
      </c>
      <c r="L177" s="138">
        <f t="shared" si="106"/>
        <v>0</v>
      </c>
      <c r="M177" s="138">
        <f t="shared" si="107"/>
        <v>0</v>
      </c>
      <c r="N177" s="138">
        <f t="shared" si="108"/>
        <v>0</v>
      </c>
      <c r="O177" s="138">
        <f t="shared" si="109"/>
        <v>0</v>
      </c>
      <c r="P177" s="154"/>
      <c r="Q177" s="141"/>
      <c r="R177" s="137"/>
      <c r="T177" s="120"/>
    </row>
    <row r="178" spans="1:21" x14ac:dyDescent="0.2">
      <c r="A178" s="127"/>
      <c r="B178" s="136"/>
      <c r="C178" s="138">
        <f t="shared" si="97"/>
        <v>0</v>
      </c>
      <c r="D178" s="138">
        <f t="shared" si="98"/>
        <v>0</v>
      </c>
      <c r="E178" s="138">
        <f t="shared" si="99"/>
        <v>0</v>
      </c>
      <c r="F178" s="138">
        <f t="shared" si="100"/>
        <v>0</v>
      </c>
      <c r="G178" s="138">
        <f t="shared" si="101"/>
        <v>0</v>
      </c>
      <c r="H178" s="138">
        <f t="shared" si="102"/>
        <v>0</v>
      </c>
      <c r="I178" s="138">
        <f t="shared" si="103"/>
        <v>0</v>
      </c>
      <c r="J178" s="138">
        <f t="shared" si="104"/>
        <v>0</v>
      </c>
      <c r="K178" s="138">
        <f t="shared" si="105"/>
        <v>0</v>
      </c>
      <c r="L178" s="138">
        <f t="shared" si="106"/>
        <v>0</v>
      </c>
      <c r="M178" s="138">
        <f t="shared" si="107"/>
        <v>0</v>
      </c>
      <c r="N178" s="138">
        <f t="shared" si="108"/>
        <v>0</v>
      </c>
      <c r="O178" s="138">
        <f t="shared" si="109"/>
        <v>0</v>
      </c>
      <c r="P178" s="154"/>
      <c r="Q178" s="141"/>
      <c r="R178" s="137"/>
      <c r="T178" s="120"/>
    </row>
    <row r="179" spans="1:21" x14ac:dyDescent="0.2">
      <c r="A179" s="127"/>
      <c r="B179" s="136"/>
      <c r="C179" s="128"/>
      <c r="D179" s="120"/>
      <c r="E179" s="120"/>
      <c r="F179" s="120"/>
      <c r="G179" s="120"/>
      <c r="H179" s="120"/>
      <c r="I179" s="120"/>
      <c r="J179" s="120"/>
      <c r="K179" s="120"/>
      <c r="L179" s="120"/>
      <c r="M179" s="120"/>
      <c r="N179" s="120"/>
      <c r="O179" s="120"/>
      <c r="P179" s="154"/>
      <c r="Q179" s="141"/>
      <c r="R179" s="137"/>
      <c r="T179" s="51"/>
      <c r="U179" s="40"/>
    </row>
    <row r="180" spans="1:21" x14ac:dyDescent="0.2">
      <c r="A180" s="129"/>
      <c r="B180" s="130"/>
      <c r="C180" s="131"/>
      <c r="D180" s="131"/>
      <c r="E180" s="131"/>
      <c r="F180" s="131"/>
      <c r="G180" s="131"/>
      <c r="H180" s="131"/>
      <c r="I180" s="131"/>
      <c r="J180" s="131"/>
      <c r="K180" s="131"/>
      <c r="L180" s="131"/>
      <c r="M180" s="131"/>
      <c r="N180" s="131"/>
      <c r="O180" s="131"/>
      <c r="P180" s="131"/>
      <c r="Q180" s="132"/>
      <c r="R180" s="126"/>
      <c r="T180" s="131"/>
      <c r="U180" s="39"/>
    </row>
    <row r="181" spans="1:21" x14ac:dyDescent="0.2">
      <c r="C181" s="122"/>
      <c r="D181" s="122"/>
      <c r="E181" s="122"/>
      <c r="F181" s="122"/>
      <c r="G181" s="122"/>
      <c r="H181" s="122"/>
      <c r="I181" s="122"/>
      <c r="J181" s="122"/>
      <c r="K181" s="122"/>
      <c r="L181" s="122"/>
      <c r="M181" s="122"/>
      <c r="N181" s="122"/>
      <c r="O181" s="122"/>
      <c r="P181" s="171" t="s">
        <v>1</v>
      </c>
      <c r="Q181" s="133" t="s">
        <v>0</v>
      </c>
      <c r="R181" s="137">
        <f>SUM(R135:R179)</f>
        <v>0</v>
      </c>
      <c r="T181" s="140"/>
      <c r="U181" s="70"/>
    </row>
    <row r="182" spans="1:21" x14ac:dyDescent="0.2">
      <c r="P182" s="188"/>
      <c r="Q182" s="124"/>
      <c r="R182" s="125"/>
    </row>
    <row r="183" spans="1:21" x14ac:dyDescent="0.2">
      <c r="A183" s="139"/>
      <c r="B183" s="12"/>
      <c r="C183" s="138">
        <f t="shared" ref="C183:C190" si="124">ROUND((2*$T183+2*$U183)*C$3,0)</f>
        <v>0</v>
      </c>
      <c r="D183" s="138">
        <f t="shared" ref="D183:D190" si="125">C183*$Q183</f>
        <v>0</v>
      </c>
      <c r="E183" s="138">
        <f t="shared" ref="E183:E190" si="126">ROUND((2*$T183+3*$U183)*E$3,0)</f>
        <v>0</v>
      </c>
      <c r="F183" s="138">
        <f t="shared" ref="F183:F190" si="127">E183*$Q183</f>
        <v>0</v>
      </c>
      <c r="G183" s="138">
        <f t="shared" ref="G183:G190" si="128">ROUND((2*$T183+4*$U183)*G$3,0)</f>
        <v>0</v>
      </c>
      <c r="H183" s="138">
        <f t="shared" ref="H183:H190" si="129">G183*$Q183</f>
        <v>0</v>
      </c>
      <c r="I183" s="138">
        <f t="shared" ref="I183:I190" si="130">ROUND((2*$T183+5*$U183)*I$3,0)</f>
        <v>0</v>
      </c>
      <c r="J183" s="138">
        <f t="shared" ref="J183:J190" si="131">I183*$Q183</f>
        <v>0</v>
      </c>
      <c r="K183" s="138">
        <f t="shared" ref="K183:K190" si="132">ROUND((2*$T183+6*$U183)*K$3,0)</f>
        <v>0</v>
      </c>
      <c r="L183" s="138">
        <f t="shared" ref="L183:L190" si="133">K183*$Q183</f>
        <v>0</v>
      </c>
      <c r="M183" s="138">
        <f t="shared" ref="M183:M190" si="134">ROUND((2*$T183+7*$U183)*M$3,0)</f>
        <v>0</v>
      </c>
      <c r="N183" s="138">
        <f t="shared" ref="N183:N190" si="135">M183*$Q183</f>
        <v>0</v>
      </c>
      <c r="O183" s="138">
        <f t="shared" ref="O183:O190" si="136">C183+E183+G183+I183+K183+M183</f>
        <v>0</v>
      </c>
      <c r="P183" s="9"/>
      <c r="Q183" s="141"/>
      <c r="R183" s="137"/>
      <c r="T183" s="120"/>
    </row>
    <row r="184" spans="1:21" x14ac:dyDescent="0.2">
      <c r="A184" s="139"/>
      <c r="B184" s="82" t="s">
        <v>8</v>
      </c>
      <c r="C184" s="138">
        <f t="shared" si="124"/>
        <v>0</v>
      </c>
      <c r="D184" s="138">
        <f t="shared" si="125"/>
        <v>0</v>
      </c>
      <c r="E184" s="138">
        <f t="shared" si="126"/>
        <v>0</v>
      </c>
      <c r="F184" s="138">
        <f t="shared" si="127"/>
        <v>0</v>
      </c>
      <c r="G184" s="138">
        <f t="shared" si="128"/>
        <v>0</v>
      </c>
      <c r="H184" s="138">
        <f t="shared" si="129"/>
        <v>0</v>
      </c>
      <c r="I184" s="138">
        <f t="shared" si="130"/>
        <v>0</v>
      </c>
      <c r="J184" s="138">
        <f t="shared" si="131"/>
        <v>0</v>
      </c>
      <c r="K184" s="138">
        <f t="shared" si="132"/>
        <v>0</v>
      </c>
      <c r="L184" s="138">
        <f t="shared" si="133"/>
        <v>0</v>
      </c>
      <c r="M184" s="138">
        <f t="shared" si="134"/>
        <v>0</v>
      </c>
      <c r="N184" s="138">
        <f t="shared" si="135"/>
        <v>0</v>
      </c>
      <c r="O184" s="138">
        <f t="shared" si="136"/>
        <v>0</v>
      </c>
      <c r="P184" s="154"/>
      <c r="Q184" s="141"/>
      <c r="R184" s="137"/>
      <c r="T184" s="120"/>
    </row>
    <row r="185" spans="1:21" x14ac:dyDescent="0.2">
      <c r="A185" s="139"/>
      <c r="B185" s="82"/>
      <c r="C185" s="138">
        <f t="shared" si="124"/>
        <v>0</v>
      </c>
      <c r="D185" s="138">
        <f t="shared" si="125"/>
        <v>0</v>
      </c>
      <c r="E185" s="138">
        <f t="shared" si="126"/>
        <v>0</v>
      </c>
      <c r="F185" s="138">
        <f t="shared" si="127"/>
        <v>0</v>
      </c>
      <c r="G185" s="138">
        <f t="shared" si="128"/>
        <v>0</v>
      </c>
      <c r="H185" s="138">
        <f t="shared" si="129"/>
        <v>0</v>
      </c>
      <c r="I185" s="138">
        <f t="shared" si="130"/>
        <v>0</v>
      </c>
      <c r="J185" s="138">
        <f t="shared" si="131"/>
        <v>0</v>
      </c>
      <c r="K185" s="138">
        <f t="shared" si="132"/>
        <v>0</v>
      </c>
      <c r="L185" s="138">
        <f t="shared" si="133"/>
        <v>0</v>
      </c>
      <c r="M185" s="138">
        <f t="shared" si="134"/>
        <v>0</v>
      </c>
      <c r="N185" s="138">
        <f t="shared" si="135"/>
        <v>0</v>
      </c>
      <c r="O185" s="138">
        <f t="shared" si="136"/>
        <v>0</v>
      </c>
      <c r="P185" s="154"/>
      <c r="Q185" s="141"/>
      <c r="R185" s="137"/>
      <c r="T185" s="120"/>
    </row>
    <row r="186" spans="1:21" ht="42.75" x14ac:dyDescent="0.2">
      <c r="A186" s="1" t="s">
        <v>66</v>
      </c>
      <c r="B186" s="110" t="s">
        <v>35</v>
      </c>
      <c r="C186" s="138">
        <f t="shared" si="124"/>
        <v>0</v>
      </c>
      <c r="D186" s="138">
        <f t="shared" si="125"/>
        <v>0</v>
      </c>
      <c r="E186" s="138">
        <f t="shared" si="126"/>
        <v>0</v>
      </c>
      <c r="F186" s="138">
        <f t="shared" si="127"/>
        <v>0</v>
      </c>
      <c r="G186" s="138">
        <f t="shared" si="128"/>
        <v>0</v>
      </c>
      <c r="H186" s="138">
        <f t="shared" si="129"/>
        <v>0</v>
      </c>
      <c r="I186" s="138">
        <f t="shared" si="130"/>
        <v>0</v>
      </c>
      <c r="J186" s="138">
        <f t="shared" si="131"/>
        <v>0</v>
      </c>
      <c r="K186" s="138">
        <f t="shared" si="132"/>
        <v>0</v>
      </c>
      <c r="L186" s="138">
        <f t="shared" si="133"/>
        <v>0</v>
      </c>
      <c r="M186" s="138">
        <f t="shared" si="134"/>
        <v>0</v>
      </c>
      <c r="N186" s="138">
        <f t="shared" si="135"/>
        <v>0</v>
      </c>
      <c r="O186" s="138">
        <f>C186+E186+G186+I186+K186+M186</f>
        <v>0</v>
      </c>
      <c r="P186" s="2" t="s">
        <v>5</v>
      </c>
      <c r="Q186" s="141"/>
      <c r="R186" s="137">
        <f>O186*Q186</f>
        <v>0</v>
      </c>
      <c r="T186" s="120"/>
    </row>
    <row r="187" spans="1:21" x14ac:dyDescent="0.2">
      <c r="A187" s="127"/>
      <c r="B187" s="136"/>
      <c r="C187" s="138">
        <f t="shared" si="124"/>
        <v>0</v>
      </c>
      <c r="D187" s="138">
        <f t="shared" si="125"/>
        <v>0</v>
      </c>
      <c r="E187" s="138">
        <f t="shared" si="126"/>
        <v>0</v>
      </c>
      <c r="F187" s="138">
        <f t="shared" si="127"/>
        <v>0</v>
      </c>
      <c r="G187" s="138">
        <f t="shared" si="128"/>
        <v>0</v>
      </c>
      <c r="H187" s="138">
        <f t="shared" si="129"/>
        <v>0</v>
      </c>
      <c r="I187" s="138">
        <f t="shared" si="130"/>
        <v>0</v>
      </c>
      <c r="J187" s="138">
        <f t="shared" si="131"/>
        <v>0</v>
      </c>
      <c r="K187" s="138">
        <f t="shared" si="132"/>
        <v>0</v>
      </c>
      <c r="L187" s="138">
        <f t="shared" si="133"/>
        <v>0</v>
      </c>
      <c r="M187" s="138">
        <f t="shared" si="134"/>
        <v>0</v>
      </c>
      <c r="N187" s="138">
        <f t="shared" si="135"/>
        <v>0</v>
      </c>
      <c r="O187" s="138">
        <f t="shared" si="136"/>
        <v>0</v>
      </c>
      <c r="P187" s="154"/>
      <c r="Q187" s="141"/>
      <c r="R187" s="137"/>
      <c r="T187" s="120"/>
    </row>
    <row r="188" spans="1:21" x14ac:dyDescent="0.2">
      <c r="A188" s="127"/>
      <c r="B188" s="136"/>
      <c r="C188" s="138">
        <f t="shared" si="124"/>
        <v>0</v>
      </c>
      <c r="D188" s="138">
        <f t="shared" si="125"/>
        <v>0</v>
      </c>
      <c r="E188" s="138">
        <f t="shared" si="126"/>
        <v>0</v>
      </c>
      <c r="F188" s="138">
        <f t="shared" si="127"/>
        <v>0</v>
      </c>
      <c r="G188" s="138">
        <f t="shared" si="128"/>
        <v>0</v>
      </c>
      <c r="H188" s="138">
        <f t="shared" si="129"/>
        <v>0</v>
      </c>
      <c r="I188" s="138">
        <f t="shared" si="130"/>
        <v>0</v>
      </c>
      <c r="J188" s="138">
        <f t="shared" si="131"/>
        <v>0</v>
      </c>
      <c r="K188" s="138">
        <f t="shared" si="132"/>
        <v>0</v>
      </c>
      <c r="L188" s="138">
        <f t="shared" si="133"/>
        <v>0</v>
      </c>
      <c r="M188" s="138">
        <f t="shared" si="134"/>
        <v>0</v>
      </c>
      <c r="N188" s="138">
        <f t="shared" si="135"/>
        <v>0</v>
      </c>
      <c r="O188" s="138">
        <f t="shared" si="136"/>
        <v>0</v>
      </c>
      <c r="P188" s="154"/>
      <c r="Q188" s="141"/>
      <c r="R188" s="137"/>
      <c r="T188" s="120"/>
    </row>
    <row r="189" spans="1:21" x14ac:dyDescent="0.2">
      <c r="A189" s="127"/>
      <c r="B189" s="136"/>
      <c r="C189" s="138">
        <f t="shared" si="124"/>
        <v>0</v>
      </c>
      <c r="D189" s="138">
        <f t="shared" si="125"/>
        <v>0</v>
      </c>
      <c r="E189" s="138">
        <f t="shared" si="126"/>
        <v>0</v>
      </c>
      <c r="F189" s="138">
        <f t="shared" si="127"/>
        <v>0</v>
      </c>
      <c r="G189" s="138">
        <f t="shared" si="128"/>
        <v>0</v>
      </c>
      <c r="H189" s="138">
        <f t="shared" si="129"/>
        <v>0</v>
      </c>
      <c r="I189" s="138">
        <f t="shared" si="130"/>
        <v>0</v>
      </c>
      <c r="J189" s="138">
        <f t="shared" si="131"/>
        <v>0</v>
      </c>
      <c r="K189" s="138">
        <f t="shared" si="132"/>
        <v>0</v>
      </c>
      <c r="L189" s="138">
        <f t="shared" si="133"/>
        <v>0</v>
      </c>
      <c r="M189" s="138">
        <f t="shared" si="134"/>
        <v>0</v>
      </c>
      <c r="N189" s="138">
        <f t="shared" si="135"/>
        <v>0</v>
      </c>
      <c r="O189" s="138">
        <f t="shared" si="136"/>
        <v>0</v>
      </c>
      <c r="P189" s="154"/>
      <c r="Q189" s="141"/>
      <c r="R189" s="137"/>
      <c r="T189" s="120"/>
    </row>
    <row r="190" spans="1:21" x14ac:dyDescent="0.2">
      <c r="A190" s="127"/>
      <c r="B190" s="136"/>
      <c r="C190" s="138">
        <f t="shared" si="124"/>
        <v>0</v>
      </c>
      <c r="D190" s="138">
        <f t="shared" si="125"/>
        <v>0</v>
      </c>
      <c r="E190" s="138">
        <f t="shared" si="126"/>
        <v>0</v>
      </c>
      <c r="F190" s="138">
        <f t="shared" si="127"/>
        <v>0</v>
      </c>
      <c r="G190" s="138">
        <f t="shared" si="128"/>
        <v>0</v>
      </c>
      <c r="H190" s="138">
        <f t="shared" si="129"/>
        <v>0</v>
      </c>
      <c r="I190" s="138">
        <f t="shared" si="130"/>
        <v>0</v>
      </c>
      <c r="J190" s="138">
        <f t="shared" si="131"/>
        <v>0</v>
      </c>
      <c r="K190" s="138">
        <f t="shared" si="132"/>
        <v>0</v>
      </c>
      <c r="L190" s="138">
        <f t="shared" si="133"/>
        <v>0</v>
      </c>
      <c r="M190" s="138">
        <f t="shared" si="134"/>
        <v>0</v>
      </c>
      <c r="N190" s="138">
        <f t="shared" si="135"/>
        <v>0</v>
      </c>
      <c r="O190" s="138">
        <f t="shared" si="136"/>
        <v>0</v>
      </c>
      <c r="P190" s="154"/>
      <c r="Q190" s="141"/>
      <c r="R190" s="137"/>
      <c r="T190" s="120"/>
    </row>
    <row r="191" spans="1:21" x14ac:dyDescent="0.2">
      <c r="A191" s="127"/>
      <c r="B191" s="136"/>
      <c r="C191" s="120"/>
      <c r="D191" s="120"/>
      <c r="E191" s="120"/>
      <c r="F191" s="120"/>
      <c r="G191" s="120"/>
      <c r="H191" s="120"/>
      <c r="I191" s="120"/>
      <c r="J191" s="120"/>
      <c r="K191" s="120"/>
      <c r="L191" s="120"/>
      <c r="M191" s="120"/>
      <c r="N191" s="120"/>
      <c r="O191" s="120"/>
      <c r="P191" s="154"/>
      <c r="Q191" s="141"/>
      <c r="R191" s="137"/>
      <c r="T191" s="120"/>
    </row>
    <row r="192" spans="1:21" x14ac:dyDescent="0.2">
      <c r="A192" s="127"/>
      <c r="B192" s="136"/>
      <c r="C192" s="120"/>
      <c r="D192" s="120"/>
      <c r="E192" s="120"/>
      <c r="F192" s="120"/>
      <c r="G192" s="120"/>
      <c r="H192" s="120"/>
      <c r="I192" s="120"/>
      <c r="J192" s="120"/>
      <c r="K192" s="120"/>
      <c r="L192" s="120"/>
      <c r="M192" s="120"/>
      <c r="N192" s="120"/>
      <c r="O192" s="120"/>
      <c r="P192" s="154"/>
      <c r="Q192" s="141"/>
      <c r="R192" s="137"/>
      <c r="T192" s="120"/>
    </row>
    <row r="193" spans="1:21" x14ac:dyDescent="0.2">
      <c r="A193" s="127"/>
      <c r="B193" s="136"/>
      <c r="C193" s="120"/>
      <c r="D193" s="120"/>
      <c r="E193" s="120"/>
      <c r="F193" s="120"/>
      <c r="G193" s="120"/>
      <c r="H193" s="120"/>
      <c r="I193" s="120"/>
      <c r="J193" s="120"/>
      <c r="K193" s="120"/>
      <c r="L193" s="120"/>
      <c r="M193" s="120"/>
      <c r="N193" s="120"/>
      <c r="O193" s="120"/>
      <c r="P193" s="154"/>
      <c r="Q193" s="141"/>
      <c r="R193" s="137"/>
      <c r="T193" s="120"/>
    </row>
    <row r="194" spans="1:21" x14ac:dyDescent="0.2">
      <c r="A194" s="127"/>
      <c r="B194" s="136"/>
      <c r="C194" s="120"/>
      <c r="D194" s="120"/>
      <c r="E194" s="120"/>
      <c r="F194" s="120"/>
      <c r="G194" s="120"/>
      <c r="H194" s="120"/>
      <c r="I194" s="120"/>
      <c r="J194" s="120"/>
      <c r="K194" s="120"/>
      <c r="L194" s="120"/>
      <c r="M194" s="120"/>
      <c r="N194" s="120"/>
      <c r="O194" s="120"/>
      <c r="P194" s="154"/>
      <c r="Q194" s="141"/>
      <c r="R194" s="137"/>
      <c r="T194" s="120"/>
    </row>
    <row r="195" spans="1:21" x14ac:dyDescent="0.2">
      <c r="A195" s="127"/>
      <c r="B195" s="136"/>
      <c r="C195" s="120"/>
      <c r="D195" s="120"/>
      <c r="E195" s="120"/>
      <c r="F195" s="120"/>
      <c r="G195" s="120"/>
      <c r="H195" s="120"/>
      <c r="I195" s="120"/>
      <c r="J195" s="120"/>
      <c r="K195" s="120"/>
      <c r="L195" s="120"/>
      <c r="M195" s="120"/>
      <c r="N195" s="120"/>
      <c r="O195" s="120"/>
      <c r="P195" s="154"/>
      <c r="Q195" s="141"/>
      <c r="R195" s="137"/>
      <c r="T195" s="120"/>
    </row>
    <row r="196" spans="1:21" x14ac:dyDescent="0.2">
      <c r="A196" s="127"/>
      <c r="B196" s="136"/>
      <c r="C196" s="120"/>
      <c r="D196" s="120"/>
      <c r="E196" s="120"/>
      <c r="F196" s="120"/>
      <c r="G196" s="120"/>
      <c r="H196" s="120"/>
      <c r="I196" s="120"/>
      <c r="J196" s="120"/>
      <c r="K196" s="120"/>
      <c r="L196" s="120"/>
      <c r="M196" s="120"/>
      <c r="N196" s="120"/>
      <c r="O196" s="120"/>
      <c r="P196" s="154"/>
      <c r="Q196" s="141"/>
      <c r="R196" s="137"/>
      <c r="T196" s="120"/>
    </row>
    <row r="197" spans="1:21" x14ac:dyDescent="0.2">
      <c r="A197" s="127"/>
      <c r="B197" s="136"/>
      <c r="C197" s="120"/>
      <c r="D197" s="120"/>
      <c r="E197" s="120"/>
      <c r="F197" s="120"/>
      <c r="G197" s="120"/>
      <c r="H197" s="120"/>
      <c r="I197" s="120"/>
      <c r="J197" s="120"/>
      <c r="K197" s="120"/>
      <c r="L197" s="120"/>
      <c r="M197" s="120"/>
      <c r="N197" s="120"/>
      <c r="O197" s="120"/>
      <c r="P197" s="154"/>
      <c r="Q197" s="141"/>
      <c r="R197" s="137"/>
      <c r="T197" s="120"/>
    </row>
    <row r="198" spans="1:21" x14ac:dyDescent="0.2">
      <c r="A198" s="127"/>
      <c r="B198" s="136"/>
      <c r="C198" s="120"/>
      <c r="D198" s="120"/>
      <c r="E198" s="120"/>
      <c r="F198" s="120"/>
      <c r="G198" s="120"/>
      <c r="H198" s="120"/>
      <c r="I198" s="120"/>
      <c r="J198" s="120"/>
      <c r="K198" s="120"/>
      <c r="L198" s="120"/>
      <c r="M198" s="120"/>
      <c r="N198" s="120"/>
      <c r="O198" s="120"/>
      <c r="P198" s="154"/>
      <c r="Q198" s="141"/>
      <c r="R198" s="137"/>
      <c r="T198" s="120"/>
    </row>
    <row r="199" spans="1:21" x14ac:dyDescent="0.2">
      <c r="A199" s="127"/>
      <c r="B199" s="136"/>
      <c r="C199" s="120"/>
      <c r="D199" s="120"/>
      <c r="E199" s="120"/>
      <c r="F199" s="120"/>
      <c r="G199" s="120"/>
      <c r="H199" s="120"/>
      <c r="I199" s="120"/>
      <c r="J199" s="120"/>
      <c r="K199" s="120"/>
      <c r="L199" s="120"/>
      <c r="M199" s="120"/>
      <c r="N199" s="120"/>
      <c r="O199" s="120"/>
      <c r="P199" s="154"/>
      <c r="Q199" s="141"/>
      <c r="R199" s="137"/>
      <c r="T199" s="120"/>
    </row>
    <row r="200" spans="1:21" x14ac:dyDescent="0.2">
      <c r="A200" s="127"/>
      <c r="B200" s="136"/>
      <c r="C200" s="120"/>
      <c r="D200" s="120"/>
      <c r="E200" s="120"/>
      <c r="F200" s="120"/>
      <c r="G200" s="120"/>
      <c r="H200" s="120"/>
      <c r="I200" s="120"/>
      <c r="J200" s="120"/>
      <c r="K200" s="120"/>
      <c r="L200" s="120"/>
      <c r="M200" s="120"/>
      <c r="N200" s="120"/>
      <c r="O200" s="120"/>
      <c r="P200" s="154"/>
      <c r="Q200" s="141"/>
      <c r="R200" s="137"/>
      <c r="T200" s="120"/>
    </row>
    <row r="201" spans="1:21" x14ac:dyDescent="0.2">
      <c r="A201" s="127"/>
      <c r="B201" s="136"/>
      <c r="C201" s="138"/>
      <c r="D201" s="138"/>
      <c r="E201" s="138"/>
      <c r="F201" s="138"/>
      <c r="G201" s="138"/>
      <c r="H201" s="138"/>
      <c r="I201" s="138"/>
      <c r="J201" s="138"/>
      <c r="K201" s="138"/>
      <c r="L201" s="138"/>
      <c r="M201" s="138"/>
      <c r="N201" s="138"/>
      <c r="O201" s="138"/>
      <c r="P201" s="154"/>
      <c r="Q201" s="141"/>
      <c r="R201" s="137"/>
      <c r="T201" s="120"/>
    </row>
    <row r="202" spans="1:21" x14ac:dyDescent="0.2">
      <c r="A202" s="127"/>
      <c r="B202" s="136"/>
      <c r="C202" s="138"/>
      <c r="D202" s="138"/>
      <c r="E202" s="138"/>
      <c r="F202" s="138"/>
      <c r="G202" s="138"/>
      <c r="H202" s="138"/>
      <c r="I202" s="138"/>
      <c r="J202" s="138"/>
      <c r="K202" s="138"/>
      <c r="L202" s="138"/>
      <c r="M202" s="138"/>
      <c r="N202" s="138"/>
      <c r="O202" s="138"/>
      <c r="P202" s="154"/>
      <c r="Q202" s="141"/>
      <c r="R202" s="137"/>
      <c r="T202" s="120"/>
    </row>
    <row r="203" spans="1:21" x14ac:dyDescent="0.2">
      <c r="A203" s="127"/>
      <c r="B203" s="136"/>
      <c r="C203" s="128"/>
      <c r="D203" s="120"/>
      <c r="E203" s="120"/>
      <c r="F203" s="120"/>
      <c r="G203" s="120"/>
      <c r="H203" s="120"/>
      <c r="I203" s="120"/>
      <c r="J203" s="120"/>
      <c r="K203" s="120"/>
      <c r="L203" s="120"/>
      <c r="M203" s="120"/>
      <c r="N203" s="120"/>
      <c r="O203" s="120"/>
      <c r="P203" s="154"/>
      <c r="Q203" s="141"/>
      <c r="R203" s="137"/>
      <c r="T203" s="120"/>
    </row>
    <row r="204" spans="1:21" x14ac:dyDescent="0.2">
      <c r="A204" s="129"/>
      <c r="B204" s="130"/>
      <c r="C204" s="131"/>
      <c r="D204" s="131"/>
      <c r="E204" s="131"/>
      <c r="F204" s="131"/>
      <c r="G204" s="131"/>
      <c r="H204" s="131"/>
      <c r="I204" s="131"/>
      <c r="J204" s="131"/>
      <c r="K204" s="131"/>
      <c r="L204" s="131"/>
      <c r="M204" s="131"/>
      <c r="N204" s="131"/>
      <c r="O204" s="131"/>
      <c r="P204" s="131"/>
      <c r="Q204" s="132"/>
      <c r="R204" s="126"/>
      <c r="T204" s="131"/>
      <c r="U204" s="39"/>
    </row>
    <row r="205" spans="1:21" x14ac:dyDescent="0.2">
      <c r="A205" s="144"/>
      <c r="B205" s="37"/>
      <c r="C205" s="37"/>
      <c r="D205" s="37"/>
      <c r="E205" s="37"/>
      <c r="F205" s="37"/>
      <c r="G205" s="37"/>
      <c r="H205" s="37"/>
      <c r="I205" s="37"/>
      <c r="J205" s="37"/>
      <c r="K205" s="37"/>
      <c r="L205" s="37"/>
      <c r="M205" s="37"/>
      <c r="N205" s="37"/>
      <c r="O205" s="37"/>
      <c r="P205" s="426" t="s">
        <v>1</v>
      </c>
      <c r="Q205" s="133" t="s">
        <v>0</v>
      </c>
      <c r="R205" s="137">
        <f>SUM(R183:R203)</f>
        <v>0</v>
      </c>
      <c r="T205" s="140"/>
      <c r="U205" s="70"/>
    </row>
    <row r="206" spans="1:21" x14ac:dyDescent="0.2">
      <c r="A206" s="145"/>
      <c r="B206" s="44"/>
      <c r="C206" s="94"/>
      <c r="D206" s="94"/>
      <c r="E206" s="94"/>
      <c r="F206" s="94"/>
      <c r="G206" s="94"/>
      <c r="H206" s="94"/>
      <c r="I206" s="94"/>
      <c r="J206" s="94"/>
      <c r="K206" s="94"/>
      <c r="L206" s="94"/>
      <c r="M206" s="94"/>
      <c r="N206" s="94"/>
      <c r="O206" s="94"/>
      <c r="P206" s="94"/>
      <c r="Q206" s="146"/>
      <c r="R206" s="125"/>
    </row>
    <row r="207" spans="1:21" x14ac:dyDescent="0.2">
      <c r="A207" s="36"/>
      <c r="B207" s="37"/>
      <c r="C207" s="188"/>
      <c r="D207" s="188"/>
      <c r="E207" s="188"/>
      <c r="F207" s="188"/>
      <c r="G207" s="188"/>
      <c r="H207" s="188"/>
      <c r="I207" s="188"/>
      <c r="J207" s="188"/>
      <c r="K207" s="188"/>
      <c r="L207" s="188"/>
      <c r="M207" s="188"/>
      <c r="N207" s="188"/>
      <c r="O207" s="188"/>
      <c r="P207" s="188"/>
      <c r="Q207" s="124"/>
      <c r="R207" s="137"/>
      <c r="T207" s="131"/>
      <c r="U207" s="39"/>
    </row>
    <row r="208" spans="1:21" x14ac:dyDescent="0.2">
      <c r="A208" s="36"/>
      <c r="B208" s="37"/>
      <c r="C208" s="188"/>
      <c r="D208" s="188"/>
      <c r="E208" s="188"/>
      <c r="F208" s="188"/>
      <c r="G208" s="188"/>
      <c r="H208" s="188"/>
      <c r="I208" s="188"/>
      <c r="J208" s="188"/>
      <c r="K208" s="188"/>
      <c r="L208" s="188"/>
      <c r="M208" s="188"/>
      <c r="N208" s="188"/>
      <c r="O208" s="188"/>
      <c r="P208" s="188"/>
      <c r="Q208" s="42"/>
      <c r="R208" s="137"/>
      <c r="T208" s="173"/>
    </row>
    <row r="209" spans="1:21" x14ac:dyDescent="0.2">
      <c r="A209" s="36"/>
      <c r="B209" s="37"/>
      <c r="C209" s="188"/>
      <c r="D209" s="188"/>
      <c r="E209" s="188"/>
      <c r="F209" s="188"/>
      <c r="G209" s="188"/>
      <c r="H209" s="188"/>
      <c r="I209" s="188"/>
      <c r="J209" s="188"/>
      <c r="K209" s="188"/>
      <c r="L209" s="188"/>
      <c r="M209" s="188"/>
      <c r="N209" s="188"/>
      <c r="O209" s="534" t="s">
        <v>17</v>
      </c>
      <c r="P209" s="534"/>
      <c r="Q209" s="42"/>
      <c r="R209" s="137"/>
      <c r="T209" s="140"/>
      <c r="U209" s="70"/>
    </row>
    <row r="210" spans="1:21" x14ac:dyDescent="0.2">
      <c r="A210" s="36"/>
      <c r="B210" s="37"/>
      <c r="C210" s="188"/>
      <c r="D210" s="188"/>
      <c r="E210" s="188"/>
      <c r="F210" s="188"/>
      <c r="G210" s="188"/>
      <c r="H210" s="188"/>
      <c r="I210" s="188"/>
      <c r="J210" s="188"/>
      <c r="K210" s="188"/>
      <c r="L210" s="188"/>
      <c r="M210" s="188"/>
      <c r="N210" s="188"/>
      <c r="O210" s="188"/>
      <c r="P210" s="188"/>
      <c r="Q210" s="42"/>
      <c r="R210" s="137"/>
      <c r="T210" s="173"/>
    </row>
    <row r="211" spans="1:21" x14ac:dyDescent="0.2">
      <c r="A211" s="36"/>
      <c r="B211" s="37"/>
      <c r="C211" s="188"/>
      <c r="D211" s="188"/>
      <c r="E211" s="188"/>
      <c r="F211" s="188"/>
      <c r="G211" s="188"/>
      <c r="H211" s="188"/>
      <c r="I211" s="188"/>
      <c r="J211" s="188"/>
      <c r="K211" s="188"/>
      <c r="L211" s="188"/>
      <c r="M211" s="188"/>
      <c r="N211" s="188"/>
      <c r="O211" s="188" t="s">
        <v>270</v>
      </c>
      <c r="P211" s="188" t="s">
        <v>609</v>
      </c>
      <c r="Q211" s="42"/>
      <c r="R211" s="137">
        <f>R47</f>
        <v>0</v>
      </c>
      <c r="T211" s="173"/>
    </row>
    <row r="212" spans="1:21" x14ac:dyDescent="0.2">
      <c r="A212" s="36"/>
      <c r="B212" s="37"/>
      <c r="C212" s="188"/>
      <c r="D212" s="188"/>
      <c r="E212" s="188"/>
      <c r="F212" s="188"/>
      <c r="G212" s="188"/>
      <c r="H212" s="188"/>
      <c r="I212" s="188"/>
      <c r="J212" s="188"/>
      <c r="K212" s="188"/>
      <c r="L212" s="188"/>
      <c r="M212" s="188"/>
      <c r="N212" s="188"/>
      <c r="O212" s="188"/>
      <c r="P212" s="188"/>
      <c r="Q212" s="42"/>
      <c r="R212" s="137"/>
      <c r="T212" s="173"/>
    </row>
    <row r="213" spans="1:21" x14ac:dyDescent="0.2">
      <c r="A213" s="36"/>
      <c r="B213" s="37"/>
      <c r="C213" s="188"/>
      <c r="D213" s="188"/>
      <c r="E213" s="188"/>
      <c r="F213" s="188"/>
      <c r="G213" s="188"/>
      <c r="H213" s="188"/>
      <c r="I213" s="188"/>
      <c r="J213" s="188"/>
      <c r="K213" s="188"/>
      <c r="L213" s="188"/>
      <c r="M213" s="188"/>
      <c r="N213" s="188"/>
      <c r="O213" s="188" t="s">
        <v>270</v>
      </c>
      <c r="P213" s="188" t="s">
        <v>610</v>
      </c>
      <c r="Q213" s="42"/>
      <c r="R213" s="137">
        <f>R90</f>
        <v>0</v>
      </c>
      <c r="T213" s="173"/>
    </row>
    <row r="214" spans="1:21" x14ac:dyDescent="0.2">
      <c r="A214" s="36"/>
      <c r="B214" s="37"/>
      <c r="C214" s="188"/>
      <c r="D214" s="188"/>
      <c r="E214" s="188"/>
      <c r="F214" s="188"/>
      <c r="G214" s="188"/>
      <c r="H214" s="188"/>
      <c r="I214" s="188"/>
      <c r="J214" s="188"/>
      <c r="K214" s="188"/>
      <c r="L214" s="188"/>
      <c r="M214" s="188"/>
      <c r="N214" s="188"/>
      <c r="O214" s="188"/>
      <c r="P214" s="188"/>
      <c r="Q214" s="42"/>
      <c r="R214" s="137"/>
      <c r="T214" s="173"/>
    </row>
    <row r="215" spans="1:21" x14ac:dyDescent="0.2">
      <c r="A215" s="36"/>
      <c r="B215" s="37"/>
      <c r="C215" s="188"/>
      <c r="D215" s="188"/>
      <c r="E215" s="188"/>
      <c r="F215" s="188"/>
      <c r="G215" s="188"/>
      <c r="H215" s="188"/>
      <c r="I215" s="188"/>
      <c r="J215" s="188"/>
      <c r="K215" s="188"/>
      <c r="L215" s="188"/>
      <c r="M215" s="188"/>
      <c r="N215" s="188"/>
      <c r="O215" s="188" t="s">
        <v>270</v>
      </c>
      <c r="P215" s="188" t="s">
        <v>611</v>
      </c>
      <c r="Q215" s="42"/>
      <c r="R215" s="137">
        <f>R133</f>
        <v>0</v>
      </c>
      <c r="T215" s="173"/>
    </row>
    <row r="216" spans="1:21" x14ac:dyDescent="0.2">
      <c r="A216" s="36"/>
      <c r="B216" s="37"/>
      <c r="C216" s="188"/>
      <c r="D216" s="188"/>
      <c r="E216" s="188"/>
      <c r="F216" s="188"/>
      <c r="G216" s="188"/>
      <c r="H216" s="188"/>
      <c r="I216" s="188"/>
      <c r="J216" s="188"/>
      <c r="K216" s="188"/>
      <c r="L216" s="188"/>
      <c r="M216" s="188"/>
      <c r="N216" s="188"/>
      <c r="O216" s="188"/>
      <c r="P216" s="188"/>
      <c r="Q216" s="42"/>
      <c r="R216" s="137"/>
      <c r="T216" s="173"/>
    </row>
    <row r="217" spans="1:21" x14ac:dyDescent="0.2">
      <c r="A217" s="36"/>
      <c r="B217" s="37"/>
      <c r="C217" s="188"/>
      <c r="D217" s="188"/>
      <c r="E217" s="188"/>
      <c r="F217" s="188"/>
      <c r="G217" s="188"/>
      <c r="H217" s="188"/>
      <c r="I217" s="188"/>
      <c r="J217" s="188"/>
      <c r="K217" s="188"/>
      <c r="L217" s="188"/>
      <c r="M217" s="188"/>
      <c r="N217" s="188"/>
      <c r="O217" s="188" t="s">
        <v>270</v>
      </c>
      <c r="P217" s="188" t="s">
        <v>612</v>
      </c>
      <c r="Q217" s="42"/>
      <c r="R217" s="137">
        <f>R181</f>
        <v>0</v>
      </c>
      <c r="T217" s="173"/>
    </row>
    <row r="218" spans="1:21" x14ac:dyDescent="0.2">
      <c r="A218" s="36"/>
      <c r="B218" s="37"/>
      <c r="C218" s="188"/>
      <c r="D218" s="188"/>
      <c r="E218" s="188"/>
      <c r="F218" s="188"/>
      <c r="G218" s="188"/>
      <c r="H218" s="188"/>
      <c r="I218" s="188"/>
      <c r="J218" s="188"/>
      <c r="K218" s="188"/>
      <c r="L218" s="188"/>
      <c r="M218" s="188"/>
      <c r="N218" s="188"/>
      <c r="O218" s="188"/>
      <c r="P218" s="188"/>
      <c r="Q218" s="42"/>
      <c r="R218" s="137"/>
      <c r="T218" s="173"/>
    </row>
    <row r="219" spans="1:21" x14ac:dyDescent="0.2">
      <c r="A219" s="36"/>
      <c r="B219" s="37"/>
      <c r="C219" s="188"/>
      <c r="D219" s="188"/>
      <c r="E219" s="188"/>
      <c r="F219" s="188"/>
      <c r="G219" s="188"/>
      <c r="H219" s="188"/>
      <c r="I219" s="188"/>
      <c r="J219" s="188"/>
      <c r="K219" s="188"/>
      <c r="L219" s="188"/>
      <c r="M219" s="188"/>
      <c r="N219" s="188"/>
      <c r="O219" s="188" t="s">
        <v>270</v>
      </c>
      <c r="P219" s="188" t="s">
        <v>613</v>
      </c>
      <c r="Q219" s="42"/>
      <c r="R219" s="137">
        <f>R205</f>
        <v>0</v>
      </c>
      <c r="T219" s="173"/>
    </row>
    <row r="220" spans="1:21" x14ac:dyDescent="0.2">
      <c r="A220" s="36"/>
      <c r="B220" s="37"/>
      <c r="C220" s="188"/>
      <c r="D220" s="188"/>
      <c r="E220" s="188"/>
      <c r="F220" s="188"/>
      <c r="G220" s="188"/>
      <c r="H220" s="188"/>
      <c r="I220" s="188"/>
      <c r="J220" s="188"/>
      <c r="K220" s="188"/>
      <c r="L220" s="188"/>
      <c r="M220" s="188"/>
      <c r="N220" s="188"/>
      <c r="O220" s="188"/>
      <c r="P220" s="188"/>
      <c r="Q220" s="42"/>
      <c r="R220" s="137"/>
      <c r="T220" s="173"/>
    </row>
    <row r="221" spans="1:21" x14ac:dyDescent="0.2">
      <c r="A221" s="36"/>
      <c r="B221" s="37"/>
      <c r="C221" s="188"/>
      <c r="D221" s="188"/>
      <c r="E221" s="188"/>
      <c r="F221" s="188"/>
      <c r="G221" s="188"/>
      <c r="H221" s="188"/>
      <c r="I221" s="188"/>
      <c r="J221" s="188"/>
      <c r="K221" s="188"/>
      <c r="L221" s="188"/>
      <c r="M221" s="188"/>
      <c r="N221" s="188"/>
      <c r="O221" s="188"/>
      <c r="P221" s="188"/>
      <c r="Q221" s="42"/>
      <c r="R221" s="137">
        <f>R205</f>
        <v>0</v>
      </c>
      <c r="T221" s="173"/>
    </row>
    <row r="222" spans="1:21" x14ac:dyDescent="0.2">
      <c r="A222" s="36"/>
      <c r="B222" s="37"/>
      <c r="C222" s="188"/>
      <c r="D222" s="188"/>
      <c r="E222" s="188"/>
      <c r="F222" s="188"/>
      <c r="G222" s="188"/>
      <c r="H222" s="188"/>
      <c r="I222" s="188"/>
      <c r="J222" s="188"/>
      <c r="K222" s="188"/>
      <c r="L222" s="188"/>
      <c r="M222" s="188"/>
      <c r="N222" s="188"/>
      <c r="O222" s="188"/>
      <c r="P222" s="188"/>
      <c r="Q222" s="42"/>
      <c r="R222" s="137"/>
      <c r="T222" s="173"/>
    </row>
    <row r="223" spans="1:21" x14ac:dyDescent="0.2">
      <c r="A223" s="36"/>
      <c r="B223" s="37"/>
      <c r="C223" s="188"/>
      <c r="D223" s="188"/>
      <c r="E223" s="188"/>
      <c r="F223" s="188"/>
      <c r="G223" s="188"/>
      <c r="H223" s="188"/>
      <c r="I223" s="188"/>
      <c r="J223" s="188"/>
      <c r="K223" s="188"/>
      <c r="L223" s="188"/>
      <c r="M223" s="188"/>
      <c r="N223" s="188"/>
      <c r="O223" s="188"/>
      <c r="P223" s="188"/>
      <c r="Q223" s="42"/>
      <c r="R223" s="137"/>
      <c r="T223" s="173"/>
    </row>
    <row r="224" spans="1:21" x14ac:dyDescent="0.2">
      <c r="A224" s="36"/>
      <c r="B224" s="37"/>
      <c r="C224" s="188"/>
      <c r="D224" s="188"/>
      <c r="E224" s="188"/>
      <c r="F224" s="188"/>
      <c r="G224" s="188"/>
      <c r="H224" s="188"/>
      <c r="I224" s="188"/>
      <c r="J224" s="188"/>
      <c r="K224" s="188"/>
      <c r="L224" s="188"/>
      <c r="M224" s="188"/>
      <c r="N224" s="188"/>
      <c r="O224" s="188"/>
      <c r="P224" s="188"/>
      <c r="Q224" s="42"/>
      <c r="R224" s="137"/>
      <c r="T224" s="173"/>
    </row>
    <row r="225" spans="1:21" x14ac:dyDescent="0.2">
      <c r="A225" s="36"/>
      <c r="B225" s="37"/>
      <c r="C225" s="188"/>
      <c r="D225" s="188"/>
      <c r="E225" s="188"/>
      <c r="F225" s="188"/>
      <c r="G225" s="188"/>
      <c r="H225" s="188"/>
      <c r="I225" s="188"/>
      <c r="J225" s="188"/>
      <c r="K225" s="188"/>
      <c r="L225" s="188"/>
      <c r="M225" s="188"/>
      <c r="N225" s="188"/>
      <c r="O225" s="188"/>
      <c r="P225" s="188"/>
      <c r="Q225" s="42"/>
      <c r="R225" s="137"/>
      <c r="T225" s="173"/>
    </row>
    <row r="226" spans="1:21" x14ac:dyDescent="0.2">
      <c r="A226" s="43"/>
      <c r="B226" s="44"/>
      <c r="C226" s="94"/>
      <c r="D226" s="94"/>
      <c r="E226" s="94"/>
      <c r="F226" s="94"/>
      <c r="G226" s="94"/>
      <c r="H226" s="94"/>
      <c r="I226" s="94"/>
      <c r="J226" s="94"/>
      <c r="K226" s="94"/>
      <c r="L226" s="94"/>
      <c r="M226" s="94"/>
      <c r="N226" s="94"/>
      <c r="O226" s="94"/>
      <c r="P226" s="94"/>
      <c r="Q226" s="45"/>
      <c r="R226" s="125"/>
      <c r="T226" s="94"/>
      <c r="U226" s="40"/>
    </row>
    <row r="227" spans="1:21" x14ac:dyDescent="0.2">
      <c r="A227" s="129"/>
      <c r="B227" s="11" t="s">
        <v>36</v>
      </c>
      <c r="C227" s="131"/>
      <c r="D227" s="131"/>
      <c r="E227" s="131"/>
      <c r="F227" s="131"/>
      <c r="G227" s="131"/>
      <c r="H227" s="131"/>
      <c r="I227" s="131"/>
      <c r="J227" s="131"/>
      <c r="K227" s="131"/>
      <c r="L227" s="131"/>
      <c r="M227" s="131"/>
      <c r="N227" s="131"/>
      <c r="O227" s="131"/>
      <c r="P227" s="131"/>
      <c r="Q227" s="132"/>
      <c r="R227" s="126"/>
      <c r="T227" s="131"/>
      <c r="U227" s="39"/>
    </row>
    <row r="228" spans="1:21" x14ac:dyDescent="0.2">
      <c r="C228" s="46"/>
      <c r="D228" s="46"/>
      <c r="E228" s="46"/>
      <c r="F228" s="46"/>
      <c r="G228" s="46"/>
      <c r="H228" s="46"/>
      <c r="I228" s="46"/>
      <c r="J228" s="46"/>
      <c r="K228" s="46"/>
      <c r="L228" s="46"/>
      <c r="M228" s="46"/>
      <c r="N228" s="46"/>
      <c r="O228" s="46"/>
      <c r="P228" s="171" t="s">
        <v>15</v>
      </c>
      <c r="Q228" s="133" t="s">
        <v>0</v>
      </c>
      <c r="R228" s="137">
        <f>SUM(R207:R226)</f>
        <v>0</v>
      </c>
      <c r="T228" s="140"/>
      <c r="U228" s="70"/>
    </row>
    <row r="229" spans="1:21" x14ac:dyDescent="0.2">
      <c r="P229" s="188"/>
      <c r="Q229" s="124"/>
      <c r="R229" s="125"/>
    </row>
  </sheetData>
  <customSheetViews>
    <customSheetView guid="{CBA2F18A-D99E-4593-B5C7-F549C46D482A}" scale="80" showPageBreaks="1" zeroValues="0" printArea="1" hiddenRows="1" hiddenColumns="1" view="pageBreakPreview">
      <pane xSplit="2" ySplit="3" topLeftCell="E439" activePane="bottomRight" state="frozen"/>
      <selection pane="bottomRight" activeCell="B332" sqref="B332"/>
      <pageMargins left="0.51181102362204722" right="0.19685039370078741" top="0.98425196850393704" bottom="0.59055118110236227" header="0.31496062992125984" footer="0.31496062992125984"/>
      <pageSetup paperSize="8" scale="90" orientation="landscape" useFirstPageNumber="1" r:id="rId1"/>
      <headerFooter>
        <oddHeader>&amp;R&amp;UBILL NO. 2
ACCESSORIES</oddHeader>
        <oddFooter>&amp;L&amp;8MBR GPV PH1A BQ ADD5&amp;C&amp;10 2/K/&amp;P</oddFooter>
      </headerFooter>
    </customSheetView>
    <customSheetView guid="{A5028593-220E-41E5-9B7F-B61B224ADECB}" scale="85" showPageBreaks="1" zeroValues="0" printArea="1" hiddenColumns="1" view="pageBreakPreview">
      <pane ySplit="3" topLeftCell="A155" activePane="bottomLeft" state="frozen"/>
      <selection pane="bottomLeft" activeCell="I180" sqref="I180"/>
      <pageMargins left="0.51181102362204722" right="0.19685039370078741" top="0.98425196850393704" bottom="0.59055118110236227" header="0.31496062992125984" footer="0.31496062992125984"/>
      <pageSetup paperSize="8" scale="85" orientation="landscape" useFirstPageNumber="1" r:id="rId2"/>
      <headerFooter>
        <oddHeader>&amp;R&amp;UBILL NO. 2
ACCESSORIES</oddHeader>
        <oddFooter>&amp;L&amp;8MBR CV BQ&amp;C&amp;10 2/K/&amp;P</oddFooter>
      </headerFooter>
    </customSheetView>
    <customSheetView guid="{9B0AB937-A858-4024-AFD2-25458CC5120D}" scale="85" showPageBreaks="1" zeroValues="0" printArea="1" hiddenColumns="1" view="pageBreakPreview">
      <pane ySplit="3" topLeftCell="A155" activePane="bottomLeft" state="frozen"/>
      <selection pane="bottomLeft" activeCell="I180" sqref="I180"/>
      <pageMargins left="0.51181102362204722" right="0.19685039370078741" top="0.98425196850393704" bottom="0.59055118110236227" header="0.31496062992125984" footer="0.31496062992125984"/>
      <pageSetup paperSize="8" scale="85" orientation="landscape" useFirstPageNumber="1" r:id="rId3"/>
      <headerFooter>
        <oddHeader>&amp;R&amp;UBILL NO. 2
ACCESSORIES</oddHeader>
        <oddFooter>&amp;L&amp;8MBR CV BQ&amp;C&amp;10 2/K/&amp;P</oddFooter>
      </headerFooter>
    </customSheetView>
    <customSheetView guid="{09AFA358-18AB-4F70-994A-26F8BCF8C7CA}" scale="85" showPageBreaks="1" zeroValues="0" printArea="1" hiddenColumns="1" view="pageBreakPreview">
      <pane ySplit="3" topLeftCell="A202" activePane="bottomLeft" state="frozen"/>
      <selection pane="bottomLeft" activeCell="B9" sqref="B9"/>
      <pageMargins left="0.51181102362204722" right="0.19685039370078741" top="0.98425196850393704" bottom="0.59055118110236227" header="0.31496062992125984" footer="0.31496062992125984"/>
      <pageSetup paperSize="8" scale="85" orientation="landscape" useFirstPageNumber="1" r:id="rId4"/>
      <headerFooter>
        <oddHeader>&amp;R&amp;UBILL NO. 2
ACCESSORIES</oddHeader>
        <oddFooter>&amp;L&amp;8MBR CV BQ&amp;C&amp;10 2/K/&amp;P</oddFooter>
      </headerFooter>
    </customSheetView>
  </customSheetViews>
  <mergeCells count="14">
    <mergeCell ref="O209:P209"/>
    <mergeCell ref="F2:F3"/>
    <mergeCell ref="H2:H3"/>
    <mergeCell ref="J2:J3"/>
    <mergeCell ref="L2:L3"/>
    <mergeCell ref="N2:N3"/>
    <mergeCell ref="R1:R3"/>
    <mergeCell ref="D2:D3"/>
    <mergeCell ref="A1:A3"/>
    <mergeCell ref="B1:B3"/>
    <mergeCell ref="C1:O1"/>
    <mergeCell ref="P1:P3"/>
    <mergeCell ref="Q1:Q3"/>
    <mergeCell ref="O2:O3"/>
  </mergeCells>
  <printOptions horizontalCentered="1"/>
  <pageMargins left="0.51181102362204722" right="0.19685039370078741" top="0.98425196850393704" bottom="0.59055118110236227" header="0.31496062992125984" footer="0.31496062992125984"/>
  <pageSetup paperSize="8" orientation="landscape" useFirstPageNumber="1" r:id="rId5"/>
  <headerFooter>
    <oddHeader>&amp;R&amp;U
BILL NO. 3: TOWNHOUSE A
  ACCESSORIES</oddHeader>
    <oddFooter>&amp;L&amp;8DMS No. 148110 Package 3 (30 Sept 2021)&amp;C&amp;10 3/K/&amp;P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sheetPr>
  <dimension ref="A1:AN1074"/>
  <sheetViews>
    <sheetView showZeros="0" view="pageBreakPreview" topLeftCell="A1011" zoomScale="85" zoomScaleNormal="85" zoomScaleSheetLayoutView="85" workbookViewId="0">
      <selection activeCell="A1011" sqref="A1:R1048576"/>
    </sheetView>
  </sheetViews>
  <sheetFormatPr defaultRowHeight="14.25" x14ac:dyDescent="0.2"/>
  <cols>
    <col min="1" max="1" width="6.125" style="383" customWidth="1"/>
    <col min="2" max="2" width="61.875" style="483" customWidth="1"/>
    <col min="3" max="3" width="11.125" style="384" customWidth="1"/>
    <col min="4" max="4" width="10.625" style="384" hidden="1" customWidth="1"/>
    <col min="5" max="5" width="11.125" style="384" customWidth="1"/>
    <col min="6" max="6" width="10.625" style="384" hidden="1" customWidth="1"/>
    <col min="7" max="7" width="11.125" style="384" customWidth="1"/>
    <col min="8" max="8" width="10.625" style="384" hidden="1" customWidth="1"/>
    <col min="9" max="9" width="11.125" style="384" customWidth="1"/>
    <col min="10" max="10" width="10.625" style="384" hidden="1" customWidth="1"/>
    <col min="11" max="11" width="11.125" style="384" customWidth="1"/>
    <col min="12" max="12" width="10.625" style="384" hidden="1" customWidth="1"/>
    <col min="13" max="13" width="11.125" style="384" customWidth="1"/>
    <col min="14" max="14" width="10.625" style="384" hidden="1" customWidth="1"/>
    <col min="15" max="15" width="12.125" style="384" customWidth="1"/>
    <col min="16" max="16" width="7.125" style="384" customWidth="1"/>
    <col min="17" max="17" width="12.125" style="385" customWidth="1"/>
    <col min="18" max="18" width="16.625" style="385" customWidth="1"/>
    <col min="19" max="19" width="9" style="255"/>
    <col min="20" max="21" width="9.75" style="212" customWidth="1"/>
    <col min="22" max="22" width="2.375" style="255" customWidth="1"/>
    <col min="23" max="24" width="9.75" style="212" customWidth="1"/>
    <col min="25" max="25" width="2.375" style="255" customWidth="1"/>
    <col min="26" max="27" width="9.75" style="212" customWidth="1"/>
    <col min="28" max="28" width="2.375" style="255" customWidth="1"/>
    <col min="29" max="30" width="9.75" style="212" customWidth="1"/>
    <col min="31" max="31" width="2.375" style="255" customWidth="1"/>
    <col min="32" max="33" width="9.75" style="212" customWidth="1"/>
    <col min="34" max="34" width="2.375" style="255" customWidth="1"/>
    <col min="35" max="36" width="9.75" style="212" customWidth="1"/>
    <col min="37" max="37" width="2.375" style="255" customWidth="1"/>
    <col min="38" max="39" width="9.75" style="212" customWidth="1"/>
    <col min="40" max="16384" width="9" style="255"/>
  </cols>
  <sheetData>
    <row r="1" spans="1:39" s="245" customFormat="1" x14ac:dyDescent="0.2">
      <c r="A1" s="540" t="s">
        <v>5</v>
      </c>
      <c r="B1" s="540" t="s">
        <v>4</v>
      </c>
      <c r="C1" s="543" t="s">
        <v>3</v>
      </c>
      <c r="D1" s="543"/>
      <c r="E1" s="543"/>
      <c r="F1" s="543"/>
      <c r="G1" s="543"/>
      <c r="H1" s="543"/>
      <c r="I1" s="543"/>
      <c r="J1" s="543"/>
      <c r="K1" s="543"/>
      <c r="L1" s="543"/>
      <c r="M1" s="543"/>
      <c r="N1" s="543"/>
      <c r="O1" s="543"/>
      <c r="P1" s="544" t="s">
        <v>2</v>
      </c>
      <c r="Q1" s="547" t="s">
        <v>6</v>
      </c>
      <c r="R1" s="535" t="s">
        <v>7</v>
      </c>
      <c r="T1" s="207"/>
      <c r="U1" s="207"/>
      <c r="W1" s="207"/>
      <c r="X1" s="207"/>
      <c r="Z1" s="207"/>
      <c r="AA1" s="207"/>
      <c r="AC1" s="207"/>
      <c r="AD1" s="207"/>
      <c r="AF1" s="207"/>
      <c r="AG1" s="207"/>
      <c r="AI1" s="207"/>
      <c r="AJ1" s="207"/>
      <c r="AL1" s="207"/>
      <c r="AM1" s="207"/>
    </row>
    <row r="2" spans="1:39" s="245" customFormat="1" ht="27" customHeight="1" x14ac:dyDescent="0.2">
      <c r="A2" s="541"/>
      <c r="B2" s="541"/>
      <c r="C2" s="428" t="s">
        <v>439</v>
      </c>
      <c r="D2" s="538" t="s">
        <v>23</v>
      </c>
      <c r="E2" s="428" t="s">
        <v>440</v>
      </c>
      <c r="F2" s="538" t="s">
        <v>23</v>
      </c>
      <c r="G2" s="428" t="s">
        <v>441</v>
      </c>
      <c r="H2" s="538" t="s">
        <v>23</v>
      </c>
      <c r="I2" s="428" t="s">
        <v>442</v>
      </c>
      <c r="J2" s="538" t="s">
        <v>23</v>
      </c>
      <c r="K2" s="428" t="s">
        <v>443</v>
      </c>
      <c r="L2" s="538" t="s">
        <v>23</v>
      </c>
      <c r="M2" s="428" t="s">
        <v>444</v>
      </c>
      <c r="N2" s="538" t="s">
        <v>23</v>
      </c>
      <c r="O2" s="551" t="s">
        <v>22</v>
      </c>
      <c r="P2" s="545"/>
      <c r="Q2" s="548"/>
      <c r="R2" s="536"/>
      <c r="T2" s="208" t="s">
        <v>657</v>
      </c>
      <c r="U2" s="208" t="s">
        <v>446</v>
      </c>
      <c r="W2" s="209" t="s">
        <v>658</v>
      </c>
      <c r="X2" s="209" t="s">
        <v>659</v>
      </c>
      <c r="Z2" s="209" t="s">
        <v>660</v>
      </c>
      <c r="AA2" s="209" t="s">
        <v>661</v>
      </c>
      <c r="AC2" s="209" t="s">
        <v>662</v>
      </c>
      <c r="AD2" s="209" t="s">
        <v>663</v>
      </c>
      <c r="AF2" s="209" t="s">
        <v>664</v>
      </c>
      <c r="AG2" s="209" t="s">
        <v>665</v>
      </c>
      <c r="AI2" s="209" t="s">
        <v>666</v>
      </c>
      <c r="AJ2" s="209" t="s">
        <v>667</v>
      </c>
      <c r="AL2" s="209" t="s">
        <v>668</v>
      </c>
      <c r="AM2" s="209" t="s">
        <v>669</v>
      </c>
    </row>
    <row r="3" spans="1:39" s="245" customFormat="1" x14ac:dyDescent="0.2">
      <c r="A3" s="542"/>
      <c r="B3" s="542"/>
      <c r="C3" s="246">
        <v>1</v>
      </c>
      <c r="D3" s="539"/>
      <c r="E3" s="246">
        <v>1</v>
      </c>
      <c r="F3" s="539"/>
      <c r="G3" s="246">
        <v>5</v>
      </c>
      <c r="H3" s="539"/>
      <c r="I3" s="246">
        <v>1</v>
      </c>
      <c r="J3" s="539"/>
      <c r="K3" s="246">
        <v>3</v>
      </c>
      <c r="L3" s="539"/>
      <c r="M3" s="246">
        <v>1</v>
      </c>
      <c r="N3" s="539"/>
      <c r="O3" s="552"/>
      <c r="P3" s="546"/>
      <c r="Q3" s="549"/>
      <c r="R3" s="537"/>
      <c r="S3" s="247">
        <f>+C3+E3+G3+I3+K3+M3</f>
        <v>12</v>
      </c>
      <c r="T3" s="246"/>
      <c r="U3" s="246"/>
      <c r="W3" s="246">
        <v>2</v>
      </c>
      <c r="X3" s="246">
        <v>2</v>
      </c>
      <c r="Z3" s="246">
        <v>2</v>
      </c>
      <c r="AA3" s="246">
        <v>3</v>
      </c>
      <c r="AC3" s="246">
        <v>2</v>
      </c>
      <c r="AD3" s="246">
        <v>4</v>
      </c>
      <c r="AF3" s="246">
        <v>2</v>
      </c>
      <c r="AG3" s="246">
        <v>5</v>
      </c>
      <c r="AI3" s="246">
        <v>2</v>
      </c>
      <c r="AJ3" s="246">
        <v>6</v>
      </c>
      <c r="AL3" s="246">
        <v>2</v>
      </c>
      <c r="AM3" s="246">
        <v>7</v>
      </c>
    </row>
    <row r="4" spans="1:39" x14ac:dyDescent="0.2">
      <c r="A4" s="248"/>
      <c r="B4" s="249"/>
      <c r="C4" s="250"/>
      <c r="D4" s="251"/>
      <c r="E4" s="251"/>
      <c r="F4" s="251"/>
      <c r="G4" s="251"/>
      <c r="H4" s="251"/>
      <c r="I4" s="251"/>
      <c r="J4" s="251"/>
      <c r="K4" s="251"/>
      <c r="L4" s="251"/>
      <c r="M4" s="251"/>
      <c r="N4" s="251"/>
      <c r="O4" s="251"/>
      <c r="P4" s="252"/>
      <c r="Q4" s="253"/>
      <c r="R4" s="254"/>
      <c r="T4" s="210"/>
      <c r="U4" s="210"/>
      <c r="W4" s="210"/>
      <c r="X4" s="210"/>
      <c r="Z4" s="210"/>
      <c r="AA4" s="210"/>
      <c r="AC4" s="210"/>
      <c r="AD4" s="210"/>
      <c r="AF4" s="210"/>
      <c r="AG4" s="210"/>
      <c r="AI4" s="210"/>
      <c r="AJ4" s="210"/>
      <c r="AL4" s="210"/>
      <c r="AM4" s="210"/>
    </row>
    <row r="5" spans="1:39" x14ac:dyDescent="0.2">
      <c r="A5" s="256"/>
      <c r="B5" s="257" t="s">
        <v>28</v>
      </c>
      <c r="C5" s="250"/>
      <c r="D5" s="251"/>
      <c r="E5" s="251"/>
      <c r="F5" s="251"/>
      <c r="G5" s="251"/>
      <c r="H5" s="251"/>
      <c r="I5" s="251"/>
      <c r="J5" s="251"/>
      <c r="K5" s="251"/>
      <c r="L5" s="251"/>
      <c r="M5" s="251"/>
      <c r="N5" s="251"/>
      <c r="O5" s="251"/>
      <c r="P5" s="252"/>
      <c r="Q5" s="253"/>
      <c r="R5" s="254"/>
      <c r="T5" s="211"/>
      <c r="U5" s="211"/>
      <c r="W5" s="211"/>
      <c r="X5" s="211"/>
      <c r="Z5" s="211"/>
      <c r="AA5" s="211"/>
      <c r="AC5" s="211"/>
      <c r="AD5" s="211"/>
      <c r="AF5" s="211"/>
      <c r="AG5" s="211"/>
      <c r="AI5" s="211"/>
      <c r="AJ5" s="211"/>
      <c r="AL5" s="211"/>
      <c r="AM5" s="211"/>
    </row>
    <row r="6" spans="1:39" s="264" customFormat="1" x14ac:dyDescent="0.2">
      <c r="A6" s="258"/>
      <c r="B6" s="259"/>
      <c r="C6" s="260"/>
      <c r="D6" s="260"/>
      <c r="E6" s="260"/>
      <c r="F6" s="260"/>
      <c r="G6" s="260"/>
      <c r="H6" s="260"/>
      <c r="I6" s="260"/>
      <c r="J6" s="260"/>
      <c r="K6" s="260"/>
      <c r="L6" s="260"/>
      <c r="M6" s="260"/>
      <c r="N6" s="260"/>
      <c r="O6" s="260"/>
      <c r="P6" s="261"/>
      <c r="Q6" s="262"/>
      <c r="R6" s="263"/>
      <c r="T6" s="211"/>
      <c r="U6" s="211"/>
      <c r="W6" s="211"/>
      <c r="X6" s="211"/>
      <c r="Z6" s="211"/>
      <c r="AA6" s="211"/>
      <c r="AC6" s="211"/>
      <c r="AD6" s="211"/>
      <c r="AF6" s="211"/>
      <c r="AG6" s="211"/>
      <c r="AI6" s="211"/>
      <c r="AJ6" s="211"/>
      <c r="AL6" s="211"/>
      <c r="AM6" s="211"/>
    </row>
    <row r="7" spans="1:39" s="267" customFormat="1" x14ac:dyDescent="0.2">
      <c r="A7" s="308"/>
      <c r="B7" s="265" t="s">
        <v>249</v>
      </c>
      <c r="C7" s="290"/>
      <c r="D7" s="290"/>
      <c r="E7" s="290"/>
      <c r="F7" s="290"/>
      <c r="G7" s="290"/>
      <c r="H7" s="290"/>
      <c r="I7" s="290"/>
      <c r="J7" s="290"/>
      <c r="K7" s="290"/>
      <c r="L7" s="290"/>
      <c r="M7" s="290"/>
      <c r="N7" s="290"/>
      <c r="O7" s="290"/>
      <c r="P7" s="261"/>
      <c r="Q7" s="262"/>
      <c r="R7" s="263"/>
      <c r="S7" s="264"/>
      <c r="T7" s="266"/>
      <c r="U7" s="266"/>
      <c r="W7" s="268"/>
      <c r="X7" s="266"/>
      <c r="Z7" s="268"/>
      <c r="AA7" s="266"/>
      <c r="AC7" s="268"/>
      <c r="AD7" s="266"/>
      <c r="AF7" s="268"/>
      <c r="AG7" s="266"/>
      <c r="AI7" s="268"/>
      <c r="AJ7" s="266"/>
      <c r="AL7" s="268"/>
      <c r="AM7" s="266"/>
    </row>
    <row r="8" spans="1:39" s="267" customFormat="1" x14ac:dyDescent="0.2">
      <c r="A8" s="308"/>
      <c r="B8" s="206"/>
      <c r="C8" s="290"/>
      <c r="D8" s="290"/>
      <c r="E8" s="290"/>
      <c r="F8" s="290"/>
      <c r="G8" s="290"/>
      <c r="H8" s="290"/>
      <c r="I8" s="290"/>
      <c r="J8" s="290"/>
      <c r="K8" s="290"/>
      <c r="L8" s="290"/>
      <c r="M8" s="290"/>
      <c r="N8" s="290"/>
      <c r="O8" s="290"/>
      <c r="P8" s="261"/>
      <c r="Q8" s="262"/>
      <c r="R8" s="263"/>
      <c r="S8" s="264"/>
      <c r="T8" s="266"/>
      <c r="U8" s="266"/>
      <c r="W8" s="268"/>
      <c r="X8" s="266"/>
      <c r="Z8" s="268"/>
      <c r="AA8" s="266"/>
      <c r="AC8" s="268"/>
      <c r="AD8" s="266"/>
      <c r="AF8" s="268"/>
      <c r="AG8" s="266"/>
      <c r="AI8" s="268"/>
      <c r="AJ8" s="266"/>
      <c r="AL8" s="268"/>
      <c r="AM8" s="266"/>
    </row>
    <row r="9" spans="1:39" s="267" customFormat="1" ht="28.5" x14ac:dyDescent="0.2">
      <c r="A9" s="308"/>
      <c r="B9" s="269" t="s">
        <v>176</v>
      </c>
      <c r="C9" s="290"/>
      <c r="D9" s="290"/>
      <c r="E9" s="290"/>
      <c r="F9" s="290"/>
      <c r="G9" s="290"/>
      <c r="H9" s="290"/>
      <c r="I9" s="290"/>
      <c r="J9" s="290"/>
      <c r="K9" s="290"/>
      <c r="L9" s="290"/>
      <c r="M9" s="290"/>
      <c r="N9" s="290"/>
      <c r="O9" s="290"/>
      <c r="P9" s="261"/>
      <c r="Q9" s="262"/>
      <c r="R9" s="263"/>
      <c r="S9" s="264"/>
      <c r="T9" s="266"/>
      <c r="U9" s="266"/>
      <c r="W9" s="268"/>
      <c r="X9" s="266"/>
      <c r="Z9" s="268"/>
      <c r="AA9" s="266"/>
      <c r="AC9" s="268"/>
      <c r="AD9" s="266"/>
      <c r="AF9" s="268"/>
      <c r="AG9" s="266"/>
      <c r="AI9" s="268"/>
      <c r="AJ9" s="266"/>
      <c r="AL9" s="268"/>
      <c r="AM9" s="266"/>
    </row>
    <row r="10" spans="1:39" s="267" customFormat="1" x14ac:dyDescent="0.2">
      <c r="A10" s="308"/>
      <c r="B10" s="206"/>
      <c r="C10" s="290"/>
      <c r="D10" s="290"/>
      <c r="E10" s="290"/>
      <c r="F10" s="290"/>
      <c r="G10" s="290"/>
      <c r="H10" s="290"/>
      <c r="I10" s="290"/>
      <c r="J10" s="290"/>
      <c r="K10" s="290"/>
      <c r="L10" s="290"/>
      <c r="M10" s="290"/>
      <c r="N10" s="290"/>
      <c r="O10" s="290"/>
      <c r="P10" s="261"/>
      <c r="Q10" s="262"/>
      <c r="R10" s="263"/>
      <c r="S10" s="264"/>
      <c r="T10" s="266"/>
      <c r="U10" s="266"/>
      <c r="W10" s="268"/>
      <c r="X10" s="266"/>
      <c r="Z10" s="268"/>
      <c r="AA10" s="266"/>
      <c r="AC10" s="268"/>
      <c r="AD10" s="266"/>
      <c r="AF10" s="268"/>
      <c r="AG10" s="266"/>
      <c r="AI10" s="268"/>
      <c r="AJ10" s="266"/>
      <c r="AL10" s="268"/>
      <c r="AM10" s="266"/>
    </row>
    <row r="11" spans="1:39" s="267" customFormat="1" x14ac:dyDescent="0.2">
      <c r="A11" s="308"/>
      <c r="B11" s="457" t="s">
        <v>881</v>
      </c>
      <c r="C11" s="290"/>
      <c r="D11" s="290"/>
      <c r="E11" s="290"/>
      <c r="F11" s="290"/>
      <c r="G11" s="290"/>
      <c r="H11" s="290"/>
      <c r="I11" s="290"/>
      <c r="J11" s="290"/>
      <c r="K11" s="290"/>
      <c r="L11" s="290"/>
      <c r="M11" s="290"/>
      <c r="N11" s="290"/>
      <c r="O11" s="290"/>
      <c r="P11" s="261"/>
      <c r="Q11" s="262"/>
      <c r="R11" s="263"/>
      <c r="S11" s="264"/>
      <c r="T11" s="266"/>
      <c r="U11" s="266"/>
      <c r="W11" s="268"/>
      <c r="X11" s="266"/>
      <c r="Z11" s="268"/>
      <c r="AA11" s="266"/>
      <c r="AC11" s="268"/>
      <c r="AD11" s="266"/>
      <c r="AF11" s="268"/>
      <c r="AG11" s="266"/>
      <c r="AI11" s="268"/>
      <c r="AJ11" s="266"/>
      <c r="AL11" s="268"/>
      <c r="AM11" s="266"/>
    </row>
    <row r="12" spans="1:39" s="267" customFormat="1" x14ac:dyDescent="0.2">
      <c r="A12" s="308"/>
      <c r="B12" s="293"/>
      <c r="C12" s="290"/>
      <c r="D12" s="290"/>
      <c r="E12" s="290"/>
      <c r="F12" s="290"/>
      <c r="G12" s="290"/>
      <c r="H12" s="290"/>
      <c r="I12" s="290"/>
      <c r="J12" s="290"/>
      <c r="K12" s="290"/>
      <c r="L12" s="290"/>
      <c r="M12" s="290"/>
      <c r="N12" s="290"/>
      <c r="O12" s="290"/>
      <c r="P12" s="261"/>
      <c r="Q12" s="262"/>
      <c r="R12" s="263"/>
      <c r="S12" s="264"/>
      <c r="T12" s="266"/>
      <c r="U12" s="266"/>
      <c r="W12" s="268"/>
      <c r="X12" s="266"/>
      <c r="Z12" s="268"/>
      <c r="AA12" s="266"/>
      <c r="AC12" s="268"/>
      <c r="AD12" s="266"/>
      <c r="AF12" s="268"/>
      <c r="AG12" s="266"/>
      <c r="AI12" s="268"/>
      <c r="AJ12" s="266"/>
      <c r="AL12" s="268"/>
      <c r="AM12" s="266"/>
    </row>
    <row r="13" spans="1:39" s="267" customFormat="1" x14ac:dyDescent="0.2">
      <c r="A13" s="308"/>
      <c r="B13" s="265" t="s">
        <v>250</v>
      </c>
      <c r="C13" s="290"/>
      <c r="D13" s="290"/>
      <c r="E13" s="290"/>
      <c r="F13" s="290"/>
      <c r="G13" s="290"/>
      <c r="H13" s="290"/>
      <c r="I13" s="290"/>
      <c r="J13" s="290"/>
      <c r="K13" s="290"/>
      <c r="L13" s="290"/>
      <c r="M13" s="290"/>
      <c r="N13" s="290"/>
      <c r="O13" s="290"/>
      <c r="P13" s="261"/>
      <c r="Q13" s="262"/>
      <c r="R13" s="263"/>
      <c r="S13" s="264"/>
      <c r="T13" s="266"/>
      <c r="U13" s="266"/>
      <c r="W13" s="268"/>
      <c r="X13" s="266"/>
      <c r="Z13" s="268"/>
      <c r="AA13" s="266"/>
      <c r="AC13" s="268"/>
      <c r="AD13" s="266"/>
      <c r="AF13" s="268"/>
      <c r="AG13" s="266"/>
      <c r="AI13" s="268"/>
      <c r="AJ13" s="266"/>
      <c r="AL13" s="268"/>
      <c r="AM13" s="266"/>
    </row>
    <row r="14" spans="1:39" s="267" customFormat="1" x14ac:dyDescent="0.2">
      <c r="A14" s="308"/>
      <c r="B14" s="293"/>
      <c r="C14" s="290"/>
      <c r="D14" s="290"/>
      <c r="E14" s="290"/>
      <c r="F14" s="290"/>
      <c r="G14" s="290"/>
      <c r="H14" s="290"/>
      <c r="I14" s="290"/>
      <c r="J14" s="290"/>
      <c r="K14" s="290"/>
      <c r="L14" s="290"/>
      <c r="M14" s="290"/>
      <c r="N14" s="290"/>
      <c r="O14" s="290"/>
      <c r="P14" s="261"/>
      <c r="Q14" s="262"/>
      <c r="R14" s="263"/>
      <c r="S14" s="264"/>
      <c r="T14" s="266"/>
      <c r="U14" s="266"/>
      <c r="W14" s="268"/>
      <c r="X14" s="266"/>
      <c r="Z14" s="268"/>
      <c r="AA14" s="266"/>
      <c r="AC14" s="268"/>
      <c r="AD14" s="266"/>
      <c r="AF14" s="268"/>
      <c r="AG14" s="266"/>
      <c r="AI14" s="268"/>
      <c r="AJ14" s="266"/>
      <c r="AL14" s="268"/>
      <c r="AM14" s="266"/>
    </row>
    <row r="15" spans="1:39" s="267" customFormat="1" ht="28.5" x14ac:dyDescent="0.2">
      <c r="A15" s="308"/>
      <c r="B15" s="265" t="s">
        <v>670</v>
      </c>
      <c r="C15" s="290"/>
      <c r="D15" s="290"/>
      <c r="E15" s="290"/>
      <c r="F15" s="290"/>
      <c r="G15" s="290"/>
      <c r="H15" s="290"/>
      <c r="I15" s="290"/>
      <c r="J15" s="290"/>
      <c r="K15" s="290"/>
      <c r="L15" s="290"/>
      <c r="M15" s="290"/>
      <c r="N15" s="290"/>
      <c r="O15" s="290"/>
      <c r="P15" s="261"/>
      <c r="Q15" s="262"/>
      <c r="R15" s="263"/>
      <c r="S15" s="264"/>
      <c r="T15" s="266"/>
      <c r="U15" s="266"/>
      <c r="W15" s="268"/>
      <c r="X15" s="266"/>
      <c r="Z15" s="268"/>
      <c r="AA15" s="266"/>
      <c r="AC15" s="268"/>
      <c r="AD15" s="266"/>
      <c r="AF15" s="268"/>
      <c r="AG15" s="266"/>
      <c r="AI15" s="268"/>
      <c r="AJ15" s="266"/>
      <c r="AL15" s="268"/>
      <c r="AM15" s="266"/>
    </row>
    <row r="16" spans="1:39" s="267" customFormat="1" x14ac:dyDescent="0.2">
      <c r="A16" s="308"/>
      <c r="B16" s="293"/>
      <c r="C16" s="290"/>
      <c r="D16" s="290"/>
      <c r="E16" s="290"/>
      <c r="F16" s="290"/>
      <c r="G16" s="290"/>
      <c r="H16" s="290"/>
      <c r="I16" s="290"/>
      <c r="J16" s="290"/>
      <c r="K16" s="290"/>
      <c r="L16" s="290"/>
      <c r="M16" s="290"/>
      <c r="N16" s="290"/>
      <c r="O16" s="290"/>
      <c r="P16" s="261"/>
      <c r="Q16" s="262"/>
      <c r="R16" s="263"/>
      <c r="S16" s="270"/>
      <c r="T16" s="266"/>
      <c r="U16" s="266"/>
      <c r="W16" s="268"/>
      <c r="X16" s="266"/>
      <c r="Z16" s="268"/>
      <c r="AA16" s="266"/>
      <c r="AC16" s="268"/>
      <c r="AD16" s="266"/>
      <c r="AF16" s="268"/>
      <c r="AG16" s="266"/>
      <c r="AI16" s="268"/>
      <c r="AJ16" s="266"/>
      <c r="AL16" s="268"/>
      <c r="AM16" s="266"/>
    </row>
    <row r="17" spans="1:39" s="267" customFormat="1" ht="28.5" x14ac:dyDescent="0.2">
      <c r="A17" s="308"/>
      <c r="B17" s="271" t="s">
        <v>671</v>
      </c>
      <c r="C17" s="290"/>
      <c r="D17" s="290"/>
      <c r="E17" s="290"/>
      <c r="F17" s="290"/>
      <c r="G17" s="290"/>
      <c r="H17" s="290"/>
      <c r="I17" s="290"/>
      <c r="J17" s="290"/>
      <c r="K17" s="290"/>
      <c r="L17" s="290"/>
      <c r="M17" s="290"/>
      <c r="N17" s="290"/>
      <c r="O17" s="290"/>
      <c r="P17" s="261"/>
      <c r="Q17" s="262"/>
      <c r="R17" s="263"/>
      <c r="S17" s="270"/>
      <c r="T17" s="266"/>
      <c r="U17" s="266"/>
      <c r="W17" s="268"/>
      <c r="X17" s="266"/>
      <c r="Z17" s="268"/>
      <c r="AA17" s="266"/>
      <c r="AC17" s="268"/>
      <c r="AD17" s="266"/>
      <c r="AF17" s="268"/>
      <c r="AG17" s="266"/>
      <c r="AI17" s="268"/>
      <c r="AJ17" s="266"/>
      <c r="AL17" s="268"/>
      <c r="AM17" s="266"/>
    </row>
    <row r="18" spans="1:39" s="267" customFormat="1" x14ac:dyDescent="0.2">
      <c r="A18" s="308"/>
      <c r="B18" s="293"/>
      <c r="C18" s="290"/>
      <c r="D18" s="290"/>
      <c r="E18" s="290"/>
      <c r="F18" s="290"/>
      <c r="G18" s="290"/>
      <c r="H18" s="290"/>
      <c r="I18" s="290"/>
      <c r="J18" s="290"/>
      <c r="K18" s="290"/>
      <c r="L18" s="290"/>
      <c r="M18" s="290"/>
      <c r="N18" s="290"/>
      <c r="O18" s="290"/>
      <c r="P18" s="261"/>
      <c r="Q18" s="262"/>
      <c r="R18" s="263"/>
      <c r="S18" s="270"/>
      <c r="T18" s="266"/>
      <c r="U18" s="266"/>
      <c r="W18" s="268"/>
      <c r="X18" s="266"/>
      <c r="Z18" s="268"/>
      <c r="AA18" s="266"/>
      <c r="AC18" s="268"/>
      <c r="AD18" s="266"/>
      <c r="AF18" s="268"/>
      <c r="AG18" s="266"/>
      <c r="AI18" s="268"/>
      <c r="AJ18" s="266"/>
      <c r="AL18" s="268"/>
      <c r="AM18" s="266"/>
    </row>
    <row r="19" spans="1:39" s="267" customFormat="1" x14ac:dyDescent="0.2">
      <c r="A19" s="308" t="s">
        <v>66</v>
      </c>
      <c r="B19" s="259" t="s">
        <v>204</v>
      </c>
      <c r="C19" s="290">
        <f>(W19+X19)*$C$3</f>
        <v>4</v>
      </c>
      <c r="D19" s="290">
        <f>C19*$Q19</f>
        <v>0</v>
      </c>
      <c r="E19" s="290">
        <f>(Z19+AA19)*$E$3</f>
        <v>5</v>
      </c>
      <c r="F19" s="290">
        <f>E19*$Q19</f>
        <v>0</v>
      </c>
      <c r="G19" s="290">
        <f>(AC19+AD19)*$G$3</f>
        <v>30</v>
      </c>
      <c r="H19" s="290">
        <f>G19*$Q19</f>
        <v>0</v>
      </c>
      <c r="I19" s="290">
        <f>(AF19+AG19)*$I$3</f>
        <v>7</v>
      </c>
      <c r="J19" s="290">
        <f>I19*$Q19</f>
        <v>0</v>
      </c>
      <c r="K19" s="290">
        <f>(AI19+AJ19)*$K$3</f>
        <v>24</v>
      </c>
      <c r="L19" s="290">
        <f>K19*$Q19</f>
        <v>0</v>
      </c>
      <c r="M19" s="290">
        <f>(AL19+AM19)*$M$3</f>
        <v>9</v>
      </c>
      <c r="N19" s="290">
        <f>M19*$Q19</f>
        <v>0</v>
      </c>
      <c r="O19" s="290">
        <f>C19+E19+G19+I19+K19+M19</f>
        <v>79</v>
      </c>
      <c r="P19" s="261" t="s">
        <v>12</v>
      </c>
      <c r="Q19" s="262"/>
      <c r="R19" s="435">
        <f>O19*Q19</f>
        <v>0</v>
      </c>
      <c r="S19" s="270"/>
      <c r="T19" s="266">
        <v>1</v>
      </c>
      <c r="U19" s="266">
        <v>1</v>
      </c>
      <c r="W19" s="268">
        <f>T19*$W$3</f>
        <v>2</v>
      </c>
      <c r="X19" s="266">
        <f>U19*$X$3</f>
        <v>2</v>
      </c>
      <c r="Z19" s="268">
        <f>W19</f>
        <v>2</v>
      </c>
      <c r="AA19" s="266">
        <f>U19*$AA$3</f>
        <v>3</v>
      </c>
      <c r="AC19" s="268">
        <f>W19</f>
        <v>2</v>
      </c>
      <c r="AD19" s="266">
        <f>U19*$AD$3</f>
        <v>4</v>
      </c>
      <c r="AF19" s="268">
        <f>W19</f>
        <v>2</v>
      </c>
      <c r="AG19" s="266">
        <f>U19*$AG$3</f>
        <v>5</v>
      </c>
      <c r="AI19" s="268">
        <f>W19</f>
        <v>2</v>
      </c>
      <c r="AJ19" s="266">
        <f>U19*$AJ$3</f>
        <v>6</v>
      </c>
      <c r="AL19" s="268">
        <f>W19</f>
        <v>2</v>
      </c>
      <c r="AM19" s="266">
        <f>U19*$AM$3</f>
        <v>7</v>
      </c>
    </row>
    <row r="20" spans="1:39" s="267" customFormat="1" x14ac:dyDescent="0.2">
      <c r="A20" s="308"/>
      <c r="B20" s="259"/>
      <c r="C20" s="290"/>
      <c r="D20" s="290"/>
      <c r="E20" s="290"/>
      <c r="F20" s="290"/>
      <c r="G20" s="290"/>
      <c r="H20" s="290"/>
      <c r="I20" s="290"/>
      <c r="J20" s="290"/>
      <c r="K20" s="290"/>
      <c r="L20" s="290"/>
      <c r="M20" s="290"/>
      <c r="N20" s="290"/>
      <c r="O20" s="290"/>
      <c r="P20" s="261"/>
      <c r="Q20" s="262"/>
      <c r="R20" s="435"/>
      <c r="S20" s="270"/>
      <c r="T20" s="266"/>
      <c r="U20" s="266"/>
      <c r="W20" s="268"/>
      <c r="X20" s="266"/>
      <c r="Z20" s="268"/>
      <c r="AA20" s="266"/>
      <c r="AC20" s="268"/>
      <c r="AD20" s="266"/>
      <c r="AF20" s="268"/>
      <c r="AG20" s="266"/>
      <c r="AI20" s="268"/>
      <c r="AJ20" s="266"/>
      <c r="AL20" s="268"/>
      <c r="AM20" s="266"/>
    </row>
    <row r="21" spans="1:39" s="267" customFormat="1" x14ac:dyDescent="0.2">
      <c r="A21" s="308"/>
      <c r="B21" s="272" t="s">
        <v>672</v>
      </c>
      <c r="C21" s="290"/>
      <c r="D21" s="290"/>
      <c r="E21" s="290"/>
      <c r="F21" s="290"/>
      <c r="G21" s="290"/>
      <c r="H21" s="290"/>
      <c r="I21" s="290"/>
      <c r="J21" s="290"/>
      <c r="K21" s="290"/>
      <c r="L21" s="290"/>
      <c r="M21" s="290"/>
      <c r="N21" s="290"/>
      <c r="O21" s="290"/>
      <c r="P21" s="261"/>
      <c r="Q21" s="262"/>
      <c r="R21" s="435"/>
      <c r="S21" s="270"/>
      <c r="T21" s="266"/>
      <c r="U21" s="266"/>
      <c r="W21" s="268"/>
      <c r="X21" s="266"/>
      <c r="Z21" s="268"/>
      <c r="AA21" s="266"/>
      <c r="AC21" s="268"/>
      <c r="AD21" s="266"/>
      <c r="AF21" s="268"/>
      <c r="AG21" s="266"/>
      <c r="AI21" s="268"/>
      <c r="AJ21" s="266"/>
      <c r="AL21" s="268"/>
      <c r="AM21" s="266"/>
    </row>
    <row r="22" spans="1:39" s="267" customFormat="1" x14ac:dyDescent="0.2">
      <c r="A22" s="308"/>
      <c r="B22" s="293"/>
      <c r="C22" s="290"/>
      <c r="D22" s="290"/>
      <c r="E22" s="290"/>
      <c r="F22" s="290"/>
      <c r="G22" s="290"/>
      <c r="H22" s="290"/>
      <c r="I22" s="290"/>
      <c r="J22" s="290"/>
      <c r="K22" s="290"/>
      <c r="L22" s="290"/>
      <c r="M22" s="290"/>
      <c r="N22" s="290"/>
      <c r="O22" s="290"/>
      <c r="P22" s="261"/>
      <c r="Q22" s="262"/>
      <c r="R22" s="435"/>
      <c r="S22" s="270"/>
      <c r="T22" s="266"/>
      <c r="U22" s="266"/>
      <c r="W22" s="268"/>
      <c r="X22" s="266"/>
      <c r="Z22" s="268"/>
      <c r="AA22" s="266"/>
      <c r="AC22" s="268"/>
      <c r="AD22" s="266"/>
      <c r="AF22" s="268"/>
      <c r="AG22" s="266"/>
      <c r="AI22" s="268"/>
      <c r="AJ22" s="266"/>
      <c r="AL22" s="268"/>
      <c r="AM22" s="266"/>
    </row>
    <row r="23" spans="1:39" s="267" customFormat="1" x14ac:dyDescent="0.2">
      <c r="A23" s="308" t="s">
        <v>67</v>
      </c>
      <c r="B23" s="259" t="s">
        <v>204</v>
      </c>
      <c r="C23" s="290">
        <f>(W23+X23)*$C$3</f>
        <v>20</v>
      </c>
      <c r="D23" s="290">
        <f>C23*$Q23</f>
        <v>0</v>
      </c>
      <c r="E23" s="290">
        <f>(Z23+AA23)*$E$3</f>
        <v>25</v>
      </c>
      <c r="F23" s="290">
        <f>E23*$Q23</f>
        <v>0</v>
      </c>
      <c r="G23" s="290">
        <f>(AC23+AD23)*$G$3</f>
        <v>150</v>
      </c>
      <c r="H23" s="290">
        <f>G23*$Q23</f>
        <v>0</v>
      </c>
      <c r="I23" s="290">
        <f>(AF23+AG23)*$I$3</f>
        <v>35</v>
      </c>
      <c r="J23" s="290">
        <f>I23*$Q23</f>
        <v>0</v>
      </c>
      <c r="K23" s="290">
        <f>(AI23+AJ23)*$K$3</f>
        <v>120</v>
      </c>
      <c r="L23" s="290">
        <f>K23*$Q23</f>
        <v>0</v>
      </c>
      <c r="M23" s="290">
        <f>(AL23+AM23)*$M$3</f>
        <v>45</v>
      </c>
      <c r="N23" s="290">
        <f>M23*$Q23</f>
        <v>0</v>
      </c>
      <c r="O23" s="290">
        <f>C23+E23+G23+I23+K23+M23</f>
        <v>395</v>
      </c>
      <c r="P23" s="261" t="s">
        <v>12</v>
      </c>
      <c r="Q23" s="262"/>
      <c r="R23" s="435">
        <f>O23*Q23</f>
        <v>0</v>
      </c>
      <c r="S23" s="270"/>
      <c r="T23" s="266">
        <v>5</v>
      </c>
      <c r="U23" s="266">
        <v>5</v>
      </c>
      <c r="W23" s="268">
        <f>T23*$W$3</f>
        <v>10</v>
      </c>
      <c r="X23" s="266">
        <f>U23*$X$3</f>
        <v>10</v>
      </c>
      <c r="Z23" s="268">
        <f>W23</f>
        <v>10</v>
      </c>
      <c r="AA23" s="266">
        <f>U23*$AA$3</f>
        <v>15</v>
      </c>
      <c r="AC23" s="268">
        <f>W23</f>
        <v>10</v>
      </c>
      <c r="AD23" s="266">
        <f>U23*$AD$3</f>
        <v>20</v>
      </c>
      <c r="AF23" s="268">
        <f>W23</f>
        <v>10</v>
      </c>
      <c r="AG23" s="266">
        <f>U23*$AG$3</f>
        <v>25</v>
      </c>
      <c r="AI23" s="268">
        <f>W23</f>
        <v>10</v>
      </c>
      <c r="AJ23" s="266">
        <f>U23*$AJ$3</f>
        <v>30</v>
      </c>
      <c r="AL23" s="268">
        <f>W23</f>
        <v>10</v>
      </c>
      <c r="AM23" s="266">
        <f>U23*$AM$3</f>
        <v>35</v>
      </c>
    </row>
    <row r="24" spans="1:39" s="267" customFormat="1" x14ac:dyDescent="0.2">
      <c r="A24" s="308"/>
      <c r="B24" s="259"/>
      <c r="C24" s="290"/>
      <c r="D24" s="290"/>
      <c r="E24" s="290"/>
      <c r="F24" s="290"/>
      <c r="G24" s="290"/>
      <c r="H24" s="290"/>
      <c r="I24" s="290"/>
      <c r="J24" s="290"/>
      <c r="K24" s="290"/>
      <c r="L24" s="290"/>
      <c r="M24" s="290"/>
      <c r="N24" s="290"/>
      <c r="O24" s="290"/>
      <c r="P24" s="261"/>
      <c r="Q24" s="262"/>
      <c r="R24" s="435"/>
      <c r="S24" s="270"/>
      <c r="T24" s="266"/>
      <c r="U24" s="266"/>
      <c r="W24" s="268"/>
      <c r="X24" s="266"/>
      <c r="Z24" s="268"/>
      <c r="AA24" s="266"/>
      <c r="AC24" s="268"/>
      <c r="AD24" s="266"/>
      <c r="AF24" s="268"/>
      <c r="AG24" s="266"/>
      <c r="AI24" s="268"/>
      <c r="AJ24" s="266"/>
      <c r="AL24" s="268"/>
      <c r="AM24" s="266"/>
    </row>
    <row r="25" spans="1:39" s="267" customFormat="1" x14ac:dyDescent="0.2">
      <c r="A25" s="308" t="s">
        <v>68</v>
      </c>
      <c r="B25" s="259" t="s">
        <v>153</v>
      </c>
      <c r="C25" s="290">
        <f>(W25+X25)*$C$3</f>
        <v>64</v>
      </c>
      <c r="D25" s="290">
        <f>C25*$Q25</f>
        <v>0</v>
      </c>
      <c r="E25" s="290">
        <f>(Z25+AA25)*$E$3</f>
        <v>80</v>
      </c>
      <c r="F25" s="290">
        <f>E25*$Q25</f>
        <v>0</v>
      </c>
      <c r="G25" s="290">
        <f>(AC25+AD25)*$G$3</f>
        <v>480</v>
      </c>
      <c r="H25" s="290">
        <f>G25*$Q25</f>
        <v>0</v>
      </c>
      <c r="I25" s="290">
        <f>(AF25+AG25)*$I$3</f>
        <v>112</v>
      </c>
      <c r="J25" s="290">
        <f>I25*$Q25</f>
        <v>0</v>
      </c>
      <c r="K25" s="290">
        <f>(AI25+AJ25)*$K$3</f>
        <v>384</v>
      </c>
      <c r="L25" s="290">
        <f>K25*$Q25</f>
        <v>0</v>
      </c>
      <c r="M25" s="290">
        <f>(AL25+AM25)*$M$3</f>
        <v>144</v>
      </c>
      <c r="N25" s="290">
        <f>M25*$Q25</f>
        <v>0</v>
      </c>
      <c r="O25" s="290">
        <f>C25+E25+G25+I25+K25+M25</f>
        <v>1264</v>
      </c>
      <c r="P25" s="261" t="s">
        <v>12</v>
      </c>
      <c r="Q25" s="262"/>
      <c r="R25" s="435">
        <f>O25*Q25</f>
        <v>0</v>
      </c>
      <c r="S25" s="270"/>
      <c r="T25" s="266">
        <v>16</v>
      </c>
      <c r="U25" s="266">
        <v>16</v>
      </c>
      <c r="W25" s="268">
        <f>T25*$W$3</f>
        <v>32</v>
      </c>
      <c r="X25" s="266">
        <f>U25*$X$3</f>
        <v>32</v>
      </c>
      <c r="Z25" s="268">
        <f>W25</f>
        <v>32</v>
      </c>
      <c r="AA25" s="266">
        <f>U25*$AA$3</f>
        <v>48</v>
      </c>
      <c r="AC25" s="268">
        <f>W25</f>
        <v>32</v>
      </c>
      <c r="AD25" s="266">
        <f>U25*$AD$3</f>
        <v>64</v>
      </c>
      <c r="AF25" s="268">
        <f>W25</f>
        <v>32</v>
      </c>
      <c r="AG25" s="266">
        <f>U25*$AG$3</f>
        <v>80</v>
      </c>
      <c r="AI25" s="268">
        <f>W25</f>
        <v>32</v>
      </c>
      <c r="AJ25" s="266">
        <f>U25*$AJ$3</f>
        <v>96</v>
      </c>
      <c r="AL25" s="268">
        <f>W25</f>
        <v>32</v>
      </c>
      <c r="AM25" s="266">
        <f>U25*$AM$3</f>
        <v>112</v>
      </c>
    </row>
    <row r="26" spans="1:39" s="267" customFormat="1" x14ac:dyDescent="0.2">
      <c r="A26" s="308"/>
      <c r="B26" s="259"/>
      <c r="C26" s="290"/>
      <c r="D26" s="290"/>
      <c r="E26" s="290"/>
      <c r="F26" s="290"/>
      <c r="G26" s="290"/>
      <c r="H26" s="290"/>
      <c r="I26" s="290"/>
      <c r="J26" s="290"/>
      <c r="K26" s="290"/>
      <c r="L26" s="290"/>
      <c r="M26" s="290"/>
      <c r="N26" s="290"/>
      <c r="O26" s="290"/>
      <c r="P26" s="261"/>
      <c r="Q26" s="262"/>
      <c r="R26" s="435"/>
      <c r="S26" s="270"/>
      <c r="T26" s="266"/>
      <c r="U26" s="266"/>
      <c r="W26" s="268"/>
      <c r="X26" s="266"/>
      <c r="Z26" s="268"/>
      <c r="AA26" s="266"/>
      <c r="AC26" s="268"/>
      <c r="AD26" s="266"/>
      <c r="AF26" s="268"/>
      <c r="AG26" s="266"/>
      <c r="AI26" s="268"/>
      <c r="AJ26" s="266"/>
      <c r="AL26" s="268"/>
      <c r="AM26" s="266"/>
    </row>
    <row r="27" spans="1:39" s="267" customFormat="1" x14ac:dyDescent="0.2">
      <c r="A27" s="308"/>
      <c r="B27" s="293" t="s">
        <v>240</v>
      </c>
      <c r="C27" s="290"/>
      <c r="D27" s="290">
        <f>C27*$Q27</f>
        <v>0</v>
      </c>
      <c r="E27" s="290"/>
      <c r="F27" s="290"/>
      <c r="G27" s="290"/>
      <c r="H27" s="290"/>
      <c r="I27" s="290"/>
      <c r="J27" s="290"/>
      <c r="K27" s="290"/>
      <c r="L27" s="290"/>
      <c r="M27" s="290"/>
      <c r="N27" s="290"/>
      <c r="O27" s="290"/>
      <c r="P27" s="261"/>
      <c r="Q27" s="262"/>
      <c r="R27" s="435"/>
      <c r="S27" s="264"/>
      <c r="T27" s="266"/>
      <c r="U27" s="266"/>
      <c r="W27" s="268"/>
      <c r="X27" s="266"/>
      <c r="Z27" s="268"/>
      <c r="AA27" s="266"/>
      <c r="AC27" s="268"/>
      <c r="AD27" s="266"/>
      <c r="AF27" s="268"/>
      <c r="AG27" s="266"/>
      <c r="AI27" s="268"/>
      <c r="AJ27" s="266"/>
      <c r="AL27" s="268"/>
      <c r="AM27" s="266"/>
    </row>
    <row r="28" spans="1:39" s="267" customFormat="1" x14ac:dyDescent="0.2">
      <c r="A28" s="308"/>
      <c r="B28" s="293"/>
      <c r="C28" s="290"/>
      <c r="D28" s="290"/>
      <c r="E28" s="290"/>
      <c r="F28" s="290"/>
      <c r="G28" s="290"/>
      <c r="H28" s="290"/>
      <c r="I28" s="290"/>
      <c r="J28" s="290"/>
      <c r="K28" s="290"/>
      <c r="L28" s="290"/>
      <c r="M28" s="290"/>
      <c r="N28" s="290"/>
      <c r="O28" s="290"/>
      <c r="P28" s="261"/>
      <c r="Q28" s="262"/>
      <c r="R28" s="435"/>
      <c r="S28" s="264"/>
      <c r="T28" s="266"/>
      <c r="U28" s="266"/>
      <c r="W28" s="268"/>
      <c r="X28" s="266"/>
      <c r="Z28" s="268"/>
      <c r="AA28" s="266"/>
      <c r="AC28" s="268"/>
      <c r="AD28" s="266"/>
      <c r="AF28" s="268"/>
      <c r="AG28" s="266"/>
      <c r="AI28" s="268"/>
      <c r="AJ28" s="266"/>
      <c r="AL28" s="268"/>
      <c r="AM28" s="266"/>
    </row>
    <row r="29" spans="1:39" s="267" customFormat="1" x14ac:dyDescent="0.2">
      <c r="A29" s="308" t="s">
        <v>69</v>
      </c>
      <c r="B29" s="269" t="s">
        <v>199</v>
      </c>
      <c r="C29" s="290">
        <f>(W29+X29)*$C$3</f>
        <v>4</v>
      </c>
      <c r="D29" s="290">
        <f>C29*$Q29</f>
        <v>0</v>
      </c>
      <c r="E29" s="290">
        <f>(Z29+AA29)*$E$3</f>
        <v>5</v>
      </c>
      <c r="F29" s="290">
        <f>E29*$Q29</f>
        <v>0</v>
      </c>
      <c r="G29" s="290">
        <f>(AC29+AD29)*$G$3</f>
        <v>30</v>
      </c>
      <c r="H29" s="290">
        <f>G29*$Q29</f>
        <v>0</v>
      </c>
      <c r="I29" s="290">
        <f>(AF29+AG29)*$I$3</f>
        <v>7</v>
      </c>
      <c r="J29" s="290">
        <f>I29*$Q29</f>
        <v>0</v>
      </c>
      <c r="K29" s="290">
        <f>(AI29+AJ29)*$K$3</f>
        <v>24</v>
      </c>
      <c r="L29" s="290">
        <f>K29*$Q29</f>
        <v>0</v>
      </c>
      <c r="M29" s="290">
        <f>(AL29+AM29)*$M$3</f>
        <v>9</v>
      </c>
      <c r="N29" s="290">
        <f>M29*$Q29</f>
        <v>0</v>
      </c>
      <c r="O29" s="290">
        <f>C29+E29+G29+I29+K29+M29</f>
        <v>79</v>
      </c>
      <c r="P29" s="261" t="s">
        <v>269</v>
      </c>
      <c r="Q29" s="262"/>
      <c r="R29" s="435">
        <f>O29*Q29</f>
        <v>0</v>
      </c>
      <c r="S29" s="264"/>
      <c r="T29" s="266">
        <v>1</v>
      </c>
      <c r="U29" s="266">
        <v>1</v>
      </c>
      <c r="W29" s="268">
        <f>T29*$W$3</f>
        <v>2</v>
      </c>
      <c r="X29" s="266">
        <f>U29*$X$3</f>
        <v>2</v>
      </c>
      <c r="Z29" s="268">
        <f>W29</f>
        <v>2</v>
      </c>
      <c r="AA29" s="266">
        <f>U29*$AA$3</f>
        <v>3</v>
      </c>
      <c r="AC29" s="268">
        <f>W29</f>
        <v>2</v>
      </c>
      <c r="AD29" s="266">
        <f>U29*$AD$3</f>
        <v>4</v>
      </c>
      <c r="AF29" s="268">
        <f>W29</f>
        <v>2</v>
      </c>
      <c r="AG29" s="266">
        <f>U29*$AG$3</f>
        <v>5</v>
      </c>
      <c r="AI29" s="268">
        <f>W29</f>
        <v>2</v>
      </c>
      <c r="AJ29" s="266">
        <f>U29*$AJ$3</f>
        <v>6</v>
      </c>
      <c r="AL29" s="268">
        <f>W29</f>
        <v>2</v>
      </c>
      <c r="AM29" s="266">
        <f>U29*$AM$3</f>
        <v>7</v>
      </c>
    </row>
    <row r="30" spans="1:39" s="267" customFormat="1" x14ac:dyDescent="0.2">
      <c r="A30" s="308"/>
      <c r="B30" s="293"/>
      <c r="C30" s="290"/>
      <c r="D30" s="290"/>
      <c r="E30" s="290"/>
      <c r="F30" s="290"/>
      <c r="G30" s="290"/>
      <c r="H30" s="290"/>
      <c r="I30" s="290"/>
      <c r="J30" s="290"/>
      <c r="K30" s="290"/>
      <c r="L30" s="290"/>
      <c r="M30" s="290"/>
      <c r="N30" s="290"/>
      <c r="O30" s="290"/>
      <c r="P30" s="261"/>
      <c r="Q30" s="262"/>
      <c r="R30" s="435"/>
      <c r="S30" s="264"/>
      <c r="T30" s="266"/>
      <c r="U30" s="266"/>
      <c r="W30" s="268"/>
      <c r="X30" s="266"/>
      <c r="Z30" s="268"/>
      <c r="AA30" s="266"/>
      <c r="AC30" s="268"/>
      <c r="AD30" s="266"/>
      <c r="AF30" s="268"/>
      <c r="AG30" s="266"/>
      <c r="AI30" s="268"/>
      <c r="AJ30" s="266"/>
      <c r="AL30" s="268"/>
      <c r="AM30" s="266"/>
    </row>
    <row r="31" spans="1:39" s="267" customFormat="1" x14ac:dyDescent="0.2">
      <c r="A31" s="308" t="s">
        <v>70</v>
      </c>
      <c r="B31" s="269" t="s">
        <v>673</v>
      </c>
      <c r="C31" s="290">
        <f>(W31+X31)*$C$3</f>
        <v>8</v>
      </c>
      <c r="D31" s="290">
        <f>C31*$Q31</f>
        <v>0</v>
      </c>
      <c r="E31" s="290">
        <f>(Z31+AA31)*$E$3</f>
        <v>10</v>
      </c>
      <c r="F31" s="290">
        <f>E31*$Q31</f>
        <v>0</v>
      </c>
      <c r="G31" s="290">
        <f>(AC31+AD31)*$G$3</f>
        <v>60</v>
      </c>
      <c r="H31" s="290">
        <f>G31*$Q31</f>
        <v>0</v>
      </c>
      <c r="I31" s="290">
        <f>(AF31+AG31)*$I$3</f>
        <v>14</v>
      </c>
      <c r="J31" s="290">
        <f>I31*$Q31</f>
        <v>0</v>
      </c>
      <c r="K31" s="290">
        <f>(AI31+AJ31)*$K$3</f>
        <v>48</v>
      </c>
      <c r="L31" s="290">
        <f>K31*$Q31</f>
        <v>0</v>
      </c>
      <c r="M31" s="290">
        <f>(AL31+AM31)*$M$3</f>
        <v>18</v>
      </c>
      <c r="N31" s="290">
        <f>M31*$Q31</f>
        <v>0</v>
      </c>
      <c r="O31" s="290">
        <f>C31+E31+G31+I31+K31+M31</f>
        <v>158</v>
      </c>
      <c r="P31" s="261" t="s">
        <v>269</v>
      </c>
      <c r="Q31" s="262"/>
      <c r="R31" s="435">
        <f>O31*Q31</f>
        <v>0</v>
      </c>
      <c r="S31" s="264"/>
      <c r="T31" s="266">
        <v>2</v>
      </c>
      <c r="U31" s="266">
        <v>2</v>
      </c>
      <c r="W31" s="268">
        <f>T31*$W$3</f>
        <v>4</v>
      </c>
      <c r="X31" s="266">
        <f>U31*$X$3</f>
        <v>4</v>
      </c>
      <c r="Z31" s="268">
        <f>W31</f>
        <v>4</v>
      </c>
      <c r="AA31" s="266">
        <f>U31*$AA$3</f>
        <v>6</v>
      </c>
      <c r="AC31" s="268">
        <f>W31</f>
        <v>4</v>
      </c>
      <c r="AD31" s="266">
        <f>U31*$AD$3</f>
        <v>8</v>
      </c>
      <c r="AF31" s="268">
        <f>W31</f>
        <v>4</v>
      </c>
      <c r="AG31" s="266">
        <f>U31*$AG$3</f>
        <v>10</v>
      </c>
      <c r="AI31" s="268">
        <f>W31</f>
        <v>4</v>
      </c>
      <c r="AJ31" s="266">
        <f>U31*$AJ$3</f>
        <v>12</v>
      </c>
      <c r="AL31" s="268">
        <f>W31</f>
        <v>4</v>
      </c>
      <c r="AM31" s="266">
        <f>U31*$AM$3</f>
        <v>14</v>
      </c>
    </row>
    <row r="32" spans="1:39" s="267" customFormat="1" x14ac:dyDescent="0.2">
      <c r="A32" s="308"/>
      <c r="B32" s="293"/>
      <c r="C32" s="290"/>
      <c r="D32" s="290"/>
      <c r="E32" s="290"/>
      <c r="F32" s="290"/>
      <c r="G32" s="290"/>
      <c r="H32" s="290"/>
      <c r="I32" s="290"/>
      <c r="J32" s="290"/>
      <c r="K32" s="290"/>
      <c r="L32" s="290"/>
      <c r="M32" s="290"/>
      <c r="N32" s="290"/>
      <c r="O32" s="290"/>
      <c r="P32" s="261"/>
      <c r="Q32" s="262"/>
      <c r="R32" s="435"/>
      <c r="S32" s="264"/>
      <c r="T32" s="266"/>
      <c r="U32" s="266"/>
      <c r="W32" s="268"/>
      <c r="X32" s="266"/>
      <c r="Z32" s="268"/>
      <c r="AA32" s="266"/>
      <c r="AC32" s="268"/>
      <c r="AD32" s="266"/>
      <c r="AF32" s="268"/>
      <c r="AG32" s="266"/>
      <c r="AI32" s="268"/>
      <c r="AJ32" s="266"/>
      <c r="AL32" s="268"/>
      <c r="AM32" s="266"/>
    </row>
    <row r="33" spans="1:39" s="267" customFormat="1" x14ac:dyDescent="0.2">
      <c r="A33" s="308"/>
      <c r="B33" s="259"/>
      <c r="C33" s="290"/>
      <c r="D33" s="290"/>
      <c r="E33" s="290"/>
      <c r="F33" s="290"/>
      <c r="G33" s="290"/>
      <c r="H33" s="290"/>
      <c r="I33" s="290"/>
      <c r="J33" s="290"/>
      <c r="K33" s="290"/>
      <c r="L33" s="290"/>
      <c r="M33" s="290"/>
      <c r="N33" s="290"/>
      <c r="O33" s="290"/>
      <c r="P33" s="261"/>
      <c r="Q33" s="262"/>
      <c r="R33" s="435"/>
      <c r="S33" s="264"/>
      <c r="T33" s="266"/>
      <c r="U33" s="266"/>
      <c r="W33" s="268"/>
      <c r="X33" s="266"/>
      <c r="Z33" s="268"/>
      <c r="AA33" s="266"/>
      <c r="AC33" s="268"/>
      <c r="AD33" s="266"/>
      <c r="AF33" s="268"/>
      <c r="AG33" s="266"/>
      <c r="AI33" s="268"/>
      <c r="AJ33" s="266"/>
      <c r="AL33" s="268"/>
      <c r="AM33" s="266"/>
    </row>
    <row r="34" spans="1:39" s="267" customFormat="1" x14ac:dyDescent="0.2">
      <c r="A34" s="308"/>
      <c r="B34" s="259"/>
      <c r="C34" s="290"/>
      <c r="D34" s="290"/>
      <c r="E34" s="290"/>
      <c r="F34" s="290"/>
      <c r="G34" s="290"/>
      <c r="H34" s="290"/>
      <c r="I34" s="290"/>
      <c r="J34" s="290"/>
      <c r="K34" s="290"/>
      <c r="L34" s="290"/>
      <c r="M34" s="290"/>
      <c r="N34" s="290"/>
      <c r="O34" s="290"/>
      <c r="P34" s="261"/>
      <c r="Q34" s="262"/>
      <c r="R34" s="435"/>
      <c r="S34" s="264"/>
      <c r="T34" s="266"/>
      <c r="U34" s="266"/>
      <c r="W34" s="268"/>
      <c r="X34" s="266"/>
      <c r="Z34" s="268"/>
      <c r="AA34" s="266"/>
      <c r="AC34" s="268"/>
      <c r="AD34" s="266"/>
      <c r="AF34" s="268"/>
      <c r="AG34" s="266"/>
      <c r="AI34" s="268"/>
      <c r="AJ34" s="266"/>
      <c r="AL34" s="268"/>
      <c r="AM34" s="266"/>
    </row>
    <row r="35" spans="1:39" s="267" customFormat="1" x14ac:dyDescent="0.2">
      <c r="A35" s="308"/>
      <c r="B35" s="269"/>
      <c r="C35" s="290"/>
      <c r="D35" s="290"/>
      <c r="E35" s="290"/>
      <c r="F35" s="290"/>
      <c r="G35" s="290"/>
      <c r="H35" s="290"/>
      <c r="I35" s="290"/>
      <c r="J35" s="290"/>
      <c r="K35" s="290"/>
      <c r="L35" s="290"/>
      <c r="M35" s="290"/>
      <c r="N35" s="290"/>
      <c r="O35" s="290"/>
      <c r="P35" s="261"/>
      <c r="Q35" s="262"/>
      <c r="R35" s="435"/>
      <c r="S35" s="264"/>
      <c r="T35" s="266"/>
      <c r="U35" s="266"/>
      <c r="W35" s="268"/>
      <c r="X35" s="266"/>
      <c r="Z35" s="268"/>
      <c r="AA35" s="266"/>
      <c r="AC35" s="268"/>
      <c r="AD35" s="266"/>
      <c r="AF35" s="268"/>
      <c r="AG35" s="266"/>
      <c r="AI35" s="268"/>
      <c r="AJ35" s="266"/>
      <c r="AL35" s="268"/>
      <c r="AM35" s="266"/>
    </row>
    <row r="36" spans="1:39" s="267" customFormat="1" x14ac:dyDescent="0.2">
      <c r="A36" s="308"/>
      <c r="B36" s="293"/>
      <c r="C36" s="290"/>
      <c r="D36" s="290"/>
      <c r="E36" s="290"/>
      <c r="F36" s="290"/>
      <c r="G36" s="290"/>
      <c r="H36" s="290"/>
      <c r="I36" s="290"/>
      <c r="J36" s="290"/>
      <c r="K36" s="290"/>
      <c r="L36" s="290"/>
      <c r="M36" s="290"/>
      <c r="N36" s="290"/>
      <c r="O36" s="290"/>
      <c r="P36" s="261"/>
      <c r="Q36" s="262"/>
      <c r="R36" s="435"/>
      <c r="S36" s="264"/>
      <c r="T36" s="266"/>
      <c r="U36" s="266"/>
      <c r="W36" s="268"/>
      <c r="X36" s="266"/>
      <c r="Z36" s="268"/>
      <c r="AA36" s="266"/>
      <c r="AC36" s="268"/>
      <c r="AD36" s="266"/>
      <c r="AF36" s="268"/>
      <c r="AG36" s="266"/>
      <c r="AI36" s="268"/>
      <c r="AJ36" s="266"/>
      <c r="AL36" s="268"/>
      <c r="AM36" s="266"/>
    </row>
    <row r="37" spans="1:39" s="267" customFormat="1" x14ac:dyDescent="0.2">
      <c r="A37" s="308"/>
      <c r="B37" s="293"/>
      <c r="C37" s="290"/>
      <c r="D37" s="290"/>
      <c r="E37" s="290"/>
      <c r="F37" s="290"/>
      <c r="G37" s="290"/>
      <c r="H37" s="290"/>
      <c r="I37" s="290"/>
      <c r="J37" s="290"/>
      <c r="K37" s="290"/>
      <c r="L37" s="290"/>
      <c r="M37" s="290"/>
      <c r="N37" s="290"/>
      <c r="O37" s="290"/>
      <c r="P37" s="261"/>
      <c r="Q37" s="262"/>
      <c r="R37" s="435"/>
      <c r="S37" s="264"/>
      <c r="T37" s="266"/>
      <c r="U37" s="266"/>
      <c r="W37" s="268"/>
      <c r="X37" s="266"/>
      <c r="Z37" s="268"/>
      <c r="AA37" s="266"/>
      <c r="AC37" s="268"/>
      <c r="AD37" s="266"/>
      <c r="AF37" s="268"/>
      <c r="AG37" s="266"/>
      <c r="AI37" s="268"/>
      <c r="AJ37" s="266"/>
      <c r="AL37" s="268"/>
      <c r="AM37" s="266"/>
    </row>
    <row r="38" spans="1:39" s="267" customFormat="1" x14ac:dyDescent="0.2">
      <c r="A38" s="258"/>
      <c r="B38" s="293"/>
      <c r="C38" s="290"/>
      <c r="D38" s="290"/>
      <c r="E38" s="290"/>
      <c r="F38" s="290"/>
      <c r="G38" s="290"/>
      <c r="H38" s="290"/>
      <c r="I38" s="290"/>
      <c r="J38" s="290"/>
      <c r="K38" s="290"/>
      <c r="L38" s="290"/>
      <c r="M38" s="290"/>
      <c r="N38" s="290"/>
      <c r="O38" s="290"/>
      <c r="P38" s="261"/>
      <c r="Q38" s="262"/>
      <c r="R38" s="435"/>
      <c r="S38" s="264"/>
      <c r="T38" s="266"/>
      <c r="U38" s="266"/>
      <c r="W38" s="268"/>
      <c r="X38" s="266"/>
      <c r="Z38" s="268"/>
      <c r="AA38" s="266"/>
      <c r="AC38" s="268"/>
      <c r="AD38" s="266"/>
      <c r="AF38" s="268"/>
      <c r="AG38" s="266"/>
      <c r="AI38" s="268"/>
      <c r="AJ38" s="266"/>
      <c r="AL38" s="268"/>
      <c r="AM38" s="266"/>
    </row>
    <row r="39" spans="1:39" s="267" customFormat="1" x14ac:dyDescent="0.2">
      <c r="A39" s="258"/>
      <c r="B39" s="293"/>
      <c r="C39" s="290"/>
      <c r="D39" s="290"/>
      <c r="E39" s="290"/>
      <c r="F39" s="290"/>
      <c r="G39" s="290"/>
      <c r="H39" s="290"/>
      <c r="I39" s="290"/>
      <c r="J39" s="290"/>
      <c r="K39" s="290"/>
      <c r="L39" s="290"/>
      <c r="M39" s="290"/>
      <c r="N39" s="290"/>
      <c r="O39" s="290"/>
      <c r="P39" s="261"/>
      <c r="Q39" s="262"/>
      <c r="R39" s="435"/>
      <c r="S39" s="264"/>
      <c r="T39" s="266"/>
      <c r="U39" s="266"/>
      <c r="W39" s="268"/>
      <c r="X39" s="266"/>
      <c r="Z39" s="268"/>
      <c r="AA39" s="266"/>
      <c r="AC39" s="268"/>
      <c r="AD39" s="266"/>
      <c r="AF39" s="268"/>
      <c r="AG39" s="266"/>
      <c r="AI39" s="268"/>
      <c r="AJ39" s="266"/>
      <c r="AL39" s="268"/>
      <c r="AM39" s="266"/>
    </row>
    <row r="40" spans="1:39" s="267" customFormat="1" x14ac:dyDescent="0.2">
      <c r="A40" s="258"/>
      <c r="B40" s="259"/>
      <c r="C40" s="290"/>
      <c r="D40" s="290"/>
      <c r="E40" s="290"/>
      <c r="F40" s="290"/>
      <c r="G40" s="290"/>
      <c r="H40" s="290"/>
      <c r="I40" s="290"/>
      <c r="J40" s="290"/>
      <c r="K40" s="290"/>
      <c r="L40" s="290"/>
      <c r="M40" s="290"/>
      <c r="N40" s="290"/>
      <c r="O40" s="290"/>
      <c r="P40" s="261"/>
      <c r="Q40" s="262"/>
      <c r="R40" s="435"/>
      <c r="S40" s="264"/>
      <c r="T40" s="266"/>
      <c r="U40" s="266"/>
      <c r="W40" s="268"/>
      <c r="X40" s="266"/>
      <c r="Z40" s="268"/>
      <c r="AA40" s="266"/>
      <c r="AC40" s="268"/>
      <c r="AD40" s="266"/>
      <c r="AF40" s="268"/>
      <c r="AG40" s="266"/>
      <c r="AI40" s="268"/>
      <c r="AJ40" s="266"/>
      <c r="AL40" s="268"/>
      <c r="AM40" s="266"/>
    </row>
    <row r="41" spans="1:39" s="267" customFormat="1" x14ac:dyDescent="0.2">
      <c r="A41" s="258"/>
      <c r="B41" s="293"/>
      <c r="C41" s="290"/>
      <c r="D41" s="290"/>
      <c r="E41" s="290"/>
      <c r="F41" s="290"/>
      <c r="G41" s="290"/>
      <c r="H41" s="290"/>
      <c r="I41" s="290"/>
      <c r="J41" s="290"/>
      <c r="K41" s="290"/>
      <c r="L41" s="290"/>
      <c r="M41" s="290"/>
      <c r="N41" s="290"/>
      <c r="O41" s="290"/>
      <c r="P41" s="261"/>
      <c r="Q41" s="262"/>
      <c r="R41" s="435"/>
      <c r="S41" s="264"/>
      <c r="T41" s="266"/>
      <c r="U41" s="266"/>
      <c r="W41" s="268"/>
      <c r="X41" s="266"/>
      <c r="Z41" s="268"/>
      <c r="AA41" s="266"/>
      <c r="AC41" s="268"/>
      <c r="AD41" s="266"/>
      <c r="AF41" s="268"/>
      <c r="AG41" s="266"/>
      <c r="AI41" s="268"/>
      <c r="AJ41" s="266"/>
      <c r="AL41" s="268"/>
      <c r="AM41" s="266"/>
    </row>
    <row r="42" spans="1:39" s="267" customFormat="1" x14ac:dyDescent="0.2">
      <c r="A42" s="308"/>
      <c r="B42" s="269"/>
      <c r="C42" s="290"/>
      <c r="D42" s="290"/>
      <c r="E42" s="290"/>
      <c r="F42" s="290"/>
      <c r="G42" s="290"/>
      <c r="H42" s="290"/>
      <c r="I42" s="290"/>
      <c r="J42" s="290"/>
      <c r="K42" s="290"/>
      <c r="L42" s="290"/>
      <c r="M42" s="290"/>
      <c r="N42" s="290"/>
      <c r="O42" s="290"/>
      <c r="P42" s="261"/>
      <c r="Q42" s="262"/>
      <c r="R42" s="435"/>
      <c r="S42" s="264"/>
      <c r="T42" s="266"/>
      <c r="U42" s="266"/>
      <c r="W42" s="268"/>
      <c r="X42" s="266"/>
      <c r="Z42" s="268"/>
      <c r="AA42" s="266"/>
      <c r="AC42" s="268"/>
      <c r="AD42" s="266"/>
      <c r="AF42" s="268"/>
      <c r="AG42" s="266"/>
      <c r="AI42" s="268"/>
      <c r="AJ42" s="266"/>
      <c r="AL42" s="268"/>
      <c r="AM42" s="266"/>
    </row>
    <row r="43" spans="1:39" s="267" customFormat="1" x14ac:dyDescent="0.2">
      <c r="A43" s="308"/>
      <c r="B43" s="269"/>
      <c r="C43" s="290"/>
      <c r="D43" s="290"/>
      <c r="E43" s="290"/>
      <c r="F43" s="290"/>
      <c r="G43" s="290"/>
      <c r="H43" s="290"/>
      <c r="I43" s="290"/>
      <c r="J43" s="290"/>
      <c r="K43" s="290"/>
      <c r="L43" s="290"/>
      <c r="M43" s="290"/>
      <c r="N43" s="290"/>
      <c r="O43" s="290"/>
      <c r="P43" s="261"/>
      <c r="Q43" s="262"/>
      <c r="R43" s="435"/>
      <c r="S43" s="264"/>
      <c r="T43" s="266"/>
      <c r="U43" s="266"/>
      <c r="W43" s="268"/>
      <c r="X43" s="266"/>
      <c r="Z43" s="268"/>
      <c r="AA43" s="266"/>
      <c r="AC43" s="268"/>
      <c r="AD43" s="266"/>
      <c r="AF43" s="268"/>
      <c r="AG43" s="266"/>
      <c r="AI43" s="268"/>
      <c r="AJ43" s="266"/>
      <c r="AL43" s="268"/>
      <c r="AM43" s="266"/>
    </row>
    <row r="44" spans="1:39" s="267" customFormat="1" x14ac:dyDescent="0.2">
      <c r="A44" s="308"/>
      <c r="B44" s="293"/>
      <c r="C44" s="290"/>
      <c r="D44" s="290"/>
      <c r="E44" s="290"/>
      <c r="F44" s="290"/>
      <c r="G44" s="290"/>
      <c r="H44" s="290"/>
      <c r="I44" s="290"/>
      <c r="J44" s="290"/>
      <c r="K44" s="290"/>
      <c r="L44" s="290"/>
      <c r="M44" s="290"/>
      <c r="N44" s="290"/>
      <c r="O44" s="290"/>
      <c r="P44" s="261"/>
      <c r="Q44" s="262"/>
      <c r="R44" s="435"/>
      <c r="S44" s="264"/>
      <c r="T44" s="266"/>
      <c r="U44" s="266"/>
      <c r="W44" s="268"/>
      <c r="X44" s="266"/>
      <c r="Z44" s="268"/>
      <c r="AA44" s="266"/>
      <c r="AC44" s="268"/>
      <c r="AD44" s="266"/>
      <c r="AF44" s="268"/>
      <c r="AG44" s="266"/>
      <c r="AI44" s="268"/>
      <c r="AJ44" s="266"/>
      <c r="AL44" s="268"/>
      <c r="AM44" s="266"/>
    </row>
    <row r="45" spans="1:39" s="267" customFormat="1" x14ac:dyDescent="0.2">
      <c r="A45" s="308"/>
      <c r="B45" s="206"/>
      <c r="C45" s="290"/>
      <c r="D45" s="290"/>
      <c r="E45" s="290"/>
      <c r="F45" s="290"/>
      <c r="G45" s="290"/>
      <c r="H45" s="290"/>
      <c r="I45" s="290"/>
      <c r="J45" s="290"/>
      <c r="K45" s="290"/>
      <c r="L45" s="290"/>
      <c r="M45" s="290"/>
      <c r="N45" s="290"/>
      <c r="O45" s="290"/>
      <c r="P45" s="261"/>
      <c r="Q45" s="262"/>
      <c r="R45" s="435"/>
      <c r="S45" s="264"/>
      <c r="T45" s="266"/>
      <c r="U45" s="266"/>
      <c r="W45" s="268"/>
      <c r="X45" s="266"/>
      <c r="Z45" s="268"/>
      <c r="AA45" s="266"/>
      <c r="AC45" s="268"/>
      <c r="AD45" s="266"/>
      <c r="AF45" s="268"/>
      <c r="AG45" s="266"/>
      <c r="AI45" s="268"/>
      <c r="AJ45" s="266"/>
      <c r="AL45" s="268"/>
      <c r="AM45" s="266"/>
    </row>
    <row r="46" spans="1:39" s="267" customFormat="1" x14ac:dyDescent="0.2">
      <c r="A46" s="308"/>
      <c r="B46" s="293"/>
      <c r="C46" s="290"/>
      <c r="D46" s="290"/>
      <c r="E46" s="290"/>
      <c r="F46" s="290"/>
      <c r="G46" s="290"/>
      <c r="H46" s="290"/>
      <c r="I46" s="290"/>
      <c r="J46" s="290"/>
      <c r="K46" s="290"/>
      <c r="L46" s="290"/>
      <c r="M46" s="290"/>
      <c r="N46" s="290"/>
      <c r="O46" s="290"/>
      <c r="P46" s="261"/>
      <c r="Q46" s="262"/>
      <c r="R46" s="435"/>
      <c r="S46" s="264"/>
      <c r="T46" s="266"/>
      <c r="U46" s="266"/>
      <c r="W46" s="268"/>
      <c r="X46" s="266"/>
      <c r="Z46" s="268"/>
      <c r="AA46" s="266"/>
      <c r="AC46" s="268"/>
      <c r="AD46" s="266"/>
      <c r="AF46" s="268"/>
      <c r="AG46" s="266"/>
      <c r="AI46" s="268"/>
      <c r="AJ46" s="266"/>
      <c r="AL46" s="268"/>
      <c r="AM46" s="266"/>
    </row>
    <row r="47" spans="1:39" s="267" customFormat="1" x14ac:dyDescent="0.2">
      <c r="A47" s="375"/>
      <c r="B47" s="376"/>
      <c r="C47" s="377"/>
      <c r="D47" s="377"/>
      <c r="E47" s="377"/>
      <c r="F47" s="377"/>
      <c r="G47" s="377"/>
      <c r="H47" s="377"/>
      <c r="I47" s="377"/>
      <c r="J47" s="377"/>
      <c r="K47" s="377"/>
      <c r="L47" s="377"/>
      <c r="M47" s="377"/>
      <c r="N47" s="377"/>
      <c r="O47" s="377"/>
      <c r="P47" s="377"/>
      <c r="Q47" s="378"/>
      <c r="R47" s="441"/>
      <c r="S47" s="264"/>
      <c r="T47" s="273"/>
      <c r="U47" s="274"/>
      <c r="W47" s="275"/>
      <c r="X47" s="273"/>
      <c r="Z47" s="275"/>
      <c r="AA47" s="273"/>
      <c r="AC47" s="275"/>
      <c r="AD47" s="273"/>
      <c r="AF47" s="275"/>
      <c r="AG47" s="273"/>
      <c r="AI47" s="275"/>
      <c r="AJ47" s="273"/>
      <c r="AL47" s="275"/>
      <c r="AM47" s="273"/>
    </row>
    <row r="48" spans="1:39" s="267" customFormat="1" x14ac:dyDescent="0.2">
      <c r="A48" s="380"/>
      <c r="B48" s="320"/>
      <c r="C48" s="550"/>
      <c r="D48" s="550"/>
      <c r="E48" s="550"/>
      <c r="F48" s="550"/>
      <c r="G48" s="550"/>
      <c r="H48" s="550"/>
      <c r="I48" s="550"/>
      <c r="J48" s="550"/>
      <c r="K48" s="550"/>
      <c r="L48" s="550"/>
      <c r="M48" s="550"/>
      <c r="N48" s="550"/>
      <c r="O48" s="550"/>
      <c r="P48" s="550"/>
      <c r="Q48" s="381" t="s">
        <v>0</v>
      </c>
      <c r="R48" s="435">
        <f>SUM(R4:R46)</f>
        <v>0</v>
      </c>
      <c r="S48" s="276"/>
      <c r="T48" s="266"/>
      <c r="U48" s="277"/>
      <c r="W48" s="268"/>
      <c r="X48" s="266"/>
      <c r="Z48" s="268"/>
      <c r="AA48" s="266"/>
      <c r="AC48" s="268"/>
      <c r="AD48" s="266"/>
      <c r="AF48" s="268"/>
      <c r="AG48" s="266"/>
      <c r="AI48" s="268"/>
      <c r="AJ48" s="266"/>
      <c r="AL48" s="268"/>
      <c r="AM48" s="266"/>
    </row>
    <row r="49" spans="1:39" s="267" customFormat="1" x14ac:dyDescent="0.2">
      <c r="A49" s="380"/>
      <c r="B49" s="320"/>
      <c r="C49" s="309"/>
      <c r="D49" s="309"/>
      <c r="E49" s="309"/>
      <c r="F49" s="309"/>
      <c r="G49" s="309"/>
      <c r="H49" s="309"/>
      <c r="I49" s="309"/>
      <c r="J49" s="309"/>
      <c r="K49" s="309"/>
      <c r="L49" s="309"/>
      <c r="M49" s="309"/>
      <c r="N49" s="309"/>
      <c r="O49" s="309"/>
      <c r="P49" s="309"/>
      <c r="Q49" s="294"/>
      <c r="R49" s="458"/>
      <c r="S49" s="264"/>
      <c r="T49" s="278"/>
      <c r="U49" s="279"/>
      <c r="W49" s="280"/>
      <c r="X49" s="278"/>
      <c r="Z49" s="280"/>
      <c r="AA49" s="278"/>
      <c r="AC49" s="280"/>
      <c r="AD49" s="278"/>
      <c r="AF49" s="280"/>
      <c r="AG49" s="278"/>
      <c r="AI49" s="280"/>
      <c r="AJ49" s="278"/>
      <c r="AL49" s="280"/>
      <c r="AM49" s="278"/>
    </row>
    <row r="50" spans="1:39" s="267" customFormat="1" x14ac:dyDescent="0.2">
      <c r="A50" s="308"/>
      <c r="B50" s="293"/>
      <c r="C50" s="290"/>
      <c r="D50" s="290"/>
      <c r="E50" s="290"/>
      <c r="F50" s="290"/>
      <c r="G50" s="290"/>
      <c r="H50" s="290"/>
      <c r="I50" s="290"/>
      <c r="J50" s="290"/>
      <c r="K50" s="290"/>
      <c r="L50" s="290"/>
      <c r="M50" s="290"/>
      <c r="N50" s="290"/>
      <c r="O50" s="290"/>
      <c r="P50" s="261"/>
      <c r="Q50" s="262"/>
      <c r="R50" s="435"/>
      <c r="S50" s="264"/>
      <c r="T50" s="266"/>
      <c r="U50" s="266"/>
      <c r="W50" s="268"/>
      <c r="X50" s="266"/>
      <c r="Z50" s="268"/>
      <c r="AA50" s="266"/>
      <c r="AC50" s="268"/>
      <c r="AD50" s="266"/>
      <c r="AF50" s="268"/>
      <c r="AG50" s="266"/>
      <c r="AI50" s="268"/>
      <c r="AJ50" s="266"/>
      <c r="AL50" s="268"/>
      <c r="AM50" s="266"/>
    </row>
    <row r="51" spans="1:39" s="267" customFormat="1" x14ac:dyDescent="0.2">
      <c r="A51" s="308"/>
      <c r="B51" s="265" t="s">
        <v>251</v>
      </c>
      <c r="C51" s="290"/>
      <c r="D51" s="290"/>
      <c r="E51" s="290"/>
      <c r="F51" s="290"/>
      <c r="G51" s="290"/>
      <c r="H51" s="290"/>
      <c r="I51" s="290"/>
      <c r="J51" s="290"/>
      <c r="K51" s="290"/>
      <c r="L51" s="290"/>
      <c r="M51" s="290"/>
      <c r="N51" s="290"/>
      <c r="O51" s="290"/>
      <c r="P51" s="261"/>
      <c r="Q51" s="262"/>
      <c r="R51" s="435"/>
      <c r="S51" s="264"/>
      <c r="T51" s="266"/>
      <c r="U51" s="266"/>
      <c r="W51" s="268"/>
      <c r="X51" s="266"/>
      <c r="Z51" s="268"/>
      <c r="AA51" s="266"/>
      <c r="AC51" s="268"/>
      <c r="AD51" s="266"/>
      <c r="AF51" s="268"/>
      <c r="AG51" s="266"/>
      <c r="AI51" s="268"/>
      <c r="AJ51" s="266"/>
      <c r="AL51" s="268"/>
      <c r="AM51" s="266"/>
    </row>
    <row r="52" spans="1:39" s="267" customFormat="1" x14ac:dyDescent="0.2">
      <c r="A52" s="308"/>
      <c r="B52" s="265"/>
      <c r="C52" s="290"/>
      <c r="D52" s="290"/>
      <c r="E52" s="290"/>
      <c r="F52" s="290"/>
      <c r="G52" s="290"/>
      <c r="H52" s="290"/>
      <c r="I52" s="290"/>
      <c r="J52" s="290"/>
      <c r="K52" s="290"/>
      <c r="L52" s="290"/>
      <c r="M52" s="290"/>
      <c r="N52" s="290"/>
      <c r="O52" s="290"/>
      <c r="P52" s="261"/>
      <c r="Q52" s="262"/>
      <c r="R52" s="435"/>
      <c r="S52" s="264"/>
      <c r="T52" s="266"/>
      <c r="U52" s="266"/>
      <c r="W52" s="268"/>
      <c r="X52" s="266"/>
      <c r="Z52" s="268"/>
      <c r="AA52" s="266"/>
      <c r="AC52" s="268"/>
      <c r="AD52" s="266"/>
      <c r="AF52" s="268"/>
      <c r="AG52" s="266"/>
      <c r="AI52" s="268"/>
      <c r="AJ52" s="266"/>
      <c r="AL52" s="268"/>
      <c r="AM52" s="266"/>
    </row>
    <row r="53" spans="1:39" s="267" customFormat="1" ht="28.5" x14ac:dyDescent="0.2">
      <c r="A53" s="308"/>
      <c r="B53" s="265" t="s">
        <v>674</v>
      </c>
      <c r="C53" s="290"/>
      <c r="D53" s="290"/>
      <c r="E53" s="290"/>
      <c r="F53" s="290"/>
      <c r="G53" s="290"/>
      <c r="H53" s="290"/>
      <c r="I53" s="290"/>
      <c r="J53" s="290"/>
      <c r="K53" s="290"/>
      <c r="L53" s="290"/>
      <c r="M53" s="290"/>
      <c r="N53" s="290"/>
      <c r="O53" s="290"/>
      <c r="P53" s="261"/>
      <c r="Q53" s="262"/>
      <c r="R53" s="435"/>
      <c r="S53" s="264"/>
      <c r="T53" s="266"/>
      <c r="U53" s="266"/>
      <c r="W53" s="268"/>
      <c r="X53" s="266"/>
      <c r="Z53" s="268"/>
      <c r="AA53" s="266"/>
      <c r="AC53" s="268"/>
      <c r="AD53" s="266"/>
      <c r="AF53" s="268"/>
      <c r="AG53" s="266"/>
      <c r="AI53" s="268"/>
      <c r="AJ53" s="266"/>
      <c r="AL53" s="268"/>
      <c r="AM53" s="266"/>
    </row>
    <row r="54" spans="1:39" s="267" customFormat="1" x14ac:dyDescent="0.2">
      <c r="A54" s="308"/>
      <c r="B54" s="206"/>
      <c r="C54" s="290"/>
      <c r="D54" s="290"/>
      <c r="E54" s="290"/>
      <c r="F54" s="290"/>
      <c r="G54" s="290"/>
      <c r="H54" s="290"/>
      <c r="I54" s="290"/>
      <c r="J54" s="290"/>
      <c r="K54" s="290"/>
      <c r="L54" s="290"/>
      <c r="M54" s="290"/>
      <c r="N54" s="290"/>
      <c r="O54" s="290"/>
      <c r="P54" s="261"/>
      <c r="Q54" s="262"/>
      <c r="R54" s="435"/>
      <c r="S54" s="264"/>
      <c r="T54" s="266"/>
      <c r="U54" s="266"/>
      <c r="W54" s="268"/>
      <c r="X54" s="266"/>
      <c r="Z54" s="268"/>
      <c r="AA54" s="266"/>
      <c r="AC54" s="268"/>
      <c r="AD54" s="266"/>
      <c r="AF54" s="268"/>
      <c r="AG54" s="266"/>
      <c r="AI54" s="268"/>
      <c r="AJ54" s="266"/>
      <c r="AL54" s="268"/>
      <c r="AM54" s="266"/>
    </row>
    <row r="55" spans="1:39" s="267" customFormat="1" ht="28.5" x14ac:dyDescent="0.2">
      <c r="A55" s="308"/>
      <c r="B55" s="271" t="s">
        <v>671</v>
      </c>
      <c r="C55" s="290"/>
      <c r="D55" s="290"/>
      <c r="E55" s="290"/>
      <c r="F55" s="290"/>
      <c r="G55" s="290"/>
      <c r="H55" s="290"/>
      <c r="I55" s="290"/>
      <c r="J55" s="290"/>
      <c r="K55" s="290"/>
      <c r="L55" s="290"/>
      <c r="M55" s="290"/>
      <c r="N55" s="290"/>
      <c r="O55" s="290"/>
      <c r="P55" s="261"/>
      <c r="Q55" s="262"/>
      <c r="R55" s="435"/>
      <c r="S55" s="270"/>
      <c r="T55" s="266"/>
      <c r="U55" s="266"/>
      <c r="W55" s="268"/>
      <c r="X55" s="266"/>
      <c r="Z55" s="268"/>
      <c r="AA55" s="266"/>
      <c r="AC55" s="268"/>
      <c r="AD55" s="266"/>
      <c r="AF55" s="268"/>
      <c r="AG55" s="266"/>
      <c r="AI55" s="268"/>
      <c r="AJ55" s="266"/>
      <c r="AL55" s="268"/>
      <c r="AM55" s="266"/>
    </row>
    <row r="56" spans="1:39" s="267" customFormat="1" x14ac:dyDescent="0.2">
      <c r="A56" s="308"/>
      <c r="B56" s="459"/>
      <c r="C56" s="290"/>
      <c r="D56" s="290"/>
      <c r="E56" s="290"/>
      <c r="F56" s="290"/>
      <c r="G56" s="290"/>
      <c r="H56" s="290"/>
      <c r="I56" s="290"/>
      <c r="J56" s="290"/>
      <c r="K56" s="290"/>
      <c r="L56" s="290"/>
      <c r="M56" s="290"/>
      <c r="N56" s="290"/>
      <c r="O56" s="290"/>
      <c r="P56" s="261"/>
      <c r="Q56" s="262"/>
      <c r="R56" s="435"/>
      <c r="S56" s="270"/>
      <c r="T56" s="266"/>
      <c r="U56" s="266"/>
      <c r="W56" s="268"/>
      <c r="X56" s="266"/>
      <c r="Z56" s="268"/>
      <c r="AA56" s="266"/>
      <c r="AC56" s="268"/>
      <c r="AD56" s="266"/>
      <c r="AF56" s="268"/>
      <c r="AG56" s="266"/>
      <c r="AI56" s="268"/>
      <c r="AJ56" s="266"/>
      <c r="AL56" s="268"/>
      <c r="AM56" s="266"/>
    </row>
    <row r="57" spans="1:39" s="267" customFormat="1" x14ac:dyDescent="0.2">
      <c r="A57" s="308" t="s">
        <v>66</v>
      </c>
      <c r="B57" s="276" t="s">
        <v>201</v>
      </c>
      <c r="C57" s="290">
        <f>(W57+X57)*$C$3</f>
        <v>12</v>
      </c>
      <c r="D57" s="290">
        <f>C57*$Q57</f>
        <v>0</v>
      </c>
      <c r="E57" s="290">
        <f>(Z57+AA57)*$E$3</f>
        <v>15</v>
      </c>
      <c r="F57" s="290">
        <f>E57*$Q57</f>
        <v>0</v>
      </c>
      <c r="G57" s="290">
        <f>(AC57+AD57)*$G$3</f>
        <v>90</v>
      </c>
      <c r="H57" s="290">
        <f>G57*$Q57</f>
        <v>0</v>
      </c>
      <c r="I57" s="290">
        <f>(AF57+AG57)*$I$3</f>
        <v>21</v>
      </c>
      <c r="J57" s="290">
        <f>I57*$Q57</f>
        <v>0</v>
      </c>
      <c r="K57" s="290">
        <f>(AI57+AJ57)*$K$3</f>
        <v>72</v>
      </c>
      <c r="L57" s="290">
        <f>K57*$Q57</f>
        <v>0</v>
      </c>
      <c r="M57" s="290">
        <f>(AL57+AM57)*$M$3</f>
        <v>27</v>
      </c>
      <c r="N57" s="290">
        <f>M57*$Q57</f>
        <v>0</v>
      </c>
      <c r="O57" s="290">
        <f>C57+E57+G57+I57+K57+M57</f>
        <v>237</v>
      </c>
      <c r="P57" s="261" t="s">
        <v>12</v>
      </c>
      <c r="Q57" s="262"/>
      <c r="R57" s="435">
        <f>O57*Q57</f>
        <v>0</v>
      </c>
      <c r="S57" s="264"/>
      <c r="T57" s="266">
        <v>3</v>
      </c>
      <c r="U57" s="266">
        <v>3</v>
      </c>
      <c r="W57" s="268">
        <f>T57*$W$3</f>
        <v>6</v>
      </c>
      <c r="X57" s="266">
        <f>U57*$X$3</f>
        <v>6</v>
      </c>
      <c r="Z57" s="268">
        <f>W57</f>
        <v>6</v>
      </c>
      <c r="AA57" s="266">
        <f>U57*$AA$3</f>
        <v>9</v>
      </c>
      <c r="AC57" s="268">
        <f>W57</f>
        <v>6</v>
      </c>
      <c r="AD57" s="266">
        <f>U57*$AD$3</f>
        <v>12</v>
      </c>
      <c r="AF57" s="268">
        <f>W57</f>
        <v>6</v>
      </c>
      <c r="AG57" s="266">
        <f>U57*$AG$3</f>
        <v>15</v>
      </c>
      <c r="AI57" s="268">
        <f>W57</f>
        <v>6</v>
      </c>
      <c r="AJ57" s="266">
        <f>U57*$AJ$3</f>
        <v>18</v>
      </c>
      <c r="AL57" s="268">
        <f>W57</f>
        <v>6</v>
      </c>
      <c r="AM57" s="266">
        <f>U57*$AM$3</f>
        <v>21</v>
      </c>
    </row>
    <row r="58" spans="1:39" s="267" customFormat="1" x14ac:dyDescent="0.2">
      <c r="A58" s="308"/>
      <c r="B58" s="276"/>
      <c r="C58" s="290"/>
      <c r="D58" s="290"/>
      <c r="E58" s="290"/>
      <c r="F58" s="290"/>
      <c r="G58" s="290"/>
      <c r="H58" s="290"/>
      <c r="I58" s="290"/>
      <c r="J58" s="290"/>
      <c r="K58" s="290"/>
      <c r="L58" s="290"/>
      <c r="M58" s="290"/>
      <c r="N58" s="290"/>
      <c r="O58" s="290"/>
      <c r="P58" s="261"/>
      <c r="Q58" s="262"/>
      <c r="R58" s="435"/>
      <c r="S58" s="264"/>
      <c r="T58" s="266"/>
      <c r="U58" s="266"/>
      <c r="W58" s="268"/>
      <c r="X58" s="266"/>
      <c r="Z58" s="268"/>
      <c r="AA58" s="266"/>
      <c r="AC58" s="268"/>
      <c r="AD58" s="266"/>
      <c r="AF58" s="268"/>
      <c r="AG58" s="266"/>
      <c r="AI58" s="268"/>
      <c r="AJ58" s="266"/>
      <c r="AL58" s="268"/>
      <c r="AM58" s="266"/>
    </row>
    <row r="59" spans="1:39" s="267" customFormat="1" x14ac:dyDescent="0.2">
      <c r="A59" s="308" t="s">
        <v>67</v>
      </c>
      <c r="B59" s="276" t="s">
        <v>202</v>
      </c>
      <c r="C59" s="290">
        <f>(W59+X59)*$C$3</f>
        <v>8</v>
      </c>
      <c r="D59" s="290">
        <f>C59*$Q59</f>
        <v>0</v>
      </c>
      <c r="E59" s="290">
        <f>(Z59+AA59)*$E$3</f>
        <v>10</v>
      </c>
      <c r="F59" s="290">
        <f>E59*$Q59</f>
        <v>0</v>
      </c>
      <c r="G59" s="290">
        <f>(AC59+AD59)*$G$3</f>
        <v>60</v>
      </c>
      <c r="H59" s="290">
        <f>G59*$Q59</f>
        <v>0</v>
      </c>
      <c r="I59" s="290">
        <f>(AF59+AG59)*$I$3</f>
        <v>14</v>
      </c>
      <c r="J59" s="290">
        <f>I59*$Q59</f>
        <v>0</v>
      </c>
      <c r="K59" s="290">
        <f>(AI59+AJ59)*$K$3</f>
        <v>48</v>
      </c>
      <c r="L59" s="290">
        <f>K59*$Q59</f>
        <v>0</v>
      </c>
      <c r="M59" s="290">
        <f>(AL59+AM59)*$M$3</f>
        <v>18</v>
      </c>
      <c r="N59" s="290">
        <f>M59*$Q59</f>
        <v>0</v>
      </c>
      <c r="O59" s="290">
        <f>C59+E59+G59+I59+K59+M59</f>
        <v>158</v>
      </c>
      <c r="P59" s="261" t="s">
        <v>12</v>
      </c>
      <c r="Q59" s="262"/>
      <c r="R59" s="435">
        <f>O59*Q59</f>
        <v>0</v>
      </c>
      <c r="S59" s="264"/>
      <c r="T59" s="266">
        <v>2</v>
      </c>
      <c r="U59" s="266">
        <v>2</v>
      </c>
      <c r="W59" s="268">
        <f>T59*$W$3</f>
        <v>4</v>
      </c>
      <c r="X59" s="266">
        <f>U59*$X$3</f>
        <v>4</v>
      </c>
      <c r="Z59" s="268">
        <f>W59</f>
        <v>4</v>
      </c>
      <c r="AA59" s="266">
        <f>U59*$AA$3</f>
        <v>6</v>
      </c>
      <c r="AC59" s="268">
        <f>W59</f>
        <v>4</v>
      </c>
      <c r="AD59" s="266">
        <f>U59*$AD$3</f>
        <v>8</v>
      </c>
      <c r="AF59" s="268">
        <f>W59</f>
        <v>4</v>
      </c>
      <c r="AG59" s="266">
        <f>U59*$AG$3</f>
        <v>10</v>
      </c>
      <c r="AI59" s="268">
        <f>W59</f>
        <v>4</v>
      </c>
      <c r="AJ59" s="266">
        <f>U59*$AJ$3</f>
        <v>12</v>
      </c>
      <c r="AL59" s="268">
        <f>W59</f>
        <v>4</v>
      </c>
      <c r="AM59" s="266">
        <f>U59*$AM$3</f>
        <v>14</v>
      </c>
    </row>
    <row r="60" spans="1:39" s="267" customFormat="1" x14ac:dyDescent="0.2">
      <c r="A60" s="308"/>
      <c r="B60" s="276"/>
      <c r="C60" s="290"/>
      <c r="D60" s="290"/>
      <c r="E60" s="290"/>
      <c r="F60" s="290"/>
      <c r="G60" s="290"/>
      <c r="H60" s="290"/>
      <c r="I60" s="290"/>
      <c r="J60" s="290"/>
      <c r="K60" s="290"/>
      <c r="L60" s="290"/>
      <c r="M60" s="290"/>
      <c r="N60" s="290"/>
      <c r="O60" s="290"/>
      <c r="P60" s="261"/>
      <c r="Q60" s="262"/>
      <c r="R60" s="435"/>
      <c r="S60" s="264"/>
      <c r="T60" s="266"/>
      <c r="U60" s="266"/>
      <c r="W60" s="268"/>
      <c r="X60" s="266"/>
      <c r="Z60" s="268"/>
      <c r="AA60" s="266"/>
      <c r="AC60" s="268"/>
      <c r="AD60" s="266"/>
      <c r="AF60" s="268"/>
      <c r="AG60" s="266"/>
      <c r="AI60" s="268"/>
      <c r="AJ60" s="266"/>
      <c r="AL60" s="268"/>
      <c r="AM60" s="266"/>
    </row>
    <row r="61" spans="1:39" s="267" customFormat="1" x14ac:dyDescent="0.2">
      <c r="A61" s="308" t="s">
        <v>68</v>
      </c>
      <c r="B61" s="276" t="s">
        <v>203</v>
      </c>
      <c r="C61" s="290">
        <f>(W61+X61)*$C$3</f>
        <v>32</v>
      </c>
      <c r="D61" s="290">
        <f>C61*$Q61</f>
        <v>0</v>
      </c>
      <c r="E61" s="290">
        <f>(Z61+AA61)*$E$3</f>
        <v>40</v>
      </c>
      <c r="F61" s="290">
        <f>E61*$Q61</f>
        <v>0</v>
      </c>
      <c r="G61" s="290">
        <f>(AC61+AD61)*$G$3</f>
        <v>240</v>
      </c>
      <c r="H61" s="290">
        <f>G61*$Q61</f>
        <v>0</v>
      </c>
      <c r="I61" s="290">
        <f>(AF61+AG61)*$I$3</f>
        <v>56</v>
      </c>
      <c r="J61" s="290">
        <f>I61*$Q61</f>
        <v>0</v>
      </c>
      <c r="K61" s="290">
        <f>(AI61+AJ61)*$K$3</f>
        <v>192</v>
      </c>
      <c r="L61" s="290">
        <f>K61*$Q61</f>
        <v>0</v>
      </c>
      <c r="M61" s="290">
        <f>(AL61+AM61)*$M$3</f>
        <v>72</v>
      </c>
      <c r="N61" s="290">
        <f>M61*$Q61</f>
        <v>0</v>
      </c>
      <c r="O61" s="290">
        <f>C61+E61+G61+I61+K61+M61</f>
        <v>632</v>
      </c>
      <c r="P61" s="261" t="s">
        <v>12</v>
      </c>
      <c r="Q61" s="262"/>
      <c r="R61" s="435">
        <f>O61*Q61</f>
        <v>0</v>
      </c>
      <c r="S61" s="264"/>
      <c r="T61" s="266">
        <v>8</v>
      </c>
      <c r="U61" s="266">
        <v>8</v>
      </c>
      <c r="W61" s="268">
        <f>T61*$W$3</f>
        <v>16</v>
      </c>
      <c r="X61" s="266">
        <f>U61*$X$3</f>
        <v>16</v>
      </c>
      <c r="Z61" s="268">
        <f>W61</f>
        <v>16</v>
      </c>
      <c r="AA61" s="266">
        <f>U61*$AA$3</f>
        <v>24</v>
      </c>
      <c r="AC61" s="268">
        <f>W61</f>
        <v>16</v>
      </c>
      <c r="AD61" s="266">
        <f>U61*$AD$3</f>
        <v>32</v>
      </c>
      <c r="AF61" s="268">
        <f>W61</f>
        <v>16</v>
      </c>
      <c r="AG61" s="266">
        <f>U61*$AG$3</f>
        <v>40</v>
      </c>
      <c r="AI61" s="268">
        <f>W61</f>
        <v>16</v>
      </c>
      <c r="AJ61" s="266">
        <f>U61*$AJ$3</f>
        <v>48</v>
      </c>
      <c r="AL61" s="268">
        <f>W61</f>
        <v>16</v>
      </c>
      <c r="AM61" s="266">
        <f>U61*$AM$3</f>
        <v>56</v>
      </c>
    </row>
    <row r="62" spans="1:39" s="267" customFormat="1" x14ac:dyDescent="0.2">
      <c r="A62" s="308"/>
      <c r="B62" s="264"/>
      <c r="C62" s="290"/>
      <c r="D62" s="290"/>
      <c r="E62" s="290"/>
      <c r="F62" s="290"/>
      <c r="G62" s="290"/>
      <c r="H62" s="290"/>
      <c r="I62" s="290"/>
      <c r="J62" s="290"/>
      <c r="K62" s="290"/>
      <c r="L62" s="290"/>
      <c r="M62" s="290"/>
      <c r="N62" s="290"/>
      <c r="O62" s="290"/>
      <c r="P62" s="261"/>
      <c r="Q62" s="262"/>
      <c r="R62" s="435"/>
      <c r="S62" s="264"/>
      <c r="T62" s="266"/>
      <c r="U62" s="266"/>
      <c r="W62" s="268"/>
      <c r="X62" s="266"/>
      <c r="Z62" s="268"/>
      <c r="AA62" s="266"/>
      <c r="AC62" s="268"/>
      <c r="AD62" s="266"/>
      <c r="AF62" s="268"/>
      <c r="AG62" s="266"/>
      <c r="AI62" s="268"/>
      <c r="AJ62" s="266"/>
      <c r="AL62" s="268"/>
      <c r="AM62" s="266"/>
    </row>
    <row r="63" spans="1:39" s="267" customFormat="1" x14ac:dyDescent="0.2">
      <c r="A63" s="308" t="s">
        <v>69</v>
      </c>
      <c r="B63" s="264" t="s">
        <v>675</v>
      </c>
      <c r="C63" s="290">
        <f>(W63+X63)*$C$3</f>
        <v>68</v>
      </c>
      <c r="D63" s="290">
        <f>C63*$Q63</f>
        <v>0</v>
      </c>
      <c r="E63" s="290">
        <f>(Z63+AA63)*$E$3</f>
        <v>85</v>
      </c>
      <c r="F63" s="290">
        <f>E63*$Q63</f>
        <v>0</v>
      </c>
      <c r="G63" s="290">
        <f>(AC63+AD63)*$G$3</f>
        <v>510</v>
      </c>
      <c r="H63" s="290">
        <f>G63*$Q63</f>
        <v>0</v>
      </c>
      <c r="I63" s="290">
        <f>(AF63+AG63)*$I$3</f>
        <v>119</v>
      </c>
      <c r="J63" s="290">
        <f>I63*$Q63</f>
        <v>0</v>
      </c>
      <c r="K63" s="290">
        <f>(AI63+AJ63)*$K$3</f>
        <v>408</v>
      </c>
      <c r="L63" s="290">
        <f>K63*$Q63</f>
        <v>0</v>
      </c>
      <c r="M63" s="290">
        <f>(AL63+AM63)*$M$3</f>
        <v>153</v>
      </c>
      <c r="N63" s="290">
        <f>M63*$Q63</f>
        <v>0</v>
      </c>
      <c r="O63" s="290">
        <f>C63+E63+G63+I63+K63+M63</f>
        <v>1343</v>
      </c>
      <c r="P63" s="261" t="s">
        <v>12</v>
      </c>
      <c r="Q63" s="262"/>
      <c r="R63" s="435">
        <f>O63*Q63</f>
        <v>0</v>
      </c>
      <c r="S63" s="264"/>
      <c r="T63" s="266">
        <f>13+4</f>
        <v>17</v>
      </c>
      <c r="U63" s="266">
        <f>17+2-2</f>
        <v>17</v>
      </c>
      <c r="W63" s="268">
        <f>T63*$W$3</f>
        <v>34</v>
      </c>
      <c r="X63" s="266">
        <f>U63*$X$3</f>
        <v>34</v>
      </c>
      <c r="Z63" s="268">
        <f>W63</f>
        <v>34</v>
      </c>
      <c r="AA63" s="266">
        <f>U63*$AA$3</f>
        <v>51</v>
      </c>
      <c r="AC63" s="268">
        <f>W63</f>
        <v>34</v>
      </c>
      <c r="AD63" s="266">
        <f>U63*$AD$3</f>
        <v>68</v>
      </c>
      <c r="AF63" s="268">
        <f>W63</f>
        <v>34</v>
      </c>
      <c r="AG63" s="266">
        <f>U63*$AG$3</f>
        <v>85</v>
      </c>
      <c r="AI63" s="268">
        <f>W63</f>
        <v>34</v>
      </c>
      <c r="AJ63" s="266">
        <f>U63*$AJ$3</f>
        <v>102</v>
      </c>
      <c r="AL63" s="268">
        <f>W63</f>
        <v>34</v>
      </c>
      <c r="AM63" s="266">
        <f>U63*$AM$3</f>
        <v>119</v>
      </c>
    </row>
    <row r="64" spans="1:39" s="267" customFormat="1" x14ac:dyDescent="0.2">
      <c r="A64" s="308"/>
      <c r="B64" s="264"/>
      <c r="C64" s="290"/>
      <c r="D64" s="290"/>
      <c r="E64" s="290"/>
      <c r="F64" s="290"/>
      <c r="G64" s="290"/>
      <c r="H64" s="290"/>
      <c r="I64" s="290"/>
      <c r="J64" s="290"/>
      <c r="K64" s="290"/>
      <c r="L64" s="290"/>
      <c r="M64" s="290"/>
      <c r="N64" s="290">
        <f>M64*$Q64</f>
        <v>0</v>
      </c>
      <c r="O64" s="290"/>
      <c r="P64" s="261"/>
      <c r="Q64" s="262"/>
      <c r="R64" s="435"/>
      <c r="S64" s="264"/>
      <c r="T64" s="266"/>
      <c r="U64" s="266"/>
      <c r="W64" s="268"/>
      <c r="X64" s="266"/>
      <c r="Z64" s="268"/>
      <c r="AA64" s="266"/>
      <c r="AC64" s="268"/>
      <c r="AD64" s="266"/>
      <c r="AF64" s="268"/>
      <c r="AG64" s="266"/>
      <c r="AI64" s="268"/>
      <c r="AJ64" s="266"/>
      <c r="AL64" s="268"/>
      <c r="AM64" s="266"/>
    </row>
    <row r="65" spans="1:39" s="267" customFormat="1" x14ac:dyDescent="0.2">
      <c r="A65" s="308" t="s">
        <v>70</v>
      </c>
      <c r="B65" s="264" t="s">
        <v>153</v>
      </c>
      <c r="C65" s="338">
        <f>(W65+X65)*$C$3</f>
        <v>302</v>
      </c>
      <c r="D65" s="338">
        <f>C65*$Q65</f>
        <v>0</v>
      </c>
      <c r="E65" s="338">
        <f>(Z65+AA65)*$E$3</f>
        <v>375</v>
      </c>
      <c r="F65" s="338">
        <f>E65*$Q65</f>
        <v>0</v>
      </c>
      <c r="G65" s="338">
        <f>(AC65+AD65)*$G$3</f>
        <v>2240</v>
      </c>
      <c r="H65" s="338">
        <f>G65*$Q65</f>
        <v>0</v>
      </c>
      <c r="I65" s="338">
        <f>(AF65+AG65)*$I$3</f>
        <v>521</v>
      </c>
      <c r="J65" s="338">
        <f>I65*$Q65</f>
        <v>0</v>
      </c>
      <c r="K65" s="338">
        <f>(AI65+AJ65)*$K$3</f>
        <v>1782</v>
      </c>
      <c r="L65" s="338">
        <f>K65*$Q65</f>
        <v>0</v>
      </c>
      <c r="M65" s="338">
        <f>(AL65+AM65)*$M$3</f>
        <v>667</v>
      </c>
      <c r="N65" s="338">
        <f>M65*$Q65</f>
        <v>0</v>
      </c>
      <c r="O65" s="338">
        <f>C65+E65+G65+I65+K65+M65</f>
        <v>5887</v>
      </c>
      <c r="P65" s="261" t="s">
        <v>12</v>
      </c>
      <c r="Q65" s="262"/>
      <c r="R65" s="435">
        <f>O65*Q65</f>
        <v>0</v>
      </c>
      <c r="S65" s="264"/>
      <c r="T65" s="281">
        <v>78</v>
      </c>
      <c r="U65" s="281">
        <v>73</v>
      </c>
      <c r="W65" s="268">
        <f>T65*$W$3</f>
        <v>156</v>
      </c>
      <c r="X65" s="266">
        <f>U65*$X$3</f>
        <v>146</v>
      </c>
      <c r="Z65" s="268">
        <f>W65</f>
        <v>156</v>
      </c>
      <c r="AA65" s="266">
        <f>U65*$AA$3</f>
        <v>219</v>
      </c>
      <c r="AC65" s="268">
        <f>W65</f>
        <v>156</v>
      </c>
      <c r="AD65" s="266">
        <f>U65*$AD$3</f>
        <v>292</v>
      </c>
      <c r="AF65" s="268">
        <f>W65</f>
        <v>156</v>
      </c>
      <c r="AG65" s="266">
        <f>U65*$AG$3</f>
        <v>365</v>
      </c>
      <c r="AI65" s="268">
        <f>W65</f>
        <v>156</v>
      </c>
      <c r="AJ65" s="266">
        <f>U65*$AJ$3</f>
        <v>438</v>
      </c>
      <c r="AL65" s="268">
        <f>W65</f>
        <v>156</v>
      </c>
      <c r="AM65" s="266">
        <f>U65*$AM$3</f>
        <v>511</v>
      </c>
    </row>
    <row r="66" spans="1:39" s="267" customFormat="1" x14ac:dyDescent="0.2">
      <c r="A66" s="308"/>
      <c r="B66" s="264"/>
      <c r="C66" s="290"/>
      <c r="D66" s="290"/>
      <c r="E66" s="290"/>
      <c r="F66" s="290"/>
      <c r="G66" s="290"/>
      <c r="H66" s="290"/>
      <c r="I66" s="290"/>
      <c r="J66" s="290"/>
      <c r="K66" s="290"/>
      <c r="L66" s="290"/>
      <c r="M66" s="290"/>
      <c r="N66" s="290"/>
      <c r="O66" s="290"/>
      <c r="P66" s="261"/>
      <c r="Q66" s="262"/>
      <c r="R66" s="435"/>
      <c r="S66" s="264"/>
      <c r="T66" s="266"/>
      <c r="U66" s="266"/>
      <c r="W66" s="268"/>
      <c r="X66" s="266"/>
      <c r="Z66" s="268"/>
      <c r="AA66" s="266"/>
      <c r="AC66" s="268"/>
      <c r="AD66" s="266"/>
      <c r="AF66" s="268"/>
      <c r="AG66" s="266"/>
      <c r="AI66" s="268"/>
      <c r="AJ66" s="266"/>
      <c r="AL66" s="268"/>
      <c r="AM66" s="266"/>
    </row>
    <row r="67" spans="1:39" s="267" customFormat="1" x14ac:dyDescent="0.2">
      <c r="A67" s="308" t="s">
        <v>71</v>
      </c>
      <c r="B67" s="264" t="s">
        <v>676</v>
      </c>
      <c r="C67" s="290">
        <f>(W67+X67)*$C$3</f>
        <v>20</v>
      </c>
      <c r="D67" s="290">
        <f>C67*$Q67</f>
        <v>0</v>
      </c>
      <c r="E67" s="290">
        <f>(Z67+AA67)*$E$3</f>
        <v>25</v>
      </c>
      <c r="F67" s="290">
        <f>E67*$Q67</f>
        <v>0</v>
      </c>
      <c r="G67" s="290">
        <f>(AC67+AD67)*$G$3</f>
        <v>150</v>
      </c>
      <c r="H67" s="290">
        <f>G67*$Q67</f>
        <v>0</v>
      </c>
      <c r="I67" s="290">
        <f>(AF67+AG67)*$I$3</f>
        <v>35</v>
      </c>
      <c r="J67" s="290">
        <f>I67*$Q67</f>
        <v>0</v>
      </c>
      <c r="K67" s="290">
        <f>(AI67+AJ67)*$K$3</f>
        <v>120</v>
      </c>
      <c r="L67" s="290">
        <f>K67*$Q67</f>
        <v>0</v>
      </c>
      <c r="M67" s="290">
        <f>(AL67+AM67)*$M$3</f>
        <v>45</v>
      </c>
      <c r="N67" s="290">
        <f>M67*$Q67</f>
        <v>0</v>
      </c>
      <c r="O67" s="290">
        <f>C67+E67+G67+I67+K67+M67</f>
        <v>395</v>
      </c>
      <c r="P67" s="261" t="s">
        <v>12</v>
      </c>
      <c r="Q67" s="262"/>
      <c r="R67" s="435">
        <f>O67*Q67</f>
        <v>0</v>
      </c>
      <c r="S67" s="264"/>
      <c r="T67" s="266">
        <v>5</v>
      </c>
      <c r="U67" s="266">
        <v>5</v>
      </c>
      <c r="W67" s="268">
        <f>T67*$W$3</f>
        <v>10</v>
      </c>
      <c r="X67" s="266">
        <f>U67*$X$3</f>
        <v>10</v>
      </c>
      <c r="Z67" s="268">
        <f>W67</f>
        <v>10</v>
      </c>
      <c r="AA67" s="266">
        <f>U67*$AA$3</f>
        <v>15</v>
      </c>
      <c r="AC67" s="268">
        <f>W67</f>
        <v>10</v>
      </c>
      <c r="AD67" s="266">
        <f>U67*$AD$3</f>
        <v>20</v>
      </c>
      <c r="AF67" s="268">
        <f>W67</f>
        <v>10</v>
      </c>
      <c r="AG67" s="266">
        <f>U67*$AG$3</f>
        <v>25</v>
      </c>
      <c r="AI67" s="268">
        <f>W67</f>
        <v>10</v>
      </c>
      <c r="AJ67" s="266">
        <f>U67*$AJ$3</f>
        <v>30</v>
      </c>
      <c r="AL67" s="268">
        <f>W67</f>
        <v>10</v>
      </c>
      <c r="AM67" s="266">
        <f>U67*$AM$3</f>
        <v>35</v>
      </c>
    </row>
    <row r="68" spans="1:39" s="267" customFormat="1" x14ac:dyDescent="0.2">
      <c r="A68" s="308"/>
      <c r="B68" s="264"/>
      <c r="C68" s="290"/>
      <c r="D68" s="290"/>
      <c r="E68" s="290"/>
      <c r="F68" s="290"/>
      <c r="G68" s="290"/>
      <c r="H68" s="290"/>
      <c r="I68" s="290"/>
      <c r="J68" s="290"/>
      <c r="K68" s="290"/>
      <c r="L68" s="290"/>
      <c r="M68" s="290"/>
      <c r="N68" s="290"/>
      <c r="O68" s="290"/>
      <c r="P68" s="261"/>
      <c r="Q68" s="262"/>
      <c r="R68" s="435"/>
      <c r="S68" s="264"/>
      <c r="T68" s="266"/>
      <c r="U68" s="266"/>
      <c r="W68" s="268"/>
      <c r="X68" s="266"/>
      <c r="Z68" s="268"/>
      <c r="AA68" s="266"/>
      <c r="AC68" s="268"/>
      <c r="AD68" s="266"/>
      <c r="AF68" s="268"/>
      <c r="AG68" s="266"/>
      <c r="AI68" s="268"/>
      <c r="AJ68" s="266"/>
      <c r="AL68" s="268"/>
      <c r="AM68" s="266"/>
    </row>
    <row r="69" spans="1:39" s="267" customFormat="1" x14ac:dyDescent="0.2">
      <c r="A69" s="308"/>
      <c r="B69" s="265" t="s">
        <v>672</v>
      </c>
      <c r="C69" s="290"/>
      <c r="D69" s="290"/>
      <c r="E69" s="290"/>
      <c r="F69" s="290"/>
      <c r="G69" s="290"/>
      <c r="H69" s="290"/>
      <c r="I69" s="290"/>
      <c r="J69" s="290"/>
      <c r="K69" s="290"/>
      <c r="L69" s="290"/>
      <c r="M69" s="290"/>
      <c r="N69" s="290"/>
      <c r="O69" s="290"/>
      <c r="P69" s="261"/>
      <c r="Q69" s="262"/>
      <c r="R69" s="435"/>
      <c r="S69" s="264"/>
      <c r="T69" s="266"/>
      <c r="U69" s="266"/>
      <c r="W69" s="268"/>
      <c r="X69" s="266"/>
      <c r="Z69" s="268"/>
      <c r="AA69" s="266"/>
      <c r="AC69" s="268"/>
      <c r="AD69" s="266"/>
      <c r="AF69" s="268"/>
      <c r="AG69" s="266"/>
      <c r="AI69" s="268"/>
      <c r="AJ69" s="266"/>
      <c r="AL69" s="268"/>
      <c r="AM69" s="266"/>
    </row>
    <row r="70" spans="1:39" s="267" customFormat="1" x14ac:dyDescent="0.2">
      <c r="A70" s="308"/>
      <c r="B70" s="206"/>
      <c r="C70" s="290"/>
      <c r="D70" s="290"/>
      <c r="E70" s="290"/>
      <c r="F70" s="290"/>
      <c r="G70" s="290"/>
      <c r="H70" s="290"/>
      <c r="I70" s="290"/>
      <c r="J70" s="290"/>
      <c r="K70" s="290"/>
      <c r="L70" s="290"/>
      <c r="M70" s="290"/>
      <c r="N70" s="290"/>
      <c r="O70" s="290"/>
      <c r="P70" s="261"/>
      <c r="Q70" s="262"/>
      <c r="R70" s="435"/>
      <c r="S70" s="264"/>
      <c r="T70" s="266"/>
      <c r="U70" s="266"/>
      <c r="W70" s="268"/>
      <c r="X70" s="266"/>
      <c r="Z70" s="268"/>
      <c r="AA70" s="266"/>
      <c r="AC70" s="268"/>
      <c r="AD70" s="266"/>
      <c r="AF70" s="268"/>
      <c r="AG70" s="266"/>
      <c r="AI70" s="268"/>
      <c r="AJ70" s="266"/>
      <c r="AL70" s="268"/>
      <c r="AM70" s="266"/>
    </row>
    <row r="71" spans="1:39" s="267" customFormat="1" x14ac:dyDescent="0.2">
      <c r="A71" s="308" t="s">
        <v>72</v>
      </c>
      <c r="B71" s="206" t="s">
        <v>201</v>
      </c>
      <c r="C71" s="290">
        <f>(W71+X71)*$C$3</f>
        <v>136</v>
      </c>
      <c r="D71" s="290">
        <f>C71*$Q71</f>
        <v>0</v>
      </c>
      <c r="E71" s="290">
        <f>(Z71+AA71)*$E$3</f>
        <v>170</v>
      </c>
      <c r="F71" s="290">
        <f>E71*$Q71</f>
        <v>0</v>
      </c>
      <c r="G71" s="290">
        <f>(AC71+AD71)*$G$3</f>
        <v>1020</v>
      </c>
      <c r="H71" s="290">
        <f>G71*$Q71</f>
        <v>0</v>
      </c>
      <c r="I71" s="290">
        <f>(AF71+AG71)*$I$3</f>
        <v>238</v>
      </c>
      <c r="J71" s="290">
        <f>I71*$Q71</f>
        <v>0</v>
      </c>
      <c r="K71" s="290">
        <f>(AI71+AJ71)*$K$3</f>
        <v>816</v>
      </c>
      <c r="L71" s="290">
        <f>K71*$Q71</f>
        <v>0</v>
      </c>
      <c r="M71" s="290">
        <f>(AL71+AM71)*$M$3</f>
        <v>306</v>
      </c>
      <c r="N71" s="290">
        <f>M71*$Q71</f>
        <v>0</v>
      </c>
      <c r="O71" s="290">
        <f>C71+E71+G71+I71+K71+M71</f>
        <v>2686</v>
      </c>
      <c r="P71" s="261" t="s">
        <v>12</v>
      </c>
      <c r="Q71" s="262"/>
      <c r="R71" s="435">
        <f>O71*Q71</f>
        <v>0</v>
      </c>
      <c r="S71" s="264"/>
      <c r="T71" s="266">
        <v>34</v>
      </c>
      <c r="U71" s="266">
        <v>34</v>
      </c>
      <c r="W71" s="268">
        <f>T71*$W$3</f>
        <v>68</v>
      </c>
      <c r="X71" s="266">
        <f>U71*$X$3</f>
        <v>68</v>
      </c>
      <c r="Z71" s="268">
        <f>W71</f>
        <v>68</v>
      </c>
      <c r="AA71" s="266">
        <f>U71*$AA$3</f>
        <v>102</v>
      </c>
      <c r="AC71" s="268">
        <f>W71</f>
        <v>68</v>
      </c>
      <c r="AD71" s="266">
        <f>U71*$AD$3</f>
        <v>136</v>
      </c>
      <c r="AF71" s="268">
        <f>W71</f>
        <v>68</v>
      </c>
      <c r="AG71" s="266">
        <f>U71*$AG$3</f>
        <v>170</v>
      </c>
      <c r="AI71" s="268">
        <f>W71</f>
        <v>68</v>
      </c>
      <c r="AJ71" s="266">
        <f>U71*$AJ$3</f>
        <v>204</v>
      </c>
      <c r="AL71" s="268">
        <f>W71</f>
        <v>68</v>
      </c>
      <c r="AM71" s="266">
        <f>U71*$AM$3</f>
        <v>238</v>
      </c>
    </row>
    <row r="72" spans="1:39" s="267" customFormat="1" x14ac:dyDescent="0.2">
      <c r="A72" s="308"/>
      <c r="B72" s="206"/>
      <c r="C72" s="290"/>
      <c r="D72" s="290"/>
      <c r="E72" s="290"/>
      <c r="F72" s="290"/>
      <c r="G72" s="290"/>
      <c r="H72" s="290"/>
      <c r="I72" s="290"/>
      <c r="J72" s="290"/>
      <c r="K72" s="290"/>
      <c r="L72" s="290"/>
      <c r="M72" s="290"/>
      <c r="N72" s="290"/>
      <c r="O72" s="290"/>
      <c r="P72" s="261"/>
      <c r="Q72" s="262"/>
      <c r="R72" s="435"/>
      <c r="S72" s="264"/>
      <c r="T72" s="266"/>
      <c r="U72" s="266"/>
      <c r="W72" s="268"/>
      <c r="X72" s="266"/>
      <c r="Z72" s="268"/>
      <c r="AA72" s="266"/>
      <c r="AC72" s="268"/>
      <c r="AD72" s="266"/>
      <c r="AF72" s="268"/>
      <c r="AG72" s="266"/>
      <c r="AI72" s="268"/>
      <c r="AJ72" s="266"/>
      <c r="AL72" s="268"/>
      <c r="AM72" s="266"/>
    </row>
    <row r="73" spans="1:39" s="267" customFormat="1" x14ac:dyDescent="0.2">
      <c r="A73" s="308" t="s">
        <v>73</v>
      </c>
      <c r="B73" s="206" t="s">
        <v>202</v>
      </c>
      <c r="C73" s="290">
        <f>(W73+X73)*$C$3</f>
        <v>36</v>
      </c>
      <c r="D73" s="290">
        <f>C73*$Q73</f>
        <v>0</v>
      </c>
      <c r="E73" s="290">
        <f>(Z73+AA73)*$E$3</f>
        <v>45</v>
      </c>
      <c r="F73" s="290">
        <f>E73*$Q73</f>
        <v>0</v>
      </c>
      <c r="G73" s="290">
        <f>(AC73+AD73)*$G$3</f>
        <v>270</v>
      </c>
      <c r="H73" s="290">
        <f>G73*$Q73</f>
        <v>0</v>
      </c>
      <c r="I73" s="290">
        <f>(AF73+AG73)*$I$3</f>
        <v>63</v>
      </c>
      <c r="J73" s="290">
        <f>I73*$Q73</f>
        <v>0</v>
      </c>
      <c r="K73" s="290">
        <f>(AI73+AJ73)*$K$3</f>
        <v>216</v>
      </c>
      <c r="L73" s="290">
        <f>K73*$Q73</f>
        <v>0</v>
      </c>
      <c r="M73" s="290">
        <f>(AL73+AM73)*$M$3</f>
        <v>81</v>
      </c>
      <c r="N73" s="290">
        <f>M73*$Q73</f>
        <v>0</v>
      </c>
      <c r="O73" s="290">
        <f>C73+E73+G73+I73+K73+M73</f>
        <v>711</v>
      </c>
      <c r="P73" s="261" t="s">
        <v>12</v>
      </c>
      <c r="Q73" s="262"/>
      <c r="R73" s="435">
        <f>O73*Q73</f>
        <v>0</v>
      </c>
      <c r="S73" s="264"/>
      <c r="T73" s="266">
        <v>9</v>
      </c>
      <c r="U73" s="266">
        <v>9</v>
      </c>
      <c r="W73" s="268">
        <f>T73*$W$3</f>
        <v>18</v>
      </c>
      <c r="X73" s="266">
        <f>U73*$X$3</f>
        <v>18</v>
      </c>
      <c r="Z73" s="268">
        <f>W73</f>
        <v>18</v>
      </c>
      <c r="AA73" s="266">
        <f>U73*$AA$3</f>
        <v>27</v>
      </c>
      <c r="AC73" s="268">
        <f>W73</f>
        <v>18</v>
      </c>
      <c r="AD73" s="266">
        <f>U73*$AD$3</f>
        <v>36</v>
      </c>
      <c r="AF73" s="268">
        <f>W73</f>
        <v>18</v>
      </c>
      <c r="AG73" s="266">
        <f>U73*$AG$3</f>
        <v>45</v>
      </c>
      <c r="AI73" s="268">
        <f>W73</f>
        <v>18</v>
      </c>
      <c r="AJ73" s="266">
        <f>U73*$AJ$3</f>
        <v>54</v>
      </c>
      <c r="AL73" s="268">
        <f>W73</f>
        <v>18</v>
      </c>
      <c r="AM73" s="266">
        <f>U73*$AM$3</f>
        <v>63</v>
      </c>
    </row>
    <row r="74" spans="1:39" s="267" customFormat="1" x14ac:dyDescent="0.2">
      <c r="A74" s="308"/>
      <c r="B74" s="206"/>
      <c r="C74" s="290"/>
      <c r="D74" s="290"/>
      <c r="E74" s="290"/>
      <c r="F74" s="290"/>
      <c r="G74" s="290"/>
      <c r="H74" s="290"/>
      <c r="I74" s="290"/>
      <c r="J74" s="290"/>
      <c r="K74" s="290"/>
      <c r="L74" s="290"/>
      <c r="M74" s="290"/>
      <c r="N74" s="290"/>
      <c r="O74" s="290"/>
      <c r="P74" s="261"/>
      <c r="Q74" s="262"/>
      <c r="R74" s="435"/>
      <c r="S74" s="264"/>
      <c r="T74" s="266"/>
      <c r="U74" s="266"/>
      <c r="W74" s="268"/>
      <c r="X74" s="266"/>
      <c r="Z74" s="268"/>
      <c r="AA74" s="266"/>
      <c r="AC74" s="268"/>
      <c r="AD74" s="266"/>
      <c r="AF74" s="268"/>
      <c r="AG74" s="266"/>
      <c r="AI74" s="268"/>
      <c r="AJ74" s="266"/>
      <c r="AL74" s="268"/>
      <c r="AM74" s="266"/>
    </row>
    <row r="75" spans="1:39" s="267" customFormat="1" x14ac:dyDescent="0.2">
      <c r="A75" s="308" t="s">
        <v>74</v>
      </c>
      <c r="B75" s="206" t="s">
        <v>203</v>
      </c>
      <c r="C75" s="290">
        <f>(W75+X75)*$C$3</f>
        <v>76</v>
      </c>
      <c r="D75" s="290">
        <f>C75*$Q75</f>
        <v>0</v>
      </c>
      <c r="E75" s="290">
        <f>(Z75+AA75)*$E$3</f>
        <v>95</v>
      </c>
      <c r="F75" s="290">
        <f>E75*$Q75</f>
        <v>0</v>
      </c>
      <c r="G75" s="290">
        <f>(AC75+AD75)*$G$3</f>
        <v>570</v>
      </c>
      <c r="H75" s="290">
        <f>G75*$Q75</f>
        <v>0</v>
      </c>
      <c r="I75" s="290">
        <f>(AF75+AG75)*$I$3</f>
        <v>133</v>
      </c>
      <c r="J75" s="290">
        <f>I75*$Q75</f>
        <v>0</v>
      </c>
      <c r="K75" s="290">
        <f>(AI75+AJ75)*$K$3</f>
        <v>456</v>
      </c>
      <c r="L75" s="290">
        <f>K75*$Q75</f>
        <v>0</v>
      </c>
      <c r="M75" s="290">
        <f>(AL75+AM75)*$M$3</f>
        <v>171</v>
      </c>
      <c r="N75" s="290">
        <f>M75*$Q75</f>
        <v>0</v>
      </c>
      <c r="O75" s="290">
        <f>C75+E75+G75+I75+K75+M75</f>
        <v>1501</v>
      </c>
      <c r="P75" s="261" t="s">
        <v>12</v>
      </c>
      <c r="Q75" s="262"/>
      <c r="R75" s="435">
        <f>O75*Q75</f>
        <v>0</v>
      </c>
      <c r="S75" s="264"/>
      <c r="T75" s="266">
        <f>7+12</f>
        <v>19</v>
      </c>
      <c r="U75" s="266">
        <v>19</v>
      </c>
      <c r="W75" s="268">
        <f>T75*$W$3</f>
        <v>38</v>
      </c>
      <c r="X75" s="266">
        <f>U75*$X$3</f>
        <v>38</v>
      </c>
      <c r="Z75" s="268">
        <f>W75</f>
        <v>38</v>
      </c>
      <c r="AA75" s="266">
        <f>U75*$AA$3</f>
        <v>57</v>
      </c>
      <c r="AC75" s="268">
        <f>W75</f>
        <v>38</v>
      </c>
      <c r="AD75" s="266">
        <f>U75*$AD$3</f>
        <v>76</v>
      </c>
      <c r="AF75" s="268">
        <f>W75</f>
        <v>38</v>
      </c>
      <c r="AG75" s="266">
        <f>U75*$AG$3</f>
        <v>95</v>
      </c>
      <c r="AI75" s="268">
        <f>W75</f>
        <v>38</v>
      </c>
      <c r="AJ75" s="266">
        <f>U75*$AJ$3</f>
        <v>114</v>
      </c>
      <c r="AL75" s="268">
        <f>W75</f>
        <v>38</v>
      </c>
      <c r="AM75" s="266">
        <f>U75*$AM$3</f>
        <v>133</v>
      </c>
    </row>
    <row r="76" spans="1:39" s="267" customFormat="1" x14ac:dyDescent="0.2">
      <c r="A76" s="308"/>
      <c r="B76" s="269"/>
      <c r="C76" s="290"/>
      <c r="D76" s="290"/>
      <c r="E76" s="290"/>
      <c r="F76" s="290"/>
      <c r="G76" s="290"/>
      <c r="H76" s="290"/>
      <c r="I76" s="290"/>
      <c r="J76" s="290"/>
      <c r="K76" s="290"/>
      <c r="L76" s="290"/>
      <c r="M76" s="290"/>
      <c r="N76" s="290"/>
      <c r="O76" s="290"/>
      <c r="P76" s="261"/>
      <c r="Q76" s="262"/>
      <c r="R76" s="435"/>
      <c r="S76" s="264"/>
      <c r="T76" s="266"/>
      <c r="U76" s="266"/>
      <c r="W76" s="268"/>
      <c r="X76" s="266"/>
      <c r="Z76" s="268"/>
      <c r="AA76" s="266"/>
      <c r="AC76" s="268"/>
      <c r="AD76" s="266"/>
      <c r="AF76" s="268"/>
      <c r="AG76" s="266"/>
      <c r="AI76" s="268"/>
      <c r="AJ76" s="266"/>
      <c r="AL76" s="268"/>
      <c r="AM76" s="266"/>
    </row>
    <row r="77" spans="1:39" s="267" customFormat="1" x14ac:dyDescent="0.2">
      <c r="A77" s="308" t="s">
        <v>75</v>
      </c>
      <c r="B77" s="259" t="s">
        <v>204</v>
      </c>
      <c r="C77" s="290">
        <f>(W77+X77)*$C$3</f>
        <v>28</v>
      </c>
      <c r="D77" s="290">
        <f>C77*$Q77</f>
        <v>0</v>
      </c>
      <c r="E77" s="290">
        <f>(Z77+AA77)*$E$3</f>
        <v>35</v>
      </c>
      <c r="F77" s="290">
        <f>E77*$Q77</f>
        <v>0</v>
      </c>
      <c r="G77" s="290">
        <f>(AC77+AD77)*$G$3</f>
        <v>210</v>
      </c>
      <c r="H77" s="290">
        <f>G77*$Q77</f>
        <v>0</v>
      </c>
      <c r="I77" s="290">
        <f>(AF77+AG77)*$I$3</f>
        <v>49</v>
      </c>
      <c r="J77" s="290">
        <f>I77*$Q77</f>
        <v>0</v>
      </c>
      <c r="K77" s="290">
        <f>(AI77+AJ77)*$K$3</f>
        <v>168</v>
      </c>
      <c r="L77" s="290">
        <f>K77*$Q77</f>
        <v>0</v>
      </c>
      <c r="M77" s="290">
        <f>(AL77+AM77)*$M$3</f>
        <v>63</v>
      </c>
      <c r="N77" s="290">
        <f>M77*$Q77</f>
        <v>0</v>
      </c>
      <c r="O77" s="290">
        <f>C77+E77+G77+I77+K77+M77</f>
        <v>553</v>
      </c>
      <c r="P77" s="261" t="s">
        <v>12</v>
      </c>
      <c r="Q77" s="262"/>
      <c r="R77" s="435">
        <f>O77*Q77</f>
        <v>0</v>
      </c>
      <c r="S77" s="264"/>
      <c r="T77" s="266">
        <v>7</v>
      </c>
      <c r="U77" s="266">
        <v>7</v>
      </c>
      <c r="W77" s="268">
        <f>T77*$W$3</f>
        <v>14</v>
      </c>
      <c r="X77" s="266">
        <f>U77*$X$3</f>
        <v>14</v>
      </c>
      <c r="Z77" s="268">
        <f>W77</f>
        <v>14</v>
      </c>
      <c r="AA77" s="266">
        <f>U77*$AA$3</f>
        <v>21</v>
      </c>
      <c r="AC77" s="268">
        <f>W77</f>
        <v>14</v>
      </c>
      <c r="AD77" s="266">
        <f>U77*$AD$3</f>
        <v>28</v>
      </c>
      <c r="AF77" s="268">
        <f>W77</f>
        <v>14</v>
      </c>
      <c r="AG77" s="266">
        <f>U77*$AG$3</f>
        <v>35</v>
      </c>
      <c r="AI77" s="268">
        <f>W77</f>
        <v>14</v>
      </c>
      <c r="AJ77" s="266">
        <f>U77*$AJ$3</f>
        <v>42</v>
      </c>
      <c r="AL77" s="268">
        <f>W77</f>
        <v>14</v>
      </c>
      <c r="AM77" s="266">
        <f>U77*$AM$3</f>
        <v>49</v>
      </c>
    </row>
    <row r="78" spans="1:39" s="267" customFormat="1" x14ac:dyDescent="0.2">
      <c r="A78" s="308"/>
      <c r="B78" s="282"/>
      <c r="C78" s="290"/>
      <c r="D78" s="290"/>
      <c r="E78" s="290"/>
      <c r="F78" s="290"/>
      <c r="G78" s="290"/>
      <c r="H78" s="290"/>
      <c r="I78" s="290"/>
      <c r="J78" s="290"/>
      <c r="K78" s="290"/>
      <c r="L78" s="290"/>
      <c r="M78" s="290"/>
      <c r="N78" s="290"/>
      <c r="O78" s="290"/>
      <c r="P78" s="261"/>
      <c r="Q78" s="262"/>
      <c r="R78" s="435"/>
      <c r="S78" s="264"/>
      <c r="T78" s="266"/>
      <c r="U78" s="266"/>
      <c r="W78" s="268"/>
      <c r="X78" s="266"/>
      <c r="Z78" s="268"/>
      <c r="AA78" s="266"/>
      <c r="AC78" s="268"/>
      <c r="AD78" s="266"/>
      <c r="AF78" s="268"/>
      <c r="AG78" s="266"/>
      <c r="AI78" s="268"/>
      <c r="AJ78" s="266"/>
      <c r="AL78" s="268"/>
      <c r="AM78" s="266"/>
    </row>
    <row r="79" spans="1:39" s="267" customFormat="1" x14ac:dyDescent="0.2">
      <c r="A79" s="308" t="s">
        <v>76</v>
      </c>
      <c r="B79" s="282" t="s">
        <v>675</v>
      </c>
      <c r="C79" s="290">
        <f>(W79+X79)*$C$3</f>
        <v>140</v>
      </c>
      <c r="D79" s="290">
        <f>C79*$Q79</f>
        <v>0</v>
      </c>
      <c r="E79" s="290">
        <f>(Z79+AA79)*$E$3</f>
        <v>175</v>
      </c>
      <c r="F79" s="290">
        <f>E79*$Q79</f>
        <v>0</v>
      </c>
      <c r="G79" s="290">
        <f>(AC79+AD79)*$G$3</f>
        <v>1050</v>
      </c>
      <c r="H79" s="290">
        <f>G79*$Q79</f>
        <v>0</v>
      </c>
      <c r="I79" s="290">
        <f>(AF79+AG79)*$I$3</f>
        <v>245</v>
      </c>
      <c r="J79" s="290">
        <f>I79*$Q79</f>
        <v>0</v>
      </c>
      <c r="K79" s="290">
        <f>(AI79+AJ79)*$K$3</f>
        <v>840</v>
      </c>
      <c r="L79" s="290">
        <f>K79*$Q79</f>
        <v>0</v>
      </c>
      <c r="M79" s="290">
        <f>(AL79+AM79)*$M$3</f>
        <v>315</v>
      </c>
      <c r="N79" s="290">
        <f>M79*$Q79</f>
        <v>0</v>
      </c>
      <c r="O79" s="290">
        <f>C79+E79+G79+I79+K79+M79</f>
        <v>2765</v>
      </c>
      <c r="P79" s="261" t="s">
        <v>12</v>
      </c>
      <c r="Q79" s="262"/>
      <c r="R79" s="435">
        <f>O79*Q79</f>
        <v>0</v>
      </c>
      <c r="S79" s="264"/>
      <c r="T79" s="266">
        <f>27+8</f>
        <v>35</v>
      </c>
      <c r="U79" s="266">
        <v>35</v>
      </c>
      <c r="W79" s="268">
        <f>T79*$W$3</f>
        <v>70</v>
      </c>
      <c r="X79" s="266">
        <f>U79*$X$3</f>
        <v>70</v>
      </c>
      <c r="Z79" s="268">
        <f>W79</f>
        <v>70</v>
      </c>
      <c r="AA79" s="266">
        <f>U79*$AA$3</f>
        <v>105</v>
      </c>
      <c r="AC79" s="268">
        <f>W79</f>
        <v>70</v>
      </c>
      <c r="AD79" s="266">
        <f>U79*$AD$3</f>
        <v>140</v>
      </c>
      <c r="AF79" s="268">
        <f>W79</f>
        <v>70</v>
      </c>
      <c r="AG79" s="266">
        <f>U79*$AG$3</f>
        <v>175</v>
      </c>
      <c r="AI79" s="268">
        <f>W79</f>
        <v>70</v>
      </c>
      <c r="AJ79" s="266">
        <f>U79*$AJ$3</f>
        <v>210</v>
      </c>
      <c r="AL79" s="268">
        <f>W79</f>
        <v>70</v>
      </c>
      <c r="AM79" s="266">
        <f>U79*$AM$3</f>
        <v>245</v>
      </c>
    </row>
    <row r="80" spans="1:39" s="267" customFormat="1" x14ac:dyDescent="0.2">
      <c r="A80" s="308"/>
      <c r="B80" s="282"/>
      <c r="C80" s="290"/>
      <c r="D80" s="290"/>
      <c r="E80" s="290"/>
      <c r="F80" s="290"/>
      <c r="G80" s="290"/>
      <c r="H80" s="290"/>
      <c r="I80" s="290"/>
      <c r="J80" s="290"/>
      <c r="K80" s="290"/>
      <c r="L80" s="290"/>
      <c r="M80" s="290"/>
      <c r="N80" s="290">
        <f>M80*$Q80</f>
        <v>0</v>
      </c>
      <c r="O80" s="290"/>
      <c r="P80" s="261"/>
      <c r="Q80" s="262"/>
      <c r="R80" s="435"/>
      <c r="S80" s="264"/>
      <c r="T80" s="266"/>
      <c r="U80" s="266"/>
      <c r="W80" s="268"/>
      <c r="X80" s="266"/>
      <c r="Z80" s="268"/>
      <c r="AA80" s="266"/>
      <c r="AC80" s="268"/>
      <c r="AD80" s="266"/>
      <c r="AF80" s="268"/>
      <c r="AG80" s="266"/>
      <c r="AI80" s="268"/>
      <c r="AJ80" s="266"/>
      <c r="AL80" s="268"/>
      <c r="AM80" s="266"/>
    </row>
    <row r="81" spans="1:39" s="267" customFormat="1" x14ac:dyDescent="0.2">
      <c r="A81" s="308" t="s">
        <v>77</v>
      </c>
      <c r="B81" s="269" t="s">
        <v>153</v>
      </c>
      <c r="C81" s="290">
        <f>(W81+X81)*$C$3</f>
        <v>160</v>
      </c>
      <c r="D81" s="290">
        <f>C81*$Q81</f>
        <v>0</v>
      </c>
      <c r="E81" s="290">
        <f>(Z81+AA81)*$E$3</f>
        <v>200</v>
      </c>
      <c r="F81" s="290">
        <f>E81*$Q81</f>
        <v>0</v>
      </c>
      <c r="G81" s="290">
        <f>(AC81+AD81)*$G$3</f>
        <v>1200</v>
      </c>
      <c r="H81" s="290">
        <f>G81*$Q81</f>
        <v>0</v>
      </c>
      <c r="I81" s="290">
        <f>(AF81+AG81)*$I$3</f>
        <v>280</v>
      </c>
      <c r="J81" s="290">
        <f>I81*$Q81</f>
        <v>0</v>
      </c>
      <c r="K81" s="290">
        <f>(AI81+AJ81)*$K$3</f>
        <v>960</v>
      </c>
      <c r="L81" s="290">
        <f>K81*$Q81</f>
        <v>0</v>
      </c>
      <c r="M81" s="290">
        <f>(AL81+AM81)*$M$3</f>
        <v>360</v>
      </c>
      <c r="N81" s="290">
        <f>M81*$Q81</f>
        <v>0</v>
      </c>
      <c r="O81" s="290">
        <f>C81+E81+G81+I81+K81+M81</f>
        <v>3160</v>
      </c>
      <c r="P81" s="261" t="s">
        <v>12</v>
      </c>
      <c r="Q81" s="262"/>
      <c r="R81" s="435">
        <f>O81*Q81</f>
        <v>0</v>
      </c>
      <c r="S81" s="264"/>
      <c r="T81" s="266">
        <f>12+19+9</f>
        <v>40</v>
      </c>
      <c r="U81" s="266">
        <v>40</v>
      </c>
      <c r="W81" s="268">
        <f>T81*$W$3</f>
        <v>80</v>
      </c>
      <c r="X81" s="266">
        <f>U81*$X$3</f>
        <v>80</v>
      </c>
      <c r="Z81" s="268">
        <f>W81</f>
        <v>80</v>
      </c>
      <c r="AA81" s="266">
        <f>U81*$AA$3</f>
        <v>120</v>
      </c>
      <c r="AC81" s="268">
        <f>W81</f>
        <v>80</v>
      </c>
      <c r="AD81" s="266">
        <f>U81*$AD$3</f>
        <v>160</v>
      </c>
      <c r="AF81" s="268">
        <f>W81</f>
        <v>80</v>
      </c>
      <c r="AG81" s="266">
        <f>U81*$AG$3</f>
        <v>200</v>
      </c>
      <c r="AI81" s="268">
        <f>W81</f>
        <v>80</v>
      </c>
      <c r="AJ81" s="266">
        <f>U81*$AJ$3</f>
        <v>240</v>
      </c>
      <c r="AL81" s="268">
        <f>W81</f>
        <v>80</v>
      </c>
      <c r="AM81" s="266">
        <f>U81*$AM$3</f>
        <v>280</v>
      </c>
    </row>
    <row r="82" spans="1:39" s="267" customFormat="1" x14ac:dyDescent="0.2">
      <c r="A82" s="308"/>
      <c r="B82" s="269"/>
      <c r="C82" s="290"/>
      <c r="D82" s="290"/>
      <c r="E82" s="290"/>
      <c r="F82" s="290"/>
      <c r="G82" s="290"/>
      <c r="H82" s="290"/>
      <c r="I82" s="290"/>
      <c r="J82" s="290"/>
      <c r="K82" s="290"/>
      <c r="L82" s="290"/>
      <c r="M82" s="290"/>
      <c r="N82" s="290"/>
      <c r="O82" s="290"/>
      <c r="P82" s="261"/>
      <c r="Q82" s="262"/>
      <c r="R82" s="435"/>
      <c r="S82" s="264"/>
      <c r="T82" s="266"/>
      <c r="U82" s="266"/>
      <c r="W82" s="268"/>
      <c r="X82" s="266"/>
      <c r="Z82" s="268"/>
      <c r="AA82" s="266"/>
      <c r="AC82" s="268"/>
      <c r="AD82" s="266"/>
      <c r="AF82" s="268"/>
      <c r="AG82" s="266"/>
      <c r="AI82" s="268"/>
      <c r="AJ82" s="266"/>
      <c r="AL82" s="268"/>
      <c r="AM82" s="266"/>
    </row>
    <row r="83" spans="1:39" s="267" customFormat="1" ht="28.5" x14ac:dyDescent="0.2">
      <c r="A83" s="308"/>
      <c r="B83" s="265" t="s">
        <v>205</v>
      </c>
      <c r="C83" s="290"/>
      <c r="D83" s="290"/>
      <c r="E83" s="290"/>
      <c r="F83" s="290"/>
      <c r="G83" s="290"/>
      <c r="H83" s="290"/>
      <c r="I83" s="290"/>
      <c r="J83" s="290"/>
      <c r="K83" s="290"/>
      <c r="L83" s="290"/>
      <c r="M83" s="290"/>
      <c r="N83" s="290"/>
      <c r="O83" s="290"/>
      <c r="P83" s="261"/>
      <c r="Q83" s="262"/>
      <c r="R83" s="435"/>
      <c r="S83" s="264"/>
      <c r="T83" s="266"/>
      <c r="U83" s="266"/>
      <c r="W83" s="268"/>
      <c r="X83" s="266"/>
      <c r="Z83" s="268"/>
      <c r="AA83" s="266"/>
      <c r="AC83" s="268"/>
      <c r="AD83" s="266"/>
      <c r="AF83" s="268"/>
      <c r="AG83" s="266"/>
      <c r="AI83" s="268"/>
      <c r="AJ83" s="266"/>
      <c r="AL83" s="268"/>
      <c r="AM83" s="266"/>
    </row>
    <row r="84" spans="1:39" s="267" customFormat="1" x14ac:dyDescent="0.2">
      <c r="A84" s="308"/>
      <c r="B84" s="293"/>
      <c r="C84" s="290"/>
      <c r="D84" s="290"/>
      <c r="E84" s="290"/>
      <c r="F84" s="290"/>
      <c r="G84" s="290"/>
      <c r="H84" s="290"/>
      <c r="I84" s="290"/>
      <c r="J84" s="290"/>
      <c r="K84" s="290"/>
      <c r="L84" s="290"/>
      <c r="M84" s="290"/>
      <c r="N84" s="290"/>
      <c r="O84" s="290"/>
      <c r="P84" s="261"/>
      <c r="Q84" s="262"/>
      <c r="R84" s="435"/>
      <c r="S84" s="264"/>
      <c r="T84" s="266"/>
      <c r="U84" s="266"/>
      <c r="W84" s="268"/>
      <c r="X84" s="266"/>
      <c r="Z84" s="268"/>
      <c r="AA84" s="266"/>
      <c r="AC84" s="268"/>
      <c r="AD84" s="266"/>
      <c r="AF84" s="268"/>
      <c r="AG84" s="266"/>
      <c r="AI84" s="268"/>
      <c r="AJ84" s="266"/>
      <c r="AL84" s="268"/>
      <c r="AM84" s="266"/>
    </row>
    <row r="85" spans="1:39" s="267" customFormat="1" x14ac:dyDescent="0.2">
      <c r="A85" s="308" t="s">
        <v>79</v>
      </c>
      <c r="B85" s="259" t="s">
        <v>201</v>
      </c>
      <c r="C85" s="290">
        <f>(W85+X85)*$C$3</f>
        <v>136</v>
      </c>
      <c r="D85" s="290">
        <f>C85*$Q85</f>
        <v>0</v>
      </c>
      <c r="E85" s="290">
        <f>(Z85+AA85)*$E$3</f>
        <v>170</v>
      </c>
      <c r="F85" s="290">
        <f>E85*$Q85</f>
        <v>0</v>
      </c>
      <c r="G85" s="290">
        <f>(AC85+AD85)*$G$3</f>
        <v>1020</v>
      </c>
      <c r="H85" s="290">
        <f>G85*$Q85</f>
        <v>0</v>
      </c>
      <c r="I85" s="290">
        <f>(AF85+AG85)*$I$3</f>
        <v>238</v>
      </c>
      <c r="J85" s="290">
        <f>I85*$Q85</f>
        <v>0</v>
      </c>
      <c r="K85" s="290">
        <f>(AI85+AJ85)*$K$3</f>
        <v>816</v>
      </c>
      <c r="L85" s="290">
        <f>K85*$Q85</f>
        <v>0</v>
      </c>
      <c r="M85" s="290">
        <f>(AL85+AM85)*$M$3</f>
        <v>306</v>
      </c>
      <c r="N85" s="290">
        <f>M85*$Q85</f>
        <v>0</v>
      </c>
      <c r="O85" s="290">
        <f>C85+E85+G85+I85+K85+M85</f>
        <v>2686</v>
      </c>
      <c r="P85" s="261" t="s">
        <v>12</v>
      </c>
      <c r="Q85" s="262"/>
      <c r="R85" s="435">
        <f>O85*Q85</f>
        <v>0</v>
      </c>
      <c r="S85" s="264"/>
      <c r="T85" s="266">
        <v>34</v>
      </c>
      <c r="U85" s="266">
        <v>34</v>
      </c>
      <c r="W85" s="268">
        <f>T85*$W$3</f>
        <v>68</v>
      </c>
      <c r="X85" s="266">
        <f>U85*$X$3</f>
        <v>68</v>
      </c>
      <c r="Z85" s="268">
        <f>W85</f>
        <v>68</v>
      </c>
      <c r="AA85" s="266">
        <f>U85*$AA$3</f>
        <v>102</v>
      </c>
      <c r="AC85" s="268">
        <f>W85</f>
        <v>68</v>
      </c>
      <c r="AD85" s="266">
        <f>U85*$AD$3</f>
        <v>136</v>
      </c>
      <c r="AF85" s="268">
        <f>W85</f>
        <v>68</v>
      </c>
      <c r="AG85" s="266">
        <f>U85*$AG$3</f>
        <v>170</v>
      </c>
      <c r="AI85" s="268">
        <f>W85</f>
        <v>68</v>
      </c>
      <c r="AJ85" s="266">
        <f>U85*$AJ$3</f>
        <v>204</v>
      </c>
      <c r="AL85" s="268">
        <f>W85</f>
        <v>68</v>
      </c>
      <c r="AM85" s="266">
        <f>U85*$AM$3</f>
        <v>238</v>
      </c>
    </row>
    <row r="86" spans="1:39" s="267" customFormat="1" x14ac:dyDescent="0.2">
      <c r="A86" s="308"/>
      <c r="B86" s="293"/>
      <c r="C86" s="290"/>
      <c r="D86" s="290"/>
      <c r="E86" s="290"/>
      <c r="F86" s="290"/>
      <c r="G86" s="290"/>
      <c r="H86" s="290"/>
      <c r="I86" s="290"/>
      <c r="J86" s="290"/>
      <c r="K86" s="290"/>
      <c r="L86" s="290"/>
      <c r="M86" s="290"/>
      <c r="N86" s="290"/>
      <c r="O86" s="290"/>
      <c r="P86" s="261"/>
      <c r="Q86" s="262"/>
      <c r="R86" s="435"/>
      <c r="S86" s="264"/>
      <c r="T86" s="266"/>
      <c r="U86" s="266"/>
      <c r="W86" s="268"/>
      <c r="X86" s="266"/>
      <c r="Z86" s="268"/>
      <c r="AA86" s="266"/>
      <c r="AC86" s="268"/>
      <c r="AD86" s="266"/>
      <c r="AF86" s="268"/>
      <c r="AG86" s="266"/>
      <c r="AI86" s="268"/>
      <c r="AJ86" s="266"/>
      <c r="AL86" s="268"/>
      <c r="AM86" s="266"/>
    </row>
    <row r="87" spans="1:39" s="267" customFormat="1" x14ac:dyDescent="0.2">
      <c r="A87" s="308" t="s">
        <v>80</v>
      </c>
      <c r="B87" s="259" t="s">
        <v>203</v>
      </c>
      <c r="C87" s="290">
        <f>(W87+X87)*$C$3</f>
        <v>28</v>
      </c>
      <c r="D87" s="290">
        <f>C87*$Q87</f>
        <v>0</v>
      </c>
      <c r="E87" s="290">
        <f>(Z87+AA87)*$E$3</f>
        <v>35</v>
      </c>
      <c r="F87" s="290">
        <f>E87*$Q87</f>
        <v>0</v>
      </c>
      <c r="G87" s="290">
        <f>(AC87+AD87)*$G$3</f>
        <v>210</v>
      </c>
      <c r="H87" s="290">
        <f>G87*$Q87</f>
        <v>0</v>
      </c>
      <c r="I87" s="290">
        <f>(AF87+AG87)*$I$3</f>
        <v>49</v>
      </c>
      <c r="J87" s="290">
        <f>I87*$Q87</f>
        <v>0</v>
      </c>
      <c r="K87" s="290">
        <f>(AI87+AJ87)*$K$3</f>
        <v>168</v>
      </c>
      <c r="L87" s="290">
        <f>K87*$Q87</f>
        <v>0</v>
      </c>
      <c r="M87" s="290">
        <f>(AL87+AM87)*$M$3</f>
        <v>63</v>
      </c>
      <c r="N87" s="290">
        <f>M87*$Q87</f>
        <v>0</v>
      </c>
      <c r="O87" s="290">
        <f>C87+E87+G87+I87+K87+M87</f>
        <v>553</v>
      </c>
      <c r="P87" s="261" t="s">
        <v>12</v>
      </c>
      <c r="Q87" s="262"/>
      <c r="R87" s="435">
        <f>O87*Q87</f>
        <v>0</v>
      </c>
      <c r="S87" s="264"/>
      <c r="T87" s="266">
        <v>7</v>
      </c>
      <c r="U87" s="266">
        <v>7</v>
      </c>
      <c r="W87" s="268">
        <f>T87*$W$3</f>
        <v>14</v>
      </c>
      <c r="X87" s="266">
        <f>U87*$X$3</f>
        <v>14</v>
      </c>
      <c r="Z87" s="268">
        <f>W87</f>
        <v>14</v>
      </c>
      <c r="AA87" s="266">
        <f>U87*$AA$3</f>
        <v>21</v>
      </c>
      <c r="AC87" s="268">
        <f>W87</f>
        <v>14</v>
      </c>
      <c r="AD87" s="266">
        <f>U87*$AD$3</f>
        <v>28</v>
      </c>
      <c r="AF87" s="268">
        <f>W87</f>
        <v>14</v>
      </c>
      <c r="AG87" s="266">
        <f>U87*$AG$3</f>
        <v>35</v>
      </c>
      <c r="AI87" s="268">
        <f>W87</f>
        <v>14</v>
      </c>
      <c r="AJ87" s="266">
        <f>U87*$AJ$3</f>
        <v>42</v>
      </c>
      <c r="AL87" s="268">
        <f>W87</f>
        <v>14</v>
      </c>
      <c r="AM87" s="266">
        <f>U87*$AM$3</f>
        <v>49</v>
      </c>
    </row>
    <row r="88" spans="1:39" s="267" customFormat="1" x14ac:dyDescent="0.2">
      <c r="A88" s="258"/>
      <c r="B88" s="259"/>
      <c r="C88" s="290"/>
      <c r="D88" s="290"/>
      <c r="E88" s="290"/>
      <c r="F88" s="290"/>
      <c r="G88" s="290"/>
      <c r="H88" s="290"/>
      <c r="I88" s="290"/>
      <c r="J88" s="290"/>
      <c r="K88" s="290"/>
      <c r="L88" s="290"/>
      <c r="M88" s="290"/>
      <c r="N88" s="290"/>
      <c r="O88" s="290"/>
      <c r="P88" s="261"/>
      <c r="Q88" s="294"/>
      <c r="R88" s="435"/>
      <c r="S88" s="264"/>
      <c r="T88" s="266"/>
      <c r="U88" s="266"/>
      <c r="W88" s="268"/>
      <c r="X88" s="266"/>
      <c r="Z88" s="268"/>
      <c r="AA88" s="266"/>
      <c r="AC88" s="268"/>
      <c r="AD88" s="266"/>
      <c r="AF88" s="268"/>
      <c r="AG88" s="266"/>
      <c r="AI88" s="268"/>
      <c r="AJ88" s="266"/>
      <c r="AL88" s="268"/>
      <c r="AM88" s="266"/>
    </row>
    <row r="89" spans="1:39" s="267" customFormat="1" x14ac:dyDescent="0.2">
      <c r="A89" s="258"/>
      <c r="B89" s="259"/>
      <c r="C89" s="290"/>
      <c r="D89" s="290"/>
      <c r="E89" s="290"/>
      <c r="F89" s="290"/>
      <c r="G89" s="290"/>
      <c r="H89" s="290"/>
      <c r="I89" s="290"/>
      <c r="J89" s="290"/>
      <c r="K89" s="290"/>
      <c r="L89" s="290"/>
      <c r="M89" s="290"/>
      <c r="N89" s="290"/>
      <c r="O89" s="290"/>
      <c r="P89" s="261"/>
      <c r="Q89" s="294"/>
      <c r="R89" s="435"/>
      <c r="S89" s="264"/>
      <c r="T89" s="266"/>
      <c r="U89" s="266"/>
      <c r="W89" s="268"/>
      <c r="X89" s="266"/>
      <c r="Z89" s="268"/>
      <c r="AA89" s="266"/>
      <c r="AC89" s="268"/>
      <c r="AD89" s="266"/>
      <c r="AF89" s="268"/>
      <c r="AG89" s="266"/>
      <c r="AI89" s="268"/>
      <c r="AJ89" s="266"/>
      <c r="AL89" s="268"/>
      <c r="AM89" s="266"/>
    </row>
    <row r="90" spans="1:39" s="267" customFormat="1" x14ac:dyDescent="0.2">
      <c r="A90" s="258"/>
      <c r="B90" s="259"/>
      <c r="C90" s="290"/>
      <c r="D90" s="290"/>
      <c r="E90" s="290"/>
      <c r="F90" s="290"/>
      <c r="G90" s="290"/>
      <c r="H90" s="290"/>
      <c r="I90" s="290"/>
      <c r="J90" s="290"/>
      <c r="K90" s="290"/>
      <c r="L90" s="290"/>
      <c r="M90" s="290"/>
      <c r="N90" s="290"/>
      <c r="O90" s="290"/>
      <c r="P90" s="261"/>
      <c r="Q90" s="294"/>
      <c r="R90" s="435"/>
      <c r="S90" s="264"/>
      <c r="T90" s="266"/>
      <c r="U90" s="266"/>
      <c r="W90" s="268"/>
      <c r="X90" s="266"/>
      <c r="Z90" s="268"/>
      <c r="AA90" s="266"/>
      <c r="AC90" s="268"/>
      <c r="AD90" s="266"/>
      <c r="AF90" s="268"/>
      <c r="AG90" s="266"/>
      <c r="AI90" s="268"/>
      <c r="AJ90" s="266"/>
      <c r="AL90" s="268"/>
      <c r="AM90" s="266"/>
    </row>
    <row r="91" spans="1:39" s="267" customFormat="1" x14ac:dyDescent="0.2">
      <c r="A91" s="258"/>
      <c r="B91" s="293"/>
      <c r="C91" s="290"/>
      <c r="D91" s="290"/>
      <c r="E91" s="290"/>
      <c r="F91" s="290"/>
      <c r="G91" s="290"/>
      <c r="H91" s="290"/>
      <c r="I91" s="290"/>
      <c r="J91" s="290"/>
      <c r="K91" s="290"/>
      <c r="L91" s="290"/>
      <c r="M91" s="290"/>
      <c r="N91" s="290"/>
      <c r="O91" s="290"/>
      <c r="P91" s="261"/>
      <c r="Q91" s="294"/>
      <c r="R91" s="435"/>
      <c r="S91" s="264"/>
      <c r="T91" s="266"/>
      <c r="U91" s="266"/>
      <c r="W91" s="268"/>
      <c r="X91" s="266"/>
      <c r="Z91" s="268"/>
      <c r="AA91" s="266"/>
      <c r="AC91" s="268"/>
      <c r="AD91" s="266"/>
      <c r="AF91" s="268"/>
      <c r="AG91" s="266"/>
      <c r="AI91" s="268"/>
      <c r="AJ91" s="266"/>
      <c r="AL91" s="268"/>
      <c r="AM91" s="266"/>
    </row>
    <row r="92" spans="1:39" s="267" customFormat="1" x14ac:dyDescent="0.2">
      <c r="A92" s="258"/>
      <c r="B92" s="293"/>
      <c r="C92" s="290"/>
      <c r="D92" s="290"/>
      <c r="E92" s="290"/>
      <c r="F92" s="290"/>
      <c r="G92" s="290"/>
      <c r="H92" s="290"/>
      <c r="I92" s="290"/>
      <c r="J92" s="290"/>
      <c r="K92" s="290"/>
      <c r="L92" s="290"/>
      <c r="M92" s="290"/>
      <c r="N92" s="290"/>
      <c r="O92" s="290"/>
      <c r="P92" s="261"/>
      <c r="Q92" s="294"/>
      <c r="R92" s="435"/>
      <c r="S92" s="264"/>
      <c r="T92" s="266"/>
      <c r="U92" s="266"/>
      <c r="W92" s="268"/>
      <c r="X92" s="266"/>
      <c r="Z92" s="268"/>
      <c r="AA92" s="266"/>
      <c r="AC92" s="268"/>
      <c r="AD92" s="266"/>
      <c r="AF92" s="268"/>
      <c r="AG92" s="266"/>
      <c r="AI92" s="268"/>
      <c r="AJ92" s="266"/>
      <c r="AL92" s="268"/>
      <c r="AM92" s="266"/>
    </row>
    <row r="93" spans="1:39" s="267" customFormat="1" x14ac:dyDescent="0.2">
      <c r="A93" s="375"/>
      <c r="B93" s="376"/>
      <c r="C93" s="377"/>
      <c r="D93" s="377"/>
      <c r="E93" s="377"/>
      <c r="F93" s="377"/>
      <c r="G93" s="377"/>
      <c r="H93" s="377"/>
      <c r="I93" s="377"/>
      <c r="J93" s="377"/>
      <c r="K93" s="377"/>
      <c r="L93" s="377"/>
      <c r="M93" s="377"/>
      <c r="N93" s="377"/>
      <c r="O93" s="377"/>
      <c r="P93" s="377"/>
      <c r="Q93" s="378"/>
      <c r="R93" s="441"/>
      <c r="S93" s="264"/>
      <c r="T93" s="266"/>
      <c r="U93" s="266"/>
      <c r="W93" s="268"/>
      <c r="X93" s="266"/>
      <c r="Z93" s="268"/>
      <c r="AA93" s="266"/>
      <c r="AC93" s="268"/>
      <c r="AD93" s="266"/>
      <c r="AF93" s="268"/>
      <c r="AG93" s="266"/>
      <c r="AI93" s="268"/>
      <c r="AJ93" s="266"/>
      <c r="AL93" s="268"/>
      <c r="AM93" s="266"/>
    </row>
    <row r="94" spans="1:39" s="267" customFormat="1" x14ac:dyDescent="0.2">
      <c r="A94" s="380"/>
      <c r="B94" s="282"/>
      <c r="C94" s="430"/>
      <c r="D94" s="430"/>
      <c r="E94" s="430"/>
      <c r="F94" s="430"/>
      <c r="G94" s="430"/>
      <c r="H94" s="430"/>
      <c r="I94" s="430"/>
      <c r="J94" s="430"/>
      <c r="K94" s="430"/>
      <c r="L94" s="430"/>
      <c r="M94" s="430"/>
      <c r="N94" s="430"/>
      <c r="O94" s="430"/>
      <c r="P94" s="430" t="s">
        <v>1</v>
      </c>
      <c r="Q94" s="381" t="s">
        <v>0</v>
      </c>
      <c r="R94" s="435"/>
      <c r="S94" s="264"/>
      <c r="T94" s="266">
        <v>0</v>
      </c>
      <c r="U94" s="266">
        <v>0</v>
      </c>
      <c r="W94" s="268"/>
      <c r="X94" s="266"/>
      <c r="Z94" s="268"/>
      <c r="AA94" s="266"/>
      <c r="AC94" s="268"/>
      <c r="AD94" s="266"/>
      <c r="AF94" s="268"/>
      <c r="AG94" s="266"/>
      <c r="AI94" s="268"/>
      <c r="AJ94" s="266"/>
      <c r="AL94" s="268"/>
      <c r="AM94" s="266"/>
    </row>
    <row r="95" spans="1:39" s="267" customFormat="1" x14ac:dyDescent="0.2">
      <c r="A95" s="380"/>
      <c r="B95" s="320"/>
      <c r="C95" s="309"/>
      <c r="D95" s="309"/>
      <c r="E95" s="309"/>
      <c r="F95" s="309"/>
      <c r="G95" s="309"/>
      <c r="H95" s="309"/>
      <c r="I95" s="309"/>
      <c r="J95" s="309"/>
      <c r="K95" s="309"/>
      <c r="L95" s="309"/>
      <c r="M95" s="309"/>
      <c r="N95" s="309"/>
      <c r="O95" s="309"/>
      <c r="P95" s="309"/>
      <c r="Q95" s="294"/>
      <c r="R95" s="458"/>
      <c r="S95" s="264"/>
      <c r="T95" s="266"/>
      <c r="U95" s="266"/>
      <c r="W95" s="268"/>
      <c r="X95" s="266"/>
      <c r="Z95" s="268"/>
      <c r="AA95" s="266"/>
      <c r="AC95" s="268"/>
      <c r="AD95" s="266"/>
      <c r="AF95" s="268"/>
      <c r="AG95" s="266"/>
      <c r="AI95" s="268"/>
      <c r="AJ95" s="266"/>
      <c r="AL95" s="268"/>
      <c r="AM95" s="266"/>
    </row>
    <row r="96" spans="1:39" s="288" customFormat="1" x14ac:dyDescent="0.2">
      <c r="A96" s="283"/>
      <c r="B96" s="265"/>
      <c r="C96" s="284"/>
      <c r="D96" s="284"/>
      <c r="E96" s="284"/>
      <c r="F96" s="284"/>
      <c r="G96" s="284"/>
      <c r="H96" s="285"/>
      <c r="I96" s="285"/>
      <c r="J96" s="285"/>
      <c r="K96" s="285"/>
      <c r="L96" s="285"/>
      <c r="M96" s="285"/>
      <c r="N96" s="285"/>
      <c r="O96" s="285"/>
      <c r="P96" s="153"/>
      <c r="Q96" s="22"/>
      <c r="R96" s="434"/>
      <c r="S96" s="286"/>
      <c r="T96" s="287"/>
      <c r="U96" s="287"/>
      <c r="W96" s="289"/>
      <c r="X96" s="287"/>
      <c r="Z96" s="289"/>
      <c r="AA96" s="287"/>
      <c r="AC96" s="289"/>
      <c r="AD96" s="287"/>
      <c r="AF96" s="289"/>
      <c r="AG96" s="287"/>
      <c r="AI96" s="289"/>
      <c r="AJ96" s="287"/>
      <c r="AL96" s="289"/>
      <c r="AM96" s="287"/>
    </row>
    <row r="97" spans="1:39" s="267" customFormat="1" x14ac:dyDescent="0.2">
      <c r="A97" s="308"/>
      <c r="B97" s="265" t="s">
        <v>251</v>
      </c>
      <c r="C97" s="290"/>
      <c r="D97" s="290"/>
      <c r="E97" s="290"/>
      <c r="F97" s="290"/>
      <c r="G97" s="290"/>
      <c r="H97" s="290"/>
      <c r="I97" s="290"/>
      <c r="J97" s="290"/>
      <c r="K97" s="290"/>
      <c r="L97" s="290"/>
      <c r="M97" s="290"/>
      <c r="N97" s="290"/>
      <c r="O97" s="290"/>
      <c r="P97" s="261"/>
      <c r="Q97" s="262"/>
      <c r="R97" s="435"/>
      <c r="S97" s="264"/>
      <c r="T97" s="266"/>
      <c r="U97" s="266"/>
      <c r="W97" s="268"/>
      <c r="X97" s="266"/>
      <c r="Z97" s="268"/>
      <c r="AA97" s="266"/>
      <c r="AC97" s="268"/>
      <c r="AD97" s="266"/>
      <c r="AF97" s="268"/>
      <c r="AG97" s="266"/>
      <c r="AI97" s="268"/>
      <c r="AJ97" s="266"/>
      <c r="AL97" s="268"/>
      <c r="AM97" s="266"/>
    </row>
    <row r="98" spans="1:39" s="267" customFormat="1" x14ac:dyDescent="0.2">
      <c r="A98" s="308"/>
      <c r="B98" s="265"/>
      <c r="C98" s="290"/>
      <c r="D98" s="290"/>
      <c r="E98" s="290"/>
      <c r="F98" s="290"/>
      <c r="G98" s="290"/>
      <c r="H98" s="290"/>
      <c r="I98" s="290"/>
      <c r="J98" s="290"/>
      <c r="K98" s="290"/>
      <c r="L98" s="290"/>
      <c r="M98" s="290"/>
      <c r="N98" s="290"/>
      <c r="O98" s="290"/>
      <c r="P98" s="261"/>
      <c r="Q98" s="262"/>
      <c r="R98" s="435"/>
      <c r="S98" s="264"/>
      <c r="T98" s="266"/>
      <c r="U98" s="266"/>
      <c r="W98" s="268"/>
      <c r="X98" s="266"/>
      <c r="Z98" s="268"/>
      <c r="AA98" s="266"/>
      <c r="AC98" s="268"/>
      <c r="AD98" s="266"/>
      <c r="AF98" s="268"/>
      <c r="AG98" s="266"/>
      <c r="AI98" s="268"/>
      <c r="AJ98" s="266"/>
      <c r="AL98" s="268"/>
      <c r="AM98" s="266"/>
    </row>
    <row r="99" spans="1:39" s="267" customFormat="1" x14ac:dyDescent="0.2">
      <c r="A99" s="308"/>
      <c r="B99" s="293" t="s">
        <v>240</v>
      </c>
      <c r="C99" s="290"/>
      <c r="D99" s="290"/>
      <c r="E99" s="290"/>
      <c r="F99" s="290"/>
      <c r="G99" s="290"/>
      <c r="H99" s="290"/>
      <c r="I99" s="290"/>
      <c r="J99" s="290"/>
      <c r="K99" s="290"/>
      <c r="L99" s="290"/>
      <c r="M99" s="290"/>
      <c r="N99" s="290"/>
      <c r="O99" s="290"/>
      <c r="P99" s="261"/>
      <c r="Q99" s="262"/>
      <c r="R99" s="435"/>
      <c r="S99" s="264"/>
      <c r="T99" s="266"/>
      <c r="U99" s="266"/>
      <c r="W99" s="268"/>
      <c r="X99" s="266"/>
      <c r="Z99" s="268"/>
      <c r="AA99" s="266"/>
      <c r="AC99" s="268"/>
      <c r="AD99" s="266"/>
      <c r="AF99" s="268"/>
      <c r="AG99" s="266"/>
      <c r="AI99" s="268"/>
      <c r="AJ99" s="266"/>
      <c r="AL99" s="268"/>
      <c r="AM99" s="266"/>
    </row>
    <row r="100" spans="1:39" s="267" customFormat="1" x14ac:dyDescent="0.2">
      <c r="A100" s="308"/>
      <c r="B100" s="293"/>
      <c r="C100" s="290"/>
      <c r="D100" s="290"/>
      <c r="E100" s="290"/>
      <c r="F100" s="290"/>
      <c r="G100" s="290"/>
      <c r="H100" s="290"/>
      <c r="I100" s="290"/>
      <c r="J100" s="290"/>
      <c r="K100" s="290"/>
      <c r="L100" s="290"/>
      <c r="M100" s="290"/>
      <c r="N100" s="290"/>
      <c r="O100" s="290"/>
      <c r="P100" s="261"/>
      <c r="Q100" s="262"/>
      <c r="R100" s="435"/>
      <c r="S100" s="264"/>
      <c r="T100" s="266"/>
      <c r="U100" s="266"/>
      <c r="W100" s="268"/>
      <c r="X100" s="266"/>
      <c r="Z100" s="268"/>
      <c r="AA100" s="266"/>
      <c r="AC100" s="268"/>
      <c r="AD100" s="266"/>
      <c r="AF100" s="268"/>
      <c r="AG100" s="266"/>
      <c r="AI100" s="268"/>
      <c r="AJ100" s="266"/>
      <c r="AL100" s="268"/>
      <c r="AM100" s="266"/>
    </row>
    <row r="101" spans="1:39" s="267" customFormat="1" x14ac:dyDescent="0.2">
      <c r="A101" s="308" t="s">
        <v>66</v>
      </c>
      <c r="B101" s="259" t="s">
        <v>677</v>
      </c>
      <c r="C101" s="290">
        <f>(W101+X101)*$C$3</f>
        <v>20</v>
      </c>
      <c r="D101" s="290">
        <f>C101*$Q101</f>
        <v>0</v>
      </c>
      <c r="E101" s="290">
        <f>(Z101+AA101)*$E$3</f>
        <v>25</v>
      </c>
      <c r="F101" s="290">
        <f>E101*$Q101</f>
        <v>0</v>
      </c>
      <c r="G101" s="290">
        <f>(AC101+AD101)*$G$3</f>
        <v>150</v>
      </c>
      <c r="H101" s="290">
        <f>G101*$Q101</f>
        <v>0</v>
      </c>
      <c r="I101" s="290">
        <f>(AF101+AG101)*$I$3</f>
        <v>35</v>
      </c>
      <c r="J101" s="290">
        <f>I101*$Q101</f>
        <v>0</v>
      </c>
      <c r="K101" s="290">
        <f>(AI101+AJ101)*$K$3</f>
        <v>120</v>
      </c>
      <c r="L101" s="290">
        <f>K101*$Q101</f>
        <v>0</v>
      </c>
      <c r="M101" s="290">
        <f>(AL101+AM101)*$M$3</f>
        <v>45</v>
      </c>
      <c r="N101" s="290">
        <f>M101*$Q101</f>
        <v>0</v>
      </c>
      <c r="O101" s="290">
        <f>C101+E101+G101+I101+K101+M101</f>
        <v>395</v>
      </c>
      <c r="P101" s="261" t="s">
        <v>269</v>
      </c>
      <c r="Q101" s="262"/>
      <c r="R101" s="435">
        <f>O101*Q101</f>
        <v>0</v>
      </c>
      <c r="S101" s="264"/>
      <c r="T101" s="266">
        <f>3+2</f>
        <v>5</v>
      </c>
      <c r="U101" s="266">
        <v>5</v>
      </c>
      <c r="W101" s="268">
        <f>T101*$W$3</f>
        <v>10</v>
      </c>
      <c r="X101" s="266">
        <f>U101*$X$3</f>
        <v>10</v>
      </c>
      <c r="Z101" s="268">
        <f>W101</f>
        <v>10</v>
      </c>
      <c r="AA101" s="266">
        <f>U101*$AA$3</f>
        <v>15</v>
      </c>
      <c r="AC101" s="268">
        <f>W101</f>
        <v>10</v>
      </c>
      <c r="AD101" s="266">
        <f>U101*$AD$3</f>
        <v>20</v>
      </c>
      <c r="AF101" s="268">
        <f>W101</f>
        <v>10</v>
      </c>
      <c r="AG101" s="266">
        <f>U101*$AG$3</f>
        <v>25</v>
      </c>
      <c r="AI101" s="268">
        <f>W101</f>
        <v>10</v>
      </c>
      <c r="AJ101" s="266">
        <f>U101*$AJ$3</f>
        <v>30</v>
      </c>
      <c r="AL101" s="268">
        <f>W101</f>
        <v>10</v>
      </c>
      <c r="AM101" s="266">
        <f>U101*$AM$3</f>
        <v>35</v>
      </c>
    </row>
    <row r="102" spans="1:39" s="267" customFormat="1" x14ac:dyDescent="0.2">
      <c r="A102" s="308"/>
      <c r="B102" s="293"/>
      <c r="C102" s="290"/>
      <c r="D102" s="290"/>
      <c r="E102" s="290"/>
      <c r="F102" s="290"/>
      <c r="G102" s="290"/>
      <c r="H102" s="290"/>
      <c r="I102" s="290"/>
      <c r="J102" s="290"/>
      <c r="K102" s="290"/>
      <c r="L102" s="290"/>
      <c r="M102" s="290"/>
      <c r="N102" s="290"/>
      <c r="O102" s="290"/>
      <c r="P102" s="261"/>
      <c r="Q102" s="262"/>
      <c r="R102" s="435"/>
      <c r="S102" s="264"/>
      <c r="T102" s="266"/>
      <c r="U102" s="266"/>
      <c r="W102" s="268"/>
      <c r="X102" s="266"/>
      <c r="Z102" s="268"/>
      <c r="AA102" s="266"/>
      <c r="AC102" s="268"/>
      <c r="AD102" s="266"/>
      <c r="AF102" s="268"/>
      <c r="AG102" s="266"/>
      <c r="AI102" s="268"/>
      <c r="AJ102" s="266"/>
      <c r="AL102" s="268"/>
      <c r="AM102" s="266"/>
    </row>
    <row r="103" spans="1:39" s="267" customFormat="1" x14ac:dyDescent="0.2">
      <c r="A103" s="308" t="s">
        <v>67</v>
      </c>
      <c r="B103" s="259" t="s">
        <v>678</v>
      </c>
      <c r="C103" s="290">
        <f>(W103+X103)*$C$3</f>
        <v>28</v>
      </c>
      <c r="D103" s="290">
        <f>C103*$Q103</f>
        <v>0</v>
      </c>
      <c r="E103" s="290">
        <f>(Z103+AA103)*$E$3</f>
        <v>35</v>
      </c>
      <c r="F103" s="290">
        <f>E103*$Q103</f>
        <v>0</v>
      </c>
      <c r="G103" s="290">
        <f>(AC103+AD103)*$G$3</f>
        <v>210</v>
      </c>
      <c r="H103" s="290">
        <f>G103*$Q103</f>
        <v>0</v>
      </c>
      <c r="I103" s="290">
        <f>(AF103+AG103)*$I$3</f>
        <v>49</v>
      </c>
      <c r="J103" s="290">
        <f>I103*$Q103</f>
        <v>0</v>
      </c>
      <c r="K103" s="290">
        <f>(AI103+AJ103)*$K$3</f>
        <v>168</v>
      </c>
      <c r="L103" s="290">
        <f>K103*$Q103</f>
        <v>0</v>
      </c>
      <c r="M103" s="290">
        <f>(AL103+AM103)*$M$3</f>
        <v>63</v>
      </c>
      <c r="N103" s="290">
        <f>M103*$Q103</f>
        <v>0</v>
      </c>
      <c r="O103" s="290">
        <f>C103+E103+G103+I103+K103+M103</f>
        <v>553</v>
      </c>
      <c r="P103" s="261" t="s">
        <v>269</v>
      </c>
      <c r="Q103" s="262"/>
      <c r="R103" s="435">
        <f>O103*Q103</f>
        <v>0</v>
      </c>
      <c r="S103" s="264"/>
      <c r="T103" s="266">
        <f>3+4</f>
        <v>7</v>
      </c>
      <c r="U103" s="266">
        <v>7</v>
      </c>
      <c r="W103" s="268">
        <f>T103*$W$3</f>
        <v>14</v>
      </c>
      <c r="X103" s="266">
        <f>U103*$X$3</f>
        <v>14</v>
      </c>
      <c r="Z103" s="268">
        <f>W103</f>
        <v>14</v>
      </c>
      <c r="AA103" s="266">
        <f>U103*$AA$3</f>
        <v>21</v>
      </c>
      <c r="AC103" s="268">
        <f>W103</f>
        <v>14</v>
      </c>
      <c r="AD103" s="266">
        <f>U103*$AD$3</f>
        <v>28</v>
      </c>
      <c r="AF103" s="268">
        <f>W103</f>
        <v>14</v>
      </c>
      <c r="AG103" s="266">
        <f>U103*$AG$3</f>
        <v>35</v>
      </c>
      <c r="AI103" s="268">
        <f>W103</f>
        <v>14</v>
      </c>
      <c r="AJ103" s="266">
        <f>U103*$AJ$3</f>
        <v>42</v>
      </c>
      <c r="AL103" s="268">
        <f>W103</f>
        <v>14</v>
      </c>
      <c r="AM103" s="266">
        <f>U103*$AM$3</f>
        <v>49</v>
      </c>
    </row>
    <row r="104" spans="1:39" s="267" customFormat="1" x14ac:dyDescent="0.2">
      <c r="A104" s="308"/>
      <c r="B104" s="293"/>
      <c r="C104" s="290"/>
      <c r="D104" s="290"/>
      <c r="E104" s="290"/>
      <c r="F104" s="290"/>
      <c r="G104" s="290"/>
      <c r="H104" s="290"/>
      <c r="I104" s="290"/>
      <c r="J104" s="290"/>
      <c r="K104" s="290"/>
      <c r="L104" s="290"/>
      <c r="M104" s="290"/>
      <c r="N104" s="290"/>
      <c r="O104" s="290"/>
      <c r="P104" s="261"/>
      <c r="Q104" s="262"/>
      <c r="R104" s="435"/>
      <c r="S104" s="264"/>
      <c r="T104" s="266"/>
      <c r="U104" s="266"/>
      <c r="W104" s="268"/>
      <c r="X104" s="266"/>
      <c r="Z104" s="268"/>
      <c r="AA104" s="266"/>
      <c r="AC104" s="268"/>
      <c r="AD104" s="266"/>
      <c r="AF104" s="268"/>
      <c r="AG104" s="266"/>
      <c r="AI104" s="268"/>
      <c r="AJ104" s="266"/>
      <c r="AL104" s="268"/>
      <c r="AM104" s="266"/>
    </row>
    <row r="105" spans="1:39" s="267" customFormat="1" x14ac:dyDescent="0.2">
      <c r="A105" s="308" t="s">
        <v>68</v>
      </c>
      <c r="B105" s="259" t="s">
        <v>679</v>
      </c>
      <c r="C105" s="290">
        <f>(W105+X105)*$C$3</f>
        <v>4</v>
      </c>
      <c r="D105" s="290">
        <f>C105*$Q105</f>
        <v>0</v>
      </c>
      <c r="E105" s="290">
        <f>(Z105+AA105)*$E$3</f>
        <v>5</v>
      </c>
      <c r="F105" s="290">
        <f>E105*$Q105</f>
        <v>0</v>
      </c>
      <c r="G105" s="290">
        <f>(AC105+AD105)*$G$3</f>
        <v>30</v>
      </c>
      <c r="H105" s="290">
        <f>G105*$Q105</f>
        <v>0</v>
      </c>
      <c r="I105" s="290">
        <f>(AF105+AG105)*$I$3</f>
        <v>7</v>
      </c>
      <c r="J105" s="290">
        <f>I105*$Q105</f>
        <v>0</v>
      </c>
      <c r="K105" s="290">
        <f>(AI105+AJ105)*$K$3</f>
        <v>24</v>
      </c>
      <c r="L105" s="290">
        <f>K105*$Q105</f>
        <v>0</v>
      </c>
      <c r="M105" s="290">
        <f>(AL105+AM105)*$M$3</f>
        <v>9</v>
      </c>
      <c r="N105" s="290">
        <f>M105*$Q105</f>
        <v>0</v>
      </c>
      <c r="O105" s="290">
        <f>C105+E105+G105+I105+K105+M105</f>
        <v>79</v>
      </c>
      <c r="P105" s="261" t="s">
        <v>269</v>
      </c>
      <c r="Q105" s="262"/>
      <c r="R105" s="435">
        <f>O105*Q105</f>
        <v>0</v>
      </c>
      <c r="S105" s="264"/>
      <c r="T105" s="266">
        <v>1</v>
      </c>
      <c r="U105" s="266">
        <v>1</v>
      </c>
      <c r="W105" s="268">
        <f>T105*$W$3</f>
        <v>2</v>
      </c>
      <c r="X105" s="266">
        <f>U105*$X$3</f>
        <v>2</v>
      </c>
      <c r="Z105" s="268">
        <f>W105</f>
        <v>2</v>
      </c>
      <c r="AA105" s="266">
        <f>U105*$AA$3</f>
        <v>3</v>
      </c>
      <c r="AC105" s="268">
        <f>W105</f>
        <v>2</v>
      </c>
      <c r="AD105" s="266">
        <f>U105*$AD$3</f>
        <v>4</v>
      </c>
      <c r="AF105" s="268">
        <f>W105</f>
        <v>2</v>
      </c>
      <c r="AG105" s="266">
        <f>U105*$AG$3</f>
        <v>5</v>
      </c>
      <c r="AI105" s="268">
        <f>W105</f>
        <v>2</v>
      </c>
      <c r="AJ105" s="266">
        <f>U105*$AJ$3</f>
        <v>6</v>
      </c>
      <c r="AL105" s="268">
        <f>W105</f>
        <v>2</v>
      </c>
      <c r="AM105" s="266">
        <f>U105*$AM$3</f>
        <v>7</v>
      </c>
    </row>
    <row r="106" spans="1:39" s="267" customFormat="1" x14ac:dyDescent="0.2">
      <c r="A106" s="308"/>
      <c r="B106" s="293"/>
      <c r="C106" s="290"/>
      <c r="D106" s="290"/>
      <c r="E106" s="290"/>
      <c r="F106" s="290"/>
      <c r="G106" s="290"/>
      <c r="H106" s="290"/>
      <c r="I106" s="290"/>
      <c r="J106" s="290"/>
      <c r="K106" s="290"/>
      <c r="L106" s="290"/>
      <c r="M106" s="290"/>
      <c r="N106" s="290"/>
      <c r="O106" s="290"/>
      <c r="P106" s="261"/>
      <c r="Q106" s="262"/>
      <c r="R106" s="435"/>
      <c r="S106" s="264"/>
      <c r="T106" s="266"/>
      <c r="U106" s="266"/>
      <c r="W106" s="268"/>
      <c r="X106" s="266"/>
      <c r="Z106" s="268"/>
      <c r="AA106" s="266"/>
      <c r="AC106" s="268"/>
      <c r="AD106" s="266"/>
      <c r="AF106" s="268"/>
      <c r="AG106" s="266"/>
      <c r="AI106" s="268"/>
      <c r="AJ106" s="266"/>
      <c r="AL106" s="268"/>
      <c r="AM106" s="266"/>
    </row>
    <row r="107" spans="1:39" s="267" customFormat="1" x14ac:dyDescent="0.2">
      <c r="A107" s="308" t="s">
        <v>69</v>
      </c>
      <c r="B107" s="259" t="s">
        <v>680</v>
      </c>
      <c r="C107" s="290">
        <f>(W107+X107)*$C$3</f>
        <v>4</v>
      </c>
      <c r="D107" s="290">
        <f>C107*$Q107</f>
        <v>0</v>
      </c>
      <c r="E107" s="290">
        <f>(Z107+AA107)*$E$3</f>
        <v>5</v>
      </c>
      <c r="F107" s="290">
        <f>E107*$Q107</f>
        <v>0</v>
      </c>
      <c r="G107" s="290">
        <f>(AC107+AD107)*$G$3</f>
        <v>30</v>
      </c>
      <c r="H107" s="290">
        <f>G107*$Q107</f>
        <v>0</v>
      </c>
      <c r="I107" s="290">
        <f>(AF107+AG107)*$I$3</f>
        <v>7</v>
      </c>
      <c r="J107" s="290">
        <f>I107*$Q107</f>
        <v>0</v>
      </c>
      <c r="K107" s="290">
        <f>(AI107+AJ107)*$K$3</f>
        <v>24</v>
      </c>
      <c r="L107" s="290">
        <f>K107*$Q107</f>
        <v>0</v>
      </c>
      <c r="M107" s="290">
        <f>(AL107+AM107)*$M$3</f>
        <v>9</v>
      </c>
      <c r="N107" s="290">
        <f>M107*$Q107</f>
        <v>0</v>
      </c>
      <c r="O107" s="290">
        <f>C107+E107+G107+I107+K107+M107</f>
        <v>79</v>
      </c>
      <c r="P107" s="261" t="s">
        <v>269</v>
      </c>
      <c r="Q107" s="262"/>
      <c r="R107" s="435">
        <f>O107*Q107</f>
        <v>0</v>
      </c>
      <c r="S107" s="264"/>
      <c r="T107" s="266">
        <v>1</v>
      </c>
      <c r="U107" s="266">
        <v>1</v>
      </c>
      <c r="W107" s="268">
        <f>T107*$W$3</f>
        <v>2</v>
      </c>
      <c r="X107" s="266">
        <f>U107*$X$3</f>
        <v>2</v>
      </c>
      <c r="Z107" s="268">
        <f>W107</f>
        <v>2</v>
      </c>
      <c r="AA107" s="266">
        <f>U107*$AA$3</f>
        <v>3</v>
      </c>
      <c r="AC107" s="268">
        <f>W107</f>
        <v>2</v>
      </c>
      <c r="AD107" s="266">
        <f>U107*$AD$3</f>
        <v>4</v>
      </c>
      <c r="AF107" s="268">
        <f>W107</f>
        <v>2</v>
      </c>
      <c r="AG107" s="266">
        <f>U107*$AG$3</f>
        <v>5</v>
      </c>
      <c r="AI107" s="268">
        <f>W107</f>
        <v>2</v>
      </c>
      <c r="AJ107" s="266">
        <f>U107*$AJ$3</f>
        <v>6</v>
      </c>
      <c r="AL107" s="268">
        <f>W107</f>
        <v>2</v>
      </c>
      <c r="AM107" s="266">
        <f>U107*$AM$3</f>
        <v>7</v>
      </c>
    </row>
    <row r="108" spans="1:39" s="267" customFormat="1" x14ac:dyDescent="0.2">
      <c r="A108" s="308"/>
      <c r="B108" s="259"/>
      <c r="C108" s="290"/>
      <c r="D108" s="290"/>
      <c r="E108" s="290"/>
      <c r="F108" s="290"/>
      <c r="G108" s="290"/>
      <c r="H108" s="290"/>
      <c r="I108" s="290"/>
      <c r="J108" s="290"/>
      <c r="K108" s="290"/>
      <c r="L108" s="290"/>
      <c r="M108" s="290"/>
      <c r="N108" s="290"/>
      <c r="O108" s="290"/>
      <c r="P108" s="261"/>
      <c r="Q108" s="294"/>
      <c r="R108" s="435"/>
      <c r="S108" s="264"/>
      <c r="T108" s="266"/>
      <c r="U108" s="266"/>
      <c r="W108" s="268"/>
      <c r="X108" s="266"/>
      <c r="Z108" s="268"/>
      <c r="AA108" s="266"/>
      <c r="AC108" s="268"/>
      <c r="AD108" s="266"/>
      <c r="AF108" s="268"/>
      <c r="AG108" s="266"/>
      <c r="AI108" s="268"/>
      <c r="AJ108" s="266"/>
      <c r="AL108" s="268"/>
      <c r="AM108" s="266"/>
    </row>
    <row r="109" spans="1:39" s="267" customFormat="1" x14ac:dyDescent="0.2">
      <c r="A109" s="308" t="s">
        <v>70</v>
      </c>
      <c r="B109" s="259" t="s">
        <v>252</v>
      </c>
      <c r="C109" s="290">
        <f>(W109+X109)*$C$3</f>
        <v>2</v>
      </c>
      <c r="D109" s="290">
        <f>C109*$Q109</f>
        <v>0</v>
      </c>
      <c r="E109" s="290">
        <f>(Z109+AA109)*$E$3</f>
        <v>2</v>
      </c>
      <c r="F109" s="290">
        <f>E109*$Q109</f>
        <v>0</v>
      </c>
      <c r="G109" s="290">
        <f>(AC109+AD109)*$G$3</f>
        <v>10</v>
      </c>
      <c r="H109" s="290">
        <f>G109*$Q109</f>
        <v>0</v>
      </c>
      <c r="I109" s="290">
        <f>(AF109+AG109)*$I$3</f>
        <v>2</v>
      </c>
      <c r="J109" s="290">
        <f>I109*$Q109</f>
        <v>0</v>
      </c>
      <c r="K109" s="290">
        <f>(AI109+AJ109)*$K$3</f>
        <v>6</v>
      </c>
      <c r="L109" s="290">
        <f>K109*$Q109</f>
        <v>0</v>
      </c>
      <c r="M109" s="290">
        <f>(AL109+AM109)*$M$3</f>
        <v>2</v>
      </c>
      <c r="N109" s="290">
        <f>M109*$Q109</f>
        <v>0</v>
      </c>
      <c r="O109" s="290">
        <f>C109+E109+G109+I109+K109+M109</f>
        <v>24</v>
      </c>
      <c r="P109" s="261" t="s">
        <v>269</v>
      </c>
      <c r="Q109" s="262"/>
      <c r="R109" s="435">
        <f>O109*Q109</f>
        <v>0</v>
      </c>
      <c r="S109" s="264"/>
      <c r="T109" s="266">
        <v>1</v>
      </c>
      <c r="U109" s="266">
        <f>1-1</f>
        <v>0</v>
      </c>
      <c r="W109" s="268">
        <f>T109*$W$3</f>
        <v>2</v>
      </c>
      <c r="X109" s="266">
        <f>U109*$X$3</f>
        <v>0</v>
      </c>
      <c r="Z109" s="268">
        <f>W109</f>
        <v>2</v>
      </c>
      <c r="AA109" s="266">
        <f>U109*$AA$3</f>
        <v>0</v>
      </c>
      <c r="AC109" s="268">
        <f>W109</f>
        <v>2</v>
      </c>
      <c r="AD109" s="266">
        <f>U109*$AD$3</f>
        <v>0</v>
      </c>
      <c r="AF109" s="268">
        <f>W109</f>
        <v>2</v>
      </c>
      <c r="AG109" s="266">
        <f>U109*$AG$3</f>
        <v>0</v>
      </c>
      <c r="AI109" s="268">
        <f>W109</f>
        <v>2</v>
      </c>
      <c r="AJ109" s="266">
        <f>U109*$AJ$3</f>
        <v>0</v>
      </c>
      <c r="AL109" s="268">
        <f>W109</f>
        <v>2</v>
      </c>
      <c r="AM109" s="266">
        <f>U109*$AM$3</f>
        <v>0</v>
      </c>
    </row>
    <row r="110" spans="1:39" s="267" customFormat="1" x14ac:dyDescent="0.2">
      <c r="A110" s="308"/>
      <c r="B110" s="293"/>
      <c r="C110" s="290"/>
      <c r="D110" s="290"/>
      <c r="E110" s="290"/>
      <c r="F110" s="290"/>
      <c r="G110" s="290"/>
      <c r="H110" s="290"/>
      <c r="I110" s="290"/>
      <c r="J110" s="290"/>
      <c r="K110" s="290"/>
      <c r="L110" s="290"/>
      <c r="M110" s="290"/>
      <c r="N110" s="290"/>
      <c r="O110" s="290"/>
      <c r="P110" s="261"/>
      <c r="Q110" s="262"/>
      <c r="R110" s="435"/>
      <c r="S110" s="264"/>
      <c r="T110" s="266"/>
      <c r="U110" s="266"/>
      <c r="W110" s="268"/>
      <c r="X110" s="266"/>
      <c r="Z110" s="268"/>
      <c r="AA110" s="266"/>
      <c r="AC110" s="268"/>
      <c r="AD110" s="266"/>
      <c r="AF110" s="268"/>
      <c r="AG110" s="266"/>
      <c r="AI110" s="268"/>
      <c r="AJ110" s="266"/>
      <c r="AL110" s="268"/>
      <c r="AM110" s="266"/>
    </row>
    <row r="111" spans="1:39" s="267" customFormat="1" x14ac:dyDescent="0.2">
      <c r="A111" s="308" t="s">
        <v>71</v>
      </c>
      <c r="B111" s="259" t="s">
        <v>681</v>
      </c>
      <c r="C111" s="290">
        <f>(W111+X111)*$C$3</f>
        <v>4</v>
      </c>
      <c r="D111" s="290">
        <f>C111*$Q111</f>
        <v>0</v>
      </c>
      <c r="E111" s="290">
        <f>(Z111+AA111)*$E$3</f>
        <v>5</v>
      </c>
      <c r="F111" s="290">
        <f>E111*$Q111</f>
        <v>0</v>
      </c>
      <c r="G111" s="290">
        <f>(AC111+AD111)*$G$3</f>
        <v>30</v>
      </c>
      <c r="H111" s="290">
        <f>G111*$Q111</f>
        <v>0</v>
      </c>
      <c r="I111" s="290">
        <f>(AF111+AG111)*$I$3</f>
        <v>7</v>
      </c>
      <c r="J111" s="290">
        <f>I111*$Q111</f>
        <v>0</v>
      </c>
      <c r="K111" s="290">
        <f>(AI111+AJ111)*$K$3</f>
        <v>24</v>
      </c>
      <c r="L111" s="290">
        <f>K111*$Q111</f>
        <v>0</v>
      </c>
      <c r="M111" s="290">
        <f>(AL111+AM111)*$M$3</f>
        <v>9</v>
      </c>
      <c r="N111" s="290">
        <f>M111*$Q111</f>
        <v>0</v>
      </c>
      <c r="O111" s="290">
        <f>C111+E111+G111+I111+K111+M111</f>
        <v>79</v>
      </c>
      <c r="P111" s="261" t="s">
        <v>269</v>
      </c>
      <c r="Q111" s="262"/>
      <c r="R111" s="435">
        <f>O111*Q111</f>
        <v>0</v>
      </c>
      <c r="S111" s="264"/>
      <c r="T111" s="266">
        <v>1</v>
      </c>
      <c r="U111" s="266">
        <v>1</v>
      </c>
      <c r="W111" s="268">
        <f>T111*$W$3</f>
        <v>2</v>
      </c>
      <c r="X111" s="266">
        <f>U111*$X$3</f>
        <v>2</v>
      </c>
      <c r="Z111" s="268">
        <f>W111</f>
        <v>2</v>
      </c>
      <c r="AA111" s="266">
        <f>U111*$AA$3</f>
        <v>3</v>
      </c>
      <c r="AC111" s="268">
        <f>W111</f>
        <v>2</v>
      </c>
      <c r="AD111" s="266">
        <f>U111*$AD$3</f>
        <v>4</v>
      </c>
      <c r="AF111" s="268">
        <f>W111</f>
        <v>2</v>
      </c>
      <c r="AG111" s="266">
        <f>U111*$AG$3</f>
        <v>5</v>
      </c>
      <c r="AI111" s="268">
        <f>W111</f>
        <v>2</v>
      </c>
      <c r="AJ111" s="266">
        <f>U111*$AJ$3</f>
        <v>6</v>
      </c>
      <c r="AL111" s="268">
        <f>W111</f>
        <v>2</v>
      </c>
      <c r="AM111" s="266">
        <f>U111*$AM$3</f>
        <v>7</v>
      </c>
    </row>
    <row r="112" spans="1:39" s="267" customFormat="1" x14ac:dyDescent="0.2">
      <c r="A112" s="308"/>
      <c r="B112" s="293"/>
      <c r="C112" s="290"/>
      <c r="D112" s="290"/>
      <c r="E112" s="290"/>
      <c r="F112" s="290"/>
      <c r="G112" s="290"/>
      <c r="H112" s="290"/>
      <c r="I112" s="290"/>
      <c r="J112" s="290"/>
      <c r="K112" s="290"/>
      <c r="L112" s="290"/>
      <c r="M112" s="290"/>
      <c r="N112" s="290"/>
      <c r="O112" s="290"/>
      <c r="P112" s="261"/>
      <c r="Q112" s="262"/>
      <c r="R112" s="435"/>
      <c r="T112" s="266"/>
      <c r="U112" s="266"/>
      <c r="W112" s="268"/>
      <c r="X112" s="266"/>
      <c r="Z112" s="268"/>
      <c r="AA112" s="266"/>
      <c r="AC112" s="268"/>
      <c r="AD112" s="266"/>
      <c r="AF112" s="268"/>
      <c r="AG112" s="266"/>
      <c r="AI112" s="268"/>
      <c r="AJ112" s="266"/>
      <c r="AL112" s="268"/>
      <c r="AM112" s="266"/>
    </row>
    <row r="113" spans="1:39" s="267" customFormat="1" x14ac:dyDescent="0.2">
      <c r="A113" s="308" t="s">
        <v>72</v>
      </c>
      <c r="B113" s="259" t="s">
        <v>200</v>
      </c>
      <c r="C113" s="290">
        <f>(W113+X113)*$C$3</f>
        <v>24</v>
      </c>
      <c r="D113" s="290">
        <f>C113*$Q113</f>
        <v>0</v>
      </c>
      <c r="E113" s="290">
        <f>(Z113+AA113)*$E$3</f>
        <v>30</v>
      </c>
      <c r="F113" s="290">
        <f>E113*$Q113</f>
        <v>0</v>
      </c>
      <c r="G113" s="290">
        <f>(AC113+AD113)*$G$3</f>
        <v>180</v>
      </c>
      <c r="H113" s="290">
        <f>G113*$Q113</f>
        <v>0</v>
      </c>
      <c r="I113" s="290">
        <f>(AF113+AG113)*$I$3</f>
        <v>42</v>
      </c>
      <c r="J113" s="290">
        <f>I113*$Q113</f>
        <v>0</v>
      </c>
      <c r="K113" s="290">
        <f>(AI113+AJ113)*$K$3</f>
        <v>144</v>
      </c>
      <c r="L113" s="290">
        <f>K113*$Q113</f>
        <v>0</v>
      </c>
      <c r="M113" s="290">
        <f>(AL113+AM113)*$M$3</f>
        <v>54</v>
      </c>
      <c r="N113" s="290">
        <f>M113*$Q113</f>
        <v>0</v>
      </c>
      <c r="O113" s="290">
        <f>C113+E113+G113+I113+K113+M113</f>
        <v>474</v>
      </c>
      <c r="P113" s="261" t="s">
        <v>269</v>
      </c>
      <c r="Q113" s="262"/>
      <c r="R113" s="435">
        <f>O113*Q113</f>
        <v>0</v>
      </c>
      <c r="S113" s="264"/>
      <c r="T113" s="266">
        <f>2+4</f>
        <v>6</v>
      </c>
      <c r="U113" s="266">
        <v>6</v>
      </c>
      <c r="W113" s="268">
        <f>T113*$W$3</f>
        <v>12</v>
      </c>
      <c r="X113" s="266">
        <f>U113*$X$3</f>
        <v>12</v>
      </c>
      <c r="Z113" s="268">
        <f>W113</f>
        <v>12</v>
      </c>
      <c r="AA113" s="266">
        <f>U113*$AA$3</f>
        <v>18</v>
      </c>
      <c r="AC113" s="268">
        <f>W113</f>
        <v>12</v>
      </c>
      <c r="AD113" s="266">
        <f>U113*$AD$3</f>
        <v>24</v>
      </c>
      <c r="AF113" s="268">
        <f>W113</f>
        <v>12</v>
      </c>
      <c r="AG113" s="266">
        <f>U113*$AG$3</f>
        <v>30</v>
      </c>
      <c r="AI113" s="268">
        <f>W113</f>
        <v>12</v>
      </c>
      <c r="AJ113" s="266">
        <f>U113*$AJ$3</f>
        <v>36</v>
      </c>
      <c r="AL113" s="268">
        <f>W113</f>
        <v>12</v>
      </c>
      <c r="AM113" s="266">
        <f>U113*$AM$3</f>
        <v>42</v>
      </c>
    </row>
    <row r="114" spans="1:39" s="267" customFormat="1" x14ac:dyDescent="0.2">
      <c r="A114" s="291"/>
      <c r="B114" s="293"/>
      <c r="C114" s="290"/>
      <c r="D114" s="290"/>
      <c r="E114" s="290"/>
      <c r="F114" s="290"/>
      <c r="G114" s="290"/>
      <c r="H114" s="290"/>
      <c r="I114" s="290"/>
      <c r="J114" s="290"/>
      <c r="K114" s="290"/>
      <c r="L114" s="290"/>
      <c r="M114" s="290"/>
      <c r="N114" s="290"/>
      <c r="O114" s="290"/>
      <c r="P114" s="261"/>
      <c r="Q114" s="262"/>
      <c r="R114" s="435"/>
      <c r="T114" s="266"/>
      <c r="U114" s="266"/>
      <c r="W114" s="268"/>
      <c r="X114" s="266"/>
      <c r="Z114" s="268"/>
      <c r="AA114" s="266"/>
      <c r="AC114" s="268"/>
      <c r="AD114" s="266"/>
      <c r="AF114" s="268"/>
      <c r="AG114" s="266"/>
      <c r="AI114" s="268"/>
      <c r="AJ114" s="266"/>
      <c r="AL114" s="268"/>
      <c r="AM114" s="266"/>
    </row>
    <row r="115" spans="1:39" s="267" customFormat="1" x14ac:dyDescent="0.2">
      <c r="A115" s="308" t="s">
        <v>73</v>
      </c>
      <c r="B115" s="259" t="s">
        <v>682</v>
      </c>
      <c r="C115" s="290">
        <f>(W115+X115)*$C$3</f>
        <v>4</v>
      </c>
      <c r="D115" s="290">
        <f>C115*$Q115</f>
        <v>0</v>
      </c>
      <c r="E115" s="290">
        <f>(Z115+AA115)*$E$3</f>
        <v>5</v>
      </c>
      <c r="F115" s="290">
        <f>E115*$Q115</f>
        <v>0</v>
      </c>
      <c r="G115" s="290">
        <f>(AC115+AD115)*$G$3</f>
        <v>30</v>
      </c>
      <c r="H115" s="290">
        <f>G115*$Q115</f>
        <v>0</v>
      </c>
      <c r="I115" s="290">
        <f>(AF115+AG115)*$I$3</f>
        <v>7</v>
      </c>
      <c r="J115" s="290">
        <f>I115*$Q115</f>
        <v>0</v>
      </c>
      <c r="K115" s="290">
        <f>(AI115+AJ115)*$K$3</f>
        <v>24</v>
      </c>
      <c r="L115" s="290">
        <f>K115*$Q115</f>
        <v>0</v>
      </c>
      <c r="M115" s="290">
        <f>(AL115+AM115)*$M$3</f>
        <v>9</v>
      </c>
      <c r="N115" s="290">
        <f>M115*$Q115</f>
        <v>0</v>
      </c>
      <c r="O115" s="290">
        <f>C115+E115+G115+I115+K115+M115</f>
        <v>79</v>
      </c>
      <c r="P115" s="261" t="s">
        <v>269</v>
      </c>
      <c r="Q115" s="262"/>
      <c r="R115" s="435">
        <f>O115*Q115</f>
        <v>0</v>
      </c>
      <c r="S115" s="264"/>
      <c r="T115" s="266">
        <v>1</v>
      </c>
      <c r="U115" s="266">
        <v>1</v>
      </c>
      <c r="W115" s="268">
        <f>T115*$W$3</f>
        <v>2</v>
      </c>
      <c r="X115" s="266">
        <f>U115*$X$3</f>
        <v>2</v>
      </c>
      <c r="Z115" s="268">
        <f>W115</f>
        <v>2</v>
      </c>
      <c r="AA115" s="266">
        <f>U115*$AA$3</f>
        <v>3</v>
      </c>
      <c r="AC115" s="268">
        <f>W115</f>
        <v>2</v>
      </c>
      <c r="AD115" s="266">
        <f>U115*$AD$3</f>
        <v>4</v>
      </c>
      <c r="AF115" s="268">
        <f>W115</f>
        <v>2</v>
      </c>
      <c r="AG115" s="266">
        <f>U115*$AG$3</f>
        <v>5</v>
      </c>
      <c r="AI115" s="268">
        <f>W115</f>
        <v>2</v>
      </c>
      <c r="AJ115" s="266">
        <f>U115*$AJ$3</f>
        <v>6</v>
      </c>
      <c r="AL115" s="268">
        <f>W115</f>
        <v>2</v>
      </c>
      <c r="AM115" s="266">
        <f>U115*$AM$3</f>
        <v>7</v>
      </c>
    </row>
    <row r="116" spans="1:39" s="267" customFormat="1" x14ac:dyDescent="0.2">
      <c r="A116" s="308"/>
      <c r="B116" s="293"/>
      <c r="C116" s="290"/>
      <c r="D116" s="290"/>
      <c r="E116" s="290"/>
      <c r="F116" s="290"/>
      <c r="G116" s="290"/>
      <c r="H116" s="290"/>
      <c r="I116" s="290"/>
      <c r="J116" s="290"/>
      <c r="K116" s="290"/>
      <c r="L116" s="290"/>
      <c r="M116" s="290"/>
      <c r="N116" s="290"/>
      <c r="O116" s="290"/>
      <c r="P116" s="261"/>
      <c r="Q116" s="262"/>
      <c r="R116" s="435"/>
      <c r="T116" s="266"/>
      <c r="U116" s="266"/>
      <c r="W116" s="268"/>
      <c r="X116" s="266"/>
      <c r="Z116" s="268"/>
      <c r="AA116" s="266"/>
      <c r="AC116" s="268"/>
      <c r="AD116" s="266"/>
      <c r="AF116" s="268"/>
      <c r="AG116" s="266"/>
      <c r="AI116" s="268"/>
      <c r="AJ116" s="266"/>
      <c r="AL116" s="268"/>
      <c r="AM116" s="266"/>
    </row>
    <row r="117" spans="1:39" s="267" customFormat="1" x14ac:dyDescent="0.2">
      <c r="A117" s="308" t="s">
        <v>74</v>
      </c>
      <c r="B117" s="259" t="s">
        <v>683</v>
      </c>
      <c r="C117" s="338">
        <f>(W117+X117)*$C$3</f>
        <v>46</v>
      </c>
      <c r="D117" s="338">
        <f>C117*$Q117</f>
        <v>0</v>
      </c>
      <c r="E117" s="338">
        <f>(Z117+AA117)*$E$3</f>
        <v>57</v>
      </c>
      <c r="F117" s="338">
        <f>E117*$Q117</f>
        <v>0</v>
      </c>
      <c r="G117" s="338">
        <f>(AC117+AD117)*$G$3</f>
        <v>340</v>
      </c>
      <c r="H117" s="338">
        <f>G117*$Q117</f>
        <v>0</v>
      </c>
      <c r="I117" s="338">
        <f>(AF117+AG117)*$I$3</f>
        <v>79</v>
      </c>
      <c r="J117" s="338">
        <f>I117*$Q117</f>
        <v>0</v>
      </c>
      <c r="K117" s="338">
        <f>(AI117+AJ117)*$K$3</f>
        <v>270</v>
      </c>
      <c r="L117" s="338">
        <f>K117*$Q117</f>
        <v>0</v>
      </c>
      <c r="M117" s="338">
        <f>(AL117+AM117)*$M$3</f>
        <v>101</v>
      </c>
      <c r="N117" s="338">
        <f>M117*$Q117</f>
        <v>0</v>
      </c>
      <c r="O117" s="338">
        <f>C117+E117+G117+I117+K117+M117</f>
        <v>893</v>
      </c>
      <c r="P117" s="261" t="s">
        <v>269</v>
      </c>
      <c r="Q117" s="262"/>
      <c r="R117" s="435">
        <f>O117*Q117</f>
        <v>0</v>
      </c>
      <c r="S117" s="264"/>
      <c r="T117" s="281">
        <v>12</v>
      </c>
      <c r="U117" s="266">
        <f>15-1-3</f>
        <v>11</v>
      </c>
      <c r="W117" s="268">
        <f>T117*$W$3</f>
        <v>24</v>
      </c>
      <c r="X117" s="266">
        <f>U117*$X$3</f>
        <v>22</v>
      </c>
      <c r="Z117" s="268">
        <f>W117</f>
        <v>24</v>
      </c>
      <c r="AA117" s="266">
        <f>U117*$AA$3</f>
        <v>33</v>
      </c>
      <c r="AC117" s="268">
        <f>W117</f>
        <v>24</v>
      </c>
      <c r="AD117" s="266">
        <f>U117*$AD$3</f>
        <v>44</v>
      </c>
      <c r="AF117" s="268">
        <f>W117</f>
        <v>24</v>
      </c>
      <c r="AG117" s="266">
        <f>U117*$AG$3</f>
        <v>55</v>
      </c>
      <c r="AI117" s="268">
        <f>W117</f>
        <v>24</v>
      </c>
      <c r="AJ117" s="266">
        <f>U117*$AJ$3</f>
        <v>66</v>
      </c>
      <c r="AL117" s="268">
        <f>W117</f>
        <v>24</v>
      </c>
      <c r="AM117" s="266">
        <f>U117*$AM$3</f>
        <v>77</v>
      </c>
    </row>
    <row r="118" spans="1:39" s="267" customFormat="1" x14ac:dyDescent="0.2">
      <c r="A118" s="308"/>
      <c r="B118" s="293"/>
      <c r="C118" s="290"/>
      <c r="D118" s="290"/>
      <c r="E118" s="290"/>
      <c r="F118" s="290"/>
      <c r="G118" s="290"/>
      <c r="H118" s="290"/>
      <c r="I118" s="290"/>
      <c r="J118" s="290"/>
      <c r="K118" s="290"/>
      <c r="L118" s="290"/>
      <c r="M118" s="290"/>
      <c r="N118" s="290"/>
      <c r="O118" s="290"/>
      <c r="P118" s="261"/>
      <c r="Q118" s="262"/>
      <c r="R118" s="435"/>
      <c r="S118" s="264"/>
      <c r="T118" s="266"/>
      <c r="U118" s="266"/>
      <c r="W118" s="268"/>
      <c r="X118" s="266"/>
      <c r="Z118" s="268"/>
      <c r="AA118" s="266"/>
      <c r="AC118" s="268"/>
      <c r="AD118" s="266"/>
      <c r="AF118" s="268"/>
      <c r="AG118" s="266"/>
      <c r="AI118" s="268"/>
      <c r="AJ118" s="266"/>
      <c r="AL118" s="268"/>
      <c r="AM118" s="266"/>
    </row>
    <row r="119" spans="1:39" s="267" customFormat="1" ht="57" x14ac:dyDescent="0.2">
      <c r="A119" s="308"/>
      <c r="B119" s="293" t="s">
        <v>684</v>
      </c>
      <c r="C119" s="290"/>
      <c r="D119" s="290"/>
      <c r="E119" s="290"/>
      <c r="F119" s="290"/>
      <c r="G119" s="290"/>
      <c r="H119" s="290"/>
      <c r="I119" s="290"/>
      <c r="J119" s="290"/>
      <c r="K119" s="290"/>
      <c r="L119" s="290"/>
      <c r="M119" s="290"/>
      <c r="N119" s="290"/>
      <c r="O119" s="290"/>
      <c r="P119" s="261"/>
      <c r="Q119" s="262"/>
      <c r="R119" s="435"/>
      <c r="S119" s="264"/>
      <c r="T119" s="266"/>
      <c r="U119" s="266"/>
      <c r="W119" s="268"/>
      <c r="X119" s="266"/>
      <c r="Z119" s="268"/>
      <c r="AA119" s="266"/>
      <c r="AC119" s="268"/>
      <c r="AD119" s="266"/>
      <c r="AF119" s="268"/>
      <c r="AG119" s="266"/>
      <c r="AI119" s="268"/>
      <c r="AJ119" s="266"/>
      <c r="AL119" s="268"/>
      <c r="AM119" s="266"/>
    </row>
    <row r="120" spans="1:39" s="267" customFormat="1" x14ac:dyDescent="0.2">
      <c r="A120" s="308"/>
      <c r="B120" s="293"/>
      <c r="C120" s="290"/>
      <c r="D120" s="290"/>
      <c r="E120" s="290"/>
      <c r="F120" s="290"/>
      <c r="G120" s="290"/>
      <c r="H120" s="290"/>
      <c r="I120" s="290"/>
      <c r="J120" s="290"/>
      <c r="K120" s="290"/>
      <c r="L120" s="290"/>
      <c r="M120" s="290"/>
      <c r="N120" s="290"/>
      <c r="O120" s="290"/>
      <c r="P120" s="261"/>
      <c r="Q120" s="262"/>
      <c r="R120" s="435"/>
      <c r="S120" s="264"/>
      <c r="T120" s="266"/>
      <c r="U120" s="266"/>
      <c r="W120" s="268"/>
      <c r="X120" s="266"/>
      <c r="Z120" s="268"/>
      <c r="AA120" s="266"/>
      <c r="AC120" s="268"/>
      <c r="AD120" s="266"/>
      <c r="AF120" s="268"/>
      <c r="AG120" s="266"/>
      <c r="AI120" s="268"/>
      <c r="AJ120" s="266"/>
      <c r="AL120" s="268"/>
      <c r="AM120" s="266"/>
    </row>
    <row r="121" spans="1:39" s="267" customFormat="1" x14ac:dyDescent="0.2">
      <c r="A121" s="308" t="s">
        <v>75</v>
      </c>
      <c r="B121" s="259" t="s">
        <v>685</v>
      </c>
      <c r="C121" s="290">
        <f>(W121+X121)*$C$3</f>
        <v>4</v>
      </c>
      <c r="D121" s="290">
        <f>C121*$Q121</f>
        <v>0</v>
      </c>
      <c r="E121" s="290">
        <f>(Z121+AA121)*$E$3</f>
        <v>5</v>
      </c>
      <c r="F121" s="290">
        <f>E121*$Q121</f>
        <v>0</v>
      </c>
      <c r="G121" s="290">
        <f>(AC121+AD121)*$G$3</f>
        <v>30</v>
      </c>
      <c r="H121" s="290">
        <f>G121*$Q121</f>
        <v>0</v>
      </c>
      <c r="I121" s="290">
        <f>(AF121+AG121)*$I$3</f>
        <v>7</v>
      </c>
      <c r="J121" s="290">
        <f>I121*$Q121</f>
        <v>0</v>
      </c>
      <c r="K121" s="290">
        <f>(AI121+AJ121)*$K$3</f>
        <v>24</v>
      </c>
      <c r="L121" s="290">
        <f>K121*$Q121</f>
        <v>0</v>
      </c>
      <c r="M121" s="290">
        <f>(AL121+AM121)*$M$3</f>
        <v>9</v>
      </c>
      <c r="N121" s="290">
        <f>M121*$Q121</f>
        <v>0</v>
      </c>
      <c r="O121" s="290">
        <f>C121+E121+G121+I121+K121+M121</f>
        <v>79</v>
      </c>
      <c r="P121" s="261" t="s">
        <v>269</v>
      </c>
      <c r="Q121" s="262"/>
      <c r="R121" s="435">
        <f>O121*Q121</f>
        <v>0</v>
      </c>
      <c r="S121" s="264"/>
      <c r="T121" s="266">
        <v>1</v>
      </c>
      <c r="U121" s="266">
        <v>1</v>
      </c>
      <c r="W121" s="268">
        <f>T121*$W$3</f>
        <v>2</v>
      </c>
      <c r="X121" s="266">
        <f>U121*$X$3</f>
        <v>2</v>
      </c>
      <c r="Z121" s="268">
        <f>W121</f>
        <v>2</v>
      </c>
      <c r="AA121" s="266">
        <f>U121*$AA$3</f>
        <v>3</v>
      </c>
      <c r="AC121" s="268">
        <f>W121</f>
        <v>2</v>
      </c>
      <c r="AD121" s="266">
        <f>U121*$AD$3</f>
        <v>4</v>
      </c>
      <c r="AF121" s="268">
        <f>W121</f>
        <v>2</v>
      </c>
      <c r="AG121" s="266">
        <f>U121*$AG$3</f>
        <v>5</v>
      </c>
      <c r="AI121" s="268">
        <f>W121</f>
        <v>2</v>
      </c>
      <c r="AJ121" s="266">
        <f>U121*$AJ$3</f>
        <v>6</v>
      </c>
      <c r="AL121" s="268">
        <f>W121</f>
        <v>2</v>
      </c>
      <c r="AM121" s="266">
        <f>U121*$AM$3</f>
        <v>7</v>
      </c>
    </row>
    <row r="122" spans="1:39" s="267" customFormat="1" x14ac:dyDescent="0.2">
      <c r="A122" s="308"/>
      <c r="B122" s="293"/>
      <c r="C122" s="290"/>
      <c r="D122" s="290"/>
      <c r="E122" s="290"/>
      <c r="F122" s="290"/>
      <c r="G122" s="290"/>
      <c r="H122" s="290"/>
      <c r="I122" s="290"/>
      <c r="J122" s="290"/>
      <c r="K122" s="290"/>
      <c r="L122" s="290"/>
      <c r="M122" s="290"/>
      <c r="N122" s="290"/>
      <c r="O122" s="290"/>
      <c r="P122" s="261"/>
      <c r="Q122" s="262"/>
      <c r="R122" s="435"/>
      <c r="S122" s="264"/>
      <c r="T122" s="266"/>
      <c r="U122" s="266"/>
      <c r="W122" s="268"/>
      <c r="X122" s="266"/>
      <c r="Z122" s="268"/>
      <c r="AA122" s="266"/>
      <c r="AC122" s="268"/>
      <c r="AD122" s="266"/>
      <c r="AF122" s="268"/>
      <c r="AG122" s="266"/>
      <c r="AI122" s="268"/>
      <c r="AJ122" s="266"/>
      <c r="AL122" s="268"/>
      <c r="AM122" s="266"/>
    </row>
    <row r="123" spans="1:39" s="267" customFormat="1" ht="57" x14ac:dyDescent="0.2">
      <c r="A123" s="308"/>
      <c r="B123" s="293" t="s">
        <v>686</v>
      </c>
      <c r="C123" s="290"/>
      <c r="D123" s="290"/>
      <c r="E123" s="290"/>
      <c r="F123" s="290"/>
      <c r="G123" s="290"/>
      <c r="H123" s="290"/>
      <c r="I123" s="290"/>
      <c r="J123" s="290"/>
      <c r="K123" s="290"/>
      <c r="L123" s="290"/>
      <c r="M123" s="290"/>
      <c r="N123" s="290"/>
      <c r="O123" s="290"/>
      <c r="P123" s="261"/>
      <c r="Q123" s="262"/>
      <c r="R123" s="435"/>
      <c r="S123" s="264"/>
      <c r="T123" s="266"/>
      <c r="U123" s="266"/>
      <c r="W123" s="268"/>
      <c r="X123" s="266"/>
      <c r="Z123" s="268"/>
      <c r="AA123" s="266"/>
      <c r="AC123" s="268"/>
      <c r="AD123" s="266"/>
      <c r="AF123" s="268"/>
      <c r="AG123" s="266"/>
      <c r="AI123" s="268"/>
      <c r="AJ123" s="266"/>
      <c r="AL123" s="268"/>
      <c r="AM123" s="266"/>
    </row>
    <row r="124" spans="1:39" s="267" customFormat="1" x14ac:dyDescent="0.2">
      <c r="A124" s="308"/>
      <c r="B124" s="293"/>
      <c r="C124" s="290"/>
      <c r="D124" s="290"/>
      <c r="E124" s="290"/>
      <c r="F124" s="290"/>
      <c r="G124" s="290"/>
      <c r="H124" s="290"/>
      <c r="I124" s="290"/>
      <c r="J124" s="290"/>
      <c r="K124" s="290"/>
      <c r="L124" s="290"/>
      <c r="M124" s="290"/>
      <c r="N124" s="290"/>
      <c r="O124" s="290"/>
      <c r="P124" s="261"/>
      <c r="Q124" s="262"/>
      <c r="R124" s="435"/>
      <c r="S124" s="264"/>
      <c r="T124" s="266"/>
      <c r="U124" s="266"/>
      <c r="W124" s="268"/>
      <c r="X124" s="266"/>
      <c r="Z124" s="268"/>
      <c r="AA124" s="266"/>
      <c r="AC124" s="268"/>
      <c r="AD124" s="266"/>
      <c r="AF124" s="268"/>
      <c r="AG124" s="266"/>
      <c r="AI124" s="268"/>
      <c r="AJ124" s="266"/>
      <c r="AL124" s="268"/>
      <c r="AM124" s="266"/>
    </row>
    <row r="125" spans="1:39" s="267" customFormat="1" x14ac:dyDescent="0.2">
      <c r="A125" s="308" t="s">
        <v>76</v>
      </c>
      <c r="B125" s="259" t="s">
        <v>687</v>
      </c>
      <c r="C125" s="290">
        <f>(W125+X125)*$C$3</f>
        <v>8</v>
      </c>
      <c r="D125" s="290">
        <f>C125*$Q125</f>
        <v>0</v>
      </c>
      <c r="E125" s="290">
        <f>(Z125+AA125)*$E$3</f>
        <v>10</v>
      </c>
      <c r="F125" s="290">
        <f>E125*$Q125</f>
        <v>0</v>
      </c>
      <c r="G125" s="290">
        <f>(AC125+AD125)*$G$3</f>
        <v>60</v>
      </c>
      <c r="H125" s="290">
        <f>G125*$Q125</f>
        <v>0</v>
      </c>
      <c r="I125" s="290">
        <f>(AF125+AG125)*$I$3</f>
        <v>14</v>
      </c>
      <c r="J125" s="290">
        <f>I125*$Q125</f>
        <v>0</v>
      </c>
      <c r="K125" s="290">
        <f>(AI125+AJ125)*$K$3</f>
        <v>48</v>
      </c>
      <c r="L125" s="290">
        <f>K125*$Q125</f>
        <v>0</v>
      </c>
      <c r="M125" s="290">
        <f>(AL125+AM125)*$M$3</f>
        <v>18</v>
      </c>
      <c r="N125" s="290">
        <f>M125*$Q125</f>
        <v>0</v>
      </c>
      <c r="O125" s="290">
        <f>C125+E125+G125+I125+K125+M125</f>
        <v>158</v>
      </c>
      <c r="P125" s="261" t="s">
        <v>269</v>
      </c>
      <c r="Q125" s="262"/>
      <c r="R125" s="435">
        <f>O125*Q125</f>
        <v>0</v>
      </c>
      <c r="S125" s="264"/>
      <c r="T125" s="266">
        <v>2</v>
      </c>
      <c r="U125" s="266">
        <v>2</v>
      </c>
      <c r="W125" s="268">
        <f>T125*$W$3</f>
        <v>4</v>
      </c>
      <c r="X125" s="266">
        <f>U125*$X$3</f>
        <v>4</v>
      </c>
      <c r="Z125" s="268">
        <f>W125</f>
        <v>4</v>
      </c>
      <c r="AA125" s="266">
        <f>U125*$AA$3</f>
        <v>6</v>
      </c>
      <c r="AC125" s="268">
        <f>W125</f>
        <v>4</v>
      </c>
      <c r="AD125" s="266">
        <f>U125*$AD$3</f>
        <v>8</v>
      </c>
      <c r="AF125" s="268">
        <f>W125</f>
        <v>4</v>
      </c>
      <c r="AG125" s="266">
        <f>U125*$AG$3</f>
        <v>10</v>
      </c>
      <c r="AI125" s="268">
        <f>W125</f>
        <v>4</v>
      </c>
      <c r="AJ125" s="266">
        <f>U125*$AJ$3</f>
        <v>12</v>
      </c>
      <c r="AL125" s="268">
        <f>W125</f>
        <v>4</v>
      </c>
      <c r="AM125" s="266">
        <f>U125*$AM$3</f>
        <v>14</v>
      </c>
    </row>
    <row r="126" spans="1:39" s="267" customFormat="1" x14ac:dyDescent="0.2">
      <c r="A126" s="308"/>
      <c r="B126" s="293"/>
      <c r="C126" s="290"/>
      <c r="D126" s="290"/>
      <c r="E126" s="290"/>
      <c r="F126" s="290"/>
      <c r="G126" s="290"/>
      <c r="H126" s="290"/>
      <c r="I126" s="290"/>
      <c r="J126" s="290"/>
      <c r="K126" s="290"/>
      <c r="L126" s="290"/>
      <c r="M126" s="290"/>
      <c r="N126" s="290"/>
      <c r="O126" s="290"/>
      <c r="P126" s="261"/>
      <c r="Q126" s="262"/>
      <c r="R126" s="435"/>
      <c r="S126" s="264"/>
      <c r="T126" s="266"/>
      <c r="U126" s="266"/>
      <c r="W126" s="268"/>
      <c r="X126" s="266"/>
      <c r="Z126" s="268"/>
      <c r="AA126" s="266"/>
      <c r="AC126" s="268"/>
      <c r="AD126" s="266"/>
      <c r="AF126" s="268"/>
      <c r="AG126" s="266"/>
      <c r="AI126" s="268"/>
      <c r="AJ126" s="266"/>
      <c r="AL126" s="268"/>
      <c r="AM126" s="266"/>
    </row>
    <row r="127" spans="1:39" s="267" customFormat="1" ht="28.5" x14ac:dyDescent="0.2">
      <c r="A127" s="292"/>
      <c r="B127" s="293" t="s">
        <v>688</v>
      </c>
      <c r="C127" s="290"/>
      <c r="D127" s="290"/>
      <c r="E127" s="290"/>
      <c r="F127" s="290"/>
      <c r="G127" s="290"/>
      <c r="H127" s="290"/>
      <c r="I127" s="290"/>
      <c r="J127" s="290"/>
      <c r="K127" s="290"/>
      <c r="L127" s="290"/>
      <c r="M127" s="290"/>
      <c r="N127" s="290"/>
      <c r="O127" s="290"/>
      <c r="P127" s="261"/>
      <c r="Q127" s="294"/>
      <c r="R127" s="435"/>
      <c r="T127" s="266"/>
      <c r="U127" s="266"/>
      <c r="W127" s="268"/>
      <c r="X127" s="266"/>
      <c r="Z127" s="268"/>
      <c r="AA127" s="266"/>
      <c r="AC127" s="268"/>
      <c r="AD127" s="266"/>
      <c r="AF127" s="268"/>
      <c r="AG127" s="266"/>
      <c r="AI127" s="268"/>
      <c r="AJ127" s="266"/>
      <c r="AL127" s="268"/>
      <c r="AM127" s="266"/>
    </row>
    <row r="128" spans="1:39" s="267" customFormat="1" x14ac:dyDescent="0.2">
      <c r="A128" s="283"/>
      <c r="B128" s="269"/>
      <c r="C128" s="290"/>
      <c r="D128" s="290"/>
      <c r="E128" s="290"/>
      <c r="F128" s="290"/>
      <c r="G128" s="290"/>
      <c r="H128" s="290"/>
      <c r="I128" s="290"/>
      <c r="J128" s="290"/>
      <c r="K128" s="290"/>
      <c r="L128" s="290"/>
      <c r="M128" s="290"/>
      <c r="N128" s="290"/>
      <c r="O128" s="290"/>
      <c r="P128" s="295"/>
      <c r="Q128" s="262"/>
      <c r="R128" s="435"/>
      <c r="S128" s="286"/>
      <c r="T128" s="169"/>
      <c r="U128" s="169"/>
      <c r="W128" s="296"/>
      <c r="X128" s="169"/>
      <c r="Z128" s="296"/>
      <c r="AA128" s="169"/>
      <c r="AC128" s="296"/>
      <c r="AD128" s="169"/>
      <c r="AF128" s="296"/>
      <c r="AG128" s="169"/>
      <c r="AI128" s="296"/>
      <c r="AJ128" s="169"/>
      <c r="AL128" s="296"/>
      <c r="AM128" s="169"/>
    </row>
    <row r="129" spans="1:39" s="267" customFormat="1" ht="15" x14ac:dyDescent="0.25">
      <c r="A129" s="359" t="s">
        <v>77</v>
      </c>
      <c r="B129" s="264" t="s">
        <v>689</v>
      </c>
      <c r="C129" s="290"/>
      <c r="D129" s="290"/>
      <c r="E129" s="290"/>
      <c r="F129" s="290"/>
      <c r="G129" s="290"/>
      <c r="H129" s="290"/>
      <c r="I129" s="290"/>
      <c r="J129" s="290"/>
      <c r="K129" s="290"/>
      <c r="L129" s="290"/>
      <c r="M129" s="290"/>
      <c r="N129" s="290"/>
      <c r="O129" s="290">
        <f>C129+E129+G129+I129+K129+M129</f>
        <v>0</v>
      </c>
      <c r="P129" s="460" t="s">
        <v>5</v>
      </c>
      <c r="Q129" s="262"/>
      <c r="R129" s="435">
        <f>O129*Q129</f>
        <v>0</v>
      </c>
      <c r="S129" s="297"/>
      <c r="T129" s="266">
        <v>1</v>
      </c>
      <c r="U129" s="266">
        <v>1</v>
      </c>
      <c r="W129" s="298">
        <f>T129*$W$3</f>
        <v>2</v>
      </c>
      <c r="X129" s="299">
        <f>U129*$X$3</f>
        <v>2</v>
      </c>
      <c r="Z129" s="298">
        <f>W129</f>
        <v>2</v>
      </c>
      <c r="AA129" s="299">
        <f>U129*$AA$3</f>
        <v>3</v>
      </c>
      <c r="AC129" s="298">
        <f>W129</f>
        <v>2</v>
      </c>
      <c r="AD129" s="299">
        <f>U129*$AD$3</f>
        <v>4</v>
      </c>
      <c r="AF129" s="298">
        <f>W129</f>
        <v>2</v>
      </c>
      <c r="AG129" s="299">
        <f>U129*$AG$3</f>
        <v>5</v>
      </c>
      <c r="AI129" s="298">
        <f>W129</f>
        <v>2</v>
      </c>
      <c r="AJ129" s="299">
        <f>U129*$AJ$3</f>
        <v>6</v>
      </c>
      <c r="AL129" s="298">
        <f>W129</f>
        <v>2</v>
      </c>
      <c r="AM129" s="299">
        <f>U129*$AM$3</f>
        <v>7</v>
      </c>
    </row>
    <row r="130" spans="1:39" s="267" customFormat="1" x14ac:dyDescent="0.2">
      <c r="A130" s="283"/>
      <c r="B130" s="269"/>
      <c r="C130" s="290"/>
      <c r="D130" s="290"/>
      <c r="E130" s="290"/>
      <c r="F130" s="290"/>
      <c r="G130" s="290"/>
      <c r="H130" s="290"/>
      <c r="I130" s="290"/>
      <c r="J130" s="290"/>
      <c r="K130" s="290"/>
      <c r="L130" s="290"/>
      <c r="M130" s="290"/>
      <c r="N130" s="290"/>
      <c r="O130" s="290"/>
      <c r="P130" s="295"/>
      <c r="Q130" s="262"/>
      <c r="R130" s="435"/>
      <c r="S130" s="286"/>
      <c r="T130" s="169"/>
      <c r="U130" s="169"/>
      <c r="W130" s="296"/>
      <c r="X130" s="169"/>
      <c r="Z130" s="296"/>
      <c r="AA130" s="169"/>
      <c r="AC130" s="296"/>
      <c r="AD130" s="169"/>
      <c r="AF130" s="296"/>
      <c r="AG130" s="169"/>
      <c r="AI130" s="296"/>
      <c r="AJ130" s="169"/>
      <c r="AL130" s="296"/>
      <c r="AM130" s="169"/>
    </row>
    <row r="131" spans="1:39" s="267" customFormat="1" x14ac:dyDescent="0.2">
      <c r="A131" s="283"/>
      <c r="B131" s="269"/>
      <c r="C131" s="290"/>
      <c r="D131" s="290"/>
      <c r="E131" s="290"/>
      <c r="F131" s="290"/>
      <c r="G131" s="290"/>
      <c r="H131" s="290"/>
      <c r="I131" s="290"/>
      <c r="J131" s="290"/>
      <c r="K131" s="290"/>
      <c r="L131" s="290"/>
      <c r="M131" s="290"/>
      <c r="N131" s="290"/>
      <c r="O131" s="290"/>
      <c r="P131" s="295"/>
      <c r="Q131" s="262"/>
      <c r="R131" s="435"/>
      <c r="S131" s="286"/>
      <c r="T131" s="169"/>
      <c r="U131" s="169"/>
      <c r="W131" s="296"/>
      <c r="X131" s="169"/>
      <c r="Z131" s="296"/>
      <c r="AA131" s="169"/>
      <c r="AC131" s="296"/>
      <c r="AD131" s="169"/>
      <c r="AF131" s="296"/>
      <c r="AG131" s="169"/>
      <c r="AI131" s="296"/>
      <c r="AJ131" s="169"/>
      <c r="AL131" s="296"/>
      <c r="AM131" s="169"/>
    </row>
    <row r="132" spans="1:39" s="267" customFormat="1" x14ac:dyDescent="0.2">
      <c r="A132" s="283"/>
      <c r="B132" s="269"/>
      <c r="C132" s="290"/>
      <c r="D132" s="290"/>
      <c r="E132" s="290"/>
      <c r="F132" s="290"/>
      <c r="G132" s="290"/>
      <c r="H132" s="290"/>
      <c r="I132" s="290"/>
      <c r="J132" s="290"/>
      <c r="K132" s="290"/>
      <c r="L132" s="290"/>
      <c r="M132" s="290"/>
      <c r="N132" s="290"/>
      <c r="O132" s="290"/>
      <c r="P132" s="295"/>
      <c r="Q132" s="262"/>
      <c r="R132" s="435"/>
      <c r="S132" s="286"/>
      <c r="T132" s="169"/>
      <c r="U132" s="169"/>
      <c r="W132" s="296"/>
      <c r="X132" s="169"/>
      <c r="Z132" s="296"/>
      <c r="AA132" s="169"/>
      <c r="AC132" s="296"/>
      <c r="AD132" s="169"/>
      <c r="AF132" s="296"/>
      <c r="AG132" s="169"/>
      <c r="AI132" s="296"/>
      <c r="AJ132" s="169"/>
      <c r="AL132" s="296"/>
      <c r="AM132" s="169"/>
    </row>
    <row r="133" spans="1:39" s="267" customFormat="1" x14ac:dyDescent="0.2">
      <c r="A133" s="283"/>
      <c r="B133" s="269"/>
      <c r="C133" s="290"/>
      <c r="D133" s="290"/>
      <c r="E133" s="290"/>
      <c r="F133" s="290"/>
      <c r="G133" s="290"/>
      <c r="H133" s="290"/>
      <c r="I133" s="290"/>
      <c r="J133" s="290"/>
      <c r="K133" s="290"/>
      <c r="L133" s="290"/>
      <c r="M133" s="290"/>
      <c r="N133" s="290"/>
      <c r="O133" s="290"/>
      <c r="P133" s="295"/>
      <c r="Q133" s="262"/>
      <c r="R133" s="435"/>
      <c r="S133" s="286"/>
      <c r="T133" s="169"/>
      <c r="U133" s="169"/>
      <c r="W133" s="296"/>
      <c r="X133" s="169"/>
      <c r="Z133" s="296"/>
      <c r="AA133" s="169"/>
      <c r="AC133" s="296"/>
      <c r="AD133" s="169"/>
      <c r="AF133" s="296"/>
      <c r="AG133" s="169"/>
      <c r="AI133" s="296"/>
      <c r="AJ133" s="169"/>
      <c r="AL133" s="296"/>
      <c r="AM133" s="169"/>
    </row>
    <row r="134" spans="1:39" s="267" customFormat="1" x14ac:dyDescent="0.2">
      <c r="A134" s="308"/>
      <c r="B134" s="308"/>
      <c r="C134" s="290"/>
      <c r="D134" s="290"/>
      <c r="E134" s="290"/>
      <c r="F134" s="290"/>
      <c r="G134" s="290"/>
      <c r="H134" s="290"/>
      <c r="I134" s="290"/>
      <c r="J134" s="290"/>
      <c r="K134" s="290"/>
      <c r="L134" s="290"/>
      <c r="M134" s="290"/>
      <c r="N134" s="290"/>
      <c r="O134" s="290"/>
      <c r="P134" s="261"/>
      <c r="Q134" s="262"/>
      <c r="R134" s="435"/>
      <c r="S134" s="264"/>
      <c r="T134" s="266"/>
      <c r="U134" s="266"/>
      <c r="W134" s="296"/>
      <c r="X134" s="169"/>
      <c r="Z134" s="296"/>
      <c r="AA134" s="169"/>
      <c r="AC134" s="296"/>
      <c r="AD134" s="169"/>
      <c r="AF134" s="296"/>
      <c r="AG134" s="169"/>
      <c r="AI134" s="296"/>
      <c r="AJ134" s="169"/>
      <c r="AL134" s="296"/>
      <c r="AM134" s="169"/>
    </row>
    <row r="135" spans="1:39" s="267" customFormat="1" x14ac:dyDescent="0.2">
      <c r="A135" s="375"/>
      <c r="B135" s="376"/>
      <c r="C135" s="377"/>
      <c r="D135" s="377"/>
      <c r="E135" s="377"/>
      <c r="F135" s="377"/>
      <c r="G135" s="377"/>
      <c r="H135" s="377"/>
      <c r="I135" s="377"/>
      <c r="J135" s="377"/>
      <c r="K135" s="377"/>
      <c r="L135" s="377"/>
      <c r="M135" s="377"/>
      <c r="N135" s="377"/>
      <c r="O135" s="377"/>
      <c r="P135" s="377"/>
      <c r="Q135" s="378"/>
      <c r="R135" s="441"/>
      <c r="S135" s="264"/>
      <c r="T135" s="273"/>
      <c r="U135" s="274"/>
      <c r="W135" s="296"/>
      <c r="X135" s="169"/>
      <c r="Z135" s="296"/>
      <c r="AA135" s="169"/>
      <c r="AC135" s="296"/>
      <c r="AD135" s="169"/>
      <c r="AF135" s="296"/>
      <c r="AG135" s="169"/>
      <c r="AI135" s="296"/>
      <c r="AJ135" s="169"/>
      <c r="AL135" s="296"/>
      <c r="AM135" s="169"/>
    </row>
    <row r="136" spans="1:39" s="267" customFormat="1" x14ac:dyDescent="0.2">
      <c r="A136" s="380"/>
      <c r="B136" s="320"/>
      <c r="C136" s="550"/>
      <c r="D136" s="550"/>
      <c r="E136" s="550"/>
      <c r="F136" s="550"/>
      <c r="G136" s="550"/>
      <c r="H136" s="550"/>
      <c r="I136" s="550"/>
      <c r="J136" s="550"/>
      <c r="K136" s="550"/>
      <c r="L136" s="550"/>
      <c r="M136" s="550"/>
      <c r="N136" s="550"/>
      <c r="O136" s="550"/>
      <c r="P136" s="550"/>
      <c r="Q136" s="381" t="s">
        <v>0</v>
      </c>
      <c r="R136" s="435">
        <f>SUM(R96:R134)</f>
        <v>0</v>
      </c>
      <c r="S136" s="276"/>
      <c r="T136" s="266"/>
      <c r="U136" s="277"/>
      <c r="W136" s="296"/>
      <c r="X136" s="169"/>
      <c r="Z136" s="296"/>
      <c r="AA136" s="169"/>
      <c r="AC136" s="296"/>
      <c r="AD136" s="169"/>
      <c r="AF136" s="296"/>
      <c r="AG136" s="169"/>
      <c r="AI136" s="296"/>
      <c r="AJ136" s="169"/>
      <c r="AL136" s="296"/>
      <c r="AM136" s="169"/>
    </row>
    <row r="137" spans="1:39" s="267" customFormat="1" x14ac:dyDescent="0.2">
      <c r="A137" s="380"/>
      <c r="B137" s="320"/>
      <c r="C137" s="309"/>
      <c r="D137" s="309"/>
      <c r="E137" s="309"/>
      <c r="F137" s="309"/>
      <c r="G137" s="309"/>
      <c r="H137" s="309"/>
      <c r="I137" s="309"/>
      <c r="J137" s="309"/>
      <c r="K137" s="309"/>
      <c r="L137" s="309"/>
      <c r="M137" s="309"/>
      <c r="N137" s="309"/>
      <c r="O137" s="309"/>
      <c r="P137" s="309"/>
      <c r="Q137" s="294"/>
      <c r="R137" s="458"/>
      <c r="S137" s="264"/>
      <c r="T137" s="278"/>
      <c r="U137" s="279"/>
      <c r="W137" s="300"/>
      <c r="X137" s="301"/>
      <c r="Z137" s="300"/>
      <c r="AA137" s="301"/>
      <c r="AC137" s="300"/>
      <c r="AD137" s="301"/>
      <c r="AF137" s="300"/>
      <c r="AG137" s="301"/>
      <c r="AI137" s="300"/>
      <c r="AJ137" s="301"/>
      <c r="AL137" s="300"/>
      <c r="AM137" s="301"/>
    </row>
    <row r="138" spans="1:39" s="267" customFormat="1" x14ac:dyDescent="0.2">
      <c r="A138" s="308"/>
      <c r="B138" s="293"/>
      <c r="C138" s="290"/>
      <c r="D138" s="290"/>
      <c r="E138" s="290"/>
      <c r="F138" s="290"/>
      <c r="G138" s="290"/>
      <c r="H138" s="290"/>
      <c r="I138" s="290"/>
      <c r="J138" s="290"/>
      <c r="K138" s="290"/>
      <c r="L138" s="290"/>
      <c r="M138" s="290"/>
      <c r="N138" s="290"/>
      <c r="O138" s="290"/>
      <c r="P138" s="261"/>
      <c r="Q138" s="262"/>
      <c r="R138" s="435"/>
      <c r="S138" s="264"/>
      <c r="T138" s="266"/>
      <c r="U138" s="273"/>
      <c r="W138" s="296"/>
      <c r="X138" s="169"/>
      <c r="Z138" s="296"/>
      <c r="AA138" s="169"/>
      <c r="AC138" s="296"/>
      <c r="AD138" s="169"/>
      <c r="AF138" s="296"/>
      <c r="AG138" s="169"/>
      <c r="AI138" s="296"/>
      <c r="AJ138" s="169"/>
      <c r="AL138" s="296"/>
      <c r="AM138" s="169"/>
    </row>
    <row r="139" spans="1:39" s="267" customFormat="1" x14ac:dyDescent="0.2">
      <c r="A139" s="283"/>
      <c r="B139" s="265" t="s">
        <v>88</v>
      </c>
      <c r="C139" s="284"/>
      <c r="D139" s="284"/>
      <c r="E139" s="284"/>
      <c r="F139" s="284"/>
      <c r="G139" s="284"/>
      <c r="H139" s="285"/>
      <c r="I139" s="285"/>
      <c r="J139" s="285"/>
      <c r="K139" s="285"/>
      <c r="L139" s="285"/>
      <c r="M139" s="285"/>
      <c r="N139" s="285"/>
      <c r="O139" s="285"/>
      <c r="P139" s="153"/>
      <c r="Q139" s="22"/>
      <c r="R139" s="434"/>
      <c r="S139" s="286"/>
      <c r="T139" s="301"/>
      <c r="U139" s="301"/>
      <c r="W139" s="300"/>
      <c r="X139" s="301"/>
      <c r="Z139" s="300"/>
      <c r="AA139" s="301"/>
      <c r="AC139" s="300"/>
      <c r="AD139" s="301"/>
      <c r="AF139" s="300"/>
      <c r="AG139" s="301"/>
      <c r="AI139" s="300"/>
      <c r="AJ139" s="301"/>
      <c r="AL139" s="300"/>
      <c r="AM139" s="301"/>
    </row>
    <row r="140" spans="1:39" s="267" customFormat="1" x14ac:dyDescent="0.2">
      <c r="A140" s="283"/>
      <c r="B140" s="302"/>
      <c r="C140" s="285"/>
      <c r="D140" s="285"/>
      <c r="E140" s="285"/>
      <c r="F140" s="285"/>
      <c r="G140" s="285"/>
      <c r="H140" s="285"/>
      <c r="I140" s="285"/>
      <c r="J140" s="285"/>
      <c r="K140" s="285"/>
      <c r="L140" s="285"/>
      <c r="M140" s="285"/>
      <c r="N140" s="285"/>
      <c r="O140" s="303"/>
      <c r="P140" s="153"/>
      <c r="Q140" s="22"/>
      <c r="R140" s="434"/>
      <c r="S140" s="288"/>
      <c r="T140" s="301"/>
      <c r="U140" s="301"/>
      <c r="W140" s="300"/>
      <c r="X140" s="301"/>
      <c r="Z140" s="300"/>
      <c r="AA140" s="301"/>
      <c r="AC140" s="300"/>
      <c r="AD140" s="301"/>
      <c r="AF140" s="300"/>
      <c r="AG140" s="301"/>
      <c r="AI140" s="300"/>
      <c r="AJ140" s="301"/>
      <c r="AL140" s="300"/>
      <c r="AM140" s="301"/>
    </row>
    <row r="141" spans="1:39" s="267" customFormat="1" ht="59.25" customHeight="1" x14ac:dyDescent="0.2">
      <c r="A141" s="283"/>
      <c r="B141" s="265" t="s">
        <v>690</v>
      </c>
      <c r="C141" s="285"/>
      <c r="D141" s="285"/>
      <c r="E141" s="285"/>
      <c r="F141" s="285"/>
      <c r="G141" s="285"/>
      <c r="H141" s="285"/>
      <c r="I141" s="285"/>
      <c r="J141" s="285"/>
      <c r="K141" s="285"/>
      <c r="L141" s="285"/>
      <c r="M141" s="285"/>
      <c r="N141" s="285"/>
      <c r="O141" s="303"/>
      <c r="P141" s="153"/>
      <c r="Q141" s="22"/>
      <c r="R141" s="434"/>
      <c r="S141" s="286"/>
      <c r="T141" s="169"/>
      <c r="U141" s="169"/>
      <c r="W141" s="296"/>
      <c r="X141" s="169"/>
      <c r="Z141" s="296"/>
      <c r="AA141" s="169"/>
      <c r="AC141" s="296"/>
      <c r="AD141" s="169"/>
      <c r="AF141" s="296"/>
      <c r="AG141" s="169"/>
      <c r="AI141" s="296"/>
      <c r="AJ141" s="169"/>
      <c r="AL141" s="296"/>
      <c r="AM141" s="169"/>
    </row>
    <row r="142" spans="1:39" s="267" customFormat="1" x14ac:dyDescent="0.2">
      <c r="A142" s="283"/>
      <c r="B142" s="265"/>
      <c r="C142" s="290"/>
      <c r="D142" s="290"/>
      <c r="E142" s="290"/>
      <c r="F142" s="290"/>
      <c r="G142" s="290"/>
      <c r="H142" s="290"/>
      <c r="I142" s="290"/>
      <c r="J142" s="290"/>
      <c r="K142" s="290"/>
      <c r="L142" s="290"/>
      <c r="M142" s="290"/>
      <c r="N142" s="290"/>
      <c r="O142" s="290"/>
      <c r="P142" s="153"/>
      <c r="Q142" s="262"/>
      <c r="R142" s="435"/>
      <c r="S142" s="286"/>
      <c r="T142" s="169"/>
      <c r="U142" s="169"/>
      <c r="W142" s="296"/>
      <c r="X142" s="169"/>
      <c r="Z142" s="296"/>
      <c r="AA142" s="169"/>
      <c r="AC142" s="296"/>
      <c r="AD142" s="169"/>
      <c r="AF142" s="296"/>
      <c r="AG142" s="169"/>
      <c r="AI142" s="296"/>
      <c r="AJ142" s="169"/>
      <c r="AL142" s="296"/>
      <c r="AM142" s="169"/>
    </row>
    <row r="143" spans="1:39" s="267" customFormat="1" x14ac:dyDescent="0.2">
      <c r="A143" s="283" t="s">
        <v>66</v>
      </c>
      <c r="B143" s="269" t="s">
        <v>691</v>
      </c>
      <c r="C143" s="290">
        <f>(W143+X143)*$C$3</f>
        <v>16</v>
      </c>
      <c r="D143" s="290">
        <f>C143*$Q143</f>
        <v>0</v>
      </c>
      <c r="E143" s="290">
        <f>(Z143+AA143)*$E$3</f>
        <v>20</v>
      </c>
      <c r="F143" s="290">
        <f>E143*$Q143</f>
        <v>0</v>
      </c>
      <c r="G143" s="290">
        <f>(AC143+AD143)*$G$3</f>
        <v>120</v>
      </c>
      <c r="H143" s="290">
        <f>G143*$Q143</f>
        <v>0</v>
      </c>
      <c r="I143" s="290">
        <f>(AF143+AG143)*$I$3</f>
        <v>28</v>
      </c>
      <c r="J143" s="290">
        <f>I143*$Q143</f>
        <v>0</v>
      </c>
      <c r="K143" s="290">
        <f>(AI143+AJ143)*$K$3</f>
        <v>96</v>
      </c>
      <c r="L143" s="290">
        <f>K143*$Q143</f>
        <v>0</v>
      </c>
      <c r="M143" s="290">
        <f>(AL143+AM143)*$M$3</f>
        <v>36</v>
      </c>
      <c r="N143" s="290">
        <f>M143*$Q143</f>
        <v>0</v>
      </c>
      <c r="O143" s="290">
        <f>C143+E143+G143+I143+K143+M143</f>
        <v>316</v>
      </c>
      <c r="P143" s="261" t="s">
        <v>269</v>
      </c>
      <c r="Q143" s="262"/>
      <c r="R143" s="435">
        <f>O143*Q143</f>
        <v>0</v>
      </c>
      <c r="S143" s="264"/>
      <c r="T143" s="266">
        <v>4</v>
      </c>
      <c r="U143" s="266">
        <v>4</v>
      </c>
      <c r="W143" s="268">
        <f>T143*$W$3</f>
        <v>8</v>
      </c>
      <c r="X143" s="266">
        <f>U143*$X$3</f>
        <v>8</v>
      </c>
      <c r="Z143" s="268">
        <f>W143</f>
        <v>8</v>
      </c>
      <c r="AA143" s="266">
        <f>U143*$AA$3</f>
        <v>12</v>
      </c>
      <c r="AC143" s="268">
        <f>W143</f>
        <v>8</v>
      </c>
      <c r="AD143" s="266">
        <f>U143*$AD$3</f>
        <v>16</v>
      </c>
      <c r="AF143" s="268">
        <f>W143</f>
        <v>8</v>
      </c>
      <c r="AG143" s="266">
        <f>U143*$AG$3</f>
        <v>20</v>
      </c>
      <c r="AI143" s="268">
        <f>W143</f>
        <v>8</v>
      </c>
      <c r="AJ143" s="266">
        <f>U143*$AJ$3</f>
        <v>24</v>
      </c>
      <c r="AL143" s="268">
        <f>W143</f>
        <v>8</v>
      </c>
      <c r="AM143" s="266">
        <f>U143*$AM$3</f>
        <v>28</v>
      </c>
    </row>
    <row r="144" spans="1:39" s="267" customFormat="1" x14ac:dyDescent="0.2">
      <c r="A144" s="283"/>
      <c r="B144" s="269"/>
      <c r="C144" s="290"/>
      <c r="D144" s="290"/>
      <c r="E144" s="290"/>
      <c r="F144" s="290"/>
      <c r="G144" s="290"/>
      <c r="H144" s="290"/>
      <c r="I144" s="290"/>
      <c r="J144" s="290"/>
      <c r="K144" s="290"/>
      <c r="L144" s="290"/>
      <c r="M144" s="290"/>
      <c r="N144" s="290"/>
      <c r="O144" s="290"/>
      <c r="P144" s="295"/>
      <c r="Q144" s="262"/>
      <c r="R144" s="435"/>
      <c r="S144" s="286"/>
      <c r="T144" s="169"/>
      <c r="U144" s="169"/>
      <c r="W144" s="296"/>
      <c r="X144" s="169"/>
      <c r="Z144" s="296"/>
      <c r="AA144" s="169"/>
      <c r="AC144" s="296"/>
      <c r="AD144" s="169"/>
      <c r="AF144" s="296"/>
      <c r="AG144" s="169"/>
      <c r="AI144" s="296"/>
      <c r="AJ144" s="169"/>
      <c r="AL144" s="296"/>
      <c r="AM144" s="169"/>
    </row>
    <row r="145" spans="1:39" s="267" customFormat="1" x14ac:dyDescent="0.2">
      <c r="A145" s="283" t="s">
        <v>67</v>
      </c>
      <c r="B145" s="269" t="s">
        <v>692</v>
      </c>
      <c r="C145" s="290">
        <f>(W145+X145)*$C$3</f>
        <v>16</v>
      </c>
      <c r="D145" s="290">
        <f>C145*$Q145</f>
        <v>0</v>
      </c>
      <c r="E145" s="290">
        <f>(Z145+AA145)*$E$3</f>
        <v>20</v>
      </c>
      <c r="F145" s="290">
        <f>E145*$Q145</f>
        <v>0</v>
      </c>
      <c r="G145" s="290">
        <f>(AC145+AD145)*$G$3</f>
        <v>120</v>
      </c>
      <c r="H145" s="290">
        <f>G145*$Q145</f>
        <v>0</v>
      </c>
      <c r="I145" s="290">
        <f>(AF145+AG145)*$I$3</f>
        <v>28</v>
      </c>
      <c r="J145" s="290">
        <f>I145*$Q145</f>
        <v>0</v>
      </c>
      <c r="K145" s="290">
        <f>(AI145+AJ145)*$K$3</f>
        <v>96</v>
      </c>
      <c r="L145" s="290">
        <f>K145*$Q145</f>
        <v>0</v>
      </c>
      <c r="M145" s="290">
        <f>(AL145+AM145)*$M$3</f>
        <v>36</v>
      </c>
      <c r="N145" s="290">
        <f>M145*$Q145</f>
        <v>0</v>
      </c>
      <c r="O145" s="290">
        <f>C145+E145+G145+I145+K145+M145</f>
        <v>316</v>
      </c>
      <c r="P145" s="261" t="s">
        <v>269</v>
      </c>
      <c r="Q145" s="262"/>
      <c r="R145" s="435">
        <f>O145*Q145</f>
        <v>0</v>
      </c>
      <c r="S145" s="264"/>
      <c r="T145" s="266">
        <v>4</v>
      </c>
      <c r="U145" s="266">
        <v>4</v>
      </c>
      <c r="W145" s="268">
        <f>T145*$W$3</f>
        <v>8</v>
      </c>
      <c r="X145" s="266">
        <f>U145*$X$3</f>
        <v>8</v>
      </c>
      <c r="Z145" s="268">
        <f>W145</f>
        <v>8</v>
      </c>
      <c r="AA145" s="266">
        <f>U145*$AA$3</f>
        <v>12</v>
      </c>
      <c r="AC145" s="268">
        <f>W145</f>
        <v>8</v>
      </c>
      <c r="AD145" s="266">
        <f>U145*$AD$3</f>
        <v>16</v>
      </c>
      <c r="AF145" s="268">
        <f>W145</f>
        <v>8</v>
      </c>
      <c r="AG145" s="266">
        <f>U145*$AG$3</f>
        <v>20</v>
      </c>
      <c r="AI145" s="268">
        <f>W145</f>
        <v>8</v>
      </c>
      <c r="AJ145" s="266">
        <f>U145*$AJ$3</f>
        <v>24</v>
      </c>
      <c r="AL145" s="268">
        <f>W145</f>
        <v>8</v>
      </c>
      <c r="AM145" s="266">
        <f>U145*$AM$3</f>
        <v>28</v>
      </c>
    </row>
    <row r="146" spans="1:39" s="267" customFormat="1" x14ac:dyDescent="0.2">
      <c r="A146" s="283"/>
      <c r="B146" s="269"/>
      <c r="C146" s="290"/>
      <c r="D146" s="290"/>
      <c r="E146" s="290"/>
      <c r="F146" s="290"/>
      <c r="G146" s="290"/>
      <c r="H146" s="290"/>
      <c r="I146" s="290"/>
      <c r="J146" s="290"/>
      <c r="K146" s="290"/>
      <c r="L146" s="290"/>
      <c r="M146" s="290"/>
      <c r="N146" s="290"/>
      <c r="O146" s="290"/>
      <c r="P146" s="295"/>
      <c r="Q146" s="262"/>
      <c r="R146" s="435"/>
      <c r="S146" s="286"/>
      <c r="T146" s="169"/>
      <c r="U146" s="169"/>
      <c r="W146" s="296"/>
      <c r="X146" s="169"/>
      <c r="Z146" s="296"/>
      <c r="AA146" s="169"/>
      <c r="AC146" s="296"/>
      <c r="AD146" s="169"/>
      <c r="AF146" s="296"/>
      <c r="AG146" s="169"/>
      <c r="AI146" s="296"/>
      <c r="AJ146" s="169"/>
      <c r="AL146" s="296"/>
      <c r="AM146" s="169"/>
    </row>
    <row r="147" spans="1:39" s="267" customFormat="1" x14ac:dyDescent="0.2">
      <c r="A147" s="283" t="s">
        <v>68</v>
      </c>
      <c r="B147" s="269" t="s">
        <v>693</v>
      </c>
      <c r="C147" s="290">
        <f>(W147+X147)*$C$3</f>
        <v>16</v>
      </c>
      <c r="D147" s="290">
        <f>C147*$Q147</f>
        <v>0</v>
      </c>
      <c r="E147" s="290">
        <f>(Z147+AA147)*$E$3</f>
        <v>20</v>
      </c>
      <c r="F147" s="290">
        <f>E147*$Q147</f>
        <v>0</v>
      </c>
      <c r="G147" s="290">
        <f>(AC147+AD147)*$G$3</f>
        <v>120</v>
      </c>
      <c r="H147" s="290">
        <f>G147*$Q147</f>
        <v>0</v>
      </c>
      <c r="I147" s="290">
        <f>(AF147+AG147)*$I$3</f>
        <v>28</v>
      </c>
      <c r="J147" s="290">
        <f>I147*$Q147</f>
        <v>0</v>
      </c>
      <c r="K147" s="290">
        <f>(AI147+AJ147)*$K$3</f>
        <v>96</v>
      </c>
      <c r="L147" s="290">
        <f>K147*$Q147</f>
        <v>0</v>
      </c>
      <c r="M147" s="290">
        <f>(AL147+AM147)*$M$3</f>
        <v>36</v>
      </c>
      <c r="N147" s="290">
        <f>M147*$Q147</f>
        <v>0</v>
      </c>
      <c r="O147" s="290">
        <f>C147+E147+G147+I147+K147+M147</f>
        <v>316</v>
      </c>
      <c r="P147" s="261" t="s">
        <v>269</v>
      </c>
      <c r="Q147" s="262"/>
      <c r="R147" s="435">
        <f>O147*Q147</f>
        <v>0</v>
      </c>
      <c r="S147" s="264"/>
      <c r="T147" s="266">
        <v>4</v>
      </c>
      <c r="U147" s="266">
        <v>4</v>
      </c>
      <c r="W147" s="268">
        <f>T147*$W$3</f>
        <v>8</v>
      </c>
      <c r="X147" s="266">
        <f>U147*$X$3</f>
        <v>8</v>
      </c>
      <c r="Z147" s="268">
        <f>W147</f>
        <v>8</v>
      </c>
      <c r="AA147" s="266">
        <f>U147*$AA$3</f>
        <v>12</v>
      </c>
      <c r="AC147" s="268">
        <f>W147</f>
        <v>8</v>
      </c>
      <c r="AD147" s="266">
        <f>U147*$AD$3</f>
        <v>16</v>
      </c>
      <c r="AF147" s="268">
        <f>W147</f>
        <v>8</v>
      </c>
      <c r="AG147" s="266">
        <f>U147*$AG$3</f>
        <v>20</v>
      </c>
      <c r="AI147" s="268">
        <f>W147</f>
        <v>8</v>
      </c>
      <c r="AJ147" s="266">
        <f>U147*$AJ$3</f>
        <v>24</v>
      </c>
      <c r="AL147" s="268">
        <f>W147</f>
        <v>8</v>
      </c>
      <c r="AM147" s="266">
        <f>U147*$AM$3</f>
        <v>28</v>
      </c>
    </row>
    <row r="148" spans="1:39" s="267" customFormat="1" x14ac:dyDescent="0.2">
      <c r="A148" s="283"/>
      <c r="B148" s="269"/>
      <c r="C148" s="290"/>
      <c r="D148" s="290"/>
      <c r="E148" s="290"/>
      <c r="F148" s="290"/>
      <c r="G148" s="290"/>
      <c r="H148" s="290"/>
      <c r="I148" s="290"/>
      <c r="J148" s="290"/>
      <c r="K148" s="290"/>
      <c r="L148" s="290"/>
      <c r="M148" s="290"/>
      <c r="N148" s="290"/>
      <c r="O148" s="290"/>
      <c r="P148" s="295"/>
      <c r="Q148" s="262"/>
      <c r="R148" s="435"/>
      <c r="S148" s="286"/>
      <c r="T148" s="169"/>
      <c r="U148" s="169"/>
      <c r="W148" s="296"/>
      <c r="X148" s="169"/>
      <c r="Z148" s="296"/>
      <c r="AA148" s="169"/>
      <c r="AC148" s="296"/>
      <c r="AD148" s="169"/>
      <c r="AF148" s="296"/>
      <c r="AG148" s="169"/>
      <c r="AI148" s="296"/>
      <c r="AJ148" s="169"/>
      <c r="AL148" s="296"/>
      <c r="AM148" s="169"/>
    </row>
    <row r="149" spans="1:39" s="267" customFormat="1" x14ac:dyDescent="0.2">
      <c r="A149" s="283" t="s">
        <v>69</v>
      </c>
      <c r="B149" s="269" t="s">
        <v>694</v>
      </c>
      <c r="C149" s="290">
        <f>(W149+X149)*$C$3</f>
        <v>16</v>
      </c>
      <c r="D149" s="290">
        <f>C149*$Q149</f>
        <v>0</v>
      </c>
      <c r="E149" s="290">
        <f>(Z149+AA149)*$E$3</f>
        <v>20</v>
      </c>
      <c r="F149" s="290">
        <f>E149*$Q149</f>
        <v>0</v>
      </c>
      <c r="G149" s="290">
        <f>(AC149+AD149)*$G$3</f>
        <v>120</v>
      </c>
      <c r="H149" s="290">
        <f>G149*$Q149</f>
        <v>0</v>
      </c>
      <c r="I149" s="290">
        <f>(AF149+AG149)*$I$3</f>
        <v>28</v>
      </c>
      <c r="J149" s="290">
        <f>I149*$Q149</f>
        <v>0</v>
      </c>
      <c r="K149" s="290">
        <f>(AI149+AJ149)*$K$3</f>
        <v>96</v>
      </c>
      <c r="L149" s="290">
        <f>K149*$Q149</f>
        <v>0</v>
      </c>
      <c r="M149" s="290">
        <f>(AL149+AM149)*$M$3</f>
        <v>36</v>
      </c>
      <c r="N149" s="290">
        <f>M149*$Q149</f>
        <v>0</v>
      </c>
      <c r="O149" s="290">
        <f>C149+E149+G149+I149+K149+M149</f>
        <v>316</v>
      </c>
      <c r="P149" s="261" t="s">
        <v>269</v>
      </c>
      <c r="Q149" s="262"/>
      <c r="R149" s="435">
        <f>O149*Q149</f>
        <v>0</v>
      </c>
      <c r="S149" s="264"/>
      <c r="T149" s="266">
        <v>4</v>
      </c>
      <c r="U149" s="266">
        <v>4</v>
      </c>
      <c r="W149" s="268">
        <f>T149*$W$3</f>
        <v>8</v>
      </c>
      <c r="X149" s="266">
        <f>U149*$X$3</f>
        <v>8</v>
      </c>
      <c r="Z149" s="268">
        <f>W149</f>
        <v>8</v>
      </c>
      <c r="AA149" s="266">
        <f>U149*$AA$3</f>
        <v>12</v>
      </c>
      <c r="AC149" s="268">
        <f>W149</f>
        <v>8</v>
      </c>
      <c r="AD149" s="266">
        <f>U149*$AD$3</f>
        <v>16</v>
      </c>
      <c r="AF149" s="268">
        <f>W149</f>
        <v>8</v>
      </c>
      <c r="AG149" s="266">
        <f>U149*$AG$3</f>
        <v>20</v>
      </c>
      <c r="AI149" s="268">
        <f>W149</f>
        <v>8</v>
      </c>
      <c r="AJ149" s="266">
        <f>U149*$AJ$3</f>
        <v>24</v>
      </c>
      <c r="AL149" s="268">
        <f>W149</f>
        <v>8</v>
      </c>
      <c r="AM149" s="266">
        <f>U149*$AM$3</f>
        <v>28</v>
      </c>
    </row>
    <row r="150" spans="1:39" s="267" customFormat="1" x14ac:dyDescent="0.2">
      <c r="A150" s="283"/>
      <c r="B150" s="269"/>
      <c r="C150" s="290"/>
      <c r="D150" s="290"/>
      <c r="E150" s="290"/>
      <c r="F150" s="290"/>
      <c r="G150" s="290"/>
      <c r="H150" s="290"/>
      <c r="I150" s="290"/>
      <c r="J150" s="290"/>
      <c r="K150" s="290"/>
      <c r="L150" s="290"/>
      <c r="M150" s="290"/>
      <c r="N150" s="290"/>
      <c r="O150" s="290"/>
      <c r="P150" s="295"/>
      <c r="Q150" s="262"/>
      <c r="R150" s="435"/>
      <c r="S150" s="286"/>
      <c r="T150" s="169"/>
      <c r="U150" s="169"/>
      <c r="W150" s="296"/>
      <c r="X150" s="169"/>
      <c r="Z150" s="296"/>
      <c r="AA150" s="169"/>
      <c r="AC150" s="296"/>
      <c r="AD150" s="169"/>
      <c r="AF150" s="296"/>
      <c r="AG150" s="169"/>
      <c r="AI150" s="296"/>
      <c r="AJ150" s="169"/>
      <c r="AL150" s="296"/>
      <c r="AM150" s="169"/>
    </row>
    <row r="151" spans="1:39" s="267" customFormat="1" x14ac:dyDescent="0.2">
      <c r="A151" s="283" t="s">
        <v>70</v>
      </c>
      <c r="B151" s="269" t="s">
        <v>695</v>
      </c>
      <c r="C151" s="290">
        <f>(W151+X151)*$C$3</f>
        <v>4</v>
      </c>
      <c r="D151" s="290">
        <f>C151*$Q151</f>
        <v>0</v>
      </c>
      <c r="E151" s="290">
        <f>(Z151+AA151)*$E$3</f>
        <v>5</v>
      </c>
      <c r="F151" s="290">
        <f>E151*$Q151</f>
        <v>0</v>
      </c>
      <c r="G151" s="290">
        <f>(AC151+AD151)*$G$3</f>
        <v>30</v>
      </c>
      <c r="H151" s="290">
        <f>G151*$Q151</f>
        <v>0</v>
      </c>
      <c r="I151" s="290">
        <f>(AF151+AG151)*$I$3</f>
        <v>7</v>
      </c>
      <c r="J151" s="290">
        <f>I151*$Q151</f>
        <v>0</v>
      </c>
      <c r="K151" s="290">
        <f>(AI151+AJ151)*$K$3</f>
        <v>24</v>
      </c>
      <c r="L151" s="290">
        <f>K151*$Q151</f>
        <v>0</v>
      </c>
      <c r="M151" s="290">
        <f>(AL151+AM151)*$M$3</f>
        <v>9</v>
      </c>
      <c r="N151" s="290">
        <f>M151*$Q151</f>
        <v>0</v>
      </c>
      <c r="O151" s="290">
        <f>C151+E151+G151+I151+K151+M151</f>
        <v>79</v>
      </c>
      <c r="P151" s="261" t="s">
        <v>269</v>
      </c>
      <c r="Q151" s="262"/>
      <c r="R151" s="435">
        <f>O151*Q151</f>
        <v>0</v>
      </c>
      <c r="S151" s="264"/>
      <c r="T151" s="266">
        <v>1</v>
      </c>
      <c r="U151" s="266">
        <v>1</v>
      </c>
      <c r="W151" s="268">
        <f>T151*$W$3</f>
        <v>2</v>
      </c>
      <c r="X151" s="266">
        <f>U151*$X$3</f>
        <v>2</v>
      </c>
      <c r="Z151" s="268">
        <f>W151</f>
        <v>2</v>
      </c>
      <c r="AA151" s="266">
        <f>U151*$AA$3</f>
        <v>3</v>
      </c>
      <c r="AC151" s="268">
        <f>W151</f>
        <v>2</v>
      </c>
      <c r="AD151" s="266">
        <f>U151*$AD$3</f>
        <v>4</v>
      </c>
      <c r="AF151" s="268">
        <f>W151</f>
        <v>2</v>
      </c>
      <c r="AG151" s="266">
        <f>U151*$AG$3</f>
        <v>5</v>
      </c>
      <c r="AI151" s="268">
        <f>W151</f>
        <v>2</v>
      </c>
      <c r="AJ151" s="266">
        <f>U151*$AJ$3</f>
        <v>6</v>
      </c>
      <c r="AL151" s="268">
        <f>W151</f>
        <v>2</v>
      </c>
      <c r="AM151" s="266">
        <f>U151*$AM$3</f>
        <v>7</v>
      </c>
    </row>
    <row r="152" spans="1:39" s="267" customFormat="1" x14ac:dyDescent="0.2">
      <c r="A152" s="283"/>
      <c r="B152" s="269"/>
      <c r="C152" s="290"/>
      <c r="D152" s="290"/>
      <c r="E152" s="290"/>
      <c r="F152" s="290"/>
      <c r="G152" s="290"/>
      <c r="H152" s="290"/>
      <c r="I152" s="290"/>
      <c r="J152" s="290"/>
      <c r="K152" s="290"/>
      <c r="L152" s="290"/>
      <c r="M152" s="290"/>
      <c r="N152" s="290"/>
      <c r="O152" s="290"/>
      <c r="P152" s="295"/>
      <c r="Q152" s="262"/>
      <c r="R152" s="435"/>
      <c r="S152" s="286"/>
      <c r="T152" s="169"/>
      <c r="U152" s="169"/>
      <c r="W152" s="296"/>
      <c r="X152" s="169"/>
      <c r="Z152" s="296"/>
      <c r="AA152" s="169"/>
      <c r="AC152" s="296"/>
      <c r="AD152" s="169"/>
      <c r="AF152" s="296"/>
      <c r="AG152" s="169"/>
      <c r="AI152" s="296"/>
      <c r="AJ152" s="169"/>
      <c r="AL152" s="296"/>
      <c r="AM152" s="169"/>
    </row>
    <row r="153" spans="1:39" s="267" customFormat="1" x14ac:dyDescent="0.2">
      <c r="A153" s="283" t="s">
        <v>71</v>
      </c>
      <c r="B153" s="206" t="s">
        <v>696</v>
      </c>
      <c r="C153" s="290">
        <f>(W153+X153)*$C$3</f>
        <v>4</v>
      </c>
      <c r="D153" s="290">
        <f>C153*$Q153</f>
        <v>0</v>
      </c>
      <c r="E153" s="290">
        <f>(Z153+AA153)*$E$3</f>
        <v>5</v>
      </c>
      <c r="F153" s="290">
        <f>E153*$Q153</f>
        <v>0</v>
      </c>
      <c r="G153" s="290">
        <f>(AC153+AD153)*$G$3</f>
        <v>30</v>
      </c>
      <c r="H153" s="290">
        <f>G153*$Q153</f>
        <v>0</v>
      </c>
      <c r="I153" s="290">
        <f>(AF153+AG153)*$I$3</f>
        <v>7</v>
      </c>
      <c r="J153" s="290">
        <f>I153*$Q153</f>
        <v>0</v>
      </c>
      <c r="K153" s="290">
        <f>(AI153+AJ153)*$K$3</f>
        <v>24</v>
      </c>
      <c r="L153" s="290">
        <f>K153*$Q153</f>
        <v>0</v>
      </c>
      <c r="M153" s="290">
        <f>(AL153+AM153)*$M$3</f>
        <v>9</v>
      </c>
      <c r="N153" s="290">
        <f>M153*$Q153</f>
        <v>0</v>
      </c>
      <c r="O153" s="290">
        <f>C153+E153+G153+I153+K153+M153</f>
        <v>79</v>
      </c>
      <c r="P153" s="261" t="s">
        <v>269</v>
      </c>
      <c r="Q153" s="262"/>
      <c r="R153" s="435">
        <f>O153*Q153</f>
        <v>0</v>
      </c>
      <c r="S153" s="264"/>
      <c r="T153" s="266">
        <v>1</v>
      </c>
      <c r="U153" s="266">
        <v>1</v>
      </c>
      <c r="W153" s="268">
        <f>T153*$W$3</f>
        <v>2</v>
      </c>
      <c r="X153" s="266">
        <f>U153*$X$3</f>
        <v>2</v>
      </c>
      <c r="Z153" s="268">
        <f>W153</f>
        <v>2</v>
      </c>
      <c r="AA153" s="266">
        <f>U153*$AA$3</f>
        <v>3</v>
      </c>
      <c r="AC153" s="268">
        <f>W153</f>
        <v>2</v>
      </c>
      <c r="AD153" s="266">
        <f>U153*$AD$3</f>
        <v>4</v>
      </c>
      <c r="AF153" s="268">
        <f>W153</f>
        <v>2</v>
      </c>
      <c r="AG153" s="266">
        <f>U153*$AG$3</f>
        <v>5</v>
      </c>
      <c r="AI153" s="268">
        <f>W153</f>
        <v>2</v>
      </c>
      <c r="AJ153" s="266">
        <f>U153*$AJ$3</f>
        <v>6</v>
      </c>
      <c r="AL153" s="268">
        <f>W153</f>
        <v>2</v>
      </c>
      <c r="AM153" s="266">
        <f>U153*$AM$3</f>
        <v>7</v>
      </c>
    </row>
    <row r="154" spans="1:39" s="267" customFormat="1" x14ac:dyDescent="0.2">
      <c r="A154" s="283"/>
      <c r="B154" s="206"/>
      <c r="C154" s="290"/>
      <c r="D154" s="290"/>
      <c r="E154" s="290"/>
      <c r="F154" s="290"/>
      <c r="G154" s="290"/>
      <c r="H154" s="290"/>
      <c r="I154" s="290"/>
      <c r="J154" s="290"/>
      <c r="K154" s="290"/>
      <c r="L154" s="290"/>
      <c r="M154" s="290"/>
      <c r="N154" s="290"/>
      <c r="O154" s="290"/>
      <c r="P154" s="295"/>
      <c r="Q154" s="262"/>
      <c r="R154" s="435"/>
      <c r="S154" s="286"/>
      <c r="T154" s="169"/>
      <c r="U154" s="169"/>
      <c r="W154" s="296"/>
      <c r="X154" s="169"/>
      <c r="Z154" s="296"/>
      <c r="AA154" s="169"/>
      <c r="AC154" s="296"/>
      <c r="AD154" s="169"/>
      <c r="AF154" s="296"/>
      <c r="AG154" s="169"/>
      <c r="AI154" s="296"/>
      <c r="AJ154" s="169"/>
      <c r="AL154" s="296"/>
      <c r="AM154" s="169"/>
    </row>
    <row r="155" spans="1:39" s="267" customFormat="1" x14ac:dyDescent="0.2">
      <c r="A155" s="283" t="s">
        <v>72</v>
      </c>
      <c r="B155" s="206" t="s">
        <v>697</v>
      </c>
      <c r="C155" s="290">
        <f>(W155+X155)*$C$3</f>
        <v>12</v>
      </c>
      <c r="D155" s="290">
        <f>C155*$Q155</f>
        <v>0</v>
      </c>
      <c r="E155" s="290">
        <f>(Z155+AA155)*$E$3</f>
        <v>15</v>
      </c>
      <c r="F155" s="290">
        <f>E155*$Q155</f>
        <v>0</v>
      </c>
      <c r="G155" s="290">
        <f>(AC155+AD155)*$G$3</f>
        <v>90</v>
      </c>
      <c r="H155" s="290">
        <f>G155*$Q155</f>
        <v>0</v>
      </c>
      <c r="I155" s="290">
        <f>(AF155+AG155)*$I$3</f>
        <v>21</v>
      </c>
      <c r="J155" s="290">
        <f>I155*$Q155</f>
        <v>0</v>
      </c>
      <c r="K155" s="290">
        <f>(AI155+AJ155)*$K$3</f>
        <v>72</v>
      </c>
      <c r="L155" s="290">
        <f>K155*$Q155</f>
        <v>0</v>
      </c>
      <c r="M155" s="290">
        <f>(AL155+AM155)*$M$3</f>
        <v>27</v>
      </c>
      <c r="N155" s="290">
        <f>M155*$Q155</f>
        <v>0</v>
      </c>
      <c r="O155" s="290">
        <f>C155+E155+G155+I155+K155+M155</f>
        <v>237</v>
      </c>
      <c r="P155" s="261" t="s">
        <v>269</v>
      </c>
      <c r="Q155" s="262"/>
      <c r="R155" s="435">
        <f>O155*Q155</f>
        <v>0</v>
      </c>
      <c r="S155" s="264"/>
      <c r="T155" s="266">
        <v>3</v>
      </c>
      <c r="U155" s="266">
        <v>3</v>
      </c>
      <c r="W155" s="268">
        <f>T155*$W$3</f>
        <v>6</v>
      </c>
      <c r="X155" s="266">
        <f>U155*$X$3</f>
        <v>6</v>
      </c>
      <c r="Z155" s="268">
        <f>W155</f>
        <v>6</v>
      </c>
      <c r="AA155" s="266">
        <f>U155*$AA$3</f>
        <v>9</v>
      </c>
      <c r="AC155" s="268">
        <f>W155</f>
        <v>6</v>
      </c>
      <c r="AD155" s="266">
        <f>U155*$AD$3</f>
        <v>12</v>
      </c>
      <c r="AF155" s="268">
        <f>W155</f>
        <v>6</v>
      </c>
      <c r="AG155" s="266">
        <f>U155*$AG$3</f>
        <v>15</v>
      </c>
      <c r="AI155" s="268">
        <f>W155</f>
        <v>6</v>
      </c>
      <c r="AJ155" s="266">
        <f>U155*$AJ$3</f>
        <v>18</v>
      </c>
      <c r="AL155" s="268">
        <f>W155</f>
        <v>6</v>
      </c>
      <c r="AM155" s="266">
        <f>U155*$AM$3</f>
        <v>21</v>
      </c>
    </row>
    <row r="156" spans="1:39" s="267" customFormat="1" x14ac:dyDescent="0.2">
      <c r="A156" s="283"/>
      <c r="B156" s="206"/>
      <c r="C156" s="290"/>
      <c r="D156" s="290"/>
      <c r="E156" s="290"/>
      <c r="F156" s="290"/>
      <c r="G156" s="290"/>
      <c r="H156" s="290"/>
      <c r="I156" s="290"/>
      <c r="J156" s="290"/>
      <c r="K156" s="290"/>
      <c r="L156" s="290"/>
      <c r="M156" s="290"/>
      <c r="N156" s="290"/>
      <c r="O156" s="290"/>
      <c r="P156" s="295"/>
      <c r="Q156" s="262"/>
      <c r="R156" s="435"/>
      <c r="S156" s="286"/>
      <c r="T156" s="169"/>
      <c r="U156" s="169"/>
      <c r="W156" s="296"/>
      <c r="X156" s="169"/>
      <c r="Z156" s="296"/>
      <c r="AA156" s="169"/>
      <c r="AC156" s="296"/>
      <c r="AD156" s="169"/>
      <c r="AF156" s="296"/>
      <c r="AG156" s="169"/>
      <c r="AI156" s="296"/>
      <c r="AJ156" s="169"/>
      <c r="AL156" s="296"/>
      <c r="AM156" s="169"/>
    </row>
    <row r="157" spans="1:39" s="267" customFormat="1" x14ac:dyDescent="0.2">
      <c r="A157" s="283" t="s">
        <v>73</v>
      </c>
      <c r="B157" s="304" t="s">
        <v>698</v>
      </c>
      <c r="C157" s="290">
        <f>(W157+X157)*$C$3</f>
        <v>12</v>
      </c>
      <c r="D157" s="290">
        <f>C157*$Q157</f>
        <v>0</v>
      </c>
      <c r="E157" s="290">
        <f>(Z157+AA157)*$E$3</f>
        <v>15</v>
      </c>
      <c r="F157" s="290">
        <f>E157*$Q157</f>
        <v>0</v>
      </c>
      <c r="G157" s="290">
        <f>(AC157+AD157)*$G$3</f>
        <v>90</v>
      </c>
      <c r="H157" s="290">
        <f>G157*$Q157</f>
        <v>0</v>
      </c>
      <c r="I157" s="290">
        <f>(AF157+AG157)*$I$3</f>
        <v>21</v>
      </c>
      <c r="J157" s="290">
        <f>I157*$Q157</f>
        <v>0</v>
      </c>
      <c r="K157" s="290">
        <f>(AI157+AJ157)*$K$3</f>
        <v>72</v>
      </c>
      <c r="L157" s="290">
        <f>K157*$Q157</f>
        <v>0</v>
      </c>
      <c r="M157" s="290">
        <f>(AL157+AM157)*$M$3</f>
        <v>27</v>
      </c>
      <c r="N157" s="290">
        <f>M157*$Q157</f>
        <v>0</v>
      </c>
      <c r="O157" s="290">
        <f>C157+E157+G157+I157+K157+M157</f>
        <v>237</v>
      </c>
      <c r="P157" s="261" t="s">
        <v>269</v>
      </c>
      <c r="Q157" s="262"/>
      <c r="R157" s="435">
        <f>O157*Q157</f>
        <v>0</v>
      </c>
      <c r="S157" s="264"/>
      <c r="T157" s="266">
        <v>3</v>
      </c>
      <c r="U157" s="266">
        <v>3</v>
      </c>
      <c r="W157" s="268">
        <f>T157*$W$3</f>
        <v>6</v>
      </c>
      <c r="X157" s="266">
        <f>U157*$X$3</f>
        <v>6</v>
      </c>
      <c r="Z157" s="268">
        <f>W157</f>
        <v>6</v>
      </c>
      <c r="AA157" s="266">
        <f>U157*$AA$3</f>
        <v>9</v>
      </c>
      <c r="AC157" s="268">
        <f>W157</f>
        <v>6</v>
      </c>
      <c r="AD157" s="266">
        <f>U157*$AD$3</f>
        <v>12</v>
      </c>
      <c r="AF157" s="268">
        <f>W157</f>
        <v>6</v>
      </c>
      <c r="AG157" s="266">
        <f>U157*$AG$3</f>
        <v>15</v>
      </c>
      <c r="AI157" s="268">
        <f>W157</f>
        <v>6</v>
      </c>
      <c r="AJ157" s="266">
        <f>U157*$AJ$3</f>
        <v>18</v>
      </c>
      <c r="AL157" s="268">
        <f>W157</f>
        <v>6</v>
      </c>
      <c r="AM157" s="266">
        <f>U157*$AM$3</f>
        <v>21</v>
      </c>
    </row>
    <row r="158" spans="1:39" s="267" customFormat="1" x14ac:dyDescent="0.2">
      <c r="A158" s="283"/>
      <c r="B158" s="304"/>
      <c r="C158" s="290"/>
      <c r="D158" s="290"/>
      <c r="E158" s="290"/>
      <c r="F158" s="290"/>
      <c r="G158" s="290"/>
      <c r="H158" s="290"/>
      <c r="I158" s="290"/>
      <c r="J158" s="290"/>
      <c r="K158" s="290"/>
      <c r="L158" s="290"/>
      <c r="M158" s="290"/>
      <c r="N158" s="290"/>
      <c r="O158" s="290"/>
      <c r="P158" s="295"/>
      <c r="Q158" s="262"/>
      <c r="R158" s="435"/>
      <c r="S158" s="286"/>
      <c r="T158" s="169"/>
      <c r="U158" s="169"/>
      <c r="W158" s="296"/>
      <c r="X158" s="169"/>
      <c r="Z158" s="296"/>
      <c r="AA158" s="169"/>
      <c r="AC158" s="296"/>
      <c r="AD158" s="169"/>
      <c r="AF158" s="296"/>
      <c r="AG158" s="169"/>
      <c r="AI158" s="296"/>
      <c r="AJ158" s="169"/>
      <c r="AL158" s="296"/>
      <c r="AM158" s="169"/>
    </row>
    <row r="159" spans="1:39" s="267" customFormat="1" x14ac:dyDescent="0.2">
      <c r="A159" s="283" t="s">
        <v>74</v>
      </c>
      <c r="B159" s="269" t="s">
        <v>699</v>
      </c>
      <c r="C159" s="290">
        <f>(W159+X159)*$C$3</f>
        <v>16</v>
      </c>
      <c r="D159" s="290">
        <f>C159*$Q159</f>
        <v>0</v>
      </c>
      <c r="E159" s="290">
        <f>(Z159+AA159)*$E$3</f>
        <v>20</v>
      </c>
      <c r="F159" s="290">
        <f>E159*$Q159</f>
        <v>0</v>
      </c>
      <c r="G159" s="290">
        <f>(AC159+AD159)*$G$3</f>
        <v>120</v>
      </c>
      <c r="H159" s="290">
        <f>G159*$Q159</f>
        <v>0</v>
      </c>
      <c r="I159" s="290">
        <f>(AF159+AG159)*$I$3</f>
        <v>28</v>
      </c>
      <c r="J159" s="290">
        <f>I159*$Q159</f>
        <v>0</v>
      </c>
      <c r="K159" s="290">
        <f>(AI159+AJ159)*$K$3</f>
        <v>96</v>
      </c>
      <c r="L159" s="290">
        <f>K159*$Q159</f>
        <v>0</v>
      </c>
      <c r="M159" s="290">
        <f>(AL159+AM159)*$M$3</f>
        <v>36</v>
      </c>
      <c r="N159" s="290">
        <f>M159*$Q159</f>
        <v>0</v>
      </c>
      <c r="O159" s="290">
        <f>C159+E159+G159+I159+K159+M159</f>
        <v>316</v>
      </c>
      <c r="P159" s="261" t="s">
        <v>269</v>
      </c>
      <c r="Q159" s="262"/>
      <c r="R159" s="435">
        <f>O159*Q159</f>
        <v>0</v>
      </c>
      <c r="S159" s="264"/>
      <c r="T159" s="266">
        <v>4</v>
      </c>
      <c r="U159" s="266">
        <v>4</v>
      </c>
      <c r="W159" s="268">
        <f>T159*$W$3</f>
        <v>8</v>
      </c>
      <c r="X159" s="266">
        <f>U159*$X$3</f>
        <v>8</v>
      </c>
      <c r="Z159" s="268">
        <f>W159</f>
        <v>8</v>
      </c>
      <c r="AA159" s="266">
        <f>U159*$AA$3</f>
        <v>12</v>
      </c>
      <c r="AC159" s="268">
        <f>W159</f>
        <v>8</v>
      </c>
      <c r="AD159" s="266">
        <f>U159*$AD$3</f>
        <v>16</v>
      </c>
      <c r="AF159" s="268">
        <f>W159</f>
        <v>8</v>
      </c>
      <c r="AG159" s="266">
        <f>U159*$AG$3</f>
        <v>20</v>
      </c>
      <c r="AI159" s="268">
        <f>W159</f>
        <v>8</v>
      </c>
      <c r="AJ159" s="266">
        <f>U159*$AJ$3</f>
        <v>24</v>
      </c>
      <c r="AL159" s="268">
        <f>W159</f>
        <v>8</v>
      </c>
      <c r="AM159" s="266">
        <f>U159*$AM$3</f>
        <v>28</v>
      </c>
    </row>
    <row r="160" spans="1:39" s="267" customFormat="1" x14ac:dyDescent="0.2">
      <c r="A160" s="283"/>
      <c r="B160" s="269"/>
      <c r="C160" s="290"/>
      <c r="D160" s="290"/>
      <c r="E160" s="290"/>
      <c r="F160" s="290"/>
      <c r="G160" s="290"/>
      <c r="H160" s="290"/>
      <c r="I160" s="290"/>
      <c r="J160" s="290"/>
      <c r="K160" s="290"/>
      <c r="L160" s="290"/>
      <c r="M160" s="290"/>
      <c r="N160" s="290"/>
      <c r="O160" s="290"/>
      <c r="P160" s="295"/>
      <c r="Q160" s="262"/>
      <c r="R160" s="435"/>
      <c r="S160" s="286"/>
      <c r="T160" s="169"/>
      <c r="U160" s="169"/>
      <c r="W160" s="296"/>
      <c r="X160" s="169"/>
      <c r="Z160" s="296"/>
      <c r="AA160" s="169"/>
      <c r="AC160" s="296"/>
      <c r="AD160" s="169"/>
      <c r="AF160" s="296"/>
      <c r="AG160" s="169"/>
      <c r="AI160" s="296"/>
      <c r="AJ160" s="169"/>
      <c r="AL160" s="296"/>
      <c r="AM160" s="169"/>
    </row>
    <row r="161" spans="1:39" s="267" customFormat="1" x14ac:dyDescent="0.2">
      <c r="A161" s="283" t="s">
        <v>75</v>
      </c>
      <c r="B161" s="304" t="s">
        <v>700</v>
      </c>
      <c r="C161" s="290">
        <f>(W161+X161)*$C$3</f>
        <v>16</v>
      </c>
      <c r="D161" s="290">
        <f>C161*$Q161</f>
        <v>0</v>
      </c>
      <c r="E161" s="290">
        <f>(Z161+AA161)*$E$3</f>
        <v>20</v>
      </c>
      <c r="F161" s="290">
        <f>E161*$Q161</f>
        <v>0</v>
      </c>
      <c r="G161" s="290">
        <f>(AC161+AD161)*$G$3</f>
        <v>120</v>
      </c>
      <c r="H161" s="290">
        <f>G161*$Q161</f>
        <v>0</v>
      </c>
      <c r="I161" s="290">
        <f>(AF161+AG161)*$I$3</f>
        <v>28</v>
      </c>
      <c r="J161" s="290">
        <f>I161*$Q161</f>
        <v>0</v>
      </c>
      <c r="K161" s="290">
        <f>(AI161+AJ161)*$K$3</f>
        <v>96</v>
      </c>
      <c r="L161" s="290">
        <f>K161*$Q161</f>
        <v>0</v>
      </c>
      <c r="M161" s="290">
        <f>(AL161+AM161)*$M$3</f>
        <v>36</v>
      </c>
      <c r="N161" s="290">
        <f>M161*$Q161</f>
        <v>0</v>
      </c>
      <c r="O161" s="290">
        <f>C161+E161+G161+I161+K161+M161</f>
        <v>316</v>
      </c>
      <c r="P161" s="261" t="s">
        <v>269</v>
      </c>
      <c r="Q161" s="262"/>
      <c r="R161" s="435">
        <f>O161*Q161</f>
        <v>0</v>
      </c>
      <c r="S161" s="264"/>
      <c r="T161" s="266">
        <v>4</v>
      </c>
      <c r="U161" s="266">
        <v>4</v>
      </c>
      <c r="W161" s="268">
        <f>T161*$W$3</f>
        <v>8</v>
      </c>
      <c r="X161" s="266">
        <f>U161*$X$3</f>
        <v>8</v>
      </c>
      <c r="Z161" s="268">
        <f>W161</f>
        <v>8</v>
      </c>
      <c r="AA161" s="266">
        <f>U161*$AA$3</f>
        <v>12</v>
      </c>
      <c r="AC161" s="268">
        <f>W161</f>
        <v>8</v>
      </c>
      <c r="AD161" s="266">
        <f>U161*$AD$3</f>
        <v>16</v>
      </c>
      <c r="AF161" s="268">
        <f>W161</f>
        <v>8</v>
      </c>
      <c r="AG161" s="266">
        <f>U161*$AG$3</f>
        <v>20</v>
      </c>
      <c r="AI161" s="268">
        <f>W161</f>
        <v>8</v>
      </c>
      <c r="AJ161" s="266">
        <f>U161*$AJ$3</f>
        <v>24</v>
      </c>
      <c r="AL161" s="268">
        <f>W161</f>
        <v>8</v>
      </c>
      <c r="AM161" s="266">
        <f>U161*$AM$3</f>
        <v>28</v>
      </c>
    </row>
    <row r="162" spans="1:39" s="267" customFormat="1" x14ac:dyDescent="0.2">
      <c r="A162" s="283"/>
      <c r="B162" s="304"/>
      <c r="C162" s="290"/>
      <c r="D162" s="290"/>
      <c r="E162" s="290"/>
      <c r="F162" s="290"/>
      <c r="G162" s="290"/>
      <c r="H162" s="290"/>
      <c r="I162" s="290"/>
      <c r="J162" s="290"/>
      <c r="K162" s="290"/>
      <c r="L162" s="290"/>
      <c r="M162" s="290"/>
      <c r="N162" s="290"/>
      <c r="O162" s="290"/>
      <c r="P162" s="295"/>
      <c r="Q162" s="262"/>
      <c r="R162" s="435"/>
      <c r="S162" s="286"/>
      <c r="T162" s="169"/>
      <c r="U162" s="169"/>
      <c r="W162" s="296"/>
      <c r="X162" s="169"/>
      <c r="Z162" s="296"/>
      <c r="AA162" s="169"/>
      <c r="AC162" s="296"/>
      <c r="AD162" s="169"/>
      <c r="AF162" s="296"/>
      <c r="AG162" s="169"/>
      <c r="AI162" s="296"/>
      <c r="AJ162" s="169"/>
      <c r="AL162" s="296"/>
      <c r="AM162" s="169"/>
    </row>
    <row r="163" spans="1:39" s="267" customFormat="1" x14ac:dyDescent="0.2">
      <c r="A163" s="283" t="s">
        <v>76</v>
      </c>
      <c r="B163" s="269" t="s">
        <v>701</v>
      </c>
      <c r="C163" s="290">
        <f>(W163+X163)*$C$3</f>
        <v>16</v>
      </c>
      <c r="D163" s="290">
        <f>C163*$Q163</f>
        <v>0</v>
      </c>
      <c r="E163" s="290">
        <f>(Z163+AA163)*$E$3</f>
        <v>20</v>
      </c>
      <c r="F163" s="290">
        <f>E163*$Q163</f>
        <v>0</v>
      </c>
      <c r="G163" s="290">
        <f>(AC163+AD163)*$G$3</f>
        <v>120</v>
      </c>
      <c r="H163" s="290">
        <f>G163*$Q163</f>
        <v>0</v>
      </c>
      <c r="I163" s="290">
        <f>(AF163+AG163)*$I$3</f>
        <v>28</v>
      </c>
      <c r="J163" s="290">
        <f>I163*$Q163</f>
        <v>0</v>
      </c>
      <c r="K163" s="290">
        <f>(AI163+AJ163)*$K$3</f>
        <v>96</v>
      </c>
      <c r="L163" s="290">
        <f>K163*$Q163</f>
        <v>0</v>
      </c>
      <c r="M163" s="290">
        <f>(AL163+AM163)*$M$3</f>
        <v>36</v>
      </c>
      <c r="N163" s="290">
        <f>M163*$Q163</f>
        <v>0</v>
      </c>
      <c r="O163" s="290">
        <f>C163+E163+G163+I163+K163+M163</f>
        <v>316</v>
      </c>
      <c r="P163" s="261" t="s">
        <v>269</v>
      </c>
      <c r="Q163" s="262"/>
      <c r="R163" s="435">
        <f>O163*Q163</f>
        <v>0</v>
      </c>
      <c r="S163" s="264"/>
      <c r="T163" s="266">
        <v>4</v>
      </c>
      <c r="U163" s="266">
        <v>4</v>
      </c>
      <c r="W163" s="268">
        <f>T163*$W$3</f>
        <v>8</v>
      </c>
      <c r="X163" s="266">
        <f>U163*$X$3</f>
        <v>8</v>
      </c>
      <c r="Z163" s="268">
        <f>W163</f>
        <v>8</v>
      </c>
      <c r="AA163" s="266">
        <f>U163*$AA$3</f>
        <v>12</v>
      </c>
      <c r="AC163" s="268">
        <f>W163</f>
        <v>8</v>
      </c>
      <c r="AD163" s="266">
        <f>U163*$AD$3</f>
        <v>16</v>
      </c>
      <c r="AF163" s="268">
        <f>W163</f>
        <v>8</v>
      </c>
      <c r="AG163" s="266">
        <f>U163*$AG$3</f>
        <v>20</v>
      </c>
      <c r="AI163" s="268">
        <f>W163</f>
        <v>8</v>
      </c>
      <c r="AJ163" s="266">
        <f>U163*$AJ$3</f>
        <v>24</v>
      </c>
      <c r="AL163" s="268">
        <f>W163</f>
        <v>8</v>
      </c>
      <c r="AM163" s="266">
        <f>U163*$AM$3</f>
        <v>28</v>
      </c>
    </row>
    <row r="164" spans="1:39" s="267" customFormat="1" x14ac:dyDescent="0.2">
      <c r="A164" s="283"/>
      <c r="B164" s="269"/>
      <c r="C164" s="290"/>
      <c r="D164" s="290"/>
      <c r="E164" s="290"/>
      <c r="F164" s="290"/>
      <c r="G164" s="290"/>
      <c r="H164" s="290"/>
      <c r="I164" s="290"/>
      <c r="J164" s="290"/>
      <c r="K164" s="290"/>
      <c r="L164" s="290"/>
      <c r="M164" s="290"/>
      <c r="N164" s="290"/>
      <c r="O164" s="290"/>
      <c r="P164" s="295"/>
      <c r="Q164" s="262"/>
      <c r="R164" s="435"/>
      <c r="S164" s="286"/>
      <c r="T164" s="169"/>
      <c r="U164" s="169"/>
      <c r="W164" s="296"/>
      <c r="X164" s="169"/>
      <c r="Z164" s="296"/>
      <c r="AA164" s="169"/>
      <c r="AC164" s="296"/>
      <c r="AD164" s="169"/>
      <c r="AF164" s="296"/>
      <c r="AG164" s="169"/>
      <c r="AI164" s="296"/>
      <c r="AJ164" s="169"/>
      <c r="AL164" s="296"/>
      <c r="AM164" s="169"/>
    </row>
    <row r="165" spans="1:39" s="267" customFormat="1" x14ac:dyDescent="0.2">
      <c r="A165" s="283" t="s">
        <v>77</v>
      </c>
      <c r="B165" s="269" t="s">
        <v>702</v>
      </c>
      <c r="C165" s="290">
        <f>(W165+X165)*$C$3</f>
        <v>4</v>
      </c>
      <c r="D165" s="290">
        <f>C165*$Q165</f>
        <v>0</v>
      </c>
      <c r="E165" s="290">
        <f>(Z165+AA165)*$E$3</f>
        <v>5</v>
      </c>
      <c r="F165" s="290">
        <f>E165*$Q165</f>
        <v>0</v>
      </c>
      <c r="G165" s="290">
        <f>(AC165+AD165)*$G$3</f>
        <v>30</v>
      </c>
      <c r="H165" s="290">
        <f>G165*$Q165</f>
        <v>0</v>
      </c>
      <c r="I165" s="290">
        <f>(AF165+AG165)*$I$3</f>
        <v>7</v>
      </c>
      <c r="J165" s="290">
        <f>I165*$Q165</f>
        <v>0</v>
      </c>
      <c r="K165" s="290">
        <f>(AI165+AJ165)*$K$3</f>
        <v>24</v>
      </c>
      <c r="L165" s="290">
        <f>K165*$Q165</f>
        <v>0</v>
      </c>
      <c r="M165" s="290">
        <f>(AL165+AM165)*$M$3</f>
        <v>9</v>
      </c>
      <c r="N165" s="290">
        <f>M165*$Q165</f>
        <v>0</v>
      </c>
      <c r="O165" s="290">
        <f>C165+E165+G165+I165+K165+M165</f>
        <v>79</v>
      </c>
      <c r="P165" s="261" t="s">
        <v>269</v>
      </c>
      <c r="Q165" s="262"/>
      <c r="R165" s="435">
        <f>O165*Q165</f>
        <v>0</v>
      </c>
      <c r="S165" s="264"/>
      <c r="T165" s="266">
        <v>1</v>
      </c>
      <c r="U165" s="266">
        <v>1</v>
      </c>
      <c r="W165" s="268">
        <f>T165*$W$3</f>
        <v>2</v>
      </c>
      <c r="X165" s="266">
        <f>U165*$X$3</f>
        <v>2</v>
      </c>
      <c r="Z165" s="268">
        <f>W165</f>
        <v>2</v>
      </c>
      <c r="AA165" s="266">
        <f>U165*$AA$3</f>
        <v>3</v>
      </c>
      <c r="AC165" s="268">
        <f>W165</f>
        <v>2</v>
      </c>
      <c r="AD165" s="266">
        <f>U165*$AD$3</f>
        <v>4</v>
      </c>
      <c r="AF165" s="268">
        <f>W165</f>
        <v>2</v>
      </c>
      <c r="AG165" s="266">
        <f>U165*$AG$3</f>
        <v>5</v>
      </c>
      <c r="AI165" s="268">
        <f>W165</f>
        <v>2</v>
      </c>
      <c r="AJ165" s="266">
        <f>U165*$AJ$3</f>
        <v>6</v>
      </c>
      <c r="AL165" s="268">
        <f>W165</f>
        <v>2</v>
      </c>
      <c r="AM165" s="266">
        <f>U165*$AM$3</f>
        <v>7</v>
      </c>
    </row>
    <row r="166" spans="1:39" s="267" customFormat="1" x14ac:dyDescent="0.2">
      <c r="A166" s="283"/>
      <c r="B166" s="269"/>
      <c r="C166" s="290"/>
      <c r="D166" s="290"/>
      <c r="E166" s="290"/>
      <c r="F166" s="290"/>
      <c r="G166" s="290"/>
      <c r="H166" s="290"/>
      <c r="I166" s="290"/>
      <c r="J166" s="290"/>
      <c r="K166" s="290"/>
      <c r="L166" s="290"/>
      <c r="M166" s="290"/>
      <c r="N166" s="290"/>
      <c r="O166" s="290"/>
      <c r="P166" s="295"/>
      <c r="Q166" s="262"/>
      <c r="R166" s="435"/>
      <c r="S166" s="286"/>
      <c r="T166" s="169"/>
      <c r="U166" s="169"/>
      <c r="W166" s="296"/>
      <c r="X166" s="169"/>
      <c r="Z166" s="296"/>
      <c r="AA166" s="169"/>
      <c r="AC166" s="296"/>
      <c r="AD166" s="169"/>
      <c r="AF166" s="296"/>
      <c r="AG166" s="169"/>
      <c r="AI166" s="296"/>
      <c r="AJ166" s="169"/>
      <c r="AL166" s="296"/>
      <c r="AM166" s="169"/>
    </row>
    <row r="167" spans="1:39" s="267" customFormat="1" x14ac:dyDescent="0.2">
      <c r="A167" s="283" t="s">
        <v>79</v>
      </c>
      <c r="B167" s="269" t="s">
        <v>703</v>
      </c>
      <c r="C167" s="290">
        <f>(W167+X167)*$C$3</f>
        <v>4</v>
      </c>
      <c r="D167" s="290">
        <f>C167*$Q167</f>
        <v>0</v>
      </c>
      <c r="E167" s="290">
        <f>(Z167+AA167)*$E$3</f>
        <v>5</v>
      </c>
      <c r="F167" s="290">
        <f>E167*$Q167</f>
        <v>0</v>
      </c>
      <c r="G167" s="290">
        <f>(AC167+AD167)*$G$3</f>
        <v>30</v>
      </c>
      <c r="H167" s="290">
        <f>G167*$Q167</f>
        <v>0</v>
      </c>
      <c r="I167" s="290">
        <f>(AF167+AG167)*$I$3</f>
        <v>7</v>
      </c>
      <c r="J167" s="290">
        <f>I167*$Q167</f>
        <v>0</v>
      </c>
      <c r="K167" s="290">
        <f>(AI167+AJ167)*$K$3</f>
        <v>24</v>
      </c>
      <c r="L167" s="290">
        <f>K167*$Q167</f>
        <v>0</v>
      </c>
      <c r="M167" s="290">
        <f>(AL167+AM167)*$M$3</f>
        <v>9</v>
      </c>
      <c r="N167" s="290">
        <f>M167*$Q167</f>
        <v>0</v>
      </c>
      <c r="O167" s="290">
        <f>C167+E167+G167+I167+K167+M167</f>
        <v>79</v>
      </c>
      <c r="P167" s="261" t="s">
        <v>269</v>
      </c>
      <c r="Q167" s="262"/>
      <c r="R167" s="435">
        <f>O167*Q167</f>
        <v>0</v>
      </c>
      <c r="S167" s="264"/>
      <c r="T167" s="266">
        <v>1</v>
      </c>
      <c r="U167" s="266">
        <v>1</v>
      </c>
      <c r="W167" s="268">
        <f>T167*$W$3</f>
        <v>2</v>
      </c>
      <c r="X167" s="266">
        <f>U167*$X$3</f>
        <v>2</v>
      </c>
      <c r="Z167" s="268">
        <f>W167</f>
        <v>2</v>
      </c>
      <c r="AA167" s="266">
        <f>U167*$AA$3</f>
        <v>3</v>
      </c>
      <c r="AC167" s="268">
        <f>W167</f>
        <v>2</v>
      </c>
      <c r="AD167" s="266">
        <f>U167*$AD$3</f>
        <v>4</v>
      </c>
      <c r="AF167" s="268">
        <f>W167</f>
        <v>2</v>
      </c>
      <c r="AG167" s="266">
        <f>U167*$AG$3</f>
        <v>5</v>
      </c>
      <c r="AI167" s="268">
        <f>W167</f>
        <v>2</v>
      </c>
      <c r="AJ167" s="266">
        <f>U167*$AJ$3</f>
        <v>6</v>
      </c>
      <c r="AL167" s="268">
        <f>W167</f>
        <v>2</v>
      </c>
      <c r="AM167" s="266">
        <f>U167*$AM$3</f>
        <v>7</v>
      </c>
    </row>
    <row r="168" spans="1:39" s="267" customFormat="1" x14ac:dyDescent="0.2">
      <c r="A168" s="283"/>
      <c r="B168" s="269"/>
      <c r="C168" s="290"/>
      <c r="D168" s="290"/>
      <c r="E168" s="290"/>
      <c r="F168" s="290"/>
      <c r="G168" s="290"/>
      <c r="H168" s="290"/>
      <c r="I168" s="290"/>
      <c r="J168" s="290"/>
      <c r="K168" s="290"/>
      <c r="L168" s="290"/>
      <c r="M168" s="290"/>
      <c r="N168" s="290"/>
      <c r="O168" s="290"/>
      <c r="P168" s="295"/>
      <c r="Q168" s="262"/>
      <c r="R168" s="435"/>
      <c r="S168" s="286"/>
      <c r="T168" s="169"/>
      <c r="U168" s="169"/>
      <c r="W168" s="296"/>
      <c r="X168" s="169"/>
      <c r="Z168" s="296"/>
      <c r="AA168" s="169"/>
      <c r="AC168" s="296"/>
      <c r="AD168" s="169"/>
      <c r="AF168" s="296"/>
      <c r="AG168" s="169"/>
      <c r="AI168" s="296"/>
      <c r="AJ168" s="169"/>
      <c r="AL168" s="296"/>
      <c r="AM168" s="169"/>
    </row>
    <row r="169" spans="1:39" s="267" customFormat="1" x14ac:dyDescent="0.2">
      <c r="A169" s="283" t="s">
        <v>80</v>
      </c>
      <c r="B169" s="269" t="s">
        <v>704</v>
      </c>
      <c r="C169" s="290">
        <f>(W169+X169)*$C$3</f>
        <v>4</v>
      </c>
      <c r="D169" s="290">
        <f>C169*$Q169</f>
        <v>0</v>
      </c>
      <c r="E169" s="290">
        <f>(Z169+AA169)*$E$3</f>
        <v>5</v>
      </c>
      <c r="F169" s="290">
        <f>E169*$Q169</f>
        <v>0</v>
      </c>
      <c r="G169" s="290">
        <f>(AC169+AD169)*$G$3</f>
        <v>30</v>
      </c>
      <c r="H169" s="290">
        <f>G169*$Q169</f>
        <v>0</v>
      </c>
      <c r="I169" s="290">
        <f>(AF169+AG169)*$I$3</f>
        <v>7</v>
      </c>
      <c r="J169" s="290">
        <f>I169*$Q169</f>
        <v>0</v>
      </c>
      <c r="K169" s="290">
        <f>(AI169+AJ169)*$K$3</f>
        <v>24</v>
      </c>
      <c r="L169" s="290">
        <f>K169*$Q169</f>
        <v>0</v>
      </c>
      <c r="M169" s="290">
        <f>(AL169+AM169)*$M$3</f>
        <v>9</v>
      </c>
      <c r="N169" s="290">
        <f>M169*$Q169</f>
        <v>0</v>
      </c>
      <c r="O169" s="290">
        <f>C169+E169+G169+I169+K169+M169</f>
        <v>79</v>
      </c>
      <c r="P169" s="261" t="s">
        <v>269</v>
      </c>
      <c r="Q169" s="262"/>
      <c r="R169" s="435">
        <f>O169*Q169</f>
        <v>0</v>
      </c>
      <c r="S169" s="264"/>
      <c r="T169" s="266">
        <v>1</v>
      </c>
      <c r="U169" s="266">
        <v>1</v>
      </c>
      <c r="W169" s="268">
        <f>T169*$W$3</f>
        <v>2</v>
      </c>
      <c r="X169" s="266">
        <f>U169*$X$3</f>
        <v>2</v>
      </c>
      <c r="Z169" s="268">
        <f>W169</f>
        <v>2</v>
      </c>
      <c r="AA169" s="266">
        <f>U169*$AA$3</f>
        <v>3</v>
      </c>
      <c r="AC169" s="268">
        <f>W169</f>
        <v>2</v>
      </c>
      <c r="AD169" s="266">
        <f>U169*$AD$3</f>
        <v>4</v>
      </c>
      <c r="AF169" s="268">
        <f>W169</f>
        <v>2</v>
      </c>
      <c r="AG169" s="266">
        <f>U169*$AG$3</f>
        <v>5</v>
      </c>
      <c r="AI169" s="268">
        <f>W169</f>
        <v>2</v>
      </c>
      <c r="AJ169" s="266">
        <f>U169*$AJ$3</f>
        <v>6</v>
      </c>
      <c r="AL169" s="268">
        <f>W169</f>
        <v>2</v>
      </c>
      <c r="AM169" s="266">
        <f>U169*$AM$3</f>
        <v>7</v>
      </c>
    </row>
    <row r="170" spans="1:39" s="267" customFormat="1" x14ac:dyDescent="0.2">
      <c r="A170" s="283"/>
      <c r="B170" s="269"/>
      <c r="C170" s="290"/>
      <c r="D170" s="290"/>
      <c r="E170" s="290"/>
      <c r="F170" s="290"/>
      <c r="G170" s="290"/>
      <c r="H170" s="290"/>
      <c r="I170" s="290"/>
      <c r="J170" s="290"/>
      <c r="K170" s="290"/>
      <c r="L170" s="290"/>
      <c r="M170" s="290"/>
      <c r="N170" s="290"/>
      <c r="O170" s="290"/>
      <c r="P170" s="295"/>
      <c r="Q170" s="262"/>
      <c r="R170" s="435"/>
      <c r="S170" s="286"/>
      <c r="T170" s="169"/>
      <c r="U170" s="169"/>
      <c r="W170" s="296"/>
      <c r="X170" s="169"/>
      <c r="Z170" s="296"/>
      <c r="AA170" s="169"/>
      <c r="AC170" s="296"/>
      <c r="AD170" s="169"/>
      <c r="AF170" s="296"/>
      <c r="AG170" s="169"/>
      <c r="AI170" s="296"/>
      <c r="AJ170" s="169"/>
      <c r="AL170" s="296"/>
      <c r="AM170" s="169"/>
    </row>
    <row r="171" spans="1:39" s="267" customFormat="1" x14ac:dyDescent="0.2">
      <c r="A171" s="283" t="s">
        <v>81</v>
      </c>
      <c r="B171" s="269" t="s">
        <v>705</v>
      </c>
      <c r="C171" s="290">
        <f>(W171+X171)*$C$3</f>
        <v>4</v>
      </c>
      <c r="D171" s="290">
        <f>C171*$Q171</f>
        <v>0</v>
      </c>
      <c r="E171" s="290">
        <f>(Z171+AA171)*$E$3</f>
        <v>5</v>
      </c>
      <c r="F171" s="290">
        <f>E171*$Q171</f>
        <v>0</v>
      </c>
      <c r="G171" s="290">
        <f>(AC171+AD171)*$G$3</f>
        <v>30</v>
      </c>
      <c r="H171" s="290">
        <f>G171*$Q171</f>
        <v>0</v>
      </c>
      <c r="I171" s="290">
        <f>(AF171+AG171)*$I$3</f>
        <v>7</v>
      </c>
      <c r="J171" s="290">
        <f>I171*$Q171</f>
        <v>0</v>
      </c>
      <c r="K171" s="290">
        <f>(AI171+AJ171)*$K$3</f>
        <v>24</v>
      </c>
      <c r="L171" s="290">
        <f>K171*$Q171</f>
        <v>0</v>
      </c>
      <c r="M171" s="290">
        <f>(AL171+AM171)*$M$3</f>
        <v>9</v>
      </c>
      <c r="N171" s="290">
        <f>M171*$Q171</f>
        <v>0</v>
      </c>
      <c r="O171" s="290">
        <f>C171+E171+G171+I171+K171+M171</f>
        <v>79</v>
      </c>
      <c r="P171" s="261" t="s">
        <v>269</v>
      </c>
      <c r="Q171" s="262"/>
      <c r="R171" s="435">
        <f>O171*Q171</f>
        <v>0</v>
      </c>
      <c r="S171" s="264"/>
      <c r="T171" s="266">
        <v>1</v>
      </c>
      <c r="U171" s="266">
        <v>1</v>
      </c>
      <c r="W171" s="268">
        <f>T171*$W$3</f>
        <v>2</v>
      </c>
      <c r="X171" s="266">
        <f>U171*$X$3</f>
        <v>2</v>
      </c>
      <c r="Z171" s="268">
        <f>W171</f>
        <v>2</v>
      </c>
      <c r="AA171" s="266">
        <f>U171*$AA$3</f>
        <v>3</v>
      </c>
      <c r="AC171" s="268">
        <f>W171</f>
        <v>2</v>
      </c>
      <c r="AD171" s="266">
        <f>U171*$AD$3</f>
        <v>4</v>
      </c>
      <c r="AF171" s="268">
        <f>W171</f>
        <v>2</v>
      </c>
      <c r="AG171" s="266">
        <f>U171*$AG$3</f>
        <v>5</v>
      </c>
      <c r="AI171" s="268">
        <f>W171</f>
        <v>2</v>
      </c>
      <c r="AJ171" s="266">
        <f>U171*$AJ$3</f>
        <v>6</v>
      </c>
      <c r="AL171" s="268">
        <f>W171</f>
        <v>2</v>
      </c>
      <c r="AM171" s="266">
        <f>U171*$AM$3</f>
        <v>7</v>
      </c>
    </row>
    <row r="172" spans="1:39" s="267" customFormat="1" x14ac:dyDescent="0.2">
      <c r="A172" s="283"/>
      <c r="B172" s="269"/>
      <c r="C172" s="290"/>
      <c r="D172" s="290"/>
      <c r="E172" s="290"/>
      <c r="F172" s="290"/>
      <c r="G172" s="290"/>
      <c r="H172" s="290"/>
      <c r="I172" s="290"/>
      <c r="J172" s="290"/>
      <c r="K172" s="290"/>
      <c r="L172" s="290"/>
      <c r="M172" s="290"/>
      <c r="N172" s="290"/>
      <c r="O172" s="290"/>
      <c r="P172" s="295"/>
      <c r="Q172" s="262"/>
      <c r="R172" s="435"/>
      <c r="S172" s="286"/>
      <c r="T172" s="169"/>
      <c r="U172" s="169"/>
      <c r="W172" s="296"/>
      <c r="X172" s="169"/>
      <c r="Z172" s="296"/>
      <c r="AA172" s="169"/>
      <c r="AC172" s="296"/>
      <c r="AD172" s="169"/>
      <c r="AF172" s="296"/>
      <c r="AG172" s="169"/>
      <c r="AI172" s="296"/>
      <c r="AJ172" s="169"/>
      <c r="AL172" s="296"/>
      <c r="AM172" s="169"/>
    </row>
    <row r="173" spans="1:39" s="267" customFormat="1" x14ac:dyDescent="0.2">
      <c r="A173" s="283" t="s">
        <v>82</v>
      </c>
      <c r="B173" s="269" t="s">
        <v>706</v>
      </c>
      <c r="C173" s="290">
        <f>(W173+X173)*$C$3</f>
        <v>4</v>
      </c>
      <c r="D173" s="290">
        <f>C173*$Q173</f>
        <v>0</v>
      </c>
      <c r="E173" s="290">
        <f>(Z173+AA173)*$E$3</f>
        <v>5</v>
      </c>
      <c r="F173" s="290">
        <f>E173*$Q173</f>
        <v>0</v>
      </c>
      <c r="G173" s="290">
        <f>(AC173+AD173)*$G$3</f>
        <v>30</v>
      </c>
      <c r="H173" s="290">
        <f>G173*$Q173</f>
        <v>0</v>
      </c>
      <c r="I173" s="290">
        <f>(AF173+AG173)*$I$3</f>
        <v>7</v>
      </c>
      <c r="J173" s="290">
        <f>I173*$Q173</f>
        <v>0</v>
      </c>
      <c r="K173" s="290">
        <f>(AI173+AJ173)*$K$3</f>
        <v>24</v>
      </c>
      <c r="L173" s="290">
        <f>K173*$Q173</f>
        <v>0</v>
      </c>
      <c r="M173" s="290">
        <f>(AL173+AM173)*$M$3</f>
        <v>9</v>
      </c>
      <c r="N173" s="290">
        <f>M173*$Q173</f>
        <v>0</v>
      </c>
      <c r="O173" s="290">
        <f>C173+E173+G173+I173+K173+M173</f>
        <v>79</v>
      </c>
      <c r="P173" s="261" t="s">
        <v>269</v>
      </c>
      <c r="Q173" s="262"/>
      <c r="R173" s="435">
        <f>O173*Q173</f>
        <v>0</v>
      </c>
      <c r="S173" s="264"/>
      <c r="T173" s="266">
        <v>1</v>
      </c>
      <c r="U173" s="266">
        <v>1</v>
      </c>
      <c r="W173" s="268">
        <f>T173*$W$3</f>
        <v>2</v>
      </c>
      <c r="X173" s="266">
        <f>U173*$X$3</f>
        <v>2</v>
      </c>
      <c r="Z173" s="268">
        <f>W173</f>
        <v>2</v>
      </c>
      <c r="AA173" s="266">
        <f>U173*$AA$3</f>
        <v>3</v>
      </c>
      <c r="AC173" s="268">
        <f>W173</f>
        <v>2</v>
      </c>
      <c r="AD173" s="266">
        <f>U173*$AD$3</f>
        <v>4</v>
      </c>
      <c r="AF173" s="268">
        <f>W173</f>
        <v>2</v>
      </c>
      <c r="AG173" s="266">
        <f>U173*$AG$3</f>
        <v>5</v>
      </c>
      <c r="AI173" s="268">
        <f>W173</f>
        <v>2</v>
      </c>
      <c r="AJ173" s="266">
        <f>U173*$AJ$3</f>
        <v>6</v>
      </c>
      <c r="AL173" s="268">
        <f>W173</f>
        <v>2</v>
      </c>
      <c r="AM173" s="266">
        <f>U173*$AM$3</f>
        <v>7</v>
      </c>
    </row>
    <row r="174" spans="1:39" s="267" customFormat="1" ht="14.25" customHeight="1" x14ac:dyDescent="0.2">
      <c r="A174" s="283"/>
      <c r="B174" s="269"/>
      <c r="C174" s="290"/>
      <c r="D174" s="290"/>
      <c r="E174" s="290"/>
      <c r="F174" s="290"/>
      <c r="G174" s="290"/>
      <c r="H174" s="290"/>
      <c r="I174" s="290"/>
      <c r="J174" s="290"/>
      <c r="K174" s="290"/>
      <c r="L174" s="290"/>
      <c r="M174" s="290"/>
      <c r="N174" s="290"/>
      <c r="O174" s="290"/>
      <c r="P174" s="295"/>
      <c r="Q174" s="262"/>
      <c r="R174" s="435"/>
      <c r="S174" s="286"/>
      <c r="T174" s="169"/>
      <c r="U174" s="169"/>
      <c r="W174" s="296"/>
      <c r="X174" s="169"/>
      <c r="Z174" s="296"/>
      <c r="AA174" s="169"/>
      <c r="AC174" s="296"/>
      <c r="AD174" s="169"/>
      <c r="AF174" s="296"/>
      <c r="AG174" s="169"/>
      <c r="AI174" s="296"/>
      <c r="AJ174" s="169"/>
      <c r="AL174" s="296"/>
      <c r="AM174" s="169"/>
    </row>
    <row r="175" spans="1:39" s="267" customFormat="1" ht="14.25" customHeight="1" x14ac:dyDescent="0.2">
      <c r="A175" s="283" t="s">
        <v>83</v>
      </c>
      <c r="B175" s="269" t="s">
        <v>707</v>
      </c>
      <c r="C175" s="290">
        <f>(W175+X175)*$C$3</f>
        <v>4</v>
      </c>
      <c r="D175" s="290">
        <f>C175*$Q175</f>
        <v>0</v>
      </c>
      <c r="E175" s="290">
        <f>(Z175+AA175)*$E$3</f>
        <v>5</v>
      </c>
      <c r="F175" s="290">
        <f>E175*$Q175</f>
        <v>0</v>
      </c>
      <c r="G175" s="290">
        <f>(AC175+AD175)*$G$3</f>
        <v>30</v>
      </c>
      <c r="H175" s="290">
        <f>G175*$Q175</f>
        <v>0</v>
      </c>
      <c r="I175" s="290">
        <f>(AF175+AG175)*$I$3</f>
        <v>7</v>
      </c>
      <c r="J175" s="290">
        <f>I175*$Q175</f>
        <v>0</v>
      </c>
      <c r="K175" s="290">
        <f>(AI175+AJ175)*$K$3</f>
        <v>24</v>
      </c>
      <c r="L175" s="290">
        <f>K175*$Q175</f>
        <v>0</v>
      </c>
      <c r="M175" s="290">
        <f>(AL175+AM175)*$M$3</f>
        <v>9</v>
      </c>
      <c r="N175" s="290">
        <f>M175*$Q175</f>
        <v>0</v>
      </c>
      <c r="O175" s="290">
        <f>C175+E175+G175+I175+K175+M175</f>
        <v>79</v>
      </c>
      <c r="P175" s="261" t="s">
        <v>269</v>
      </c>
      <c r="Q175" s="262"/>
      <c r="R175" s="435">
        <f>O175*Q175</f>
        <v>0</v>
      </c>
      <c r="S175" s="264"/>
      <c r="T175" s="266">
        <v>1</v>
      </c>
      <c r="U175" s="266">
        <v>1</v>
      </c>
      <c r="W175" s="268">
        <f>T175*$W$3</f>
        <v>2</v>
      </c>
      <c r="X175" s="266">
        <f>U175*$X$3</f>
        <v>2</v>
      </c>
      <c r="Z175" s="268">
        <f>W175</f>
        <v>2</v>
      </c>
      <c r="AA175" s="266">
        <f>U175*$AA$3</f>
        <v>3</v>
      </c>
      <c r="AC175" s="268">
        <f>W175</f>
        <v>2</v>
      </c>
      <c r="AD175" s="266">
        <f>U175*$AD$3</f>
        <v>4</v>
      </c>
      <c r="AF175" s="268">
        <f>W175</f>
        <v>2</v>
      </c>
      <c r="AG175" s="266">
        <f>U175*$AG$3</f>
        <v>5</v>
      </c>
      <c r="AI175" s="268">
        <f>W175</f>
        <v>2</v>
      </c>
      <c r="AJ175" s="266">
        <f>U175*$AJ$3</f>
        <v>6</v>
      </c>
      <c r="AL175" s="268">
        <f>W175</f>
        <v>2</v>
      </c>
      <c r="AM175" s="266">
        <f>U175*$AM$3</f>
        <v>7</v>
      </c>
    </row>
    <row r="176" spans="1:39" s="288" customFormat="1" x14ac:dyDescent="0.2">
      <c r="A176" s="258"/>
      <c r="B176" s="269"/>
      <c r="C176" s="290"/>
      <c r="D176" s="290"/>
      <c r="E176" s="290"/>
      <c r="F176" s="290"/>
      <c r="G176" s="290"/>
      <c r="H176" s="290"/>
      <c r="I176" s="290"/>
      <c r="J176" s="290"/>
      <c r="K176" s="290"/>
      <c r="L176" s="290"/>
      <c r="M176" s="290"/>
      <c r="N176" s="290"/>
      <c r="O176" s="290"/>
      <c r="P176" s="153"/>
      <c r="Q176" s="262"/>
      <c r="R176" s="435"/>
      <c r="S176" s="286"/>
      <c r="T176" s="169"/>
      <c r="U176" s="169"/>
      <c r="W176" s="296"/>
      <c r="X176" s="169"/>
      <c r="Z176" s="296"/>
      <c r="AA176" s="169"/>
      <c r="AC176" s="296"/>
      <c r="AD176" s="169"/>
      <c r="AF176" s="296"/>
      <c r="AG176" s="169"/>
      <c r="AI176" s="296"/>
      <c r="AJ176" s="169"/>
      <c r="AL176" s="296"/>
      <c r="AM176" s="169"/>
    </row>
    <row r="177" spans="1:40" s="267" customFormat="1" ht="14.25" customHeight="1" x14ac:dyDescent="0.2">
      <c r="A177" s="283"/>
      <c r="B177" s="269"/>
      <c r="C177" s="290"/>
      <c r="D177" s="290"/>
      <c r="E177" s="290"/>
      <c r="F177" s="290"/>
      <c r="G177" s="290"/>
      <c r="H177" s="290"/>
      <c r="I177" s="290"/>
      <c r="J177" s="290"/>
      <c r="K177" s="290"/>
      <c r="L177" s="290"/>
      <c r="M177" s="290"/>
      <c r="N177" s="290"/>
      <c r="O177" s="290"/>
      <c r="P177" s="295"/>
      <c r="Q177" s="262"/>
      <c r="R177" s="435"/>
      <c r="S177" s="286"/>
      <c r="T177" s="169"/>
      <c r="U177" s="169"/>
      <c r="W177" s="296"/>
      <c r="X177" s="169"/>
      <c r="Z177" s="296"/>
      <c r="AA177" s="169"/>
      <c r="AC177" s="296"/>
      <c r="AD177" s="169"/>
      <c r="AF177" s="296"/>
      <c r="AG177" s="169"/>
      <c r="AI177" s="296"/>
      <c r="AJ177" s="169"/>
      <c r="AL177" s="296"/>
      <c r="AM177" s="169"/>
    </row>
    <row r="178" spans="1:40" s="267" customFormat="1" ht="14.25" customHeight="1" x14ac:dyDescent="0.2">
      <c r="A178" s="283"/>
      <c r="B178" s="269"/>
      <c r="C178" s="290"/>
      <c r="D178" s="290"/>
      <c r="E178" s="290"/>
      <c r="F178" s="290"/>
      <c r="G178" s="290"/>
      <c r="H178" s="290"/>
      <c r="I178" s="290"/>
      <c r="J178" s="290"/>
      <c r="K178" s="290"/>
      <c r="L178" s="290"/>
      <c r="M178" s="290"/>
      <c r="N178" s="290"/>
      <c r="O178" s="290"/>
      <c r="P178" s="295"/>
      <c r="Q178" s="262"/>
      <c r="R178" s="435"/>
      <c r="S178" s="286"/>
      <c r="T178" s="169"/>
      <c r="U178" s="169"/>
      <c r="W178" s="296"/>
      <c r="X178" s="169"/>
      <c r="Z178" s="296"/>
      <c r="AA178" s="169"/>
      <c r="AC178" s="296"/>
      <c r="AD178" s="169"/>
      <c r="AF178" s="296"/>
      <c r="AG178" s="169"/>
      <c r="AI178" s="296"/>
      <c r="AJ178" s="169"/>
      <c r="AL178" s="296"/>
      <c r="AM178" s="169"/>
    </row>
    <row r="179" spans="1:40" s="267" customFormat="1" ht="14.25" customHeight="1" x14ac:dyDescent="0.2">
      <c r="A179" s="283"/>
      <c r="B179" s="269"/>
      <c r="C179" s="290"/>
      <c r="D179" s="290"/>
      <c r="E179" s="290"/>
      <c r="F179" s="290"/>
      <c r="G179" s="290"/>
      <c r="H179" s="290"/>
      <c r="I179" s="290"/>
      <c r="J179" s="290"/>
      <c r="K179" s="290"/>
      <c r="L179" s="290"/>
      <c r="M179" s="290"/>
      <c r="N179" s="290"/>
      <c r="O179" s="290"/>
      <c r="P179" s="295"/>
      <c r="Q179" s="262"/>
      <c r="R179" s="435"/>
      <c r="S179" s="286"/>
      <c r="T179" s="169"/>
      <c r="U179" s="169"/>
      <c r="W179" s="296"/>
      <c r="X179" s="169"/>
      <c r="Z179" s="296"/>
      <c r="AA179" s="169"/>
      <c r="AC179" s="296"/>
      <c r="AD179" s="169"/>
      <c r="AF179" s="296"/>
      <c r="AG179" s="169"/>
      <c r="AI179" s="296"/>
      <c r="AJ179" s="169"/>
      <c r="AL179" s="296"/>
      <c r="AM179" s="169"/>
    </row>
    <row r="180" spans="1:40" s="267" customFormat="1" x14ac:dyDescent="0.2">
      <c r="A180" s="308"/>
      <c r="B180" s="308"/>
      <c r="C180" s="290"/>
      <c r="D180" s="290"/>
      <c r="E180" s="290"/>
      <c r="F180" s="290"/>
      <c r="G180" s="290"/>
      <c r="H180" s="290"/>
      <c r="I180" s="290"/>
      <c r="J180" s="290"/>
      <c r="K180" s="290"/>
      <c r="L180" s="290"/>
      <c r="M180" s="290"/>
      <c r="N180" s="290"/>
      <c r="O180" s="290"/>
      <c r="P180" s="261"/>
      <c r="Q180" s="262"/>
      <c r="R180" s="435"/>
      <c r="S180" s="264"/>
      <c r="T180" s="266"/>
      <c r="U180" s="266"/>
      <c r="W180" s="296"/>
      <c r="X180" s="169"/>
      <c r="Z180" s="296"/>
      <c r="AA180" s="169"/>
      <c r="AC180" s="296"/>
      <c r="AD180" s="169"/>
      <c r="AF180" s="296"/>
      <c r="AG180" s="169"/>
      <c r="AI180" s="296"/>
      <c r="AJ180" s="169"/>
      <c r="AL180" s="296"/>
      <c r="AM180" s="169"/>
    </row>
    <row r="181" spans="1:40" s="267" customFormat="1" x14ac:dyDescent="0.2">
      <c r="A181" s="375"/>
      <c r="B181" s="376"/>
      <c r="C181" s="377"/>
      <c r="D181" s="377"/>
      <c r="E181" s="377"/>
      <c r="F181" s="377"/>
      <c r="G181" s="377"/>
      <c r="H181" s="377"/>
      <c r="I181" s="377"/>
      <c r="J181" s="377"/>
      <c r="K181" s="377"/>
      <c r="L181" s="377"/>
      <c r="M181" s="377"/>
      <c r="N181" s="377"/>
      <c r="O181" s="377"/>
      <c r="P181" s="377"/>
      <c r="Q181" s="378"/>
      <c r="R181" s="441"/>
      <c r="S181" s="264"/>
      <c r="T181" s="273"/>
      <c r="U181" s="274"/>
      <c r="W181" s="296"/>
      <c r="X181" s="169"/>
      <c r="Z181" s="296"/>
      <c r="AA181" s="169"/>
      <c r="AC181" s="296"/>
      <c r="AD181" s="169"/>
      <c r="AF181" s="296"/>
      <c r="AG181" s="169"/>
      <c r="AI181" s="296"/>
      <c r="AJ181" s="169"/>
      <c r="AL181" s="296"/>
      <c r="AM181" s="169"/>
    </row>
    <row r="182" spans="1:40" s="267" customFormat="1" x14ac:dyDescent="0.2">
      <c r="A182" s="380"/>
      <c r="B182" s="320"/>
      <c r="C182" s="550" t="s">
        <v>1</v>
      </c>
      <c r="D182" s="550"/>
      <c r="E182" s="550"/>
      <c r="F182" s="550"/>
      <c r="G182" s="550"/>
      <c r="H182" s="550"/>
      <c r="I182" s="550"/>
      <c r="J182" s="550"/>
      <c r="K182" s="550"/>
      <c r="L182" s="550"/>
      <c r="M182" s="550"/>
      <c r="N182" s="550"/>
      <c r="O182" s="550"/>
      <c r="P182" s="550"/>
      <c r="Q182" s="381" t="s">
        <v>0</v>
      </c>
      <c r="R182" s="435">
        <f>SUM(R138:R180)</f>
        <v>0</v>
      </c>
      <c r="S182" s="276"/>
      <c r="T182" s="266"/>
      <c r="U182" s="277"/>
      <c r="W182" s="296"/>
      <c r="X182" s="169"/>
      <c r="Z182" s="296"/>
      <c r="AA182" s="169"/>
      <c r="AC182" s="296"/>
      <c r="AD182" s="169"/>
      <c r="AF182" s="296"/>
      <c r="AG182" s="169"/>
      <c r="AI182" s="296"/>
      <c r="AJ182" s="169"/>
      <c r="AL182" s="296"/>
      <c r="AM182" s="169"/>
    </row>
    <row r="183" spans="1:40" s="267" customFormat="1" x14ac:dyDescent="0.2">
      <c r="A183" s="380"/>
      <c r="B183" s="320"/>
      <c r="C183" s="309"/>
      <c r="D183" s="309"/>
      <c r="E183" s="309"/>
      <c r="F183" s="309"/>
      <c r="G183" s="309"/>
      <c r="H183" s="309"/>
      <c r="I183" s="309"/>
      <c r="J183" s="309"/>
      <c r="K183" s="309"/>
      <c r="L183" s="309"/>
      <c r="M183" s="309"/>
      <c r="N183" s="309"/>
      <c r="O183" s="309"/>
      <c r="P183" s="309"/>
      <c r="Q183" s="294"/>
      <c r="R183" s="458"/>
      <c r="S183" s="264"/>
      <c r="T183" s="278"/>
      <c r="U183" s="279"/>
      <c r="W183" s="300"/>
      <c r="X183" s="301"/>
      <c r="Z183" s="300"/>
      <c r="AA183" s="301"/>
      <c r="AC183" s="300"/>
      <c r="AD183" s="301"/>
      <c r="AF183" s="300"/>
      <c r="AG183" s="301"/>
      <c r="AI183" s="300"/>
      <c r="AJ183" s="301"/>
      <c r="AL183" s="300"/>
      <c r="AM183" s="301"/>
    </row>
    <row r="184" spans="1:40" s="267" customFormat="1" x14ac:dyDescent="0.2">
      <c r="A184" s="308"/>
      <c r="B184" s="293"/>
      <c r="C184" s="290"/>
      <c r="D184" s="290"/>
      <c r="E184" s="290"/>
      <c r="F184" s="290"/>
      <c r="G184" s="290"/>
      <c r="H184" s="290"/>
      <c r="I184" s="290"/>
      <c r="J184" s="290"/>
      <c r="K184" s="290"/>
      <c r="L184" s="290"/>
      <c r="M184" s="290"/>
      <c r="N184" s="290"/>
      <c r="O184" s="290"/>
      <c r="P184" s="261"/>
      <c r="Q184" s="262"/>
      <c r="R184" s="435"/>
      <c r="S184" s="264"/>
      <c r="T184" s="266"/>
      <c r="U184" s="273"/>
      <c r="W184" s="296"/>
      <c r="X184" s="169"/>
      <c r="Z184" s="296"/>
      <c r="AA184" s="169"/>
      <c r="AC184" s="296"/>
      <c r="AD184" s="169"/>
      <c r="AF184" s="296"/>
      <c r="AG184" s="169"/>
      <c r="AI184" s="296"/>
      <c r="AJ184" s="169"/>
      <c r="AL184" s="296"/>
      <c r="AM184" s="169"/>
    </row>
    <row r="185" spans="1:40" s="267" customFormat="1" x14ac:dyDescent="0.2">
      <c r="A185" s="283"/>
      <c r="B185" s="265" t="s">
        <v>884</v>
      </c>
      <c r="C185" s="284"/>
      <c r="D185" s="284"/>
      <c r="E185" s="284"/>
      <c r="F185" s="284"/>
      <c r="G185" s="284"/>
      <c r="H185" s="285"/>
      <c r="I185" s="285"/>
      <c r="J185" s="285"/>
      <c r="K185" s="285"/>
      <c r="L185" s="285"/>
      <c r="M185" s="285"/>
      <c r="N185" s="285"/>
      <c r="O185" s="285"/>
      <c r="P185" s="153"/>
      <c r="Q185" s="22"/>
      <c r="R185" s="434"/>
      <c r="S185" s="286"/>
      <c r="T185" s="301"/>
      <c r="U185" s="301"/>
      <c r="W185" s="300"/>
      <c r="X185" s="301"/>
      <c r="Z185" s="300"/>
      <c r="AA185" s="301"/>
      <c r="AC185" s="300"/>
      <c r="AD185" s="301"/>
      <c r="AF185" s="300"/>
      <c r="AG185" s="301"/>
      <c r="AI185" s="300"/>
      <c r="AJ185" s="301"/>
      <c r="AL185" s="300"/>
      <c r="AM185" s="301"/>
    </row>
    <row r="186" spans="1:40" s="267" customFormat="1" x14ac:dyDescent="0.2">
      <c r="A186" s="283"/>
      <c r="B186" s="302"/>
      <c r="C186" s="285"/>
      <c r="D186" s="285"/>
      <c r="E186" s="285"/>
      <c r="F186" s="285"/>
      <c r="G186" s="285"/>
      <c r="H186" s="285"/>
      <c r="I186" s="285"/>
      <c r="J186" s="285"/>
      <c r="K186" s="285"/>
      <c r="L186" s="285"/>
      <c r="M186" s="285"/>
      <c r="N186" s="285"/>
      <c r="O186" s="303"/>
      <c r="P186" s="153"/>
      <c r="Q186" s="22"/>
      <c r="R186" s="434"/>
      <c r="S186" s="288"/>
      <c r="T186" s="301"/>
      <c r="U186" s="301"/>
      <c r="W186" s="300"/>
      <c r="X186" s="301"/>
      <c r="Z186" s="300"/>
      <c r="AA186" s="301"/>
      <c r="AC186" s="300"/>
      <c r="AD186" s="301"/>
      <c r="AF186" s="300"/>
      <c r="AG186" s="301"/>
      <c r="AI186" s="300"/>
      <c r="AJ186" s="301"/>
      <c r="AL186" s="300"/>
      <c r="AM186" s="301"/>
    </row>
    <row r="187" spans="1:40" s="267" customFormat="1" ht="59.25" customHeight="1" x14ac:dyDescent="0.2">
      <c r="A187" s="283"/>
      <c r="B187" s="265" t="s">
        <v>885</v>
      </c>
      <c r="C187" s="285"/>
      <c r="D187" s="285"/>
      <c r="E187" s="285"/>
      <c r="F187" s="285"/>
      <c r="G187" s="285"/>
      <c r="H187" s="285"/>
      <c r="I187" s="285"/>
      <c r="J187" s="285"/>
      <c r="K187" s="285"/>
      <c r="L187" s="285"/>
      <c r="M187" s="285"/>
      <c r="N187" s="285"/>
      <c r="O187" s="303"/>
      <c r="P187" s="153"/>
      <c r="Q187" s="22"/>
      <c r="R187" s="434"/>
      <c r="S187" s="286"/>
      <c r="T187" s="169"/>
      <c r="U187" s="169"/>
      <c r="W187" s="296"/>
      <c r="X187" s="169"/>
      <c r="Z187" s="296"/>
      <c r="AA187" s="169"/>
      <c r="AC187" s="296"/>
      <c r="AD187" s="169"/>
      <c r="AF187" s="296"/>
      <c r="AG187" s="169"/>
      <c r="AI187" s="296"/>
      <c r="AJ187" s="169"/>
      <c r="AL187" s="296"/>
      <c r="AM187" s="169"/>
    </row>
    <row r="188" spans="1:40" s="267" customFormat="1" ht="14.25" customHeight="1" x14ac:dyDescent="0.2">
      <c r="A188" s="283"/>
      <c r="B188" s="269"/>
      <c r="C188" s="290"/>
      <c r="D188" s="290"/>
      <c r="E188" s="290"/>
      <c r="F188" s="290"/>
      <c r="G188" s="290"/>
      <c r="H188" s="290"/>
      <c r="I188" s="290"/>
      <c r="J188" s="290"/>
      <c r="K188" s="290"/>
      <c r="L188" s="290"/>
      <c r="M188" s="290"/>
      <c r="N188" s="290"/>
      <c r="O188" s="290"/>
      <c r="P188" s="295"/>
      <c r="Q188" s="262"/>
      <c r="R188" s="435"/>
      <c r="S188" s="286"/>
      <c r="T188" s="169"/>
      <c r="U188" s="169"/>
      <c r="W188" s="296"/>
      <c r="X188" s="169"/>
      <c r="Z188" s="296"/>
      <c r="AA188" s="169"/>
      <c r="AC188" s="296"/>
      <c r="AD188" s="169"/>
      <c r="AF188" s="296"/>
      <c r="AG188" s="169"/>
      <c r="AI188" s="296"/>
      <c r="AJ188" s="169"/>
      <c r="AL188" s="296"/>
      <c r="AM188" s="169"/>
    </row>
    <row r="189" spans="1:40" s="288" customFormat="1" x14ac:dyDescent="0.2">
      <c r="A189" s="258" t="s">
        <v>66</v>
      </c>
      <c r="B189" s="269" t="s">
        <v>708</v>
      </c>
      <c r="C189" s="290">
        <f>(W189+X189)*$C$3</f>
        <v>4</v>
      </c>
      <c r="D189" s="290">
        <f>C189*$Q189</f>
        <v>0</v>
      </c>
      <c r="E189" s="290">
        <f>(Z189+AA189)*$E$3</f>
        <v>5</v>
      </c>
      <c r="F189" s="290">
        <f>E189*$Q189</f>
        <v>0</v>
      </c>
      <c r="G189" s="290">
        <f>(AC189+AD189)*$G$3</f>
        <v>30</v>
      </c>
      <c r="H189" s="290">
        <f>G189*$Q189</f>
        <v>0</v>
      </c>
      <c r="I189" s="290">
        <f>(AF189+AG189)*$I$3</f>
        <v>7</v>
      </c>
      <c r="J189" s="290">
        <f>I189*$Q189</f>
        <v>0</v>
      </c>
      <c r="K189" s="290">
        <f>(AI189+AJ189)*$K$3</f>
        <v>24</v>
      </c>
      <c r="L189" s="290">
        <f>K189*$Q189</f>
        <v>0</v>
      </c>
      <c r="M189" s="290">
        <f>(AL189+AM189)*$M$3</f>
        <v>9</v>
      </c>
      <c r="N189" s="290">
        <f>M189*$Q189</f>
        <v>0</v>
      </c>
      <c r="O189" s="290">
        <f>C189+E189+G189+I189+K189+M189</f>
        <v>79</v>
      </c>
      <c r="P189" s="261" t="s">
        <v>269</v>
      </c>
      <c r="Q189" s="262"/>
      <c r="R189" s="435">
        <f>O189*Q189</f>
        <v>0</v>
      </c>
      <c r="S189" s="264"/>
      <c r="T189" s="266">
        <v>1</v>
      </c>
      <c r="U189" s="266">
        <v>1</v>
      </c>
      <c r="V189" s="267"/>
      <c r="W189" s="268">
        <f>T189*$W$3</f>
        <v>2</v>
      </c>
      <c r="X189" s="266">
        <f>U189*$X$3</f>
        <v>2</v>
      </c>
      <c r="Y189" s="267"/>
      <c r="Z189" s="268">
        <f>W189</f>
        <v>2</v>
      </c>
      <c r="AA189" s="266">
        <f>U189*$AA$3</f>
        <v>3</v>
      </c>
      <c r="AB189" s="267"/>
      <c r="AC189" s="268">
        <f>W189</f>
        <v>2</v>
      </c>
      <c r="AD189" s="266">
        <f>U189*$AD$3</f>
        <v>4</v>
      </c>
      <c r="AE189" s="267"/>
      <c r="AF189" s="268">
        <f>W189</f>
        <v>2</v>
      </c>
      <c r="AG189" s="266">
        <f>U189*$AG$3</f>
        <v>5</v>
      </c>
      <c r="AH189" s="267"/>
      <c r="AI189" s="268">
        <f>W189</f>
        <v>2</v>
      </c>
      <c r="AJ189" s="266">
        <f>U189*$AJ$3</f>
        <v>6</v>
      </c>
      <c r="AK189" s="267"/>
      <c r="AL189" s="268">
        <f>W189</f>
        <v>2</v>
      </c>
      <c r="AM189" s="266">
        <f>U189*$AM$3</f>
        <v>7</v>
      </c>
      <c r="AN189" s="267"/>
    </row>
    <row r="190" spans="1:40" s="288" customFormat="1" x14ac:dyDescent="0.2">
      <c r="A190" s="258"/>
      <c r="B190" s="269"/>
      <c r="C190" s="290"/>
      <c r="D190" s="290"/>
      <c r="E190" s="290"/>
      <c r="F190" s="290"/>
      <c r="G190" s="290"/>
      <c r="H190" s="290"/>
      <c r="I190" s="290"/>
      <c r="J190" s="290"/>
      <c r="K190" s="290"/>
      <c r="L190" s="290"/>
      <c r="M190" s="290"/>
      <c r="N190" s="290"/>
      <c r="O190" s="290"/>
      <c r="P190" s="153"/>
      <c r="Q190" s="262"/>
      <c r="R190" s="435"/>
      <c r="S190" s="286"/>
      <c r="T190" s="169"/>
      <c r="U190" s="169"/>
      <c r="W190" s="296"/>
      <c r="X190" s="169"/>
      <c r="Z190" s="296"/>
      <c r="AA190" s="169"/>
      <c r="AC190" s="296"/>
      <c r="AD190" s="169"/>
      <c r="AF190" s="296"/>
      <c r="AG190" s="169"/>
      <c r="AI190" s="296"/>
      <c r="AJ190" s="169"/>
      <c r="AL190" s="296"/>
      <c r="AM190" s="169"/>
    </row>
    <row r="191" spans="1:40" s="288" customFormat="1" x14ac:dyDescent="0.2">
      <c r="A191" s="283" t="s">
        <v>67</v>
      </c>
      <c r="B191" s="269" t="s">
        <v>709</v>
      </c>
      <c r="C191" s="290">
        <f>(W191+X191)*$C$3</f>
        <v>4</v>
      </c>
      <c r="D191" s="290">
        <f>C191*$Q191</f>
        <v>0</v>
      </c>
      <c r="E191" s="290">
        <f>(Z191+AA191)*$E$3</f>
        <v>5</v>
      </c>
      <c r="F191" s="290">
        <f>E191*$Q191</f>
        <v>0</v>
      </c>
      <c r="G191" s="290">
        <f>(AC191+AD191)*$G$3</f>
        <v>30</v>
      </c>
      <c r="H191" s="290">
        <f>G191*$Q191</f>
        <v>0</v>
      </c>
      <c r="I191" s="290">
        <f>(AF191+AG191)*$I$3</f>
        <v>7</v>
      </c>
      <c r="J191" s="290">
        <f>I191*$Q191</f>
        <v>0</v>
      </c>
      <c r="K191" s="290">
        <f>(AI191+AJ191)*$K$3</f>
        <v>24</v>
      </c>
      <c r="L191" s="290">
        <f>K191*$Q191</f>
        <v>0</v>
      </c>
      <c r="M191" s="290">
        <f>(AL191+AM191)*$M$3</f>
        <v>9</v>
      </c>
      <c r="N191" s="290">
        <f>M191*$Q191</f>
        <v>0</v>
      </c>
      <c r="O191" s="290">
        <f>C191+E191+G191+I191+K191+M191</f>
        <v>79</v>
      </c>
      <c r="P191" s="261" t="s">
        <v>269</v>
      </c>
      <c r="Q191" s="262"/>
      <c r="R191" s="435">
        <f>O191*Q191</f>
        <v>0</v>
      </c>
      <c r="S191" s="264"/>
      <c r="T191" s="266">
        <v>1</v>
      </c>
      <c r="U191" s="266">
        <v>1</v>
      </c>
      <c r="V191" s="267"/>
      <c r="W191" s="268">
        <f>T191*$W$3</f>
        <v>2</v>
      </c>
      <c r="X191" s="266">
        <f>U191*$X$3</f>
        <v>2</v>
      </c>
      <c r="Y191" s="267"/>
      <c r="Z191" s="268">
        <f>W191</f>
        <v>2</v>
      </c>
      <c r="AA191" s="266">
        <f>U191*$AA$3</f>
        <v>3</v>
      </c>
      <c r="AB191" s="267"/>
      <c r="AC191" s="268">
        <f>W191</f>
        <v>2</v>
      </c>
      <c r="AD191" s="266">
        <f>U191*$AD$3</f>
        <v>4</v>
      </c>
      <c r="AE191" s="267"/>
      <c r="AF191" s="268">
        <f>W191</f>
        <v>2</v>
      </c>
      <c r="AG191" s="266">
        <f>U191*$AG$3</f>
        <v>5</v>
      </c>
      <c r="AH191" s="267"/>
      <c r="AI191" s="268">
        <f>W191</f>
        <v>2</v>
      </c>
      <c r="AJ191" s="266">
        <f>U191*$AJ$3</f>
        <v>6</v>
      </c>
      <c r="AK191" s="267"/>
      <c r="AL191" s="268">
        <f>W191</f>
        <v>2</v>
      </c>
      <c r="AM191" s="266">
        <f>U191*$AM$3</f>
        <v>7</v>
      </c>
      <c r="AN191" s="267"/>
    </row>
    <row r="192" spans="1:40" s="288" customFormat="1" x14ac:dyDescent="0.2">
      <c r="A192" s="283"/>
      <c r="B192" s="269"/>
      <c r="C192" s="290"/>
      <c r="D192" s="290"/>
      <c r="E192" s="290"/>
      <c r="F192" s="290"/>
      <c r="G192" s="290"/>
      <c r="H192" s="290"/>
      <c r="I192" s="290"/>
      <c r="J192" s="290"/>
      <c r="K192" s="290"/>
      <c r="L192" s="290"/>
      <c r="M192" s="290"/>
      <c r="N192" s="290"/>
      <c r="O192" s="290"/>
      <c r="P192" s="261"/>
      <c r="Q192" s="262"/>
      <c r="R192" s="435"/>
      <c r="S192" s="264"/>
      <c r="T192" s="266"/>
      <c r="U192" s="266"/>
      <c r="V192" s="267"/>
      <c r="W192" s="268"/>
      <c r="X192" s="266"/>
      <c r="Y192" s="267"/>
      <c r="Z192" s="268"/>
      <c r="AA192" s="266"/>
      <c r="AB192" s="267"/>
      <c r="AC192" s="268"/>
      <c r="AD192" s="266"/>
      <c r="AE192" s="267"/>
      <c r="AF192" s="268"/>
      <c r="AG192" s="266"/>
      <c r="AH192" s="267"/>
      <c r="AI192" s="268"/>
      <c r="AJ192" s="266"/>
      <c r="AK192" s="267"/>
      <c r="AL192" s="268"/>
      <c r="AM192" s="266"/>
      <c r="AN192" s="267"/>
    </row>
    <row r="193" spans="1:40" s="288" customFormat="1" x14ac:dyDescent="0.2">
      <c r="A193" s="283" t="s">
        <v>68</v>
      </c>
      <c r="B193" s="269" t="s">
        <v>882</v>
      </c>
      <c r="C193" s="290">
        <f>(W193+X193)*$C$3</f>
        <v>4</v>
      </c>
      <c r="D193" s="290">
        <f>C193*$Q193</f>
        <v>0</v>
      </c>
      <c r="E193" s="290">
        <f>(Z193+AA193)*$E$3</f>
        <v>5</v>
      </c>
      <c r="F193" s="290">
        <f>E193*$Q193</f>
        <v>0</v>
      </c>
      <c r="G193" s="290">
        <f>(AC193+AD193)*$G$3</f>
        <v>30</v>
      </c>
      <c r="H193" s="290">
        <f>G193*$Q193</f>
        <v>0</v>
      </c>
      <c r="I193" s="290">
        <f>(AF193+AG193)*$I$3</f>
        <v>7</v>
      </c>
      <c r="J193" s="290">
        <f>I193*$Q193</f>
        <v>0</v>
      </c>
      <c r="K193" s="290">
        <f>(AI193+AJ193)*$K$3</f>
        <v>24</v>
      </c>
      <c r="L193" s="290">
        <f>K193*$Q193</f>
        <v>0</v>
      </c>
      <c r="M193" s="290">
        <f>(AL193+AM193)*$M$3</f>
        <v>9</v>
      </c>
      <c r="N193" s="290">
        <f>M193*$Q193</f>
        <v>0</v>
      </c>
      <c r="O193" s="290">
        <f>C193+E193+G193+I193+K193+M193</f>
        <v>79</v>
      </c>
      <c r="P193" s="261" t="s">
        <v>269</v>
      </c>
      <c r="Q193" s="262"/>
      <c r="R193" s="435">
        <f>O193*Q193</f>
        <v>0</v>
      </c>
      <c r="S193" s="264"/>
      <c r="T193" s="266">
        <v>1</v>
      </c>
      <c r="U193" s="266">
        <v>1</v>
      </c>
      <c r="V193" s="267"/>
      <c r="W193" s="268">
        <f>T193*$W$3</f>
        <v>2</v>
      </c>
      <c r="X193" s="266">
        <f>U193*$X$3</f>
        <v>2</v>
      </c>
      <c r="Y193" s="267"/>
      <c r="Z193" s="268">
        <f>W193</f>
        <v>2</v>
      </c>
      <c r="AA193" s="266">
        <f>U193*$AA$3</f>
        <v>3</v>
      </c>
      <c r="AB193" s="267"/>
      <c r="AC193" s="268">
        <f>W193</f>
        <v>2</v>
      </c>
      <c r="AD193" s="266">
        <f>U193*$AD$3</f>
        <v>4</v>
      </c>
      <c r="AE193" s="267"/>
      <c r="AF193" s="268">
        <f>W193</f>
        <v>2</v>
      </c>
      <c r="AG193" s="266">
        <f>U193*$AG$3</f>
        <v>5</v>
      </c>
      <c r="AH193" s="267"/>
      <c r="AI193" s="268">
        <f>W193</f>
        <v>2</v>
      </c>
      <c r="AJ193" s="266">
        <f>U193*$AJ$3</f>
        <v>6</v>
      </c>
      <c r="AK193" s="267"/>
      <c r="AL193" s="268">
        <f>W193</f>
        <v>2</v>
      </c>
      <c r="AM193" s="266">
        <f>U193*$AM$3</f>
        <v>7</v>
      </c>
      <c r="AN193" s="267"/>
    </row>
    <row r="194" spans="1:40" s="288" customFormat="1" x14ac:dyDescent="0.2">
      <c r="A194" s="283"/>
      <c r="B194" s="269"/>
      <c r="C194" s="290"/>
      <c r="D194" s="290"/>
      <c r="E194" s="290"/>
      <c r="F194" s="290"/>
      <c r="G194" s="290"/>
      <c r="H194" s="290"/>
      <c r="I194" s="290"/>
      <c r="J194" s="290"/>
      <c r="K194" s="290"/>
      <c r="L194" s="290"/>
      <c r="M194" s="290"/>
      <c r="N194" s="290"/>
      <c r="O194" s="290"/>
      <c r="P194" s="261"/>
      <c r="Q194" s="262"/>
      <c r="R194" s="435"/>
      <c r="S194" s="264"/>
      <c r="T194" s="266"/>
      <c r="U194" s="266"/>
      <c r="V194" s="267"/>
      <c r="W194" s="268"/>
      <c r="X194" s="266"/>
      <c r="Y194" s="267"/>
      <c r="Z194" s="268"/>
      <c r="AA194" s="266"/>
      <c r="AB194" s="267"/>
      <c r="AC194" s="268"/>
      <c r="AD194" s="266"/>
      <c r="AE194" s="267"/>
      <c r="AF194" s="268"/>
      <c r="AG194" s="266"/>
      <c r="AH194" s="267"/>
      <c r="AI194" s="268"/>
      <c r="AJ194" s="266"/>
      <c r="AK194" s="267"/>
      <c r="AL194" s="268"/>
      <c r="AM194" s="266"/>
      <c r="AN194" s="267"/>
    </row>
    <row r="195" spans="1:40" s="288" customFormat="1" x14ac:dyDescent="0.2">
      <c r="A195" s="283" t="s">
        <v>69</v>
      </c>
      <c r="B195" s="269" t="s">
        <v>883</v>
      </c>
      <c r="C195" s="290">
        <f>(W195+X195)*$C$3</f>
        <v>4</v>
      </c>
      <c r="D195" s="290">
        <f>C195*$Q195</f>
        <v>0</v>
      </c>
      <c r="E195" s="290">
        <f>(Z195+AA195)*$E$3</f>
        <v>5</v>
      </c>
      <c r="F195" s="290">
        <f>E195*$Q195</f>
        <v>0</v>
      </c>
      <c r="G195" s="290">
        <f>(AC195+AD195)*$G$3</f>
        <v>30</v>
      </c>
      <c r="H195" s="290">
        <f>G195*$Q195</f>
        <v>0</v>
      </c>
      <c r="I195" s="290">
        <f>(AF195+AG195)*$I$3</f>
        <v>7</v>
      </c>
      <c r="J195" s="290">
        <f>I195*$Q195</f>
        <v>0</v>
      </c>
      <c r="K195" s="290">
        <f>(AI195+AJ195)*$K$3</f>
        <v>24</v>
      </c>
      <c r="L195" s="290">
        <f>K195*$Q195</f>
        <v>0</v>
      </c>
      <c r="M195" s="290">
        <f>(AL195+AM195)*$M$3</f>
        <v>9</v>
      </c>
      <c r="N195" s="290">
        <f>M195*$Q195</f>
        <v>0</v>
      </c>
      <c r="O195" s="290">
        <f>C195+E195+G195+I195+K195+M195</f>
        <v>79</v>
      </c>
      <c r="P195" s="261" t="s">
        <v>269</v>
      </c>
      <c r="Q195" s="262"/>
      <c r="R195" s="435">
        <f>O195*Q195</f>
        <v>0</v>
      </c>
      <c r="S195" s="264"/>
      <c r="T195" s="266">
        <v>1</v>
      </c>
      <c r="U195" s="266">
        <v>1</v>
      </c>
      <c r="V195" s="267"/>
      <c r="W195" s="268">
        <f>T195*$W$3</f>
        <v>2</v>
      </c>
      <c r="X195" s="266">
        <f>U195*$X$3</f>
        <v>2</v>
      </c>
      <c r="Y195" s="267"/>
      <c r="Z195" s="268">
        <f>W195</f>
        <v>2</v>
      </c>
      <c r="AA195" s="266">
        <f>U195*$AA$3</f>
        <v>3</v>
      </c>
      <c r="AB195" s="267"/>
      <c r="AC195" s="268">
        <f>W195</f>
        <v>2</v>
      </c>
      <c r="AD195" s="266">
        <f>U195*$AD$3</f>
        <v>4</v>
      </c>
      <c r="AE195" s="267"/>
      <c r="AF195" s="268">
        <f>W195</f>
        <v>2</v>
      </c>
      <c r="AG195" s="266">
        <f>U195*$AG$3</f>
        <v>5</v>
      </c>
      <c r="AH195" s="267"/>
      <c r="AI195" s="268">
        <f>W195</f>
        <v>2</v>
      </c>
      <c r="AJ195" s="266">
        <f>U195*$AJ$3</f>
        <v>6</v>
      </c>
      <c r="AK195" s="267"/>
      <c r="AL195" s="268">
        <f>W195</f>
        <v>2</v>
      </c>
      <c r="AM195" s="266">
        <f>U195*$AM$3</f>
        <v>7</v>
      </c>
      <c r="AN195" s="267"/>
    </row>
    <row r="196" spans="1:40" s="288" customFormat="1" x14ac:dyDescent="0.2">
      <c r="A196" s="283"/>
      <c r="B196" s="269"/>
      <c r="C196" s="290"/>
      <c r="D196" s="290"/>
      <c r="E196" s="290"/>
      <c r="F196" s="290"/>
      <c r="G196" s="290"/>
      <c r="H196" s="290"/>
      <c r="I196" s="290"/>
      <c r="J196" s="290"/>
      <c r="K196" s="290"/>
      <c r="L196" s="290"/>
      <c r="M196" s="290"/>
      <c r="N196" s="290"/>
      <c r="O196" s="290"/>
      <c r="P196" s="261"/>
      <c r="Q196" s="262"/>
      <c r="R196" s="435"/>
      <c r="S196" s="264"/>
      <c r="T196" s="266"/>
      <c r="U196" s="266"/>
      <c r="V196" s="267"/>
      <c r="W196" s="268"/>
      <c r="X196" s="266"/>
      <c r="Y196" s="267"/>
      <c r="Z196" s="268"/>
      <c r="AA196" s="266"/>
      <c r="AB196" s="267"/>
      <c r="AC196" s="268"/>
      <c r="AD196" s="266"/>
      <c r="AE196" s="267"/>
      <c r="AF196" s="268"/>
      <c r="AG196" s="266"/>
      <c r="AH196" s="267"/>
      <c r="AI196" s="268"/>
      <c r="AJ196" s="266"/>
      <c r="AK196" s="267"/>
      <c r="AL196" s="268"/>
      <c r="AM196" s="266"/>
      <c r="AN196" s="267"/>
    </row>
    <row r="197" spans="1:40" s="288" customFormat="1" x14ac:dyDescent="0.2">
      <c r="A197" s="283"/>
      <c r="B197" s="269"/>
      <c r="C197" s="290"/>
      <c r="D197" s="290"/>
      <c r="E197" s="290"/>
      <c r="F197" s="290"/>
      <c r="G197" s="290"/>
      <c r="H197" s="290"/>
      <c r="I197" s="290"/>
      <c r="J197" s="290"/>
      <c r="K197" s="290"/>
      <c r="L197" s="290"/>
      <c r="M197" s="290"/>
      <c r="N197" s="290"/>
      <c r="O197" s="290"/>
      <c r="P197" s="261"/>
      <c r="Q197" s="262"/>
      <c r="R197" s="435"/>
      <c r="S197" s="264"/>
      <c r="T197" s="266"/>
      <c r="U197" s="266"/>
      <c r="V197" s="267"/>
      <c r="W197" s="268"/>
      <c r="X197" s="266"/>
      <c r="Y197" s="267"/>
      <c r="Z197" s="268"/>
      <c r="AA197" s="266"/>
      <c r="AB197" s="267"/>
      <c r="AC197" s="268"/>
      <c r="AD197" s="266"/>
      <c r="AE197" s="267"/>
      <c r="AF197" s="268"/>
      <c r="AG197" s="266"/>
      <c r="AH197" s="267"/>
      <c r="AI197" s="268"/>
      <c r="AJ197" s="266"/>
      <c r="AK197" s="267"/>
      <c r="AL197" s="268"/>
      <c r="AM197" s="266"/>
      <c r="AN197" s="267"/>
    </row>
    <row r="198" spans="1:40" s="288" customFormat="1" x14ac:dyDescent="0.2">
      <c r="A198" s="283"/>
      <c r="B198" s="269"/>
      <c r="C198" s="290"/>
      <c r="D198" s="290"/>
      <c r="E198" s="290"/>
      <c r="F198" s="290"/>
      <c r="G198" s="290"/>
      <c r="H198" s="290"/>
      <c r="I198" s="290"/>
      <c r="J198" s="290"/>
      <c r="K198" s="290"/>
      <c r="L198" s="290"/>
      <c r="M198" s="290"/>
      <c r="N198" s="290"/>
      <c r="O198" s="290"/>
      <c r="P198" s="261"/>
      <c r="Q198" s="262"/>
      <c r="R198" s="435"/>
      <c r="S198" s="264"/>
      <c r="T198" s="266"/>
      <c r="U198" s="266"/>
      <c r="V198" s="267"/>
      <c r="W198" s="268"/>
      <c r="X198" s="266"/>
      <c r="Y198" s="267"/>
      <c r="Z198" s="268"/>
      <c r="AA198" s="266"/>
      <c r="AB198" s="267"/>
      <c r="AC198" s="268"/>
      <c r="AD198" s="266"/>
      <c r="AE198" s="267"/>
      <c r="AF198" s="268"/>
      <c r="AG198" s="266"/>
      <c r="AH198" s="267"/>
      <c r="AI198" s="268"/>
      <c r="AJ198" s="266"/>
      <c r="AK198" s="267"/>
      <c r="AL198" s="268"/>
      <c r="AM198" s="266"/>
      <c r="AN198" s="267"/>
    </row>
    <row r="199" spans="1:40" s="288" customFormat="1" x14ac:dyDescent="0.2">
      <c r="A199" s="283"/>
      <c r="B199" s="269"/>
      <c r="C199" s="290"/>
      <c r="D199" s="290"/>
      <c r="E199" s="290"/>
      <c r="F199" s="290"/>
      <c r="G199" s="290"/>
      <c r="H199" s="290"/>
      <c r="I199" s="290"/>
      <c r="J199" s="290"/>
      <c r="K199" s="290"/>
      <c r="L199" s="290"/>
      <c r="M199" s="290"/>
      <c r="N199" s="290"/>
      <c r="O199" s="290"/>
      <c r="P199" s="261"/>
      <c r="Q199" s="262"/>
      <c r="R199" s="435"/>
      <c r="S199" s="264"/>
      <c r="T199" s="266"/>
      <c r="U199" s="266"/>
      <c r="V199" s="267"/>
      <c r="W199" s="268"/>
      <c r="X199" s="266"/>
      <c r="Y199" s="267"/>
      <c r="Z199" s="268"/>
      <c r="AA199" s="266"/>
      <c r="AB199" s="267"/>
      <c r="AC199" s="268"/>
      <c r="AD199" s="266"/>
      <c r="AE199" s="267"/>
      <c r="AF199" s="268"/>
      <c r="AG199" s="266"/>
      <c r="AH199" s="267"/>
      <c r="AI199" s="268"/>
      <c r="AJ199" s="266"/>
      <c r="AK199" s="267"/>
      <c r="AL199" s="268"/>
      <c r="AM199" s="266"/>
      <c r="AN199" s="267"/>
    </row>
    <row r="200" spans="1:40" s="288" customFormat="1" x14ac:dyDescent="0.2">
      <c r="A200" s="283"/>
      <c r="B200" s="269"/>
      <c r="C200" s="290"/>
      <c r="D200" s="290"/>
      <c r="E200" s="290"/>
      <c r="F200" s="290"/>
      <c r="G200" s="290"/>
      <c r="H200" s="290"/>
      <c r="I200" s="290"/>
      <c r="J200" s="290"/>
      <c r="K200" s="290"/>
      <c r="L200" s="290"/>
      <c r="M200" s="290"/>
      <c r="N200" s="290"/>
      <c r="O200" s="290"/>
      <c r="P200" s="261"/>
      <c r="Q200" s="262"/>
      <c r="R200" s="435"/>
      <c r="S200" s="264"/>
      <c r="T200" s="266"/>
      <c r="U200" s="266"/>
      <c r="V200" s="267"/>
      <c r="W200" s="268"/>
      <c r="X200" s="266"/>
      <c r="Y200" s="267"/>
      <c r="Z200" s="268"/>
      <c r="AA200" s="266"/>
      <c r="AB200" s="267"/>
      <c r="AC200" s="268"/>
      <c r="AD200" s="266"/>
      <c r="AE200" s="267"/>
      <c r="AF200" s="268"/>
      <c r="AG200" s="266"/>
      <c r="AH200" s="267"/>
      <c r="AI200" s="268"/>
      <c r="AJ200" s="266"/>
      <c r="AK200" s="267"/>
      <c r="AL200" s="268"/>
      <c r="AM200" s="266"/>
      <c r="AN200" s="267"/>
    </row>
    <row r="201" spans="1:40" s="288" customFormat="1" x14ac:dyDescent="0.2">
      <c r="A201" s="283"/>
      <c r="B201" s="269"/>
      <c r="C201" s="290"/>
      <c r="D201" s="290"/>
      <c r="E201" s="290"/>
      <c r="F201" s="290"/>
      <c r="G201" s="290"/>
      <c r="H201" s="290"/>
      <c r="I201" s="290"/>
      <c r="J201" s="290"/>
      <c r="K201" s="290"/>
      <c r="L201" s="290"/>
      <c r="M201" s="290"/>
      <c r="N201" s="290"/>
      <c r="O201" s="290"/>
      <c r="P201" s="261"/>
      <c r="Q201" s="262"/>
      <c r="R201" s="435"/>
      <c r="S201" s="264"/>
      <c r="T201" s="266"/>
      <c r="U201" s="266"/>
      <c r="V201" s="267"/>
      <c r="W201" s="268"/>
      <c r="X201" s="266"/>
      <c r="Y201" s="267"/>
      <c r="Z201" s="268"/>
      <c r="AA201" s="266"/>
      <c r="AB201" s="267"/>
      <c r="AC201" s="268"/>
      <c r="AD201" s="266"/>
      <c r="AE201" s="267"/>
      <c r="AF201" s="268"/>
      <c r="AG201" s="266"/>
      <c r="AH201" s="267"/>
      <c r="AI201" s="268"/>
      <c r="AJ201" s="266"/>
      <c r="AK201" s="267"/>
      <c r="AL201" s="268"/>
      <c r="AM201" s="266"/>
      <c r="AN201" s="267"/>
    </row>
    <row r="202" spans="1:40" s="288" customFormat="1" x14ac:dyDescent="0.2">
      <c r="A202" s="283"/>
      <c r="B202" s="269"/>
      <c r="C202" s="290"/>
      <c r="D202" s="290"/>
      <c r="E202" s="290"/>
      <c r="F202" s="290"/>
      <c r="G202" s="290"/>
      <c r="H202" s="290"/>
      <c r="I202" s="290"/>
      <c r="J202" s="290"/>
      <c r="K202" s="290"/>
      <c r="L202" s="290"/>
      <c r="M202" s="290"/>
      <c r="N202" s="290"/>
      <c r="O202" s="290"/>
      <c r="P202" s="261"/>
      <c r="Q202" s="262"/>
      <c r="R202" s="435"/>
      <c r="S202" s="264"/>
      <c r="T202" s="266"/>
      <c r="U202" s="266"/>
      <c r="V202" s="267"/>
      <c r="W202" s="268"/>
      <c r="X202" s="266"/>
      <c r="Y202" s="267"/>
      <c r="Z202" s="268"/>
      <c r="AA202" s="266"/>
      <c r="AB202" s="267"/>
      <c r="AC202" s="268"/>
      <c r="AD202" s="266"/>
      <c r="AE202" s="267"/>
      <c r="AF202" s="268"/>
      <c r="AG202" s="266"/>
      <c r="AH202" s="267"/>
      <c r="AI202" s="268"/>
      <c r="AJ202" s="266"/>
      <c r="AK202" s="267"/>
      <c r="AL202" s="268"/>
      <c r="AM202" s="266"/>
      <c r="AN202" s="267"/>
    </row>
    <row r="203" spans="1:40" s="288" customFormat="1" x14ac:dyDescent="0.2">
      <c r="A203" s="283"/>
      <c r="B203" s="269"/>
      <c r="C203" s="290"/>
      <c r="D203" s="290"/>
      <c r="E203" s="290"/>
      <c r="F203" s="290"/>
      <c r="G203" s="290"/>
      <c r="H203" s="290"/>
      <c r="I203" s="290"/>
      <c r="J203" s="290"/>
      <c r="K203" s="290"/>
      <c r="L203" s="290"/>
      <c r="M203" s="290"/>
      <c r="N203" s="290"/>
      <c r="O203" s="290"/>
      <c r="P203" s="261"/>
      <c r="Q203" s="262"/>
      <c r="R203" s="435"/>
      <c r="S203" s="264"/>
      <c r="T203" s="266"/>
      <c r="U203" s="266"/>
      <c r="V203" s="267"/>
      <c r="W203" s="268"/>
      <c r="X203" s="266"/>
      <c r="Y203" s="267"/>
      <c r="Z203" s="268"/>
      <c r="AA203" s="266"/>
      <c r="AB203" s="267"/>
      <c r="AC203" s="268"/>
      <c r="AD203" s="266"/>
      <c r="AE203" s="267"/>
      <c r="AF203" s="268"/>
      <c r="AG203" s="266"/>
      <c r="AH203" s="267"/>
      <c r="AI203" s="268"/>
      <c r="AJ203" s="266"/>
      <c r="AK203" s="267"/>
      <c r="AL203" s="268"/>
      <c r="AM203" s="266"/>
      <c r="AN203" s="267"/>
    </row>
    <row r="204" spans="1:40" s="288" customFormat="1" x14ac:dyDescent="0.2">
      <c r="A204" s="283"/>
      <c r="B204" s="269"/>
      <c r="C204" s="290"/>
      <c r="D204" s="290"/>
      <c r="E204" s="290"/>
      <c r="F204" s="290"/>
      <c r="G204" s="290"/>
      <c r="H204" s="290"/>
      <c r="I204" s="290"/>
      <c r="J204" s="290"/>
      <c r="K204" s="290"/>
      <c r="L204" s="290"/>
      <c r="M204" s="290"/>
      <c r="N204" s="290"/>
      <c r="O204" s="290"/>
      <c r="P204" s="261"/>
      <c r="Q204" s="262"/>
      <c r="R204" s="435"/>
      <c r="S204" s="264"/>
      <c r="T204" s="266"/>
      <c r="U204" s="266"/>
      <c r="V204" s="267"/>
      <c r="W204" s="268"/>
      <c r="X204" s="266"/>
      <c r="Y204" s="267"/>
      <c r="Z204" s="268"/>
      <c r="AA204" s="266"/>
      <c r="AB204" s="267"/>
      <c r="AC204" s="268"/>
      <c r="AD204" s="266"/>
      <c r="AE204" s="267"/>
      <c r="AF204" s="268"/>
      <c r="AG204" s="266"/>
      <c r="AH204" s="267"/>
      <c r="AI204" s="268"/>
      <c r="AJ204" s="266"/>
      <c r="AK204" s="267"/>
      <c r="AL204" s="268"/>
      <c r="AM204" s="266"/>
      <c r="AN204" s="267"/>
    </row>
    <row r="205" spans="1:40" s="288" customFormat="1" x14ac:dyDescent="0.2">
      <c r="A205" s="283"/>
      <c r="B205" s="269"/>
      <c r="C205" s="290"/>
      <c r="D205" s="290"/>
      <c r="E205" s="290"/>
      <c r="F205" s="290"/>
      <c r="G205" s="290"/>
      <c r="H205" s="290"/>
      <c r="I205" s="290"/>
      <c r="J205" s="290"/>
      <c r="K205" s="290"/>
      <c r="L205" s="290"/>
      <c r="M205" s="290"/>
      <c r="N205" s="290"/>
      <c r="O205" s="290"/>
      <c r="P205" s="261"/>
      <c r="Q205" s="262"/>
      <c r="R205" s="435"/>
      <c r="S205" s="264"/>
      <c r="T205" s="266"/>
      <c r="U205" s="266"/>
      <c r="V205" s="267"/>
      <c r="W205" s="268"/>
      <c r="X205" s="266"/>
      <c r="Y205" s="267"/>
      <c r="Z205" s="268"/>
      <c r="AA205" s="266"/>
      <c r="AB205" s="267"/>
      <c r="AC205" s="268"/>
      <c r="AD205" s="266"/>
      <c r="AE205" s="267"/>
      <c r="AF205" s="268"/>
      <c r="AG205" s="266"/>
      <c r="AH205" s="267"/>
      <c r="AI205" s="268"/>
      <c r="AJ205" s="266"/>
      <c r="AK205" s="267"/>
      <c r="AL205" s="268"/>
      <c r="AM205" s="266"/>
      <c r="AN205" s="267"/>
    </row>
    <row r="206" spans="1:40" s="288" customFormat="1" x14ac:dyDescent="0.2">
      <c r="A206" s="283"/>
      <c r="B206" s="269"/>
      <c r="C206" s="290"/>
      <c r="D206" s="290"/>
      <c r="E206" s="290"/>
      <c r="F206" s="290"/>
      <c r="G206" s="290"/>
      <c r="H206" s="290"/>
      <c r="I206" s="290"/>
      <c r="J206" s="290"/>
      <c r="K206" s="290"/>
      <c r="L206" s="290"/>
      <c r="M206" s="290"/>
      <c r="N206" s="290"/>
      <c r="O206" s="290"/>
      <c r="P206" s="261"/>
      <c r="Q206" s="262"/>
      <c r="R206" s="435"/>
      <c r="S206" s="264"/>
      <c r="T206" s="266"/>
      <c r="U206" s="266"/>
      <c r="V206" s="267"/>
      <c r="W206" s="268"/>
      <c r="X206" s="266"/>
      <c r="Y206" s="267"/>
      <c r="Z206" s="268"/>
      <c r="AA206" s="266"/>
      <c r="AB206" s="267"/>
      <c r="AC206" s="268"/>
      <c r="AD206" s="266"/>
      <c r="AE206" s="267"/>
      <c r="AF206" s="268"/>
      <c r="AG206" s="266"/>
      <c r="AH206" s="267"/>
      <c r="AI206" s="268"/>
      <c r="AJ206" s="266"/>
      <c r="AK206" s="267"/>
      <c r="AL206" s="268"/>
      <c r="AM206" s="266"/>
      <c r="AN206" s="267"/>
    </row>
    <row r="207" spans="1:40" s="288" customFormat="1" x14ac:dyDescent="0.2">
      <c r="A207" s="283"/>
      <c r="B207" s="269"/>
      <c r="C207" s="290"/>
      <c r="D207" s="290"/>
      <c r="E207" s="290"/>
      <c r="F207" s="290"/>
      <c r="G207" s="290"/>
      <c r="H207" s="290"/>
      <c r="I207" s="290"/>
      <c r="J207" s="290"/>
      <c r="K207" s="290"/>
      <c r="L207" s="290"/>
      <c r="M207" s="290"/>
      <c r="N207" s="290"/>
      <c r="O207" s="290"/>
      <c r="P207" s="261"/>
      <c r="Q207" s="262"/>
      <c r="R207" s="435"/>
      <c r="S207" s="264"/>
      <c r="T207" s="266"/>
      <c r="U207" s="266"/>
      <c r="V207" s="267"/>
      <c r="W207" s="268"/>
      <c r="X207" s="266"/>
      <c r="Y207" s="267"/>
      <c r="Z207" s="268"/>
      <c r="AA207" s="266"/>
      <c r="AB207" s="267"/>
      <c r="AC207" s="268"/>
      <c r="AD207" s="266"/>
      <c r="AE207" s="267"/>
      <c r="AF207" s="268"/>
      <c r="AG207" s="266"/>
      <c r="AH207" s="267"/>
      <c r="AI207" s="268"/>
      <c r="AJ207" s="266"/>
      <c r="AK207" s="267"/>
      <c r="AL207" s="268"/>
      <c r="AM207" s="266"/>
      <c r="AN207" s="267"/>
    </row>
    <row r="208" spans="1:40" s="288" customFormat="1" x14ac:dyDescent="0.2">
      <c r="A208" s="283"/>
      <c r="B208" s="269"/>
      <c r="C208" s="290"/>
      <c r="D208" s="290"/>
      <c r="E208" s="290"/>
      <c r="F208" s="290"/>
      <c r="G208" s="290"/>
      <c r="H208" s="290"/>
      <c r="I208" s="290"/>
      <c r="J208" s="290"/>
      <c r="K208" s="290"/>
      <c r="L208" s="290"/>
      <c r="M208" s="290"/>
      <c r="N208" s="290"/>
      <c r="O208" s="290"/>
      <c r="P208" s="261"/>
      <c r="Q208" s="262"/>
      <c r="R208" s="435"/>
      <c r="S208" s="264"/>
      <c r="T208" s="266"/>
      <c r="U208" s="266"/>
      <c r="V208" s="267"/>
      <c r="W208" s="268"/>
      <c r="X208" s="266"/>
      <c r="Y208" s="267"/>
      <c r="Z208" s="268"/>
      <c r="AA208" s="266"/>
      <c r="AB208" s="267"/>
      <c r="AC208" s="268"/>
      <c r="AD208" s="266"/>
      <c r="AE208" s="267"/>
      <c r="AF208" s="268"/>
      <c r="AG208" s="266"/>
      <c r="AH208" s="267"/>
      <c r="AI208" s="268"/>
      <c r="AJ208" s="266"/>
      <c r="AK208" s="267"/>
      <c r="AL208" s="268"/>
      <c r="AM208" s="266"/>
      <c r="AN208" s="267"/>
    </row>
    <row r="209" spans="1:40" s="288" customFormat="1" x14ac:dyDescent="0.2">
      <c r="A209" s="283"/>
      <c r="B209" s="269"/>
      <c r="C209" s="290"/>
      <c r="D209" s="290"/>
      <c r="E209" s="290"/>
      <c r="F209" s="290"/>
      <c r="G209" s="290"/>
      <c r="H209" s="290"/>
      <c r="I209" s="290"/>
      <c r="J209" s="290"/>
      <c r="K209" s="290"/>
      <c r="L209" s="290"/>
      <c r="M209" s="290"/>
      <c r="N209" s="290"/>
      <c r="O209" s="290"/>
      <c r="P209" s="261"/>
      <c r="Q209" s="262"/>
      <c r="R209" s="435"/>
      <c r="S209" s="264"/>
      <c r="T209" s="266"/>
      <c r="U209" s="266"/>
      <c r="V209" s="267"/>
      <c r="W209" s="268"/>
      <c r="X209" s="266"/>
      <c r="Y209" s="267"/>
      <c r="Z209" s="268"/>
      <c r="AA209" s="266"/>
      <c r="AB209" s="267"/>
      <c r="AC209" s="268"/>
      <c r="AD209" s="266"/>
      <c r="AE209" s="267"/>
      <c r="AF209" s="268"/>
      <c r="AG209" s="266"/>
      <c r="AH209" s="267"/>
      <c r="AI209" s="268"/>
      <c r="AJ209" s="266"/>
      <c r="AK209" s="267"/>
      <c r="AL209" s="268"/>
      <c r="AM209" s="266"/>
      <c r="AN209" s="267"/>
    </row>
    <row r="210" spans="1:40" s="288" customFormat="1" x14ac:dyDescent="0.2">
      <c r="A210" s="283"/>
      <c r="B210" s="269"/>
      <c r="C210" s="290"/>
      <c r="D210" s="290"/>
      <c r="E210" s="290"/>
      <c r="F210" s="290"/>
      <c r="G210" s="290"/>
      <c r="H210" s="290"/>
      <c r="I210" s="290"/>
      <c r="J210" s="290"/>
      <c r="K210" s="290"/>
      <c r="L210" s="290"/>
      <c r="M210" s="290"/>
      <c r="N210" s="290"/>
      <c r="O210" s="290"/>
      <c r="P210" s="261"/>
      <c r="Q210" s="262"/>
      <c r="R210" s="435"/>
      <c r="S210" s="264"/>
      <c r="T210" s="266"/>
      <c r="U210" s="266"/>
      <c r="V210" s="267"/>
      <c r="W210" s="268"/>
      <c r="X210" s="266"/>
      <c r="Y210" s="267"/>
      <c r="Z210" s="268"/>
      <c r="AA210" s="266"/>
      <c r="AB210" s="267"/>
      <c r="AC210" s="268"/>
      <c r="AD210" s="266"/>
      <c r="AE210" s="267"/>
      <c r="AF210" s="268"/>
      <c r="AG210" s="266"/>
      <c r="AH210" s="267"/>
      <c r="AI210" s="268"/>
      <c r="AJ210" s="266"/>
      <c r="AK210" s="267"/>
      <c r="AL210" s="268"/>
      <c r="AM210" s="266"/>
      <c r="AN210" s="267"/>
    </row>
    <row r="211" spans="1:40" s="288" customFormat="1" x14ac:dyDescent="0.2">
      <c r="A211" s="283"/>
      <c r="B211" s="269"/>
      <c r="C211" s="290"/>
      <c r="D211" s="290"/>
      <c r="E211" s="290"/>
      <c r="F211" s="290"/>
      <c r="G211" s="290"/>
      <c r="H211" s="290"/>
      <c r="I211" s="290"/>
      <c r="J211" s="290"/>
      <c r="K211" s="290"/>
      <c r="L211" s="290"/>
      <c r="M211" s="290"/>
      <c r="N211" s="290"/>
      <c r="O211" s="290"/>
      <c r="P211" s="261"/>
      <c r="Q211" s="262"/>
      <c r="R211" s="435"/>
      <c r="S211" s="264"/>
      <c r="T211" s="266"/>
      <c r="U211" s="266"/>
      <c r="V211" s="267"/>
      <c r="W211" s="268"/>
      <c r="X211" s="266"/>
      <c r="Y211" s="267"/>
      <c r="Z211" s="268"/>
      <c r="AA211" s="266"/>
      <c r="AB211" s="267"/>
      <c r="AC211" s="268"/>
      <c r="AD211" s="266"/>
      <c r="AE211" s="267"/>
      <c r="AF211" s="268"/>
      <c r="AG211" s="266"/>
      <c r="AH211" s="267"/>
      <c r="AI211" s="268"/>
      <c r="AJ211" s="266"/>
      <c r="AK211" s="267"/>
      <c r="AL211" s="268"/>
      <c r="AM211" s="266"/>
      <c r="AN211" s="267"/>
    </row>
    <row r="212" spans="1:40" s="288" customFormat="1" x14ac:dyDescent="0.2">
      <c r="A212" s="283"/>
      <c r="B212" s="269"/>
      <c r="C212" s="290"/>
      <c r="D212" s="290"/>
      <c r="E212" s="290"/>
      <c r="F212" s="290"/>
      <c r="G212" s="290"/>
      <c r="H212" s="290"/>
      <c r="I212" s="290"/>
      <c r="J212" s="290"/>
      <c r="K212" s="290"/>
      <c r="L212" s="290"/>
      <c r="M212" s="290"/>
      <c r="N212" s="290"/>
      <c r="O212" s="290"/>
      <c r="P212" s="261"/>
      <c r="Q212" s="262"/>
      <c r="R212" s="435"/>
      <c r="S212" s="264"/>
      <c r="T212" s="266"/>
      <c r="U212" s="266"/>
      <c r="V212" s="267"/>
      <c r="W212" s="268"/>
      <c r="X212" s="266"/>
      <c r="Y212" s="267"/>
      <c r="Z212" s="268"/>
      <c r="AA212" s="266"/>
      <c r="AB212" s="267"/>
      <c r="AC212" s="268"/>
      <c r="AD212" s="266"/>
      <c r="AE212" s="267"/>
      <c r="AF212" s="268"/>
      <c r="AG212" s="266"/>
      <c r="AH212" s="267"/>
      <c r="AI212" s="268"/>
      <c r="AJ212" s="266"/>
      <c r="AK212" s="267"/>
      <c r="AL212" s="268"/>
      <c r="AM212" s="266"/>
      <c r="AN212" s="267"/>
    </row>
    <row r="213" spans="1:40" s="288" customFormat="1" x14ac:dyDescent="0.2">
      <c r="A213" s="283"/>
      <c r="B213" s="269"/>
      <c r="C213" s="290"/>
      <c r="D213" s="290"/>
      <c r="E213" s="290"/>
      <c r="F213" s="290"/>
      <c r="G213" s="290"/>
      <c r="H213" s="290"/>
      <c r="I213" s="290"/>
      <c r="J213" s="290"/>
      <c r="K213" s="290"/>
      <c r="L213" s="290"/>
      <c r="M213" s="290"/>
      <c r="N213" s="290"/>
      <c r="O213" s="290"/>
      <c r="P213" s="261"/>
      <c r="Q213" s="262"/>
      <c r="R213" s="435"/>
      <c r="S213" s="264"/>
      <c r="T213" s="266"/>
      <c r="U213" s="266"/>
      <c r="V213" s="267"/>
      <c r="W213" s="268"/>
      <c r="X213" s="266"/>
      <c r="Y213" s="267"/>
      <c r="Z213" s="268"/>
      <c r="AA213" s="266"/>
      <c r="AB213" s="267"/>
      <c r="AC213" s="268"/>
      <c r="AD213" s="266"/>
      <c r="AE213" s="267"/>
      <c r="AF213" s="268"/>
      <c r="AG213" s="266"/>
      <c r="AH213" s="267"/>
      <c r="AI213" s="268"/>
      <c r="AJ213" s="266"/>
      <c r="AK213" s="267"/>
      <c r="AL213" s="268"/>
      <c r="AM213" s="266"/>
      <c r="AN213" s="267"/>
    </row>
    <row r="214" spans="1:40" s="288" customFormat="1" x14ac:dyDescent="0.2">
      <c r="A214" s="283"/>
      <c r="B214" s="269"/>
      <c r="C214" s="290"/>
      <c r="D214" s="290"/>
      <c r="E214" s="290"/>
      <c r="F214" s="290"/>
      <c r="G214" s="290"/>
      <c r="H214" s="290"/>
      <c r="I214" s="290"/>
      <c r="J214" s="290"/>
      <c r="K214" s="290"/>
      <c r="L214" s="290"/>
      <c r="M214" s="290"/>
      <c r="N214" s="290"/>
      <c r="O214" s="290"/>
      <c r="P214" s="261"/>
      <c r="Q214" s="262"/>
      <c r="R214" s="435"/>
      <c r="S214" s="264"/>
      <c r="T214" s="266"/>
      <c r="U214" s="266"/>
      <c r="V214" s="267"/>
      <c r="W214" s="268"/>
      <c r="X214" s="266"/>
      <c r="Y214" s="267"/>
      <c r="Z214" s="268"/>
      <c r="AA214" s="266"/>
      <c r="AB214" s="267"/>
      <c r="AC214" s="268"/>
      <c r="AD214" s="266"/>
      <c r="AE214" s="267"/>
      <c r="AF214" s="268"/>
      <c r="AG214" s="266"/>
      <c r="AH214" s="267"/>
      <c r="AI214" s="268"/>
      <c r="AJ214" s="266"/>
      <c r="AK214" s="267"/>
      <c r="AL214" s="268"/>
      <c r="AM214" s="266"/>
      <c r="AN214" s="267"/>
    </row>
    <row r="215" spans="1:40" s="288" customFormat="1" x14ac:dyDescent="0.2">
      <c r="A215" s="283"/>
      <c r="B215" s="269"/>
      <c r="C215" s="290"/>
      <c r="D215" s="290"/>
      <c r="E215" s="290"/>
      <c r="F215" s="290"/>
      <c r="G215" s="290"/>
      <c r="H215" s="290"/>
      <c r="I215" s="290"/>
      <c r="J215" s="290"/>
      <c r="K215" s="290"/>
      <c r="L215" s="290"/>
      <c r="M215" s="290"/>
      <c r="N215" s="290"/>
      <c r="O215" s="290"/>
      <c r="P215" s="261"/>
      <c r="Q215" s="262"/>
      <c r="R215" s="435"/>
      <c r="S215" s="264"/>
      <c r="T215" s="266"/>
      <c r="U215" s="266"/>
      <c r="V215" s="267"/>
      <c r="W215" s="268"/>
      <c r="X215" s="266"/>
      <c r="Y215" s="267"/>
      <c r="Z215" s="268"/>
      <c r="AA215" s="266"/>
      <c r="AB215" s="267"/>
      <c r="AC215" s="268"/>
      <c r="AD215" s="266"/>
      <c r="AE215" s="267"/>
      <c r="AF215" s="268"/>
      <c r="AG215" s="266"/>
      <c r="AH215" s="267"/>
      <c r="AI215" s="268"/>
      <c r="AJ215" s="266"/>
      <c r="AK215" s="267"/>
      <c r="AL215" s="268"/>
      <c r="AM215" s="266"/>
      <c r="AN215" s="267"/>
    </row>
    <row r="216" spans="1:40" s="288" customFormat="1" x14ac:dyDescent="0.2">
      <c r="A216" s="283"/>
      <c r="B216" s="269"/>
      <c r="C216" s="290"/>
      <c r="D216" s="290"/>
      <c r="E216" s="290"/>
      <c r="F216" s="290"/>
      <c r="G216" s="290"/>
      <c r="H216" s="290"/>
      <c r="I216" s="290"/>
      <c r="J216" s="290"/>
      <c r="K216" s="290"/>
      <c r="L216" s="290"/>
      <c r="M216" s="290"/>
      <c r="N216" s="290"/>
      <c r="O216" s="290"/>
      <c r="P216" s="261"/>
      <c r="Q216" s="262"/>
      <c r="R216" s="435"/>
      <c r="S216" s="264"/>
      <c r="T216" s="266"/>
      <c r="U216" s="266"/>
      <c r="V216" s="267"/>
      <c r="W216" s="268"/>
      <c r="X216" s="266"/>
      <c r="Y216" s="267"/>
      <c r="Z216" s="268"/>
      <c r="AA216" s="266"/>
      <c r="AB216" s="267"/>
      <c r="AC216" s="268"/>
      <c r="AD216" s="266"/>
      <c r="AE216" s="267"/>
      <c r="AF216" s="268"/>
      <c r="AG216" s="266"/>
      <c r="AH216" s="267"/>
      <c r="AI216" s="268"/>
      <c r="AJ216" s="266"/>
      <c r="AK216" s="267"/>
      <c r="AL216" s="268"/>
      <c r="AM216" s="266"/>
      <c r="AN216" s="267"/>
    </row>
    <row r="217" spans="1:40" s="288" customFormat="1" x14ac:dyDescent="0.2">
      <c r="A217" s="283"/>
      <c r="B217" s="269"/>
      <c r="C217" s="290"/>
      <c r="D217" s="290"/>
      <c r="E217" s="290"/>
      <c r="F217" s="290"/>
      <c r="G217" s="290"/>
      <c r="H217" s="290"/>
      <c r="I217" s="290"/>
      <c r="J217" s="290"/>
      <c r="K217" s="290"/>
      <c r="L217" s="290"/>
      <c r="M217" s="290"/>
      <c r="N217" s="290"/>
      <c r="O217" s="290"/>
      <c r="P217" s="261"/>
      <c r="Q217" s="262"/>
      <c r="R217" s="435"/>
      <c r="S217" s="264"/>
      <c r="T217" s="266"/>
      <c r="U217" s="266"/>
      <c r="V217" s="267"/>
      <c r="W217" s="268"/>
      <c r="X217" s="266"/>
      <c r="Y217" s="267"/>
      <c r="Z217" s="268"/>
      <c r="AA217" s="266"/>
      <c r="AB217" s="267"/>
      <c r="AC217" s="268"/>
      <c r="AD217" s="266"/>
      <c r="AE217" s="267"/>
      <c r="AF217" s="268"/>
      <c r="AG217" s="266"/>
      <c r="AH217" s="267"/>
      <c r="AI217" s="268"/>
      <c r="AJ217" s="266"/>
      <c r="AK217" s="267"/>
      <c r="AL217" s="268"/>
      <c r="AM217" s="266"/>
      <c r="AN217" s="267"/>
    </row>
    <row r="218" spans="1:40" s="288" customFormat="1" x14ac:dyDescent="0.2">
      <c r="A218" s="283"/>
      <c r="B218" s="269"/>
      <c r="C218" s="290"/>
      <c r="D218" s="290"/>
      <c r="E218" s="290"/>
      <c r="F218" s="290"/>
      <c r="G218" s="290"/>
      <c r="H218" s="290"/>
      <c r="I218" s="290"/>
      <c r="J218" s="290"/>
      <c r="K218" s="290"/>
      <c r="L218" s="290"/>
      <c r="M218" s="290"/>
      <c r="N218" s="290"/>
      <c r="O218" s="290"/>
      <c r="P218" s="261"/>
      <c r="Q218" s="262"/>
      <c r="R218" s="435"/>
      <c r="S218" s="264"/>
      <c r="T218" s="266"/>
      <c r="U218" s="266"/>
      <c r="V218" s="267"/>
      <c r="W218" s="268"/>
      <c r="X218" s="266"/>
      <c r="Y218" s="267"/>
      <c r="Z218" s="268"/>
      <c r="AA218" s="266"/>
      <c r="AB218" s="267"/>
      <c r="AC218" s="268"/>
      <c r="AD218" s="266"/>
      <c r="AE218" s="267"/>
      <c r="AF218" s="268"/>
      <c r="AG218" s="266"/>
      <c r="AH218" s="267"/>
      <c r="AI218" s="268"/>
      <c r="AJ218" s="266"/>
      <c r="AK218" s="267"/>
      <c r="AL218" s="268"/>
      <c r="AM218" s="266"/>
      <c r="AN218" s="267"/>
    </row>
    <row r="219" spans="1:40" s="288" customFormat="1" x14ac:dyDescent="0.2">
      <c r="A219" s="283"/>
      <c r="B219" s="269"/>
      <c r="C219" s="290"/>
      <c r="D219" s="290"/>
      <c r="E219" s="290"/>
      <c r="F219" s="290"/>
      <c r="G219" s="290"/>
      <c r="H219" s="290"/>
      <c r="I219" s="290"/>
      <c r="J219" s="290"/>
      <c r="K219" s="290"/>
      <c r="L219" s="290"/>
      <c r="M219" s="290"/>
      <c r="N219" s="290"/>
      <c r="O219" s="290"/>
      <c r="P219" s="261"/>
      <c r="Q219" s="262"/>
      <c r="R219" s="435"/>
      <c r="S219" s="264"/>
      <c r="T219" s="266"/>
      <c r="U219" s="266"/>
      <c r="V219" s="267"/>
      <c r="W219" s="268"/>
      <c r="X219" s="266"/>
      <c r="Y219" s="267"/>
      <c r="Z219" s="268"/>
      <c r="AA219" s="266"/>
      <c r="AB219" s="267"/>
      <c r="AC219" s="268"/>
      <c r="AD219" s="266"/>
      <c r="AE219" s="267"/>
      <c r="AF219" s="268"/>
      <c r="AG219" s="266"/>
      <c r="AH219" s="267"/>
      <c r="AI219" s="268"/>
      <c r="AJ219" s="266"/>
      <c r="AK219" s="267"/>
      <c r="AL219" s="268"/>
      <c r="AM219" s="266"/>
      <c r="AN219" s="267"/>
    </row>
    <row r="220" spans="1:40" s="288" customFormat="1" x14ac:dyDescent="0.2">
      <c r="A220" s="283"/>
      <c r="B220" s="269"/>
      <c r="C220" s="290"/>
      <c r="D220" s="290"/>
      <c r="E220" s="290"/>
      <c r="F220" s="290"/>
      <c r="G220" s="290"/>
      <c r="H220" s="290"/>
      <c r="I220" s="290"/>
      <c r="J220" s="290"/>
      <c r="K220" s="290"/>
      <c r="L220" s="290"/>
      <c r="M220" s="290"/>
      <c r="N220" s="290"/>
      <c r="O220" s="290"/>
      <c r="P220" s="261"/>
      <c r="Q220" s="262"/>
      <c r="R220" s="435"/>
      <c r="S220" s="264"/>
      <c r="T220" s="266"/>
      <c r="U220" s="266"/>
      <c r="V220" s="267"/>
      <c r="W220" s="268"/>
      <c r="X220" s="266"/>
      <c r="Y220" s="267"/>
      <c r="Z220" s="268"/>
      <c r="AA220" s="266"/>
      <c r="AB220" s="267"/>
      <c r="AC220" s="268"/>
      <c r="AD220" s="266"/>
      <c r="AE220" s="267"/>
      <c r="AF220" s="268"/>
      <c r="AG220" s="266"/>
      <c r="AH220" s="267"/>
      <c r="AI220" s="268"/>
      <c r="AJ220" s="266"/>
      <c r="AK220" s="267"/>
      <c r="AL220" s="268"/>
      <c r="AM220" s="266"/>
      <c r="AN220" s="267"/>
    </row>
    <row r="221" spans="1:40" s="288" customFormat="1" x14ac:dyDescent="0.2">
      <c r="A221" s="283"/>
      <c r="B221" s="269"/>
      <c r="C221" s="290"/>
      <c r="D221" s="290"/>
      <c r="E221" s="290"/>
      <c r="F221" s="290"/>
      <c r="G221" s="290"/>
      <c r="H221" s="290"/>
      <c r="I221" s="290"/>
      <c r="J221" s="290"/>
      <c r="K221" s="290"/>
      <c r="L221" s="290"/>
      <c r="M221" s="290"/>
      <c r="N221" s="290"/>
      <c r="O221" s="290"/>
      <c r="P221" s="261"/>
      <c r="Q221" s="262"/>
      <c r="R221" s="435"/>
      <c r="S221" s="264"/>
      <c r="T221" s="266"/>
      <c r="U221" s="266"/>
      <c r="V221" s="267"/>
      <c r="W221" s="268"/>
      <c r="X221" s="266"/>
      <c r="Y221" s="267"/>
      <c r="Z221" s="268"/>
      <c r="AA221" s="266"/>
      <c r="AB221" s="267"/>
      <c r="AC221" s="268"/>
      <c r="AD221" s="266"/>
      <c r="AE221" s="267"/>
      <c r="AF221" s="268"/>
      <c r="AG221" s="266"/>
      <c r="AH221" s="267"/>
      <c r="AI221" s="268"/>
      <c r="AJ221" s="266"/>
      <c r="AK221" s="267"/>
      <c r="AL221" s="268"/>
      <c r="AM221" s="266"/>
      <c r="AN221" s="267"/>
    </row>
    <row r="222" spans="1:40" s="288" customFormat="1" x14ac:dyDescent="0.2">
      <c r="A222" s="283"/>
      <c r="B222" s="269"/>
      <c r="C222" s="290"/>
      <c r="D222" s="290"/>
      <c r="E222" s="290"/>
      <c r="F222" s="290"/>
      <c r="G222" s="290"/>
      <c r="H222" s="290"/>
      <c r="I222" s="290"/>
      <c r="J222" s="290"/>
      <c r="K222" s="290"/>
      <c r="L222" s="290"/>
      <c r="M222" s="290"/>
      <c r="N222" s="290"/>
      <c r="O222" s="290"/>
      <c r="P222" s="261"/>
      <c r="Q222" s="262"/>
      <c r="R222" s="435"/>
      <c r="S222" s="264"/>
      <c r="T222" s="266"/>
      <c r="U222" s="266"/>
      <c r="V222" s="267"/>
      <c r="W222" s="268"/>
      <c r="X222" s="266"/>
      <c r="Y222" s="267"/>
      <c r="Z222" s="268"/>
      <c r="AA222" s="266"/>
      <c r="AB222" s="267"/>
      <c r="AC222" s="268"/>
      <c r="AD222" s="266"/>
      <c r="AE222" s="267"/>
      <c r="AF222" s="268"/>
      <c r="AG222" s="266"/>
      <c r="AH222" s="267"/>
      <c r="AI222" s="268"/>
      <c r="AJ222" s="266"/>
      <c r="AK222" s="267"/>
      <c r="AL222" s="268"/>
      <c r="AM222" s="266"/>
      <c r="AN222" s="267"/>
    </row>
    <row r="223" spans="1:40" s="288" customFormat="1" x14ac:dyDescent="0.2">
      <c r="A223" s="283"/>
      <c r="B223" s="269"/>
      <c r="C223" s="290"/>
      <c r="D223" s="290"/>
      <c r="E223" s="290"/>
      <c r="F223" s="290"/>
      <c r="G223" s="290"/>
      <c r="H223" s="290"/>
      <c r="I223" s="290"/>
      <c r="J223" s="290"/>
      <c r="K223" s="290"/>
      <c r="L223" s="290"/>
      <c r="M223" s="290"/>
      <c r="N223" s="290"/>
      <c r="O223" s="290"/>
      <c r="P223" s="261"/>
      <c r="Q223" s="262"/>
      <c r="R223" s="435"/>
      <c r="S223" s="264"/>
      <c r="T223" s="266"/>
      <c r="U223" s="266"/>
      <c r="V223" s="267"/>
      <c r="W223" s="268"/>
      <c r="X223" s="266"/>
      <c r="Y223" s="267"/>
      <c r="Z223" s="268"/>
      <c r="AA223" s="266"/>
      <c r="AB223" s="267"/>
      <c r="AC223" s="268"/>
      <c r="AD223" s="266"/>
      <c r="AE223" s="267"/>
      <c r="AF223" s="268"/>
      <c r="AG223" s="266"/>
      <c r="AH223" s="267"/>
      <c r="AI223" s="268"/>
      <c r="AJ223" s="266"/>
      <c r="AK223" s="267"/>
      <c r="AL223" s="268"/>
      <c r="AM223" s="266"/>
      <c r="AN223" s="267"/>
    </row>
    <row r="224" spans="1:40" s="288" customFormat="1" x14ac:dyDescent="0.2">
      <c r="A224" s="283"/>
      <c r="B224" s="269"/>
      <c r="C224" s="290"/>
      <c r="D224" s="290"/>
      <c r="E224" s="290"/>
      <c r="F224" s="290"/>
      <c r="G224" s="290"/>
      <c r="H224" s="290"/>
      <c r="I224" s="290"/>
      <c r="J224" s="290"/>
      <c r="K224" s="290"/>
      <c r="L224" s="290"/>
      <c r="M224" s="290"/>
      <c r="N224" s="290"/>
      <c r="O224" s="290"/>
      <c r="P224" s="261"/>
      <c r="Q224" s="262"/>
      <c r="R224" s="435"/>
      <c r="S224" s="264"/>
      <c r="T224" s="266"/>
      <c r="U224" s="266"/>
      <c r="V224" s="267"/>
      <c r="W224" s="268"/>
      <c r="X224" s="266"/>
      <c r="Y224" s="267"/>
      <c r="Z224" s="268"/>
      <c r="AA224" s="266"/>
      <c r="AB224" s="267"/>
      <c r="AC224" s="268"/>
      <c r="AD224" s="266"/>
      <c r="AE224" s="267"/>
      <c r="AF224" s="268"/>
      <c r="AG224" s="266"/>
      <c r="AH224" s="267"/>
      <c r="AI224" s="268"/>
      <c r="AJ224" s="266"/>
      <c r="AK224" s="267"/>
      <c r="AL224" s="268"/>
      <c r="AM224" s="266"/>
      <c r="AN224" s="267"/>
    </row>
    <row r="225" spans="1:40" s="288" customFormat="1" x14ac:dyDescent="0.2">
      <c r="A225" s="283"/>
      <c r="B225" s="269"/>
      <c r="C225" s="290"/>
      <c r="D225" s="290"/>
      <c r="E225" s="290"/>
      <c r="F225" s="290"/>
      <c r="G225" s="290"/>
      <c r="H225" s="290"/>
      <c r="I225" s="290"/>
      <c r="J225" s="290"/>
      <c r="K225" s="290"/>
      <c r="L225" s="290"/>
      <c r="M225" s="290"/>
      <c r="N225" s="290"/>
      <c r="O225" s="290"/>
      <c r="P225" s="261"/>
      <c r="Q225" s="262"/>
      <c r="R225" s="435"/>
      <c r="S225" s="264"/>
      <c r="T225" s="266"/>
      <c r="U225" s="266"/>
      <c r="V225" s="267"/>
      <c r="W225" s="268"/>
      <c r="X225" s="266"/>
      <c r="Y225" s="267"/>
      <c r="Z225" s="268"/>
      <c r="AA225" s="266"/>
      <c r="AB225" s="267"/>
      <c r="AC225" s="268"/>
      <c r="AD225" s="266"/>
      <c r="AE225" s="267"/>
      <c r="AF225" s="268"/>
      <c r="AG225" s="266"/>
      <c r="AH225" s="267"/>
      <c r="AI225" s="268"/>
      <c r="AJ225" s="266"/>
      <c r="AK225" s="267"/>
      <c r="AL225" s="268"/>
      <c r="AM225" s="266"/>
      <c r="AN225" s="267"/>
    </row>
    <row r="226" spans="1:40" s="267" customFormat="1" x14ac:dyDescent="0.2">
      <c r="A226" s="308"/>
      <c r="B226" s="308"/>
      <c r="C226" s="290"/>
      <c r="D226" s="290"/>
      <c r="E226" s="290"/>
      <c r="F226" s="290"/>
      <c r="G226" s="290"/>
      <c r="H226" s="290"/>
      <c r="I226" s="290"/>
      <c r="J226" s="290"/>
      <c r="K226" s="290"/>
      <c r="L226" s="290"/>
      <c r="M226" s="290"/>
      <c r="N226" s="290"/>
      <c r="O226" s="290"/>
      <c r="P226" s="261"/>
      <c r="Q226" s="262"/>
      <c r="R226" s="435"/>
      <c r="S226" s="264"/>
      <c r="T226" s="266"/>
      <c r="U226" s="266"/>
      <c r="W226" s="296"/>
      <c r="X226" s="169"/>
      <c r="Z226" s="296"/>
      <c r="AA226" s="169"/>
      <c r="AC226" s="296"/>
      <c r="AD226" s="169"/>
      <c r="AF226" s="296"/>
      <c r="AG226" s="169"/>
      <c r="AI226" s="296"/>
      <c r="AJ226" s="169"/>
      <c r="AL226" s="296"/>
      <c r="AM226" s="169"/>
    </row>
    <row r="227" spans="1:40" s="267" customFormat="1" x14ac:dyDescent="0.2">
      <c r="A227" s="375"/>
      <c r="B227" s="376"/>
      <c r="C227" s="377"/>
      <c r="D227" s="377"/>
      <c r="E227" s="377"/>
      <c r="F227" s="377"/>
      <c r="G227" s="377"/>
      <c r="H227" s="377"/>
      <c r="I227" s="377"/>
      <c r="J227" s="377"/>
      <c r="K227" s="377"/>
      <c r="L227" s="377"/>
      <c r="M227" s="377"/>
      <c r="N227" s="377"/>
      <c r="O227" s="377"/>
      <c r="P227" s="377"/>
      <c r="Q227" s="378"/>
      <c r="R227" s="441"/>
      <c r="S227" s="264"/>
      <c r="T227" s="273"/>
      <c r="U227" s="274"/>
      <c r="W227" s="296"/>
      <c r="X227" s="169"/>
      <c r="Z227" s="296"/>
      <c r="AA227" s="169"/>
      <c r="AC227" s="296"/>
      <c r="AD227" s="169"/>
      <c r="AF227" s="296"/>
      <c r="AG227" s="169"/>
      <c r="AI227" s="296"/>
      <c r="AJ227" s="169"/>
      <c r="AL227" s="296"/>
      <c r="AM227" s="169"/>
    </row>
    <row r="228" spans="1:40" s="267" customFormat="1" x14ac:dyDescent="0.2">
      <c r="A228" s="380"/>
      <c r="B228" s="320"/>
      <c r="C228" s="550" t="s">
        <v>1</v>
      </c>
      <c r="D228" s="550"/>
      <c r="E228" s="550"/>
      <c r="F228" s="550"/>
      <c r="G228" s="550"/>
      <c r="H228" s="550"/>
      <c r="I228" s="550"/>
      <c r="J228" s="550"/>
      <c r="K228" s="550"/>
      <c r="L228" s="550"/>
      <c r="M228" s="550"/>
      <c r="N228" s="550"/>
      <c r="O228" s="550"/>
      <c r="P228" s="550"/>
      <c r="Q228" s="381" t="s">
        <v>0</v>
      </c>
      <c r="R228" s="435">
        <f>SUM(R184:R226)</f>
        <v>0</v>
      </c>
      <c r="S228" s="276"/>
      <c r="T228" s="266"/>
      <c r="U228" s="277"/>
      <c r="W228" s="296"/>
      <c r="X228" s="169"/>
      <c r="Z228" s="296"/>
      <c r="AA228" s="169"/>
      <c r="AC228" s="296"/>
      <c r="AD228" s="169"/>
      <c r="AF228" s="296"/>
      <c r="AG228" s="169"/>
      <c r="AI228" s="296"/>
      <c r="AJ228" s="169"/>
      <c r="AL228" s="296"/>
      <c r="AM228" s="169"/>
    </row>
    <row r="229" spans="1:40" s="267" customFormat="1" x14ac:dyDescent="0.2">
      <c r="A229" s="380"/>
      <c r="B229" s="320"/>
      <c r="C229" s="309"/>
      <c r="D229" s="309"/>
      <c r="E229" s="309"/>
      <c r="F229" s="309"/>
      <c r="G229" s="309"/>
      <c r="H229" s="309"/>
      <c r="I229" s="309"/>
      <c r="J229" s="309"/>
      <c r="K229" s="309"/>
      <c r="L229" s="309"/>
      <c r="M229" s="309"/>
      <c r="N229" s="309"/>
      <c r="O229" s="309"/>
      <c r="P229" s="309"/>
      <c r="Q229" s="294"/>
      <c r="R229" s="458"/>
      <c r="S229" s="264"/>
      <c r="T229" s="278"/>
      <c r="U229" s="279"/>
      <c r="W229" s="296"/>
      <c r="X229" s="169"/>
      <c r="Z229" s="296"/>
      <c r="AA229" s="169"/>
      <c r="AC229" s="296"/>
      <c r="AD229" s="169"/>
      <c r="AF229" s="296"/>
      <c r="AG229" s="169"/>
      <c r="AI229" s="296"/>
      <c r="AJ229" s="169"/>
      <c r="AL229" s="296"/>
      <c r="AM229" s="169"/>
    </row>
    <row r="230" spans="1:40" s="267" customFormat="1" x14ac:dyDescent="0.2">
      <c r="A230" s="308"/>
      <c r="B230" s="308"/>
      <c r="C230" s="266"/>
      <c r="D230" s="337"/>
      <c r="E230" s="337"/>
      <c r="F230" s="337"/>
      <c r="G230" s="337"/>
      <c r="H230" s="337"/>
      <c r="I230" s="337"/>
      <c r="J230" s="337"/>
      <c r="K230" s="337"/>
      <c r="L230" s="337"/>
      <c r="M230" s="337"/>
      <c r="N230" s="337"/>
      <c r="O230" s="461"/>
      <c r="P230" s="462"/>
      <c r="Q230" s="463"/>
      <c r="R230" s="464"/>
      <c r="T230" s="305"/>
      <c r="U230" s="306"/>
      <c r="W230" s="296"/>
      <c r="X230" s="169"/>
      <c r="Z230" s="296"/>
      <c r="AA230" s="169"/>
      <c r="AC230" s="296"/>
      <c r="AD230" s="169"/>
      <c r="AF230" s="296"/>
      <c r="AG230" s="169"/>
      <c r="AI230" s="296"/>
      <c r="AJ230" s="169"/>
      <c r="AL230" s="296"/>
      <c r="AM230" s="169"/>
    </row>
    <row r="231" spans="1:40" s="267" customFormat="1" x14ac:dyDescent="0.2">
      <c r="A231" s="308"/>
      <c r="B231" s="265" t="s">
        <v>253</v>
      </c>
      <c r="C231" s="290"/>
      <c r="D231" s="290"/>
      <c r="E231" s="290"/>
      <c r="F231" s="290"/>
      <c r="G231" s="290"/>
      <c r="H231" s="290"/>
      <c r="I231" s="290"/>
      <c r="J231" s="290"/>
      <c r="K231" s="290"/>
      <c r="L231" s="290"/>
      <c r="M231" s="290"/>
      <c r="N231" s="290"/>
      <c r="O231" s="290"/>
      <c r="P231" s="261"/>
      <c r="Q231" s="262"/>
      <c r="R231" s="435"/>
      <c r="T231" s="305"/>
      <c r="U231" s="305"/>
      <c r="W231" s="296"/>
      <c r="X231" s="169"/>
      <c r="Z231" s="296"/>
      <c r="AA231" s="169"/>
      <c r="AC231" s="296"/>
      <c r="AD231" s="169"/>
      <c r="AF231" s="296"/>
      <c r="AG231" s="169"/>
      <c r="AI231" s="296"/>
      <c r="AJ231" s="169"/>
      <c r="AL231" s="296"/>
      <c r="AM231" s="169"/>
    </row>
    <row r="232" spans="1:40" s="267" customFormat="1" x14ac:dyDescent="0.2">
      <c r="A232" s="308"/>
      <c r="B232" s="308"/>
      <c r="C232" s="290"/>
      <c r="D232" s="290"/>
      <c r="E232" s="290"/>
      <c r="F232" s="290"/>
      <c r="G232" s="290"/>
      <c r="H232" s="290"/>
      <c r="I232" s="290"/>
      <c r="J232" s="290"/>
      <c r="K232" s="290"/>
      <c r="L232" s="290"/>
      <c r="M232" s="290"/>
      <c r="N232" s="290"/>
      <c r="O232" s="290"/>
      <c r="P232" s="261"/>
      <c r="Q232" s="262"/>
      <c r="R232" s="435"/>
      <c r="S232" s="307"/>
      <c r="T232" s="305"/>
      <c r="U232" s="305"/>
      <c r="W232" s="296"/>
      <c r="X232" s="169"/>
      <c r="Z232" s="296"/>
      <c r="AA232" s="169"/>
      <c r="AC232" s="296"/>
      <c r="AD232" s="169"/>
      <c r="AF232" s="296"/>
      <c r="AG232" s="169"/>
      <c r="AI232" s="296"/>
      <c r="AJ232" s="169"/>
      <c r="AL232" s="296"/>
      <c r="AM232" s="169"/>
    </row>
    <row r="233" spans="1:40" s="267" customFormat="1" ht="28.5" x14ac:dyDescent="0.2">
      <c r="A233" s="308"/>
      <c r="B233" s="202" t="s">
        <v>710</v>
      </c>
      <c r="C233" s="290"/>
      <c r="D233" s="290"/>
      <c r="E233" s="290"/>
      <c r="F233" s="290"/>
      <c r="G233" s="290"/>
      <c r="H233" s="290"/>
      <c r="I233" s="290"/>
      <c r="J233" s="290"/>
      <c r="K233" s="290"/>
      <c r="L233" s="290"/>
      <c r="M233" s="290"/>
      <c r="N233" s="290"/>
      <c r="O233" s="290"/>
      <c r="P233" s="261"/>
      <c r="Q233" s="262"/>
      <c r="R233" s="435"/>
      <c r="S233" s="307"/>
      <c r="T233" s="305"/>
      <c r="U233" s="305"/>
      <c r="W233" s="268"/>
      <c r="X233" s="305"/>
      <c r="Z233" s="268"/>
      <c r="AA233" s="305"/>
      <c r="AC233" s="268"/>
      <c r="AD233" s="305"/>
      <c r="AF233" s="268"/>
      <c r="AG233" s="305"/>
      <c r="AI233" s="268"/>
      <c r="AJ233" s="305"/>
      <c r="AL233" s="268"/>
      <c r="AM233" s="305"/>
    </row>
    <row r="234" spans="1:40" s="267" customFormat="1" x14ac:dyDescent="0.2">
      <c r="A234" s="308"/>
      <c r="B234" s="202"/>
      <c r="C234" s="290"/>
      <c r="D234" s="290"/>
      <c r="E234" s="290"/>
      <c r="F234" s="290"/>
      <c r="G234" s="290"/>
      <c r="H234" s="290"/>
      <c r="I234" s="290"/>
      <c r="J234" s="290"/>
      <c r="K234" s="290"/>
      <c r="L234" s="290"/>
      <c r="M234" s="290"/>
      <c r="N234" s="290"/>
      <c r="O234" s="290"/>
      <c r="P234" s="261"/>
      <c r="Q234" s="262"/>
      <c r="R234" s="435"/>
      <c r="S234" s="307"/>
      <c r="T234" s="305"/>
      <c r="U234" s="305"/>
      <c r="W234" s="268"/>
      <c r="X234" s="305"/>
      <c r="Z234" s="268"/>
      <c r="AA234" s="305"/>
      <c r="AC234" s="268"/>
      <c r="AD234" s="305"/>
      <c r="AF234" s="268"/>
      <c r="AG234" s="305"/>
      <c r="AI234" s="268"/>
      <c r="AJ234" s="305"/>
      <c r="AL234" s="268"/>
      <c r="AM234" s="305"/>
    </row>
    <row r="235" spans="1:40" s="267" customFormat="1" ht="28.5" x14ac:dyDescent="0.2">
      <c r="A235" s="308"/>
      <c r="B235" s="202" t="s">
        <v>711</v>
      </c>
      <c r="C235" s="290"/>
      <c r="D235" s="290"/>
      <c r="E235" s="290"/>
      <c r="F235" s="290"/>
      <c r="G235" s="290"/>
      <c r="H235" s="290"/>
      <c r="I235" s="290"/>
      <c r="J235" s="290"/>
      <c r="K235" s="290"/>
      <c r="L235" s="290"/>
      <c r="M235" s="290"/>
      <c r="N235" s="290"/>
      <c r="O235" s="290"/>
      <c r="P235" s="261"/>
      <c r="Q235" s="262"/>
      <c r="R235" s="435"/>
      <c r="T235" s="305"/>
      <c r="U235" s="305"/>
      <c r="W235" s="296"/>
      <c r="X235" s="169"/>
      <c r="Z235" s="296"/>
      <c r="AA235" s="169"/>
      <c r="AC235" s="296"/>
      <c r="AD235" s="169"/>
      <c r="AF235" s="296"/>
      <c r="AG235" s="169"/>
      <c r="AI235" s="296"/>
      <c r="AJ235" s="169"/>
      <c r="AL235" s="296"/>
      <c r="AM235" s="169"/>
    </row>
    <row r="236" spans="1:40" s="267" customFormat="1" x14ac:dyDescent="0.2">
      <c r="A236" s="308"/>
      <c r="B236" s="202"/>
      <c r="C236" s="290"/>
      <c r="D236" s="290"/>
      <c r="E236" s="290"/>
      <c r="F236" s="290"/>
      <c r="G236" s="290"/>
      <c r="H236" s="290"/>
      <c r="I236" s="290"/>
      <c r="J236" s="290"/>
      <c r="K236" s="290"/>
      <c r="L236" s="290"/>
      <c r="M236" s="290"/>
      <c r="N236" s="290"/>
      <c r="O236" s="290"/>
      <c r="P236" s="261"/>
      <c r="Q236" s="262"/>
      <c r="R236" s="435"/>
      <c r="T236" s="305"/>
      <c r="U236" s="305"/>
      <c r="W236" s="296"/>
      <c r="X236" s="169"/>
      <c r="Z236" s="296"/>
      <c r="AA236" s="169"/>
      <c r="AC236" s="296"/>
      <c r="AD236" s="169"/>
      <c r="AF236" s="296"/>
      <c r="AG236" s="169"/>
      <c r="AI236" s="296"/>
      <c r="AJ236" s="169"/>
      <c r="AL236" s="296"/>
      <c r="AM236" s="169"/>
    </row>
    <row r="237" spans="1:40" s="267" customFormat="1" x14ac:dyDescent="0.2">
      <c r="A237" s="308" t="s">
        <v>66</v>
      </c>
      <c r="B237" s="259" t="s">
        <v>202</v>
      </c>
      <c r="C237" s="290">
        <f>(W237+X237)*$C$3</f>
        <v>44</v>
      </c>
      <c r="D237" s="290">
        <f>C237*$Q237</f>
        <v>0</v>
      </c>
      <c r="E237" s="290">
        <f>(Z237+AA237)*$E$3</f>
        <v>50</v>
      </c>
      <c r="F237" s="290">
        <f>E237*$Q237</f>
        <v>0</v>
      </c>
      <c r="G237" s="290">
        <f>(AC237+AD237)*$G$3</f>
        <v>280</v>
      </c>
      <c r="H237" s="290">
        <f>G237*$Q237</f>
        <v>0</v>
      </c>
      <c r="I237" s="290">
        <f>(AF237+AG237)*$I$3</f>
        <v>62</v>
      </c>
      <c r="J237" s="290">
        <f>I237*$Q237</f>
        <v>0</v>
      </c>
      <c r="K237" s="290">
        <f>(AI237+AJ237)*$K$3</f>
        <v>204</v>
      </c>
      <c r="L237" s="290">
        <f>K237*$Q237</f>
        <v>0</v>
      </c>
      <c r="M237" s="290">
        <f>(AL237+AM237)*$M$3</f>
        <v>74</v>
      </c>
      <c r="N237" s="290">
        <f>M237*$Q237</f>
        <v>0</v>
      </c>
      <c r="O237" s="290">
        <f>C237+E237+G237+I237+K237+M237</f>
        <v>714</v>
      </c>
      <c r="P237" s="261" t="s">
        <v>12</v>
      </c>
      <c r="Q237" s="262"/>
      <c r="R237" s="435">
        <f>O237*Q237</f>
        <v>0</v>
      </c>
      <c r="T237" s="305">
        <v>16</v>
      </c>
      <c r="U237" s="266">
        <v>6</v>
      </c>
      <c r="W237" s="268">
        <f>T237*$W$3</f>
        <v>32</v>
      </c>
      <c r="X237" s="266">
        <f>U237*$X$3</f>
        <v>12</v>
      </c>
      <c r="Z237" s="268">
        <f>W237</f>
        <v>32</v>
      </c>
      <c r="AA237" s="266">
        <f>U237*$AA$3</f>
        <v>18</v>
      </c>
      <c r="AC237" s="268">
        <f>W237</f>
        <v>32</v>
      </c>
      <c r="AD237" s="266">
        <f>U237*$AD$3</f>
        <v>24</v>
      </c>
      <c r="AF237" s="268">
        <f>W237</f>
        <v>32</v>
      </c>
      <c r="AG237" s="266">
        <f>U237*$AG$3</f>
        <v>30</v>
      </c>
      <c r="AI237" s="268">
        <f>W237</f>
        <v>32</v>
      </c>
      <c r="AJ237" s="266">
        <f>U237*$AJ$3</f>
        <v>36</v>
      </c>
      <c r="AL237" s="268">
        <f>W237</f>
        <v>32</v>
      </c>
      <c r="AM237" s="266">
        <f>U237*$AM$3</f>
        <v>42</v>
      </c>
    </row>
    <row r="238" spans="1:40" s="267" customFormat="1" x14ac:dyDescent="0.2">
      <c r="A238" s="308"/>
      <c r="B238" s="308"/>
      <c r="C238" s="290"/>
      <c r="D238" s="290"/>
      <c r="E238" s="290"/>
      <c r="F238" s="290"/>
      <c r="G238" s="290"/>
      <c r="H238" s="290"/>
      <c r="I238" s="290"/>
      <c r="J238" s="290"/>
      <c r="K238" s="290"/>
      <c r="L238" s="290"/>
      <c r="M238" s="290"/>
      <c r="N238" s="290"/>
      <c r="O238" s="290"/>
      <c r="P238" s="261"/>
      <c r="Q238" s="262"/>
      <c r="R238" s="435"/>
      <c r="T238" s="305"/>
      <c r="U238" s="305"/>
      <c r="W238" s="296"/>
      <c r="X238" s="169"/>
      <c r="Z238" s="296"/>
      <c r="AA238" s="169"/>
      <c r="AC238" s="296"/>
      <c r="AD238" s="169"/>
      <c r="AF238" s="296"/>
      <c r="AG238" s="169"/>
      <c r="AI238" s="296"/>
      <c r="AJ238" s="169"/>
      <c r="AL238" s="296"/>
      <c r="AM238" s="169"/>
    </row>
    <row r="239" spans="1:40" s="267" customFormat="1" ht="28.5" x14ac:dyDescent="0.2">
      <c r="A239" s="308"/>
      <c r="B239" s="202" t="s">
        <v>712</v>
      </c>
      <c r="C239" s="290"/>
      <c r="D239" s="290"/>
      <c r="E239" s="290"/>
      <c r="F239" s="290"/>
      <c r="G239" s="290"/>
      <c r="H239" s="290"/>
      <c r="I239" s="290"/>
      <c r="J239" s="290"/>
      <c r="K239" s="290"/>
      <c r="L239" s="290"/>
      <c r="M239" s="290"/>
      <c r="N239" s="290"/>
      <c r="O239" s="290"/>
      <c r="P239" s="261"/>
      <c r="Q239" s="262"/>
      <c r="R239" s="435"/>
      <c r="T239" s="305"/>
      <c r="U239" s="305"/>
      <c r="W239" s="296"/>
      <c r="X239" s="169"/>
      <c r="Z239" s="296"/>
      <c r="AA239" s="169"/>
      <c r="AC239" s="296"/>
      <c r="AD239" s="169"/>
      <c r="AF239" s="296"/>
      <c r="AG239" s="169"/>
      <c r="AI239" s="296"/>
      <c r="AJ239" s="169"/>
      <c r="AL239" s="296"/>
      <c r="AM239" s="169"/>
    </row>
    <row r="240" spans="1:40" s="267" customFormat="1" x14ac:dyDescent="0.2">
      <c r="A240" s="308"/>
      <c r="B240" s="202"/>
      <c r="C240" s="290"/>
      <c r="D240" s="290"/>
      <c r="E240" s="290"/>
      <c r="F240" s="290"/>
      <c r="G240" s="290"/>
      <c r="H240" s="290"/>
      <c r="I240" s="290"/>
      <c r="J240" s="290"/>
      <c r="K240" s="290"/>
      <c r="L240" s="290"/>
      <c r="M240" s="290"/>
      <c r="N240" s="290"/>
      <c r="O240" s="290"/>
      <c r="P240" s="261"/>
      <c r="Q240" s="262"/>
      <c r="R240" s="435"/>
      <c r="T240" s="305"/>
      <c r="U240" s="305"/>
      <c r="W240" s="296"/>
      <c r="X240" s="169"/>
      <c r="Z240" s="296"/>
      <c r="AA240" s="169"/>
      <c r="AC240" s="296"/>
      <c r="AD240" s="169"/>
      <c r="AF240" s="296"/>
      <c r="AG240" s="169"/>
      <c r="AI240" s="296"/>
      <c r="AJ240" s="169"/>
      <c r="AL240" s="296"/>
      <c r="AM240" s="169"/>
    </row>
    <row r="241" spans="1:39" s="267" customFormat="1" x14ac:dyDescent="0.2">
      <c r="A241" s="308" t="s">
        <v>67</v>
      </c>
      <c r="B241" s="269" t="s">
        <v>202</v>
      </c>
      <c r="C241" s="290">
        <f>(W241+X241)*$C$3</f>
        <v>10</v>
      </c>
      <c r="D241" s="290">
        <f>C241*$Q241</f>
        <v>0</v>
      </c>
      <c r="E241" s="290">
        <f>(Z241+AA241)*$E$3</f>
        <v>10</v>
      </c>
      <c r="F241" s="290">
        <f>E241*$Q241</f>
        <v>0</v>
      </c>
      <c r="G241" s="290">
        <f>(AC241+AD241)*$G$3</f>
        <v>50</v>
      </c>
      <c r="H241" s="290">
        <f>G241*$Q241</f>
        <v>0</v>
      </c>
      <c r="I241" s="290">
        <f>(AF241+AG241)*$I$3</f>
        <v>10</v>
      </c>
      <c r="J241" s="290">
        <f>I241*$Q241</f>
        <v>0</v>
      </c>
      <c r="K241" s="290">
        <f>(AI241+AJ241)*$K$3</f>
        <v>30</v>
      </c>
      <c r="L241" s="290">
        <f>K241*$Q241</f>
        <v>0</v>
      </c>
      <c r="M241" s="290">
        <f>(AL241+AM241)*$M$3</f>
        <v>10</v>
      </c>
      <c r="N241" s="290">
        <f>M241*$Q241</f>
        <v>0</v>
      </c>
      <c r="O241" s="290">
        <f>C241+E241+G241+I241+K241+M241</f>
        <v>120</v>
      </c>
      <c r="P241" s="261" t="s">
        <v>12</v>
      </c>
      <c r="Q241" s="262"/>
      <c r="R241" s="435">
        <f>O241*Q241</f>
        <v>0</v>
      </c>
      <c r="T241" s="305">
        <v>5</v>
      </c>
      <c r="U241" s="266">
        <v>0</v>
      </c>
      <c r="W241" s="298">
        <f>T241*$W$3</f>
        <v>10</v>
      </c>
      <c r="X241" s="299">
        <f>U241*$X$3</f>
        <v>0</v>
      </c>
      <c r="Z241" s="298">
        <f>W241</f>
        <v>10</v>
      </c>
      <c r="AA241" s="299">
        <f>U241*$AA$3</f>
        <v>0</v>
      </c>
      <c r="AC241" s="298">
        <f>W241</f>
        <v>10</v>
      </c>
      <c r="AD241" s="299">
        <f>U241*$AD$3</f>
        <v>0</v>
      </c>
      <c r="AF241" s="298">
        <f>W241</f>
        <v>10</v>
      </c>
      <c r="AG241" s="299">
        <f>U241*$AG$3</f>
        <v>0</v>
      </c>
      <c r="AI241" s="298">
        <f>W241</f>
        <v>10</v>
      </c>
      <c r="AJ241" s="299">
        <f>U241*$AJ$3</f>
        <v>0</v>
      </c>
      <c r="AL241" s="298">
        <f>W241</f>
        <v>10</v>
      </c>
      <c r="AM241" s="299">
        <f>U241*$AM$3</f>
        <v>0</v>
      </c>
    </row>
    <row r="242" spans="1:39" s="267" customFormat="1" x14ac:dyDescent="0.2">
      <c r="A242" s="308"/>
      <c r="B242" s="309"/>
      <c r="C242" s="290"/>
      <c r="D242" s="290"/>
      <c r="E242" s="290"/>
      <c r="F242" s="290"/>
      <c r="G242" s="290"/>
      <c r="H242" s="290"/>
      <c r="I242" s="290"/>
      <c r="J242" s="290"/>
      <c r="K242" s="290"/>
      <c r="L242" s="290"/>
      <c r="M242" s="290"/>
      <c r="N242" s="290"/>
      <c r="O242" s="290"/>
      <c r="P242" s="261"/>
      <c r="Q242" s="262"/>
      <c r="R242" s="435"/>
      <c r="T242" s="305"/>
      <c r="U242" s="305"/>
      <c r="W242" s="296"/>
      <c r="X242" s="169"/>
      <c r="Z242" s="296"/>
      <c r="AA242" s="169"/>
      <c r="AC242" s="296"/>
      <c r="AD242" s="169"/>
      <c r="AF242" s="296"/>
      <c r="AG242" s="169"/>
      <c r="AI242" s="296"/>
      <c r="AJ242" s="169"/>
      <c r="AL242" s="296"/>
      <c r="AM242" s="169"/>
    </row>
    <row r="243" spans="1:39" s="267" customFormat="1" x14ac:dyDescent="0.2">
      <c r="A243" s="308" t="s">
        <v>68</v>
      </c>
      <c r="B243" s="259" t="s">
        <v>203</v>
      </c>
      <c r="C243" s="290">
        <f>(W243+X243)*$C$3</f>
        <v>14</v>
      </c>
      <c r="D243" s="290">
        <f>C243*$Q243</f>
        <v>0</v>
      </c>
      <c r="E243" s="290">
        <f>(Z243+AA243)*$E$3</f>
        <v>21</v>
      </c>
      <c r="F243" s="290">
        <f>E243*$Q243</f>
        <v>0</v>
      </c>
      <c r="G243" s="290">
        <f>(AC243+AD243)*$G$3</f>
        <v>140</v>
      </c>
      <c r="H243" s="290">
        <f>G243*$Q243</f>
        <v>0</v>
      </c>
      <c r="I243" s="290">
        <f>(AF243+AG243)*$I$3</f>
        <v>35</v>
      </c>
      <c r="J243" s="290">
        <f>I243*$Q243</f>
        <v>0</v>
      </c>
      <c r="K243" s="290">
        <f>(AI243+AJ243)*$K$3</f>
        <v>126</v>
      </c>
      <c r="L243" s="290">
        <f>K243*$Q243</f>
        <v>0</v>
      </c>
      <c r="M243" s="290">
        <f>(AL243+AM243)*$M$3</f>
        <v>49</v>
      </c>
      <c r="N243" s="290">
        <f>M243*$Q243</f>
        <v>0</v>
      </c>
      <c r="O243" s="290">
        <f>C243+E243+G243+I243+K243+M243</f>
        <v>385</v>
      </c>
      <c r="P243" s="261" t="s">
        <v>12</v>
      </c>
      <c r="Q243" s="262"/>
      <c r="R243" s="435">
        <f>O243*Q243</f>
        <v>0</v>
      </c>
      <c r="T243" s="305"/>
      <c r="U243" s="266">
        <v>7</v>
      </c>
      <c r="W243" s="268">
        <f>T243*$W$3</f>
        <v>0</v>
      </c>
      <c r="X243" s="266">
        <f>U243*$X$3</f>
        <v>14</v>
      </c>
      <c r="Z243" s="268">
        <f>W243</f>
        <v>0</v>
      </c>
      <c r="AA243" s="266">
        <f>U243*$AA$3</f>
        <v>21</v>
      </c>
      <c r="AC243" s="268">
        <f>W243</f>
        <v>0</v>
      </c>
      <c r="AD243" s="266">
        <f>U243*$AD$3</f>
        <v>28</v>
      </c>
      <c r="AF243" s="268">
        <f>W243</f>
        <v>0</v>
      </c>
      <c r="AG243" s="266">
        <f>U243*$AG$3</f>
        <v>35</v>
      </c>
      <c r="AI243" s="268">
        <f>W243</f>
        <v>0</v>
      </c>
      <c r="AJ243" s="266">
        <f>U243*$AJ$3</f>
        <v>42</v>
      </c>
      <c r="AL243" s="268">
        <f>W243</f>
        <v>0</v>
      </c>
      <c r="AM243" s="266">
        <f>U243*$AM$3</f>
        <v>49</v>
      </c>
    </row>
    <row r="244" spans="1:39" s="267" customFormat="1" x14ac:dyDescent="0.2">
      <c r="A244" s="308"/>
      <c r="B244" s="308"/>
      <c r="C244" s="290"/>
      <c r="D244" s="290"/>
      <c r="E244" s="290"/>
      <c r="F244" s="290"/>
      <c r="G244" s="290"/>
      <c r="H244" s="290"/>
      <c r="I244" s="290"/>
      <c r="J244" s="290"/>
      <c r="K244" s="290"/>
      <c r="L244" s="290"/>
      <c r="M244" s="290"/>
      <c r="N244" s="290"/>
      <c r="O244" s="290"/>
      <c r="P244" s="261"/>
      <c r="Q244" s="262"/>
      <c r="R244" s="435"/>
      <c r="T244" s="305"/>
      <c r="U244" s="305"/>
      <c r="W244" s="296"/>
      <c r="X244" s="169"/>
      <c r="Z244" s="296"/>
      <c r="AA244" s="169"/>
      <c r="AC244" s="296"/>
      <c r="AD244" s="169"/>
      <c r="AF244" s="296"/>
      <c r="AG244" s="169"/>
      <c r="AI244" s="296"/>
      <c r="AJ244" s="169"/>
      <c r="AL244" s="296"/>
      <c r="AM244" s="169"/>
    </row>
    <row r="245" spans="1:39" s="267" customFormat="1" x14ac:dyDescent="0.2">
      <c r="A245" s="308"/>
      <c r="B245" s="202" t="s">
        <v>713</v>
      </c>
      <c r="C245" s="290"/>
      <c r="D245" s="290"/>
      <c r="E245" s="290"/>
      <c r="F245" s="290"/>
      <c r="G245" s="290"/>
      <c r="H245" s="290"/>
      <c r="I245" s="290"/>
      <c r="J245" s="290"/>
      <c r="K245" s="290"/>
      <c r="L245" s="290"/>
      <c r="M245" s="290"/>
      <c r="N245" s="290"/>
      <c r="O245" s="290"/>
      <c r="P245" s="261"/>
      <c r="Q245" s="262"/>
      <c r="R245" s="435"/>
      <c r="T245" s="305"/>
      <c r="U245" s="305"/>
      <c r="W245" s="296"/>
      <c r="X245" s="169"/>
      <c r="Z245" s="296"/>
      <c r="AA245" s="169"/>
      <c r="AC245" s="296"/>
      <c r="AD245" s="169"/>
      <c r="AF245" s="296"/>
      <c r="AG245" s="169"/>
      <c r="AI245" s="296"/>
      <c r="AJ245" s="169"/>
      <c r="AL245" s="296"/>
      <c r="AM245" s="169"/>
    </row>
    <row r="246" spans="1:39" s="267" customFormat="1" x14ac:dyDescent="0.2">
      <c r="A246" s="308"/>
      <c r="B246" s="202"/>
      <c r="C246" s="290"/>
      <c r="D246" s="290"/>
      <c r="E246" s="290"/>
      <c r="F246" s="290"/>
      <c r="G246" s="290"/>
      <c r="H246" s="290"/>
      <c r="I246" s="290"/>
      <c r="J246" s="290"/>
      <c r="K246" s="290"/>
      <c r="L246" s="290"/>
      <c r="M246" s="290"/>
      <c r="N246" s="290"/>
      <c r="O246" s="290"/>
      <c r="P246" s="261"/>
      <c r="Q246" s="262"/>
      <c r="R246" s="435"/>
      <c r="T246" s="305"/>
      <c r="U246" s="305"/>
      <c r="W246" s="296"/>
      <c r="X246" s="169"/>
      <c r="Z246" s="296"/>
      <c r="AA246" s="169"/>
      <c r="AC246" s="296"/>
      <c r="AD246" s="169"/>
      <c r="AF246" s="296"/>
      <c r="AG246" s="169"/>
      <c r="AI246" s="296"/>
      <c r="AJ246" s="169"/>
      <c r="AL246" s="296"/>
      <c r="AM246" s="169"/>
    </row>
    <row r="247" spans="1:39" s="267" customFormat="1" x14ac:dyDescent="0.2">
      <c r="A247" s="308" t="s">
        <v>69</v>
      </c>
      <c r="B247" s="259" t="s">
        <v>202</v>
      </c>
      <c r="C247" s="290">
        <f>(W247+X247)*$C$3</f>
        <v>20</v>
      </c>
      <c r="D247" s="290">
        <f>C247*$Q247</f>
        <v>0</v>
      </c>
      <c r="E247" s="290">
        <f>(Z247+AA247)*$E$3</f>
        <v>25</v>
      </c>
      <c r="F247" s="290">
        <f>E247*$Q247</f>
        <v>0</v>
      </c>
      <c r="G247" s="290">
        <f>(AC247+AD247)*$G$3</f>
        <v>150</v>
      </c>
      <c r="H247" s="290">
        <f>G247*$Q247</f>
        <v>0</v>
      </c>
      <c r="I247" s="290">
        <f>(AF247+AG247)*$I$3</f>
        <v>35</v>
      </c>
      <c r="J247" s="290">
        <f>I247*$Q247</f>
        <v>0</v>
      </c>
      <c r="K247" s="290">
        <f>(AI247+AJ247)*$K$3</f>
        <v>120</v>
      </c>
      <c r="L247" s="290">
        <f>K247*$Q247</f>
        <v>0</v>
      </c>
      <c r="M247" s="290">
        <f>(AL247+AM247)*$M$3</f>
        <v>45</v>
      </c>
      <c r="N247" s="290">
        <f>M247*$Q247</f>
        <v>0</v>
      </c>
      <c r="O247" s="290">
        <f>C247+E247+G247+I247+K247+M247</f>
        <v>395</v>
      </c>
      <c r="P247" s="261" t="s">
        <v>12</v>
      </c>
      <c r="Q247" s="262"/>
      <c r="R247" s="435">
        <f>O247*Q247</f>
        <v>0</v>
      </c>
      <c r="T247" s="305">
        <v>5</v>
      </c>
      <c r="U247" s="266">
        <v>5</v>
      </c>
      <c r="W247" s="268">
        <f>T247*$W$3</f>
        <v>10</v>
      </c>
      <c r="X247" s="266">
        <f>U247*$X$3</f>
        <v>10</v>
      </c>
      <c r="Z247" s="268">
        <f>W247</f>
        <v>10</v>
      </c>
      <c r="AA247" s="266">
        <f>U247*$AA$3</f>
        <v>15</v>
      </c>
      <c r="AC247" s="268">
        <f>W247</f>
        <v>10</v>
      </c>
      <c r="AD247" s="266">
        <f>U247*$AD$3</f>
        <v>20</v>
      </c>
      <c r="AF247" s="268">
        <f>W247</f>
        <v>10</v>
      </c>
      <c r="AG247" s="266">
        <f>U247*$AG$3</f>
        <v>25</v>
      </c>
      <c r="AI247" s="268">
        <f>W247</f>
        <v>10</v>
      </c>
      <c r="AJ247" s="266">
        <f>U247*$AJ$3</f>
        <v>30</v>
      </c>
      <c r="AL247" s="268">
        <f>W247</f>
        <v>10</v>
      </c>
      <c r="AM247" s="266">
        <f>U247*$AM$3</f>
        <v>35</v>
      </c>
    </row>
    <row r="248" spans="1:39" s="267" customFormat="1" x14ac:dyDescent="0.2">
      <c r="A248" s="308"/>
      <c r="B248" s="308"/>
      <c r="C248" s="290"/>
      <c r="D248" s="290"/>
      <c r="E248" s="290"/>
      <c r="F248" s="290"/>
      <c r="G248" s="290"/>
      <c r="H248" s="290"/>
      <c r="I248" s="290"/>
      <c r="J248" s="290"/>
      <c r="K248" s="290"/>
      <c r="L248" s="290"/>
      <c r="M248" s="290"/>
      <c r="N248" s="290"/>
      <c r="O248" s="290"/>
      <c r="P248" s="261"/>
      <c r="Q248" s="262"/>
      <c r="R248" s="435"/>
      <c r="T248" s="305"/>
      <c r="U248" s="305"/>
      <c r="W248" s="296"/>
      <c r="X248" s="169"/>
      <c r="Z248" s="296"/>
      <c r="AA248" s="169"/>
      <c r="AC248" s="296"/>
      <c r="AD248" s="169"/>
      <c r="AF248" s="296"/>
      <c r="AG248" s="169"/>
      <c r="AI248" s="296"/>
      <c r="AJ248" s="169"/>
      <c r="AL248" s="296"/>
      <c r="AM248" s="169"/>
    </row>
    <row r="249" spans="1:39" s="267" customFormat="1" x14ac:dyDescent="0.2">
      <c r="A249" s="308"/>
      <c r="B249" s="265" t="s">
        <v>714</v>
      </c>
      <c r="C249" s="290"/>
      <c r="D249" s="290"/>
      <c r="E249" s="290"/>
      <c r="F249" s="290"/>
      <c r="G249" s="290"/>
      <c r="H249" s="290"/>
      <c r="I249" s="290"/>
      <c r="J249" s="290"/>
      <c r="K249" s="290"/>
      <c r="L249" s="290"/>
      <c r="M249" s="290"/>
      <c r="N249" s="290"/>
      <c r="O249" s="290"/>
      <c r="P249" s="261"/>
      <c r="Q249" s="262"/>
      <c r="R249" s="435"/>
      <c r="T249" s="305"/>
      <c r="U249" s="305"/>
      <c r="W249" s="296"/>
      <c r="X249" s="169"/>
      <c r="Z249" s="296"/>
      <c r="AA249" s="169"/>
      <c r="AC249" s="296"/>
      <c r="AD249" s="169"/>
      <c r="AF249" s="296"/>
      <c r="AG249" s="169"/>
      <c r="AI249" s="296"/>
      <c r="AJ249" s="169"/>
      <c r="AL249" s="296"/>
      <c r="AM249" s="169"/>
    </row>
    <row r="250" spans="1:39" s="267" customFormat="1" x14ac:dyDescent="0.2">
      <c r="A250" s="308"/>
      <c r="B250" s="308"/>
      <c r="C250" s="290"/>
      <c r="D250" s="290"/>
      <c r="E250" s="290"/>
      <c r="F250" s="290"/>
      <c r="G250" s="290"/>
      <c r="H250" s="290"/>
      <c r="I250" s="290"/>
      <c r="J250" s="290"/>
      <c r="K250" s="290"/>
      <c r="L250" s="290"/>
      <c r="M250" s="290"/>
      <c r="N250" s="290">
        <f t="shared" ref="N250:N258" si="0">M250*$Q250</f>
        <v>0</v>
      </c>
      <c r="O250" s="290"/>
      <c r="P250" s="261"/>
      <c r="Q250" s="262"/>
      <c r="R250" s="435"/>
      <c r="T250" s="305"/>
      <c r="U250" s="305"/>
      <c r="W250" s="296"/>
      <c r="X250" s="169"/>
      <c r="Z250" s="296"/>
      <c r="AA250" s="169"/>
      <c r="AC250" s="296"/>
      <c r="AD250" s="169"/>
      <c r="AF250" s="296"/>
      <c r="AG250" s="169"/>
      <c r="AI250" s="296"/>
      <c r="AJ250" s="169"/>
      <c r="AL250" s="296"/>
      <c r="AM250" s="169"/>
    </row>
    <row r="251" spans="1:39" s="267" customFormat="1" x14ac:dyDescent="0.2">
      <c r="A251" s="308" t="s">
        <v>70</v>
      </c>
      <c r="B251" s="259" t="s">
        <v>206</v>
      </c>
      <c r="C251" s="290">
        <f>(W251+X251)*$C$3</f>
        <v>196</v>
      </c>
      <c r="D251" s="290">
        <f>C251*$Q251</f>
        <v>0</v>
      </c>
      <c r="E251" s="290">
        <f>(Z251+AA251)*$E$3</f>
        <v>243</v>
      </c>
      <c r="F251" s="290">
        <f>E251*$Q251</f>
        <v>0</v>
      </c>
      <c r="G251" s="290">
        <f>(AC251+AD251)*$G$3</f>
        <v>1450</v>
      </c>
      <c r="H251" s="290">
        <f>G251*$Q251</f>
        <v>0</v>
      </c>
      <c r="I251" s="290">
        <f>(AF251+AG251)*$I$3</f>
        <v>337</v>
      </c>
      <c r="J251" s="290">
        <f>I251*$Q251</f>
        <v>0</v>
      </c>
      <c r="K251" s="290">
        <f>(AI251+AJ251)*$K$3</f>
        <v>1152</v>
      </c>
      <c r="L251" s="290">
        <f>K251*$Q251</f>
        <v>0</v>
      </c>
      <c r="M251" s="290">
        <f>(AL251+AM251)*$M$3</f>
        <v>431</v>
      </c>
      <c r="N251" s="290">
        <f>M251*$Q251</f>
        <v>0</v>
      </c>
      <c r="O251" s="290">
        <f>C251+E251+G251+I251+K251+M251</f>
        <v>3809</v>
      </c>
      <c r="P251" s="261" t="s">
        <v>12</v>
      </c>
      <c r="Q251" s="262"/>
      <c r="R251" s="435">
        <f>O251*Q251</f>
        <v>0</v>
      </c>
      <c r="T251" s="305">
        <v>51</v>
      </c>
      <c r="U251" s="266">
        <v>47</v>
      </c>
      <c r="W251" s="268">
        <f>T251*$W$3</f>
        <v>102</v>
      </c>
      <c r="X251" s="266">
        <f>U251*$X$3</f>
        <v>94</v>
      </c>
      <c r="Z251" s="268">
        <f>W251</f>
        <v>102</v>
      </c>
      <c r="AA251" s="266">
        <f>U251*$AA$3</f>
        <v>141</v>
      </c>
      <c r="AC251" s="268">
        <f>W251</f>
        <v>102</v>
      </c>
      <c r="AD251" s="266">
        <f>U251*$AD$3</f>
        <v>188</v>
      </c>
      <c r="AF251" s="268">
        <f>W251</f>
        <v>102</v>
      </c>
      <c r="AG251" s="266">
        <f>U251*$AG$3</f>
        <v>235</v>
      </c>
      <c r="AI251" s="268">
        <f>W251</f>
        <v>102</v>
      </c>
      <c r="AJ251" s="266">
        <f>U251*$AJ$3</f>
        <v>282</v>
      </c>
      <c r="AL251" s="268">
        <f>W251</f>
        <v>102</v>
      </c>
      <c r="AM251" s="266">
        <f>U251*$AM$3</f>
        <v>329</v>
      </c>
    </row>
    <row r="252" spans="1:39" s="267" customFormat="1" x14ac:dyDescent="0.2">
      <c r="A252" s="308"/>
      <c r="B252" s="308"/>
      <c r="C252" s="290"/>
      <c r="D252" s="290"/>
      <c r="E252" s="290"/>
      <c r="F252" s="290"/>
      <c r="G252" s="290"/>
      <c r="H252" s="290"/>
      <c r="I252" s="290"/>
      <c r="J252" s="290"/>
      <c r="K252" s="290"/>
      <c r="L252" s="290"/>
      <c r="M252" s="290"/>
      <c r="N252" s="290">
        <f t="shared" ref="N252" si="1">M252*$Q252</f>
        <v>0</v>
      </c>
      <c r="O252" s="290"/>
      <c r="P252" s="261"/>
      <c r="Q252" s="262"/>
      <c r="R252" s="435"/>
      <c r="T252" s="305"/>
      <c r="U252" s="305"/>
      <c r="W252" s="296"/>
      <c r="X252" s="169"/>
      <c r="Z252" s="296"/>
      <c r="AA252" s="169"/>
      <c r="AC252" s="296"/>
      <c r="AD252" s="169"/>
      <c r="AF252" s="296"/>
      <c r="AG252" s="169"/>
      <c r="AI252" s="296"/>
      <c r="AJ252" s="169"/>
      <c r="AL252" s="296"/>
      <c r="AM252" s="169"/>
    </row>
    <row r="253" spans="1:39" s="267" customFormat="1" x14ac:dyDescent="0.2">
      <c r="A253" s="308" t="s">
        <v>71</v>
      </c>
      <c r="B253" s="259" t="s">
        <v>210</v>
      </c>
      <c r="C253" s="290">
        <f>(W253+X253)*$C$3</f>
        <v>30</v>
      </c>
      <c r="D253" s="290">
        <f>C253*$Q253</f>
        <v>0</v>
      </c>
      <c r="E253" s="290">
        <f>(Z253+AA253)*$E$3</f>
        <v>38</v>
      </c>
      <c r="F253" s="290">
        <f>E253*$Q253</f>
        <v>0</v>
      </c>
      <c r="G253" s="290">
        <f>(AC253+AD253)*$G$3</f>
        <v>230</v>
      </c>
      <c r="H253" s="290">
        <f>G253*$Q253</f>
        <v>0</v>
      </c>
      <c r="I253" s="290">
        <f>(AF253+AG253)*$I$3</f>
        <v>54</v>
      </c>
      <c r="J253" s="290">
        <f>I253*$Q253</f>
        <v>0</v>
      </c>
      <c r="K253" s="290">
        <f>(AI253+AJ253)*$K$3</f>
        <v>186</v>
      </c>
      <c r="L253" s="290">
        <f>K253*$Q253</f>
        <v>0</v>
      </c>
      <c r="M253" s="290">
        <f>(AL253+AM253)*$M$3</f>
        <v>70</v>
      </c>
      <c r="N253" s="290">
        <f>M253*$Q253</f>
        <v>0</v>
      </c>
      <c r="O253" s="290">
        <f>C253+E253+G253+I253+K253+M253</f>
        <v>608</v>
      </c>
      <c r="P253" s="261" t="s">
        <v>12</v>
      </c>
      <c r="Q253" s="262"/>
      <c r="R253" s="435">
        <f>O253*Q253</f>
        <v>0</v>
      </c>
      <c r="T253" s="305">
        <f>1+5+1</f>
        <v>7</v>
      </c>
      <c r="U253" s="266">
        <f>2+5+1</f>
        <v>8</v>
      </c>
      <c r="W253" s="268">
        <f>T253*$W$3</f>
        <v>14</v>
      </c>
      <c r="X253" s="266">
        <f>U253*$X$3</f>
        <v>16</v>
      </c>
      <c r="Z253" s="268">
        <f>W253</f>
        <v>14</v>
      </c>
      <c r="AA253" s="266">
        <f>U253*$AA$3</f>
        <v>24</v>
      </c>
      <c r="AC253" s="268">
        <f>W253</f>
        <v>14</v>
      </c>
      <c r="AD253" s="266">
        <f>U253*$AD$3</f>
        <v>32</v>
      </c>
      <c r="AF253" s="268">
        <f>W253</f>
        <v>14</v>
      </c>
      <c r="AG253" s="266">
        <f>U253*$AG$3</f>
        <v>40</v>
      </c>
      <c r="AI253" s="268">
        <f>W253</f>
        <v>14</v>
      </c>
      <c r="AJ253" s="266">
        <f>U253*$AJ$3</f>
        <v>48</v>
      </c>
      <c r="AL253" s="268">
        <f>W253</f>
        <v>14</v>
      </c>
      <c r="AM253" s="266">
        <f>U253*$AM$3</f>
        <v>56</v>
      </c>
    </row>
    <row r="254" spans="1:39" s="267" customFormat="1" x14ac:dyDescent="0.2">
      <c r="A254" s="308"/>
      <c r="B254" s="308"/>
      <c r="C254" s="290"/>
      <c r="D254" s="290"/>
      <c r="E254" s="290"/>
      <c r="F254" s="290"/>
      <c r="G254" s="290"/>
      <c r="H254" s="290"/>
      <c r="I254" s="290"/>
      <c r="J254" s="290"/>
      <c r="K254" s="290"/>
      <c r="L254" s="290"/>
      <c r="M254" s="290"/>
      <c r="N254" s="290">
        <f t="shared" ref="N254" si="2">M254*$Q254</f>
        <v>0</v>
      </c>
      <c r="O254" s="290"/>
      <c r="P254" s="261"/>
      <c r="Q254" s="262"/>
      <c r="R254" s="435"/>
      <c r="T254" s="305"/>
      <c r="U254" s="305"/>
      <c r="W254" s="296"/>
      <c r="X254" s="169"/>
      <c r="Z254" s="296"/>
      <c r="AA254" s="169"/>
      <c r="AC254" s="296"/>
      <c r="AD254" s="169"/>
      <c r="AF254" s="296"/>
      <c r="AG254" s="169"/>
      <c r="AI254" s="296"/>
      <c r="AJ254" s="169"/>
      <c r="AL254" s="296"/>
      <c r="AM254" s="169"/>
    </row>
    <row r="255" spans="1:39" s="267" customFormat="1" x14ac:dyDescent="0.2">
      <c r="A255" s="308" t="s">
        <v>72</v>
      </c>
      <c r="B255" s="259" t="s">
        <v>201</v>
      </c>
      <c r="C255" s="290">
        <f>(W255+X255)*$C$3</f>
        <v>24</v>
      </c>
      <c r="D255" s="290">
        <f>C255*$Q255</f>
        <v>0</v>
      </c>
      <c r="E255" s="290">
        <f>(Z255+AA255)*$E$3</f>
        <v>32</v>
      </c>
      <c r="F255" s="290">
        <f>E255*$Q255</f>
        <v>0</v>
      </c>
      <c r="G255" s="290">
        <f>(AC255+AD255)*$G$3</f>
        <v>200</v>
      </c>
      <c r="H255" s="290">
        <f>G255*$Q255</f>
        <v>0</v>
      </c>
      <c r="I255" s="290">
        <f>(AF255+AG255)*$I$3</f>
        <v>48</v>
      </c>
      <c r="J255" s="290">
        <f>I255*$Q255</f>
        <v>0</v>
      </c>
      <c r="K255" s="290">
        <f>(AI255+AJ255)*$K$3</f>
        <v>168</v>
      </c>
      <c r="L255" s="290">
        <f>K255*$Q255</f>
        <v>0</v>
      </c>
      <c r="M255" s="290">
        <f>(AL255+AM255)*$M$3</f>
        <v>64</v>
      </c>
      <c r="N255" s="290">
        <f>M255*$Q255</f>
        <v>0</v>
      </c>
      <c r="O255" s="290">
        <f>C255+E255+G255+I255+K255+M255</f>
        <v>536</v>
      </c>
      <c r="P255" s="261" t="s">
        <v>12</v>
      </c>
      <c r="Q255" s="262"/>
      <c r="R255" s="435">
        <f>O255*Q255</f>
        <v>0</v>
      </c>
      <c r="T255" s="305">
        <v>4</v>
      </c>
      <c r="U255" s="266">
        <v>8</v>
      </c>
      <c r="W255" s="268">
        <f>T255*$W$3</f>
        <v>8</v>
      </c>
      <c r="X255" s="266">
        <f>U255*$X$3</f>
        <v>16</v>
      </c>
      <c r="Z255" s="268">
        <f>W255</f>
        <v>8</v>
      </c>
      <c r="AA255" s="266">
        <f>U255*$AA$3</f>
        <v>24</v>
      </c>
      <c r="AC255" s="268">
        <f>W255</f>
        <v>8</v>
      </c>
      <c r="AD255" s="266">
        <f>U255*$AD$3</f>
        <v>32</v>
      </c>
      <c r="AF255" s="268">
        <f>W255</f>
        <v>8</v>
      </c>
      <c r="AG255" s="266">
        <f>U255*$AG$3</f>
        <v>40</v>
      </c>
      <c r="AI255" s="268">
        <f>W255</f>
        <v>8</v>
      </c>
      <c r="AJ255" s="266">
        <f>U255*$AJ$3</f>
        <v>48</v>
      </c>
      <c r="AL255" s="268">
        <f>W255</f>
        <v>8</v>
      </c>
      <c r="AM255" s="266">
        <f>U255*$AM$3</f>
        <v>56</v>
      </c>
    </row>
    <row r="256" spans="1:39" s="267" customFormat="1" ht="15" x14ac:dyDescent="0.2">
      <c r="A256" s="308"/>
      <c r="B256" s="308"/>
      <c r="C256" s="290"/>
      <c r="D256" s="290"/>
      <c r="E256" s="290"/>
      <c r="F256" s="290"/>
      <c r="G256" s="290"/>
      <c r="H256" s="290"/>
      <c r="I256" s="290"/>
      <c r="J256" s="290"/>
      <c r="K256" s="290"/>
      <c r="L256" s="290"/>
      <c r="M256" s="290"/>
      <c r="N256" s="290">
        <f t="shared" si="0"/>
        <v>0</v>
      </c>
      <c r="O256" s="290"/>
      <c r="P256" s="261"/>
      <c r="Q256" s="262"/>
      <c r="R256" s="435"/>
      <c r="T256" s="305"/>
      <c r="U256" s="310"/>
      <c r="W256" s="296"/>
      <c r="X256" s="169"/>
      <c r="Z256" s="296"/>
      <c r="AA256" s="169"/>
      <c r="AC256" s="296"/>
      <c r="AD256" s="169"/>
      <c r="AF256" s="296"/>
      <c r="AG256" s="169"/>
      <c r="AI256" s="296"/>
      <c r="AJ256" s="169"/>
      <c r="AL256" s="296"/>
      <c r="AM256" s="169"/>
    </row>
    <row r="257" spans="1:39" s="267" customFormat="1" x14ac:dyDescent="0.2">
      <c r="A257" s="308" t="s">
        <v>73</v>
      </c>
      <c r="B257" s="259" t="s">
        <v>202</v>
      </c>
      <c r="C257" s="290">
        <f>(W257+X257)*$C$3</f>
        <v>66</v>
      </c>
      <c r="D257" s="290">
        <f>C257*$Q257</f>
        <v>0</v>
      </c>
      <c r="E257" s="290">
        <f>(Z257+AA257)*$E$3</f>
        <v>82</v>
      </c>
      <c r="F257" s="290">
        <f>E257*$Q257</f>
        <v>0</v>
      </c>
      <c r="G257" s="290">
        <f>(AC257+AD257)*$G$3</f>
        <v>490</v>
      </c>
      <c r="H257" s="290">
        <f>G257*$Q257</f>
        <v>0</v>
      </c>
      <c r="I257" s="290">
        <f>(AF257+AG257)*$I$3</f>
        <v>114</v>
      </c>
      <c r="J257" s="290">
        <f>I257*$Q257</f>
        <v>0</v>
      </c>
      <c r="K257" s="290">
        <f>(AI257+AJ257)*$K$3</f>
        <v>390</v>
      </c>
      <c r="L257" s="290">
        <f>K257*$Q257</f>
        <v>0</v>
      </c>
      <c r="M257" s="290">
        <f>(AL257+AM257)*$M$3</f>
        <v>146</v>
      </c>
      <c r="N257" s="290">
        <f>M257*$Q257</f>
        <v>0</v>
      </c>
      <c r="O257" s="290">
        <f>C257+E257+G257+I257+K257+M257</f>
        <v>1288</v>
      </c>
      <c r="P257" s="261" t="s">
        <v>12</v>
      </c>
      <c r="Q257" s="262"/>
      <c r="R257" s="435">
        <f>O257*Q257</f>
        <v>0</v>
      </c>
      <c r="T257" s="305">
        <f>4+4+9</f>
        <v>17</v>
      </c>
      <c r="U257" s="266">
        <v>16</v>
      </c>
      <c r="W257" s="268">
        <f>T257*$W$3</f>
        <v>34</v>
      </c>
      <c r="X257" s="266">
        <f>U257*$X$3</f>
        <v>32</v>
      </c>
      <c r="Z257" s="268">
        <f>W257</f>
        <v>34</v>
      </c>
      <c r="AA257" s="266">
        <f>U257*$AA$3</f>
        <v>48</v>
      </c>
      <c r="AC257" s="268">
        <f>W257</f>
        <v>34</v>
      </c>
      <c r="AD257" s="266">
        <f>U257*$AD$3</f>
        <v>64</v>
      </c>
      <c r="AF257" s="268">
        <f>W257</f>
        <v>34</v>
      </c>
      <c r="AG257" s="266">
        <f>U257*$AG$3</f>
        <v>80</v>
      </c>
      <c r="AI257" s="268">
        <f>W257</f>
        <v>34</v>
      </c>
      <c r="AJ257" s="266">
        <f>U257*$AJ$3</f>
        <v>96</v>
      </c>
      <c r="AL257" s="268">
        <f>W257</f>
        <v>34</v>
      </c>
      <c r="AM257" s="266">
        <f>U257*$AM$3</f>
        <v>112</v>
      </c>
    </row>
    <row r="258" spans="1:39" s="267" customFormat="1" x14ac:dyDescent="0.2">
      <c r="A258" s="308"/>
      <c r="B258" s="308"/>
      <c r="C258" s="290"/>
      <c r="D258" s="290"/>
      <c r="E258" s="290"/>
      <c r="F258" s="290"/>
      <c r="G258" s="290"/>
      <c r="H258" s="290"/>
      <c r="I258" s="290"/>
      <c r="J258" s="290"/>
      <c r="K258" s="290"/>
      <c r="L258" s="290"/>
      <c r="M258" s="290"/>
      <c r="N258" s="290">
        <f t="shared" si="0"/>
        <v>0</v>
      </c>
      <c r="O258" s="290"/>
      <c r="P258" s="261"/>
      <c r="Q258" s="262"/>
      <c r="R258" s="435"/>
      <c r="S258" s="311"/>
      <c r="T258" s="305"/>
      <c r="U258" s="305"/>
      <c r="W258" s="296"/>
      <c r="X258" s="169"/>
      <c r="Z258" s="296"/>
      <c r="AA258" s="169"/>
      <c r="AC258" s="296"/>
      <c r="AD258" s="169"/>
      <c r="AF258" s="296"/>
      <c r="AG258" s="169"/>
      <c r="AI258" s="296"/>
      <c r="AJ258" s="169"/>
      <c r="AL258" s="296"/>
      <c r="AM258" s="169"/>
    </row>
    <row r="259" spans="1:39" s="267" customFormat="1" x14ac:dyDescent="0.2">
      <c r="A259" s="308" t="s">
        <v>74</v>
      </c>
      <c r="B259" s="259" t="s">
        <v>203</v>
      </c>
      <c r="C259" s="290">
        <f>(W259+X259)*$C$3</f>
        <v>4</v>
      </c>
      <c r="D259" s="290">
        <f>C259*$Q259</f>
        <v>0</v>
      </c>
      <c r="E259" s="290">
        <f>(Z259+AA259)*$E$3</f>
        <v>4</v>
      </c>
      <c r="F259" s="290">
        <f>E259*$Q259</f>
        <v>0</v>
      </c>
      <c r="G259" s="290">
        <f>(AC259+AD259)*$G$3</f>
        <v>20</v>
      </c>
      <c r="H259" s="290">
        <f>G259*$Q259</f>
        <v>0</v>
      </c>
      <c r="I259" s="290">
        <f>(AF259+AG259)*$I$3</f>
        <v>4</v>
      </c>
      <c r="J259" s="290">
        <f>I259*$Q259</f>
        <v>0</v>
      </c>
      <c r="K259" s="290">
        <f>(AI259+AJ259)*$K$3</f>
        <v>12</v>
      </c>
      <c r="L259" s="290">
        <f>K259*$Q259</f>
        <v>0</v>
      </c>
      <c r="M259" s="290">
        <f>(AL259+AM259)*$M$3</f>
        <v>4</v>
      </c>
      <c r="N259" s="290">
        <f>M259*$Q259</f>
        <v>0</v>
      </c>
      <c r="O259" s="290">
        <f>C259+E259+G259+I259+K259+M259</f>
        <v>48</v>
      </c>
      <c r="P259" s="261" t="s">
        <v>12</v>
      </c>
      <c r="Q259" s="262"/>
      <c r="R259" s="435">
        <f>O259*Q259</f>
        <v>0</v>
      </c>
      <c r="S259" s="311"/>
      <c r="T259" s="305">
        <v>2</v>
      </c>
      <c r="U259" s="266">
        <v>0</v>
      </c>
      <c r="W259" s="268">
        <f>T259*$W$3</f>
        <v>4</v>
      </c>
      <c r="X259" s="266">
        <f>U259*$X$3</f>
        <v>0</v>
      </c>
      <c r="Z259" s="268">
        <f>W259</f>
        <v>4</v>
      </c>
      <c r="AA259" s="266">
        <f>U259*$AA$3</f>
        <v>0</v>
      </c>
      <c r="AC259" s="268">
        <f>W259</f>
        <v>4</v>
      </c>
      <c r="AD259" s="266">
        <f>U259*$AD$3</f>
        <v>0</v>
      </c>
      <c r="AF259" s="268">
        <f>W259</f>
        <v>4</v>
      </c>
      <c r="AG259" s="266">
        <f>U259*$AG$3</f>
        <v>0</v>
      </c>
      <c r="AI259" s="268">
        <f>W259</f>
        <v>4</v>
      </c>
      <c r="AJ259" s="266">
        <f>U259*$AJ$3</f>
        <v>0</v>
      </c>
      <c r="AL259" s="268">
        <f>W259</f>
        <v>4</v>
      </c>
      <c r="AM259" s="266">
        <f>U259*$AM$3</f>
        <v>0</v>
      </c>
    </row>
    <row r="260" spans="1:39" s="267" customFormat="1" x14ac:dyDescent="0.2">
      <c r="A260" s="308"/>
      <c r="B260" s="259"/>
      <c r="C260" s="290"/>
      <c r="D260" s="290"/>
      <c r="E260" s="290"/>
      <c r="F260" s="290"/>
      <c r="G260" s="290"/>
      <c r="H260" s="290"/>
      <c r="I260" s="290"/>
      <c r="J260" s="290"/>
      <c r="K260" s="290"/>
      <c r="L260" s="290"/>
      <c r="M260" s="290"/>
      <c r="N260" s="290"/>
      <c r="O260" s="290"/>
      <c r="P260" s="261"/>
      <c r="Q260" s="262"/>
      <c r="R260" s="435"/>
      <c r="T260" s="305"/>
      <c r="U260" s="305"/>
      <c r="W260" s="300"/>
      <c r="X260" s="301"/>
      <c r="Z260" s="300"/>
      <c r="AA260" s="301"/>
      <c r="AC260" s="300"/>
      <c r="AD260" s="301"/>
      <c r="AF260" s="300"/>
      <c r="AG260" s="301"/>
      <c r="AI260" s="300"/>
      <c r="AJ260" s="301"/>
      <c r="AL260" s="300"/>
      <c r="AM260" s="301"/>
    </row>
    <row r="261" spans="1:39" s="267" customFormat="1" x14ac:dyDescent="0.2">
      <c r="A261" s="308"/>
      <c r="B261" s="265" t="s">
        <v>715</v>
      </c>
      <c r="C261" s="290"/>
      <c r="D261" s="290"/>
      <c r="E261" s="290"/>
      <c r="F261" s="290"/>
      <c r="G261" s="290"/>
      <c r="H261" s="290"/>
      <c r="I261" s="290"/>
      <c r="J261" s="290"/>
      <c r="K261" s="290"/>
      <c r="L261" s="290"/>
      <c r="M261" s="290"/>
      <c r="N261" s="290"/>
      <c r="O261" s="290"/>
      <c r="P261" s="261"/>
      <c r="Q261" s="262"/>
      <c r="R261" s="435"/>
      <c r="T261" s="305"/>
      <c r="U261" s="305"/>
      <c r="W261" s="296"/>
      <c r="X261" s="169"/>
      <c r="Z261" s="296"/>
      <c r="AA261" s="169"/>
      <c r="AC261" s="296"/>
      <c r="AD261" s="169"/>
      <c r="AF261" s="296"/>
      <c r="AG261" s="169"/>
      <c r="AI261" s="296"/>
      <c r="AJ261" s="169"/>
      <c r="AL261" s="296"/>
      <c r="AM261" s="169"/>
    </row>
    <row r="262" spans="1:39" s="267" customFormat="1" x14ac:dyDescent="0.2">
      <c r="A262" s="308"/>
      <c r="B262" s="308"/>
      <c r="C262" s="290"/>
      <c r="D262" s="290"/>
      <c r="E262" s="290"/>
      <c r="F262" s="290"/>
      <c r="G262" s="290"/>
      <c r="H262" s="290"/>
      <c r="I262" s="290"/>
      <c r="J262" s="290"/>
      <c r="K262" s="290"/>
      <c r="L262" s="290"/>
      <c r="M262" s="290"/>
      <c r="N262" s="290">
        <f t="shared" ref="N262" si="3">M262*$Q262</f>
        <v>0</v>
      </c>
      <c r="O262" s="290"/>
      <c r="P262" s="261"/>
      <c r="Q262" s="262"/>
      <c r="R262" s="435"/>
      <c r="T262" s="305"/>
      <c r="U262" s="305"/>
      <c r="W262" s="296"/>
      <c r="X262" s="169"/>
      <c r="Z262" s="296"/>
      <c r="AA262" s="169"/>
      <c r="AC262" s="296"/>
      <c r="AD262" s="169"/>
      <c r="AF262" s="296"/>
      <c r="AG262" s="169"/>
      <c r="AI262" s="296"/>
      <c r="AJ262" s="169"/>
      <c r="AL262" s="296"/>
      <c r="AM262" s="169"/>
    </row>
    <row r="263" spans="1:39" s="267" customFormat="1" x14ac:dyDescent="0.2">
      <c r="A263" s="308" t="s">
        <v>75</v>
      </c>
      <c r="B263" s="259" t="s">
        <v>206</v>
      </c>
      <c r="C263" s="290">
        <f>(W263+X263)*$C$3</f>
        <v>260</v>
      </c>
      <c r="D263" s="290">
        <f>C263*$Q263</f>
        <v>0</v>
      </c>
      <c r="E263" s="290">
        <f>(Z263+AA263)*$E$3</f>
        <v>323</v>
      </c>
      <c r="F263" s="290">
        <f>E263*$Q263</f>
        <v>0</v>
      </c>
      <c r="G263" s="290">
        <f>(AC263+AD263)*$G$3</f>
        <v>1930</v>
      </c>
      <c r="H263" s="290">
        <f>G263*$Q263</f>
        <v>0</v>
      </c>
      <c r="I263" s="290">
        <f>(AF263+AG263)*$I$3</f>
        <v>449</v>
      </c>
      <c r="J263" s="290">
        <f>I263*$Q263</f>
        <v>0</v>
      </c>
      <c r="K263" s="290">
        <f>(AI263+AJ263)*$K$3</f>
        <v>1536</v>
      </c>
      <c r="L263" s="290">
        <f>K263*$Q263</f>
        <v>0</v>
      </c>
      <c r="M263" s="290">
        <f>(AL263+AM263)*$M$3</f>
        <v>575</v>
      </c>
      <c r="N263" s="290">
        <f>M263*$Q263</f>
        <v>0</v>
      </c>
      <c r="O263" s="290">
        <f>C263+E263+G263+I263+K263+M263</f>
        <v>5073</v>
      </c>
      <c r="P263" s="261" t="s">
        <v>12</v>
      </c>
      <c r="Q263" s="262"/>
      <c r="R263" s="435">
        <f>O263*Q263</f>
        <v>0</v>
      </c>
      <c r="T263" s="305">
        <f>24+19+14+10</f>
        <v>67</v>
      </c>
      <c r="U263" s="266">
        <f>20+19+14+10</f>
        <v>63</v>
      </c>
      <c r="W263" s="268">
        <f>T263*$W$3</f>
        <v>134</v>
      </c>
      <c r="X263" s="266">
        <f>U263*$X$3</f>
        <v>126</v>
      </c>
      <c r="Z263" s="268">
        <f>W263</f>
        <v>134</v>
      </c>
      <c r="AA263" s="266">
        <f>U263*$AA$3</f>
        <v>189</v>
      </c>
      <c r="AC263" s="268">
        <f>W263</f>
        <v>134</v>
      </c>
      <c r="AD263" s="266">
        <f>U263*$AD$3</f>
        <v>252</v>
      </c>
      <c r="AF263" s="268">
        <f>W263</f>
        <v>134</v>
      </c>
      <c r="AG263" s="266">
        <f>U263*$AG$3</f>
        <v>315</v>
      </c>
      <c r="AI263" s="268">
        <f>W263</f>
        <v>134</v>
      </c>
      <c r="AJ263" s="266">
        <f>U263*$AJ$3</f>
        <v>378</v>
      </c>
      <c r="AL263" s="268">
        <f>W263</f>
        <v>134</v>
      </c>
      <c r="AM263" s="266">
        <f>U263*$AM$3</f>
        <v>441</v>
      </c>
    </row>
    <row r="264" spans="1:39" s="267" customFormat="1" x14ac:dyDescent="0.2">
      <c r="A264" s="308"/>
      <c r="B264" s="308"/>
      <c r="C264" s="290"/>
      <c r="D264" s="290"/>
      <c r="E264" s="290"/>
      <c r="F264" s="290"/>
      <c r="G264" s="290"/>
      <c r="H264" s="290"/>
      <c r="I264" s="290"/>
      <c r="J264" s="290"/>
      <c r="K264" s="290"/>
      <c r="L264" s="290"/>
      <c r="M264" s="290"/>
      <c r="N264" s="290">
        <f t="shared" ref="N264" si="4">M264*$Q264</f>
        <v>0</v>
      </c>
      <c r="O264" s="290"/>
      <c r="P264" s="261"/>
      <c r="Q264" s="262"/>
      <c r="R264" s="435"/>
      <c r="T264" s="305"/>
      <c r="U264" s="305"/>
      <c r="W264" s="296"/>
      <c r="X264" s="169"/>
      <c r="Z264" s="296"/>
      <c r="AA264" s="169"/>
      <c r="AC264" s="296"/>
      <c r="AD264" s="169"/>
      <c r="AF264" s="296"/>
      <c r="AG264" s="169"/>
      <c r="AI264" s="296"/>
      <c r="AJ264" s="169"/>
      <c r="AL264" s="296"/>
      <c r="AM264" s="169"/>
    </row>
    <row r="265" spans="1:39" s="267" customFormat="1" x14ac:dyDescent="0.2">
      <c r="A265" s="308" t="s">
        <v>76</v>
      </c>
      <c r="B265" s="259" t="s">
        <v>210</v>
      </c>
      <c r="C265" s="290">
        <f>(W265+X265)*$C$3</f>
        <v>56</v>
      </c>
      <c r="D265" s="290">
        <f>C265*$Q265</f>
        <v>0</v>
      </c>
      <c r="E265" s="290">
        <f>(Z265+AA265)*$E$3</f>
        <v>70</v>
      </c>
      <c r="F265" s="290">
        <f>E265*$Q265</f>
        <v>0</v>
      </c>
      <c r="G265" s="290">
        <f>(AC265+AD265)*$G$3</f>
        <v>420</v>
      </c>
      <c r="H265" s="290">
        <f>G265*$Q265</f>
        <v>0</v>
      </c>
      <c r="I265" s="290">
        <f>(AF265+AG265)*$I$3</f>
        <v>98</v>
      </c>
      <c r="J265" s="290">
        <f>I265*$Q265</f>
        <v>0</v>
      </c>
      <c r="K265" s="290">
        <f>(AI265+AJ265)*$K$3</f>
        <v>336</v>
      </c>
      <c r="L265" s="290">
        <f>K265*$Q265</f>
        <v>0</v>
      </c>
      <c r="M265" s="290">
        <f>(AL265+AM265)*$M$3</f>
        <v>126</v>
      </c>
      <c r="N265" s="290">
        <f>M265*$Q265</f>
        <v>0</v>
      </c>
      <c r="O265" s="290">
        <f>C265+E265+G265+I265+K265+M265</f>
        <v>1106</v>
      </c>
      <c r="P265" s="261" t="s">
        <v>12</v>
      </c>
      <c r="Q265" s="262"/>
      <c r="R265" s="435">
        <f>O265*Q265</f>
        <v>0</v>
      </c>
      <c r="T265" s="305">
        <f>1+13</f>
        <v>14</v>
      </c>
      <c r="U265" s="266">
        <f>1+13</f>
        <v>14</v>
      </c>
      <c r="W265" s="268">
        <f>T265*$W$3</f>
        <v>28</v>
      </c>
      <c r="X265" s="266">
        <f>U265*$X$3</f>
        <v>28</v>
      </c>
      <c r="Z265" s="268">
        <f>W265</f>
        <v>28</v>
      </c>
      <c r="AA265" s="266">
        <f>U265*$AA$3</f>
        <v>42</v>
      </c>
      <c r="AC265" s="268">
        <f>W265</f>
        <v>28</v>
      </c>
      <c r="AD265" s="266">
        <f>U265*$AD$3</f>
        <v>56</v>
      </c>
      <c r="AF265" s="268">
        <f>W265</f>
        <v>28</v>
      </c>
      <c r="AG265" s="266">
        <f>U265*$AG$3</f>
        <v>70</v>
      </c>
      <c r="AI265" s="268">
        <f>W265</f>
        <v>28</v>
      </c>
      <c r="AJ265" s="266">
        <f>U265*$AJ$3</f>
        <v>84</v>
      </c>
      <c r="AL265" s="268">
        <f>W265</f>
        <v>28</v>
      </c>
      <c r="AM265" s="266">
        <f>U265*$AM$3</f>
        <v>98</v>
      </c>
    </row>
    <row r="266" spans="1:39" s="267" customFormat="1" x14ac:dyDescent="0.2">
      <c r="A266" s="308"/>
      <c r="B266" s="308"/>
      <c r="C266" s="290"/>
      <c r="D266" s="290"/>
      <c r="E266" s="290"/>
      <c r="F266" s="290"/>
      <c r="G266" s="290"/>
      <c r="H266" s="290"/>
      <c r="I266" s="290"/>
      <c r="J266" s="290"/>
      <c r="K266" s="290"/>
      <c r="L266" s="290"/>
      <c r="M266" s="290"/>
      <c r="N266" s="290">
        <f t="shared" ref="N266" si="5">M266*$Q266</f>
        <v>0</v>
      </c>
      <c r="O266" s="290"/>
      <c r="P266" s="261"/>
      <c r="Q266" s="262"/>
      <c r="R266" s="435"/>
      <c r="T266" s="305"/>
      <c r="U266" s="305"/>
      <c r="W266" s="296"/>
      <c r="X266" s="169"/>
      <c r="Z266" s="296"/>
      <c r="AA266" s="169"/>
      <c r="AC266" s="296"/>
      <c r="AD266" s="169"/>
      <c r="AF266" s="296"/>
      <c r="AG266" s="169"/>
      <c r="AI266" s="296"/>
      <c r="AJ266" s="169"/>
      <c r="AL266" s="296"/>
      <c r="AM266" s="169"/>
    </row>
    <row r="267" spans="1:39" s="267" customFormat="1" x14ac:dyDescent="0.2">
      <c r="A267" s="308" t="s">
        <v>77</v>
      </c>
      <c r="B267" s="259" t="s">
        <v>201</v>
      </c>
      <c r="C267" s="290">
        <f>(W267+X267)*$C$3</f>
        <v>24</v>
      </c>
      <c r="D267" s="290">
        <f>C267*$Q267</f>
        <v>0</v>
      </c>
      <c r="E267" s="290">
        <f>(Z267+AA267)*$E$3</f>
        <v>30</v>
      </c>
      <c r="F267" s="290">
        <f>E267*$Q267</f>
        <v>0</v>
      </c>
      <c r="G267" s="290">
        <f>(AC267+AD267)*$G$3</f>
        <v>180</v>
      </c>
      <c r="H267" s="290">
        <f>G267*$Q267</f>
        <v>0</v>
      </c>
      <c r="I267" s="290">
        <f>(AF267+AG267)*$I$3</f>
        <v>42</v>
      </c>
      <c r="J267" s="290">
        <f>I267*$Q267</f>
        <v>0</v>
      </c>
      <c r="K267" s="290">
        <f>(AI267+AJ267)*$K$3</f>
        <v>144</v>
      </c>
      <c r="L267" s="290">
        <f>K267*$Q267</f>
        <v>0</v>
      </c>
      <c r="M267" s="290">
        <f>(AL267+AM267)*$M$3</f>
        <v>54</v>
      </c>
      <c r="N267" s="290">
        <f>M267*$Q267</f>
        <v>0</v>
      </c>
      <c r="O267" s="290">
        <f>C267+E267+G267+I267+K267+M267</f>
        <v>474</v>
      </c>
      <c r="P267" s="261" t="s">
        <v>12</v>
      </c>
      <c r="Q267" s="262"/>
      <c r="R267" s="435">
        <f>O267*Q267</f>
        <v>0</v>
      </c>
      <c r="T267" s="305">
        <v>6</v>
      </c>
      <c r="U267" s="266">
        <v>6</v>
      </c>
      <c r="W267" s="268">
        <f>T267*$W$3</f>
        <v>12</v>
      </c>
      <c r="X267" s="266">
        <f>U267*$X$3</f>
        <v>12</v>
      </c>
      <c r="Z267" s="268">
        <f>W267</f>
        <v>12</v>
      </c>
      <c r="AA267" s="266">
        <f>U267*$AA$3</f>
        <v>18</v>
      </c>
      <c r="AC267" s="268">
        <f>W267</f>
        <v>12</v>
      </c>
      <c r="AD267" s="266">
        <f>U267*$AD$3</f>
        <v>24</v>
      </c>
      <c r="AF267" s="268">
        <f>W267</f>
        <v>12</v>
      </c>
      <c r="AG267" s="266">
        <f>U267*$AG$3</f>
        <v>30</v>
      </c>
      <c r="AI267" s="268">
        <f>W267</f>
        <v>12</v>
      </c>
      <c r="AJ267" s="266">
        <f>U267*$AJ$3</f>
        <v>36</v>
      </c>
      <c r="AL267" s="268">
        <f>W267</f>
        <v>12</v>
      </c>
      <c r="AM267" s="266">
        <f>U267*$AM$3</f>
        <v>42</v>
      </c>
    </row>
    <row r="268" spans="1:39" s="267" customFormat="1" x14ac:dyDescent="0.2">
      <c r="A268" s="308"/>
      <c r="B268" s="308"/>
      <c r="C268" s="290"/>
      <c r="D268" s="290"/>
      <c r="E268" s="290"/>
      <c r="F268" s="290"/>
      <c r="G268" s="290"/>
      <c r="H268" s="290"/>
      <c r="I268" s="290"/>
      <c r="J268" s="290"/>
      <c r="K268" s="290"/>
      <c r="L268" s="290"/>
      <c r="M268" s="290"/>
      <c r="N268" s="290">
        <f t="shared" ref="N268" si="6">M268*$Q268</f>
        <v>0</v>
      </c>
      <c r="O268" s="290"/>
      <c r="P268" s="261"/>
      <c r="Q268" s="262"/>
      <c r="R268" s="435"/>
      <c r="S268" s="311"/>
      <c r="T268" s="305"/>
      <c r="U268" s="305"/>
      <c r="W268" s="296"/>
      <c r="X268" s="169"/>
      <c r="Z268" s="296"/>
      <c r="AA268" s="169"/>
      <c r="AC268" s="296"/>
      <c r="AD268" s="169"/>
      <c r="AF268" s="296"/>
      <c r="AG268" s="169"/>
      <c r="AI268" s="296"/>
      <c r="AJ268" s="169"/>
      <c r="AL268" s="296"/>
      <c r="AM268" s="169"/>
    </row>
    <row r="269" spans="1:39" s="267" customFormat="1" x14ac:dyDescent="0.2">
      <c r="A269" s="308"/>
      <c r="B269" s="265"/>
      <c r="C269" s="290"/>
      <c r="D269" s="290"/>
      <c r="E269" s="290"/>
      <c r="F269" s="290"/>
      <c r="G269" s="290"/>
      <c r="H269" s="290"/>
      <c r="I269" s="290"/>
      <c r="J269" s="290"/>
      <c r="K269" s="290"/>
      <c r="L269" s="290"/>
      <c r="M269" s="290"/>
      <c r="N269" s="290"/>
      <c r="O269" s="290"/>
      <c r="P269" s="261"/>
      <c r="Q269" s="262"/>
      <c r="R269" s="435"/>
      <c r="T269" s="305"/>
      <c r="U269" s="305"/>
      <c r="W269" s="268"/>
      <c r="X269" s="305"/>
      <c r="Z269" s="268"/>
      <c r="AA269" s="305"/>
      <c r="AC269" s="268"/>
      <c r="AD269" s="305"/>
      <c r="AF269" s="268"/>
      <c r="AG269" s="305"/>
      <c r="AI269" s="268"/>
      <c r="AJ269" s="305"/>
      <c r="AL269" s="268"/>
      <c r="AM269" s="305"/>
    </row>
    <row r="270" spans="1:39" s="267" customFormat="1" x14ac:dyDescent="0.2">
      <c r="A270" s="308"/>
      <c r="B270" s="308"/>
      <c r="C270" s="290"/>
      <c r="D270" s="290"/>
      <c r="E270" s="290"/>
      <c r="F270" s="290"/>
      <c r="G270" s="290"/>
      <c r="H270" s="290"/>
      <c r="I270" s="290"/>
      <c r="J270" s="290"/>
      <c r="K270" s="290"/>
      <c r="L270" s="290"/>
      <c r="M270" s="290"/>
      <c r="N270" s="290"/>
      <c r="O270" s="290"/>
      <c r="P270" s="261"/>
      <c r="Q270" s="262"/>
      <c r="R270" s="435"/>
      <c r="T270" s="305"/>
      <c r="U270" s="305"/>
      <c r="W270" s="268"/>
      <c r="X270" s="305"/>
      <c r="Z270" s="268"/>
      <c r="AA270" s="305"/>
      <c r="AC270" s="268"/>
      <c r="AD270" s="305"/>
      <c r="AF270" s="268"/>
      <c r="AG270" s="305"/>
      <c r="AI270" s="268"/>
      <c r="AJ270" s="305"/>
      <c r="AL270" s="268"/>
      <c r="AM270" s="305"/>
    </row>
    <row r="271" spans="1:39" s="267" customFormat="1" x14ac:dyDescent="0.2">
      <c r="A271" s="308"/>
      <c r="B271" s="259"/>
      <c r="C271" s="290"/>
      <c r="D271" s="290"/>
      <c r="E271" s="290"/>
      <c r="F271" s="290"/>
      <c r="G271" s="290"/>
      <c r="H271" s="290"/>
      <c r="I271" s="290"/>
      <c r="J271" s="290"/>
      <c r="K271" s="290"/>
      <c r="L271" s="290"/>
      <c r="M271" s="290"/>
      <c r="N271" s="290"/>
      <c r="O271" s="290"/>
      <c r="P271" s="261"/>
      <c r="Q271" s="262"/>
      <c r="R271" s="435"/>
      <c r="T271" s="305"/>
      <c r="U271" s="305"/>
      <c r="W271" s="268"/>
      <c r="X271" s="305"/>
      <c r="Z271" s="268"/>
      <c r="AA271" s="305"/>
      <c r="AC271" s="268"/>
      <c r="AD271" s="305"/>
      <c r="AF271" s="268"/>
      <c r="AG271" s="305"/>
      <c r="AI271" s="268"/>
      <c r="AJ271" s="305"/>
      <c r="AL271" s="268"/>
      <c r="AM271" s="305"/>
    </row>
    <row r="272" spans="1:39" s="267" customFormat="1" x14ac:dyDescent="0.2">
      <c r="A272" s="308"/>
      <c r="B272" s="259"/>
      <c r="C272" s="290"/>
      <c r="D272" s="290"/>
      <c r="E272" s="290"/>
      <c r="F272" s="290"/>
      <c r="G272" s="290"/>
      <c r="H272" s="290"/>
      <c r="I272" s="290"/>
      <c r="J272" s="290"/>
      <c r="K272" s="290"/>
      <c r="L272" s="290"/>
      <c r="M272" s="290"/>
      <c r="N272" s="290"/>
      <c r="O272" s="290"/>
      <c r="P272" s="261"/>
      <c r="Q272" s="262"/>
      <c r="R272" s="435"/>
      <c r="S272" s="311"/>
      <c r="T272" s="305"/>
      <c r="U272" s="312"/>
      <c r="W272" s="268"/>
      <c r="X272" s="305"/>
      <c r="Z272" s="268"/>
      <c r="AA272" s="305"/>
      <c r="AC272" s="268"/>
      <c r="AD272" s="305"/>
      <c r="AF272" s="268"/>
      <c r="AG272" s="305"/>
      <c r="AI272" s="268"/>
      <c r="AJ272" s="305"/>
      <c r="AL272" s="268"/>
      <c r="AM272" s="305"/>
    </row>
    <row r="273" spans="1:39" s="267" customFormat="1" x14ac:dyDescent="0.2">
      <c r="A273" s="375"/>
      <c r="B273" s="376"/>
      <c r="C273" s="377"/>
      <c r="D273" s="377"/>
      <c r="E273" s="377"/>
      <c r="F273" s="377"/>
      <c r="G273" s="377"/>
      <c r="H273" s="377"/>
      <c r="I273" s="377"/>
      <c r="J273" s="377"/>
      <c r="K273" s="377"/>
      <c r="L273" s="377"/>
      <c r="M273" s="377"/>
      <c r="N273" s="377"/>
      <c r="O273" s="377"/>
      <c r="P273" s="377"/>
      <c r="Q273" s="378"/>
      <c r="R273" s="441"/>
      <c r="T273" s="306"/>
      <c r="U273" s="313"/>
      <c r="W273" s="275"/>
      <c r="X273" s="306"/>
      <c r="Z273" s="275"/>
      <c r="AA273" s="306"/>
      <c r="AC273" s="275"/>
      <c r="AD273" s="306"/>
      <c r="AF273" s="275"/>
      <c r="AG273" s="306"/>
      <c r="AI273" s="275"/>
      <c r="AJ273" s="306"/>
      <c r="AL273" s="275"/>
      <c r="AM273" s="306"/>
    </row>
    <row r="274" spans="1:39" s="267" customFormat="1" x14ac:dyDescent="0.2">
      <c r="A274" s="380"/>
      <c r="B274" s="320"/>
      <c r="C274" s="550"/>
      <c r="D274" s="550"/>
      <c r="E274" s="550"/>
      <c r="F274" s="550"/>
      <c r="G274" s="550"/>
      <c r="H274" s="550"/>
      <c r="I274" s="550"/>
      <c r="J274" s="550"/>
      <c r="K274" s="550"/>
      <c r="L274" s="550"/>
      <c r="M274" s="550"/>
      <c r="N274" s="550"/>
      <c r="O274" s="550"/>
      <c r="P274" s="550"/>
      <c r="Q274" s="381" t="s">
        <v>0</v>
      </c>
      <c r="R274" s="435">
        <f>SUM(R230:R272)</f>
        <v>0</v>
      </c>
      <c r="S274" s="314"/>
      <c r="T274" s="305"/>
      <c r="U274" s="315"/>
      <c r="W274" s="268"/>
      <c r="X274" s="305"/>
      <c r="Z274" s="268"/>
      <c r="AA274" s="305"/>
      <c r="AC274" s="268"/>
      <c r="AD274" s="305"/>
      <c r="AF274" s="268"/>
      <c r="AG274" s="305"/>
      <c r="AI274" s="268"/>
      <c r="AJ274" s="305"/>
      <c r="AL274" s="268"/>
      <c r="AM274" s="305"/>
    </row>
    <row r="275" spans="1:39" s="267" customFormat="1" x14ac:dyDescent="0.2">
      <c r="A275" s="380"/>
      <c r="B275" s="320"/>
      <c r="C275" s="309"/>
      <c r="D275" s="309"/>
      <c r="E275" s="309"/>
      <c r="F275" s="309"/>
      <c r="G275" s="309"/>
      <c r="H275" s="309"/>
      <c r="I275" s="309"/>
      <c r="J275" s="309"/>
      <c r="K275" s="309"/>
      <c r="L275" s="309"/>
      <c r="M275" s="309"/>
      <c r="N275" s="309"/>
      <c r="O275" s="309"/>
      <c r="P275" s="309"/>
      <c r="Q275" s="294"/>
      <c r="R275" s="458"/>
      <c r="T275" s="316"/>
      <c r="U275" s="317"/>
      <c r="W275" s="280"/>
      <c r="X275" s="316"/>
      <c r="Z275" s="280"/>
      <c r="AA275" s="316"/>
      <c r="AC275" s="280"/>
      <c r="AD275" s="316"/>
      <c r="AF275" s="280"/>
      <c r="AG275" s="316"/>
      <c r="AI275" s="280"/>
      <c r="AJ275" s="316"/>
      <c r="AL275" s="280"/>
      <c r="AM275" s="316"/>
    </row>
    <row r="276" spans="1:39" s="267" customFormat="1" x14ac:dyDescent="0.2">
      <c r="A276" s="308"/>
      <c r="B276" s="308"/>
      <c r="C276" s="266"/>
      <c r="D276" s="337"/>
      <c r="E276" s="337"/>
      <c r="F276" s="337"/>
      <c r="G276" s="337"/>
      <c r="H276" s="337"/>
      <c r="I276" s="337"/>
      <c r="J276" s="337"/>
      <c r="K276" s="337"/>
      <c r="L276" s="337"/>
      <c r="M276" s="337"/>
      <c r="N276" s="337"/>
      <c r="O276" s="461"/>
      <c r="P276" s="462"/>
      <c r="Q276" s="463"/>
      <c r="R276" s="464"/>
      <c r="T276" s="305"/>
      <c r="U276" s="306"/>
      <c r="W276" s="268"/>
      <c r="X276" s="305"/>
      <c r="Z276" s="268"/>
      <c r="AA276" s="305"/>
      <c r="AC276" s="268"/>
      <c r="AD276" s="305"/>
      <c r="AF276" s="268"/>
      <c r="AG276" s="305"/>
      <c r="AI276" s="268"/>
      <c r="AJ276" s="305"/>
      <c r="AL276" s="268"/>
      <c r="AM276" s="305"/>
    </row>
    <row r="277" spans="1:39" s="267" customFormat="1" x14ac:dyDescent="0.2">
      <c r="A277" s="308"/>
      <c r="B277" s="265" t="s">
        <v>254</v>
      </c>
      <c r="C277" s="290"/>
      <c r="D277" s="290"/>
      <c r="E277" s="290"/>
      <c r="F277" s="290"/>
      <c r="G277" s="290"/>
      <c r="H277" s="290"/>
      <c r="I277" s="290"/>
      <c r="J277" s="290"/>
      <c r="K277" s="290"/>
      <c r="L277" s="290"/>
      <c r="M277" s="290"/>
      <c r="N277" s="290"/>
      <c r="O277" s="290"/>
      <c r="P277" s="261"/>
      <c r="Q277" s="262"/>
      <c r="R277" s="435"/>
      <c r="T277" s="305"/>
      <c r="U277" s="305"/>
      <c r="W277" s="268"/>
      <c r="X277" s="305"/>
      <c r="Z277" s="268"/>
      <c r="AA277" s="305"/>
      <c r="AC277" s="268"/>
      <c r="AD277" s="305"/>
      <c r="AF277" s="268"/>
      <c r="AG277" s="305"/>
      <c r="AI277" s="268"/>
      <c r="AJ277" s="305"/>
      <c r="AL277" s="268"/>
      <c r="AM277" s="305"/>
    </row>
    <row r="278" spans="1:39" s="267" customFormat="1" x14ac:dyDescent="0.2">
      <c r="A278" s="308"/>
      <c r="B278" s="259"/>
      <c r="C278" s="290"/>
      <c r="D278" s="290"/>
      <c r="E278" s="290"/>
      <c r="F278" s="290"/>
      <c r="G278" s="290"/>
      <c r="H278" s="290"/>
      <c r="I278" s="290"/>
      <c r="J278" s="290"/>
      <c r="K278" s="290"/>
      <c r="L278" s="290"/>
      <c r="M278" s="290"/>
      <c r="N278" s="290"/>
      <c r="O278" s="290"/>
      <c r="P278" s="261"/>
      <c r="Q278" s="262"/>
      <c r="R278" s="435"/>
      <c r="T278" s="305"/>
      <c r="U278" s="305"/>
      <c r="W278" s="268"/>
      <c r="X278" s="305"/>
      <c r="Z278" s="268"/>
      <c r="AA278" s="305"/>
      <c r="AC278" s="268"/>
      <c r="AD278" s="305"/>
      <c r="AF278" s="268"/>
      <c r="AG278" s="305"/>
      <c r="AI278" s="268"/>
      <c r="AJ278" s="305"/>
      <c r="AL278" s="268"/>
      <c r="AM278" s="305"/>
    </row>
    <row r="279" spans="1:39" s="267" customFormat="1" ht="28.5" x14ac:dyDescent="0.2">
      <c r="A279" s="308"/>
      <c r="B279" s="265" t="s">
        <v>716</v>
      </c>
      <c r="C279" s="290"/>
      <c r="D279" s="290"/>
      <c r="E279" s="290"/>
      <c r="F279" s="290"/>
      <c r="G279" s="290"/>
      <c r="H279" s="290"/>
      <c r="I279" s="290"/>
      <c r="J279" s="290"/>
      <c r="K279" s="290"/>
      <c r="L279" s="290"/>
      <c r="M279" s="290"/>
      <c r="N279" s="290"/>
      <c r="O279" s="290"/>
      <c r="P279" s="261"/>
      <c r="Q279" s="262"/>
      <c r="R279" s="435"/>
      <c r="T279" s="305"/>
      <c r="U279" s="305"/>
      <c r="W279" s="296"/>
      <c r="X279" s="169"/>
      <c r="Z279" s="296"/>
      <c r="AA279" s="169"/>
      <c r="AC279" s="296"/>
      <c r="AD279" s="169"/>
      <c r="AF279" s="296"/>
      <c r="AG279" s="169"/>
      <c r="AI279" s="296"/>
      <c r="AJ279" s="169"/>
      <c r="AL279" s="296"/>
      <c r="AM279" s="169"/>
    </row>
    <row r="280" spans="1:39" s="267" customFormat="1" x14ac:dyDescent="0.2">
      <c r="A280" s="308"/>
      <c r="B280" s="308"/>
      <c r="C280" s="290"/>
      <c r="D280" s="290"/>
      <c r="E280" s="290"/>
      <c r="F280" s="290"/>
      <c r="G280" s="290"/>
      <c r="H280" s="290"/>
      <c r="I280" s="290"/>
      <c r="J280" s="290"/>
      <c r="K280" s="290"/>
      <c r="L280" s="290"/>
      <c r="M280" s="290"/>
      <c r="N280" s="290">
        <f>M280*$Q280</f>
        <v>0</v>
      </c>
      <c r="O280" s="290"/>
      <c r="P280" s="261"/>
      <c r="Q280" s="262"/>
      <c r="R280" s="435"/>
      <c r="T280" s="305"/>
      <c r="U280" s="305"/>
      <c r="W280" s="296"/>
      <c r="X280" s="169"/>
      <c r="Z280" s="296"/>
      <c r="AA280" s="169"/>
      <c r="AC280" s="296"/>
      <c r="AD280" s="169"/>
      <c r="AF280" s="296"/>
      <c r="AG280" s="169"/>
      <c r="AI280" s="296"/>
      <c r="AJ280" s="169"/>
      <c r="AL280" s="296"/>
      <c r="AM280" s="169"/>
    </row>
    <row r="281" spans="1:39" s="267" customFormat="1" x14ac:dyDescent="0.2">
      <c r="A281" s="308" t="s">
        <v>66</v>
      </c>
      <c r="B281" s="259" t="s">
        <v>206</v>
      </c>
      <c r="C281" s="290">
        <f>(W281+X281)*$C$3</f>
        <v>212</v>
      </c>
      <c r="D281" s="290">
        <f>C281*$Q281</f>
        <v>0</v>
      </c>
      <c r="E281" s="290">
        <f>(Z281+AA281)*$E$3</f>
        <v>265</v>
      </c>
      <c r="F281" s="290">
        <f>E281*$Q281</f>
        <v>0</v>
      </c>
      <c r="G281" s="290">
        <f>(AC281+AD281)*$G$3</f>
        <v>1590</v>
      </c>
      <c r="H281" s="290">
        <f>G281*$Q281</f>
        <v>0</v>
      </c>
      <c r="I281" s="290">
        <f>(AF281+AG281)*$I$3</f>
        <v>371</v>
      </c>
      <c r="J281" s="290">
        <f>I281*$Q281</f>
        <v>0</v>
      </c>
      <c r="K281" s="290">
        <f>(AI281+AJ281)*$K$3</f>
        <v>1272</v>
      </c>
      <c r="L281" s="290">
        <f>K281*$Q281</f>
        <v>0</v>
      </c>
      <c r="M281" s="290">
        <f>(AL281+AM281)*$M$3</f>
        <v>477</v>
      </c>
      <c r="N281" s="290">
        <f>M281*$Q281</f>
        <v>0</v>
      </c>
      <c r="O281" s="290">
        <f>C281+E281+G281+I281+K281+M281</f>
        <v>4187</v>
      </c>
      <c r="P281" s="261" t="s">
        <v>12</v>
      </c>
      <c r="Q281" s="262"/>
      <c r="R281" s="435">
        <f>O281*Q281</f>
        <v>0</v>
      </c>
      <c r="T281" s="305">
        <f>26+27</f>
        <v>53</v>
      </c>
      <c r="U281" s="266">
        <f>26+27</f>
        <v>53</v>
      </c>
      <c r="W281" s="268">
        <f>T281*$W$3</f>
        <v>106</v>
      </c>
      <c r="X281" s="266">
        <f>U281*$X$3</f>
        <v>106</v>
      </c>
      <c r="Z281" s="268">
        <f>W281</f>
        <v>106</v>
      </c>
      <c r="AA281" s="266">
        <f>U281*$AA$3</f>
        <v>159</v>
      </c>
      <c r="AC281" s="268">
        <f>W281</f>
        <v>106</v>
      </c>
      <c r="AD281" s="266">
        <f>U281*$AD$3</f>
        <v>212</v>
      </c>
      <c r="AF281" s="268">
        <f>W281</f>
        <v>106</v>
      </c>
      <c r="AG281" s="266">
        <f>U281*$AG$3</f>
        <v>265</v>
      </c>
      <c r="AI281" s="268">
        <f>W281</f>
        <v>106</v>
      </c>
      <c r="AJ281" s="266">
        <f>U281*$AJ$3</f>
        <v>318</v>
      </c>
      <c r="AL281" s="268">
        <f>W281</f>
        <v>106</v>
      </c>
      <c r="AM281" s="266">
        <f>U281*$AM$3</f>
        <v>371</v>
      </c>
    </row>
    <row r="282" spans="1:39" s="267" customFormat="1" x14ac:dyDescent="0.2">
      <c r="A282" s="308"/>
      <c r="B282" s="308"/>
      <c r="C282" s="290"/>
      <c r="D282" s="290"/>
      <c r="E282" s="290"/>
      <c r="F282" s="290"/>
      <c r="G282" s="290"/>
      <c r="H282" s="290"/>
      <c r="I282" s="290"/>
      <c r="J282" s="290"/>
      <c r="K282" s="290"/>
      <c r="L282" s="290"/>
      <c r="M282" s="290"/>
      <c r="N282" s="290">
        <f>M282*$Q282</f>
        <v>0</v>
      </c>
      <c r="O282" s="290"/>
      <c r="P282" s="261"/>
      <c r="Q282" s="262"/>
      <c r="R282" s="435"/>
      <c r="T282" s="305"/>
      <c r="U282" s="305"/>
      <c r="W282" s="296"/>
      <c r="X282" s="169"/>
      <c r="Z282" s="296"/>
      <c r="AA282" s="169"/>
      <c r="AC282" s="296"/>
      <c r="AD282" s="169"/>
      <c r="AF282" s="296"/>
      <c r="AG282" s="169"/>
      <c r="AI282" s="296"/>
      <c r="AJ282" s="169"/>
      <c r="AL282" s="296"/>
      <c r="AM282" s="169"/>
    </row>
    <row r="283" spans="1:39" s="267" customFormat="1" ht="28.5" x14ac:dyDescent="0.2">
      <c r="A283" s="308"/>
      <c r="B283" s="265" t="s">
        <v>717</v>
      </c>
      <c r="C283" s="290"/>
      <c r="D283" s="290"/>
      <c r="E283" s="290"/>
      <c r="F283" s="290"/>
      <c r="G283" s="290"/>
      <c r="H283" s="290"/>
      <c r="I283" s="290"/>
      <c r="J283" s="290"/>
      <c r="K283" s="290"/>
      <c r="L283" s="290"/>
      <c r="M283" s="290"/>
      <c r="N283" s="290"/>
      <c r="O283" s="290"/>
      <c r="P283" s="261"/>
      <c r="Q283" s="262"/>
      <c r="R283" s="435"/>
      <c r="T283" s="305"/>
      <c r="U283" s="305"/>
      <c r="W283" s="296"/>
      <c r="X283" s="169"/>
      <c r="Z283" s="296"/>
      <c r="AA283" s="169"/>
      <c r="AC283" s="296"/>
      <c r="AD283" s="169"/>
      <c r="AF283" s="296"/>
      <c r="AG283" s="169"/>
      <c r="AI283" s="296"/>
      <c r="AJ283" s="169"/>
      <c r="AL283" s="296"/>
      <c r="AM283" s="169"/>
    </row>
    <row r="284" spans="1:39" s="267" customFormat="1" x14ac:dyDescent="0.2">
      <c r="A284" s="308"/>
      <c r="B284" s="308"/>
      <c r="C284" s="290"/>
      <c r="D284" s="290"/>
      <c r="E284" s="290"/>
      <c r="F284" s="290"/>
      <c r="G284" s="290"/>
      <c r="H284" s="290"/>
      <c r="I284" s="290"/>
      <c r="J284" s="290"/>
      <c r="K284" s="290"/>
      <c r="L284" s="290"/>
      <c r="M284" s="290"/>
      <c r="N284" s="290">
        <f>M284*$Q284</f>
        <v>0</v>
      </c>
      <c r="O284" s="290"/>
      <c r="P284" s="261"/>
      <c r="Q284" s="262"/>
      <c r="R284" s="435"/>
      <c r="T284" s="305"/>
      <c r="U284" s="305"/>
      <c r="W284" s="296"/>
      <c r="X284" s="169"/>
      <c r="Z284" s="296"/>
      <c r="AA284" s="169"/>
      <c r="AC284" s="296"/>
      <c r="AD284" s="169"/>
      <c r="AF284" s="296"/>
      <c r="AG284" s="169"/>
      <c r="AI284" s="296"/>
      <c r="AJ284" s="169"/>
      <c r="AL284" s="296"/>
      <c r="AM284" s="169"/>
    </row>
    <row r="285" spans="1:39" s="267" customFormat="1" x14ac:dyDescent="0.2">
      <c r="A285" s="308" t="s">
        <v>67</v>
      </c>
      <c r="B285" s="259" t="s">
        <v>206</v>
      </c>
      <c r="C285" s="290">
        <f>(W285+X285)*$C$3</f>
        <v>124</v>
      </c>
      <c r="D285" s="290">
        <f>C285*$Q285</f>
        <v>0</v>
      </c>
      <c r="E285" s="290">
        <f>(Z285+AA285)*$E$3</f>
        <v>155</v>
      </c>
      <c r="F285" s="290">
        <f>E285*$Q285</f>
        <v>0</v>
      </c>
      <c r="G285" s="290">
        <f>(AC285+AD285)*$G$3</f>
        <v>930</v>
      </c>
      <c r="H285" s="290">
        <f>G285*$Q285</f>
        <v>0</v>
      </c>
      <c r="I285" s="290">
        <f>(AF285+AG285)*$I$3</f>
        <v>217</v>
      </c>
      <c r="J285" s="290">
        <f>I285*$Q285</f>
        <v>0</v>
      </c>
      <c r="K285" s="290">
        <f>(AI285+AJ285)*$K$3</f>
        <v>744</v>
      </c>
      <c r="L285" s="290">
        <f>K285*$Q285</f>
        <v>0</v>
      </c>
      <c r="M285" s="290">
        <f>(AL285+AM285)*$M$3</f>
        <v>279</v>
      </c>
      <c r="N285" s="290">
        <f>M285*$Q285</f>
        <v>0</v>
      </c>
      <c r="O285" s="290">
        <f>C285+E285+G285+I285+K285+M285</f>
        <v>2449</v>
      </c>
      <c r="P285" s="261" t="s">
        <v>12</v>
      </c>
      <c r="Q285" s="262"/>
      <c r="R285" s="435">
        <f>O285*Q285</f>
        <v>0</v>
      </c>
      <c r="T285" s="305">
        <f>13+18</f>
        <v>31</v>
      </c>
      <c r="U285" s="266">
        <f>13+18</f>
        <v>31</v>
      </c>
      <c r="W285" s="268">
        <f>T285*$W$3</f>
        <v>62</v>
      </c>
      <c r="X285" s="266">
        <f>U285*$X$3</f>
        <v>62</v>
      </c>
      <c r="Z285" s="268">
        <f>W285</f>
        <v>62</v>
      </c>
      <c r="AA285" s="266">
        <f>U285*$AA$3</f>
        <v>93</v>
      </c>
      <c r="AC285" s="268">
        <f>W285</f>
        <v>62</v>
      </c>
      <c r="AD285" s="266">
        <f>U285*$AD$3</f>
        <v>124</v>
      </c>
      <c r="AF285" s="268">
        <f>W285</f>
        <v>62</v>
      </c>
      <c r="AG285" s="266">
        <f>U285*$AG$3</f>
        <v>155</v>
      </c>
      <c r="AI285" s="268">
        <f>W285</f>
        <v>62</v>
      </c>
      <c r="AJ285" s="266">
        <f>U285*$AJ$3</f>
        <v>186</v>
      </c>
      <c r="AL285" s="268">
        <f>W285</f>
        <v>62</v>
      </c>
      <c r="AM285" s="266">
        <f>U285*$AM$3</f>
        <v>217</v>
      </c>
    </row>
    <row r="286" spans="1:39" s="267" customFormat="1" x14ac:dyDescent="0.2">
      <c r="A286" s="308"/>
      <c r="B286" s="308"/>
      <c r="C286" s="290"/>
      <c r="D286" s="290"/>
      <c r="E286" s="290"/>
      <c r="F286" s="290"/>
      <c r="G286" s="290"/>
      <c r="H286" s="290"/>
      <c r="I286" s="290"/>
      <c r="J286" s="290"/>
      <c r="K286" s="290"/>
      <c r="L286" s="290"/>
      <c r="M286" s="290"/>
      <c r="N286" s="290">
        <f>M286*$Q286</f>
        <v>0</v>
      </c>
      <c r="O286" s="290"/>
      <c r="P286" s="261"/>
      <c r="Q286" s="262"/>
      <c r="R286" s="435"/>
      <c r="T286" s="305"/>
      <c r="U286" s="305"/>
      <c r="W286" s="296"/>
      <c r="X286" s="169"/>
      <c r="Z286" s="296"/>
      <c r="AA286" s="169"/>
      <c r="AC286" s="296"/>
      <c r="AD286" s="169"/>
      <c r="AF286" s="296"/>
      <c r="AG286" s="169"/>
      <c r="AI286" s="296"/>
      <c r="AJ286" s="169"/>
      <c r="AL286" s="296"/>
      <c r="AM286" s="169"/>
    </row>
    <row r="287" spans="1:39" s="267" customFormat="1" ht="28.5" x14ac:dyDescent="0.2">
      <c r="A287" s="308"/>
      <c r="B287" s="293" t="s">
        <v>718</v>
      </c>
      <c r="C287" s="290"/>
      <c r="D287" s="290"/>
      <c r="E287" s="290"/>
      <c r="F287" s="290"/>
      <c r="G287" s="290"/>
      <c r="H287" s="290"/>
      <c r="I287" s="290"/>
      <c r="J287" s="290"/>
      <c r="K287" s="290"/>
      <c r="L287" s="290"/>
      <c r="M287" s="290"/>
      <c r="N287" s="290"/>
      <c r="O287" s="290"/>
      <c r="P287" s="261"/>
      <c r="Q287" s="262"/>
      <c r="R287" s="435"/>
      <c r="T287" s="305"/>
      <c r="U287" s="305"/>
      <c r="W287" s="268"/>
      <c r="X287" s="305"/>
      <c r="Z287" s="268"/>
      <c r="AA287" s="305"/>
      <c r="AC287" s="268"/>
      <c r="AD287" s="305"/>
      <c r="AF287" s="268"/>
      <c r="AG287" s="305"/>
      <c r="AI287" s="268"/>
      <c r="AJ287" s="305"/>
      <c r="AL287" s="268"/>
      <c r="AM287" s="305"/>
    </row>
    <row r="288" spans="1:39" s="267" customFormat="1" x14ac:dyDescent="0.2">
      <c r="A288" s="308"/>
      <c r="B288" s="259"/>
      <c r="C288" s="290"/>
      <c r="D288" s="290"/>
      <c r="E288" s="290"/>
      <c r="F288" s="290"/>
      <c r="G288" s="290"/>
      <c r="H288" s="290"/>
      <c r="I288" s="290"/>
      <c r="J288" s="290"/>
      <c r="K288" s="290"/>
      <c r="L288" s="290"/>
      <c r="M288" s="290"/>
      <c r="N288" s="290"/>
      <c r="O288" s="290"/>
      <c r="P288" s="261"/>
      <c r="Q288" s="262"/>
      <c r="R288" s="435"/>
      <c r="T288" s="305"/>
      <c r="U288" s="305"/>
      <c r="W288" s="268"/>
      <c r="X288" s="305"/>
      <c r="Z288" s="268"/>
      <c r="AA288" s="305"/>
      <c r="AC288" s="268"/>
      <c r="AD288" s="305"/>
      <c r="AF288" s="268"/>
      <c r="AG288" s="305"/>
      <c r="AI288" s="268"/>
      <c r="AJ288" s="305"/>
      <c r="AL288" s="268"/>
      <c r="AM288" s="305"/>
    </row>
    <row r="289" spans="1:39" s="267" customFormat="1" x14ac:dyDescent="0.2">
      <c r="A289" s="308" t="s">
        <v>68</v>
      </c>
      <c r="B289" s="259" t="s">
        <v>206</v>
      </c>
      <c r="C289" s="290">
        <f>(W289+X289)*$C$3</f>
        <v>344</v>
      </c>
      <c r="D289" s="290">
        <f>C289*$Q289</f>
        <v>0</v>
      </c>
      <c r="E289" s="290">
        <f>(Z289+AA289)*$E$3</f>
        <v>428</v>
      </c>
      <c r="F289" s="290">
        <f>E289*$Q289</f>
        <v>0</v>
      </c>
      <c r="G289" s="290">
        <f>(AC289+AD289)*$G$3</f>
        <v>2560</v>
      </c>
      <c r="H289" s="290">
        <f>G289*$Q289</f>
        <v>0</v>
      </c>
      <c r="I289" s="290">
        <f>(AF289+AG289)*$I$3</f>
        <v>596</v>
      </c>
      <c r="J289" s="290">
        <f>I289*$Q289</f>
        <v>0</v>
      </c>
      <c r="K289" s="290">
        <f>(AI289+AJ289)*$K$3</f>
        <v>2040</v>
      </c>
      <c r="L289" s="290">
        <f>K289*$Q289</f>
        <v>0</v>
      </c>
      <c r="M289" s="290">
        <f>(AL289+AM289)*$M$3</f>
        <v>764</v>
      </c>
      <c r="N289" s="290">
        <f>M289*$Q289</f>
        <v>0</v>
      </c>
      <c r="O289" s="290">
        <f>C289+E289+G289+I289+K289+M289</f>
        <v>6732</v>
      </c>
      <c r="P289" s="261" t="s">
        <v>12</v>
      </c>
      <c r="Q289" s="262"/>
      <c r="R289" s="435">
        <f>O289*Q289</f>
        <v>0</v>
      </c>
      <c r="T289" s="305">
        <f>24+19+14+10-10+31</f>
        <v>88</v>
      </c>
      <c r="U289" s="266">
        <f>20+19+14+10-10+31</f>
        <v>84</v>
      </c>
      <c r="W289" s="268">
        <f>T289*$W$3</f>
        <v>176</v>
      </c>
      <c r="X289" s="266">
        <f>U289*$X$3</f>
        <v>168</v>
      </c>
      <c r="Z289" s="268">
        <f>W289</f>
        <v>176</v>
      </c>
      <c r="AA289" s="266">
        <f>U289*$AA$3</f>
        <v>252</v>
      </c>
      <c r="AC289" s="268">
        <f>W289</f>
        <v>176</v>
      </c>
      <c r="AD289" s="266">
        <f>U289*$AD$3</f>
        <v>336</v>
      </c>
      <c r="AF289" s="268">
        <f>W289</f>
        <v>176</v>
      </c>
      <c r="AG289" s="266">
        <f>U289*$AG$3</f>
        <v>420</v>
      </c>
      <c r="AI289" s="268">
        <f>W289</f>
        <v>176</v>
      </c>
      <c r="AJ289" s="266">
        <f>U289*$AJ$3</f>
        <v>504</v>
      </c>
      <c r="AL289" s="268">
        <f>W289</f>
        <v>176</v>
      </c>
      <c r="AM289" s="266">
        <f>U289*$AM$3</f>
        <v>588</v>
      </c>
    </row>
    <row r="290" spans="1:39" s="267" customFormat="1" x14ac:dyDescent="0.2">
      <c r="A290" s="308"/>
      <c r="B290" s="308"/>
      <c r="C290" s="290"/>
      <c r="D290" s="290"/>
      <c r="E290" s="290"/>
      <c r="F290" s="290"/>
      <c r="G290" s="290"/>
      <c r="H290" s="290"/>
      <c r="I290" s="290"/>
      <c r="J290" s="290"/>
      <c r="K290" s="290"/>
      <c r="L290" s="290"/>
      <c r="M290" s="290"/>
      <c r="N290" s="290">
        <f t="shared" ref="N290" si="7">M290*$Q290</f>
        <v>0</v>
      </c>
      <c r="O290" s="290"/>
      <c r="P290" s="261"/>
      <c r="Q290" s="262"/>
      <c r="R290" s="435"/>
      <c r="T290" s="305"/>
      <c r="U290" s="305"/>
      <c r="W290" s="268"/>
      <c r="X290" s="305"/>
      <c r="Z290" s="268"/>
      <c r="AA290" s="305"/>
      <c r="AC290" s="268"/>
      <c r="AD290" s="305"/>
      <c r="AF290" s="268"/>
      <c r="AG290" s="305"/>
      <c r="AI290" s="268"/>
      <c r="AJ290" s="305"/>
      <c r="AL290" s="268"/>
      <c r="AM290" s="305"/>
    </row>
    <row r="291" spans="1:39" s="267" customFormat="1" x14ac:dyDescent="0.2">
      <c r="A291" s="308" t="s">
        <v>69</v>
      </c>
      <c r="B291" s="259" t="s">
        <v>210</v>
      </c>
      <c r="C291" s="290">
        <f>(W291+X291)*$C$3</f>
        <v>4</v>
      </c>
      <c r="D291" s="290">
        <f>C291*$Q291</f>
        <v>0</v>
      </c>
      <c r="E291" s="290">
        <f>(Z291+AA291)*$E$3</f>
        <v>5</v>
      </c>
      <c r="F291" s="290">
        <f>E291*$Q291</f>
        <v>0</v>
      </c>
      <c r="G291" s="290">
        <f>(AC291+AD291)*$G$3</f>
        <v>30</v>
      </c>
      <c r="H291" s="290">
        <f>G291*$Q291</f>
        <v>0</v>
      </c>
      <c r="I291" s="290">
        <f>(AF291+AG291)*$I$3</f>
        <v>7</v>
      </c>
      <c r="J291" s="290">
        <f>I291*$Q291</f>
        <v>0</v>
      </c>
      <c r="K291" s="290">
        <f>(AI291+AJ291)*$K$3</f>
        <v>24</v>
      </c>
      <c r="L291" s="290">
        <f>K291*$Q291</f>
        <v>0</v>
      </c>
      <c r="M291" s="290">
        <f>(AL291+AM291)*$M$3</f>
        <v>9</v>
      </c>
      <c r="N291" s="290">
        <f>M291*$Q291</f>
        <v>0</v>
      </c>
      <c r="O291" s="290">
        <f>C291+E291+G291+I291+K291+M291</f>
        <v>79</v>
      </c>
      <c r="P291" s="261" t="s">
        <v>12</v>
      </c>
      <c r="Q291" s="262"/>
      <c r="R291" s="435">
        <f>O291*Q291</f>
        <v>0</v>
      </c>
      <c r="T291" s="305">
        <f>1+13-13</f>
        <v>1</v>
      </c>
      <c r="U291" s="266">
        <f>1+13-13</f>
        <v>1</v>
      </c>
      <c r="W291" s="268">
        <f>T291*$W$3</f>
        <v>2</v>
      </c>
      <c r="X291" s="266">
        <f>U291*$X$3</f>
        <v>2</v>
      </c>
      <c r="Z291" s="268">
        <f>W291</f>
        <v>2</v>
      </c>
      <c r="AA291" s="266">
        <f>U291*$AA$3</f>
        <v>3</v>
      </c>
      <c r="AC291" s="268">
        <f>W291</f>
        <v>2</v>
      </c>
      <c r="AD291" s="266">
        <f>U291*$AD$3</f>
        <v>4</v>
      </c>
      <c r="AF291" s="268">
        <f>W291</f>
        <v>2</v>
      </c>
      <c r="AG291" s="266">
        <f>U291*$AG$3</f>
        <v>5</v>
      </c>
      <c r="AI291" s="268">
        <f>W291</f>
        <v>2</v>
      </c>
      <c r="AJ291" s="266">
        <f>U291*$AJ$3</f>
        <v>6</v>
      </c>
      <c r="AL291" s="268">
        <f>W291</f>
        <v>2</v>
      </c>
      <c r="AM291" s="266">
        <f>U291*$AM$3</f>
        <v>7</v>
      </c>
    </row>
    <row r="292" spans="1:39" s="267" customFormat="1" x14ac:dyDescent="0.2">
      <c r="A292" s="308"/>
      <c r="B292" s="308"/>
      <c r="C292" s="290"/>
      <c r="D292" s="290"/>
      <c r="E292" s="290"/>
      <c r="F292" s="290"/>
      <c r="G292" s="290"/>
      <c r="H292" s="290"/>
      <c r="I292" s="290"/>
      <c r="J292" s="290"/>
      <c r="K292" s="290"/>
      <c r="L292" s="290"/>
      <c r="M292" s="290"/>
      <c r="N292" s="290">
        <f t="shared" ref="N292" si="8">M292*$Q292</f>
        <v>0</v>
      </c>
      <c r="O292" s="290"/>
      <c r="P292" s="261"/>
      <c r="Q292" s="262"/>
      <c r="R292" s="435"/>
      <c r="T292" s="305"/>
      <c r="U292" s="305"/>
      <c r="W292" s="268"/>
      <c r="X292" s="305"/>
      <c r="Z292" s="268"/>
      <c r="AA292" s="305"/>
      <c r="AC292" s="268"/>
      <c r="AD292" s="305"/>
      <c r="AF292" s="268"/>
      <c r="AG292" s="305"/>
      <c r="AI292" s="268"/>
      <c r="AJ292" s="305"/>
      <c r="AL292" s="268"/>
      <c r="AM292" s="305"/>
    </row>
    <row r="293" spans="1:39" s="267" customFormat="1" ht="28.5" x14ac:dyDescent="0.2">
      <c r="A293" s="308"/>
      <c r="B293" s="293" t="s">
        <v>719</v>
      </c>
      <c r="C293" s="290"/>
      <c r="D293" s="290"/>
      <c r="E293" s="290"/>
      <c r="F293" s="290"/>
      <c r="G293" s="290"/>
      <c r="H293" s="290"/>
      <c r="I293" s="290"/>
      <c r="J293" s="290"/>
      <c r="K293" s="290"/>
      <c r="L293" s="290"/>
      <c r="M293" s="290"/>
      <c r="N293" s="290"/>
      <c r="O293" s="290"/>
      <c r="P293" s="261"/>
      <c r="Q293" s="262"/>
      <c r="R293" s="435"/>
      <c r="T293" s="305"/>
      <c r="U293" s="305"/>
      <c r="W293" s="268"/>
      <c r="X293" s="305"/>
      <c r="Z293" s="268"/>
      <c r="AA293" s="305"/>
      <c r="AC293" s="268"/>
      <c r="AD293" s="305"/>
      <c r="AF293" s="268"/>
      <c r="AG293" s="305"/>
      <c r="AI293" s="268"/>
      <c r="AJ293" s="305"/>
      <c r="AL293" s="268"/>
      <c r="AM293" s="305"/>
    </row>
    <row r="294" spans="1:39" s="267" customFormat="1" x14ac:dyDescent="0.2">
      <c r="A294" s="308"/>
      <c r="B294" s="259"/>
      <c r="C294" s="290"/>
      <c r="D294" s="290"/>
      <c r="E294" s="290"/>
      <c r="F294" s="290"/>
      <c r="G294" s="290"/>
      <c r="H294" s="290"/>
      <c r="I294" s="290"/>
      <c r="J294" s="290"/>
      <c r="K294" s="290"/>
      <c r="L294" s="290"/>
      <c r="M294" s="290"/>
      <c r="N294" s="290"/>
      <c r="O294" s="290"/>
      <c r="P294" s="261"/>
      <c r="Q294" s="262"/>
      <c r="R294" s="435"/>
      <c r="T294" s="305"/>
      <c r="U294" s="305"/>
      <c r="W294" s="268"/>
      <c r="X294" s="305"/>
      <c r="Z294" s="268"/>
      <c r="AA294" s="305"/>
      <c r="AC294" s="268"/>
      <c r="AD294" s="305"/>
      <c r="AF294" s="268"/>
      <c r="AG294" s="305"/>
      <c r="AI294" s="268"/>
      <c r="AJ294" s="305"/>
      <c r="AL294" s="268"/>
      <c r="AM294" s="305"/>
    </row>
    <row r="295" spans="1:39" s="267" customFormat="1" x14ac:dyDescent="0.2">
      <c r="A295" s="308" t="s">
        <v>70</v>
      </c>
      <c r="B295" s="259" t="s">
        <v>206</v>
      </c>
      <c r="C295" s="290">
        <f>(W295+X295)*$C$3</f>
        <v>4</v>
      </c>
      <c r="D295" s="290">
        <f>C295*$Q295</f>
        <v>0</v>
      </c>
      <c r="E295" s="290">
        <f>(Z295+AA295)*$E$3</f>
        <v>5</v>
      </c>
      <c r="F295" s="290">
        <f>E295*$Q295</f>
        <v>0</v>
      </c>
      <c r="G295" s="290">
        <f>(AC295+AD295)*$G$3</f>
        <v>30</v>
      </c>
      <c r="H295" s="290">
        <f>G295*$Q295</f>
        <v>0</v>
      </c>
      <c r="I295" s="290">
        <f>(AF295+AG295)*$I$3</f>
        <v>7</v>
      </c>
      <c r="J295" s="290">
        <f>I295*$Q295</f>
        <v>0</v>
      </c>
      <c r="K295" s="290">
        <f>(AI295+AJ295)*$K$3</f>
        <v>24</v>
      </c>
      <c r="L295" s="290">
        <f>K295*$Q295</f>
        <v>0</v>
      </c>
      <c r="M295" s="290">
        <f>(AL295+AM295)*$M$3</f>
        <v>9</v>
      </c>
      <c r="N295" s="290">
        <f>M295*$Q295</f>
        <v>0</v>
      </c>
      <c r="O295" s="290">
        <f>C295+E295+G295+I295+K295+M295</f>
        <v>79</v>
      </c>
      <c r="P295" s="261" t="s">
        <v>12</v>
      </c>
      <c r="Q295" s="262"/>
      <c r="R295" s="435">
        <f>O295*Q295</f>
        <v>0</v>
      </c>
      <c r="T295" s="305">
        <v>1</v>
      </c>
      <c r="U295" s="266">
        <v>1</v>
      </c>
      <c r="W295" s="268">
        <f>T295*$W$3</f>
        <v>2</v>
      </c>
      <c r="X295" s="266">
        <f>U295*$X$3</f>
        <v>2</v>
      </c>
      <c r="Z295" s="268">
        <f>W295</f>
        <v>2</v>
      </c>
      <c r="AA295" s="266">
        <f>U295*$AA$3</f>
        <v>3</v>
      </c>
      <c r="AC295" s="268">
        <f>W295</f>
        <v>2</v>
      </c>
      <c r="AD295" s="266">
        <f>U295*$AD$3</f>
        <v>4</v>
      </c>
      <c r="AF295" s="268">
        <f>W295</f>
        <v>2</v>
      </c>
      <c r="AG295" s="266">
        <f>U295*$AG$3</f>
        <v>5</v>
      </c>
      <c r="AI295" s="268">
        <f>W295</f>
        <v>2</v>
      </c>
      <c r="AJ295" s="266">
        <f>U295*$AJ$3</f>
        <v>6</v>
      </c>
      <c r="AL295" s="268">
        <f>W295</f>
        <v>2</v>
      </c>
      <c r="AM295" s="266">
        <f>U295*$AM$3</f>
        <v>7</v>
      </c>
    </row>
    <row r="296" spans="1:39" s="267" customFormat="1" x14ac:dyDescent="0.2">
      <c r="A296" s="308"/>
      <c r="B296" s="259"/>
      <c r="C296" s="290"/>
      <c r="D296" s="290"/>
      <c r="E296" s="290"/>
      <c r="F296" s="290"/>
      <c r="G296" s="290"/>
      <c r="H296" s="290"/>
      <c r="I296" s="290"/>
      <c r="J296" s="290"/>
      <c r="K296" s="290"/>
      <c r="L296" s="290"/>
      <c r="M296" s="290"/>
      <c r="N296" s="290"/>
      <c r="O296" s="290"/>
      <c r="P296" s="261"/>
      <c r="Q296" s="262"/>
      <c r="R296" s="435"/>
      <c r="T296" s="305"/>
      <c r="U296" s="305"/>
      <c r="W296" s="268"/>
      <c r="X296" s="305"/>
      <c r="Z296" s="268"/>
      <c r="AA296" s="305"/>
      <c r="AC296" s="268"/>
      <c r="AD296" s="305"/>
      <c r="AF296" s="268"/>
      <c r="AG296" s="305"/>
      <c r="AI296" s="268"/>
      <c r="AJ296" s="305"/>
      <c r="AL296" s="268"/>
      <c r="AM296" s="305"/>
    </row>
    <row r="297" spans="1:39" s="267" customFormat="1" x14ac:dyDescent="0.2">
      <c r="A297" s="308" t="s">
        <v>71</v>
      </c>
      <c r="B297" s="259" t="s">
        <v>210</v>
      </c>
      <c r="C297" s="290">
        <f>(W297+X297)*$C$3</f>
        <v>4</v>
      </c>
      <c r="D297" s="290">
        <f>C297*$Q297</f>
        <v>0</v>
      </c>
      <c r="E297" s="290">
        <f>(Z297+AA297)*$E$3</f>
        <v>5</v>
      </c>
      <c r="F297" s="290">
        <f>E297*$Q297</f>
        <v>0</v>
      </c>
      <c r="G297" s="290">
        <f>(AC297+AD297)*$G$3</f>
        <v>30</v>
      </c>
      <c r="H297" s="290">
        <f>G297*$Q297</f>
        <v>0</v>
      </c>
      <c r="I297" s="290">
        <f>(AF297+AG297)*$I$3</f>
        <v>7</v>
      </c>
      <c r="J297" s="290">
        <f>I297*$Q297</f>
        <v>0</v>
      </c>
      <c r="K297" s="290">
        <f>(AI297+AJ297)*$K$3</f>
        <v>24</v>
      </c>
      <c r="L297" s="290">
        <f>K297*$Q297</f>
        <v>0</v>
      </c>
      <c r="M297" s="290">
        <f>(AL297+AM297)*$M$3</f>
        <v>9</v>
      </c>
      <c r="N297" s="290">
        <f>M297*$Q297</f>
        <v>0</v>
      </c>
      <c r="O297" s="290">
        <f>C297+E297+G297+I297+K297+M297</f>
        <v>79</v>
      </c>
      <c r="P297" s="261" t="s">
        <v>12</v>
      </c>
      <c r="Q297" s="262"/>
      <c r="R297" s="435">
        <f>O297*Q297</f>
        <v>0</v>
      </c>
      <c r="T297" s="305">
        <v>1</v>
      </c>
      <c r="U297" s="266">
        <v>1</v>
      </c>
      <c r="W297" s="268">
        <f>T297*$W$3</f>
        <v>2</v>
      </c>
      <c r="X297" s="266">
        <f>U297*$X$3</f>
        <v>2</v>
      </c>
      <c r="Z297" s="268">
        <f>W297</f>
        <v>2</v>
      </c>
      <c r="AA297" s="266">
        <f>U297*$AA$3</f>
        <v>3</v>
      </c>
      <c r="AC297" s="268">
        <f>W297</f>
        <v>2</v>
      </c>
      <c r="AD297" s="266">
        <f>U297*$AD$3</f>
        <v>4</v>
      </c>
      <c r="AF297" s="268">
        <f>W297</f>
        <v>2</v>
      </c>
      <c r="AG297" s="266">
        <f>U297*$AG$3</f>
        <v>5</v>
      </c>
      <c r="AI297" s="268">
        <f>W297</f>
        <v>2</v>
      </c>
      <c r="AJ297" s="266">
        <f>U297*$AJ$3</f>
        <v>6</v>
      </c>
      <c r="AL297" s="268">
        <f>W297</f>
        <v>2</v>
      </c>
      <c r="AM297" s="266">
        <f>U297*$AM$3</f>
        <v>7</v>
      </c>
    </row>
    <row r="298" spans="1:39" s="267" customFormat="1" x14ac:dyDescent="0.2">
      <c r="A298" s="308"/>
      <c r="B298" s="259"/>
      <c r="C298" s="290"/>
      <c r="D298" s="290"/>
      <c r="E298" s="290"/>
      <c r="F298" s="290"/>
      <c r="G298" s="290"/>
      <c r="H298" s="290"/>
      <c r="I298" s="290"/>
      <c r="J298" s="290"/>
      <c r="K298" s="290"/>
      <c r="L298" s="290"/>
      <c r="M298" s="290"/>
      <c r="N298" s="290"/>
      <c r="O298" s="290"/>
      <c r="P298" s="261"/>
      <c r="Q298" s="262"/>
      <c r="R298" s="435"/>
      <c r="T298" s="305"/>
      <c r="U298" s="305"/>
      <c r="W298" s="268"/>
      <c r="X298" s="305"/>
      <c r="Z298" s="268"/>
      <c r="AA298" s="305"/>
      <c r="AC298" s="268"/>
      <c r="AD298" s="305"/>
      <c r="AF298" s="268"/>
      <c r="AG298" s="305"/>
      <c r="AI298" s="268"/>
      <c r="AJ298" s="305"/>
      <c r="AL298" s="268"/>
      <c r="AM298" s="305"/>
    </row>
    <row r="299" spans="1:39" s="267" customFormat="1" x14ac:dyDescent="0.2">
      <c r="A299" s="308" t="s">
        <v>72</v>
      </c>
      <c r="B299" s="259" t="s">
        <v>201</v>
      </c>
      <c r="C299" s="290">
        <f>(W299+X299)*$C$3</f>
        <v>24</v>
      </c>
      <c r="D299" s="290">
        <f>C299*$Q299</f>
        <v>0</v>
      </c>
      <c r="E299" s="290">
        <f>(Z299+AA299)*$E$3</f>
        <v>32</v>
      </c>
      <c r="F299" s="290">
        <f>E299*$Q299</f>
        <v>0</v>
      </c>
      <c r="G299" s="290">
        <f>(AC299+AD299)*$G$3</f>
        <v>200</v>
      </c>
      <c r="H299" s="290">
        <f>G299*$Q299</f>
        <v>0</v>
      </c>
      <c r="I299" s="290">
        <f>(AF299+AG299)*$I$3</f>
        <v>48</v>
      </c>
      <c r="J299" s="290">
        <f>I299*$Q299</f>
        <v>0</v>
      </c>
      <c r="K299" s="290">
        <f>(AI299+AJ299)*$K$3</f>
        <v>168</v>
      </c>
      <c r="L299" s="290">
        <f>K299*$Q299</f>
        <v>0</v>
      </c>
      <c r="M299" s="290">
        <f>(AL299+AM299)*$M$3</f>
        <v>64</v>
      </c>
      <c r="N299" s="290">
        <f>M299*$Q299</f>
        <v>0</v>
      </c>
      <c r="O299" s="290">
        <f>C299+E299+G299+I299+K299+M299</f>
        <v>536</v>
      </c>
      <c r="P299" s="261" t="s">
        <v>12</v>
      </c>
      <c r="Q299" s="262"/>
      <c r="R299" s="435">
        <f>O299*Q299</f>
        <v>0</v>
      </c>
      <c r="T299" s="305">
        <v>4</v>
      </c>
      <c r="U299" s="266">
        <v>8</v>
      </c>
      <c r="W299" s="268">
        <f>T299*$W$3</f>
        <v>8</v>
      </c>
      <c r="X299" s="266">
        <f>U299*$X$3</f>
        <v>16</v>
      </c>
      <c r="Z299" s="268">
        <f>W299</f>
        <v>8</v>
      </c>
      <c r="AA299" s="266">
        <f>U299*$AA$3</f>
        <v>24</v>
      </c>
      <c r="AC299" s="268">
        <f>W299</f>
        <v>8</v>
      </c>
      <c r="AD299" s="266">
        <f>U299*$AD$3</f>
        <v>32</v>
      </c>
      <c r="AF299" s="268">
        <f>W299</f>
        <v>8</v>
      </c>
      <c r="AG299" s="266">
        <f>U299*$AG$3</f>
        <v>40</v>
      </c>
      <c r="AI299" s="268">
        <f>W299</f>
        <v>8</v>
      </c>
      <c r="AJ299" s="266">
        <f>U299*$AJ$3</f>
        <v>48</v>
      </c>
      <c r="AL299" s="268">
        <f>W299</f>
        <v>8</v>
      </c>
      <c r="AM299" s="266">
        <f>U299*$AM$3</f>
        <v>56</v>
      </c>
    </row>
    <row r="300" spans="1:39" s="267" customFormat="1" x14ac:dyDescent="0.2">
      <c r="A300" s="308"/>
      <c r="B300" s="259"/>
      <c r="C300" s="290"/>
      <c r="D300" s="290"/>
      <c r="E300" s="290"/>
      <c r="F300" s="290"/>
      <c r="G300" s="290"/>
      <c r="H300" s="290"/>
      <c r="I300" s="290"/>
      <c r="J300" s="290"/>
      <c r="K300" s="290"/>
      <c r="L300" s="290"/>
      <c r="M300" s="290"/>
      <c r="N300" s="290"/>
      <c r="O300" s="290"/>
      <c r="P300" s="261"/>
      <c r="Q300" s="262"/>
      <c r="R300" s="435"/>
      <c r="T300" s="305"/>
      <c r="U300" s="305"/>
      <c r="W300" s="268"/>
      <c r="X300" s="305"/>
      <c r="Z300" s="268"/>
      <c r="AA300" s="305"/>
      <c r="AC300" s="268"/>
      <c r="AD300" s="305"/>
      <c r="AF300" s="268"/>
      <c r="AG300" s="305"/>
      <c r="AI300" s="268"/>
      <c r="AJ300" s="305"/>
      <c r="AL300" s="268"/>
      <c r="AM300" s="305"/>
    </row>
    <row r="301" spans="1:39" s="267" customFormat="1" x14ac:dyDescent="0.2">
      <c r="A301" s="308" t="s">
        <v>73</v>
      </c>
      <c r="B301" s="259" t="s">
        <v>202</v>
      </c>
      <c r="C301" s="290">
        <f>(W301+X301)*$C$3</f>
        <v>26</v>
      </c>
      <c r="D301" s="290">
        <f>C301*$Q301</f>
        <v>0</v>
      </c>
      <c r="E301" s="290">
        <f>(Z301+AA301)*$E$3</f>
        <v>30</v>
      </c>
      <c r="F301" s="290">
        <f>E301*$Q301</f>
        <v>0</v>
      </c>
      <c r="G301" s="290">
        <f>(AC301+AD301)*$G$3</f>
        <v>170</v>
      </c>
      <c r="H301" s="290">
        <f>G301*$Q301</f>
        <v>0</v>
      </c>
      <c r="I301" s="290">
        <f>(AF301+AG301)*$I$3</f>
        <v>38</v>
      </c>
      <c r="J301" s="290">
        <f>I301*$Q301</f>
        <v>0</v>
      </c>
      <c r="K301" s="290">
        <f>(AI301+AJ301)*$K$3</f>
        <v>126</v>
      </c>
      <c r="L301" s="290">
        <f>K301*$Q301</f>
        <v>0</v>
      </c>
      <c r="M301" s="290">
        <f>(AL301+AM301)*$M$3</f>
        <v>46</v>
      </c>
      <c r="N301" s="290">
        <f>M301*$Q301</f>
        <v>0</v>
      </c>
      <c r="O301" s="290">
        <f>C301+E301+G301+I301+K301+M301</f>
        <v>436</v>
      </c>
      <c r="P301" s="261" t="s">
        <v>12</v>
      </c>
      <c r="Q301" s="262"/>
      <c r="R301" s="435">
        <f>O301*Q301</f>
        <v>0</v>
      </c>
      <c r="T301" s="305">
        <v>9</v>
      </c>
      <c r="U301" s="266">
        <v>4</v>
      </c>
      <c r="W301" s="268">
        <f>T301*$W$3</f>
        <v>18</v>
      </c>
      <c r="X301" s="266">
        <f>U301*$X$3</f>
        <v>8</v>
      </c>
      <c r="Z301" s="268">
        <f>W301</f>
        <v>18</v>
      </c>
      <c r="AA301" s="266">
        <f>U301*$AA$3</f>
        <v>12</v>
      </c>
      <c r="AC301" s="268">
        <f>W301</f>
        <v>18</v>
      </c>
      <c r="AD301" s="266">
        <f>U301*$AD$3</f>
        <v>16</v>
      </c>
      <c r="AF301" s="268">
        <f>W301</f>
        <v>18</v>
      </c>
      <c r="AG301" s="266">
        <f>U301*$AG$3</f>
        <v>20</v>
      </c>
      <c r="AI301" s="268">
        <f>W301</f>
        <v>18</v>
      </c>
      <c r="AJ301" s="266">
        <f>U301*$AJ$3</f>
        <v>24</v>
      </c>
      <c r="AL301" s="268">
        <f>W301</f>
        <v>18</v>
      </c>
      <c r="AM301" s="266">
        <f>U301*$AM$3</f>
        <v>28</v>
      </c>
    </row>
    <row r="302" spans="1:39" s="267" customFormat="1" x14ac:dyDescent="0.2">
      <c r="A302" s="308"/>
      <c r="B302" s="259"/>
      <c r="C302" s="290"/>
      <c r="D302" s="290"/>
      <c r="E302" s="290"/>
      <c r="F302" s="290"/>
      <c r="G302" s="290"/>
      <c r="H302" s="290"/>
      <c r="I302" s="290"/>
      <c r="J302" s="290"/>
      <c r="K302" s="290"/>
      <c r="L302" s="290"/>
      <c r="M302" s="290"/>
      <c r="N302" s="290"/>
      <c r="O302" s="290"/>
      <c r="P302" s="261"/>
      <c r="Q302" s="262"/>
      <c r="R302" s="435"/>
      <c r="T302" s="305"/>
      <c r="U302" s="305"/>
      <c r="W302" s="268"/>
      <c r="X302" s="305"/>
      <c r="Z302" s="268"/>
      <c r="AA302" s="305"/>
      <c r="AC302" s="268"/>
      <c r="AD302" s="305"/>
      <c r="AF302" s="268"/>
      <c r="AG302" s="305"/>
      <c r="AI302" s="268"/>
      <c r="AJ302" s="305"/>
      <c r="AL302" s="268"/>
      <c r="AM302" s="305"/>
    </row>
    <row r="303" spans="1:39" s="267" customFormat="1" ht="28.5" x14ac:dyDescent="0.2">
      <c r="A303" s="308"/>
      <c r="B303" s="293" t="s">
        <v>720</v>
      </c>
      <c r="C303" s="290"/>
      <c r="D303" s="290"/>
      <c r="E303" s="290"/>
      <c r="F303" s="290"/>
      <c r="G303" s="290"/>
      <c r="H303" s="290"/>
      <c r="I303" s="290"/>
      <c r="J303" s="290"/>
      <c r="K303" s="290"/>
      <c r="L303" s="290"/>
      <c r="M303" s="290"/>
      <c r="N303" s="290"/>
      <c r="O303" s="290"/>
      <c r="P303" s="261"/>
      <c r="Q303" s="262"/>
      <c r="R303" s="435"/>
      <c r="T303" s="305"/>
      <c r="U303" s="305"/>
      <c r="W303" s="268"/>
      <c r="X303" s="305"/>
      <c r="Z303" s="268"/>
      <c r="AA303" s="305"/>
      <c r="AC303" s="268"/>
      <c r="AD303" s="305"/>
      <c r="AF303" s="268"/>
      <c r="AG303" s="305"/>
      <c r="AI303" s="268"/>
      <c r="AJ303" s="305"/>
      <c r="AL303" s="268"/>
      <c r="AM303" s="305"/>
    </row>
    <row r="304" spans="1:39" s="267" customFormat="1" x14ac:dyDescent="0.2">
      <c r="A304" s="308"/>
      <c r="B304" s="259"/>
      <c r="C304" s="290"/>
      <c r="D304" s="290"/>
      <c r="E304" s="290"/>
      <c r="F304" s="290"/>
      <c r="G304" s="290"/>
      <c r="H304" s="290"/>
      <c r="I304" s="290"/>
      <c r="J304" s="290"/>
      <c r="K304" s="290"/>
      <c r="L304" s="290"/>
      <c r="M304" s="290"/>
      <c r="N304" s="290"/>
      <c r="O304" s="290"/>
      <c r="P304" s="261"/>
      <c r="Q304" s="262"/>
      <c r="R304" s="435"/>
      <c r="T304" s="305"/>
      <c r="U304" s="305"/>
      <c r="W304" s="268"/>
      <c r="X304" s="305"/>
      <c r="Z304" s="268"/>
      <c r="AA304" s="305"/>
      <c r="AC304" s="268"/>
      <c r="AD304" s="305"/>
      <c r="AF304" s="268"/>
      <c r="AG304" s="305"/>
      <c r="AI304" s="268"/>
      <c r="AJ304" s="305"/>
      <c r="AL304" s="268"/>
      <c r="AM304" s="305"/>
    </row>
    <row r="305" spans="1:39" s="267" customFormat="1" x14ac:dyDescent="0.2">
      <c r="A305" s="308" t="s">
        <v>74</v>
      </c>
      <c r="B305" s="259" t="s">
        <v>206</v>
      </c>
      <c r="C305" s="290">
        <f>(W305+X305)*$C$3</f>
        <v>40</v>
      </c>
      <c r="D305" s="290">
        <f>C305*$Q305</f>
        <v>0</v>
      </c>
      <c r="E305" s="290">
        <f>(Z305+AA305)*$E$3</f>
        <v>50</v>
      </c>
      <c r="F305" s="290">
        <f>E305*$Q305</f>
        <v>0</v>
      </c>
      <c r="G305" s="290">
        <f>(AC305+AD305)*$G$3</f>
        <v>300</v>
      </c>
      <c r="H305" s="290">
        <f>G305*$Q305</f>
        <v>0</v>
      </c>
      <c r="I305" s="290">
        <f>(AF305+AG305)*$I$3</f>
        <v>70</v>
      </c>
      <c r="J305" s="290">
        <f>I305*$Q305</f>
        <v>0</v>
      </c>
      <c r="K305" s="290">
        <f>(AI305+AJ305)*$K$3</f>
        <v>240</v>
      </c>
      <c r="L305" s="290">
        <f>K305*$Q305</f>
        <v>0</v>
      </c>
      <c r="M305" s="290">
        <f>(AL305+AM305)*$M$3</f>
        <v>90</v>
      </c>
      <c r="N305" s="290">
        <f>M305*$Q305</f>
        <v>0</v>
      </c>
      <c r="O305" s="290">
        <f>C305+E305+G305+I305+K305+M305</f>
        <v>790</v>
      </c>
      <c r="P305" s="261" t="s">
        <v>12</v>
      </c>
      <c r="Q305" s="262"/>
      <c r="R305" s="435">
        <f>O305*Q305</f>
        <v>0</v>
      </c>
      <c r="T305" s="305">
        <v>10</v>
      </c>
      <c r="U305" s="266">
        <v>10</v>
      </c>
      <c r="W305" s="268">
        <f>T305*$W$3</f>
        <v>20</v>
      </c>
      <c r="X305" s="266">
        <f>U305*$X$3</f>
        <v>20</v>
      </c>
      <c r="Z305" s="268">
        <f>W305</f>
        <v>20</v>
      </c>
      <c r="AA305" s="266">
        <f>U305*$AA$3</f>
        <v>30</v>
      </c>
      <c r="AC305" s="268">
        <f>W305</f>
        <v>20</v>
      </c>
      <c r="AD305" s="266">
        <f>U305*$AD$3</f>
        <v>40</v>
      </c>
      <c r="AF305" s="268">
        <f>W305</f>
        <v>20</v>
      </c>
      <c r="AG305" s="266">
        <f>U305*$AG$3</f>
        <v>50</v>
      </c>
      <c r="AI305" s="268">
        <f>W305</f>
        <v>20</v>
      </c>
      <c r="AJ305" s="266">
        <f>U305*$AJ$3</f>
        <v>60</v>
      </c>
      <c r="AL305" s="268">
        <f>W305</f>
        <v>20</v>
      </c>
      <c r="AM305" s="266">
        <f>U305*$AM$3</f>
        <v>70</v>
      </c>
    </row>
    <row r="306" spans="1:39" s="267" customFormat="1" x14ac:dyDescent="0.2">
      <c r="A306" s="308"/>
      <c r="B306" s="259"/>
      <c r="C306" s="290"/>
      <c r="D306" s="290"/>
      <c r="E306" s="290"/>
      <c r="F306" s="290"/>
      <c r="G306" s="290"/>
      <c r="H306" s="290"/>
      <c r="I306" s="290"/>
      <c r="J306" s="290"/>
      <c r="K306" s="290"/>
      <c r="L306" s="290"/>
      <c r="M306" s="290"/>
      <c r="N306" s="290"/>
      <c r="O306" s="290"/>
      <c r="P306" s="261"/>
      <c r="Q306" s="262"/>
      <c r="R306" s="435"/>
      <c r="T306" s="305"/>
      <c r="U306" s="305"/>
      <c r="W306" s="268"/>
      <c r="X306" s="305"/>
      <c r="Z306" s="268"/>
      <c r="AA306" s="305"/>
      <c r="AC306" s="268"/>
      <c r="AD306" s="305"/>
      <c r="AF306" s="268"/>
      <c r="AG306" s="305"/>
      <c r="AI306" s="268"/>
      <c r="AJ306" s="305"/>
      <c r="AL306" s="268"/>
      <c r="AM306" s="305"/>
    </row>
    <row r="307" spans="1:39" s="267" customFormat="1" x14ac:dyDescent="0.2">
      <c r="A307" s="308" t="s">
        <v>75</v>
      </c>
      <c r="B307" s="259" t="s">
        <v>210</v>
      </c>
      <c r="C307" s="290">
        <f>(W307+X307)*$C$3</f>
        <v>52</v>
      </c>
      <c r="D307" s="290">
        <f>C307*$Q307</f>
        <v>0</v>
      </c>
      <c r="E307" s="290">
        <f>(Z307+AA307)*$E$3</f>
        <v>65</v>
      </c>
      <c r="F307" s="290">
        <f>E307*$Q307</f>
        <v>0</v>
      </c>
      <c r="G307" s="290">
        <f>(AC307+AD307)*$G$3</f>
        <v>390</v>
      </c>
      <c r="H307" s="290">
        <f>G307*$Q307</f>
        <v>0</v>
      </c>
      <c r="I307" s="290">
        <f>(AF307+AG307)*$I$3</f>
        <v>91</v>
      </c>
      <c r="J307" s="290">
        <f>I307*$Q307</f>
        <v>0</v>
      </c>
      <c r="K307" s="290">
        <f>(AI307+AJ307)*$K$3</f>
        <v>312</v>
      </c>
      <c r="L307" s="290">
        <f>K307*$Q307</f>
        <v>0</v>
      </c>
      <c r="M307" s="290">
        <f>(AL307+AM307)*$M$3</f>
        <v>117</v>
      </c>
      <c r="N307" s="290">
        <f>M307*$Q307</f>
        <v>0</v>
      </c>
      <c r="O307" s="290">
        <f>C307+E307+G307+I307+K307+M307</f>
        <v>1027</v>
      </c>
      <c r="P307" s="261" t="s">
        <v>12</v>
      </c>
      <c r="Q307" s="262"/>
      <c r="R307" s="435">
        <f>O307*Q307</f>
        <v>0</v>
      </c>
      <c r="T307" s="305">
        <v>13</v>
      </c>
      <c r="U307" s="266">
        <v>13</v>
      </c>
      <c r="W307" s="268">
        <f>T307*$W$3</f>
        <v>26</v>
      </c>
      <c r="X307" s="266">
        <f>U307*$X$3</f>
        <v>26</v>
      </c>
      <c r="Z307" s="268">
        <f>W307</f>
        <v>26</v>
      </c>
      <c r="AA307" s="266">
        <f>U307*$AA$3</f>
        <v>39</v>
      </c>
      <c r="AC307" s="268">
        <f>W307</f>
        <v>26</v>
      </c>
      <c r="AD307" s="266">
        <f>U307*$AD$3</f>
        <v>52</v>
      </c>
      <c r="AF307" s="268">
        <f>W307</f>
        <v>26</v>
      </c>
      <c r="AG307" s="266">
        <f>U307*$AG$3</f>
        <v>65</v>
      </c>
      <c r="AI307" s="268">
        <f>W307</f>
        <v>26</v>
      </c>
      <c r="AJ307" s="266">
        <f>U307*$AJ$3</f>
        <v>78</v>
      </c>
      <c r="AL307" s="268">
        <f>W307</f>
        <v>26</v>
      </c>
      <c r="AM307" s="266">
        <f>U307*$AM$3</f>
        <v>91</v>
      </c>
    </row>
    <row r="308" spans="1:39" s="267" customFormat="1" x14ac:dyDescent="0.2">
      <c r="A308" s="308"/>
      <c r="B308" s="259"/>
      <c r="C308" s="290"/>
      <c r="D308" s="290"/>
      <c r="E308" s="290"/>
      <c r="F308" s="290"/>
      <c r="G308" s="290"/>
      <c r="H308" s="290"/>
      <c r="I308" s="290"/>
      <c r="J308" s="290"/>
      <c r="K308" s="290"/>
      <c r="L308" s="290"/>
      <c r="M308" s="290"/>
      <c r="N308" s="290"/>
      <c r="O308" s="290"/>
      <c r="P308" s="261"/>
      <c r="Q308" s="262"/>
      <c r="R308" s="435"/>
      <c r="T308" s="305"/>
      <c r="U308" s="305"/>
      <c r="W308" s="268"/>
      <c r="X308" s="305"/>
      <c r="Z308" s="268"/>
      <c r="AA308" s="305"/>
      <c r="AC308" s="268"/>
      <c r="AD308" s="305"/>
      <c r="AF308" s="268"/>
      <c r="AG308" s="305"/>
      <c r="AI308" s="268"/>
      <c r="AJ308" s="305"/>
      <c r="AL308" s="268"/>
      <c r="AM308" s="305"/>
    </row>
    <row r="309" spans="1:39" s="267" customFormat="1" x14ac:dyDescent="0.2">
      <c r="A309" s="308" t="s">
        <v>76</v>
      </c>
      <c r="B309" s="259" t="s">
        <v>201</v>
      </c>
      <c r="C309" s="290">
        <f>(W309+X309)*$C$3</f>
        <v>24</v>
      </c>
      <c r="D309" s="290">
        <f>C309*$Q309</f>
        <v>0</v>
      </c>
      <c r="E309" s="290">
        <f>(Z309+AA309)*$E$3</f>
        <v>30</v>
      </c>
      <c r="F309" s="290">
        <f>E309*$Q309</f>
        <v>0</v>
      </c>
      <c r="G309" s="290">
        <f>(AC309+AD309)*$G$3</f>
        <v>180</v>
      </c>
      <c r="H309" s="290">
        <f>G309*$Q309</f>
        <v>0</v>
      </c>
      <c r="I309" s="290">
        <f>(AF309+AG309)*$I$3</f>
        <v>42</v>
      </c>
      <c r="J309" s="290">
        <f>I309*$Q309</f>
        <v>0</v>
      </c>
      <c r="K309" s="290">
        <f>(AI309+AJ309)*$K$3</f>
        <v>144</v>
      </c>
      <c r="L309" s="290">
        <f>K309*$Q309</f>
        <v>0</v>
      </c>
      <c r="M309" s="290">
        <f>(AL309+AM309)*$M$3</f>
        <v>54</v>
      </c>
      <c r="N309" s="290">
        <f>M309*$Q309</f>
        <v>0</v>
      </c>
      <c r="O309" s="290">
        <f>C309+E309+G309+I309+K309+M309</f>
        <v>474</v>
      </c>
      <c r="P309" s="261" t="s">
        <v>12</v>
      </c>
      <c r="Q309" s="262"/>
      <c r="R309" s="435">
        <f>O309*Q309</f>
        <v>0</v>
      </c>
      <c r="T309" s="305">
        <v>6</v>
      </c>
      <c r="U309" s="266">
        <v>6</v>
      </c>
      <c r="W309" s="268">
        <f>T309*$W$3</f>
        <v>12</v>
      </c>
      <c r="X309" s="266">
        <f>U309*$X$3</f>
        <v>12</v>
      </c>
      <c r="Z309" s="268">
        <f>W309</f>
        <v>12</v>
      </c>
      <c r="AA309" s="266">
        <f>U309*$AA$3</f>
        <v>18</v>
      </c>
      <c r="AC309" s="268">
        <f>W309</f>
        <v>12</v>
      </c>
      <c r="AD309" s="266">
        <f>U309*$AD$3</f>
        <v>24</v>
      </c>
      <c r="AF309" s="268">
        <f>W309</f>
        <v>12</v>
      </c>
      <c r="AG309" s="266">
        <f>U309*$AG$3</f>
        <v>30</v>
      </c>
      <c r="AI309" s="268">
        <f>W309</f>
        <v>12</v>
      </c>
      <c r="AJ309" s="266">
        <f>U309*$AJ$3</f>
        <v>36</v>
      </c>
      <c r="AL309" s="268">
        <f>W309</f>
        <v>12</v>
      </c>
      <c r="AM309" s="266">
        <f>U309*$AM$3</f>
        <v>42</v>
      </c>
    </row>
    <row r="310" spans="1:39" s="267" customFormat="1" x14ac:dyDescent="0.2">
      <c r="A310" s="308"/>
      <c r="B310" s="259"/>
      <c r="C310" s="290"/>
      <c r="D310" s="290"/>
      <c r="E310" s="290"/>
      <c r="F310" s="290"/>
      <c r="G310" s="290"/>
      <c r="H310" s="290"/>
      <c r="I310" s="290"/>
      <c r="J310" s="290"/>
      <c r="K310" s="290"/>
      <c r="L310" s="290"/>
      <c r="M310" s="290"/>
      <c r="N310" s="290"/>
      <c r="O310" s="290"/>
      <c r="P310" s="261"/>
      <c r="Q310" s="262"/>
      <c r="R310" s="435"/>
      <c r="T310" s="305"/>
      <c r="U310" s="305"/>
      <c r="W310" s="268"/>
      <c r="X310" s="305"/>
      <c r="Z310" s="268"/>
      <c r="AA310" s="305"/>
      <c r="AC310" s="268"/>
      <c r="AD310" s="305"/>
      <c r="AF310" s="268"/>
      <c r="AG310" s="305"/>
      <c r="AI310" s="268"/>
      <c r="AJ310" s="305"/>
      <c r="AL310" s="268"/>
      <c r="AM310" s="305"/>
    </row>
    <row r="311" spans="1:39" s="267" customFormat="1" x14ac:dyDescent="0.2">
      <c r="A311" s="308"/>
      <c r="B311" s="259"/>
      <c r="C311" s="290"/>
      <c r="D311" s="290"/>
      <c r="E311" s="290"/>
      <c r="F311" s="290"/>
      <c r="G311" s="290"/>
      <c r="H311" s="290"/>
      <c r="I311" s="290"/>
      <c r="J311" s="290"/>
      <c r="K311" s="290"/>
      <c r="L311" s="290"/>
      <c r="M311" s="290"/>
      <c r="N311" s="290"/>
      <c r="O311" s="290"/>
      <c r="P311" s="261"/>
      <c r="Q311" s="262"/>
      <c r="R311" s="435"/>
      <c r="T311" s="305"/>
      <c r="U311" s="305"/>
      <c r="W311" s="268"/>
      <c r="X311" s="305"/>
      <c r="Z311" s="268"/>
      <c r="AA311" s="305"/>
      <c r="AC311" s="268"/>
      <c r="AD311" s="305"/>
      <c r="AF311" s="268"/>
      <c r="AG311" s="305"/>
      <c r="AI311" s="268"/>
      <c r="AJ311" s="305"/>
      <c r="AL311" s="268"/>
      <c r="AM311" s="305"/>
    </row>
    <row r="312" spans="1:39" s="267" customFormat="1" x14ac:dyDescent="0.2">
      <c r="A312" s="308"/>
      <c r="B312" s="259"/>
      <c r="C312" s="290"/>
      <c r="D312" s="290"/>
      <c r="E312" s="290"/>
      <c r="F312" s="290"/>
      <c r="G312" s="290"/>
      <c r="H312" s="290"/>
      <c r="I312" s="290"/>
      <c r="J312" s="290"/>
      <c r="K312" s="290"/>
      <c r="L312" s="290"/>
      <c r="M312" s="290"/>
      <c r="N312" s="290"/>
      <c r="O312" s="290"/>
      <c r="P312" s="261"/>
      <c r="Q312" s="262"/>
      <c r="R312" s="435"/>
      <c r="T312" s="305"/>
      <c r="U312" s="305"/>
      <c r="W312" s="268"/>
      <c r="X312" s="305"/>
      <c r="Z312" s="268"/>
      <c r="AA312" s="305"/>
      <c r="AC312" s="268"/>
      <c r="AD312" s="305"/>
      <c r="AF312" s="268"/>
      <c r="AG312" s="305"/>
      <c r="AI312" s="268"/>
      <c r="AJ312" s="305"/>
      <c r="AL312" s="268"/>
      <c r="AM312" s="305"/>
    </row>
    <row r="313" spans="1:39" s="267" customFormat="1" x14ac:dyDescent="0.2">
      <c r="A313" s="308"/>
      <c r="B313" s="259"/>
      <c r="C313" s="290"/>
      <c r="D313" s="290"/>
      <c r="E313" s="290"/>
      <c r="F313" s="290"/>
      <c r="G313" s="290"/>
      <c r="H313" s="290"/>
      <c r="I313" s="290"/>
      <c r="J313" s="290"/>
      <c r="K313" s="290"/>
      <c r="L313" s="290"/>
      <c r="M313" s="290"/>
      <c r="N313" s="290"/>
      <c r="O313" s="290"/>
      <c r="P313" s="261"/>
      <c r="Q313" s="262"/>
      <c r="R313" s="435"/>
      <c r="T313" s="305"/>
      <c r="U313" s="305"/>
      <c r="W313" s="268"/>
      <c r="X313" s="305"/>
      <c r="Z313" s="268"/>
      <c r="AA313" s="305"/>
      <c r="AC313" s="268"/>
      <c r="AD313" s="305"/>
      <c r="AF313" s="268"/>
      <c r="AG313" s="305"/>
      <c r="AI313" s="268"/>
      <c r="AJ313" s="305"/>
      <c r="AL313" s="268"/>
      <c r="AM313" s="305"/>
    </row>
    <row r="314" spans="1:39" s="267" customFormat="1" x14ac:dyDescent="0.2">
      <c r="A314" s="308"/>
      <c r="B314" s="259"/>
      <c r="C314" s="290"/>
      <c r="D314" s="290"/>
      <c r="E314" s="290"/>
      <c r="F314" s="290"/>
      <c r="G314" s="290"/>
      <c r="H314" s="290"/>
      <c r="I314" s="290"/>
      <c r="J314" s="290"/>
      <c r="K314" s="290"/>
      <c r="L314" s="290"/>
      <c r="M314" s="290"/>
      <c r="N314" s="290"/>
      <c r="O314" s="290"/>
      <c r="P314" s="261"/>
      <c r="Q314" s="262"/>
      <c r="R314" s="435"/>
      <c r="T314" s="305"/>
      <c r="U314" s="305"/>
      <c r="W314" s="268"/>
      <c r="X314" s="305"/>
      <c r="Z314" s="268"/>
      <c r="AA314" s="305"/>
      <c r="AC314" s="268"/>
      <c r="AD314" s="305"/>
      <c r="AF314" s="268"/>
      <c r="AG314" s="305"/>
      <c r="AI314" s="268"/>
      <c r="AJ314" s="305"/>
      <c r="AL314" s="268"/>
      <c r="AM314" s="305"/>
    </row>
    <row r="315" spans="1:39" s="267" customFormat="1" x14ac:dyDescent="0.2">
      <c r="A315" s="308"/>
      <c r="B315" s="259"/>
      <c r="C315" s="290"/>
      <c r="D315" s="290"/>
      <c r="E315" s="290"/>
      <c r="F315" s="290"/>
      <c r="G315" s="290"/>
      <c r="H315" s="290"/>
      <c r="I315" s="290"/>
      <c r="J315" s="290"/>
      <c r="K315" s="290"/>
      <c r="L315" s="290"/>
      <c r="M315" s="290"/>
      <c r="N315" s="290"/>
      <c r="O315" s="290"/>
      <c r="P315" s="261"/>
      <c r="Q315" s="262"/>
      <c r="R315" s="435"/>
      <c r="T315" s="305"/>
      <c r="U315" s="305"/>
      <c r="W315" s="268"/>
      <c r="X315" s="305"/>
      <c r="Z315" s="268"/>
      <c r="AA315" s="305"/>
      <c r="AC315" s="268"/>
      <c r="AD315" s="305"/>
      <c r="AF315" s="268"/>
      <c r="AG315" s="305"/>
      <c r="AI315" s="268"/>
      <c r="AJ315" s="305"/>
      <c r="AL315" s="268"/>
      <c r="AM315" s="305"/>
    </row>
    <row r="316" spans="1:39" s="267" customFormat="1" x14ac:dyDescent="0.2">
      <c r="A316" s="308"/>
      <c r="B316" s="259"/>
      <c r="C316" s="290"/>
      <c r="D316" s="290"/>
      <c r="E316" s="290"/>
      <c r="F316" s="290"/>
      <c r="G316" s="290"/>
      <c r="H316" s="290"/>
      <c r="I316" s="290"/>
      <c r="J316" s="290"/>
      <c r="K316" s="290"/>
      <c r="L316" s="290"/>
      <c r="M316" s="290"/>
      <c r="N316" s="290"/>
      <c r="O316" s="290"/>
      <c r="P316" s="261"/>
      <c r="Q316" s="262"/>
      <c r="R316" s="435"/>
      <c r="S316" s="311"/>
      <c r="T316" s="305"/>
      <c r="U316" s="312"/>
      <c r="W316" s="268"/>
      <c r="X316" s="305"/>
      <c r="Z316" s="268"/>
      <c r="AA316" s="305"/>
      <c r="AC316" s="268"/>
      <c r="AD316" s="305"/>
      <c r="AF316" s="268"/>
      <c r="AG316" s="305"/>
      <c r="AI316" s="268"/>
      <c r="AJ316" s="305"/>
      <c r="AL316" s="268"/>
      <c r="AM316" s="305"/>
    </row>
    <row r="317" spans="1:39" s="267" customFormat="1" x14ac:dyDescent="0.2">
      <c r="A317" s="375"/>
      <c r="B317" s="376"/>
      <c r="C317" s="377"/>
      <c r="D317" s="377"/>
      <c r="E317" s="377"/>
      <c r="F317" s="377"/>
      <c r="G317" s="377"/>
      <c r="H317" s="377"/>
      <c r="I317" s="377"/>
      <c r="J317" s="377"/>
      <c r="K317" s="377"/>
      <c r="L317" s="377"/>
      <c r="M317" s="377"/>
      <c r="N317" s="377"/>
      <c r="O317" s="377"/>
      <c r="P317" s="377"/>
      <c r="Q317" s="378"/>
      <c r="R317" s="441"/>
      <c r="T317" s="306"/>
      <c r="U317" s="313"/>
      <c r="W317" s="275"/>
      <c r="X317" s="306"/>
      <c r="Z317" s="275"/>
      <c r="AA317" s="306"/>
      <c r="AC317" s="275"/>
      <c r="AD317" s="306"/>
      <c r="AF317" s="275"/>
      <c r="AG317" s="306"/>
      <c r="AI317" s="275"/>
      <c r="AJ317" s="306"/>
      <c r="AL317" s="275"/>
      <c r="AM317" s="306"/>
    </row>
    <row r="318" spans="1:39" s="267" customFormat="1" x14ac:dyDescent="0.2">
      <c r="A318" s="380"/>
      <c r="B318" s="320"/>
      <c r="C318" s="550" t="s">
        <v>1</v>
      </c>
      <c r="D318" s="550"/>
      <c r="E318" s="550"/>
      <c r="F318" s="550"/>
      <c r="G318" s="550"/>
      <c r="H318" s="550"/>
      <c r="I318" s="550"/>
      <c r="J318" s="550"/>
      <c r="K318" s="550"/>
      <c r="L318" s="550"/>
      <c r="M318" s="550"/>
      <c r="N318" s="550"/>
      <c r="O318" s="550"/>
      <c r="P318" s="550"/>
      <c r="Q318" s="381" t="s">
        <v>0</v>
      </c>
      <c r="R318" s="435">
        <f>SUM(R276:R316)</f>
        <v>0</v>
      </c>
      <c r="S318" s="314"/>
      <c r="T318" s="305"/>
      <c r="U318" s="315"/>
      <c r="W318" s="268"/>
      <c r="X318" s="305"/>
      <c r="Z318" s="268"/>
      <c r="AA318" s="305"/>
      <c r="AC318" s="268"/>
      <c r="AD318" s="305"/>
      <c r="AF318" s="268"/>
      <c r="AG318" s="305"/>
      <c r="AI318" s="268"/>
      <c r="AJ318" s="305"/>
      <c r="AL318" s="268"/>
      <c r="AM318" s="305"/>
    </row>
    <row r="319" spans="1:39" s="267" customFormat="1" x14ac:dyDescent="0.2">
      <c r="A319" s="380"/>
      <c r="B319" s="320"/>
      <c r="C319" s="309"/>
      <c r="D319" s="309"/>
      <c r="E319" s="309"/>
      <c r="F319" s="309"/>
      <c r="G319" s="309"/>
      <c r="H319" s="309"/>
      <c r="I319" s="309"/>
      <c r="J319" s="309"/>
      <c r="K319" s="309"/>
      <c r="L319" s="309"/>
      <c r="M319" s="309"/>
      <c r="N319" s="309"/>
      <c r="O319" s="309"/>
      <c r="P319" s="309"/>
      <c r="Q319" s="294"/>
      <c r="R319" s="458"/>
      <c r="T319" s="316"/>
      <c r="U319" s="317"/>
      <c r="W319" s="280"/>
      <c r="X319" s="316"/>
      <c r="Z319" s="280"/>
      <c r="AA319" s="316"/>
      <c r="AC319" s="280"/>
      <c r="AD319" s="316"/>
      <c r="AF319" s="280"/>
      <c r="AG319" s="316"/>
      <c r="AI319" s="280"/>
      <c r="AJ319" s="316"/>
      <c r="AL319" s="280"/>
      <c r="AM319" s="316"/>
    </row>
    <row r="320" spans="1:39" s="267" customFormat="1" x14ac:dyDescent="0.2">
      <c r="A320" s="308"/>
      <c r="B320" s="308"/>
      <c r="C320" s="266"/>
      <c r="D320" s="337"/>
      <c r="E320" s="337"/>
      <c r="F320" s="337"/>
      <c r="G320" s="337"/>
      <c r="H320" s="337"/>
      <c r="I320" s="337"/>
      <c r="J320" s="337"/>
      <c r="K320" s="337"/>
      <c r="L320" s="337"/>
      <c r="M320" s="337"/>
      <c r="N320" s="337"/>
      <c r="O320" s="461"/>
      <c r="P320" s="462"/>
      <c r="Q320" s="463"/>
      <c r="R320" s="464"/>
      <c r="T320" s="305"/>
      <c r="U320" s="306"/>
      <c r="W320" s="268"/>
      <c r="X320" s="305"/>
      <c r="Z320" s="268"/>
      <c r="AA320" s="305"/>
      <c r="AC320" s="268"/>
      <c r="AD320" s="305"/>
      <c r="AF320" s="268"/>
      <c r="AG320" s="305"/>
      <c r="AI320" s="268"/>
      <c r="AJ320" s="305"/>
      <c r="AL320" s="268"/>
      <c r="AM320" s="305"/>
    </row>
    <row r="321" spans="1:39" s="267" customFormat="1" x14ac:dyDescent="0.2">
      <c r="A321" s="308"/>
      <c r="B321" s="265" t="s">
        <v>254</v>
      </c>
      <c r="C321" s="290"/>
      <c r="D321" s="290"/>
      <c r="E321" s="290"/>
      <c r="F321" s="290"/>
      <c r="G321" s="290"/>
      <c r="H321" s="290"/>
      <c r="I321" s="290"/>
      <c r="J321" s="290"/>
      <c r="K321" s="290"/>
      <c r="L321" s="290"/>
      <c r="M321" s="290"/>
      <c r="N321" s="290"/>
      <c r="O321" s="290"/>
      <c r="P321" s="261"/>
      <c r="Q321" s="262"/>
      <c r="R321" s="435"/>
      <c r="T321" s="305"/>
      <c r="U321" s="305"/>
      <c r="W321" s="268"/>
      <c r="X321" s="305"/>
      <c r="Z321" s="268"/>
      <c r="AA321" s="305"/>
      <c r="AC321" s="268"/>
      <c r="AD321" s="305"/>
      <c r="AF321" s="268"/>
      <c r="AG321" s="305"/>
      <c r="AI321" s="268"/>
      <c r="AJ321" s="305"/>
      <c r="AL321" s="268"/>
      <c r="AM321" s="305"/>
    </row>
    <row r="322" spans="1:39" s="267" customFormat="1" x14ac:dyDescent="0.2">
      <c r="A322" s="308"/>
      <c r="B322" s="318"/>
      <c r="C322" s="290"/>
      <c r="D322" s="290"/>
      <c r="E322" s="290"/>
      <c r="F322" s="290"/>
      <c r="G322" s="290"/>
      <c r="H322" s="290"/>
      <c r="I322" s="290"/>
      <c r="J322" s="290"/>
      <c r="K322" s="290"/>
      <c r="L322" s="290"/>
      <c r="M322" s="290"/>
      <c r="N322" s="290"/>
      <c r="O322" s="290"/>
      <c r="P322" s="261"/>
      <c r="Q322" s="262"/>
      <c r="R322" s="435"/>
      <c r="T322" s="305"/>
      <c r="U322" s="305"/>
      <c r="W322" s="268"/>
      <c r="X322" s="305"/>
      <c r="Z322" s="268"/>
      <c r="AA322" s="305"/>
      <c r="AC322" s="268"/>
      <c r="AD322" s="305"/>
      <c r="AF322" s="268"/>
      <c r="AG322" s="305"/>
      <c r="AI322" s="268"/>
      <c r="AJ322" s="305"/>
      <c r="AL322" s="268"/>
      <c r="AM322" s="305"/>
    </row>
    <row r="323" spans="1:39" s="267" customFormat="1" x14ac:dyDescent="0.2">
      <c r="A323" s="308"/>
      <c r="B323" s="293" t="s">
        <v>240</v>
      </c>
      <c r="C323" s="290"/>
      <c r="D323" s="290"/>
      <c r="E323" s="290"/>
      <c r="F323" s="290"/>
      <c r="G323" s="290"/>
      <c r="H323" s="290"/>
      <c r="I323" s="290"/>
      <c r="J323" s="290"/>
      <c r="K323" s="290"/>
      <c r="L323" s="290"/>
      <c r="M323" s="290"/>
      <c r="N323" s="290"/>
      <c r="O323" s="290"/>
      <c r="P323" s="261"/>
      <c r="Q323" s="262"/>
      <c r="R323" s="435"/>
      <c r="T323" s="305"/>
      <c r="U323" s="305"/>
      <c r="W323" s="268"/>
      <c r="X323" s="305"/>
      <c r="Z323" s="268"/>
      <c r="AA323" s="305"/>
      <c r="AC323" s="268"/>
      <c r="AD323" s="305"/>
      <c r="AF323" s="268"/>
      <c r="AG323" s="305"/>
      <c r="AI323" s="268"/>
      <c r="AJ323" s="305"/>
      <c r="AL323" s="268"/>
      <c r="AM323" s="305"/>
    </row>
    <row r="324" spans="1:39" s="267" customFormat="1" x14ac:dyDescent="0.2">
      <c r="A324" s="308"/>
      <c r="B324" s="308"/>
      <c r="C324" s="290"/>
      <c r="D324" s="290"/>
      <c r="E324" s="290"/>
      <c r="F324" s="290"/>
      <c r="G324" s="290"/>
      <c r="H324" s="290"/>
      <c r="I324" s="290"/>
      <c r="J324" s="290"/>
      <c r="K324" s="290"/>
      <c r="L324" s="290"/>
      <c r="M324" s="290"/>
      <c r="N324" s="290"/>
      <c r="O324" s="290"/>
      <c r="P324" s="261"/>
      <c r="Q324" s="262"/>
      <c r="R324" s="435"/>
      <c r="T324" s="305"/>
      <c r="U324" s="305"/>
      <c r="W324" s="268"/>
      <c r="X324" s="305"/>
      <c r="Z324" s="268"/>
      <c r="AA324" s="305"/>
      <c r="AC324" s="268"/>
      <c r="AD324" s="305"/>
      <c r="AF324" s="268"/>
      <c r="AG324" s="305"/>
      <c r="AI324" s="268"/>
      <c r="AJ324" s="305"/>
      <c r="AL324" s="268"/>
      <c r="AM324" s="305"/>
    </row>
    <row r="325" spans="1:39" s="267" customFormat="1" x14ac:dyDescent="0.2">
      <c r="A325" s="308"/>
      <c r="B325" s="293" t="s">
        <v>721</v>
      </c>
      <c r="C325" s="290"/>
      <c r="D325" s="290"/>
      <c r="E325" s="290"/>
      <c r="F325" s="290"/>
      <c r="G325" s="290"/>
      <c r="H325" s="290"/>
      <c r="I325" s="290"/>
      <c r="J325" s="290"/>
      <c r="K325" s="290"/>
      <c r="L325" s="290"/>
      <c r="M325" s="290"/>
      <c r="N325" s="290"/>
      <c r="O325" s="290"/>
      <c r="P325" s="261"/>
      <c r="Q325" s="262"/>
      <c r="R325" s="435"/>
      <c r="T325" s="305"/>
      <c r="U325" s="305"/>
      <c r="W325" s="268"/>
      <c r="X325" s="305"/>
      <c r="Z325" s="268"/>
      <c r="AA325" s="305"/>
      <c r="AC325" s="268"/>
      <c r="AD325" s="305"/>
      <c r="AF325" s="268"/>
      <c r="AG325" s="305"/>
      <c r="AI325" s="268"/>
      <c r="AJ325" s="305"/>
      <c r="AL325" s="268"/>
      <c r="AM325" s="305"/>
    </row>
    <row r="326" spans="1:39" s="267" customFormat="1" x14ac:dyDescent="0.2">
      <c r="A326" s="308"/>
      <c r="B326" s="259"/>
      <c r="C326" s="290"/>
      <c r="D326" s="290"/>
      <c r="E326" s="290"/>
      <c r="F326" s="290"/>
      <c r="G326" s="290"/>
      <c r="H326" s="290"/>
      <c r="I326" s="290"/>
      <c r="J326" s="290"/>
      <c r="K326" s="290"/>
      <c r="L326" s="290"/>
      <c r="M326" s="290"/>
      <c r="N326" s="290"/>
      <c r="O326" s="290"/>
      <c r="P326" s="261"/>
      <c r="Q326" s="262"/>
      <c r="R326" s="435"/>
      <c r="T326" s="305"/>
      <c r="U326" s="305"/>
      <c r="W326" s="268"/>
      <c r="X326" s="305"/>
      <c r="Z326" s="268"/>
      <c r="AA326" s="305"/>
      <c r="AC326" s="268"/>
      <c r="AD326" s="305"/>
      <c r="AF326" s="268"/>
      <c r="AG326" s="305"/>
      <c r="AI326" s="268"/>
      <c r="AJ326" s="305"/>
      <c r="AL326" s="268"/>
      <c r="AM326" s="305"/>
    </row>
    <row r="327" spans="1:39" s="267" customFormat="1" x14ac:dyDescent="0.2">
      <c r="A327" s="308" t="s">
        <v>66</v>
      </c>
      <c r="B327" s="259" t="s">
        <v>206</v>
      </c>
      <c r="C327" s="290">
        <f>(W327+X327)*$C$3</f>
        <v>80</v>
      </c>
      <c r="D327" s="290">
        <f>C327*$Q327</f>
        <v>0</v>
      </c>
      <c r="E327" s="290">
        <f>(Z327+AA327)*$E$3</f>
        <v>100</v>
      </c>
      <c r="F327" s="290">
        <f>E327*$Q327</f>
        <v>0</v>
      </c>
      <c r="G327" s="290">
        <f>(AC327+AD327)*$G$3</f>
        <v>600</v>
      </c>
      <c r="H327" s="290">
        <f>G327*$Q327</f>
        <v>0</v>
      </c>
      <c r="I327" s="290">
        <f>(AF327+AG327)*$I$3</f>
        <v>140</v>
      </c>
      <c r="J327" s="290">
        <f>I327*$Q327</f>
        <v>0</v>
      </c>
      <c r="K327" s="290">
        <f>(AI327+AJ327)*$K$3</f>
        <v>480</v>
      </c>
      <c r="L327" s="290">
        <f>K327*$Q327</f>
        <v>0</v>
      </c>
      <c r="M327" s="290">
        <f>(AL327+AM327)*$M$3</f>
        <v>180</v>
      </c>
      <c r="N327" s="290">
        <f>M327*$Q327</f>
        <v>0</v>
      </c>
      <c r="O327" s="290">
        <f>C327+E327+G327+I327+K327+M327</f>
        <v>1580</v>
      </c>
      <c r="P327" s="261" t="s">
        <v>269</v>
      </c>
      <c r="Q327" s="262"/>
      <c r="R327" s="435">
        <f>O327*Q327</f>
        <v>0</v>
      </c>
      <c r="T327" s="305">
        <f>2+5+6+6+1</f>
        <v>20</v>
      </c>
      <c r="U327" s="266">
        <f>6+6+2+5+1</f>
        <v>20</v>
      </c>
      <c r="W327" s="268">
        <f>T327*$W$3</f>
        <v>40</v>
      </c>
      <c r="X327" s="266">
        <f>U327*$X$3</f>
        <v>40</v>
      </c>
      <c r="Z327" s="268">
        <f>W327</f>
        <v>40</v>
      </c>
      <c r="AA327" s="266">
        <f>U327*$AA$3</f>
        <v>60</v>
      </c>
      <c r="AC327" s="268">
        <f>W327</f>
        <v>40</v>
      </c>
      <c r="AD327" s="266">
        <f>U327*$AD$3</f>
        <v>80</v>
      </c>
      <c r="AF327" s="268">
        <f>W327</f>
        <v>40</v>
      </c>
      <c r="AG327" s="266">
        <f>U327*$AG$3</f>
        <v>100</v>
      </c>
      <c r="AI327" s="268">
        <f>W327</f>
        <v>40</v>
      </c>
      <c r="AJ327" s="266">
        <f>U327*$AJ$3</f>
        <v>120</v>
      </c>
      <c r="AL327" s="268">
        <f>W327</f>
        <v>40</v>
      </c>
      <c r="AM327" s="266">
        <f>U327*$AM$3</f>
        <v>140</v>
      </c>
    </row>
    <row r="328" spans="1:39" s="267" customFormat="1" x14ac:dyDescent="0.2">
      <c r="A328" s="308"/>
      <c r="B328" s="259"/>
      <c r="C328" s="290"/>
      <c r="D328" s="290"/>
      <c r="E328" s="290"/>
      <c r="F328" s="290"/>
      <c r="G328" s="290"/>
      <c r="H328" s="290"/>
      <c r="I328" s="290"/>
      <c r="J328" s="290"/>
      <c r="K328" s="290"/>
      <c r="L328" s="290"/>
      <c r="M328" s="290"/>
      <c r="N328" s="290"/>
      <c r="O328" s="290"/>
      <c r="P328" s="261"/>
      <c r="Q328" s="262"/>
      <c r="R328" s="435"/>
      <c r="T328" s="305"/>
      <c r="U328" s="305"/>
      <c r="W328" s="268"/>
      <c r="X328" s="305"/>
      <c r="Z328" s="268"/>
      <c r="AA328" s="305"/>
      <c r="AC328" s="268"/>
      <c r="AD328" s="305"/>
      <c r="AF328" s="268"/>
      <c r="AG328" s="305"/>
      <c r="AI328" s="268"/>
      <c r="AJ328" s="305"/>
      <c r="AL328" s="268"/>
      <c r="AM328" s="305"/>
    </row>
    <row r="329" spans="1:39" s="267" customFormat="1" x14ac:dyDescent="0.2">
      <c r="A329" s="308" t="s">
        <v>67</v>
      </c>
      <c r="B329" s="259" t="s">
        <v>210</v>
      </c>
      <c r="C329" s="290">
        <f>(W329+X329)*$C$3</f>
        <v>20</v>
      </c>
      <c r="D329" s="290">
        <f>C329*$Q329</f>
        <v>0</v>
      </c>
      <c r="E329" s="290">
        <f>(Z329+AA329)*$E$3</f>
        <v>25</v>
      </c>
      <c r="F329" s="290">
        <f>E329*$Q329</f>
        <v>0</v>
      </c>
      <c r="G329" s="290">
        <f>(AC329+AD329)*$G$3</f>
        <v>150</v>
      </c>
      <c r="H329" s="290">
        <f>G329*$Q329</f>
        <v>0</v>
      </c>
      <c r="I329" s="290">
        <f>(AF329+AG329)*$I$3</f>
        <v>35</v>
      </c>
      <c r="J329" s="290">
        <f>I329*$Q329</f>
        <v>0</v>
      </c>
      <c r="K329" s="290">
        <f>(AI329+AJ329)*$K$3</f>
        <v>120</v>
      </c>
      <c r="L329" s="290">
        <f>K329*$Q329</f>
        <v>0</v>
      </c>
      <c r="M329" s="290">
        <f>(AL329+AM329)*$M$3</f>
        <v>45</v>
      </c>
      <c r="N329" s="290">
        <f>M329*$Q329</f>
        <v>0</v>
      </c>
      <c r="O329" s="290">
        <f>C329+E329+G329+I329+K329+M329</f>
        <v>395</v>
      </c>
      <c r="P329" s="261" t="s">
        <v>269</v>
      </c>
      <c r="Q329" s="262"/>
      <c r="R329" s="435">
        <f>O329*Q329</f>
        <v>0</v>
      </c>
      <c r="T329" s="305">
        <f>1+1+3</f>
        <v>5</v>
      </c>
      <c r="U329" s="266">
        <f>1+1+3</f>
        <v>5</v>
      </c>
      <c r="W329" s="268">
        <f>T329*$W$3</f>
        <v>10</v>
      </c>
      <c r="X329" s="266">
        <f>U329*$X$3</f>
        <v>10</v>
      </c>
      <c r="Z329" s="268">
        <f>W329</f>
        <v>10</v>
      </c>
      <c r="AA329" s="266">
        <f>U329*$AA$3</f>
        <v>15</v>
      </c>
      <c r="AC329" s="268">
        <f>W329</f>
        <v>10</v>
      </c>
      <c r="AD329" s="266">
        <f>U329*$AD$3</f>
        <v>20</v>
      </c>
      <c r="AF329" s="268">
        <f>W329</f>
        <v>10</v>
      </c>
      <c r="AG329" s="266">
        <f>U329*$AG$3</f>
        <v>25</v>
      </c>
      <c r="AI329" s="268">
        <f>W329</f>
        <v>10</v>
      </c>
      <c r="AJ329" s="266">
        <f>U329*$AJ$3</f>
        <v>30</v>
      </c>
      <c r="AL329" s="268">
        <f>W329</f>
        <v>10</v>
      </c>
      <c r="AM329" s="266">
        <f>U329*$AM$3</f>
        <v>35</v>
      </c>
    </row>
    <row r="330" spans="1:39" s="267" customFormat="1" x14ac:dyDescent="0.2">
      <c r="A330" s="308"/>
      <c r="B330" s="259"/>
      <c r="C330" s="290"/>
      <c r="D330" s="290"/>
      <c r="E330" s="290"/>
      <c r="F330" s="290"/>
      <c r="G330" s="290"/>
      <c r="H330" s="290"/>
      <c r="I330" s="290"/>
      <c r="J330" s="290"/>
      <c r="K330" s="290"/>
      <c r="L330" s="290"/>
      <c r="M330" s="290"/>
      <c r="N330" s="290"/>
      <c r="O330" s="290"/>
      <c r="P330" s="261"/>
      <c r="Q330" s="262"/>
      <c r="R330" s="435"/>
      <c r="T330" s="305"/>
      <c r="U330" s="305"/>
      <c r="W330" s="268"/>
      <c r="X330" s="305"/>
      <c r="Z330" s="268"/>
      <c r="AA330" s="305"/>
      <c r="AC330" s="268"/>
      <c r="AD330" s="305"/>
      <c r="AF330" s="268"/>
      <c r="AG330" s="305"/>
      <c r="AI330" s="268"/>
      <c r="AJ330" s="305"/>
      <c r="AL330" s="268"/>
      <c r="AM330" s="305"/>
    </row>
    <row r="331" spans="1:39" s="267" customFormat="1" x14ac:dyDescent="0.2">
      <c r="A331" s="308" t="s">
        <v>68</v>
      </c>
      <c r="B331" s="259" t="s">
        <v>201</v>
      </c>
      <c r="C331" s="290">
        <f>(W331+X331)*$C$3</f>
        <v>8</v>
      </c>
      <c r="D331" s="290">
        <f>C331*$Q331</f>
        <v>0</v>
      </c>
      <c r="E331" s="290">
        <f>(Z331+AA331)*$E$3</f>
        <v>10</v>
      </c>
      <c r="F331" s="290">
        <f>E331*$Q331</f>
        <v>0</v>
      </c>
      <c r="G331" s="290">
        <f>(AC331+AD331)*$G$3</f>
        <v>60</v>
      </c>
      <c r="H331" s="290">
        <f>G331*$Q331</f>
        <v>0</v>
      </c>
      <c r="I331" s="290">
        <f>(AF331+AG331)*$I$3</f>
        <v>14</v>
      </c>
      <c r="J331" s="290">
        <f>I331*$Q331</f>
        <v>0</v>
      </c>
      <c r="K331" s="290">
        <f>(AI331+AJ331)*$K$3</f>
        <v>48</v>
      </c>
      <c r="L331" s="290">
        <f>K331*$Q331</f>
        <v>0</v>
      </c>
      <c r="M331" s="290">
        <f>(AL331+AM331)*$M$3</f>
        <v>18</v>
      </c>
      <c r="N331" s="290">
        <f>M331*$Q331</f>
        <v>0</v>
      </c>
      <c r="O331" s="290">
        <f>C331+E331+G331+I331+K331+M331</f>
        <v>158</v>
      </c>
      <c r="P331" s="261" t="s">
        <v>269</v>
      </c>
      <c r="Q331" s="262"/>
      <c r="R331" s="435">
        <f>O331*Q331</f>
        <v>0</v>
      </c>
      <c r="T331" s="305">
        <f>1+1</f>
        <v>2</v>
      </c>
      <c r="U331" s="266">
        <f>1+1</f>
        <v>2</v>
      </c>
      <c r="W331" s="268">
        <f>T331*$W$3</f>
        <v>4</v>
      </c>
      <c r="X331" s="266">
        <f>U331*$X$3</f>
        <v>4</v>
      </c>
      <c r="Z331" s="268">
        <f>W331</f>
        <v>4</v>
      </c>
      <c r="AA331" s="266">
        <f>U331*$AA$3</f>
        <v>6</v>
      </c>
      <c r="AC331" s="268">
        <f>W331</f>
        <v>4</v>
      </c>
      <c r="AD331" s="266">
        <f>U331*$AD$3</f>
        <v>8</v>
      </c>
      <c r="AF331" s="268">
        <f>W331</f>
        <v>4</v>
      </c>
      <c r="AG331" s="266">
        <f>U331*$AG$3</f>
        <v>10</v>
      </c>
      <c r="AI331" s="268">
        <f>W331</f>
        <v>4</v>
      </c>
      <c r="AJ331" s="266">
        <f>U331*$AJ$3</f>
        <v>12</v>
      </c>
      <c r="AL331" s="268">
        <f>W331</f>
        <v>4</v>
      </c>
      <c r="AM331" s="266">
        <f>U331*$AM$3</f>
        <v>14</v>
      </c>
    </row>
    <row r="332" spans="1:39" s="267" customFormat="1" x14ac:dyDescent="0.2">
      <c r="A332" s="308"/>
      <c r="B332" s="259"/>
      <c r="C332" s="290"/>
      <c r="D332" s="290"/>
      <c r="E332" s="290"/>
      <c r="F332" s="290"/>
      <c r="G332" s="290"/>
      <c r="H332" s="290"/>
      <c r="I332" s="290"/>
      <c r="J332" s="290"/>
      <c r="K332" s="290"/>
      <c r="L332" s="290"/>
      <c r="M332" s="290"/>
      <c r="N332" s="290"/>
      <c r="O332" s="290"/>
      <c r="P332" s="261"/>
      <c r="Q332" s="262"/>
      <c r="R332" s="435"/>
      <c r="T332" s="305"/>
      <c r="U332" s="305"/>
      <c r="W332" s="268"/>
      <c r="X332" s="305"/>
      <c r="Z332" s="268"/>
      <c r="AA332" s="305"/>
      <c r="AC332" s="268"/>
      <c r="AD332" s="305"/>
      <c r="AF332" s="268"/>
      <c r="AG332" s="305"/>
      <c r="AI332" s="268"/>
      <c r="AJ332" s="305"/>
      <c r="AL332" s="268"/>
      <c r="AM332" s="305"/>
    </row>
    <row r="333" spans="1:39" s="267" customFormat="1" x14ac:dyDescent="0.2">
      <c r="A333" s="308" t="s">
        <v>69</v>
      </c>
      <c r="B333" s="259" t="s">
        <v>203</v>
      </c>
      <c r="C333" s="290">
        <f>(W333+X333)*$C$3</f>
        <v>8</v>
      </c>
      <c r="D333" s="290">
        <f>C333*$Q333</f>
        <v>0</v>
      </c>
      <c r="E333" s="290">
        <f>(Z333+AA333)*$E$3</f>
        <v>10</v>
      </c>
      <c r="F333" s="290">
        <f>E333*$Q333</f>
        <v>0</v>
      </c>
      <c r="G333" s="290">
        <f>(AC333+AD333)*$G$3</f>
        <v>60</v>
      </c>
      <c r="H333" s="290">
        <f>G333*$Q333</f>
        <v>0</v>
      </c>
      <c r="I333" s="290">
        <f>(AF333+AG333)*$I$3</f>
        <v>14</v>
      </c>
      <c r="J333" s="290">
        <f>I333*$Q333</f>
        <v>0</v>
      </c>
      <c r="K333" s="290">
        <f>(AI333+AJ333)*$K$3</f>
        <v>48</v>
      </c>
      <c r="L333" s="290">
        <f>K333*$Q333</f>
        <v>0</v>
      </c>
      <c r="M333" s="290">
        <f>(AL333+AM333)*$M$3</f>
        <v>18</v>
      </c>
      <c r="N333" s="290">
        <f>M333*$Q333</f>
        <v>0</v>
      </c>
      <c r="O333" s="290">
        <f>C333+E333+G333+I333+K333+M333</f>
        <v>158</v>
      </c>
      <c r="P333" s="261" t="s">
        <v>269</v>
      </c>
      <c r="Q333" s="262"/>
      <c r="R333" s="435">
        <f>O333*Q333</f>
        <v>0</v>
      </c>
      <c r="T333" s="305">
        <v>2</v>
      </c>
      <c r="U333" s="266">
        <v>2</v>
      </c>
      <c r="W333" s="268">
        <f>T333*$W$3</f>
        <v>4</v>
      </c>
      <c r="X333" s="266">
        <f>U333*$X$3</f>
        <v>4</v>
      </c>
      <c r="Z333" s="268">
        <f>W333</f>
        <v>4</v>
      </c>
      <c r="AA333" s="266">
        <f>U333*$AA$3</f>
        <v>6</v>
      </c>
      <c r="AC333" s="268">
        <f>W333</f>
        <v>4</v>
      </c>
      <c r="AD333" s="266">
        <f>U333*$AD$3</f>
        <v>8</v>
      </c>
      <c r="AF333" s="268">
        <f>W333</f>
        <v>4</v>
      </c>
      <c r="AG333" s="266">
        <f>U333*$AG$3</f>
        <v>10</v>
      </c>
      <c r="AI333" s="268">
        <f>W333</f>
        <v>4</v>
      </c>
      <c r="AJ333" s="266">
        <f>U333*$AJ$3</f>
        <v>12</v>
      </c>
      <c r="AL333" s="268">
        <f>W333</f>
        <v>4</v>
      </c>
      <c r="AM333" s="266">
        <f>U333*$AM$3</f>
        <v>14</v>
      </c>
    </row>
    <row r="334" spans="1:39" s="267" customFormat="1" x14ac:dyDescent="0.2">
      <c r="A334" s="308"/>
      <c r="B334" s="259"/>
      <c r="C334" s="290"/>
      <c r="D334" s="290"/>
      <c r="E334" s="290"/>
      <c r="F334" s="290"/>
      <c r="G334" s="290"/>
      <c r="H334" s="290"/>
      <c r="I334" s="290"/>
      <c r="J334" s="290"/>
      <c r="K334" s="290"/>
      <c r="L334" s="290"/>
      <c r="M334" s="290"/>
      <c r="N334" s="290"/>
      <c r="O334" s="290"/>
      <c r="P334" s="261"/>
      <c r="Q334" s="262"/>
      <c r="R334" s="435"/>
      <c r="T334" s="305"/>
      <c r="U334" s="305"/>
      <c r="W334" s="268"/>
      <c r="X334" s="305"/>
      <c r="Z334" s="268"/>
      <c r="AA334" s="305"/>
      <c r="AC334" s="268"/>
      <c r="AD334" s="305"/>
      <c r="AF334" s="268"/>
      <c r="AG334" s="305"/>
      <c r="AI334" s="268"/>
      <c r="AJ334" s="305"/>
      <c r="AL334" s="268"/>
      <c r="AM334" s="305"/>
    </row>
    <row r="335" spans="1:39" s="267" customFormat="1" x14ac:dyDescent="0.2">
      <c r="A335" s="308"/>
      <c r="B335" s="293" t="s">
        <v>722</v>
      </c>
      <c r="C335" s="290"/>
      <c r="D335" s="290"/>
      <c r="E335" s="290"/>
      <c r="F335" s="290"/>
      <c r="G335" s="290"/>
      <c r="H335" s="290"/>
      <c r="I335" s="290"/>
      <c r="J335" s="290"/>
      <c r="K335" s="290"/>
      <c r="L335" s="290"/>
      <c r="M335" s="290"/>
      <c r="N335" s="290"/>
      <c r="O335" s="290"/>
      <c r="P335" s="261"/>
      <c r="Q335" s="262"/>
      <c r="R335" s="435"/>
      <c r="T335" s="305"/>
      <c r="U335" s="305"/>
      <c r="W335" s="268"/>
      <c r="X335" s="305"/>
      <c r="Z335" s="268"/>
      <c r="AA335" s="305"/>
      <c r="AC335" s="268"/>
      <c r="AD335" s="305"/>
      <c r="AF335" s="268"/>
      <c r="AG335" s="305"/>
      <c r="AI335" s="268"/>
      <c r="AJ335" s="305"/>
      <c r="AL335" s="268"/>
      <c r="AM335" s="305"/>
    </row>
    <row r="336" spans="1:39" s="267" customFormat="1" x14ac:dyDescent="0.2">
      <c r="A336" s="308"/>
      <c r="B336" s="259"/>
      <c r="C336" s="290"/>
      <c r="D336" s="290"/>
      <c r="E336" s="290"/>
      <c r="F336" s="290"/>
      <c r="G336" s="290"/>
      <c r="H336" s="290"/>
      <c r="I336" s="290"/>
      <c r="J336" s="290"/>
      <c r="K336" s="290"/>
      <c r="L336" s="290"/>
      <c r="M336" s="290"/>
      <c r="N336" s="290"/>
      <c r="O336" s="290"/>
      <c r="P336" s="261"/>
      <c r="Q336" s="262"/>
      <c r="R336" s="435"/>
      <c r="T336" s="305"/>
      <c r="U336" s="305"/>
      <c r="W336" s="268"/>
      <c r="X336" s="305"/>
      <c r="Z336" s="268"/>
      <c r="AA336" s="305"/>
      <c r="AC336" s="268"/>
      <c r="AD336" s="305"/>
      <c r="AF336" s="268"/>
      <c r="AG336" s="305"/>
      <c r="AI336" s="268"/>
      <c r="AJ336" s="305"/>
      <c r="AL336" s="268"/>
      <c r="AM336" s="305"/>
    </row>
    <row r="337" spans="1:39" s="267" customFormat="1" x14ac:dyDescent="0.2">
      <c r="A337" s="308" t="s">
        <v>70</v>
      </c>
      <c r="B337" s="259" t="s">
        <v>206</v>
      </c>
      <c r="C337" s="290">
        <f>(W337+X337)*$C$3</f>
        <v>24</v>
      </c>
      <c r="D337" s="290">
        <f>C337*$Q337</f>
        <v>0</v>
      </c>
      <c r="E337" s="290">
        <f>(Z337+AA337)*$E$3</f>
        <v>30</v>
      </c>
      <c r="F337" s="290">
        <f>E337*$Q337</f>
        <v>0</v>
      </c>
      <c r="G337" s="290">
        <f>(AC337+AD337)*$G$3</f>
        <v>180</v>
      </c>
      <c r="H337" s="290">
        <f>G337*$Q337</f>
        <v>0</v>
      </c>
      <c r="I337" s="290">
        <f>(AF337+AG337)*$I$3</f>
        <v>42</v>
      </c>
      <c r="J337" s="290">
        <f>I337*$Q337</f>
        <v>0</v>
      </c>
      <c r="K337" s="290">
        <f>(AI337+AJ337)*$K$3</f>
        <v>144</v>
      </c>
      <c r="L337" s="290">
        <f>K337*$Q337</f>
        <v>0</v>
      </c>
      <c r="M337" s="290">
        <f>(AL337+AM337)*$M$3</f>
        <v>54</v>
      </c>
      <c r="N337" s="290">
        <f>M337*$Q337</f>
        <v>0</v>
      </c>
      <c r="O337" s="290">
        <f>C337+E337+G337+I337+K337+M337</f>
        <v>474</v>
      </c>
      <c r="P337" s="261" t="s">
        <v>269</v>
      </c>
      <c r="Q337" s="262"/>
      <c r="R337" s="435">
        <f>O337*Q337</f>
        <v>0</v>
      </c>
      <c r="T337" s="305">
        <f>3+3</f>
        <v>6</v>
      </c>
      <c r="U337" s="266">
        <f>3+3</f>
        <v>6</v>
      </c>
      <c r="W337" s="268">
        <f>T337*$W$3</f>
        <v>12</v>
      </c>
      <c r="X337" s="266">
        <f>U337*$X$3</f>
        <v>12</v>
      </c>
      <c r="Z337" s="268">
        <f>W337</f>
        <v>12</v>
      </c>
      <c r="AA337" s="266">
        <f>U337*$AA$3</f>
        <v>18</v>
      </c>
      <c r="AC337" s="268">
        <f>W337</f>
        <v>12</v>
      </c>
      <c r="AD337" s="266">
        <f>U337*$AD$3</f>
        <v>24</v>
      </c>
      <c r="AF337" s="268">
        <f>W337</f>
        <v>12</v>
      </c>
      <c r="AG337" s="266">
        <f>U337*$AG$3</f>
        <v>30</v>
      </c>
      <c r="AI337" s="268">
        <f>W337</f>
        <v>12</v>
      </c>
      <c r="AJ337" s="266">
        <f>U337*$AJ$3</f>
        <v>36</v>
      </c>
      <c r="AL337" s="268">
        <f>W337</f>
        <v>12</v>
      </c>
      <c r="AM337" s="266">
        <f>U337*$AM$3</f>
        <v>42</v>
      </c>
    </row>
    <row r="338" spans="1:39" s="267" customFormat="1" x14ac:dyDescent="0.2">
      <c r="A338" s="308"/>
      <c r="B338" s="259"/>
      <c r="C338" s="290"/>
      <c r="D338" s="290"/>
      <c r="E338" s="290"/>
      <c r="F338" s="290"/>
      <c r="G338" s="290"/>
      <c r="H338" s="290"/>
      <c r="I338" s="290"/>
      <c r="J338" s="290"/>
      <c r="K338" s="290"/>
      <c r="L338" s="290"/>
      <c r="M338" s="290"/>
      <c r="N338" s="290"/>
      <c r="O338" s="290"/>
      <c r="P338" s="261"/>
      <c r="Q338" s="262"/>
      <c r="R338" s="435"/>
      <c r="T338" s="305"/>
      <c r="U338" s="305"/>
      <c r="W338" s="268"/>
      <c r="X338" s="305"/>
      <c r="Z338" s="268"/>
      <c r="AA338" s="305"/>
      <c r="AC338" s="268"/>
      <c r="AD338" s="305"/>
      <c r="AF338" s="268"/>
      <c r="AG338" s="305"/>
      <c r="AI338" s="268"/>
      <c r="AJ338" s="305"/>
      <c r="AL338" s="268"/>
      <c r="AM338" s="305"/>
    </row>
    <row r="339" spans="1:39" s="267" customFormat="1" x14ac:dyDescent="0.2">
      <c r="A339" s="308"/>
      <c r="B339" s="293" t="s">
        <v>209</v>
      </c>
      <c r="C339" s="290"/>
      <c r="D339" s="290"/>
      <c r="E339" s="290"/>
      <c r="F339" s="290"/>
      <c r="G339" s="290"/>
      <c r="H339" s="290"/>
      <c r="I339" s="290"/>
      <c r="J339" s="290"/>
      <c r="K339" s="290"/>
      <c r="L339" s="290"/>
      <c r="M339" s="290"/>
      <c r="N339" s="290"/>
      <c r="O339" s="290"/>
      <c r="P339" s="261"/>
      <c r="Q339" s="262"/>
      <c r="R339" s="435"/>
      <c r="T339" s="305"/>
      <c r="U339" s="305"/>
      <c r="W339" s="268"/>
      <c r="X339" s="305"/>
      <c r="Z339" s="268"/>
      <c r="AA339" s="305"/>
      <c r="AC339" s="268"/>
      <c r="AD339" s="305"/>
      <c r="AF339" s="268"/>
      <c r="AG339" s="305"/>
      <c r="AI339" s="268"/>
      <c r="AJ339" s="305"/>
      <c r="AL339" s="268"/>
      <c r="AM339" s="305"/>
    </row>
    <row r="340" spans="1:39" s="267" customFormat="1" x14ac:dyDescent="0.2">
      <c r="A340" s="308"/>
      <c r="B340" s="259"/>
      <c r="C340" s="290"/>
      <c r="D340" s="290"/>
      <c r="E340" s="290"/>
      <c r="F340" s="290"/>
      <c r="G340" s="290"/>
      <c r="H340" s="290"/>
      <c r="I340" s="290"/>
      <c r="J340" s="290"/>
      <c r="K340" s="290"/>
      <c r="L340" s="290"/>
      <c r="M340" s="290"/>
      <c r="N340" s="290"/>
      <c r="O340" s="290"/>
      <c r="P340" s="261"/>
      <c r="Q340" s="262"/>
      <c r="R340" s="435"/>
      <c r="T340" s="305"/>
      <c r="U340" s="305"/>
      <c r="W340" s="268"/>
      <c r="X340" s="305"/>
      <c r="Z340" s="268"/>
      <c r="AA340" s="305"/>
      <c r="AC340" s="268"/>
      <c r="AD340" s="305"/>
      <c r="AF340" s="268"/>
      <c r="AG340" s="305"/>
      <c r="AI340" s="268"/>
      <c r="AJ340" s="305"/>
      <c r="AL340" s="268"/>
      <c r="AM340" s="305"/>
    </row>
    <row r="341" spans="1:39" s="267" customFormat="1" x14ac:dyDescent="0.2">
      <c r="A341" s="308" t="s">
        <v>71</v>
      </c>
      <c r="B341" s="259" t="s">
        <v>202</v>
      </c>
      <c r="C341" s="290">
        <f>(W341+X341)*$C$3</f>
        <v>4</v>
      </c>
      <c r="D341" s="290">
        <f>C341*$Q341</f>
        <v>0</v>
      </c>
      <c r="E341" s="290">
        <f>(Z341+AA341)*$E$3</f>
        <v>5</v>
      </c>
      <c r="F341" s="290">
        <f>E341*$Q341</f>
        <v>0</v>
      </c>
      <c r="G341" s="290">
        <f>(AC341+AD341)*$G$3</f>
        <v>30</v>
      </c>
      <c r="H341" s="290">
        <f>G341*$Q341</f>
        <v>0</v>
      </c>
      <c r="I341" s="290">
        <f>(AF341+AG341)*$I$3</f>
        <v>7</v>
      </c>
      <c r="J341" s="290">
        <f>I341*$Q341</f>
        <v>0</v>
      </c>
      <c r="K341" s="290">
        <f>(AI341+AJ341)*$K$3</f>
        <v>24</v>
      </c>
      <c r="L341" s="290">
        <f>K341*$Q341</f>
        <v>0</v>
      </c>
      <c r="M341" s="290">
        <f>(AL341+AM341)*$M$3</f>
        <v>9</v>
      </c>
      <c r="N341" s="290">
        <f>M341*$Q341</f>
        <v>0</v>
      </c>
      <c r="O341" s="290">
        <f>C341+E341+G341+I341+K341+M341</f>
        <v>79</v>
      </c>
      <c r="P341" s="261" t="s">
        <v>269</v>
      </c>
      <c r="Q341" s="262"/>
      <c r="R341" s="435">
        <f>O341*Q341</f>
        <v>0</v>
      </c>
      <c r="T341" s="305">
        <v>1</v>
      </c>
      <c r="U341" s="266">
        <v>1</v>
      </c>
      <c r="W341" s="268">
        <f>T341*$W$3</f>
        <v>2</v>
      </c>
      <c r="X341" s="266">
        <f>U341*$X$3</f>
        <v>2</v>
      </c>
      <c r="Z341" s="268">
        <f>W341</f>
        <v>2</v>
      </c>
      <c r="AA341" s="266">
        <f>U341*$AA$3</f>
        <v>3</v>
      </c>
      <c r="AC341" s="268">
        <f>W341</f>
        <v>2</v>
      </c>
      <c r="AD341" s="266">
        <f>U341*$AD$3</f>
        <v>4</v>
      </c>
      <c r="AF341" s="268">
        <f>W341</f>
        <v>2</v>
      </c>
      <c r="AG341" s="266">
        <f>U341*$AG$3</f>
        <v>5</v>
      </c>
      <c r="AI341" s="268">
        <f>W341</f>
        <v>2</v>
      </c>
      <c r="AJ341" s="266">
        <f>U341*$AJ$3</f>
        <v>6</v>
      </c>
      <c r="AL341" s="268">
        <f>W341</f>
        <v>2</v>
      </c>
      <c r="AM341" s="266">
        <f>U341*$AM$3</f>
        <v>7</v>
      </c>
    </row>
    <row r="342" spans="1:39" s="267" customFormat="1" x14ac:dyDescent="0.2">
      <c r="A342" s="308"/>
      <c r="B342" s="259"/>
      <c r="C342" s="290"/>
      <c r="D342" s="290"/>
      <c r="E342" s="290"/>
      <c r="F342" s="290"/>
      <c r="G342" s="290"/>
      <c r="H342" s="290"/>
      <c r="I342" s="290"/>
      <c r="J342" s="290"/>
      <c r="K342" s="290"/>
      <c r="L342" s="290"/>
      <c r="M342" s="290"/>
      <c r="N342" s="290"/>
      <c r="O342" s="290"/>
      <c r="P342" s="261"/>
      <c r="Q342" s="262"/>
      <c r="R342" s="435"/>
      <c r="T342" s="305"/>
      <c r="U342" s="305"/>
      <c r="W342" s="268"/>
      <c r="X342" s="305"/>
      <c r="Z342" s="268"/>
      <c r="AA342" s="305"/>
      <c r="AC342" s="268"/>
      <c r="AD342" s="305"/>
      <c r="AF342" s="268"/>
      <c r="AG342" s="305"/>
      <c r="AI342" s="268"/>
      <c r="AJ342" s="305"/>
      <c r="AL342" s="268"/>
      <c r="AM342" s="305"/>
    </row>
    <row r="343" spans="1:39" s="267" customFormat="1" x14ac:dyDescent="0.2">
      <c r="A343" s="308"/>
      <c r="B343" s="293" t="s">
        <v>208</v>
      </c>
      <c r="C343" s="290"/>
      <c r="D343" s="290"/>
      <c r="E343" s="290"/>
      <c r="F343" s="290"/>
      <c r="G343" s="290"/>
      <c r="H343" s="290"/>
      <c r="I343" s="290"/>
      <c r="J343" s="290"/>
      <c r="K343" s="290"/>
      <c r="L343" s="290"/>
      <c r="M343" s="290"/>
      <c r="N343" s="290"/>
      <c r="O343" s="290"/>
      <c r="P343" s="261"/>
      <c r="Q343" s="262"/>
      <c r="R343" s="435"/>
      <c r="T343" s="305"/>
      <c r="U343" s="305"/>
      <c r="W343" s="268"/>
      <c r="X343" s="305"/>
      <c r="Z343" s="268"/>
      <c r="AA343" s="305"/>
      <c r="AC343" s="268"/>
      <c r="AD343" s="305"/>
      <c r="AF343" s="268"/>
      <c r="AG343" s="305"/>
      <c r="AI343" s="268"/>
      <c r="AJ343" s="305"/>
      <c r="AL343" s="268"/>
      <c r="AM343" s="305"/>
    </row>
    <row r="344" spans="1:39" s="267" customFormat="1" x14ac:dyDescent="0.2">
      <c r="A344" s="308"/>
      <c r="B344" s="259"/>
      <c r="C344" s="290"/>
      <c r="D344" s="290"/>
      <c r="E344" s="290"/>
      <c r="F344" s="290"/>
      <c r="G344" s="290"/>
      <c r="H344" s="290"/>
      <c r="I344" s="290"/>
      <c r="J344" s="290"/>
      <c r="K344" s="290"/>
      <c r="L344" s="290"/>
      <c r="M344" s="290"/>
      <c r="N344" s="290"/>
      <c r="O344" s="290"/>
      <c r="P344" s="261"/>
      <c r="Q344" s="262"/>
      <c r="R344" s="435"/>
      <c r="T344" s="305"/>
      <c r="U344" s="305"/>
      <c r="W344" s="268"/>
      <c r="X344" s="305"/>
      <c r="Z344" s="268"/>
      <c r="AA344" s="305"/>
      <c r="AC344" s="268"/>
      <c r="AD344" s="305"/>
      <c r="AF344" s="268"/>
      <c r="AG344" s="305"/>
      <c r="AI344" s="268"/>
      <c r="AJ344" s="305"/>
      <c r="AL344" s="268"/>
      <c r="AM344" s="305"/>
    </row>
    <row r="345" spans="1:39" s="267" customFormat="1" x14ac:dyDescent="0.2">
      <c r="A345" s="308" t="s">
        <v>72</v>
      </c>
      <c r="B345" s="259" t="s">
        <v>723</v>
      </c>
      <c r="C345" s="290">
        <f>(W345+X345)*$C$3</f>
        <v>12</v>
      </c>
      <c r="D345" s="290">
        <f>C345*$Q345</f>
        <v>0</v>
      </c>
      <c r="E345" s="290">
        <f>(Z345+AA345)*$E$3</f>
        <v>15</v>
      </c>
      <c r="F345" s="290">
        <f>E345*$Q345</f>
        <v>0</v>
      </c>
      <c r="G345" s="290">
        <f>(AC345+AD345)*$G$3</f>
        <v>90</v>
      </c>
      <c r="H345" s="290">
        <f>G345*$Q345</f>
        <v>0</v>
      </c>
      <c r="I345" s="290">
        <f>(AF345+AG345)*$I$3</f>
        <v>21</v>
      </c>
      <c r="J345" s="290">
        <f>I345*$Q345</f>
        <v>0</v>
      </c>
      <c r="K345" s="290">
        <f>(AI345+AJ345)*$K$3</f>
        <v>72</v>
      </c>
      <c r="L345" s="290">
        <f>K345*$Q345</f>
        <v>0</v>
      </c>
      <c r="M345" s="290">
        <f>(AL345+AM345)*$M$3</f>
        <v>27</v>
      </c>
      <c r="N345" s="290">
        <f>M345*$Q345</f>
        <v>0</v>
      </c>
      <c r="O345" s="290">
        <f>C345+E345+G345+I345+K345+M345</f>
        <v>237</v>
      </c>
      <c r="P345" s="261" t="s">
        <v>269</v>
      </c>
      <c r="Q345" s="262"/>
      <c r="R345" s="435">
        <f>O345*Q345</f>
        <v>0</v>
      </c>
      <c r="T345" s="305">
        <f>2+1</f>
        <v>3</v>
      </c>
      <c r="U345" s="266">
        <f>2+1</f>
        <v>3</v>
      </c>
      <c r="W345" s="268">
        <f>T345*$W$3</f>
        <v>6</v>
      </c>
      <c r="X345" s="266">
        <f>U345*$X$3</f>
        <v>6</v>
      </c>
      <c r="Z345" s="268">
        <f>W345</f>
        <v>6</v>
      </c>
      <c r="AA345" s="266">
        <f>U345*$AA$3</f>
        <v>9</v>
      </c>
      <c r="AC345" s="268">
        <f>W345</f>
        <v>6</v>
      </c>
      <c r="AD345" s="266">
        <f>U345*$AD$3</f>
        <v>12</v>
      </c>
      <c r="AF345" s="268">
        <f>W345</f>
        <v>6</v>
      </c>
      <c r="AG345" s="266">
        <f>U345*$AG$3</f>
        <v>15</v>
      </c>
      <c r="AI345" s="268">
        <f>W345</f>
        <v>6</v>
      </c>
      <c r="AJ345" s="266">
        <f>U345*$AJ$3</f>
        <v>18</v>
      </c>
      <c r="AL345" s="268">
        <f>W345</f>
        <v>6</v>
      </c>
      <c r="AM345" s="266">
        <f>U345*$AM$3</f>
        <v>21</v>
      </c>
    </row>
    <row r="346" spans="1:39" s="267" customFormat="1" x14ac:dyDescent="0.2">
      <c r="A346" s="308"/>
      <c r="B346" s="259"/>
      <c r="C346" s="290"/>
      <c r="D346" s="290"/>
      <c r="E346" s="290"/>
      <c r="F346" s="290"/>
      <c r="G346" s="290"/>
      <c r="H346" s="290"/>
      <c r="I346" s="290"/>
      <c r="J346" s="290"/>
      <c r="K346" s="290"/>
      <c r="L346" s="290"/>
      <c r="M346" s="290"/>
      <c r="N346" s="290"/>
      <c r="O346" s="290"/>
      <c r="P346" s="261"/>
      <c r="Q346" s="262"/>
      <c r="R346" s="435"/>
      <c r="T346" s="305"/>
      <c r="U346" s="305"/>
      <c r="W346" s="268"/>
      <c r="X346" s="305"/>
      <c r="Z346" s="268"/>
      <c r="AA346" s="305"/>
      <c r="AC346" s="268"/>
      <c r="AD346" s="305"/>
      <c r="AF346" s="268"/>
      <c r="AG346" s="305"/>
      <c r="AI346" s="268"/>
      <c r="AJ346" s="305"/>
      <c r="AL346" s="268"/>
      <c r="AM346" s="305"/>
    </row>
    <row r="347" spans="1:39" s="264" customFormat="1" ht="45.75" customHeight="1" x14ac:dyDescent="0.2">
      <c r="A347" s="308"/>
      <c r="B347" s="293" t="s">
        <v>724</v>
      </c>
      <c r="C347" s="290"/>
      <c r="D347" s="290"/>
      <c r="E347" s="290"/>
      <c r="F347" s="290"/>
      <c r="G347" s="290"/>
      <c r="H347" s="290"/>
      <c r="I347" s="290"/>
      <c r="J347" s="290"/>
      <c r="K347" s="290"/>
      <c r="L347" s="290"/>
      <c r="M347" s="290"/>
      <c r="N347" s="290"/>
      <c r="O347" s="290"/>
      <c r="P347" s="261"/>
      <c r="Q347" s="262"/>
      <c r="R347" s="435"/>
      <c r="T347" s="266"/>
      <c r="U347" s="266"/>
      <c r="W347" s="266"/>
      <c r="X347" s="266"/>
      <c r="Z347" s="266"/>
      <c r="AA347" s="266"/>
      <c r="AC347" s="266"/>
      <c r="AD347" s="266"/>
      <c r="AF347" s="266"/>
      <c r="AG347" s="266"/>
      <c r="AI347" s="266"/>
      <c r="AJ347" s="266"/>
      <c r="AL347" s="266"/>
      <c r="AM347" s="266"/>
    </row>
    <row r="348" spans="1:39" s="267" customFormat="1" x14ac:dyDescent="0.2">
      <c r="A348" s="308"/>
      <c r="B348" s="308"/>
      <c r="C348" s="290"/>
      <c r="D348" s="290"/>
      <c r="E348" s="290"/>
      <c r="F348" s="290"/>
      <c r="G348" s="290"/>
      <c r="H348" s="290"/>
      <c r="I348" s="290"/>
      <c r="J348" s="290"/>
      <c r="K348" s="290"/>
      <c r="L348" s="290"/>
      <c r="M348" s="290"/>
      <c r="N348" s="290"/>
      <c r="O348" s="290"/>
      <c r="P348" s="261"/>
      <c r="Q348" s="262"/>
      <c r="R348" s="435"/>
      <c r="T348" s="305"/>
      <c r="U348" s="305"/>
      <c r="W348" s="268"/>
      <c r="X348" s="305"/>
      <c r="Z348" s="268"/>
      <c r="AA348" s="305"/>
      <c r="AC348" s="268"/>
      <c r="AD348" s="305"/>
      <c r="AF348" s="268"/>
      <c r="AG348" s="305"/>
      <c r="AI348" s="268"/>
      <c r="AJ348" s="305"/>
      <c r="AL348" s="268"/>
      <c r="AM348" s="305"/>
    </row>
    <row r="349" spans="1:39" s="267" customFormat="1" x14ac:dyDescent="0.2">
      <c r="A349" s="308" t="s">
        <v>73</v>
      </c>
      <c r="B349" s="259" t="s">
        <v>207</v>
      </c>
      <c r="C349" s="290">
        <f>(W349+X349)*$C$3</f>
        <v>4</v>
      </c>
      <c r="D349" s="290">
        <f>C349*$Q349</f>
        <v>0</v>
      </c>
      <c r="E349" s="290">
        <f>(Z349+AA349)*$E$3</f>
        <v>5</v>
      </c>
      <c r="F349" s="290">
        <f>E349*$Q349</f>
        <v>0</v>
      </c>
      <c r="G349" s="290">
        <f>(AC349+AD349)*$G$3</f>
        <v>30</v>
      </c>
      <c r="H349" s="290">
        <f>G349*$Q349</f>
        <v>0</v>
      </c>
      <c r="I349" s="290">
        <f>(AF349+AG349)*$I$3</f>
        <v>7</v>
      </c>
      <c r="J349" s="290">
        <f>I349*$Q349</f>
        <v>0</v>
      </c>
      <c r="K349" s="290">
        <f>(AI349+AJ349)*$K$3</f>
        <v>24</v>
      </c>
      <c r="L349" s="290">
        <f>K349*$Q349</f>
        <v>0</v>
      </c>
      <c r="M349" s="290">
        <f>(AL349+AM349)*$M$3</f>
        <v>9</v>
      </c>
      <c r="N349" s="290">
        <f>M349*$Q349</f>
        <v>0</v>
      </c>
      <c r="O349" s="290">
        <f>C349+E349+G349+I349+K349+M349</f>
        <v>79</v>
      </c>
      <c r="P349" s="261" t="s">
        <v>269</v>
      </c>
      <c r="Q349" s="262"/>
      <c r="R349" s="435">
        <f>O349*Q349</f>
        <v>0</v>
      </c>
      <c r="T349" s="305">
        <v>1</v>
      </c>
      <c r="U349" s="266">
        <v>1</v>
      </c>
      <c r="W349" s="268">
        <f>T349*$W$3</f>
        <v>2</v>
      </c>
      <c r="X349" s="266">
        <f>U349*$X$3</f>
        <v>2</v>
      </c>
      <c r="Z349" s="268">
        <f>W349</f>
        <v>2</v>
      </c>
      <c r="AA349" s="266">
        <f>U349*$AA$3</f>
        <v>3</v>
      </c>
      <c r="AC349" s="268">
        <f>W349</f>
        <v>2</v>
      </c>
      <c r="AD349" s="266">
        <f>U349*$AD$3</f>
        <v>4</v>
      </c>
      <c r="AF349" s="268">
        <f>W349</f>
        <v>2</v>
      </c>
      <c r="AG349" s="266">
        <f>U349*$AG$3</f>
        <v>5</v>
      </c>
      <c r="AI349" s="268">
        <f>W349</f>
        <v>2</v>
      </c>
      <c r="AJ349" s="266">
        <f>U349*$AJ$3</f>
        <v>6</v>
      </c>
      <c r="AL349" s="268">
        <f>W349</f>
        <v>2</v>
      </c>
      <c r="AM349" s="266">
        <f>U349*$AM$3</f>
        <v>7</v>
      </c>
    </row>
    <row r="350" spans="1:39" s="267" customFormat="1" x14ac:dyDescent="0.2">
      <c r="A350" s="308"/>
      <c r="B350" s="259"/>
      <c r="C350" s="290"/>
      <c r="D350" s="290"/>
      <c r="E350" s="290"/>
      <c r="F350" s="290"/>
      <c r="G350" s="290"/>
      <c r="H350" s="290"/>
      <c r="I350" s="290"/>
      <c r="J350" s="290"/>
      <c r="K350" s="290"/>
      <c r="L350" s="290"/>
      <c r="M350" s="290"/>
      <c r="N350" s="290"/>
      <c r="O350" s="290"/>
      <c r="P350" s="261"/>
      <c r="Q350" s="262"/>
      <c r="R350" s="435"/>
      <c r="T350" s="305"/>
      <c r="U350" s="305"/>
      <c r="W350" s="268"/>
      <c r="X350" s="305"/>
      <c r="Z350" s="268"/>
      <c r="AA350" s="305"/>
      <c r="AC350" s="268"/>
      <c r="AD350" s="305"/>
      <c r="AF350" s="268"/>
      <c r="AG350" s="305"/>
      <c r="AI350" s="268"/>
      <c r="AJ350" s="305"/>
      <c r="AL350" s="268"/>
      <c r="AM350" s="305"/>
    </row>
    <row r="351" spans="1:39" s="267" customFormat="1" x14ac:dyDescent="0.2">
      <c r="A351" s="308"/>
      <c r="B351" s="293" t="s">
        <v>725</v>
      </c>
      <c r="C351" s="290"/>
      <c r="D351" s="290"/>
      <c r="E351" s="290"/>
      <c r="F351" s="290"/>
      <c r="G351" s="290"/>
      <c r="H351" s="290"/>
      <c r="I351" s="290"/>
      <c r="J351" s="290"/>
      <c r="K351" s="290"/>
      <c r="L351" s="290"/>
      <c r="M351" s="290"/>
      <c r="N351" s="290"/>
      <c r="O351" s="290"/>
      <c r="P351" s="261"/>
      <c r="Q351" s="262"/>
      <c r="R351" s="435"/>
      <c r="T351" s="305"/>
      <c r="U351" s="305"/>
      <c r="W351" s="268"/>
      <c r="X351" s="305"/>
      <c r="Z351" s="268"/>
      <c r="AA351" s="305"/>
      <c r="AC351" s="268"/>
      <c r="AD351" s="305"/>
      <c r="AF351" s="268"/>
      <c r="AG351" s="305"/>
      <c r="AI351" s="268"/>
      <c r="AJ351" s="305"/>
      <c r="AL351" s="268"/>
      <c r="AM351" s="305"/>
    </row>
    <row r="352" spans="1:39" s="267" customFormat="1" x14ac:dyDescent="0.2">
      <c r="A352" s="308"/>
      <c r="B352" s="259"/>
      <c r="C352" s="290"/>
      <c r="D352" s="290"/>
      <c r="E352" s="290"/>
      <c r="F352" s="290"/>
      <c r="G352" s="290"/>
      <c r="H352" s="290"/>
      <c r="I352" s="290"/>
      <c r="J352" s="290"/>
      <c r="K352" s="290"/>
      <c r="L352" s="290"/>
      <c r="M352" s="290"/>
      <c r="N352" s="290"/>
      <c r="O352" s="290"/>
      <c r="P352" s="261"/>
      <c r="Q352" s="262"/>
      <c r="R352" s="435"/>
      <c r="T352" s="305"/>
      <c r="U352" s="305"/>
      <c r="W352" s="268"/>
      <c r="X352" s="305"/>
      <c r="Z352" s="268"/>
      <c r="AA352" s="305"/>
      <c r="AC352" s="268"/>
      <c r="AD352" s="305"/>
      <c r="AF352" s="268"/>
      <c r="AG352" s="305"/>
      <c r="AI352" s="268"/>
      <c r="AJ352" s="305"/>
      <c r="AL352" s="268"/>
      <c r="AM352" s="305"/>
    </row>
    <row r="353" spans="1:39" s="267" customFormat="1" ht="28.5" x14ac:dyDescent="0.2">
      <c r="A353" s="308" t="s">
        <v>74</v>
      </c>
      <c r="B353" s="259" t="s">
        <v>726</v>
      </c>
      <c r="C353" s="290"/>
      <c r="D353" s="290"/>
      <c r="E353" s="290"/>
      <c r="F353" s="290"/>
      <c r="G353" s="290"/>
      <c r="H353" s="290"/>
      <c r="I353" s="290"/>
      <c r="J353" s="290"/>
      <c r="K353" s="290"/>
      <c r="L353" s="290"/>
      <c r="M353" s="290"/>
      <c r="N353" s="290"/>
      <c r="O353" s="290">
        <f>C353+E353+G353+I353+K353+M353</f>
        <v>0</v>
      </c>
      <c r="P353" s="261" t="s">
        <v>727</v>
      </c>
      <c r="Q353" s="262"/>
      <c r="R353" s="435">
        <f>O353*Q353</f>
        <v>0</v>
      </c>
      <c r="T353" s="305">
        <v>1</v>
      </c>
      <c r="U353" s="266">
        <v>1</v>
      </c>
      <c r="W353" s="268">
        <f>T353*$W$3</f>
        <v>2</v>
      </c>
      <c r="X353" s="266">
        <f>U353*$X$3</f>
        <v>2</v>
      </c>
      <c r="Z353" s="268">
        <f>W353</f>
        <v>2</v>
      </c>
      <c r="AA353" s="266">
        <f>U353*$AA$3</f>
        <v>3</v>
      </c>
      <c r="AC353" s="268">
        <f>W353</f>
        <v>2</v>
      </c>
      <c r="AD353" s="266">
        <f>U353*$AD$3</f>
        <v>4</v>
      </c>
      <c r="AF353" s="268">
        <f>W353</f>
        <v>2</v>
      </c>
      <c r="AG353" s="266">
        <f>U353*$AG$3</f>
        <v>5</v>
      </c>
      <c r="AI353" s="268">
        <f>W353</f>
        <v>2</v>
      </c>
      <c r="AJ353" s="266">
        <f>U353*$AJ$3</f>
        <v>6</v>
      </c>
      <c r="AL353" s="268">
        <f>W353</f>
        <v>2</v>
      </c>
      <c r="AM353" s="266">
        <f>U353*$AM$3</f>
        <v>7</v>
      </c>
    </row>
    <row r="354" spans="1:39" s="267" customFormat="1" x14ac:dyDescent="0.2">
      <c r="A354" s="308"/>
      <c r="B354" s="259"/>
      <c r="C354" s="290"/>
      <c r="D354" s="290"/>
      <c r="E354" s="290"/>
      <c r="F354" s="290"/>
      <c r="G354" s="290"/>
      <c r="H354" s="290"/>
      <c r="I354" s="290"/>
      <c r="J354" s="290"/>
      <c r="K354" s="290"/>
      <c r="L354" s="290"/>
      <c r="M354" s="290"/>
      <c r="N354" s="290"/>
      <c r="O354" s="290"/>
      <c r="P354" s="261"/>
      <c r="Q354" s="262"/>
      <c r="R354" s="435"/>
      <c r="T354" s="305"/>
      <c r="U354" s="305"/>
      <c r="W354" s="268"/>
      <c r="X354" s="305"/>
      <c r="Z354" s="268"/>
      <c r="AA354" s="305"/>
      <c r="AC354" s="268"/>
      <c r="AD354" s="305"/>
      <c r="AF354" s="268"/>
      <c r="AG354" s="305"/>
      <c r="AI354" s="268"/>
      <c r="AJ354" s="305"/>
      <c r="AL354" s="268"/>
      <c r="AM354" s="305"/>
    </row>
    <row r="355" spans="1:39" s="267" customFormat="1" x14ac:dyDescent="0.2">
      <c r="A355" s="308" t="s">
        <v>75</v>
      </c>
      <c r="B355" s="259" t="s">
        <v>728</v>
      </c>
      <c r="C355" s="290"/>
      <c r="D355" s="290"/>
      <c r="E355" s="290"/>
      <c r="F355" s="290"/>
      <c r="G355" s="290"/>
      <c r="H355" s="290"/>
      <c r="I355" s="290"/>
      <c r="J355" s="290"/>
      <c r="K355" s="290"/>
      <c r="L355" s="290"/>
      <c r="M355" s="290"/>
      <c r="N355" s="290"/>
      <c r="O355" s="290">
        <f>C355+E355+G355+I355+K355+M355</f>
        <v>0</v>
      </c>
      <c r="P355" s="261" t="s">
        <v>727</v>
      </c>
      <c r="Q355" s="262"/>
      <c r="R355" s="435">
        <f>O355*Q355</f>
        <v>0</v>
      </c>
      <c r="T355" s="305">
        <v>1</v>
      </c>
      <c r="U355" s="266">
        <v>1</v>
      </c>
      <c r="W355" s="268">
        <f>T355*$W$3</f>
        <v>2</v>
      </c>
      <c r="X355" s="266">
        <f>U355*$X$3</f>
        <v>2</v>
      </c>
      <c r="Z355" s="268">
        <f>W355</f>
        <v>2</v>
      </c>
      <c r="AA355" s="266">
        <f>U355*$AA$3</f>
        <v>3</v>
      </c>
      <c r="AC355" s="268">
        <f>W355</f>
        <v>2</v>
      </c>
      <c r="AD355" s="266">
        <f>U355*$AD$3</f>
        <v>4</v>
      </c>
      <c r="AF355" s="268">
        <f>W355</f>
        <v>2</v>
      </c>
      <c r="AG355" s="266">
        <f>U355*$AG$3</f>
        <v>5</v>
      </c>
      <c r="AI355" s="268">
        <f>W355</f>
        <v>2</v>
      </c>
      <c r="AJ355" s="266">
        <f>U355*$AJ$3</f>
        <v>6</v>
      </c>
      <c r="AL355" s="268">
        <f>W355</f>
        <v>2</v>
      </c>
      <c r="AM355" s="266">
        <f>U355*$AM$3</f>
        <v>7</v>
      </c>
    </row>
    <row r="356" spans="1:39" s="267" customFormat="1" x14ac:dyDescent="0.2">
      <c r="A356" s="308"/>
      <c r="B356" s="259"/>
      <c r="C356" s="290"/>
      <c r="D356" s="290"/>
      <c r="E356" s="290"/>
      <c r="F356" s="290"/>
      <c r="G356" s="290"/>
      <c r="H356" s="290"/>
      <c r="I356" s="290"/>
      <c r="J356" s="290"/>
      <c r="K356" s="290"/>
      <c r="L356" s="290"/>
      <c r="M356" s="290"/>
      <c r="N356" s="290"/>
      <c r="O356" s="290"/>
      <c r="P356" s="261"/>
      <c r="Q356" s="262"/>
      <c r="R356" s="435"/>
      <c r="T356" s="305"/>
      <c r="U356" s="305"/>
      <c r="W356" s="268"/>
      <c r="X356" s="305"/>
      <c r="Z356" s="268"/>
      <c r="AA356" s="305"/>
      <c r="AC356" s="268"/>
      <c r="AD356" s="305"/>
      <c r="AF356" s="268"/>
      <c r="AG356" s="305"/>
      <c r="AI356" s="268"/>
      <c r="AJ356" s="305"/>
      <c r="AL356" s="268"/>
      <c r="AM356" s="305"/>
    </row>
    <row r="357" spans="1:39" s="267" customFormat="1" x14ac:dyDescent="0.2">
      <c r="A357" s="308"/>
      <c r="B357" s="259"/>
      <c r="C357" s="290"/>
      <c r="D357" s="290"/>
      <c r="E357" s="290"/>
      <c r="F357" s="290"/>
      <c r="G357" s="290"/>
      <c r="H357" s="290"/>
      <c r="I357" s="290"/>
      <c r="J357" s="290"/>
      <c r="K357" s="290"/>
      <c r="L357" s="290"/>
      <c r="M357" s="290"/>
      <c r="N357" s="290"/>
      <c r="O357" s="290"/>
      <c r="P357" s="261"/>
      <c r="Q357" s="262"/>
      <c r="R357" s="435"/>
      <c r="T357" s="305"/>
      <c r="U357" s="305"/>
      <c r="W357" s="268"/>
      <c r="X357" s="305"/>
      <c r="Z357" s="268"/>
      <c r="AA357" s="305"/>
      <c r="AC357" s="268"/>
      <c r="AD357" s="305"/>
      <c r="AF357" s="268"/>
      <c r="AG357" s="305"/>
      <c r="AI357" s="268"/>
      <c r="AJ357" s="305"/>
      <c r="AL357" s="268"/>
      <c r="AM357" s="305"/>
    </row>
    <row r="358" spans="1:39" s="267" customFormat="1" x14ac:dyDescent="0.2">
      <c r="A358" s="308"/>
      <c r="B358" s="259"/>
      <c r="C358" s="290"/>
      <c r="D358" s="290"/>
      <c r="E358" s="290"/>
      <c r="F358" s="290"/>
      <c r="G358" s="290"/>
      <c r="H358" s="290"/>
      <c r="I358" s="290"/>
      <c r="J358" s="290"/>
      <c r="K358" s="290"/>
      <c r="L358" s="290"/>
      <c r="M358" s="290"/>
      <c r="N358" s="290"/>
      <c r="O358" s="290"/>
      <c r="P358" s="261"/>
      <c r="Q358" s="262"/>
      <c r="R358" s="435"/>
      <c r="T358" s="305"/>
      <c r="U358" s="305"/>
      <c r="W358" s="268"/>
      <c r="X358" s="305"/>
      <c r="Z358" s="268"/>
      <c r="AA358" s="305"/>
      <c r="AC358" s="268"/>
      <c r="AD358" s="305"/>
      <c r="AF358" s="268"/>
      <c r="AG358" s="305"/>
      <c r="AI358" s="268"/>
      <c r="AJ358" s="305"/>
      <c r="AL358" s="268"/>
      <c r="AM358" s="305"/>
    </row>
    <row r="359" spans="1:39" s="267" customFormat="1" x14ac:dyDescent="0.2">
      <c r="A359" s="308"/>
      <c r="B359" s="259"/>
      <c r="C359" s="290"/>
      <c r="D359" s="290"/>
      <c r="E359" s="290"/>
      <c r="F359" s="290"/>
      <c r="G359" s="290"/>
      <c r="H359" s="290"/>
      <c r="I359" s="290"/>
      <c r="J359" s="290"/>
      <c r="K359" s="290"/>
      <c r="L359" s="290"/>
      <c r="M359" s="290"/>
      <c r="N359" s="290"/>
      <c r="O359" s="290"/>
      <c r="P359" s="261"/>
      <c r="Q359" s="262"/>
      <c r="R359" s="435"/>
      <c r="T359" s="305"/>
      <c r="U359" s="305"/>
      <c r="W359" s="268"/>
      <c r="X359" s="305"/>
      <c r="Z359" s="268"/>
      <c r="AA359" s="305"/>
      <c r="AC359" s="268"/>
      <c r="AD359" s="305"/>
      <c r="AF359" s="268"/>
      <c r="AG359" s="305"/>
      <c r="AI359" s="268"/>
      <c r="AJ359" s="305"/>
      <c r="AL359" s="268"/>
      <c r="AM359" s="305"/>
    </row>
    <row r="360" spans="1:39" s="267" customFormat="1" x14ac:dyDescent="0.2">
      <c r="A360" s="308"/>
      <c r="B360" s="259"/>
      <c r="C360" s="290"/>
      <c r="D360" s="290"/>
      <c r="E360" s="290"/>
      <c r="F360" s="290"/>
      <c r="G360" s="290"/>
      <c r="H360" s="290"/>
      <c r="I360" s="290"/>
      <c r="J360" s="290"/>
      <c r="K360" s="290"/>
      <c r="L360" s="290"/>
      <c r="M360" s="290"/>
      <c r="N360" s="290"/>
      <c r="O360" s="290"/>
      <c r="P360" s="261"/>
      <c r="Q360" s="262"/>
      <c r="R360" s="435"/>
      <c r="T360" s="305"/>
      <c r="U360" s="305"/>
      <c r="W360" s="268"/>
      <c r="X360" s="305"/>
      <c r="Z360" s="268"/>
      <c r="AA360" s="305"/>
      <c r="AC360" s="268"/>
      <c r="AD360" s="305"/>
      <c r="AF360" s="268"/>
      <c r="AG360" s="305"/>
      <c r="AI360" s="268"/>
      <c r="AJ360" s="305"/>
      <c r="AL360" s="268"/>
      <c r="AM360" s="305"/>
    </row>
    <row r="361" spans="1:39" s="267" customFormat="1" x14ac:dyDescent="0.2">
      <c r="A361" s="308"/>
      <c r="B361" s="259"/>
      <c r="C361" s="290"/>
      <c r="D361" s="290"/>
      <c r="E361" s="290"/>
      <c r="F361" s="290"/>
      <c r="G361" s="290"/>
      <c r="H361" s="290"/>
      <c r="I361" s="290"/>
      <c r="J361" s="290"/>
      <c r="K361" s="290"/>
      <c r="L361" s="290"/>
      <c r="M361" s="290"/>
      <c r="N361" s="290"/>
      <c r="O361" s="290"/>
      <c r="P361" s="261"/>
      <c r="Q361" s="262"/>
      <c r="R361" s="435"/>
      <c r="T361" s="305"/>
      <c r="U361" s="305"/>
      <c r="W361" s="268"/>
      <c r="X361" s="305"/>
      <c r="Z361" s="268"/>
      <c r="AA361" s="305"/>
      <c r="AC361" s="268"/>
      <c r="AD361" s="305"/>
      <c r="AF361" s="268"/>
      <c r="AG361" s="305"/>
      <c r="AI361" s="268"/>
      <c r="AJ361" s="305"/>
      <c r="AL361" s="268"/>
      <c r="AM361" s="305"/>
    </row>
    <row r="362" spans="1:39" s="267" customFormat="1" x14ac:dyDescent="0.2">
      <c r="A362" s="308"/>
      <c r="B362" s="259"/>
      <c r="C362" s="290"/>
      <c r="D362" s="290"/>
      <c r="E362" s="290"/>
      <c r="F362" s="290"/>
      <c r="G362" s="290"/>
      <c r="H362" s="290"/>
      <c r="I362" s="290"/>
      <c r="J362" s="290"/>
      <c r="K362" s="290"/>
      <c r="L362" s="290"/>
      <c r="M362" s="290"/>
      <c r="N362" s="290"/>
      <c r="O362" s="290"/>
      <c r="P362" s="261"/>
      <c r="Q362" s="262"/>
      <c r="R362" s="435"/>
      <c r="S362" s="311"/>
      <c r="T362" s="305"/>
      <c r="U362" s="312"/>
      <c r="W362" s="268"/>
      <c r="X362" s="305"/>
      <c r="Z362" s="268"/>
      <c r="AA362" s="305"/>
      <c r="AC362" s="268"/>
      <c r="AD362" s="305"/>
      <c r="AF362" s="268"/>
      <c r="AG362" s="305"/>
      <c r="AI362" s="268"/>
      <c r="AJ362" s="305"/>
      <c r="AL362" s="268"/>
      <c r="AM362" s="305"/>
    </row>
    <row r="363" spans="1:39" s="267" customFormat="1" x14ac:dyDescent="0.2">
      <c r="A363" s="375"/>
      <c r="B363" s="376"/>
      <c r="C363" s="377"/>
      <c r="D363" s="377"/>
      <c r="E363" s="377"/>
      <c r="F363" s="377"/>
      <c r="G363" s="377"/>
      <c r="H363" s="377"/>
      <c r="I363" s="377"/>
      <c r="J363" s="377"/>
      <c r="K363" s="377"/>
      <c r="L363" s="377"/>
      <c r="M363" s="377"/>
      <c r="N363" s="377"/>
      <c r="O363" s="377"/>
      <c r="P363" s="377"/>
      <c r="Q363" s="378"/>
      <c r="R363" s="441"/>
      <c r="T363" s="306"/>
      <c r="U363" s="313"/>
      <c r="W363" s="275"/>
      <c r="X363" s="306"/>
      <c r="Z363" s="275"/>
      <c r="AA363" s="306"/>
      <c r="AC363" s="275"/>
      <c r="AD363" s="306"/>
      <c r="AF363" s="275"/>
      <c r="AG363" s="306"/>
      <c r="AI363" s="275"/>
      <c r="AJ363" s="306"/>
      <c r="AL363" s="275"/>
      <c r="AM363" s="306"/>
    </row>
    <row r="364" spans="1:39" s="267" customFormat="1" x14ac:dyDescent="0.2">
      <c r="A364" s="380"/>
      <c r="B364" s="320"/>
      <c r="C364" s="550" t="s">
        <v>1</v>
      </c>
      <c r="D364" s="550"/>
      <c r="E364" s="550"/>
      <c r="F364" s="550"/>
      <c r="G364" s="550"/>
      <c r="H364" s="550"/>
      <c r="I364" s="550"/>
      <c r="J364" s="550"/>
      <c r="K364" s="550"/>
      <c r="L364" s="550"/>
      <c r="M364" s="550"/>
      <c r="N364" s="550"/>
      <c r="O364" s="550"/>
      <c r="P364" s="550"/>
      <c r="Q364" s="381" t="s">
        <v>0</v>
      </c>
      <c r="R364" s="435">
        <f>SUM(R320:R362)</f>
        <v>0</v>
      </c>
      <c r="S364" s="314"/>
      <c r="T364" s="305"/>
      <c r="U364" s="315"/>
      <c r="W364" s="268"/>
      <c r="X364" s="305"/>
      <c r="Z364" s="268"/>
      <c r="AA364" s="305"/>
      <c r="AC364" s="268"/>
      <c r="AD364" s="305"/>
      <c r="AF364" s="268"/>
      <c r="AG364" s="305"/>
      <c r="AI364" s="268"/>
      <c r="AJ364" s="305"/>
      <c r="AL364" s="268"/>
      <c r="AM364" s="305"/>
    </row>
    <row r="365" spans="1:39" s="267" customFormat="1" x14ac:dyDescent="0.2">
      <c r="A365" s="380"/>
      <c r="B365" s="320"/>
      <c r="C365" s="309"/>
      <c r="D365" s="309"/>
      <c r="E365" s="309"/>
      <c r="F365" s="309"/>
      <c r="G365" s="309"/>
      <c r="H365" s="309"/>
      <c r="I365" s="309"/>
      <c r="J365" s="309"/>
      <c r="K365" s="309"/>
      <c r="L365" s="309"/>
      <c r="M365" s="309"/>
      <c r="N365" s="309"/>
      <c r="O365" s="309"/>
      <c r="P365" s="309"/>
      <c r="Q365" s="294"/>
      <c r="R365" s="458"/>
      <c r="T365" s="316"/>
      <c r="U365" s="317"/>
      <c r="W365" s="280"/>
      <c r="X365" s="316"/>
      <c r="Z365" s="280"/>
      <c r="AA365" s="316"/>
      <c r="AC365" s="280"/>
      <c r="AD365" s="316"/>
      <c r="AF365" s="280"/>
      <c r="AG365" s="316"/>
      <c r="AI365" s="280"/>
      <c r="AJ365" s="316"/>
      <c r="AL365" s="280"/>
      <c r="AM365" s="316"/>
    </row>
    <row r="366" spans="1:39" s="267" customFormat="1" x14ac:dyDescent="0.2">
      <c r="A366" s="308"/>
      <c r="B366" s="308"/>
      <c r="C366" s="266"/>
      <c r="D366" s="337"/>
      <c r="E366" s="337"/>
      <c r="F366" s="337"/>
      <c r="G366" s="337"/>
      <c r="H366" s="337"/>
      <c r="I366" s="337"/>
      <c r="J366" s="337"/>
      <c r="K366" s="337"/>
      <c r="L366" s="337"/>
      <c r="M366" s="337"/>
      <c r="N366" s="337"/>
      <c r="O366" s="461"/>
      <c r="P366" s="462"/>
      <c r="Q366" s="463"/>
      <c r="R366" s="464"/>
      <c r="T366" s="305"/>
      <c r="U366" s="306"/>
      <c r="W366" s="268"/>
      <c r="X366" s="305"/>
      <c r="Z366" s="268"/>
      <c r="AA366" s="305"/>
      <c r="AC366" s="268"/>
      <c r="AD366" s="305"/>
      <c r="AF366" s="268"/>
      <c r="AG366" s="305"/>
      <c r="AI366" s="268"/>
      <c r="AJ366" s="305"/>
      <c r="AL366" s="268"/>
      <c r="AM366" s="305"/>
    </row>
    <row r="367" spans="1:39" s="267" customFormat="1" x14ac:dyDescent="0.2">
      <c r="A367" s="308"/>
      <c r="B367" s="265" t="s">
        <v>254</v>
      </c>
      <c r="C367" s="290"/>
      <c r="D367" s="290"/>
      <c r="E367" s="290"/>
      <c r="F367" s="290"/>
      <c r="G367" s="290"/>
      <c r="H367" s="290"/>
      <c r="I367" s="290"/>
      <c r="J367" s="290"/>
      <c r="K367" s="290"/>
      <c r="L367" s="290"/>
      <c r="M367" s="290"/>
      <c r="N367" s="290"/>
      <c r="O367" s="290"/>
      <c r="P367" s="261"/>
      <c r="Q367" s="262"/>
      <c r="R367" s="435"/>
      <c r="T367" s="305"/>
      <c r="U367" s="305"/>
      <c r="W367" s="268"/>
      <c r="X367" s="305"/>
      <c r="Z367" s="268"/>
      <c r="AA367" s="305"/>
      <c r="AC367" s="268"/>
      <c r="AD367" s="305"/>
      <c r="AF367" s="268"/>
      <c r="AG367" s="305"/>
      <c r="AI367" s="268"/>
      <c r="AJ367" s="305"/>
      <c r="AL367" s="268"/>
      <c r="AM367" s="305"/>
    </row>
    <row r="368" spans="1:39" s="267" customFormat="1" x14ac:dyDescent="0.2">
      <c r="A368" s="308"/>
      <c r="B368" s="259"/>
      <c r="C368" s="290"/>
      <c r="D368" s="290"/>
      <c r="E368" s="290"/>
      <c r="F368" s="290"/>
      <c r="G368" s="290"/>
      <c r="H368" s="290"/>
      <c r="I368" s="290"/>
      <c r="J368" s="290"/>
      <c r="K368" s="290"/>
      <c r="L368" s="290"/>
      <c r="M368" s="290"/>
      <c r="N368" s="290"/>
      <c r="O368" s="290"/>
      <c r="P368" s="261"/>
      <c r="Q368" s="262"/>
      <c r="R368" s="435"/>
      <c r="T368" s="305"/>
      <c r="U368" s="305"/>
      <c r="W368" s="268"/>
      <c r="X368" s="305"/>
      <c r="Z368" s="268"/>
      <c r="AA368" s="305"/>
      <c r="AC368" s="268"/>
      <c r="AD368" s="305"/>
      <c r="AF368" s="268"/>
      <c r="AG368" s="305"/>
      <c r="AI368" s="268"/>
      <c r="AJ368" s="305"/>
      <c r="AL368" s="268"/>
      <c r="AM368" s="305"/>
    </row>
    <row r="369" spans="1:39" s="267" customFormat="1" x14ac:dyDescent="0.2">
      <c r="A369" s="308"/>
      <c r="B369" s="265" t="s">
        <v>729</v>
      </c>
      <c r="C369" s="290"/>
      <c r="D369" s="290"/>
      <c r="E369" s="290"/>
      <c r="F369" s="290"/>
      <c r="G369" s="290"/>
      <c r="H369" s="290"/>
      <c r="I369" s="290"/>
      <c r="J369" s="290"/>
      <c r="K369" s="290"/>
      <c r="L369" s="290"/>
      <c r="M369" s="290"/>
      <c r="N369" s="290"/>
      <c r="O369" s="290"/>
      <c r="P369" s="261"/>
      <c r="Q369" s="262"/>
      <c r="R369" s="435"/>
      <c r="T369" s="305"/>
      <c r="U369" s="305"/>
      <c r="W369" s="268"/>
      <c r="X369" s="305"/>
      <c r="Z369" s="268"/>
      <c r="AA369" s="305"/>
      <c r="AC369" s="268"/>
      <c r="AD369" s="305"/>
      <c r="AF369" s="268"/>
      <c r="AG369" s="305"/>
      <c r="AI369" s="268"/>
      <c r="AJ369" s="305"/>
      <c r="AL369" s="268"/>
      <c r="AM369" s="305"/>
    </row>
    <row r="370" spans="1:39" s="267" customFormat="1" x14ac:dyDescent="0.2">
      <c r="A370" s="308"/>
      <c r="B370" s="259"/>
      <c r="C370" s="290"/>
      <c r="D370" s="290"/>
      <c r="E370" s="290"/>
      <c r="F370" s="290"/>
      <c r="G370" s="290"/>
      <c r="H370" s="290"/>
      <c r="I370" s="290"/>
      <c r="J370" s="290"/>
      <c r="K370" s="290"/>
      <c r="L370" s="290"/>
      <c r="M370" s="290"/>
      <c r="N370" s="290"/>
      <c r="O370" s="290"/>
      <c r="P370" s="261"/>
      <c r="Q370" s="262"/>
      <c r="R370" s="435"/>
      <c r="T370" s="305"/>
      <c r="U370" s="305"/>
      <c r="W370" s="268"/>
      <c r="X370" s="305"/>
      <c r="Z370" s="268"/>
      <c r="AA370" s="305"/>
      <c r="AC370" s="268"/>
      <c r="AD370" s="305"/>
      <c r="AF370" s="268"/>
      <c r="AG370" s="305"/>
      <c r="AI370" s="268"/>
      <c r="AJ370" s="305"/>
      <c r="AL370" s="268"/>
      <c r="AM370" s="305"/>
    </row>
    <row r="371" spans="1:39" s="267" customFormat="1" ht="30.75" customHeight="1" x14ac:dyDescent="0.2">
      <c r="A371" s="308"/>
      <c r="B371" s="413" t="s">
        <v>730</v>
      </c>
      <c r="C371" s="290"/>
      <c r="D371" s="290"/>
      <c r="E371" s="290"/>
      <c r="F371" s="290"/>
      <c r="G371" s="290"/>
      <c r="H371" s="290"/>
      <c r="I371" s="290"/>
      <c r="J371" s="290"/>
      <c r="K371" s="290"/>
      <c r="L371" s="290"/>
      <c r="M371" s="290"/>
      <c r="N371" s="290"/>
      <c r="O371" s="290"/>
      <c r="P371" s="261"/>
      <c r="Q371" s="262"/>
      <c r="R371" s="435"/>
      <c r="T371" s="305"/>
      <c r="U371" s="305"/>
      <c r="W371" s="268"/>
      <c r="X371" s="305"/>
      <c r="Z371" s="268"/>
      <c r="AA371" s="305"/>
      <c r="AC371" s="268"/>
      <c r="AD371" s="305"/>
      <c r="AF371" s="268"/>
      <c r="AG371" s="305"/>
      <c r="AI371" s="268"/>
      <c r="AJ371" s="305"/>
      <c r="AL371" s="268"/>
      <c r="AM371" s="305"/>
    </row>
    <row r="372" spans="1:39" s="267" customFormat="1" x14ac:dyDescent="0.2">
      <c r="A372" s="308"/>
      <c r="B372" s="356"/>
      <c r="C372" s="290"/>
      <c r="D372" s="290"/>
      <c r="E372" s="290"/>
      <c r="F372" s="290"/>
      <c r="G372" s="290"/>
      <c r="H372" s="290"/>
      <c r="I372" s="290"/>
      <c r="J372" s="290"/>
      <c r="K372" s="290"/>
      <c r="L372" s="290"/>
      <c r="M372" s="290"/>
      <c r="N372" s="290"/>
      <c r="O372" s="290"/>
      <c r="P372" s="261"/>
      <c r="Q372" s="262"/>
      <c r="R372" s="435"/>
      <c r="T372" s="305"/>
      <c r="U372" s="305"/>
      <c r="W372" s="268"/>
      <c r="X372" s="305"/>
      <c r="Z372" s="268"/>
      <c r="AA372" s="305"/>
      <c r="AC372" s="268"/>
      <c r="AD372" s="305"/>
      <c r="AF372" s="268"/>
      <c r="AG372" s="305"/>
      <c r="AI372" s="268"/>
      <c r="AJ372" s="305"/>
      <c r="AL372" s="268"/>
      <c r="AM372" s="305"/>
    </row>
    <row r="373" spans="1:39" s="267" customFormat="1" x14ac:dyDescent="0.2">
      <c r="A373" s="308" t="s">
        <v>66</v>
      </c>
      <c r="B373" s="259" t="s">
        <v>731</v>
      </c>
      <c r="C373" s="290">
        <f>(W373+X373)*$C$3</f>
        <v>4</v>
      </c>
      <c r="D373" s="290">
        <f>C373*$Q373</f>
        <v>0</v>
      </c>
      <c r="E373" s="290">
        <f>(Z373+AA373)*$E$3</f>
        <v>5</v>
      </c>
      <c r="F373" s="290">
        <f>E373*$Q373</f>
        <v>0</v>
      </c>
      <c r="G373" s="290">
        <f>(AC373+AD373)*$G$3</f>
        <v>30</v>
      </c>
      <c r="H373" s="290">
        <f>G373*$Q373</f>
        <v>0</v>
      </c>
      <c r="I373" s="290">
        <f>(AF373+AG373)*$I$3</f>
        <v>7</v>
      </c>
      <c r="J373" s="290">
        <f>I373*$Q373</f>
        <v>0</v>
      </c>
      <c r="K373" s="290">
        <f>(AI373+AJ373)*$K$3</f>
        <v>24</v>
      </c>
      <c r="L373" s="290">
        <f>K373*$Q373</f>
        <v>0</v>
      </c>
      <c r="M373" s="290">
        <f>(AL373+AM373)*$M$3</f>
        <v>9</v>
      </c>
      <c r="N373" s="290">
        <f>M373*$Q373</f>
        <v>0</v>
      </c>
      <c r="O373" s="290">
        <f>C373+E373+G373+I373+K373+M373</f>
        <v>79</v>
      </c>
      <c r="P373" s="261" t="s">
        <v>269</v>
      </c>
      <c r="Q373" s="262"/>
      <c r="R373" s="435">
        <f>O373*Q373</f>
        <v>0</v>
      </c>
      <c r="T373" s="305">
        <v>1</v>
      </c>
      <c r="U373" s="266">
        <v>1</v>
      </c>
      <c r="W373" s="268">
        <f>T373*$W$3</f>
        <v>2</v>
      </c>
      <c r="X373" s="266">
        <f>U373*$X$3</f>
        <v>2</v>
      </c>
      <c r="Z373" s="268">
        <f>W373</f>
        <v>2</v>
      </c>
      <c r="AA373" s="266">
        <f>U373*$AA$3</f>
        <v>3</v>
      </c>
      <c r="AC373" s="268">
        <f>W373</f>
        <v>2</v>
      </c>
      <c r="AD373" s="266">
        <f>U373*$AD$3</f>
        <v>4</v>
      </c>
      <c r="AF373" s="268">
        <f>W373</f>
        <v>2</v>
      </c>
      <c r="AG373" s="266">
        <f>U373*$AG$3</f>
        <v>5</v>
      </c>
      <c r="AI373" s="268">
        <f>W373</f>
        <v>2</v>
      </c>
      <c r="AJ373" s="266">
        <f>U373*$AJ$3</f>
        <v>6</v>
      </c>
      <c r="AL373" s="268">
        <f>W373</f>
        <v>2</v>
      </c>
      <c r="AM373" s="266">
        <f>U373*$AM$3</f>
        <v>7</v>
      </c>
    </row>
    <row r="374" spans="1:39" s="267" customFormat="1" x14ac:dyDescent="0.2">
      <c r="A374" s="308"/>
      <c r="B374" s="356"/>
      <c r="C374" s="290"/>
      <c r="D374" s="290"/>
      <c r="E374" s="290"/>
      <c r="F374" s="290"/>
      <c r="G374" s="290"/>
      <c r="H374" s="290"/>
      <c r="I374" s="290"/>
      <c r="J374" s="290"/>
      <c r="K374" s="290"/>
      <c r="L374" s="290"/>
      <c r="M374" s="290"/>
      <c r="N374" s="290"/>
      <c r="O374" s="290"/>
      <c r="P374" s="261"/>
      <c r="Q374" s="262"/>
      <c r="R374" s="435"/>
      <c r="T374" s="305"/>
      <c r="U374" s="305"/>
      <c r="W374" s="268"/>
      <c r="X374" s="305"/>
      <c r="Z374" s="268"/>
      <c r="AA374" s="305"/>
      <c r="AC374" s="268"/>
      <c r="AD374" s="305"/>
      <c r="AF374" s="268"/>
      <c r="AG374" s="305"/>
      <c r="AI374" s="268"/>
      <c r="AJ374" s="305"/>
      <c r="AL374" s="268"/>
      <c r="AM374" s="305"/>
    </row>
    <row r="375" spans="1:39" s="267" customFormat="1" ht="42.75" x14ac:dyDescent="0.2">
      <c r="A375" s="308"/>
      <c r="B375" s="265" t="s">
        <v>732</v>
      </c>
      <c r="C375" s="290"/>
      <c r="D375" s="290"/>
      <c r="E375" s="290"/>
      <c r="F375" s="290"/>
      <c r="G375" s="290"/>
      <c r="H375" s="290"/>
      <c r="I375" s="290"/>
      <c r="J375" s="290"/>
      <c r="K375" s="290"/>
      <c r="L375" s="290"/>
      <c r="M375" s="290"/>
      <c r="N375" s="290"/>
      <c r="O375" s="290"/>
      <c r="P375" s="261"/>
      <c r="Q375" s="262"/>
      <c r="R375" s="435"/>
      <c r="T375" s="305"/>
      <c r="U375" s="305"/>
      <c r="W375" s="268"/>
      <c r="X375" s="305"/>
      <c r="Z375" s="268"/>
      <c r="AA375" s="305"/>
      <c r="AC375" s="268"/>
      <c r="AD375" s="305"/>
      <c r="AF375" s="268"/>
      <c r="AG375" s="305"/>
      <c r="AI375" s="268"/>
      <c r="AJ375" s="305"/>
      <c r="AL375" s="268"/>
      <c r="AM375" s="305"/>
    </row>
    <row r="376" spans="1:39" s="267" customFormat="1" x14ac:dyDescent="0.2">
      <c r="A376" s="308"/>
      <c r="B376" s="325"/>
      <c r="C376" s="290"/>
      <c r="D376" s="290"/>
      <c r="E376" s="290"/>
      <c r="F376" s="290"/>
      <c r="G376" s="290"/>
      <c r="H376" s="290"/>
      <c r="I376" s="290"/>
      <c r="J376" s="290"/>
      <c r="K376" s="290"/>
      <c r="L376" s="290"/>
      <c r="M376" s="290"/>
      <c r="N376" s="290"/>
      <c r="O376" s="290"/>
      <c r="P376" s="261"/>
      <c r="Q376" s="262"/>
      <c r="R376" s="435"/>
      <c r="T376" s="305"/>
      <c r="U376" s="305"/>
      <c r="W376" s="268"/>
      <c r="X376" s="305"/>
      <c r="Z376" s="268"/>
      <c r="AA376" s="305"/>
      <c r="AC376" s="268"/>
      <c r="AD376" s="305"/>
      <c r="AF376" s="268"/>
      <c r="AG376" s="305"/>
      <c r="AI376" s="268"/>
      <c r="AJ376" s="305"/>
      <c r="AL376" s="268"/>
      <c r="AM376" s="305"/>
    </row>
    <row r="377" spans="1:39" s="267" customFormat="1" x14ac:dyDescent="0.2">
      <c r="A377" s="308" t="s">
        <v>67</v>
      </c>
      <c r="B377" s="396" t="s">
        <v>733</v>
      </c>
      <c r="C377" s="290">
        <f>(W377+X377)*$C$3</f>
        <v>4</v>
      </c>
      <c r="D377" s="290">
        <f>C377*$Q377</f>
        <v>0</v>
      </c>
      <c r="E377" s="290">
        <f>(Z377+AA377)*$E$3</f>
        <v>5</v>
      </c>
      <c r="F377" s="290">
        <f>E377*$Q377</f>
        <v>0</v>
      </c>
      <c r="G377" s="290">
        <f>(AC377+AD377)*$G$3</f>
        <v>30</v>
      </c>
      <c r="H377" s="290">
        <f>G377*$Q377</f>
        <v>0</v>
      </c>
      <c r="I377" s="290">
        <f>(AF377+AG377)*$I$3</f>
        <v>7</v>
      </c>
      <c r="J377" s="290">
        <f>I377*$Q377</f>
        <v>0</v>
      </c>
      <c r="K377" s="290">
        <f>(AI377+AJ377)*$K$3</f>
        <v>24</v>
      </c>
      <c r="L377" s="290">
        <f>K377*$Q377</f>
        <v>0</v>
      </c>
      <c r="M377" s="290">
        <f>(AL377+AM377)*$M$3</f>
        <v>9</v>
      </c>
      <c r="N377" s="290">
        <f>M377*$Q377</f>
        <v>0</v>
      </c>
      <c r="O377" s="290">
        <f>C377+E377+G377+I377+K377+M377</f>
        <v>79</v>
      </c>
      <c r="P377" s="261" t="s">
        <v>269</v>
      </c>
      <c r="Q377" s="262"/>
      <c r="R377" s="435">
        <f>O377*Q377</f>
        <v>0</v>
      </c>
      <c r="T377" s="305">
        <v>1</v>
      </c>
      <c r="U377" s="266">
        <v>1</v>
      </c>
      <c r="W377" s="268">
        <f>T377*$W$3</f>
        <v>2</v>
      </c>
      <c r="X377" s="266">
        <f>U377*$X$3</f>
        <v>2</v>
      </c>
      <c r="Z377" s="268">
        <f>W377</f>
        <v>2</v>
      </c>
      <c r="AA377" s="266">
        <f>U377*$AA$3</f>
        <v>3</v>
      </c>
      <c r="AC377" s="268">
        <f>W377</f>
        <v>2</v>
      </c>
      <c r="AD377" s="266">
        <f>U377*$AD$3</f>
        <v>4</v>
      </c>
      <c r="AF377" s="268">
        <f>W377</f>
        <v>2</v>
      </c>
      <c r="AG377" s="266">
        <f>U377*$AG$3</f>
        <v>5</v>
      </c>
      <c r="AI377" s="268">
        <f>W377</f>
        <v>2</v>
      </c>
      <c r="AJ377" s="266">
        <f>U377*$AJ$3</f>
        <v>6</v>
      </c>
      <c r="AL377" s="268">
        <f>W377</f>
        <v>2</v>
      </c>
      <c r="AM377" s="266">
        <f>U377*$AM$3</f>
        <v>7</v>
      </c>
    </row>
    <row r="378" spans="1:39" s="267" customFormat="1" x14ac:dyDescent="0.2">
      <c r="A378" s="308"/>
      <c r="B378" s="325"/>
      <c r="C378" s="290"/>
      <c r="D378" s="290"/>
      <c r="E378" s="290"/>
      <c r="F378" s="290"/>
      <c r="G378" s="290"/>
      <c r="H378" s="290"/>
      <c r="I378" s="290"/>
      <c r="J378" s="290"/>
      <c r="K378" s="290"/>
      <c r="L378" s="290"/>
      <c r="M378" s="290"/>
      <c r="N378" s="290"/>
      <c r="O378" s="290"/>
      <c r="P378" s="261"/>
      <c r="Q378" s="262"/>
      <c r="R378" s="435"/>
      <c r="T378" s="305"/>
      <c r="U378" s="305"/>
      <c r="W378" s="268"/>
      <c r="X378" s="305"/>
      <c r="Z378" s="268"/>
      <c r="AA378" s="305"/>
      <c r="AC378" s="268"/>
      <c r="AD378" s="305"/>
      <c r="AF378" s="268"/>
      <c r="AG378" s="305"/>
      <c r="AI378" s="268"/>
      <c r="AJ378" s="305"/>
      <c r="AL378" s="268"/>
      <c r="AM378" s="305"/>
    </row>
    <row r="379" spans="1:39" s="267" customFormat="1" ht="45" customHeight="1" x14ac:dyDescent="0.2">
      <c r="A379" s="308"/>
      <c r="B379" s="293" t="s">
        <v>734</v>
      </c>
      <c r="C379" s="290"/>
      <c r="D379" s="290"/>
      <c r="E379" s="290"/>
      <c r="F379" s="290"/>
      <c r="G379" s="290"/>
      <c r="H379" s="290"/>
      <c r="I379" s="290"/>
      <c r="J379" s="290"/>
      <c r="K379" s="290"/>
      <c r="L379" s="290"/>
      <c r="M379" s="290"/>
      <c r="N379" s="290"/>
      <c r="O379" s="290"/>
      <c r="P379" s="261"/>
      <c r="Q379" s="262"/>
      <c r="R379" s="435"/>
      <c r="T379" s="305"/>
      <c r="U379" s="305"/>
      <c r="W379" s="268"/>
      <c r="X379" s="305"/>
      <c r="Z379" s="268"/>
      <c r="AA379" s="305"/>
      <c r="AC379" s="268"/>
      <c r="AD379" s="305"/>
      <c r="AF379" s="268"/>
      <c r="AG379" s="305"/>
      <c r="AI379" s="268"/>
      <c r="AJ379" s="305"/>
      <c r="AL379" s="268"/>
      <c r="AM379" s="305"/>
    </row>
    <row r="380" spans="1:39" s="267" customFormat="1" x14ac:dyDescent="0.2">
      <c r="A380" s="308"/>
      <c r="B380" s="259"/>
      <c r="C380" s="290"/>
      <c r="D380" s="290"/>
      <c r="E380" s="290"/>
      <c r="F380" s="290"/>
      <c r="G380" s="290"/>
      <c r="H380" s="290"/>
      <c r="I380" s="290"/>
      <c r="J380" s="290"/>
      <c r="K380" s="290"/>
      <c r="L380" s="290"/>
      <c r="M380" s="290"/>
      <c r="N380" s="290"/>
      <c r="O380" s="290"/>
      <c r="P380" s="261"/>
      <c r="Q380" s="262"/>
      <c r="R380" s="435"/>
      <c r="T380" s="305"/>
      <c r="U380" s="305"/>
      <c r="W380" s="268"/>
      <c r="X380" s="305"/>
      <c r="Z380" s="268"/>
      <c r="AA380" s="305"/>
      <c r="AC380" s="268"/>
      <c r="AD380" s="305"/>
      <c r="AF380" s="268"/>
      <c r="AG380" s="305"/>
      <c r="AI380" s="268"/>
      <c r="AJ380" s="305"/>
      <c r="AL380" s="268"/>
      <c r="AM380" s="305"/>
    </row>
    <row r="381" spans="1:39" s="267" customFormat="1" x14ac:dyDescent="0.2">
      <c r="A381" s="308" t="s">
        <v>68</v>
      </c>
      <c r="B381" s="259" t="s">
        <v>735</v>
      </c>
      <c r="C381" s="290">
        <f>(W381+X381)*$C$3</f>
        <v>4</v>
      </c>
      <c r="D381" s="290">
        <f>C381*$Q381</f>
        <v>0</v>
      </c>
      <c r="E381" s="290">
        <f>(Z381+AA381)*$E$3</f>
        <v>5</v>
      </c>
      <c r="F381" s="290">
        <f>E381*$Q381</f>
        <v>0</v>
      </c>
      <c r="G381" s="290">
        <f>(AC381+AD381)*$G$3</f>
        <v>30</v>
      </c>
      <c r="H381" s="290">
        <f>G381*$Q381</f>
        <v>0</v>
      </c>
      <c r="I381" s="290">
        <f>(AF381+AG381)*$I$3</f>
        <v>7</v>
      </c>
      <c r="J381" s="290">
        <f>I381*$Q381</f>
        <v>0</v>
      </c>
      <c r="K381" s="290">
        <f>(AI381+AJ381)*$K$3</f>
        <v>24</v>
      </c>
      <c r="L381" s="290">
        <f>K381*$Q381</f>
        <v>0</v>
      </c>
      <c r="M381" s="290">
        <f>(AL381+AM381)*$M$3</f>
        <v>9</v>
      </c>
      <c r="N381" s="290">
        <f>M381*$Q381</f>
        <v>0</v>
      </c>
      <c r="O381" s="290">
        <f>C381+E381+G381+I381+K381+M381</f>
        <v>79</v>
      </c>
      <c r="P381" s="261" t="s">
        <v>211</v>
      </c>
      <c r="Q381" s="262"/>
      <c r="R381" s="435">
        <f>O381*Q381</f>
        <v>0</v>
      </c>
      <c r="T381" s="305">
        <v>1</v>
      </c>
      <c r="U381" s="266">
        <v>1</v>
      </c>
      <c r="W381" s="268">
        <f>T381*$W$3</f>
        <v>2</v>
      </c>
      <c r="X381" s="266">
        <f>U381*$X$3</f>
        <v>2</v>
      </c>
      <c r="Z381" s="268">
        <f>W381</f>
        <v>2</v>
      </c>
      <c r="AA381" s="266">
        <f>U381*$AA$3</f>
        <v>3</v>
      </c>
      <c r="AC381" s="268">
        <f>W381</f>
        <v>2</v>
      </c>
      <c r="AD381" s="266">
        <f>U381*$AD$3</f>
        <v>4</v>
      </c>
      <c r="AF381" s="268">
        <f>W381</f>
        <v>2</v>
      </c>
      <c r="AG381" s="266">
        <f>U381*$AG$3</f>
        <v>5</v>
      </c>
      <c r="AI381" s="268">
        <f>W381</f>
        <v>2</v>
      </c>
      <c r="AJ381" s="266">
        <f>U381*$AJ$3</f>
        <v>6</v>
      </c>
      <c r="AL381" s="268">
        <f>W381</f>
        <v>2</v>
      </c>
      <c r="AM381" s="266">
        <f>U381*$AM$3</f>
        <v>7</v>
      </c>
    </row>
    <row r="382" spans="1:39" s="267" customFormat="1" x14ac:dyDescent="0.2">
      <c r="A382" s="308"/>
      <c r="B382" s="259"/>
      <c r="C382" s="290"/>
      <c r="D382" s="290"/>
      <c r="E382" s="290"/>
      <c r="F382" s="290"/>
      <c r="G382" s="290"/>
      <c r="H382" s="290"/>
      <c r="I382" s="290"/>
      <c r="J382" s="290"/>
      <c r="K382" s="290"/>
      <c r="L382" s="290"/>
      <c r="M382" s="290"/>
      <c r="N382" s="290"/>
      <c r="O382" s="290"/>
      <c r="P382" s="261"/>
      <c r="Q382" s="262"/>
      <c r="R382" s="435"/>
      <c r="T382" s="305"/>
      <c r="U382" s="305"/>
      <c r="W382" s="268"/>
      <c r="X382" s="305"/>
      <c r="Z382" s="268"/>
      <c r="AA382" s="305"/>
      <c r="AC382" s="268"/>
      <c r="AD382" s="305"/>
      <c r="AF382" s="268"/>
      <c r="AG382" s="305"/>
      <c r="AI382" s="268"/>
      <c r="AJ382" s="305"/>
      <c r="AL382" s="268"/>
      <c r="AM382" s="305"/>
    </row>
    <row r="383" spans="1:39" s="267" customFormat="1" ht="42.75" x14ac:dyDescent="0.2">
      <c r="A383" s="308"/>
      <c r="B383" s="271" t="s">
        <v>736</v>
      </c>
      <c r="C383" s="290"/>
      <c r="D383" s="290"/>
      <c r="E383" s="290"/>
      <c r="F383" s="290"/>
      <c r="G383" s="290"/>
      <c r="H383" s="290"/>
      <c r="I383" s="290"/>
      <c r="J383" s="290"/>
      <c r="K383" s="290"/>
      <c r="L383" s="290"/>
      <c r="M383" s="290"/>
      <c r="N383" s="290"/>
      <c r="O383" s="290"/>
      <c r="P383" s="261"/>
      <c r="Q383" s="262"/>
      <c r="R383" s="435"/>
      <c r="T383" s="305"/>
      <c r="U383" s="305"/>
      <c r="W383" s="268"/>
      <c r="X383" s="305"/>
      <c r="Z383" s="268"/>
      <c r="AA383" s="305"/>
      <c r="AC383" s="268"/>
      <c r="AD383" s="305"/>
      <c r="AF383" s="268"/>
      <c r="AG383" s="305"/>
      <c r="AI383" s="268"/>
      <c r="AJ383" s="305"/>
      <c r="AL383" s="268"/>
      <c r="AM383" s="305"/>
    </row>
    <row r="384" spans="1:39" s="267" customFormat="1" x14ac:dyDescent="0.2">
      <c r="A384" s="465"/>
      <c r="B384" s="319"/>
      <c r="C384" s="466"/>
      <c r="D384" s="466"/>
      <c r="E384" s="466"/>
      <c r="F384" s="466"/>
      <c r="G384" s="466"/>
      <c r="H384" s="466"/>
      <c r="I384" s="466"/>
      <c r="J384" s="466"/>
      <c r="K384" s="466"/>
      <c r="L384" s="466"/>
      <c r="M384" s="466"/>
      <c r="N384" s="466"/>
      <c r="O384" s="466"/>
      <c r="P384" s="467"/>
      <c r="Q384" s="468"/>
      <c r="R384" s="469"/>
      <c r="T384" s="305"/>
      <c r="U384" s="305"/>
      <c r="W384" s="268"/>
      <c r="X384" s="305"/>
      <c r="Z384" s="268"/>
      <c r="AA384" s="305"/>
      <c r="AC384" s="268"/>
      <c r="AD384" s="305"/>
      <c r="AF384" s="268"/>
      <c r="AG384" s="305"/>
      <c r="AI384" s="268"/>
      <c r="AJ384" s="305"/>
      <c r="AL384" s="268"/>
      <c r="AM384" s="305"/>
    </row>
    <row r="385" spans="1:39" s="267" customFormat="1" x14ac:dyDescent="0.2">
      <c r="A385" s="308" t="s">
        <v>69</v>
      </c>
      <c r="B385" s="320" t="s">
        <v>737</v>
      </c>
      <c r="C385" s="290">
        <f>(W385+X385)*$C$3</f>
        <v>4</v>
      </c>
      <c r="D385" s="290">
        <f>C385*$Q385</f>
        <v>0</v>
      </c>
      <c r="E385" s="290">
        <f>(Z385+AA385)*$E$3</f>
        <v>5</v>
      </c>
      <c r="F385" s="290">
        <f>E385*$Q385</f>
        <v>0</v>
      </c>
      <c r="G385" s="290">
        <f>(AC385+AD385)*$G$3</f>
        <v>30</v>
      </c>
      <c r="H385" s="290">
        <f>G385*$Q385</f>
        <v>0</v>
      </c>
      <c r="I385" s="290">
        <f>(AF385+AG385)*$I$3</f>
        <v>7</v>
      </c>
      <c r="J385" s="290">
        <f>I385*$Q385</f>
        <v>0</v>
      </c>
      <c r="K385" s="290">
        <f>(AI385+AJ385)*$K$3</f>
        <v>24</v>
      </c>
      <c r="L385" s="290">
        <f>K385*$Q385</f>
        <v>0</v>
      </c>
      <c r="M385" s="290">
        <f>(AL385+AM385)*$M$3</f>
        <v>9</v>
      </c>
      <c r="N385" s="290">
        <f>M385*$Q385</f>
        <v>0</v>
      </c>
      <c r="O385" s="290">
        <f>C385+E385+G385+I385+K385+M385</f>
        <v>79</v>
      </c>
      <c r="P385" s="261" t="s">
        <v>269</v>
      </c>
      <c r="Q385" s="262"/>
      <c r="R385" s="435">
        <f>O385*Q385</f>
        <v>0</v>
      </c>
      <c r="T385" s="305">
        <v>1</v>
      </c>
      <c r="U385" s="266">
        <v>1</v>
      </c>
      <c r="W385" s="268">
        <f>T385*$W$3</f>
        <v>2</v>
      </c>
      <c r="X385" s="266">
        <f>U385*$X$3</f>
        <v>2</v>
      </c>
      <c r="Z385" s="268">
        <f>W385</f>
        <v>2</v>
      </c>
      <c r="AA385" s="266">
        <f>U385*$AA$3</f>
        <v>3</v>
      </c>
      <c r="AC385" s="268">
        <f>W385</f>
        <v>2</v>
      </c>
      <c r="AD385" s="266">
        <f>U385*$AD$3</f>
        <v>4</v>
      </c>
      <c r="AF385" s="268">
        <f>W385</f>
        <v>2</v>
      </c>
      <c r="AG385" s="266">
        <f>U385*$AG$3</f>
        <v>5</v>
      </c>
      <c r="AI385" s="268">
        <f>W385</f>
        <v>2</v>
      </c>
      <c r="AJ385" s="266">
        <f>U385*$AJ$3</f>
        <v>6</v>
      </c>
      <c r="AL385" s="268">
        <f>W385</f>
        <v>2</v>
      </c>
      <c r="AM385" s="266">
        <f>U385*$AM$3</f>
        <v>7</v>
      </c>
    </row>
    <row r="386" spans="1:39" s="267" customFormat="1" x14ac:dyDescent="0.2">
      <c r="A386" s="308"/>
      <c r="B386" s="271"/>
      <c r="C386" s="290"/>
      <c r="D386" s="290"/>
      <c r="E386" s="290"/>
      <c r="F386" s="290"/>
      <c r="G386" s="290"/>
      <c r="H386" s="290"/>
      <c r="I386" s="290"/>
      <c r="J386" s="290"/>
      <c r="K386" s="290"/>
      <c r="L386" s="290"/>
      <c r="M386" s="290"/>
      <c r="N386" s="290"/>
      <c r="O386" s="290"/>
      <c r="P386" s="261"/>
      <c r="Q386" s="262"/>
      <c r="R386" s="435"/>
      <c r="T386" s="305"/>
      <c r="U386" s="305"/>
      <c r="W386" s="268"/>
      <c r="X386" s="305"/>
      <c r="Z386" s="268"/>
      <c r="AA386" s="305"/>
      <c r="AC386" s="268"/>
      <c r="AD386" s="305"/>
      <c r="AF386" s="268"/>
      <c r="AG386" s="305"/>
      <c r="AI386" s="268"/>
      <c r="AJ386" s="305"/>
      <c r="AL386" s="268"/>
      <c r="AM386" s="305"/>
    </row>
    <row r="387" spans="1:39" s="267" customFormat="1" ht="28.5" x14ac:dyDescent="0.2">
      <c r="A387" s="292"/>
      <c r="B387" s="293" t="s">
        <v>688</v>
      </c>
      <c r="C387" s="290"/>
      <c r="D387" s="290"/>
      <c r="E387" s="290"/>
      <c r="F387" s="290"/>
      <c r="G387" s="290"/>
      <c r="H387" s="290"/>
      <c r="I387" s="290"/>
      <c r="J387" s="290"/>
      <c r="K387" s="290"/>
      <c r="L387" s="290"/>
      <c r="M387" s="290"/>
      <c r="N387" s="290"/>
      <c r="O387" s="290"/>
      <c r="P387" s="261"/>
      <c r="Q387" s="294"/>
      <c r="R387" s="435"/>
      <c r="T387" s="266"/>
      <c r="U387" s="266"/>
      <c r="W387" s="268"/>
      <c r="X387" s="266"/>
      <c r="Z387" s="268"/>
      <c r="AA387" s="266"/>
      <c r="AC387" s="268"/>
      <c r="AD387" s="266"/>
      <c r="AF387" s="268"/>
      <c r="AG387" s="266"/>
      <c r="AI387" s="268"/>
      <c r="AJ387" s="266"/>
      <c r="AL387" s="268"/>
      <c r="AM387" s="266"/>
    </row>
    <row r="388" spans="1:39" s="267" customFormat="1" x14ac:dyDescent="0.2">
      <c r="A388" s="283"/>
      <c r="B388" s="269"/>
      <c r="C388" s="290"/>
      <c r="D388" s="290"/>
      <c r="E388" s="290"/>
      <c r="F388" s="290"/>
      <c r="G388" s="290"/>
      <c r="H388" s="290"/>
      <c r="I388" s="290"/>
      <c r="J388" s="290"/>
      <c r="K388" s="290"/>
      <c r="L388" s="290"/>
      <c r="M388" s="290"/>
      <c r="N388" s="290"/>
      <c r="O388" s="290"/>
      <c r="P388" s="295"/>
      <c r="Q388" s="262"/>
      <c r="R388" s="435"/>
      <c r="S388" s="286"/>
      <c r="T388" s="169"/>
      <c r="U388" s="169"/>
      <c r="W388" s="296"/>
      <c r="X388" s="169"/>
      <c r="Z388" s="296"/>
      <c r="AA388" s="169"/>
      <c r="AC388" s="296"/>
      <c r="AD388" s="169"/>
      <c r="AF388" s="296"/>
      <c r="AG388" s="169"/>
      <c r="AI388" s="296"/>
      <c r="AJ388" s="169"/>
      <c r="AL388" s="296"/>
      <c r="AM388" s="169"/>
    </row>
    <row r="389" spans="1:39" s="267" customFormat="1" ht="15" x14ac:dyDescent="0.25">
      <c r="A389" s="359" t="s">
        <v>70</v>
      </c>
      <c r="B389" s="264" t="s">
        <v>738</v>
      </c>
      <c r="C389" s="290"/>
      <c r="D389" s="290"/>
      <c r="E389" s="290"/>
      <c r="F389" s="290"/>
      <c r="G389" s="290"/>
      <c r="H389" s="290"/>
      <c r="I389" s="290"/>
      <c r="J389" s="290"/>
      <c r="K389" s="290"/>
      <c r="L389" s="290"/>
      <c r="M389" s="290"/>
      <c r="N389" s="290"/>
      <c r="O389" s="290">
        <f>C389+E389+G389+I389+K389+M389</f>
        <v>0</v>
      </c>
      <c r="P389" s="460" t="s">
        <v>5</v>
      </c>
      <c r="Q389" s="262"/>
      <c r="R389" s="435">
        <f>O389*Q389</f>
        <v>0</v>
      </c>
      <c r="S389" s="297"/>
      <c r="T389" s="305">
        <v>1</v>
      </c>
      <c r="U389" s="299">
        <v>1</v>
      </c>
      <c r="W389" s="298">
        <f>T389*$W$3</f>
        <v>2</v>
      </c>
      <c r="X389" s="299">
        <f>U389*$X$3</f>
        <v>2</v>
      </c>
      <c r="Z389" s="298">
        <f>W389</f>
        <v>2</v>
      </c>
      <c r="AA389" s="299">
        <f>U389*$AA$3</f>
        <v>3</v>
      </c>
      <c r="AC389" s="298">
        <f>W389</f>
        <v>2</v>
      </c>
      <c r="AD389" s="299">
        <f>U389*$AD$3</f>
        <v>4</v>
      </c>
      <c r="AF389" s="298">
        <f>W389</f>
        <v>2</v>
      </c>
      <c r="AG389" s="299">
        <f>U389*$AG$3</f>
        <v>5</v>
      </c>
      <c r="AI389" s="298">
        <f>W389</f>
        <v>2</v>
      </c>
      <c r="AJ389" s="299">
        <f>U389*$AJ$3</f>
        <v>6</v>
      </c>
      <c r="AL389" s="298">
        <f>W389</f>
        <v>2</v>
      </c>
      <c r="AM389" s="299">
        <f>U389*$AM$3</f>
        <v>7</v>
      </c>
    </row>
    <row r="390" spans="1:39" s="267" customFormat="1" x14ac:dyDescent="0.2">
      <c r="A390" s="308"/>
      <c r="B390" s="320"/>
      <c r="C390" s="290"/>
      <c r="D390" s="290"/>
      <c r="E390" s="290"/>
      <c r="F390" s="290"/>
      <c r="G390" s="290"/>
      <c r="H390" s="290"/>
      <c r="I390" s="290"/>
      <c r="J390" s="290"/>
      <c r="K390" s="290"/>
      <c r="L390" s="290"/>
      <c r="M390" s="290"/>
      <c r="N390" s="290"/>
      <c r="O390" s="290"/>
      <c r="P390" s="261"/>
      <c r="Q390" s="262"/>
      <c r="R390" s="435"/>
      <c r="T390" s="305"/>
      <c r="U390" s="305"/>
      <c r="W390" s="268"/>
      <c r="X390" s="305"/>
      <c r="Z390" s="268"/>
      <c r="AA390" s="305"/>
      <c r="AC390" s="268"/>
      <c r="AD390" s="305"/>
      <c r="AF390" s="268"/>
      <c r="AG390" s="305"/>
      <c r="AI390" s="268"/>
      <c r="AJ390" s="305"/>
      <c r="AL390" s="268"/>
      <c r="AM390" s="305"/>
    </row>
    <row r="391" spans="1:39" s="267" customFormat="1" x14ac:dyDescent="0.2">
      <c r="A391" s="308"/>
      <c r="B391" s="259"/>
      <c r="C391" s="290"/>
      <c r="D391" s="290"/>
      <c r="E391" s="290"/>
      <c r="F391" s="290"/>
      <c r="G391" s="290"/>
      <c r="H391" s="290"/>
      <c r="I391" s="290"/>
      <c r="J391" s="290"/>
      <c r="K391" s="290"/>
      <c r="L391" s="290"/>
      <c r="M391" s="290"/>
      <c r="N391" s="290"/>
      <c r="O391" s="290"/>
      <c r="P391" s="261"/>
      <c r="Q391" s="262"/>
      <c r="R391" s="435"/>
      <c r="T391" s="305"/>
      <c r="U391" s="305"/>
      <c r="W391" s="268"/>
      <c r="X391" s="305"/>
      <c r="Z391" s="268"/>
      <c r="AA391" s="305"/>
      <c r="AC391" s="268"/>
      <c r="AD391" s="305"/>
      <c r="AF391" s="268"/>
      <c r="AG391" s="305"/>
      <c r="AI391" s="268"/>
      <c r="AJ391" s="305"/>
      <c r="AL391" s="268"/>
      <c r="AM391" s="305"/>
    </row>
    <row r="392" spans="1:39" s="267" customFormat="1" x14ac:dyDescent="0.2">
      <c r="A392" s="308"/>
      <c r="B392" s="396"/>
      <c r="C392" s="290"/>
      <c r="D392" s="290"/>
      <c r="E392" s="290"/>
      <c r="F392" s="290"/>
      <c r="G392" s="290"/>
      <c r="H392" s="290"/>
      <c r="I392" s="290"/>
      <c r="J392" s="290"/>
      <c r="K392" s="290"/>
      <c r="L392" s="290"/>
      <c r="M392" s="290"/>
      <c r="N392" s="290"/>
      <c r="O392" s="290"/>
      <c r="P392" s="261"/>
      <c r="Q392" s="262"/>
      <c r="R392" s="435"/>
      <c r="T392" s="305"/>
      <c r="U392" s="305"/>
      <c r="W392" s="268"/>
      <c r="X392" s="305"/>
      <c r="Z392" s="268"/>
      <c r="AA392" s="305"/>
      <c r="AC392" s="268"/>
      <c r="AD392" s="305"/>
      <c r="AF392" s="268"/>
      <c r="AG392" s="305"/>
      <c r="AI392" s="268"/>
      <c r="AJ392" s="305"/>
      <c r="AL392" s="268"/>
      <c r="AM392" s="305"/>
    </row>
    <row r="393" spans="1:39" s="267" customFormat="1" x14ac:dyDescent="0.2">
      <c r="A393" s="308"/>
      <c r="B393" s="396"/>
      <c r="C393" s="290"/>
      <c r="D393" s="290"/>
      <c r="E393" s="290"/>
      <c r="F393" s="290"/>
      <c r="G393" s="290"/>
      <c r="H393" s="290"/>
      <c r="I393" s="290"/>
      <c r="J393" s="290"/>
      <c r="K393" s="290"/>
      <c r="L393" s="290"/>
      <c r="M393" s="290"/>
      <c r="N393" s="290"/>
      <c r="O393" s="290"/>
      <c r="P393" s="261"/>
      <c r="Q393" s="262"/>
      <c r="R393" s="435"/>
      <c r="T393" s="305"/>
      <c r="U393" s="305"/>
      <c r="W393" s="268"/>
      <c r="X393" s="305"/>
      <c r="Z393" s="268"/>
      <c r="AA393" s="305"/>
      <c r="AC393" s="268"/>
      <c r="AD393" s="305"/>
      <c r="AF393" s="268"/>
      <c r="AG393" s="305"/>
      <c r="AI393" s="268"/>
      <c r="AJ393" s="305"/>
      <c r="AL393" s="268"/>
      <c r="AM393" s="305"/>
    </row>
    <row r="394" spans="1:39" s="267" customFormat="1" x14ac:dyDescent="0.2">
      <c r="A394" s="308"/>
      <c r="B394" s="396"/>
      <c r="C394" s="290"/>
      <c r="D394" s="290"/>
      <c r="E394" s="290"/>
      <c r="F394" s="290"/>
      <c r="G394" s="290"/>
      <c r="H394" s="290"/>
      <c r="I394" s="290"/>
      <c r="J394" s="290"/>
      <c r="K394" s="290"/>
      <c r="L394" s="290"/>
      <c r="M394" s="290"/>
      <c r="N394" s="290"/>
      <c r="O394" s="290"/>
      <c r="P394" s="261"/>
      <c r="Q394" s="262"/>
      <c r="R394" s="435"/>
      <c r="T394" s="305"/>
      <c r="U394" s="305"/>
      <c r="W394" s="268"/>
      <c r="X394" s="305"/>
      <c r="Z394" s="268"/>
      <c r="AA394" s="305"/>
      <c r="AC394" s="268"/>
      <c r="AD394" s="305"/>
      <c r="AF394" s="268"/>
      <c r="AG394" s="305"/>
      <c r="AI394" s="268"/>
      <c r="AJ394" s="305"/>
      <c r="AL394" s="268"/>
      <c r="AM394" s="305"/>
    </row>
    <row r="395" spans="1:39" s="267" customFormat="1" x14ac:dyDescent="0.2">
      <c r="A395" s="308"/>
      <c r="B395" s="396"/>
      <c r="C395" s="290"/>
      <c r="D395" s="290"/>
      <c r="E395" s="290"/>
      <c r="F395" s="290"/>
      <c r="G395" s="290"/>
      <c r="H395" s="290"/>
      <c r="I395" s="290"/>
      <c r="J395" s="290"/>
      <c r="K395" s="290"/>
      <c r="L395" s="290"/>
      <c r="M395" s="290"/>
      <c r="N395" s="290"/>
      <c r="O395" s="290"/>
      <c r="P395" s="261"/>
      <c r="Q395" s="262"/>
      <c r="R395" s="435"/>
      <c r="T395" s="305"/>
      <c r="U395" s="305"/>
      <c r="W395" s="268"/>
      <c r="X395" s="305"/>
      <c r="Z395" s="268"/>
      <c r="AA395" s="305"/>
      <c r="AC395" s="268"/>
      <c r="AD395" s="305"/>
      <c r="AF395" s="268"/>
      <c r="AG395" s="305"/>
      <c r="AI395" s="268"/>
      <c r="AJ395" s="305"/>
      <c r="AL395" s="268"/>
      <c r="AM395" s="305"/>
    </row>
    <row r="396" spans="1:39" s="267" customFormat="1" x14ac:dyDescent="0.2">
      <c r="A396" s="308"/>
      <c r="B396" s="396"/>
      <c r="C396" s="290"/>
      <c r="D396" s="290"/>
      <c r="E396" s="290"/>
      <c r="F396" s="290"/>
      <c r="G396" s="290"/>
      <c r="H396" s="290"/>
      <c r="I396" s="290"/>
      <c r="J396" s="290"/>
      <c r="K396" s="290"/>
      <c r="L396" s="290"/>
      <c r="M396" s="290"/>
      <c r="N396" s="290"/>
      <c r="O396" s="290"/>
      <c r="P396" s="261"/>
      <c r="Q396" s="262"/>
      <c r="R396" s="435"/>
      <c r="T396" s="305"/>
      <c r="U396" s="305"/>
      <c r="W396" s="268"/>
      <c r="X396" s="305"/>
      <c r="Z396" s="268"/>
      <c r="AA396" s="305"/>
      <c r="AC396" s="268"/>
      <c r="AD396" s="305"/>
      <c r="AF396" s="268"/>
      <c r="AG396" s="305"/>
      <c r="AI396" s="268"/>
      <c r="AJ396" s="305"/>
      <c r="AL396" s="268"/>
      <c r="AM396" s="305"/>
    </row>
    <row r="397" spans="1:39" s="267" customFormat="1" x14ac:dyDescent="0.2">
      <c r="A397" s="308"/>
      <c r="B397" s="396"/>
      <c r="C397" s="290"/>
      <c r="D397" s="290"/>
      <c r="E397" s="290"/>
      <c r="F397" s="290"/>
      <c r="G397" s="290"/>
      <c r="H397" s="290"/>
      <c r="I397" s="290"/>
      <c r="J397" s="290"/>
      <c r="K397" s="290"/>
      <c r="L397" s="290"/>
      <c r="M397" s="290"/>
      <c r="N397" s="290"/>
      <c r="O397" s="290"/>
      <c r="P397" s="261"/>
      <c r="Q397" s="262"/>
      <c r="R397" s="435"/>
      <c r="T397" s="305"/>
      <c r="U397" s="305"/>
      <c r="W397" s="268"/>
      <c r="X397" s="305"/>
      <c r="Z397" s="268"/>
      <c r="AA397" s="305"/>
      <c r="AC397" s="268"/>
      <c r="AD397" s="305"/>
      <c r="AF397" s="268"/>
      <c r="AG397" s="305"/>
      <c r="AI397" s="268"/>
      <c r="AJ397" s="305"/>
      <c r="AL397" s="268"/>
      <c r="AM397" s="305"/>
    </row>
    <row r="398" spans="1:39" s="267" customFormat="1" x14ac:dyDescent="0.2">
      <c r="A398" s="308"/>
      <c r="B398" s="396"/>
      <c r="C398" s="290"/>
      <c r="D398" s="290"/>
      <c r="E398" s="290"/>
      <c r="F398" s="290"/>
      <c r="G398" s="290"/>
      <c r="H398" s="290"/>
      <c r="I398" s="290"/>
      <c r="J398" s="290"/>
      <c r="K398" s="290"/>
      <c r="L398" s="290"/>
      <c r="M398" s="290"/>
      <c r="N398" s="290"/>
      <c r="O398" s="290"/>
      <c r="P398" s="261"/>
      <c r="Q398" s="262"/>
      <c r="R398" s="435"/>
      <c r="T398" s="305"/>
      <c r="U398" s="305"/>
      <c r="W398" s="268"/>
      <c r="X398" s="305"/>
      <c r="Z398" s="268"/>
      <c r="AA398" s="305"/>
      <c r="AC398" s="268"/>
      <c r="AD398" s="305"/>
      <c r="AF398" s="268"/>
      <c r="AG398" s="305"/>
      <c r="AI398" s="268"/>
      <c r="AJ398" s="305"/>
      <c r="AL398" s="268"/>
      <c r="AM398" s="305"/>
    </row>
    <row r="399" spans="1:39" s="267" customFormat="1" x14ac:dyDescent="0.2">
      <c r="A399" s="308"/>
      <c r="B399" s="396"/>
      <c r="C399" s="290"/>
      <c r="D399" s="290"/>
      <c r="E399" s="290"/>
      <c r="F399" s="290"/>
      <c r="G399" s="290"/>
      <c r="H399" s="290"/>
      <c r="I399" s="290"/>
      <c r="J399" s="290"/>
      <c r="K399" s="290"/>
      <c r="L399" s="290"/>
      <c r="M399" s="290"/>
      <c r="N399" s="290"/>
      <c r="O399" s="290"/>
      <c r="P399" s="261"/>
      <c r="Q399" s="262"/>
      <c r="R399" s="435"/>
      <c r="T399" s="305"/>
      <c r="U399" s="305"/>
      <c r="W399" s="268"/>
      <c r="X399" s="305"/>
      <c r="Z399" s="268"/>
      <c r="AA399" s="305"/>
      <c r="AC399" s="268"/>
      <c r="AD399" s="305"/>
      <c r="AF399" s="268"/>
      <c r="AG399" s="305"/>
      <c r="AI399" s="268"/>
      <c r="AJ399" s="305"/>
      <c r="AL399" s="268"/>
      <c r="AM399" s="305"/>
    </row>
    <row r="400" spans="1:39" s="267" customFormat="1" x14ac:dyDescent="0.2">
      <c r="A400" s="308"/>
      <c r="B400" s="396"/>
      <c r="C400" s="290"/>
      <c r="D400" s="290"/>
      <c r="E400" s="290"/>
      <c r="F400" s="290"/>
      <c r="G400" s="290"/>
      <c r="H400" s="290"/>
      <c r="I400" s="290"/>
      <c r="J400" s="290"/>
      <c r="K400" s="290"/>
      <c r="L400" s="290"/>
      <c r="M400" s="290"/>
      <c r="N400" s="290"/>
      <c r="O400" s="290"/>
      <c r="P400" s="261"/>
      <c r="Q400" s="262"/>
      <c r="R400" s="435"/>
      <c r="T400" s="305"/>
      <c r="U400" s="305"/>
      <c r="W400" s="268"/>
      <c r="X400" s="305"/>
      <c r="Z400" s="268"/>
      <c r="AA400" s="305"/>
      <c r="AC400" s="268"/>
      <c r="AD400" s="305"/>
      <c r="AF400" s="268"/>
      <c r="AG400" s="305"/>
      <c r="AI400" s="268"/>
      <c r="AJ400" s="305"/>
      <c r="AL400" s="268"/>
      <c r="AM400" s="305"/>
    </row>
    <row r="401" spans="1:39" s="267" customFormat="1" x14ac:dyDescent="0.2">
      <c r="A401" s="308"/>
      <c r="B401" s="396"/>
      <c r="C401" s="290"/>
      <c r="D401" s="290"/>
      <c r="E401" s="290"/>
      <c r="F401" s="290"/>
      <c r="G401" s="290"/>
      <c r="H401" s="290"/>
      <c r="I401" s="290"/>
      <c r="J401" s="290"/>
      <c r="K401" s="290"/>
      <c r="L401" s="290"/>
      <c r="M401" s="290"/>
      <c r="N401" s="290"/>
      <c r="O401" s="290"/>
      <c r="P401" s="261"/>
      <c r="Q401" s="262"/>
      <c r="R401" s="435"/>
      <c r="T401" s="305"/>
      <c r="U401" s="305"/>
      <c r="W401" s="268"/>
      <c r="X401" s="305"/>
      <c r="Z401" s="268"/>
      <c r="AA401" s="305"/>
      <c r="AC401" s="268"/>
      <c r="AD401" s="305"/>
      <c r="AF401" s="268"/>
      <c r="AG401" s="305"/>
      <c r="AI401" s="268"/>
      <c r="AJ401" s="305"/>
      <c r="AL401" s="268"/>
      <c r="AM401" s="305"/>
    </row>
    <row r="402" spans="1:39" s="267" customFormat="1" x14ac:dyDescent="0.2">
      <c r="A402" s="308"/>
      <c r="B402" s="320"/>
      <c r="C402" s="290"/>
      <c r="D402" s="290"/>
      <c r="E402" s="290"/>
      <c r="F402" s="290"/>
      <c r="G402" s="290"/>
      <c r="H402" s="290"/>
      <c r="I402" s="290"/>
      <c r="J402" s="290"/>
      <c r="K402" s="290"/>
      <c r="L402" s="290"/>
      <c r="M402" s="290"/>
      <c r="N402" s="290"/>
      <c r="O402" s="290"/>
      <c r="P402" s="261"/>
      <c r="Q402" s="262"/>
      <c r="R402" s="435"/>
      <c r="T402" s="305"/>
      <c r="U402" s="305"/>
      <c r="W402" s="268"/>
      <c r="X402" s="305"/>
      <c r="Z402" s="268"/>
      <c r="AA402" s="305"/>
      <c r="AC402" s="268"/>
      <c r="AD402" s="305"/>
      <c r="AF402" s="268"/>
      <c r="AG402" s="305"/>
      <c r="AI402" s="268"/>
      <c r="AJ402" s="305"/>
      <c r="AL402" s="268"/>
      <c r="AM402" s="305"/>
    </row>
    <row r="403" spans="1:39" s="267" customFormat="1" x14ac:dyDescent="0.2">
      <c r="A403" s="375"/>
      <c r="B403" s="376"/>
      <c r="C403" s="377"/>
      <c r="D403" s="377"/>
      <c r="E403" s="377"/>
      <c r="F403" s="377"/>
      <c r="G403" s="377"/>
      <c r="H403" s="377"/>
      <c r="I403" s="377"/>
      <c r="J403" s="377"/>
      <c r="K403" s="377"/>
      <c r="L403" s="377"/>
      <c r="M403" s="377"/>
      <c r="N403" s="377"/>
      <c r="O403" s="377"/>
      <c r="P403" s="377"/>
      <c r="Q403" s="378"/>
      <c r="R403" s="441"/>
      <c r="T403" s="306"/>
      <c r="U403" s="313"/>
      <c r="W403" s="275"/>
      <c r="X403" s="306"/>
      <c r="Z403" s="275"/>
      <c r="AA403" s="306"/>
      <c r="AC403" s="275"/>
      <c r="AD403" s="306"/>
      <c r="AF403" s="275"/>
      <c r="AG403" s="306"/>
      <c r="AI403" s="275"/>
      <c r="AJ403" s="306"/>
      <c r="AL403" s="275"/>
      <c r="AM403" s="306"/>
    </row>
    <row r="404" spans="1:39" s="267" customFormat="1" x14ac:dyDescent="0.2">
      <c r="A404" s="380"/>
      <c r="B404" s="320"/>
      <c r="C404" s="550"/>
      <c r="D404" s="550"/>
      <c r="E404" s="550"/>
      <c r="F404" s="550"/>
      <c r="G404" s="550"/>
      <c r="H404" s="550"/>
      <c r="I404" s="550"/>
      <c r="J404" s="550"/>
      <c r="K404" s="550"/>
      <c r="L404" s="550"/>
      <c r="M404" s="550"/>
      <c r="N404" s="550"/>
      <c r="O404" s="550"/>
      <c r="P404" s="550"/>
      <c r="Q404" s="381" t="s">
        <v>0</v>
      </c>
      <c r="R404" s="435">
        <f>SUM(R366:R402)</f>
        <v>0</v>
      </c>
      <c r="S404" s="314"/>
      <c r="T404" s="305"/>
      <c r="U404" s="315"/>
      <c r="W404" s="268"/>
      <c r="X404" s="305"/>
      <c r="Z404" s="268"/>
      <c r="AA404" s="305"/>
      <c r="AC404" s="268"/>
      <c r="AD404" s="305"/>
      <c r="AF404" s="268"/>
      <c r="AG404" s="305"/>
      <c r="AI404" s="268"/>
      <c r="AJ404" s="305"/>
      <c r="AL404" s="268"/>
      <c r="AM404" s="305"/>
    </row>
    <row r="405" spans="1:39" s="267" customFormat="1" x14ac:dyDescent="0.2">
      <c r="A405" s="380"/>
      <c r="B405" s="320"/>
      <c r="C405" s="309"/>
      <c r="D405" s="309"/>
      <c r="E405" s="309"/>
      <c r="F405" s="309"/>
      <c r="G405" s="309"/>
      <c r="H405" s="309"/>
      <c r="I405" s="309"/>
      <c r="J405" s="309"/>
      <c r="K405" s="309"/>
      <c r="L405" s="309"/>
      <c r="M405" s="309"/>
      <c r="N405" s="309"/>
      <c r="O405" s="309"/>
      <c r="P405" s="309"/>
      <c r="Q405" s="294"/>
      <c r="R405" s="458"/>
      <c r="T405" s="316"/>
      <c r="U405" s="317"/>
      <c r="W405" s="280"/>
      <c r="X405" s="316"/>
      <c r="Z405" s="280"/>
      <c r="AA405" s="316"/>
      <c r="AC405" s="280"/>
      <c r="AD405" s="316"/>
      <c r="AF405" s="280"/>
      <c r="AG405" s="316"/>
      <c r="AI405" s="280"/>
      <c r="AJ405" s="316"/>
      <c r="AL405" s="280"/>
      <c r="AM405" s="316"/>
    </row>
    <row r="406" spans="1:39" s="267" customFormat="1" x14ac:dyDescent="0.2">
      <c r="A406" s="308"/>
      <c r="B406" s="320"/>
      <c r="C406" s="290"/>
      <c r="D406" s="290"/>
      <c r="E406" s="290"/>
      <c r="F406" s="290"/>
      <c r="G406" s="290"/>
      <c r="H406" s="290"/>
      <c r="I406" s="290"/>
      <c r="J406" s="290"/>
      <c r="K406" s="290"/>
      <c r="L406" s="290"/>
      <c r="M406" s="290"/>
      <c r="N406" s="290"/>
      <c r="O406" s="290"/>
      <c r="P406" s="261"/>
      <c r="Q406" s="262"/>
      <c r="R406" s="435"/>
      <c r="T406" s="305"/>
      <c r="U406" s="305"/>
      <c r="W406" s="268"/>
      <c r="X406" s="305"/>
      <c r="Z406" s="268"/>
      <c r="AA406" s="305"/>
      <c r="AC406" s="268"/>
      <c r="AD406" s="305"/>
      <c r="AF406" s="268"/>
      <c r="AG406" s="305"/>
      <c r="AI406" s="268"/>
      <c r="AJ406" s="305"/>
      <c r="AL406" s="268"/>
      <c r="AM406" s="305"/>
    </row>
    <row r="407" spans="1:39" s="267" customFormat="1" x14ac:dyDescent="0.2">
      <c r="A407" s="283"/>
      <c r="B407" s="265" t="s">
        <v>255</v>
      </c>
      <c r="C407" s="290"/>
      <c r="D407" s="290"/>
      <c r="E407" s="290"/>
      <c r="F407" s="290"/>
      <c r="G407" s="290"/>
      <c r="H407" s="290"/>
      <c r="I407" s="290"/>
      <c r="J407" s="290"/>
      <c r="K407" s="290"/>
      <c r="L407" s="290"/>
      <c r="M407" s="290"/>
      <c r="N407" s="290"/>
      <c r="O407" s="290"/>
      <c r="P407" s="261"/>
      <c r="Q407" s="262"/>
      <c r="R407" s="435"/>
      <c r="T407" s="305"/>
      <c r="U407" s="305"/>
      <c r="W407" s="268"/>
      <c r="X407" s="305"/>
      <c r="Z407" s="268"/>
      <c r="AA407" s="305"/>
      <c r="AC407" s="268"/>
      <c r="AD407" s="305"/>
      <c r="AF407" s="268"/>
      <c r="AG407" s="305"/>
      <c r="AI407" s="268"/>
      <c r="AJ407" s="305"/>
      <c r="AL407" s="268"/>
      <c r="AM407" s="305"/>
    </row>
    <row r="408" spans="1:39" s="267" customFormat="1" x14ac:dyDescent="0.2">
      <c r="A408" s="283"/>
      <c r="B408" s="269"/>
      <c r="C408" s="290"/>
      <c r="D408" s="290"/>
      <c r="E408" s="290"/>
      <c r="F408" s="290"/>
      <c r="G408" s="290"/>
      <c r="H408" s="290"/>
      <c r="I408" s="290"/>
      <c r="J408" s="290"/>
      <c r="K408" s="290"/>
      <c r="L408" s="290"/>
      <c r="M408" s="290"/>
      <c r="N408" s="290"/>
      <c r="O408" s="290"/>
      <c r="P408" s="261"/>
      <c r="Q408" s="262"/>
      <c r="R408" s="435"/>
      <c r="T408" s="305"/>
      <c r="U408" s="305"/>
      <c r="W408" s="268"/>
      <c r="X408" s="305"/>
      <c r="Z408" s="268"/>
      <c r="AA408" s="305"/>
      <c r="AC408" s="268"/>
      <c r="AD408" s="305"/>
      <c r="AF408" s="268"/>
      <c r="AG408" s="305"/>
      <c r="AI408" s="268"/>
      <c r="AJ408" s="305"/>
      <c r="AL408" s="268"/>
      <c r="AM408" s="305"/>
    </row>
    <row r="409" spans="1:39" s="267" customFormat="1" ht="31.5" customHeight="1" x14ac:dyDescent="0.2">
      <c r="A409" s="283"/>
      <c r="B409" s="265" t="s">
        <v>739</v>
      </c>
      <c r="C409" s="290"/>
      <c r="D409" s="290"/>
      <c r="E409" s="290"/>
      <c r="F409" s="290"/>
      <c r="G409" s="290"/>
      <c r="H409" s="290"/>
      <c r="I409" s="290"/>
      <c r="J409" s="290"/>
      <c r="K409" s="290"/>
      <c r="L409" s="290"/>
      <c r="M409" s="290"/>
      <c r="N409" s="290"/>
      <c r="O409" s="290"/>
      <c r="P409" s="261"/>
      <c r="Q409" s="262"/>
      <c r="R409" s="435"/>
      <c r="T409" s="305"/>
      <c r="U409" s="305"/>
      <c r="W409" s="268"/>
      <c r="X409" s="305"/>
      <c r="Z409" s="268"/>
      <c r="AA409" s="305"/>
      <c r="AC409" s="268"/>
      <c r="AD409" s="305"/>
      <c r="AF409" s="268"/>
      <c r="AG409" s="305"/>
      <c r="AI409" s="268"/>
      <c r="AJ409" s="305"/>
      <c r="AL409" s="268"/>
      <c r="AM409" s="305"/>
    </row>
    <row r="410" spans="1:39" s="267" customFormat="1" x14ac:dyDescent="0.2">
      <c r="A410" s="283"/>
      <c r="B410" s="269"/>
      <c r="C410" s="290"/>
      <c r="D410" s="290"/>
      <c r="E410" s="290"/>
      <c r="F410" s="290"/>
      <c r="G410" s="290"/>
      <c r="H410" s="290"/>
      <c r="I410" s="290"/>
      <c r="J410" s="290"/>
      <c r="K410" s="290"/>
      <c r="L410" s="290"/>
      <c r="M410" s="290"/>
      <c r="N410" s="290"/>
      <c r="O410" s="290"/>
      <c r="P410" s="261"/>
      <c r="Q410" s="262"/>
      <c r="R410" s="435"/>
      <c r="T410" s="305"/>
      <c r="U410" s="305"/>
      <c r="W410" s="268"/>
      <c r="X410" s="305"/>
      <c r="Z410" s="268"/>
      <c r="AA410" s="305"/>
      <c r="AC410" s="268"/>
      <c r="AD410" s="305"/>
      <c r="AF410" s="268"/>
      <c r="AG410" s="305"/>
      <c r="AI410" s="268"/>
      <c r="AJ410" s="305"/>
      <c r="AL410" s="268"/>
      <c r="AM410" s="305"/>
    </row>
    <row r="411" spans="1:39" s="267" customFormat="1" x14ac:dyDescent="0.2">
      <c r="A411" s="283"/>
      <c r="B411" s="265" t="s">
        <v>213</v>
      </c>
      <c r="C411" s="290"/>
      <c r="D411" s="290"/>
      <c r="E411" s="290"/>
      <c r="F411" s="290"/>
      <c r="G411" s="290"/>
      <c r="H411" s="290"/>
      <c r="I411" s="290"/>
      <c r="J411" s="290"/>
      <c r="K411" s="290"/>
      <c r="L411" s="290"/>
      <c r="M411" s="290"/>
      <c r="N411" s="290"/>
      <c r="O411" s="290"/>
      <c r="P411" s="261"/>
      <c r="Q411" s="262"/>
      <c r="R411" s="435"/>
      <c r="T411" s="305"/>
      <c r="U411" s="305"/>
      <c r="W411" s="268"/>
      <c r="X411" s="305"/>
      <c r="Z411" s="268"/>
      <c r="AA411" s="305"/>
      <c r="AC411" s="268"/>
      <c r="AD411" s="305"/>
      <c r="AF411" s="268"/>
      <c r="AG411" s="305"/>
      <c r="AI411" s="268"/>
      <c r="AJ411" s="305"/>
      <c r="AL411" s="268"/>
      <c r="AM411" s="305"/>
    </row>
    <row r="412" spans="1:39" s="267" customFormat="1" x14ac:dyDescent="0.2">
      <c r="A412" s="283"/>
      <c r="B412" s="269"/>
      <c r="C412" s="290"/>
      <c r="D412" s="290"/>
      <c r="E412" s="290"/>
      <c r="F412" s="290"/>
      <c r="G412" s="290"/>
      <c r="H412" s="290"/>
      <c r="I412" s="290"/>
      <c r="J412" s="290"/>
      <c r="K412" s="290"/>
      <c r="L412" s="290"/>
      <c r="M412" s="290"/>
      <c r="N412" s="290"/>
      <c r="O412" s="290"/>
      <c r="P412" s="261"/>
      <c r="Q412" s="262"/>
      <c r="R412" s="435"/>
      <c r="T412" s="305"/>
      <c r="U412" s="305"/>
      <c r="W412" s="268"/>
      <c r="X412" s="305"/>
      <c r="Z412" s="268"/>
      <c r="AA412" s="305"/>
      <c r="AC412" s="268"/>
      <c r="AD412" s="305"/>
      <c r="AF412" s="268"/>
      <c r="AG412" s="305"/>
      <c r="AI412" s="268"/>
      <c r="AJ412" s="305"/>
      <c r="AL412" s="268"/>
      <c r="AM412" s="305"/>
    </row>
    <row r="413" spans="1:39" s="267" customFormat="1" x14ac:dyDescent="0.2">
      <c r="A413" s="283" t="s">
        <v>66</v>
      </c>
      <c r="B413" s="269" t="s">
        <v>740</v>
      </c>
      <c r="C413" s="290">
        <f>(W413+X413)*$C$3</f>
        <v>4</v>
      </c>
      <c r="D413" s="290">
        <f>C413*$Q413</f>
        <v>0</v>
      </c>
      <c r="E413" s="290">
        <f>(Z413+AA413)*$E$3</f>
        <v>5</v>
      </c>
      <c r="F413" s="290">
        <f>E413*$Q413</f>
        <v>0</v>
      </c>
      <c r="G413" s="290">
        <f>(AC413+AD413)*$G$3</f>
        <v>30</v>
      </c>
      <c r="H413" s="290">
        <f>G413*$Q413</f>
        <v>0</v>
      </c>
      <c r="I413" s="290">
        <f>(AF413+AG413)*$I$3</f>
        <v>7</v>
      </c>
      <c r="J413" s="290">
        <f>I413*$Q413</f>
        <v>0</v>
      </c>
      <c r="K413" s="290">
        <f>(AI413+AJ413)*$K$3</f>
        <v>24</v>
      </c>
      <c r="L413" s="290">
        <f>K413*$Q413</f>
        <v>0</v>
      </c>
      <c r="M413" s="290">
        <f>(AL413+AM413)*$M$3</f>
        <v>9</v>
      </c>
      <c r="N413" s="290">
        <f>M413*$Q413</f>
        <v>0</v>
      </c>
      <c r="O413" s="290">
        <f>C413+E413+G413+I413+K413+M413</f>
        <v>79</v>
      </c>
      <c r="P413" s="261" t="s">
        <v>269</v>
      </c>
      <c r="Q413" s="262"/>
      <c r="R413" s="435">
        <f>O413*Q413</f>
        <v>0</v>
      </c>
      <c r="T413" s="305">
        <v>1</v>
      </c>
      <c r="U413" s="266">
        <v>1</v>
      </c>
      <c r="W413" s="268">
        <f>T413*$W$3</f>
        <v>2</v>
      </c>
      <c r="X413" s="266">
        <f>U413*$X$3</f>
        <v>2</v>
      </c>
      <c r="Z413" s="268">
        <f>W413</f>
        <v>2</v>
      </c>
      <c r="AA413" s="266">
        <f>U413*$AA$3</f>
        <v>3</v>
      </c>
      <c r="AC413" s="268">
        <f>W413</f>
        <v>2</v>
      </c>
      <c r="AD413" s="266">
        <f>U413*$AD$3</f>
        <v>4</v>
      </c>
      <c r="AF413" s="268">
        <f>W413</f>
        <v>2</v>
      </c>
      <c r="AG413" s="266">
        <f>U413*$AG$3</f>
        <v>5</v>
      </c>
      <c r="AI413" s="268">
        <f>W413</f>
        <v>2</v>
      </c>
      <c r="AJ413" s="266">
        <f>U413*$AJ$3</f>
        <v>6</v>
      </c>
      <c r="AL413" s="268">
        <f>W413</f>
        <v>2</v>
      </c>
      <c r="AM413" s="266">
        <f>U413*$AM$3</f>
        <v>7</v>
      </c>
    </row>
    <row r="414" spans="1:39" s="267" customFormat="1" x14ac:dyDescent="0.2">
      <c r="A414" s="283"/>
      <c r="B414" s="308"/>
      <c r="C414" s="266"/>
      <c r="D414" s="337"/>
      <c r="E414" s="337"/>
      <c r="F414" s="337"/>
      <c r="G414" s="337"/>
      <c r="H414" s="337"/>
      <c r="I414" s="337"/>
      <c r="J414" s="337"/>
      <c r="K414" s="337"/>
      <c r="L414" s="337"/>
      <c r="M414" s="337"/>
      <c r="N414" s="337"/>
      <c r="O414" s="290"/>
      <c r="P414" s="462"/>
      <c r="Q414" s="463"/>
      <c r="R414" s="464"/>
      <c r="T414" s="305"/>
      <c r="U414" s="305"/>
      <c r="W414" s="268"/>
      <c r="X414" s="305"/>
      <c r="Z414" s="268"/>
      <c r="AA414" s="305"/>
      <c r="AC414" s="268"/>
      <c r="AD414" s="305"/>
      <c r="AF414" s="268"/>
      <c r="AG414" s="305"/>
      <c r="AI414" s="268"/>
      <c r="AJ414" s="305"/>
      <c r="AL414" s="268"/>
      <c r="AM414" s="305"/>
    </row>
    <row r="415" spans="1:39" s="267" customFormat="1" x14ac:dyDescent="0.2">
      <c r="A415" s="283" t="s">
        <v>67</v>
      </c>
      <c r="B415" s="269" t="s">
        <v>214</v>
      </c>
      <c r="C415" s="290">
        <f>(W415+X415)*$C$3</f>
        <v>4</v>
      </c>
      <c r="D415" s="290">
        <f>C415*$Q415</f>
        <v>0</v>
      </c>
      <c r="E415" s="290">
        <f>(Z415+AA415)*$E$3</f>
        <v>5</v>
      </c>
      <c r="F415" s="290">
        <f>E415*$Q415</f>
        <v>0</v>
      </c>
      <c r="G415" s="290">
        <f>(AC415+AD415)*$G$3</f>
        <v>30</v>
      </c>
      <c r="H415" s="290">
        <f>G415*$Q415</f>
        <v>0</v>
      </c>
      <c r="I415" s="290">
        <f>(AF415+AG415)*$I$3</f>
        <v>7</v>
      </c>
      <c r="J415" s="290">
        <f>I415*$Q415</f>
        <v>0</v>
      </c>
      <c r="K415" s="290">
        <f>(AI415+AJ415)*$K$3</f>
        <v>24</v>
      </c>
      <c r="L415" s="290">
        <f>K415*$Q415</f>
        <v>0</v>
      </c>
      <c r="M415" s="290">
        <f>(AL415+AM415)*$M$3</f>
        <v>9</v>
      </c>
      <c r="N415" s="290">
        <f>M415*$Q415</f>
        <v>0</v>
      </c>
      <c r="O415" s="290">
        <f>C415+E415+G415+I415+K415+M415</f>
        <v>79</v>
      </c>
      <c r="P415" s="261" t="s">
        <v>269</v>
      </c>
      <c r="Q415" s="262"/>
      <c r="R415" s="435">
        <f>O415*Q415</f>
        <v>0</v>
      </c>
      <c r="T415" s="305">
        <v>1</v>
      </c>
      <c r="U415" s="266">
        <v>1</v>
      </c>
      <c r="W415" s="268">
        <f>T415*$W$3</f>
        <v>2</v>
      </c>
      <c r="X415" s="266">
        <f>U415*$X$3</f>
        <v>2</v>
      </c>
      <c r="Z415" s="268">
        <f>W415</f>
        <v>2</v>
      </c>
      <c r="AA415" s="266">
        <f>U415*$AA$3</f>
        <v>3</v>
      </c>
      <c r="AC415" s="268">
        <f>W415</f>
        <v>2</v>
      </c>
      <c r="AD415" s="266">
        <f>U415*$AD$3</f>
        <v>4</v>
      </c>
      <c r="AF415" s="268">
        <f>W415</f>
        <v>2</v>
      </c>
      <c r="AG415" s="266">
        <f>U415*$AG$3</f>
        <v>5</v>
      </c>
      <c r="AI415" s="268">
        <f>W415</f>
        <v>2</v>
      </c>
      <c r="AJ415" s="266">
        <f>U415*$AJ$3</f>
        <v>6</v>
      </c>
      <c r="AL415" s="268">
        <f>W415</f>
        <v>2</v>
      </c>
      <c r="AM415" s="266">
        <f>U415*$AM$3</f>
        <v>7</v>
      </c>
    </row>
    <row r="416" spans="1:39" s="267" customFormat="1" x14ac:dyDescent="0.2">
      <c r="A416" s="258"/>
      <c r="B416" s="269"/>
      <c r="C416" s="290"/>
      <c r="D416" s="290"/>
      <c r="E416" s="290"/>
      <c r="F416" s="290"/>
      <c r="G416" s="290"/>
      <c r="H416" s="290"/>
      <c r="I416" s="290"/>
      <c r="J416" s="290"/>
      <c r="K416" s="290"/>
      <c r="L416" s="290"/>
      <c r="M416" s="290"/>
      <c r="N416" s="290"/>
      <c r="O416" s="290"/>
      <c r="P416" s="261"/>
      <c r="Q416" s="262"/>
      <c r="R416" s="435"/>
      <c r="S416" s="264"/>
      <c r="T416" s="266"/>
      <c r="U416" s="266"/>
      <c r="W416" s="268"/>
      <c r="X416" s="266"/>
      <c r="Z416" s="268"/>
      <c r="AA416" s="266"/>
      <c r="AC416" s="268"/>
      <c r="AD416" s="266"/>
      <c r="AF416" s="268"/>
      <c r="AG416" s="266"/>
      <c r="AI416" s="268"/>
      <c r="AJ416" s="266"/>
      <c r="AL416" s="268"/>
      <c r="AM416" s="266"/>
    </row>
    <row r="417" spans="1:39" s="267" customFormat="1" x14ac:dyDescent="0.2">
      <c r="A417" s="283"/>
      <c r="B417" s="265" t="s">
        <v>256</v>
      </c>
      <c r="C417" s="290"/>
      <c r="D417" s="290"/>
      <c r="E417" s="290"/>
      <c r="F417" s="290"/>
      <c r="G417" s="290"/>
      <c r="H417" s="290"/>
      <c r="I417" s="290"/>
      <c r="J417" s="290"/>
      <c r="K417" s="290"/>
      <c r="L417" s="290"/>
      <c r="M417" s="290"/>
      <c r="N417" s="290"/>
      <c r="O417" s="290"/>
      <c r="P417" s="261"/>
      <c r="Q417" s="262"/>
      <c r="R417" s="435"/>
      <c r="S417" s="264"/>
      <c r="T417" s="266"/>
      <c r="U417" s="266"/>
      <c r="W417" s="268"/>
      <c r="X417" s="266"/>
      <c r="Z417" s="268"/>
      <c r="AA417" s="266"/>
      <c r="AC417" s="268"/>
      <c r="AD417" s="266"/>
      <c r="AF417" s="268"/>
      <c r="AG417" s="266"/>
      <c r="AI417" s="268"/>
      <c r="AJ417" s="266"/>
      <c r="AL417" s="268"/>
      <c r="AM417" s="266"/>
    </row>
    <row r="418" spans="1:39" s="267" customFormat="1" x14ac:dyDescent="0.2">
      <c r="A418" s="283"/>
      <c r="B418" s="265"/>
      <c r="C418" s="290"/>
      <c r="D418" s="290"/>
      <c r="E418" s="290"/>
      <c r="F418" s="290"/>
      <c r="G418" s="290"/>
      <c r="H418" s="290"/>
      <c r="I418" s="290"/>
      <c r="J418" s="290"/>
      <c r="K418" s="290"/>
      <c r="L418" s="290"/>
      <c r="M418" s="290"/>
      <c r="N418" s="290"/>
      <c r="O418" s="290"/>
      <c r="P418" s="261"/>
      <c r="Q418" s="262"/>
      <c r="R418" s="435"/>
      <c r="S418" s="264"/>
      <c r="T418" s="266"/>
      <c r="U418" s="266"/>
      <c r="W418" s="268"/>
      <c r="X418" s="266"/>
      <c r="Z418" s="268"/>
      <c r="AA418" s="266"/>
      <c r="AC418" s="268"/>
      <c r="AD418" s="266"/>
      <c r="AF418" s="268"/>
      <c r="AG418" s="266"/>
      <c r="AI418" s="268"/>
      <c r="AJ418" s="266"/>
      <c r="AL418" s="268"/>
      <c r="AM418" s="266"/>
    </row>
    <row r="419" spans="1:39" s="267" customFormat="1" ht="28.5" x14ac:dyDescent="0.2">
      <c r="A419" s="283"/>
      <c r="B419" s="265" t="s">
        <v>741</v>
      </c>
      <c r="C419" s="290"/>
      <c r="D419" s="290"/>
      <c r="E419" s="290"/>
      <c r="F419" s="290"/>
      <c r="G419" s="290"/>
      <c r="H419" s="290"/>
      <c r="I419" s="290"/>
      <c r="J419" s="290"/>
      <c r="K419" s="290"/>
      <c r="L419" s="290"/>
      <c r="M419" s="290"/>
      <c r="N419" s="290"/>
      <c r="O419" s="290"/>
      <c r="P419" s="261"/>
      <c r="Q419" s="262"/>
      <c r="R419" s="435"/>
      <c r="S419" s="264"/>
      <c r="T419" s="266"/>
      <c r="U419" s="266"/>
      <c r="W419" s="268"/>
      <c r="X419" s="266"/>
      <c r="Z419" s="268"/>
      <c r="AA419" s="266"/>
      <c r="AC419" s="268"/>
      <c r="AD419" s="266"/>
      <c r="AF419" s="268"/>
      <c r="AG419" s="266"/>
      <c r="AI419" s="268"/>
      <c r="AJ419" s="266"/>
      <c r="AL419" s="268"/>
      <c r="AM419" s="266"/>
    </row>
    <row r="420" spans="1:39" s="267" customFormat="1" x14ac:dyDescent="0.2">
      <c r="A420" s="283"/>
      <c r="B420" s="265"/>
      <c r="C420" s="290"/>
      <c r="D420" s="290"/>
      <c r="E420" s="290"/>
      <c r="F420" s="290"/>
      <c r="G420" s="290"/>
      <c r="H420" s="290"/>
      <c r="I420" s="290"/>
      <c r="J420" s="290"/>
      <c r="K420" s="290"/>
      <c r="L420" s="290"/>
      <c r="M420" s="290"/>
      <c r="N420" s="290"/>
      <c r="O420" s="290"/>
      <c r="P420" s="261"/>
      <c r="Q420" s="262"/>
      <c r="R420" s="435"/>
      <c r="S420" s="264"/>
      <c r="T420" s="266"/>
      <c r="U420" s="266"/>
      <c r="W420" s="268"/>
      <c r="X420" s="266"/>
      <c r="Z420" s="268"/>
      <c r="AA420" s="266"/>
      <c r="AC420" s="268"/>
      <c r="AD420" s="266"/>
      <c r="AF420" s="268"/>
      <c r="AG420" s="266"/>
      <c r="AI420" s="268"/>
      <c r="AJ420" s="266"/>
      <c r="AL420" s="268"/>
      <c r="AM420" s="266"/>
    </row>
    <row r="421" spans="1:39" s="267" customFormat="1" ht="42.75" x14ac:dyDescent="0.2">
      <c r="A421" s="283"/>
      <c r="B421" s="265" t="s">
        <v>742</v>
      </c>
      <c r="C421" s="290"/>
      <c r="D421" s="290"/>
      <c r="E421" s="290"/>
      <c r="F421" s="290"/>
      <c r="G421" s="290"/>
      <c r="H421" s="290"/>
      <c r="I421" s="290"/>
      <c r="J421" s="290"/>
      <c r="K421" s="290"/>
      <c r="L421" s="290"/>
      <c r="M421" s="290"/>
      <c r="N421" s="290"/>
      <c r="O421" s="290"/>
      <c r="P421" s="261"/>
      <c r="Q421" s="262"/>
      <c r="R421" s="435"/>
      <c r="S421" s="264"/>
      <c r="T421" s="266"/>
      <c r="U421" s="266"/>
      <c r="W421" s="268"/>
      <c r="X421" s="266"/>
      <c r="Z421" s="268"/>
      <c r="AA421" s="266"/>
      <c r="AC421" s="268"/>
      <c r="AD421" s="266"/>
      <c r="AF421" s="268"/>
      <c r="AG421" s="266"/>
      <c r="AI421" s="268"/>
      <c r="AJ421" s="266"/>
      <c r="AL421" s="268"/>
      <c r="AM421" s="266"/>
    </row>
    <row r="422" spans="1:39" s="267" customFormat="1" ht="15" x14ac:dyDescent="0.2">
      <c r="A422" s="283"/>
      <c r="B422" s="321"/>
      <c r="C422" s="290"/>
      <c r="D422" s="290"/>
      <c r="E422" s="290"/>
      <c r="F422" s="290"/>
      <c r="G422" s="290"/>
      <c r="H422" s="290"/>
      <c r="I422" s="290"/>
      <c r="J422" s="290"/>
      <c r="K422" s="290"/>
      <c r="L422" s="290"/>
      <c r="M422" s="290"/>
      <c r="N422" s="290"/>
      <c r="O422" s="290"/>
      <c r="P422" s="261"/>
      <c r="Q422" s="262"/>
      <c r="R422" s="435"/>
      <c r="S422" s="264"/>
      <c r="T422" s="266"/>
      <c r="U422" s="266"/>
      <c r="W422" s="268"/>
      <c r="X422" s="266"/>
      <c r="Z422" s="268"/>
      <c r="AA422" s="266"/>
      <c r="AC422" s="268"/>
      <c r="AD422" s="266"/>
      <c r="AF422" s="268"/>
      <c r="AG422" s="266"/>
      <c r="AI422" s="268"/>
      <c r="AJ422" s="266"/>
      <c r="AL422" s="268"/>
      <c r="AM422" s="266"/>
    </row>
    <row r="423" spans="1:39" s="267" customFormat="1" x14ac:dyDescent="0.2">
      <c r="A423" s="283" t="s">
        <v>68</v>
      </c>
      <c r="B423" s="269" t="s">
        <v>210</v>
      </c>
      <c r="C423" s="290">
        <f>(W423+X423)*$C$3</f>
        <v>66</v>
      </c>
      <c r="D423" s="290">
        <f>C423*$Q423</f>
        <v>0</v>
      </c>
      <c r="E423" s="290">
        <f>(Z423+AA423)*$E$3</f>
        <v>77</v>
      </c>
      <c r="F423" s="290">
        <f>E423*$Q423</f>
        <v>0</v>
      </c>
      <c r="G423" s="290">
        <f>(AC423+AD423)*$G$3</f>
        <v>440</v>
      </c>
      <c r="H423" s="290">
        <f>G423*$Q423</f>
        <v>0</v>
      </c>
      <c r="I423" s="290">
        <f>(AF423+AG423)*$I$3</f>
        <v>99</v>
      </c>
      <c r="J423" s="290">
        <f>I423*$Q423</f>
        <v>0</v>
      </c>
      <c r="K423" s="290">
        <f>(AI423+AJ423)*$K$3</f>
        <v>330</v>
      </c>
      <c r="L423" s="290">
        <f>K423*$Q423</f>
        <v>0</v>
      </c>
      <c r="M423" s="290">
        <f>(AL423+AM423)*$M$3</f>
        <v>121</v>
      </c>
      <c r="N423" s="290">
        <f>M423*$Q423</f>
        <v>0</v>
      </c>
      <c r="O423" s="290">
        <f>C423+E423+G423+I423+K423+M423</f>
        <v>1133</v>
      </c>
      <c r="P423" s="261" t="s">
        <v>12</v>
      </c>
      <c r="Q423" s="262"/>
      <c r="R423" s="435">
        <f>O423*Q423</f>
        <v>0</v>
      </c>
      <c r="S423" s="264"/>
      <c r="T423" s="266">
        <v>22</v>
      </c>
      <c r="U423" s="266">
        <v>11</v>
      </c>
      <c r="W423" s="268">
        <f>T423*$W$3</f>
        <v>44</v>
      </c>
      <c r="X423" s="266">
        <f>U423*$X$3</f>
        <v>22</v>
      </c>
      <c r="Z423" s="268">
        <f>W423</f>
        <v>44</v>
      </c>
      <c r="AA423" s="266">
        <f>U423*$AA$3</f>
        <v>33</v>
      </c>
      <c r="AC423" s="268">
        <f>W423</f>
        <v>44</v>
      </c>
      <c r="AD423" s="266">
        <f>U423*$AD$3</f>
        <v>44</v>
      </c>
      <c r="AF423" s="268">
        <f>W423</f>
        <v>44</v>
      </c>
      <c r="AG423" s="266">
        <f>U423*$AG$3</f>
        <v>55</v>
      </c>
      <c r="AI423" s="268">
        <f>W423</f>
        <v>44</v>
      </c>
      <c r="AJ423" s="266">
        <f>U423*$AJ$3</f>
        <v>66</v>
      </c>
      <c r="AL423" s="268">
        <f>W423</f>
        <v>44</v>
      </c>
      <c r="AM423" s="266">
        <f>U423*$AM$3</f>
        <v>77</v>
      </c>
    </row>
    <row r="424" spans="1:39" s="267" customFormat="1" x14ac:dyDescent="0.2">
      <c r="A424" s="283"/>
      <c r="B424" s="269"/>
      <c r="C424" s="290"/>
      <c r="D424" s="290"/>
      <c r="E424" s="290"/>
      <c r="F424" s="290"/>
      <c r="G424" s="290"/>
      <c r="H424" s="290"/>
      <c r="I424" s="290"/>
      <c r="J424" s="290"/>
      <c r="K424" s="290"/>
      <c r="L424" s="290"/>
      <c r="M424" s="290"/>
      <c r="N424" s="290"/>
      <c r="O424" s="290"/>
      <c r="P424" s="261"/>
      <c r="Q424" s="262"/>
      <c r="R424" s="435"/>
      <c r="S424" s="264"/>
      <c r="T424" s="266"/>
      <c r="U424" s="266"/>
      <c r="W424" s="268"/>
      <c r="X424" s="266"/>
      <c r="Z424" s="268"/>
      <c r="AA424" s="266"/>
      <c r="AC424" s="268"/>
      <c r="AD424" s="266"/>
      <c r="AF424" s="268"/>
      <c r="AG424" s="266"/>
      <c r="AI424" s="268"/>
      <c r="AJ424" s="266"/>
      <c r="AL424" s="268"/>
      <c r="AM424" s="266"/>
    </row>
    <row r="425" spans="1:39" s="267" customFormat="1" ht="28.5" x14ac:dyDescent="0.2">
      <c r="A425" s="283"/>
      <c r="B425" s="265" t="s">
        <v>743</v>
      </c>
      <c r="C425" s="290"/>
      <c r="D425" s="290"/>
      <c r="E425" s="290"/>
      <c r="F425" s="290"/>
      <c r="G425" s="290"/>
      <c r="H425" s="290"/>
      <c r="I425" s="290"/>
      <c r="J425" s="290"/>
      <c r="K425" s="290"/>
      <c r="L425" s="290"/>
      <c r="M425" s="290"/>
      <c r="N425" s="290"/>
      <c r="O425" s="290"/>
      <c r="P425" s="261"/>
      <c r="Q425" s="262"/>
      <c r="R425" s="435"/>
      <c r="S425" s="264"/>
      <c r="T425" s="266"/>
      <c r="U425" s="266"/>
      <c r="W425" s="268"/>
      <c r="X425" s="266"/>
      <c r="Z425" s="268"/>
      <c r="AA425" s="266"/>
      <c r="AC425" s="268"/>
      <c r="AD425" s="266"/>
      <c r="AF425" s="268"/>
      <c r="AG425" s="266"/>
      <c r="AI425" s="268"/>
      <c r="AJ425" s="266"/>
      <c r="AL425" s="268"/>
      <c r="AM425" s="266"/>
    </row>
    <row r="426" spans="1:39" s="267" customFormat="1" ht="15" x14ac:dyDescent="0.2">
      <c r="A426" s="283"/>
      <c r="B426" s="321"/>
      <c r="C426" s="290"/>
      <c r="D426" s="290"/>
      <c r="E426" s="290"/>
      <c r="F426" s="290"/>
      <c r="G426" s="290"/>
      <c r="H426" s="290"/>
      <c r="I426" s="290"/>
      <c r="J426" s="290"/>
      <c r="K426" s="290"/>
      <c r="L426" s="290"/>
      <c r="M426" s="290"/>
      <c r="N426" s="290"/>
      <c r="O426" s="290"/>
      <c r="P426" s="261"/>
      <c r="Q426" s="262"/>
      <c r="R426" s="435"/>
      <c r="S426" s="264"/>
      <c r="T426" s="266"/>
      <c r="U426" s="266"/>
      <c r="W426" s="268"/>
      <c r="X426" s="266"/>
      <c r="Z426" s="268"/>
      <c r="AA426" s="266"/>
      <c r="AC426" s="268"/>
      <c r="AD426" s="266"/>
      <c r="AF426" s="268"/>
      <c r="AG426" s="266"/>
      <c r="AI426" s="268"/>
      <c r="AJ426" s="266"/>
      <c r="AL426" s="268"/>
      <c r="AM426" s="266"/>
    </row>
    <row r="427" spans="1:39" s="267" customFormat="1" x14ac:dyDescent="0.2">
      <c r="A427" s="283" t="s">
        <v>69</v>
      </c>
      <c r="B427" s="269" t="s">
        <v>210</v>
      </c>
      <c r="C427" s="290">
        <f>(W427+X427)*$C$3</f>
        <v>8</v>
      </c>
      <c r="D427" s="290">
        <f>C427*$Q427</f>
        <v>0</v>
      </c>
      <c r="E427" s="290">
        <f>(Z427+AA427)*$E$3</f>
        <v>10</v>
      </c>
      <c r="F427" s="290">
        <f>E427*$Q427</f>
        <v>0</v>
      </c>
      <c r="G427" s="290">
        <f>(AC427+AD427)*$G$3</f>
        <v>60</v>
      </c>
      <c r="H427" s="290">
        <f>G427*$Q427</f>
        <v>0</v>
      </c>
      <c r="I427" s="290">
        <f>(AF427+AG427)*$I$3</f>
        <v>14</v>
      </c>
      <c r="J427" s="290">
        <f>I427*$Q427</f>
        <v>0</v>
      </c>
      <c r="K427" s="290">
        <f>(AI427+AJ427)*$K$3</f>
        <v>48</v>
      </c>
      <c r="L427" s="290">
        <f>K427*$Q427</f>
        <v>0</v>
      </c>
      <c r="M427" s="290">
        <f>(AL427+AM427)*$M$3</f>
        <v>18</v>
      </c>
      <c r="N427" s="290">
        <f>M427*$Q427</f>
        <v>0</v>
      </c>
      <c r="O427" s="290">
        <f>C427+E427+G427+I427+K427+M427</f>
        <v>158</v>
      </c>
      <c r="P427" s="261" t="s">
        <v>12</v>
      </c>
      <c r="Q427" s="262"/>
      <c r="R427" s="435">
        <f>O427*Q427</f>
        <v>0</v>
      </c>
      <c r="S427" s="264"/>
      <c r="T427" s="266">
        <v>2</v>
      </c>
      <c r="U427" s="266">
        <v>2</v>
      </c>
      <c r="W427" s="268">
        <f>T427*$W$3</f>
        <v>4</v>
      </c>
      <c r="X427" s="266">
        <f>U427*$X$3</f>
        <v>4</v>
      </c>
      <c r="Z427" s="268">
        <f>W427</f>
        <v>4</v>
      </c>
      <c r="AA427" s="266">
        <f>U427*$AA$3</f>
        <v>6</v>
      </c>
      <c r="AC427" s="268">
        <f>W427</f>
        <v>4</v>
      </c>
      <c r="AD427" s="266">
        <f>U427*$AD$3</f>
        <v>8</v>
      </c>
      <c r="AF427" s="268">
        <f>W427</f>
        <v>4</v>
      </c>
      <c r="AG427" s="266">
        <f>U427*$AG$3</f>
        <v>10</v>
      </c>
      <c r="AI427" s="268">
        <f>W427</f>
        <v>4</v>
      </c>
      <c r="AJ427" s="266">
        <f>U427*$AJ$3</f>
        <v>12</v>
      </c>
      <c r="AL427" s="268">
        <f>W427</f>
        <v>4</v>
      </c>
      <c r="AM427" s="266">
        <f>U427*$AM$3</f>
        <v>14</v>
      </c>
    </row>
    <row r="428" spans="1:39" s="267" customFormat="1" x14ac:dyDescent="0.2">
      <c r="A428" s="283"/>
      <c r="B428" s="269"/>
      <c r="C428" s="290"/>
      <c r="D428" s="290"/>
      <c r="E428" s="290"/>
      <c r="F428" s="290"/>
      <c r="G428" s="290"/>
      <c r="H428" s="290"/>
      <c r="I428" s="290"/>
      <c r="J428" s="290"/>
      <c r="K428" s="290"/>
      <c r="L428" s="290"/>
      <c r="M428" s="290"/>
      <c r="N428" s="290"/>
      <c r="O428" s="290"/>
      <c r="P428" s="261"/>
      <c r="Q428" s="262"/>
      <c r="R428" s="435"/>
      <c r="S428" s="264"/>
      <c r="T428" s="266"/>
      <c r="U428" s="266"/>
      <c r="W428" s="268"/>
      <c r="X428" s="266"/>
      <c r="Z428" s="268"/>
      <c r="AA428" s="266"/>
      <c r="AC428" s="268"/>
      <c r="AD428" s="266"/>
      <c r="AF428" s="268"/>
      <c r="AG428" s="266"/>
      <c r="AI428" s="268"/>
      <c r="AJ428" s="266"/>
      <c r="AL428" s="268"/>
      <c r="AM428" s="266"/>
    </row>
    <row r="429" spans="1:39" s="267" customFormat="1" ht="28.5" x14ac:dyDescent="0.2">
      <c r="A429" s="283"/>
      <c r="B429" s="265" t="s">
        <v>744</v>
      </c>
      <c r="C429" s="290"/>
      <c r="D429" s="290"/>
      <c r="E429" s="290"/>
      <c r="F429" s="290"/>
      <c r="G429" s="290"/>
      <c r="H429" s="290"/>
      <c r="I429" s="290"/>
      <c r="J429" s="290"/>
      <c r="K429" s="290"/>
      <c r="L429" s="290"/>
      <c r="M429" s="290"/>
      <c r="N429" s="290"/>
      <c r="O429" s="290"/>
      <c r="P429" s="261"/>
      <c r="Q429" s="262"/>
      <c r="R429" s="435"/>
      <c r="S429" s="264"/>
      <c r="T429" s="266"/>
      <c r="U429" s="266"/>
      <c r="W429" s="268"/>
      <c r="X429" s="266"/>
      <c r="Z429" s="268"/>
      <c r="AA429" s="266"/>
      <c r="AC429" s="268"/>
      <c r="AD429" s="266"/>
      <c r="AF429" s="268"/>
      <c r="AG429" s="266"/>
      <c r="AI429" s="268"/>
      <c r="AJ429" s="266"/>
      <c r="AL429" s="268"/>
      <c r="AM429" s="266"/>
    </row>
    <row r="430" spans="1:39" s="267" customFormat="1" ht="15" x14ac:dyDescent="0.2">
      <c r="A430" s="283"/>
      <c r="B430" s="321"/>
      <c r="C430" s="290"/>
      <c r="D430" s="290"/>
      <c r="E430" s="290"/>
      <c r="F430" s="290"/>
      <c r="G430" s="290"/>
      <c r="H430" s="290"/>
      <c r="I430" s="290"/>
      <c r="J430" s="290"/>
      <c r="K430" s="290"/>
      <c r="L430" s="290"/>
      <c r="M430" s="290"/>
      <c r="N430" s="290"/>
      <c r="O430" s="290"/>
      <c r="P430" s="261"/>
      <c r="Q430" s="262"/>
      <c r="R430" s="435"/>
      <c r="S430" s="264"/>
      <c r="T430" s="266"/>
      <c r="U430" s="266"/>
      <c r="W430" s="268"/>
      <c r="X430" s="266"/>
      <c r="Z430" s="268"/>
      <c r="AA430" s="266"/>
      <c r="AC430" s="268"/>
      <c r="AD430" s="266"/>
      <c r="AF430" s="268"/>
      <c r="AG430" s="266"/>
      <c r="AI430" s="268"/>
      <c r="AJ430" s="266"/>
      <c r="AL430" s="268"/>
      <c r="AM430" s="266"/>
    </row>
    <row r="431" spans="1:39" s="267" customFormat="1" x14ac:dyDescent="0.2">
      <c r="A431" s="283" t="s">
        <v>70</v>
      </c>
      <c r="B431" s="269" t="s">
        <v>206</v>
      </c>
      <c r="C431" s="290">
        <f>(W431+X431)*$C$3</f>
        <v>6</v>
      </c>
      <c r="D431" s="290">
        <f>C431*$Q431</f>
        <v>0</v>
      </c>
      <c r="E431" s="290">
        <f>(Z431+AA431)*$E$3</f>
        <v>8</v>
      </c>
      <c r="F431" s="290">
        <f>E431*$Q431</f>
        <v>0</v>
      </c>
      <c r="G431" s="290">
        <f>(AC431+AD431)*$G$3</f>
        <v>50</v>
      </c>
      <c r="H431" s="290">
        <f>G431*$Q431</f>
        <v>0</v>
      </c>
      <c r="I431" s="290">
        <f>(AF431+AG431)*$I$3</f>
        <v>12</v>
      </c>
      <c r="J431" s="290">
        <f>I431*$Q431</f>
        <v>0</v>
      </c>
      <c r="K431" s="290">
        <f>(AI431+AJ431)*$K$3</f>
        <v>42</v>
      </c>
      <c r="L431" s="290">
        <f>K431*$Q431</f>
        <v>0</v>
      </c>
      <c r="M431" s="290">
        <f>(AL431+AM431)*$M$3</f>
        <v>16</v>
      </c>
      <c r="N431" s="290">
        <f>M431*$Q431</f>
        <v>0</v>
      </c>
      <c r="O431" s="290">
        <f>C431+E431+G431+I431+K431+M431</f>
        <v>134</v>
      </c>
      <c r="P431" s="261" t="s">
        <v>12</v>
      </c>
      <c r="Q431" s="262"/>
      <c r="R431" s="435">
        <f>O431*Q431</f>
        <v>0</v>
      </c>
      <c r="S431" s="264"/>
      <c r="T431" s="266">
        <v>1</v>
      </c>
      <c r="U431" s="266">
        <v>2</v>
      </c>
      <c r="W431" s="268">
        <f>T431*$W$3</f>
        <v>2</v>
      </c>
      <c r="X431" s="266">
        <f>U431*$X$3</f>
        <v>4</v>
      </c>
      <c r="Z431" s="268">
        <f>W431</f>
        <v>2</v>
      </c>
      <c r="AA431" s="266">
        <f>U431*$AA$3</f>
        <v>6</v>
      </c>
      <c r="AC431" s="268">
        <f>W431</f>
        <v>2</v>
      </c>
      <c r="AD431" s="266">
        <f>U431*$AD$3</f>
        <v>8</v>
      </c>
      <c r="AF431" s="268">
        <f>W431</f>
        <v>2</v>
      </c>
      <c r="AG431" s="266">
        <f>U431*$AG$3</f>
        <v>10</v>
      </c>
      <c r="AI431" s="268">
        <f>W431</f>
        <v>2</v>
      </c>
      <c r="AJ431" s="266">
        <f>U431*$AJ$3</f>
        <v>12</v>
      </c>
      <c r="AL431" s="268">
        <f>W431</f>
        <v>2</v>
      </c>
      <c r="AM431" s="266">
        <f>U431*$AM$3</f>
        <v>14</v>
      </c>
    </row>
    <row r="432" spans="1:39" s="267" customFormat="1" x14ac:dyDescent="0.2">
      <c r="A432" s="283"/>
      <c r="B432" s="269"/>
      <c r="C432" s="290"/>
      <c r="D432" s="290"/>
      <c r="E432" s="290"/>
      <c r="F432" s="290"/>
      <c r="G432" s="290"/>
      <c r="H432" s="290"/>
      <c r="I432" s="290"/>
      <c r="J432" s="290"/>
      <c r="K432" s="290"/>
      <c r="L432" s="290"/>
      <c r="M432" s="290"/>
      <c r="N432" s="290"/>
      <c r="O432" s="290"/>
      <c r="P432" s="261"/>
      <c r="Q432" s="262"/>
      <c r="R432" s="435"/>
      <c r="S432" s="264"/>
      <c r="T432" s="266"/>
      <c r="U432" s="266"/>
      <c r="W432" s="268"/>
      <c r="X432" s="266"/>
      <c r="Z432" s="268"/>
      <c r="AA432" s="266"/>
      <c r="AC432" s="268"/>
      <c r="AD432" s="266"/>
      <c r="AF432" s="268"/>
      <c r="AG432" s="266"/>
      <c r="AI432" s="268"/>
      <c r="AJ432" s="266"/>
      <c r="AL432" s="268"/>
      <c r="AM432" s="266"/>
    </row>
    <row r="433" spans="1:39" s="267" customFormat="1" x14ac:dyDescent="0.2">
      <c r="A433" s="283"/>
      <c r="B433" s="265" t="s">
        <v>745</v>
      </c>
      <c r="C433" s="290"/>
      <c r="D433" s="290"/>
      <c r="E433" s="290"/>
      <c r="F433" s="290"/>
      <c r="G433" s="290"/>
      <c r="H433" s="290"/>
      <c r="I433" s="290"/>
      <c r="J433" s="290"/>
      <c r="K433" s="290"/>
      <c r="L433" s="290"/>
      <c r="M433" s="290"/>
      <c r="N433" s="290"/>
      <c r="O433" s="290"/>
      <c r="P433" s="261"/>
      <c r="Q433" s="262"/>
      <c r="R433" s="435"/>
      <c r="S433" s="264"/>
      <c r="T433" s="266"/>
      <c r="U433" s="266"/>
      <c r="W433" s="268"/>
      <c r="X433" s="266"/>
      <c r="Z433" s="268"/>
      <c r="AA433" s="266"/>
      <c r="AC433" s="268"/>
      <c r="AD433" s="266"/>
      <c r="AF433" s="268"/>
      <c r="AG433" s="266"/>
      <c r="AI433" s="268"/>
      <c r="AJ433" s="266"/>
      <c r="AL433" s="268"/>
      <c r="AM433" s="266"/>
    </row>
    <row r="434" spans="1:39" s="267" customFormat="1" ht="15" x14ac:dyDescent="0.2">
      <c r="A434" s="283"/>
      <c r="B434" s="321"/>
      <c r="C434" s="290"/>
      <c r="D434" s="290"/>
      <c r="E434" s="290"/>
      <c r="F434" s="290"/>
      <c r="G434" s="290"/>
      <c r="H434" s="290"/>
      <c r="I434" s="290"/>
      <c r="J434" s="290"/>
      <c r="K434" s="290"/>
      <c r="L434" s="290"/>
      <c r="M434" s="290"/>
      <c r="N434" s="290"/>
      <c r="O434" s="290"/>
      <c r="P434" s="261"/>
      <c r="Q434" s="262"/>
      <c r="R434" s="435"/>
      <c r="S434" s="264"/>
      <c r="T434" s="266"/>
      <c r="U434" s="266"/>
      <c r="W434" s="268"/>
      <c r="X434" s="266"/>
      <c r="Z434" s="268"/>
      <c r="AA434" s="266"/>
      <c r="AC434" s="268"/>
      <c r="AD434" s="266"/>
      <c r="AF434" s="268"/>
      <c r="AG434" s="266"/>
      <c r="AI434" s="268"/>
      <c r="AJ434" s="266"/>
      <c r="AL434" s="268"/>
      <c r="AM434" s="266"/>
    </row>
    <row r="435" spans="1:39" s="267" customFormat="1" x14ac:dyDescent="0.2">
      <c r="A435" s="283" t="s">
        <v>71</v>
      </c>
      <c r="B435" s="269" t="s">
        <v>206</v>
      </c>
      <c r="C435" s="290">
        <f>(W435+X435)*$C$3</f>
        <v>24</v>
      </c>
      <c r="D435" s="290">
        <f>C435*$Q435</f>
        <v>0</v>
      </c>
      <c r="E435" s="290">
        <f>(Z435+AA435)*$E$3</f>
        <v>30</v>
      </c>
      <c r="F435" s="290">
        <f>E435*$Q435</f>
        <v>0</v>
      </c>
      <c r="G435" s="290">
        <f>(AC435+AD435)*$G$3</f>
        <v>180</v>
      </c>
      <c r="H435" s="290">
        <f>G435*$Q435</f>
        <v>0</v>
      </c>
      <c r="I435" s="290">
        <f>(AF435+AG435)*$I$3</f>
        <v>42</v>
      </c>
      <c r="J435" s="290">
        <f>I435*$Q435</f>
        <v>0</v>
      </c>
      <c r="K435" s="290">
        <f>(AI435+AJ435)*$K$3</f>
        <v>144</v>
      </c>
      <c r="L435" s="290">
        <f>K435*$Q435</f>
        <v>0</v>
      </c>
      <c r="M435" s="290">
        <f>(AL435+AM435)*$M$3</f>
        <v>54</v>
      </c>
      <c r="N435" s="290">
        <f>M435*$Q435</f>
        <v>0</v>
      </c>
      <c r="O435" s="290">
        <f>C435+E435+G435+I435+K435+M435</f>
        <v>474</v>
      </c>
      <c r="P435" s="261" t="s">
        <v>12</v>
      </c>
      <c r="Q435" s="262"/>
      <c r="R435" s="435">
        <f>O435*Q435</f>
        <v>0</v>
      </c>
      <c r="S435" s="264"/>
      <c r="T435" s="266">
        <f>3+3</f>
        <v>6</v>
      </c>
      <c r="U435" s="266">
        <v>6</v>
      </c>
      <c r="W435" s="268">
        <f>T435*$W$3</f>
        <v>12</v>
      </c>
      <c r="X435" s="266">
        <f>U435*$X$3</f>
        <v>12</v>
      </c>
      <c r="Z435" s="268">
        <f>W435</f>
        <v>12</v>
      </c>
      <c r="AA435" s="266">
        <f>U435*$AA$3</f>
        <v>18</v>
      </c>
      <c r="AC435" s="268">
        <f>W435</f>
        <v>12</v>
      </c>
      <c r="AD435" s="266">
        <f>U435*$AD$3</f>
        <v>24</v>
      </c>
      <c r="AF435" s="268">
        <f>W435</f>
        <v>12</v>
      </c>
      <c r="AG435" s="266">
        <f>U435*$AG$3</f>
        <v>30</v>
      </c>
      <c r="AI435" s="268">
        <f>W435</f>
        <v>12</v>
      </c>
      <c r="AJ435" s="266">
        <f>U435*$AJ$3</f>
        <v>36</v>
      </c>
      <c r="AL435" s="268">
        <f>W435</f>
        <v>12</v>
      </c>
      <c r="AM435" s="266">
        <f>U435*$AM$3</f>
        <v>42</v>
      </c>
    </row>
    <row r="436" spans="1:39" s="267" customFormat="1" x14ac:dyDescent="0.2">
      <c r="A436" s="283"/>
      <c r="B436" s="269"/>
      <c r="C436" s="290"/>
      <c r="D436" s="290"/>
      <c r="E436" s="290"/>
      <c r="F436" s="290"/>
      <c r="G436" s="290"/>
      <c r="H436" s="290"/>
      <c r="I436" s="290"/>
      <c r="J436" s="290"/>
      <c r="K436" s="290"/>
      <c r="L436" s="290"/>
      <c r="M436" s="290"/>
      <c r="N436" s="290"/>
      <c r="O436" s="290"/>
      <c r="P436" s="261"/>
      <c r="Q436" s="262"/>
      <c r="R436" s="435"/>
      <c r="S436" s="264"/>
      <c r="T436" s="266"/>
      <c r="U436" s="266"/>
      <c r="W436" s="268"/>
      <c r="X436" s="266"/>
      <c r="Z436" s="268"/>
      <c r="AA436" s="266"/>
      <c r="AC436" s="268"/>
      <c r="AD436" s="266"/>
      <c r="AF436" s="268"/>
      <c r="AG436" s="266"/>
      <c r="AI436" s="268"/>
      <c r="AJ436" s="266"/>
      <c r="AL436" s="268"/>
      <c r="AM436" s="266"/>
    </row>
    <row r="437" spans="1:39" s="267" customFormat="1" x14ac:dyDescent="0.2">
      <c r="A437" s="283"/>
      <c r="B437" s="269"/>
      <c r="C437" s="290"/>
      <c r="D437" s="290"/>
      <c r="E437" s="290"/>
      <c r="F437" s="290"/>
      <c r="G437" s="290"/>
      <c r="H437" s="290"/>
      <c r="I437" s="290"/>
      <c r="J437" s="290"/>
      <c r="K437" s="290"/>
      <c r="L437" s="290"/>
      <c r="M437" s="290"/>
      <c r="N437" s="290"/>
      <c r="O437" s="290"/>
      <c r="P437" s="261"/>
      <c r="Q437" s="262"/>
      <c r="R437" s="435"/>
      <c r="S437" s="264"/>
      <c r="T437" s="266"/>
      <c r="U437" s="266"/>
      <c r="W437" s="268"/>
      <c r="X437" s="266"/>
      <c r="Z437" s="268"/>
      <c r="AA437" s="266"/>
      <c r="AC437" s="268"/>
      <c r="AD437" s="266"/>
      <c r="AF437" s="268"/>
      <c r="AG437" s="266"/>
      <c r="AI437" s="268"/>
      <c r="AJ437" s="266"/>
      <c r="AL437" s="268"/>
      <c r="AM437" s="266"/>
    </row>
    <row r="438" spans="1:39" s="267" customFormat="1" x14ac:dyDescent="0.2">
      <c r="A438" s="283"/>
      <c r="B438" s="322"/>
      <c r="C438" s="290"/>
      <c r="D438" s="290"/>
      <c r="E438" s="290"/>
      <c r="F438" s="290"/>
      <c r="G438" s="290"/>
      <c r="H438" s="290"/>
      <c r="I438" s="290"/>
      <c r="J438" s="290"/>
      <c r="K438" s="290"/>
      <c r="L438" s="290"/>
      <c r="M438" s="290"/>
      <c r="N438" s="290"/>
      <c r="O438" s="290"/>
      <c r="P438" s="261"/>
      <c r="Q438" s="262"/>
      <c r="R438" s="435"/>
      <c r="S438" s="264"/>
      <c r="T438" s="266"/>
      <c r="U438" s="266"/>
      <c r="W438" s="268"/>
      <c r="X438" s="266"/>
      <c r="Z438" s="268"/>
      <c r="AA438" s="266"/>
      <c r="AC438" s="268"/>
      <c r="AD438" s="266"/>
      <c r="AF438" s="268"/>
      <c r="AG438" s="266"/>
      <c r="AI438" s="268"/>
      <c r="AJ438" s="266"/>
      <c r="AL438" s="268"/>
      <c r="AM438" s="266"/>
    </row>
    <row r="439" spans="1:39" s="267" customFormat="1" ht="15" x14ac:dyDescent="0.2">
      <c r="A439" s="283"/>
      <c r="B439" s="321"/>
      <c r="C439" s="290"/>
      <c r="D439" s="290"/>
      <c r="E439" s="290"/>
      <c r="F439" s="290"/>
      <c r="G439" s="290"/>
      <c r="H439" s="290"/>
      <c r="I439" s="290"/>
      <c r="J439" s="290"/>
      <c r="K439" s="290"/>
      <c r="L439" s="290"/>
      <c r="M439" s="290"/>
      <c r="N439" s="290"/>
      <c r="O439" s="290"/>
      <c r="P439" s="261"/>
      <c r="Q439" s="262"/>
      <c r="R439" s="435"/>
      <c r="S439" s="264"/>
      <c r="T439" s="266"/>
      <c r="U439" s="266"/>
      <c r="W439" s="268"/>
      <c r="X439" s="266"/>
      <c r="Z439" s="268"/>
      <c r="AA439" s="266"/>
      <c r="AC439" s="268"/>
      <c r="AD439" s="266"/>
      <c r="AF439" s="268"/>
      <c r="AG439" s="266"/>
      <c r="AI439" s="268"/>
      <c r="AJ439" s="266"/>
      <c r="AL439" s="268"/>
      <c r="AM439" s="266"/>
    </row>
    <row r="440" spans="1:39" s="267" customFormat="1" ht="15" x14ac:dyDescent="0.2">
      <c r="A440" s="283"/>
      <c r="B440" s="321"/>
      <c r="C440" s="290"/>
      <c r="D440" s="290"/>
      <c r="E440" s="290"/>
      <c r="F440" s="290"/>
      <c r="G440" s="290"/>
      <c r="H440" s="290"/>
      <c r="I440" s="290"/>
      <c r="J440" s="290"/>
      <c r="K440" s="290"/>
      <c r="L440" s="290"/>
      <c r="M440" s="290"/>
      <c r="N440" s="290"/>
      <c r="O440" s="290"/>
      <c r="P440" s="261"/>
      <c r="Q440" s="262"/>
      <c r="R440" s="435"/>
      <c r="S440" s="264"/>
      <c r="T440" s="266"/>
      <c r="U440" s="266"/>
      <c r="W440" s="268"/>
      <c r="X440" s="266"/>
      <c r="Z440" s="268"/>
      <c r="AA440" s="266"/>
      <c r="AC440" s="268"/>
      <c r="AD440" s="266"/>
      <c r="AF440" s="268"/>
      <c r="AG440" s="266"/>
      <c r="AI440" s="268"/>
      <c r="AJ440" s="266"/>
      <c r="AL440" s="268"/>
      <c r="AM440" s="266"/>
    </row>
    <row r="441" spans="1:39" s="267" customFormat="1" ht="15" x14ac:dyDescent="0.2">
      <c r="A441" s="283"/>
      <c r="B441" s="321"/>
      <c r="C441" s="290"/>
      <c r="D441" s="290"/>
      <c r="E441" s="290"/>
      <c r="F441" s="290"/>
      <c r="G441" s="290"/>
      <c r="H441" s="290"/>
      <c r="I441" s="290"/>
      <c r="J441" s="290"/>
      <c r="K441" s="290"/>
      <c r="L441" s="290"/>
      <c r="M441" s="290"/>
      <c r="N441" s="290"/>
      <c r="O441" s="290"/>
      <c r="P441" s="261"/>
      <c r="Q441" s="262"/>
      <c r="R441" s="435"/>
      <c r="S441" s="264"/>
      <c r="T441" s="266"/>
      <c r="U441" s="266"/>
      <c r="W441" s="268"/>
      <c r="X441" s="266"/>
      <c r="Z441" s="268"/>
      <c r="AA441" s="266"/>
      <c r="AC441" s="268"/>
      <c r="AD441" s="266"/>
      <c r="AF441" s="268"/>
      <c r="AG441" s="266"/>
      <c r="AI441" s="268"/>
      <c r="AJ441" s="266"/>
      <c r="AL441" s="268"/>
      <c r="AM441" s="266"/>
    </row>
    <row r="442" spans="1:39" s="267" customFormat="1" x14ac:dyDescent="0.2">
      <c r="A442" s="283"/>
      <c r="B442" s="269"/>
      <c r="C442" s="290"/>
      <c r="D442" s="290"/>
      <c r="E442" s="290"/>
      <c r="F442" s="290"/>
      <c r="G442" s="290"/>
      <c r="H442" s="290"/>
      <c r="I442" s="290"/>
      <c r="J442" s="290"/>
      <c r="K442" s="290"/>
      <c r="L442" s="290"/>
      <c r="M442" s="290"/>
      <c r="N442" s="290"/>
      <c r="O442" s="290"/>
      <c r="P442" s="261"/>
      <c r="Q442" s="262"/>
      <c r="R442" s="435"/>
      <c r="S442" s="264"/>
      <c r="T442" s="266"/>
      <c r="U442" s="266"/>
      <c r="W442" s="268"/>
      <c r="X442" s="266"/>
      <c r="Z442" s="268"/>
      <c r="AA442" s="266"/>
      <c r="AC442" s="268"/>
      <c r="AD442" s="266"/>
      <c r="AF442" s="268"/>
      <c r="AG442" s="266"/>
      <c r="AI442" s="268"/>
      <c r="AJ442" s="266"/>
      <c r="AL442" s="268"/>
      <c r="AM442" s="266"/>
    </row>
    <row r="443" spans="1:39" s="267" customFormat="1" x14ac:dyDescent="0.2">
      <c r="A443" s="283"/>
      <c r="B443" s="269"/>
      <c r="C443" s="290"/>
      <c r="D443" s="290"/>
      <c r="E443" s="290"/>
      <c r="F443" s="290"/>
      <c r="G443" s="290"/>
      <c r="H443" s="290"/>
      <c r="I443" s="290"/>
      <c r="J443" s="290"/>
      <c r="K443" s="290"/>
      <c r="L443" s="290"/>
      <c r="M443" s="290"/>
      <c r="N443" s="290"/>
      <c r="O443" s="290"/>
      <c r="P443" s="261"/>
      <c r="Q443" s="262"/>
      <c r="R443" s="435"/>
      <c r="S443" s="264"/>
      <c r="T443" s="266"/>
      <c r="U443" s="266"/>
      <c r="W443" s="268"/>
      <c r="X443" s="266"/>
      <c r="Z443" s="268"/>
      <c r="AA443" s="266"/>
      <c r="AC443" s="268"/>
      <c r="AD443" s="266"/>
      <c r="AF443" s="268"/>
      <c r="AG443" s="266"/>
      <c r="AI443" s="268"/>
      <c r="AJ443" s="266"/>
      <c r="AL443" s="268"/>
      <c r="AM443" s="266"/>
    </row>
    <row r="444" spans="1:39" s="267" customFormat="1" x14ac:dyDescent="0.2">
      <c r="A444" s="308"/>
      <c r="B444" s="269"/>
      <c r="C444" s="290"/>
      <c r="D444" s="290"/>
      <c r="E444" s="290"/>
      <c r="F444" s="290"/>
      <c r="G444" s="290"/>
      <c r="H444" s="290"/>
      <c r="I444" s="290"/>
      <c r="J444" s="290"/>
      <c r="K444" s="290"/>
      <c r="L444" s="290"/>
      <c r="M444" s="290"/>
      <c r="N444" s="290"/>
      <c r="O444" s="290"/>
      <c r="P444" s="261"/>
      <c r="Q444" s="262"/>
      <c r="R444" s="435"/>
      <c r="S444" s="264"/>
      <c r="T444" s="266"/>
      <c r="U444" s="266"/>
      <c r="W444" s="268"/>
      <c r="X444" s="266"/>
      <c r="Z444" s="268"/>
      <c r="AA444" s="266"/>
      <c r="AC444" s="268"/>
      <c r="AD444" s="266"/>
      <c r="AF444" s="268"/>
      <c r="AG444" s="266"/>
      <c r="AI444" s="268"/>
      <c r="AJ444" s="266"/>
      <c r="AL444" s="268"/>
      <c r="AM444" s="266"/>
    </row>
    <row r="445" spans="1:39" s="267" customFormat="1" x14ac:dyDescent="0.2">
      <c r="A445" s="375"/>
      <c r="B445" s="376"/>
      <c r="C445" s="377"/>
      <c r="D445" s="377"/>
      <c r="E445" s="377"/>
      <c r="F445" s="377"/>
      <c r="G445" s="377"/>
      <c r="H445" s="377"/>
      <c r="I445" s="377"/>
      <c r="J445" s="377"/>
      <c r="K445" s="377"/>
      <c r="L445" s="377"/>
      <c r="M445" s="377"/>
      <c r="N445" s="377"/>
      <c r="O445" s="377"/>
      <c r="P445" s="377"/>
      <c r="Q445" s="378"/>
      <c r="R445" s="441"/>
      <c r="S445" s="264"/>
      <c r="T445" s="273"/>
      <c r="U445" s="274"/>
      <c r="W445" s="275"/>
      <c r="X445" s="273"/>
      <c r="Z445" s="275"/>
      <c r="AA445" s="273"/>
      <c r="AC445" s="275"/>
      <c r="AD445" s="273"/>
      <c r="AF445" s="275"/>
      <c r="AG445" s="273"/>
      <c r="AI445" s="275"/>
      <c r="AJ445" s="273"/>
      <c r="AL445" s="275"/>
      <c r="AM445" s="273"/>
    </row>
    <row r="446" spans="1:39" s="267" customFormat="1" x14ac:dyDescent="0.2">
      <c r="A446" s="380"/>
      <c r="B446" s="320"/>
      <c r="C446" s="550" t="s">
        <v>1</v>
      </c>
      <c r="D446" s="550"/>
      <c r="E446" s="550"/>
      <c r="F446" s="550"/>
      <c r="G446" s="550"/>
      <c r="H446" s="550"/>
      <c r="I446" s="550"/>
      <c r="J446" s="550"/>
      <c r="K446" s="550"/>
      <c r="L446" s="550"/>
      <c r="M446" s="550"/>
      <c r="N446" s="550"/>
      <c r="O446" s="550"/>
      <c r="P446" s="550"/>
      <c r="Q446" s="381" t="s">
        <v>0</v>
      </c>
      <c r="R446" s="435">
        <f>SUM(R406:R444)</f>
        <v>0</v>
      </c>
      <c r="S446" s="276"/>
      <c r="T446" s="266"/>
      <c r="U446" s="277"/>
      <c r="W446" s="268"/>
      <c r="X446" s="266"/>
      <c r="Z446" s="268"/>
      <c r="AA446" s="266"/>
      <c r="AC446" s="268"/>
      <c r="AD446" s="266"/>
      <c r="AF446" s="268"/>
      <c r="AG446" s="266"/>
      <c r="AI446" s="268"/>
      <c r="AJ446" s="266"/>
      <c r="AL446" s="268"/>
      <c r="AM446" s="266"/>
    </row>
    <row r="447" spans="1:39" s="267" customFormat="1" x14ac:dyDescent="0.2">
      <c r="A447" s="380"/>
      <c r="B447" s="320"/>
      <c r="C447" s="309"/>
      <c r="D447" s="309"/>
      <c r="E447" s="309"/>
      <c r="F447" s="309"/>
      <c r="G447" s="309"/>
      <c r="H447" s="309"/>
      <c r="I447" s="309"/>
      <c r="J447" s="309"/>
      <c r="K447" s="309"/>
      <c r="L447" s="309"/>
      <c r="M447" s="309"/>
      <c r="N447" s="309"/>
      <c r="O447" s="309"/>
      <c r="P447" s="309"/>
      <c r="Q447" s="294"/>
      <c r="R447" s="458"/>
      <c r="S447" s="264"/>
      <c r="T447" s="278"/>
      <c r="U447" s="279"/>
      <c r="W447" s="280"/>
      <c r="X447" s="278"/>
      <c r="Z447" s="280"/>
      <c r="AA447" s="278"/>
      <c r="AC447" s="280"/>
      <c r="AD447" s="278"/>
      <c r="AF447" s="280"/>
      <c r="AG447" s="278"/>
      <c r="AI447" s="280"/>
      <c r="AJ447" s="278"/>
      <c r="AL447" s="280"/>
      <c r="AM447" s="278"/>
    </row>
    <row r="448" spans="1:39" s="267" customFormat="1" x14ac:dyDescent="0.2">
      <c r="A448" s="308"/>
      <c r="B448" s="269"/>
      <c r="C448" s="290"/>
      <c r="D448" s="290"/>
      <c r="E448" s="290"/>
      <c r="F448" s="290"/>
      <c r="G448" s="290"/>
      <c r="H448" s="290"/>
      <c r="I448" s="290"/>
      <c r="J448" s="290"/>
      <c r="K448" s="290"/>
      <c r="L448" s="290"/>
      <c r="M448" s="290"/>
      <c r="N448" s="290"/>
      <c r="O448" s="290"/>
      <c r="P448" s="261"/>
      <c r="Q448" s="262"/>
      <c r="R448" s="435"/>
      <c r="S448" s="264"/>
      <c r="T448" s="266"/>
      <c r="U448" s="266"/>
      <c r="W448" s="268"/>
      <c r="X448" s="266"/>
      <c r="Z448" s="268"/>
      <c r="AA448" s="266"/>
      <c r="AC448" s="268"/>
      <c r="AD448" s="266"/>
      <c r="AF448" s="268"/>
      <c r="AG448" s="266"/>
      <c r="AI448" s="268"/>
      <c r="AJ448" s="266"/>
      <c r="AL448" s="268"/>
      <c r="AM448" s="266"/>
    </row>
    <row r="449" spans="1:39" s="267" customFormat="1" x14ac:dyDescent="0.2">
      <c r="A449" s="283"/>
      <c r="B449" s="265" t="s">
        <v>257</v>
      </c>
      <c r="C449" s="290"/>
      <c r="D449" s="290"/>
      <c r="E449" s="290"/>
      <c r="F449" s="290"/>
      <c r="G449" s="290"/>
      <c r="H449" s="290"/>
      <c r="I449" s="290"/>
      <c r="J449" s="290"/>
      <c r="K449" s="290"/>
      <c r="L449" s="290"/>
      <c r="M449" s="290"/>
      <c r="N449" s="290"/>
      <c r="O449" s="290"/>
      <c r="P449" s="261"/>
      <c r="Q449" s="262"/>
      <c r="R449" s="435"/>
      <c r="S449" s="264"/>
      <c r="T449" s="266"/>
      <c r="U449" s="266"/>
      <c r="W449" s="268"/>
      <c r="X449" s="266"/>
      <c r="Z449" s="268"/>
      <c r="AA449" s="266"/>
      <c r="AC449" s="268"/>
      <c r="AD449" s="266"/>
      <c r="AF449" s="268"/>
      <c r="AG449" s="266"/>
      <c r="AI449" s="268"/>
      <c r="AJ449" s="266"/>
      <c r="AL449" s="268"/>
      <c r="AM449" s="266"/>
    </row>
    <row r="450" spans="1:39" s="267" customFormat="1" x14ac:dyDescent="0.2">
      <c r="A450" s="283"/>
      <c r="B450" s="265"/>
      <c r="C450" s="290"/>
      <c r="D450" s="290"/>
      <c r="E450" s="290"/>
      <c r="F450" s="290"/>
      <c r="G450" s="290"/>
      <c r="H450" s="290"/>
      <c r="I450" s="290"/>
      <c r="J450" s="290"/>
      <c r="K450" s="290"/>
      <c r="L450" s="290"/>
      <c r="M450" s="290"/>
      <c r="N450" s="290"/>
      <c r="O450" s="290"/>
      <c r="P450" s="261"/>
      <c r="Q450" s="262"/>
      <c r="R450" s="435"/>
      <c r="S450" s="264"/>
      <c r="T450" s="266"/>
      <c r="U450" s="266"/>
      <c r="W450" s="268"/>
      <c r="X450" s="266"/>
      <c r="Z450" s="268"/>
      <c r="AA450" s="266"/>
      <c r="AC450" s="268"/>
      <c r="AD450" s="266"/>
      <c r="AF450" s="268"/>
      <c r="AG450" s="266"/>
      <c r="AI450" s="268"/>
      <c r="AJ450" s="266"/>
      <c r="AL450" s="268"/>
      <c r="AM450" s="266"/>
    </row>
    <row r="451" spans="1:39" s="267" customFormat="1" x14ac:dyDescent="0.2">
      <c r="A451" s="283"/>
      <c r="B451" s="293" t="s">
        <v>240</v>
      </c>
      <c r="C451" s="290"/>
      <c r="D451" s="290"/>
      <c r="E451" s="290"/>
      <c r="F451" s="290"/>
      <c r="G451" s="290"/>
      <c r="H451" s="290"/>
      <c r="I451" s="290"/>
      <c r="J451" s="290"/>
      <c r="K451" s="290"/>
      <c r="L451" s="290"/>
      <c r="M451" s="290"/>
      <c r="N451" s="290"/>
      <c r="O451" s="290"/>
      <c r="P451" s="261"/>
      <c r="Q451" s="262"/>
      <c r="R451" s="435"/>
      <c r="S451" s="264"/>
      <c r="T451" s="266"/>
      <c r="U451" s="266"/>
      <c r="W451" s="268"/>
      <c r="X451" s="266"/>
      <c r="Z451" s="268"/>
      <c r="AA451" s="266"/>
      <c r="AC451" s="268"/>
      <c r="AD451" s="266"/>
      <c r="AF451" s="268"/>
      <c r="AG451" s="266"/>
      <c r="AI451" s="268"/>
      <c r="AJ451" s="266"/>
      <c r="AL451" s="268"/>
      <c r="AM451" s="266"/>
    </row>
    <row r="452" spans="1:39" s="267" customFormat="1" x14ac:dyDescent="0.2">
      <c r="A452" s="283"/>
      <c r="B452" s="269"/>
      <c r="C452" s="290"/>
      <c r="D452" s="290"/>
      <c r="E452" s="290"/>
      <c r="F452" s="290"/>
      <c r="G452" s="290"/>
      <c r="H452" s="290"/>
      <c r="I452" s="290"/>
      <c r="J452" s="290"/>
      <c r="K452" s="290"/>
      <c r="L452" s="290"/>
      <c r="M452" s="290"/>
      <c r="N452" s="290"/>
      <c r="O452" s="290"/>
      <c r="P452" s="261"/>
      <c r="Q452" s="262"/>
      <c r="R452" s="435"/>
      <c r="S452" s="264"/>
      <c r="T452" s="266"/>
      <c r="U452" s="266"/>
      <c r="W452" s="268"/>
      <c r="X452" s="266"/>
      <c r="Z452" s="268"/>
      <c r="AA452" s="266"/>
      <c r="AC452" s="268"/>
      <c r="AD452" s="266"/>
      <c r="AF452" s="268"/>
      <c r="AG452" s="266"/>
      <c r="AI452" s="268"/>
      <c r="AJ452" s="266"/>
      <c r="AL452" s="268"/>
      <c r="AM452" s="266"/>
    </row>
    <row r="453" spans="1:39" s="267" customFormat="1" x14ac:dyDescent="0.2">
      <c r="A453" s="308" t="s">
        <v>66</v>
      </c>
      <c r="B453" s="269" t="s">
        <v>746</v>
      </c>
      <c r="C453" s="290">
        <f>(W453+X453)*$C$3</f>
        <v>4</v>
      </c>
      <c r="D453" s="290">
        <f>C453*$Q453</f>
        <v>0</v>
      </c>
      <c r="E453" s="290">
        <f>(Z453+AA453)*$E$3</f>
        <v>5</v>
      </c>
      <c r="F453" s="290">
        <f>E453*$Q453</f>
        <v>0</v>
      </c>
      <c r="G453" s="290">
        <f>(AC453+AD453)*$G$3</f>
        <v>30</v>
      </c>
      <c r="H453" s="290">
        <f>G453*$Q453</f>
        <v>0</v>
      </c>
      <c r="I453" s="290">
        <f>(AF453+AG453)*$I$3</f>
        <v>7</v>
      </c>
      <c r="J453" s="290">
        <f>I453*$Q453</f>
        <v>0</v>
      </c>
      <c r="K453" s="290">
        <f>(AI453+AJ453)*$K$3</f>
        <v>24</v>
      </c>
      <c r="L453" s="290">
        <f>K453*$Q453</f>
        <v>0</v>
      </c>
      <c r="M453" s="290">
        <f>(AL453+AM453)*$M$3</f>
        <v>9</v>
      </c>
      <c r="N453" s="290">
        <f>M453*$Q453</f>
        <v>0</v>
      </c>
      <c r="O453" s="290">
        <f>C453+E453+G453+I453+K453+M453</f>
        <v>79</v>
      </c>
      <c r="P453" s="261" t="s">
        <v>269</v>
      </c>
      <c r="Q453" s="262"/>
      <c r="R453" s="435">
        <f>O453*Q453</f>
        <v>0</v>
      </c>
      <c r="S453" s="264"/>
      <c r="T453" s="266">
        <v>1</v>
      </c>
      <c r="U453" s="266">
        <v>1</v>
      </c>
      <c r="W453" s="268">
        <f>T453*$W$3</f>
        <v>2</v>
      </c>
      <c r="X453" s="266">
        <f>U453*$X$3</f>
        <v>2</v>
      </c>
      <c r="Z453" s="268">
        <f>W453</f>
        <v>2</v>
      </c>
      <c r="AA453" s="266">
        <f>U453*$AA$3</f>
        <v>3</v>
      </c>
      <c r="AC453" s="268">
        <f>W453</f>
        <v>2</v>
      </c>
      <c r="AD453" s="266">
        <f>U453*$AD$3</f>
        <v>4</v>
      </c>
      <c r="AF453" s="268">
        <f>W453</f>
        <v>2</v>
      </c>
      <c r="AG453" s="266">
        <f>U453*$AG$3</f>
        <v>5</v>
      </c>
      <c r="AI453" s="268">
        <f>W453</f>
        <v>2</v>
      </c>
      <c r="AJ453" s="266">
        <f>U453*$AJ$3</f>
        <v>6</v>
      </c>
      <c r="AL453" s="268">
        <f>W453</f>
        <v>2</v>
      </c>
      <c r="AM453" s="266">
        <f>U453*$AM$3</f>
        <v>7</v>
      </c>
    </row>
    <row r="454" spans="1:39" s="267" customFormat="1" x14ac:dyDescent="0.2">
      <c r="A454" s="308"/>
      <c r="B454" s="269"/>
      <c r="C454" s="290"/>
      <c r="D454" s="290"/>
      <c r="E454" s="290"/>
      <c r="F454" s="290"/>
      <c r="G454" s="290"/>
      <c r="H454" s="290"/>
      <c r="I454" s="290"/>
      <c r="J454" s="290"/>
      <c r="K454" s="290"/>
      <c r="L454" s="290"/>
      <c r="M454" s="290"/>
      <c r="N454" s="290"/>
      <c r="O454" s="290"/>
      <c r="P454" s="261"/>
      <c r="Q454" s="262"/>
      <c r="R454" s="435"/>
      <c r="S454" s="264"/>
      <c r="T454" s="266"/>
      <c r="U454" s="266"/>
      <c r="W454" s="268"/>
      <c r="X454" s="266"/>
      <c r="Z454" s="268"/>
      <c r="AA454" s="266"/>
      <c r="AC454" s="268"/>
      <c r="AD454" s="266"/>
      <c r="AF454" s="268"/>
      <c r="AG454" s="266"/>
      <c r="AI454" s="268"/>
      <c r="AJ454" s="266"/>
      <c r="AL454" s="268"/>
      <c r="AM454" s="266"/>
    </row>
    <row r="455" spans="1:39" s="267" customFormat="1" x14ac:dyDescent="0.2">
      <c r="A455" s="308" t="s">
        <v>67</v>
      </c>
      <c r="B455" s="269" t="s">
        <v>215</v>
      </c>
      <c r="C455" s="290">
        <f>(W455+X455)*$C$3</f>
        <v>4</v>
      </c>
      <c r="D455" s="290">
        <f>C455*$Q455</f>
        <v>0</v>
      </c>
      <c r="E455" s="290">
        <f>(Z455+AA455)*$E$3</f>
        <v>5</v>
      </c>
      <c r="F455" s="290">
        <f>E455*$Q455</f>
        <v>0</v>
      </c>
      <c r="G455" s="290">
        <f>(AC455+AD455)*$G$3</f>
        <v>30</v>
      </c>
      <c r="H455" s="290">
        <f>G455*$Q455</f>
        <v>0</v>
      </c>
      <c r="I455" s="290">
        <f>(AF455+AG455)*$I$3</f>
        <v>7</v>
      </c>
      <c r="J455" s="290">
        <f>I455*$Q455</f>
        <v>0</v>
      </c>
      <c r="K455" s="290">
        <f>(AI455+AJ455)*$K$3</f>
        <v>24</v>
      </c>
      <c r="L455" s="290">
        <f>K455*$Q455</f>
        <v>0</v>
      </c>
      <c r="M455" s="290">
        <f>(AL455+AM455)*$M$3</f>
        <v>9</v>
      </c>
      <c r="N455" s="290">
        <f>M455*$Q455</f>
        <v>0</v>
      </c>
      <c r="O455" s="290">
        <f>C455+E455+G455+I455+K455+M455</f>
        <v>79</v>
      </c>
      <c r="P455" s="261" t="s">
        <v>269</v>
      </c>
      <c r="Q455" s="262"/>
      <c r="R455" s="435">
        <f>O455*Q455</f>
        <v>0</v>
      </c>
      <c r="S455" s="264"/>
      <c r="T455" s="266">
        <v>1</v>
      </c>
      <c r="U455" s="266">
        <v>1</v>
      </c>
      <c r="W455" s="268">
        <f>T455*$W$3</f>
        <v>2</v>
      </c>
      <c r="X455" s="266">
        <f>U455*$X$3</f>
        <v>2</v>
      </c>
      <c r="Z455" s="268">
        <f>W455</f>
        <v>2</v>
      </c>
      <c r="AA455" s="266">
        <f>U455*$AA$3</f>
        <v>3</v>
      </c>
      <c r="AC455" s="268">
        <f>W455</f>
        <v>2</v>
      </c>
      <c r="AD455" s="266">
        <f>U455*$AD$3</f>
        <v>4</v>
      </c>
      <c r="AF455" s="268">
        <f>W455</f>
        <v>2</v>
      </c>
      <c r="AG455" s="266">
        <f>U455*$AG$3</f>
        <v>5</v>
      </c>
      <c r="AI455" s="268">
        <f>W455</f>
        <v>2</v>
      </c>
      <c r="AJ455" s="266">
        <f>U455*$AJ$3</f>
        <v>6</v>
      </c>
      <c r="AL455" s="268">
        <f>W455</f>
        <v>2</v>
      </c>
      <c r="AM455" s="266">
        <f>U455*$AM$3</f>
        <v>7</v>
      </c>
    </row>
    <row r="456" spans="1:39" s="267" customFormat="1" x14ac:dyDescent="0.2">
      <c r="A456" s="308"/>
      <c r="B456" s="269"/>
      <c r="C456" s="290"/>
      <c r="D456" s="290"/>
      <c r="E456" s="290"/>
      <c r="F456" s="290"/>
      <c r="G456" s="290"/>
      <c r="H456" s="290"/>
      <c r="I456" s="290"/>
      <c r="J456" s="290"/>
      <c r="K456" s="290"/>
      <c r="L456" s="290"/>
      <c r="M456" s="290"/>
      <c r="N456" s="290"/>
      <c r="O456" s="290"/>
      <c r="P456" s="261"/>
      <c r="Q456" s="262"/>
      <c r="R456" s="435"/>
      <c r="S456" s="264"/>
      <c r="T456" s="266"/>
      <c r="U456" s="266"/>
      <c r="W456" s="268"/>
      <c r="X456" s="266"/>
      <c r="Z456" s="268"/>
      <c r="AA456" s="266"/>
      <c r="AC456" s="268"/>
      <c r="AD456" s="266"/>
      <c r="AF456" s="268"/>
      <c r="AG456" s="266"/>
      <c r="AI456" s="268"/>
      <c r="AJ456" s="266"/>
      <c r="AL456" s="268"/>
      <c r="AM456" s="266"/>
    </row>
    <row r="457" spans="1:39" s="267" customFormat="1" x14ac:dyDescent="0.2">
      <c r="A457" s="308" t="s">
        <v>68</v>
      </c>
      <c r="B457" s="269" t="s">
        <v>216</v>
      </c>
      <c r="C457" s="290">
        <f>(W457+X457)*$C$3</f>
        <v>4</v>
      </c>
      <c r="D457" s="290">
        <f>C457*$Q457</f>
        <v>0</v>
      </c>
      <c r="E457" s="290">
        <f>(Z457+AA457)*$E$3</f>
        <v>5</v>
      </c>
      <c r="F457" s="290">
        <f>E457*$Q457</f>
        <v>0</v>
      </c>
      <c r="G457" s="290">
        <f>(AC457+AD457)*$G$3</f>
        <v>30</v>
      </c>
      <c r="H457" s="290">
        <f>G457*$Q457</f>
        <v>0</v>
      </c>
      <c r="I457" s="290">
        <f>(AF457+AG457)*$I$3</f>
        <v>7</v>
      </c>
      <c r="J457" s="290">
        <f>I457*$Q457</f>
        <v>0</v>
      </c>
      <c r="K457" s="290">
        <f>(AI457+AJ457)*$K$3</f>
        <v>24</v>
      </c>
      <c r="L457" s="290">
        <f>K457*$Q457</f>
        <v>0</v>
      </c>
      <c r="M457" s="290">
        <f>(AL457+AM457)*$M$3</f>
        <v>9</v>
      </c>
      <c r="N457" s="290">
        <f>M457*$Q457</f>
        <v>0</v>
      </c>
      <c r="O457" s="290">
        <f>C457+E457+G457+I457+K457+M457</f>
        <v>79</v>
      </c>
      <c r="P457" s="261" t="s">
        <v>269</v>
      </c>
      <c r="Q457" s="262"/>
      <c r="R457" s="435">
        <f>O457*Q457</f>
        <v>0</v>
      </c>
      <c r="S457" s="264"/>
      <c r="T457" s="266">
        <v>1</v>
      </c>
      <c r="U457" s="266">
        <v>1</v>
      </c>
      <c r="W457" s="268">
        <f>T457*$W$3</f>
        <v>2</v>
      </c>
      <c r="X457" s="266">
        <f>U457*$X$3</f>
        <v>2</v>
      </c>
      <c r="Z457" s="268">
        <f>W457</f>
        <v>2</v>
      </c>
      <c r="AA457" s="266">
        <f>U457*$AA$3</f>
        <v>3</v>
      </c>
      <c r="AC457" s="268">
        <f>W457</f>
        <v>2</v>
      </c>
      <c r="AD457" s="266">
        <f>U457*$AD$3</f>
        <v>4</v>
      </c>
      <c r="AF457" s="268">
        <f>W457</f>
        <v>2</v>
      </c>
      <c r="AG457" s="266">
        <f>U457*$AG$3</f>
        <v>5</v>
      </c>
      <c r="AI457" s="268">
        <f>W457</f>
        <v>2</v>
      </c>
      <c r="AJ457" s="266">
        <f>U457*$AJ$3</f>
        <v>6</v>
      </c>
      <c r="AL457" s="268">
        <f>W457</f>
        <v>2</v>
      </c>
      <c r="AM457" s="266">
        <f>U457*$AM$3</f>
        <v>7</v>
      </c>
    </row>
    <row r="458" spans="1:39" s="267" customFormat="1" x14ac:dyDescent="0.2">
      <c r="A458" s="308"/>
      <c r="B458" s="269"/>
      <c r="C458" s="290"/>
      <c r="D458" s="290"/>
      <c r="E458" s="290"/>
      <c r="F458" s="290"/>
      <c r="G458" s="290"/>
      <c r="H458" s="290"/>
      <c r="I458" s="290"/>
      <c r="J458" s="290"/>
      <c r="K458" s="290"/>
      <c r="L458" s="290"/>
      <c r="M458" s="290"/>
      <c r="N458" s="290"/>
      <c r="O458" s="290"/>
      <c r="P458" s="261"/>
      <c r="Q458" s="262"/>
      <c r="R458" s="435"/>
      <c r="S458" s="264"/>
      <c r="T458" s="266"/>
      <c r="U458" s="266"/>
      <c r="W458" s="268"/>
      <c r="X458" s="266"/>
      <c r="Z458" s="268"/>
      <c r="AA458" s="266"/>
      <c r="AC458" s="268"/>
      <c r="AD458" s="266"/>
      <c r="AF458" s="268"/>
      <c r="AG458" s="266"/>
      <c r="AI458" s="268"/>
      <c r="AJ458" s="266"/>
      <c r="AL458" s="268"/>
      <c r="AM458" s="266"/>
    </row>
    <row r="459" spans="1:39" s="267" customFormat="1" x14ac:dyDescent="0.2">
      <c r="A459" s="308" t="s">
        <v>69</v>
      </c>
      <c r="B459" s="269" t="s">
        <v>747</v>
      </c>
      <c r="C459" s="290">
        <f>(W459+X459)*$C$3</f>
        <v>4</v>
      </c>
      <c r="D459" s="290">
        <f>C459*$Q459</f>
        <v>0</v>
      </c>
      <c r="E459" s="290">
        <f>(Z459+AA459)*$E$3</f>
        <v>5</v>
      </c>
      <c r="F459" s="290">
        <f>E459*$Q459</f>
        <v>0</v>
      </c>
      <c r="G459" s="290">
        <f>(AC459+AD459)*$G$3</f>
        <v>30</v>
      </c>
      <c r="H459" s="290">
        <f>G459*$Q459</f>
        <v>0</v>
      </c>
      <c r="I459" s="290">
        <f>(AF459+AG459)*$I$3</f>
        <v>7</v>
      </c>
      <c r="J459" s="290">
        <f>I459*$Q459</f>
        <v>0</v>
      </c>
      <c r="K459" s="290">
        <f>(AI459+AJ459)*$K$3</f>
        <v>24</v>
      </c>
      <c r="L459" s="290">
        <f>K459*$Q459</f>
        <v>0</v>
      </c>
      <c r="M459" s="290">
        <f>(AL459+AM459)*$M$3</f>
        <v>9</v>
      </c>
      <c r="N459" s="290">
        <f>M459*$Q459</f>
        <v>0</v>
      </c>
      <c r="O459" s="290">
        <f>C459+E459+G459+I459+K459+M459</f>
        <v>79</v>
      </c>
      <c r="P459" s="261" t="s">
        <v>269</v>
      </c>
      <c r="Q459" s="262"/>
      <c r="R459" s="435">
        <f>O459*Q459</f>
        <v>0</v>
      </c>
      <c r="S459" s="264"/>
      <c r="T459" s="266">
        <v>1</v>
      </c>
      <c r="U459" s="266">
        <v>1</v>
      </c>
      <c r="W459" s="268">
        <f>T459*$W$3</f>
        <v>2</v>
      </c>
      <c r="X459" s="266">
        <f>U459*$X$3</f>
        <v>2</v>
      </c>
      <c r="Z459" s="268">
        <f>W459</f>
        <v>2</v>
      </c>
      <c r="AA459" s="266">
        <f>U459*$AA$3</f>
        <v>3</v>
      </c>
      <c r="AC459" s="268">
        <f>W459</f>
        <v>2</v>
      </c>
      <c r="AD459" s="266">
        <f>U459*$AD$3</f>
        <v>4</v>
      </c>
      <c r="AF459" s="268">
        <f>W459</f>
        <v>2</v>
      </c>
      <c r="AG459" s="266">
        <f>U459*$AG$3</f>
        <v>5</v>
      </c>
      <c r="AI459" s="268">
        <f>W459</f>
        <v>2</v>
      </c>
      <c r="AJ459" s="266">
        <f>U459*$AJ$3</f>
        <v>6</v>
      </c>
      <c r="AL459" s="268">
        <f>W459</f>
        <v>2</v>
      </c>
      <c r="AM459" s="266">
        <f>U459*$AM$3</f>
        <v>7</v>
      </c>
    </row>
    <row r="460" spans="1:39" s="267" customFormat="1" x14ac:dyDescent="0.2">
      <c r="A460" s="283"/>
      <c r="B460" s="269"/>
      <c r="C460" s="290"/>
      <c r="D460" s="290"/>
      <c r="E460" s="290"/>
      <c r="F460" s="290"/>
      <c r="G460" s="290"/>
      <c r="H460" s="290"/>
      <c r="I460" s="290"/>
      <c r="J460" s="290"/>
      <c r="K460" s="290"/>
      <c r="L460" s="290"/>
      <c r="M460" s="290"/>
      <c r="N460" s="290"/>
      <c r="O460" s="290"/>
      <c r="P460" s="261"/>
      <c r="Q460" s="262"/>
      <c r="R460" s="435"/>
      <c r="S460" s="264"/>
      <c r="T460" s="266"/>
      <c r="U460" s="266"/>
      <c r="W460" s="268"/>
      <c r="X460" s="266"/>
      <c r="Z460" s="268"/>
      <c r="AA460" s="266"/>
      <c r="AC460" s="268"/>
      <c r="AD460" s="266"/>
      <c r="AF460" s="268"/>
      <c r="AG460" s="266"/>
      <c r="AI460" s="268"/>
      <c r="AJ460" s="266"/>
      <c r="AL460" s="268"/>
      <c r="AM460" s="266"/>
    </row>
    <row r="461" spans="1:39" s="264" customFormat="1" ht="28.5" x14ac:dyDescent="0.2">
      <c r="A461" s="323"/>
      <c r="B461" s="324" t="s">
        <v>748</v>
      </c>
      <c r="C461" s="290"/>
      <c r="D461" s="290"/>
      <c r="E461" s="290"/>
      <c r="F461" s="290"/>
      <c r="G461" s="290"/>
      <c r="H461" s="290"/>
      <c r="I461" s="290"/>
      <c r="J461" s="290"/>
      <c r="K461" s="290"/>
      <c r="L461" s="290"/>
      <c r="M461" s="290"/>
      <c r="N461" s="290"/>
      <c r="O461" s="290"/>
      <c r="P461" s="261"/>
      <c r="Q461" s="262"/>
      <c r="R461" s="435"/>
      <c r="T461" s="266"/>
      <c r="U461" s="266"/>
      <c r="W461" s="266"/>
      <c r="X461" s="266"/>
      <c r="Z461" s="266"/>
      <c r="AA461" s="266"/>
      <c r="AC461" s="266"/>
      <c r="AD461" s="266"/>
      <c r="AF461" s="266"/>
      <c r="AG461" s="266"/>
      <c r="AI461" s="266"/>
      <c r="AJ461" s="266"/>
      <c r="AL461" s="266"/>
      <c r="AM461" s="266"/>
    </row>
    <row r="462" spans="1:39" s="267" customFormat="1" x14ac:dyDescent="0.2">
      <c r="A462" s="323"/>
      <c r="B462" s="309"/>
      <c r="C462" s="290"/>
      <c r="D462" s="290"/>
      <c r="E462" s="290"/>
      <c r="F462" s="290"/>
      <c r="G462" s="290"/>
      <c r="H462" s="290"/>
      <c r="I462" s="290"/>
      <c r="J462" s="290"/>
      <c r="K462" s="290"/>
      <c r="L462" s="290"/>
      <c r="M462" s="290"/>
      <c r="N462" s="290"/>
      <c r="O462" s="290"/>
      <c r="P462" s="261"/>
      <c r="Q462" s="262"/>
      <c r="R462" s="435"/>
      <c r="S462" s="264"/>
      <c r="T462" s="266"/>
      <c r="U462" s="266"/>
      <c r="W462" s="268"/>
      <c r="X462" s="266"/>
      <c r="Z462" s="268"/>
      <c r="AA462" s="266"/>
      <c r="AC462" s="268"/>
      <c r="AD462" s="266"/>
      <c r="AF462" s="268"/>
      <c r="AG462" s="266"/>
      <c r="AI462" s="268"/>
      <c r="AJ462" s="266"/>
      <c r="AL462" s="268"/>
      <c r="AM462" s="266"/>
    </row>
    <row r="463" spans="1:39" s="267" customFormat="1" x14ac:dyDescent="0.2">
      <c r="A463" s="359" t="s">
        <v>70</v>
      </c>
      <c r="B463" s="325" t="s">
        <v>749</v>
      </c>
      <c r="C463" s="290">
        <f>(W463+X463)*$C$3</f>
        <v>4</v>
      </c>
      <c r="D463" s="290">
        <f>C463*$Q463</f>
        <v>0</v>
      </c>
      <c r="E463" s="290">
        <f>(Z463+AA463)*$E$3</f>
        <v>5</v>
      </c>
      <c r="F463" s="290">
        <f>E463*$Q463</f>
        <v>0</v>
      </c>
      <c r="G463" s="290">
        <f>(AC463+AD463)*$G$3</f>
        <v>30</v>
      </c>
      <c r="H463" s="290">
        <f>G463*$Q463</f>
        <v>0</v>
      </c>
      <c r="I463" s="290">
        <f>(AF463+AG463)*$I$3</f>
        <v>7</v>
      </c>
      <c r="J463" s="290">
        <f>I463*$Q463</f>
        <v>0</v>
      </c>
      <c r="K463" s="290">
        <f>(AI463+AJ463)*$K$3</f>
        <v>24</v>
      </c>
      <c r="L463" s="290">
        <f>K463*$Q463</f>
        <v>0</v>
      </c>
      <c r="M463" s="290">
        <f>(AL463+AM463)*$M$3</f>
        <v>9</v>
      </c>
      <c r="N463" s="290">
        <f>M463*$Q463</f>
        <v>0</v>
      </c>
      <c r="O463" s="290">
        <f>C463+E463+G463+I463+K463+M463</f>
        <v>79</v>
      </c>
      <c r="P463" s="261" t="s">
        <v>269</v>
      </c>
      <c r="Q463" s="262"/>
      <c r="R463" s="435">
        <f>O463*Q463</f>
        <v>0</v>
      </c>
      <c r="S463" s="264"/>
      <c r="T463" s="266">
        <v>1</v>
      </c>
      <c r="U463" s="266">
        <v>1</v>
      </c>
      <c r="W463" s="268">
        <f>T463*$W$3</f>
        <v>2</v>
      </c>
      <c r="X463" s="266">
        <f>U463*$X$3</f>
        <v>2</v>
      </c>
      <c r="Z463" s="268">
        <f>W463</f>
        <v>2</v>
      </c>
      <c r="AA463" s="266">
        <f>U463*$AA$3</f>
        <v>3</v>
      </c>
      <c r="AC463" s="268">
        <f>W463</f>
        <v>2</v>
      </c>
      <c r="AD463" s="266">
        <f>U463*$AD$3</f>
        <v>4</v>
      </c>
      <c r="AF463" s="268">
        <f>W463</f>
        <v>2</v>
      </c>
      <c r="AG463" s="266">
        <f>U463*$AG$3</f>
        <v>5</v>
      </c>
      <c r="AI463" s="268">
        <f>W463</f>
        <v>2</v>
      </c>
      <c r="AJ463" s="266">
        <f>U463*$AJ$3</f>
        <v>6</v>
      </c>
      <c r="AL463" s="268">
        <f>W463</f>
        <v>2</v>
      </c>
      <c r="AM463" s="266">
        <f>U463*$AM$3</f>
        <v>7</v>
      </c>
    </row>
    <row r="464" spans="1:39" s="267" customFormat="1" x14ac:dyDescent="0.2">
      <c r="A464" s="323"/>
      <c r="B464" s="325"/>
      <c r="C464" s="290"/>
      <c r="D464" s="290"/>
      <c r="E464" s="290"/>
      <c r="F464" s="290"/>
      <c r="G464" s="290"/>
      <c r="H464" s="290"/>
      <c r="I464" s="290"/>
      <c r="J464" s="290"/>
      <c r="K464" s="290"/>
      <c r="L464" s="290"/>
      <c r="M464" s="290"/>
      <c r="N464" s="290"/>
      <c r="O464" s="290"/>
      <c r="P464" s="261"/>
      <c r="Q464" s="262"/>
      <c r="R464" s="435"/>
      <c r="S464" s="264"/>
      <c r="T464" s="266"/>
      <c r="U464" s="266"/>
      <c r="W464" s="268"/>
      <c r="X464" s="266"/>
      <c r="Z464" s="268"/>
      <c r="AA464" s="266"/>
      <c r="AC464" s="268"/>
      <c r="AD464" s="266"/>
      <c r="AF464" s="268"/>
      <c r="AG464" s="266"/>
      <c r="AI464" s="268"/>
      <c r="AJ464" s="266"/>
      <c r="AL464" s="268"/>
      <c r="AM464" s="266"/>
    </row>
    <row r="465" spans="1:39" s="264" customFormat="1" ht="28.5" x14ac:dyDescent="0.2">
      <c r="A465" s="308"/>
      <c r="B465" s="326" t="s">
        <v>688</v>
      </c>
      <c r="C465" s="290"/>
      <c r="D465" s="290"/>
      <c r="E465" s="290"/>
      <c r="F465" s="290"/>
      <c r="G465" s="290"/>
      <c r="H465" s="290"/>
      <c r="I465" s="290"/>
      <c r="J465" s="290"/>
      <c r="K465" s="290"/>
      <c r="L465" s="290"/>
      <c r="M465" s="290"/>
      <c r="N465" s="290"/>
      <c r="O465" s="290"/>
      <c r="P465" s="261"/>
      <c r="Q465" s="262"/>
      <c r="R465" s="435"/>
      <c r="T465" s="266"/>
      <c r="U465" s="266"/>
      <c r="W465" s="266"/>
      <c r="X465" s="266"/>
      <c r="Z465" s="266"/>
      <c r="AA465" s="266"/>
      <c r="AC465" s="266"/>
      <c r="AD465" s="266"/>
      <c r="AF465" s="266"/>
      <c r="AG465" s="266"/>
      <c r="AI465" s="266"/>
      <c r="AJ465" s="266"/>
      <c r="AL465" s="266"/>
      <c r="AM465" s="266"/>
    </row>
    <row r="466" spans="1:39" s="267" customFormat="1" x14ac:dyDescent="0.2">
      <c r="A466" s="308"/>
      <c r="B466" s="264"/>
      <c r="C466" s="290"/>
      <c r="D466" s="290"/>
      <c r="E466" s="290"/>
      <c r="F466" s="290"/>
      <c r="G466" s="290"/>
      <c r="H466" s="290"/>
      <c r="I466" s="290"/>
      <c r="J466" s="290"/>
      <c r="K466" s="290"/>
      <c r="L466" s="290"/>
      <c r="M466" s="290"/>
      <c r="N466" s="290"/>
      <c r="O466" s="290"/>
      <c r="P466" s="261"/>
      <c r="Q466" s="262"/>
      <c r="R466" s="435"/>
      <c r="S466" s="264"/>
      <c r="T466" s="266"/>
      <c r="U466" s="266"/>
      <c r="W466" s="268"/>
      <c r="X466" s="266"/>
      <c r="Z466" s="268"/>
      <c r="AA466" s="266"/>
      <c r="AC466" s="268"/>
      <c r="AD466" s="266"/>
      <c r="AF466" s="268"/>
      <c r="AG466" s="266"/>
      <c r="AI466" s="268"/>
      <c r="AJ466" s="266"/>
      <c r="AL466" s="268"/>
      <c r="AM466" s="266"/>
    </row>
    <row r="467" spans="1:39" s="267" customFormat="1" x14ac:dyDescent="0.2">
      <c r="A467" s="308" t="s">
        <v>71</v>
      </c>
      <c r="B467" s="264" t="s">
        <v>750</v>
      </c>
      <c r="C467" s="290"/>
      <c r="D467" s="290"/>
      <c r="E467" s="290"/>
      <c r="F467" s="290"/>
      <c r="G467" s="290"/>
      <c r="H467" s="290"/>
      <c r="I467" s="290"/>
      <c r="J467" s="290"/>
      <c r="K467" s="290"/>
      <c r="L467" s="290"/>
      <c r="M467" s="290"/>
      <c r="N467" s="290"/>
      <c r="O467" s="290">
        <f>C467+E467+G467+I467+K467+M467</f>
        <v>0</v>
      </c>
      <c r="P467" s="261" t="s">
        <v>5</v>
      </c>
      <c r="Q467" s="262"/>
      <c r="R467" s="435">
        <f>O467*Q467</f>
        <v>0</v>
      </c>
      <c r="S467" s="264"/>
      <c r="T467" s="266">
        <v>1</v>
      </c>
      <c r="U467" s="266">
        <v>1</v>
      </c>
      <c r="W467" s="268">
        <f>T467*$W$3</f>
        <v>2</v>
      </c>
      <c r="X467" s="266">
        <f>U467*$X$3</f>
        <v>2</v>
      </c>
      <c r="Z467" s="268">
        <f>W467</f>
        <v>2</v>
      </c>
      <c r="AA467" s="266">
        <f>U467*$AA$3</f>
        <v>3</v>
      </c>
      <c r="AC467" s="268">
        <f>W467</f>
        <v>2</v>
      </c>
      <c r="AD467" s="266">
        <f>U467*$AD$3</f>
        <v>4</v>
      </c>
      <c r="AF467" s="268">
        <f>W467</f>
        <v>2</v>
      </c>
      <c r="AG467" s="266">
        <f>U467*$AG$3</f>
        <v>5</v>
      </c>
      <c r="AI467" s="268">
        <f>W467</f>
        <v>2</v>
      </c>
      <c r="AJ467" s="266">
        <f>U467*$AJ$3</f>
        <v>6</v>
      </c>
      <c r="AL467" s="268">
        <f>W467</f>
        <v>2</v>
      </c>
      <c r="AM467" s="266">
        <f>U467*$AM$3</f>
        <v>7</v>
      </c>
    </row>
    <row r="468" spans="1:39" s="267" customFormat="1" x14ac:dyDescent="0.2">
      <c r="A468" s="308"/>
      <c r="B468" s="269"/>
      <c r="C468" s="290"/>
      <c r="D468" s="290"/>
      <c r="E468" s="290"/>
      <c r="F468" s="290"/>
      <c r="G468" s="290"/>
      <c r="H468" s="290"/>
      <c r="I468" s="290"/>
      <c r="J468" s="290"/>
      <c r="K468" s="290"/>
      <c r="L468" s="290"/>
      <c r="M468" s="290"/>
      <c r="N468" s="290"/>
      <c r="O468" s="290"/>
      <c r="P468" s="261"/>
      <c r="Q468" s="262"/>
      <c r="R468" s="435"/>
      <c r="S468" s="264"/>
      <c r="T468" s="266"/>
      <c r="U468" s="266"/>
      <c r="W468" s="268"/>
      <c r="X468" s="305"/>
      <c r="Z468" s="268"/>
      <c r="AA468" s="305"/>
      <c r="AC468" s="268"/>
      <c r="AD468" s="305"/>
      <c r="AF468" s="268"/>
      <c r="AG468" s="305"/>
      <c r="AI468" s="268"/>
      <c r="AJ468" s="305"/>
      <c r="AL468" s="268"/>
      <c r="AM468" s="305"/>
    </row>
    <row r="469" spans="1:39" s="267" customFormat="1" x14ac:dyDescent="0.2">
      <c r="A469" s="308"/>
      <c r="B469" s="269"/>
      <c r="C469" s="290"/>
      <c r="D469" s="290"/>
      <c r="E469" s="290"/>
      <c r="F469" s="290"/>
      <c r="G469" s="290"/>
      <c r="H469" s="290"/>
      <c r="I469" s="290"/>
      <c r="J469" s="290"/>
      <c r="K469" s="290"/>
      <c r="L469" s="290"/>
      <c r="M469" s="290"/>
      <c r="N469" s="290"/>
      <c r="O469" s="290"/>
      <c r="P469" s="261"/>
      <c r="Q469" s="262"/>
      <c r="R469" s="435"/>
      <c r="S469" s="264"/>
      <c r="T469" s="266"/>
      <c r="U469" s="266"/>
      <c r="W469" s="268"/>
      <c r="X469" s="266"/>
      <c r="Z469" s="268"/>
      <c r="AA469" s="266"/>
      <c r="AC469" s="268"/>
      <c r="AD469" s="266"/>
      <c r="AF469" s="268"/>
      <c r="AG469" s="266"/>
      <c r="AI469" s="268"/>
      <c r="AJ469" s="266"/>
      <c r="AL469" s="268"/>
      <c r="AM469" s="266"/>
    </row>
    <row r="470" spans="1:39" s="267" customFormat="1" x14ac:dyDescent="0.2">
      <c r="A470" s="308"/>
      <c r="B470" s="269"/>
      <c r="C470" s="290"/>
      <c r="D470" s="290"/>
      <c r="E470" s="290"/>
      <c r="F470" s="290"/>
      <c r="G470" s="290"/>
      <c r="H470" s="290"/>
      <c r="I470" s="290"/>
      <c r="J470" s="290"/>
      <c r="K470" s="290"/>
      <c r="L470" s="290"/>
      <c r="M470" s="290"/>
      <c r="N470" s="290"/>
      <c r="O470" s="290"/>
      <c r="P470" s="261"/>
      <c r="Q470" s="262"/>
      <c r="R470" s="435"/>
      <c r="S470" s="264"/>
      <c r="T470" s="266"/>
      <c r="U470" s="266"/>
      <c r="W470" s="268"/>
      <c r="X470" s="266"/>
      <c r="Z470" s="268"/>
      <c r="AA470" s="266"/>
      <c r="AC470" s="268"/>
      <c r="AD470" s="266"/>
      <c r="AF470" s="268"/>
      <c r="AG470" s="266"/>
      <c r="AI470" s="268"/>
      <c r="AJ470" s="266"/>
      <c r="AL470" s="268"/>
      <c r="AM470" s="266"/>
    </row>
    <row r="471" spans="1:39" s="267" customFormat="1" x14ac:dyDescent="0.2">
      <c r="A471" s="308"/>
      <c r="B471" s="269"/>
      <c r="C471" s="290"/>
      <c r="D471" s="290"/>
      <c r="E471" s="290"/>
      <c r="F471" s="290"/>
      <c r="G471" s="290"/>
      <c r="H471" s="290"/>
      <c r="I471" s="290"/>
      <c r="J471" s="290"/>
      <c r="K471" s="290"/>
      <c r="L471" s="290"/>
      <c r="M471" s="290"/>
      <c r="N471" s="290"/>
      <c r="O471" s="290"/>
      <c r="P471" s="261"/>
      <c r="Q471" s="262"/>
      <c r="R471" s="435"/>
      <c r="S471" s="264"/>
      <c r="T471" s="266"/>
      <c r="U471" s="266"/>
      <c r="W471" s="268"/>
      <c r="X471" s="266"/>
      <c r="Z471" s="268"/>
      <c r="AA471" s="266"/>
      <c r="AC471" s="268"/>
      <c r="AD471" s="266"/>
      <c r="AF471" s="268"/>
      <c r="AG471" s="266"/>
      <c r="AI471" s="268"/>
      <c r="AJ471" s="266"/>
      <c r="AL471" s="268"/>
      <c r="AM471" s="266"/>
    </row>
    <row r="472" spans="1:39" s="267" customFormat="1" x14ac:dyDescent="0.2">
      <c r="A472" s="308"/>
      <c r="B472" s="269"/>
      <c r="C472" s="290"/>
      <c r="D472" s="290"/>
      <c r="E472" s="290"/>
      <c r="F472" s="290"/>
      <c r="G472" s="290"/>
      <c r="H472" s="290"/>
      <c r="I472" s="290"/>
      <c r="J472" s="290"/>
      <c r="K472" s="290"/>
      <c r="L472" s="290"/>
      <c r="M472" s="290"/>
      <c r="N472" s="290"/>
      <c r="O472" s="290"/>
      <c r="P472" s="261"/>
      <c r="Q472" s="262"/>
      <c r="R472" s="435"/>
      <c r="S472" s="264"/>
      <c r="T472" s="266"/>
      <c r="U472" s="266"/>
      <c r="W472" s="268"/>
      <c r="X472" s="266"/>
      <c r="Z472" s="268"/>
      <c r="AA472" s="266"/>
      <c r="AC472" s="268"/>
      <c r="AD472" s="266"/>
      <c r="AF472" s="268"/>
      <c r="AG472" s="266"/>
      <c r="AI472" s="268"/>
      <c r="AJ472" s="266"/>
      <c r="AL472" s="268"/>
      <c r="AM472" s="266"/>
    </row>
    <row r="473" spans="1:39" s="267" customFormat="1" x14ac:dyDescent="0.2">
      <c r="A473" s="308"/>
      <c r="B473" s="269"/>
      <c r="C473" s="290"/>
      <c r="D473" s="290"/>
      <c r="E473" s="290"/>
      <c r="F473" s="290"/>
      <c r="G473" s="290"/>
      <c r="H473" s="290"/>
      <c r="I473" s="290"/>
      <c r="J473" s="290"/>
      <c r="K473" s="290"/>
      <c r="L473" s="290"/>
      <c r="M473" s="290"/>
      <c r="N473" s="290"/>
      <c r="O473" s="290"/>
      <c r="P473" s="261"/>
      <c r="Q473" s="262"/>
      <c r="R473" s="435"/>
      <c r="S473" s="264"/>
      <c r="T473" s="266"/>
      <c r="U473" s="266"/>
      <c r="W473" s="268"/>
      <c r="X473" s="266"/>
      <c r="Z473" s="268"/>
      <c r="AA473" s="266"/>
      <c r="AC473" s="268"/>
      <c r="AD473" s="266"/>
      <c r="AF473" s="268"/>
      <c r="AG473" s="266"/>
      <c r="AI473" s="268"/>
      <c r="AJ473" s="266"/>
      <c r="AL473" s="268"/>
      <c r="AM473" s="266"/>
    </row>
    <row r="474" spans="1:39" s="267" customFormat="1" x14ac:dyDescent="0.2">
      <c r="A474" s="308"/>
      <c r="B474" s="269"/>
      <c r="C474" s="290"/>
      <c r="D474" s="290"/>
      <c r="E474" s="290"/>
      <c r="F474" s="290"/>
      <c r="G474" s="290"/>
      <c r="H474" s="290"/>
      <c r="I474" s="290"/>
      <c r="J474" s="290"/>
      <c r="K474" s="290"/>
      <c r="L474" s="290"/>
      <c r="M474" s="290"/>
      <c r="N474" s="290"/>
      <c r="O474" s="290"/>
      <c r="P474" s="261"/>
      <c r="Q474" s="262"/>
      <c r="R474" s="435"/>
      <c r="S474" s="264"/>
      <c r="T474" s="266"/>
      <c r="U474" s="266"/>
      <c r="W474" s="268"/>
      <c r="X474" s="266"/>
      <c r="Z474" s="268"/>
      <c r="AA474" s="266"/>
      <c r="AC474" s="268"/>
      <c r="AD474" s="266"/>
      <c r="AF474" s="268"/>
      <c r="AG474" s="266"/>
      <c r="AI474" s="268"/>
      <c r="AJ474" s="266"/>
      <c r="AL474" s="268"/>
      <c r="AM474" s="266"/>
    </row>
    <row r="475" spans="1:39" s="267" customFormat="1" x14ac:dyDescent="0.2">
      <c r="A475" s="308"/>
      <c r="B475" s="269"/>
      <c r="C475" s="290"/>
      <c r="D475" s="290"/>
      <c r="E475" s="290"/>
      <c r="F475" s="290"/>
      <c r="G475" s="290"/>
      <c r="H475" s="290"/>
      <c r="I475" s="290"/>
      <c r="J475" s="290"/>
      <c r="K475" s="290"/>
      <c r="L475" s="290"/>
      <c r="M475" s="290"/>
      <c r="N475" s="290"/>
      <c r="O475" s="290"/>
      <c r="P475" s="261"/>
      <c r="Q475" s="262"/>
      <c r="R475" s="435"/>
      <c r="S475" s="264"/>
      <c r="T475" s="266"/>
      <c r="U475" s="266"/>
      <c r="W475" s="268"/>
      <c r="X475" s="266"/>
      <c r="Z475" s="268"/>
      <c r="AA475" s="266"/>
      <c r="AC475" s="268"/>
      <c r="AD475" s="266"/>
      <c r="AF475" s="268"/>
      <c r="AG475" s="266"/>
      <c r="AI475" s="268"/>
      <c r="AJ475" s="266"/>
      <c r="AL475" s="268"/>
      <c r="AM475" s="266"/>
    </row>
    <row r="476" spans="1:39" s="267" customFormat="1" x14ac:dyDescent="0.2">
      <c r="A476" s="308"/>
      <c r="B476" s="269"/>
      <c r="C476" s="290"/>
      <c r="D476" s="290"/>
      <c r="E476" s="290"/>
      <c r="F476" s="290"/>
      <c r="G476" s="290"/>
      <c r="H476" s="290"/>
      <c r="I476" s="290"/>
      <c r="J476" s="290"/>
      <c r="K476" s="290"/>
      <c r="L476" s="290"/>
      <c r="M476" s="290"/>
      <c r="N476" s="290"/>
      <c r="O476" s="290"/>
      <c r="P476" s="261"/>
      <c r="Q476" s="262"/>
      <c r="R476" s="435"/>
      <c r="S476" s="264"/>
      <c r="T476" s="266"/>
      <c r="U476" s="266"/>
      <c r="W476" s="268"/>
      <c r="X476" s="266"/>
      <c r="Z476" s="268"/>
      <c r="AA476" s="266"/>
      <c r="AC476" s="268"/>
      <c r="AD476" s="266"/>
      <c r="AF476" s="268"/>
      <c r="AG476" s="266"/>
      <c r="AI476" s="268"/>
      <c r="AJ476" s="266"/>
      <c r="AL476" s="268"/>
      <c r="AM476" s="266"/>
    </row>
    <row r="477" spans="1:39" s="267" customFormat="1" x14ac:dyDescent="0.2">
      <c r="A477" s="308"/>
      <c r="B477" s="269"/>
      <c r="C477" s="290"/>
      <c r="D477" s="290"/>
      <c r="E477" s="290"/>
      <c r="F477" s="290"/>
      <c r="G477" s="290"/>
      <c r="H477" s="290"/>
      <c r="I477" s="290"/>
      <c r="J477" s="290"/>
      <c r="K477" s="290"/>
      <c r="L477" s="290"/>
      <c r="M477" s="290"/>
      <c r="N477" s="290"/>
      <c r="O477" s="290"/>
      <c r="P477" s="261"/>
      <c r="Q477" s="262"/>
      <c r="R477" s="435"/>
      <c r="S477" s="264"/>
      <c r="T477" s="266"/>
      <c r="U477" s="266"/>
      <c r="W477" s="268"/>
      <c r="X477" s="266"/>
      <c r="Z477" s="268"/>
      <c r="AA477" s="266"/>
      <c r="AC477" s="268"/>
      <c r="AD477" s="266"/>
      <c r="AF477" s="268"/>
      <c r="AG477" s="266"/>
      <c r="AI477" s="268"/>
      <c r="AJ477" s="266"/>
      <c r="AL477" s="268"/>
      <c r="AM477" s="266"/>
    </row>
    <row r="478" spans="1:39" s="267" customFormat="1" x14ac:dyDescent="0.2">
      <c r="A478" s="308"/>
      <c r="B478" s="269"/>
      <c r="C478" s="290"/>
      <c r="D478" s="290"/>
      <c r="E478" s="290"/>
      <c r="F478" s="290"/>
      <c r="G478" s="290"/>
      <c r="H478" s="290"/>
      <c r="I478" s="290"/>
      <c r="J478" s="290"/>
      <c r="K478" s="290"/>
      <c r="L478" s="290"/>
      <c r="M478" s="290"/>
      <c r="N478" s="290"/>
      <c r="O478" s="290"/>
      <c r="P478" s="261"/>
      <c r="Q478" s="262"/>
      <c r="R478" s="435"/>
      <c r="S478" s="264"/>
      <c r="T478" s="266"/>
      <c r="U478" s="266"/>
      <c r="W478" s="268"/>
      <c r="X478" s="266"/>
      <c r="Z478" s="268"/>
      <c r="AA478" s="266"/>
      <c r="AC478" s="268"/>
      <c r="AD478" s="266"/>
      <c r="AF478" s="268"/>
      <c r="AG478" s="266"/>
      <c r="AI478" s="268"/>
      <c r="AJ478" s="266"/>
      <c r="AL478" s="268"/>
      <c r="AM478" s="266"/>
    </row>
    <row r="479" spans="1:39" s="267" customFormat="1" x14ac:dyDescent="0.2">
      <c r="A479" s="308"/>
      <c r="B479" s="269"/>
      <c r="C479" s="290"/>
      <c r="D479" s="290"/>
      <c r="E479" s="290"/>
      <c r="F479" s="290"/>
      <c r="G479" s="290"/>
      <c r="H479" s="290"/>
      <c r="I479" s="290"/>
      <c r="J479" s="290"/>
      <c r="K479" s="290"/>
      <c r="L479" s="290"/>
      <c r="M479" s="290"/>
      <c r="N479" s="290"/>
      <c r="O479" s="290"/>
      <c r="P479" s="261"/>
      <c r="Q479" s="262"/>
      <c r="R479" s="435"/>
      <c r="S479" s="264"/>
      <c r="T479" s="266"/>
      <c r="U479" s="266"/>
      <c r="W479" s="268"/>
      <c r="X479" s="266"/>
      <c r="Z479" s="268"/>
      <c r="AA479" s="266"/>
      <c r="AC479" s="268"/>
      <c r="AD479" s="266"/>
      <c r="AF479" s="268"/>
      <c r="AG479" s="266"/>
      <c r="AI479" s="268"/>
      <c r="AJ479" s="266"/>
      <c r="AL479" s="268"/>
      <c r="AM479" s="266"/>
    </row>
    <row r="480" spans="1:39" s="267" customFormat="1" x14ac:dyDescent="0.2">
      <c r="A480" s="308"/>
      <c r="B480" s="269"/>
      <c r="C480" s="290"/>
      <c r="D480" s="290"/>
      <c r="E480" s="290"/>
      <c r="F480" s="290"/>
      <c r="G480" s="290"/>
      <c r="H480" s="290"/>
      <c r="I480" s="290"/>
      <c r="J480" s="290"/>
      <c r="K480" s="290"/>
      <c r="L480" s="290"/>
      <c r="M480" s="290"/>
      <c r="N480" s="290"/>
      <c r="O480" s="290"/>
      <c r="P480" s="261"/>
      <c r="Q480" s="262"/>
      <c r="R480" s="435"/>
      <c r="S480" s="264"/>
      <c r="T480" s="266"/>
      <c r="U480" s="266"/>
      <c r="W480" s="268"/>
      <c r="X480" s="266"/>
      <c r="Z480" s="268"/>
      <c r="AA480" s="266"/>
      <c r="AC480" s="268"/>
      <c r="AD480" s="266"/>
      <c r="AF480" s="268"/>
      <c r="AG480" s="266"/>
      <c r="AI480" s="268"/>
      <c r="AJ480" s="266"/>
      <c r="AL480" s="268"/>
      <c r="AM480" s="266"/>
    </row>
    <row r="481" spans="1:39" s="267" customFormat="1" x14ac:dyDescent="0.2">
      <c r="A481" s="308"/>
      <c r="B481" s="269"/>
      <c r="C481" s="290"/>
      <c r="D481" s="290"/>
      <c r="E481" s="290"/>
      <c r="F481" s="290"/>
      <c r="G481" s="290"/>
      <c r="H481" s="290"/>
      <c r="I481" s="290"/>
      <c r="J481" s="290"/>
      <c r="K481" s="290"/>
      <c r="L481" s="290"/>
      <c r="M481" s="290"/>
      <c r="N481" s="290"/>
      <c r="O481" s="290"/>
      <c r="P481" s="261"/>
      <c r="Q481" s="262"/>
      <c r="R481" s="435"/>
      <c r="S481" s="264"/>
      <c r="T481" s="266"/>
      <c r="U481" s="266"/>
      <c r="W481" s="268"/>
      <c r="X481" s="266"/>
      <c r="Z481" s="268"/>
      <c r="AA481" s="266"/>
      <c r="AC481" s="268"/>
      <c r="AD481" s="266"/>
      <c r="AF481" s="268"/>
      <c r="AG481" s="266"/>
      <c r="AI481" s="268"/>
      <c r="AJ481" s="266"/>
      <c r="AL481" s="268"/>
      <c r="AM481" s="266"/>
    </row>
    <row r="482" spans="1:39" s="267" customFormat="1" x14ac:dyDescent="0.2">
      <c r="A482" s="308"/>
      <c r="B482" s="269"/>
      <c r="C482" s="290"/>
      <c r="D482" s="290"/>
      <c r="E482" s="290"/>
      <c r="F482" s="290"/>
      <c r="G482" s="290"/>
      <c r="H482" s="290"/>
      <c r="I482" s="290"/>
      <c r="J482" s="290"/>
      <c r="K482" s="290"/>
      <c r="L482" s="290"/>
      <c r="M482" s="290"/>
      <c r="N482" s="290"/>
      <c r="O482" s="290"/>
      <c r="P482" s="261"/>
      <c r="Q482" s="262"/>
      <c r="R482" s="435"/>
      <c r="S482" s="264"/>
      <c r="T482" s="266"/>
      <c r="U482" s="266"/>
      <c r="W482" s="268"/>
      <c r="X482" s="266"/>
      <c r="Z482" s="268"/>
      <c r="AA482" s="266"/>
      <c r="AC482" s="268"/>
      <c r="AD482" s="266"/>
      <c r="AF482" s="268"/>
      <c r="AG482" s="266"/>
      <c r="AI482" s="268"/>
      <c r="AJ482" s="266"/>
      <c r="AL482" s="268"/>
      <c r="AM482" s="266"/>
    </row>
    <row r="483" spans="1:39" s="267" customFormat="1" x14ac:dyDescent="0.2">
      <c r="A483" s="308"/>
      <c r="B483" s="269"/>
      <c r="C483" s="290"/>
      <c r="D483" s="290"/>
      <c r="E483" s="290"/>
      <c r="F483" s="290"/>
      <c r="G483" s="290"/>
      <c r="H483" s="290"/>
      <c r="I483" s="290"/>
      <c r="J483" s="290"/>
      <c r="K483" s="290"/>
      <c r="L483" s="290"/>
      <c r="M483" s="290"/>
      <c r="N483" s="290"/>
      <c r="O483" s="290"/>
      <c r="P483" s="261"/>
      <c r="Q483" s="262"/>
      <c r="R483" s="435"/>
      <c r="S483" s="264"/>
      <c r="T483" s="266"/>
      <c r="U483" s="266"/>
      <c r="W483" s="268"/>
      <c r="X483" s="266"/>
      <c r="Z483" s="268"/>
      <c r="AA483" s="266"/>
      <c r="AC483" s="268"/>
      <c r="AD483" s="266"/>
      <c r="AF483" s="268"/>
      <c r="AG483" s="266"/>
      <c r="AI483" s="268"/>
      <c r="AJ483" s="266"/>
      <c r="AL483" s="268"/>
      <c r="AM483" s="266"/>
    </row>
    <row r="484" spans="1:39" s="267" customFormat="1" x14ac:dyDescent="0.2">
      <c r="A484" s="308"/>
      <c r="B484" s="269"/>
      <c r="C484" s="290"/>
      <c r="D484" s="290"/>
      <c r="E484" s="290"/>
      <c r="F484" s="290"/>
      <c r="G484" s="290"/>
      <c r="H484" s="290"/>
      <c r="I484" s="290"/>
      <c r="J484" s="290"/>
      <c r="K484" s="290"/>
      <c r="L484" s="290"/>
      <c r="M484" s="290"/>
      <c r="N484" s="290"/>
      <c r="O484" s="290"/>
      <c r="P484" s="261"/>
      <c r="Q484" s="262"/>
      <c r="R484" s="435"/>
      <c r="S484" s="264"/>
      <c r="T484" s="266"/>
      <c r="U484" s="266"/>
      <c r="W484" s="268"/>
      <c r="X484" s="266"/>
      <c r="Z484" s="268"/>
      <c r="AA484" s="266"/>
      <c r="AC484" s="268"/>
      <c r="AD484" s="266"/>
      <c r="AF484" s="268"/>
      <c r="AG484" s="266"/>
      <c r="AI484" s="268"/>
      <c r="AJ484" s="266"/>
      <c r="AL484" s="268"/>
      <c r="AM484" s="266"/>
    </row>
    <row r="485" spans="1:39" s="267" customFormat="1" x14ac:dyDescent="0.2">
      <c r="A485" s="308"/>
      <c r="B485" s="269"/>
      <c r="C485" s="290"/>
      <c r="D485" s="290"/>
      <c r="E485" s="290"/>
      <c r="F485" s="290"/>
      <c r="G485" s="290"/>
      <c r="H485" s="290"/>
      <c r="I485" s="290"/>
      <c r="J485" s="290"/>
      <c r="K485" s="290"/>
      <c r="L485" s="290"/>
      <c r="M485" s="290"/>
      <c r="N485" s="290"/>
      <c r="O485" s="290"/>
      <c r="P485" s="261"/>
      <c r="Q485" s="262"/>
      <c r="R485" s="435"/>
      <c r="S485" s="264"/>
      <c r="T485" s="266"/>
      <c r="U485" s="266"/>
      <c r="W485" s="268"/>
      <c r="X485" s="266"/>
      <c r="Z485" s="268"/>
      <c r="AA485" s="266"/>
      <c r="AC485" s="268"/>
      <c r="AD485" s="266"/>
      <c r="AF485" s="268"/>
      <c r="AG485" s="266"/>
      <c r="AI485" s="268"/>
      <c r="AJ485" s="266"/>
      <c r="AL485" s="268"/>
      <c r="AM485" s="266"/>
    </row>
    <row r="486" spans="1:39" s="267" customFormat="1" x14ac:dyDescent="0.2">
      <c r="A486" s="308"/>
      <c r="B486" s="269"/>
      <c r="C486" s="290"/>
      <c r="D486" s="290"/>
      <c r="E486" s="290"/>
      <c r="F486" s="290"/>
      <c r="G486" s="290"/>
      <c r="H486" s="290"/>
      <c r="I486" s="290"/>
      <c r="J486" s="290"/>
      <c r="K486" s="290"/>
      <c r="L486" s="290"/>
      <c r="M486" s="290"/>
      <c r="N486" s="290"/>
      <c r="O486" s="290"/>
      <c r="P486" s="261"/>
      <c r="Q486" s="262"/>
      <c r="R486" s="435"/>
      <c r="S486" s="264"/>
      <c r="T486" s="266"/>
      <c r="U486" s="266"/>
      <c r="W486" s="268"/>
      <c r="X486" s="266"/>
      <c r="Z486" s="268"/>
      <c r="AA486" s="266"/>
      <c r="AC486" s="268"/>
      <c r="AD486" s="266"/>
      <c r="AF486" s="268"/>
      <c r="AG486" s="266"/>
      <c r="AI486" s="268"/>
      <c r="AJ486" s="266"/>
      <c r="AL486" s="268"/>
      <c r="AM486" s="266"/>
    </row>
    <row r="487" spans="1:39" s="267" customFormat="1" x14ac:dyDescent="0.2">
      <c r="A487" s="308"/>
      <c r="B487" s="269"/>
      <c r="C487" s="290"/>
      <c r="D487" s="290"/>
      <c r="E487" s="290"/>
      <c r="F487" s="290"/>
      <c r="G487" s="290"/>
      <c r="H487" s="290"/>
      <c r="I487" s="290"/>
      <c r="J487" s="290"/>
      <c r="K487" s="290"/>
      <c r="L487" s="290"/>
      <c r="M487" s="290"/>
      <c r="N487" s="290"/>
      <c r="O487" s="290"/>
      <c r="P487" s="261"/>
      <c r="Q487" s="262"/>
      <c r="R487" s="435"/>
      <c r="S487" s="264"/>
      <c r="T487" s="266"/>
      <c r="U487" s="266"/>
      <c r="W487" s="268"/>
      <c r="X487" s="266"/>
      <c r="Z487" s="268"/>
      <c r="AA487" s="266"/>
      <c r="AC487" s="268"/>
      <c r="AD487" s="266"/>
      <c r="AF487" s="268"/>
      <c r="AG487" s="266"/>
      <c r="AI487" s="268"/>
      <c r="AJ487" s="266"/>
      <c r="AL487" s="268"/>
      <c r="AM487" s="266"/>
    </row>
    <row r="488" spans="1:39" s="267" customFormat="1" x14ac:dyDescent="0.2">
      <c r="A488" s="308"/>
      <c r="B488" s="269"/>
      <c r="C488" s="290"/>
      <c r="D488" s="290"/>
      <c r="E488" s="290"/>
      <c r="F488" s="290"/>
      <c r="G488" s="290"/>
      <c r="H488" s="290"/>
      <c r="I488" s="290"/>
      <c r="J488" s="290"/>
      <c r="K488" s="290"/>
      <c r="L488" s="290"/>
      <c r="M488" s="290"/>
      <c r="N488" s="290"/>
      <c r="O488" s="290"/>
      <c r="P488" s="261"/>
      <c r="Q488" s="262"/>
      <c r="R488" s="435"/>
      <c r="S488" s="264"/>
      <c r="T488" s="266"/>
      <c r="U488" s="266"/>
      <c r="W488" s="268"/>
      <c r="X488" s="266"/>
      <c r="Z488" s="268"/>
      <c r="AA488" s="266"/>
      <c r="AC488" s="268"/>
      <c r="AD488" s="266"/>
      <c r="AF488" s="268"/>
      <c r="AG488" s="266"/>
      <c r="AI488" s="268"/>
      <c r="AJ488" s="266"/>
      <c r="AL488" s="268"/>
      <c r="AM488" s="266"/>
    </row>
    <row r="489" spans="1:39" s="267" customFormat="1" x14ac:dyDescent="0.2">
      <c r="A489" s="308"/>
      <c r="B489" s="269"/>
      <c r="C489" s="290"/>
      <c r="D489" s="290"/>
      <c r="E489" s="290"/>
      <c r="F489" s="290"/>
      <c r="G489" s="290"/>
      <c r="H489" s="290"/>
      <c r="I489" s="290"/>
      <c r="J489" s="290"/>
      <c r="K489" s="290"/>
      <c r="L489" s="290"/>
      <c r="M489" s="290"/>
      <c r="N489" s="290"/>
      <c r="O489" s="290"/>
      <c r="P489" s="261"/>
      <c r="Q489" s="262"/>
      <c r="R489" s="435"/>
      <c r="S489" s="264"/>
      <c r="T489" s="266"/>
      <c r="U489" s="266"/>
      <c r="W489" s="268"/>
      <c r="X489" s="266"/>
      <c r="Z489" s="268"/>
      <c r="AA489" s="266"/>
      <c r="AC489" s="268"/>
      <c r="AD489" s="266"/>
      <c r="AF489" s="268"/>
      <c r="AG489" s="266"/>
      <c r="AI489" s="268"/>
      <c r="AJ489" s="266"/>
      <c r="AL489" s="268"/>
      <c r="AM489" s="266"/>
    </row>
    <row r="490" spans="1:39" s="267" customFormat="1" x14ac:dyDescent="0.2">
      <c r="A490" s="308"/>
      <c r="B490" s="269"/>
      <c r="C490" s="290"/>
      <c r="D490" s="290"/>
      <c r="E490" s="290"/>
      <c r="F490" s="290"/>
      <c r="G490" s="290"/>
      <c r="H490" s="290"/>
      <c r="I490" s="290"/>
      <c r="J490" s="290"/>
      <c r="K490" s="290"/>
      <c r="L490" s="290"/>
      <c r="M490" s="290"/>
      <c r="N490" s="290"/>
      <c r="O490" s="290"/>
      <c r="P490" s="261"/>
      <c r="Q490" s="262"/>
      <c r="R490" s="435"/>
      <c r="S490" s="264"/>
      <c r="T490" s="266"/>
      <c r="U490" s="266"/>
      <c r="W490" s="268"/>
      <c r="X490" s="266"/>
      <c r="Z490" s="268"/>
      <c r="AA490" s="266"/>
      <c r="AC490" s="268"/>
      <c r="AD490" s="266"/>
      <c r="AF490" s="268"/>
      <c r="AG490" s="266"/>
      <c r="AI490" s="268"/>
      <c r="AJ490" s="266"/>
      <c r="AL490" s="268"/>
      <c r="AM490" s="266"/>
    </row>
    <row r="491" spans="1:39" s="329" customFormat="1" x14ac:dyDescent="0.2">
      <c r="A491" s="470"/>
      <c r="B491" s="327"/>
      <c r="C491" s="471"/>
      <c r="D491" s="471"/>
      <c r="E491" s="471"/>
      <c r="F491" s="471"/>
      <c r="G491" s="471"/>
      <c r="H491" s="471"/>
      <c r="I491" s="471"/>
      <c r="J491" s="471"/>
      <c r="K491" s="471"/>
      <c r="L491" s="471"/>
      <c r="M491" s="471"/>
      <c r="N491" s="471"/>
      <c r="O491" s="471"/>
      <c r="P491" s="472"/>
      <c r="Q491" s="473"/>
      <c r="R491" s="458"/>
      <c r="S491" s="328"/>
      <c r="T491" s="278"/>
      <c r="U491" s="278"/>
      <c r="W491" s="280"/>
      <c r="X491" s="278"/>
      <c r="Z491" s="280"/>
      <c r="AA491" s="278"/>
      <c r="AC491" s="280"/>
      <c r="AD491" s="278"/>
      <c r="AF491" s="280"/>
      <c r="AG491" s="278"/>
      <c r="AI491" s="280"/>
      <c r="AJ491" s="278"/>
      <c r="AL491" s="280"/>
      <c r="AM491" s="278"/>
    </row>
    <row r="492" spans="1:39" s="333" customFormat="1" x14ac:dyDescent="0.2">
      <c r="A492" s="474"/>
      <c r="B492" s="330"/>
      <c r="C492" s="475"/>
      <c r="D492" s="475"/>
      <c r="E492" s="475"/>
      <c r="F492" s="475"/>
      <c r="G492" s="475"/>
      <c r="H492" s="475"/>
      <c r="I492" s="475"/>
      <c r="J492" s="475"/>
      <c r="K492" s="475"/>
      <c r="L492" s="475"/>
      <c r="M492" s="475"/>
      <c r="N492" s="475"/>
      <c r="O492" s="475"/>
      <c r="P492" s="476"/>
      <c r="Q492" s="477"/>
      <c r="R492" s="469"/>
      <c r="S492" s="331"/>
      <c r="T492" s="332"/>
      <c r="U492" s="332"/>
      <c r="W492" s="334"/>
      <c r="X492" s="332"/>
      <c r="Z492" s="334"/>
      <c r="AA492" s="332"/>
      <c r="AC492" s="334"/>
      <c r="AD492" s="332"/>
      <c r="AF492" s="334"/>
      <c r="AG492" s="332"/>
      <c r="AI492" s="334"/>
      <c r="AJ492" s="332"/>
      <c r="AL492" s="334"/>
      <c r="AM492" s="332"/>
    </row>
    <row r="493" spans="1:39" s="267" customFormat="1" x14ac:dyDescent="0.2">
      <c r="A493" s="380"/>
      <c r="B493" s="320"/>
      <c r="C493" s="550"/>
      <c r="D493" s="550"/>
      <c r="E493" s="550"/>
      <c r="F493" s="550"/>
      <c r="G493" s="550"/>
      <c r="H493" s="550"/>
      <c r="I493" s="550"/>
      <c r="J493" s="550"/>
      <c r="K493" s="550"/>
      <c r="L493" s="550"/>
      <c r="M493" s="550"/>
      <c r="N493" s="550"/>
      <c r="O493" s="550"/>
      <c r="P493" s="550"/>
      <c r="Q493" s="381" t="s">
        <v>0</v>
      </c>
      <c r="R493" s="435">
        <f>SUM(R448:R491)</f>
        <v>0</v>
      </c>
      <c r="S493" s="276"/>
      <c r="T493" s="266"/>
      <c r="U493" s="277"/>
      <c r="W493" s="268"/>
      <c r="X493" s="266"/>
      <c r="Z493" s="268"/>
      <c r="AA493" s="266"/>
      <c r="AC493" s="268"/>
      <c r="AD493" s="266"/>
      <c r="AF493" s="268"/>
      <c r="AG493" s="266"/>
      <c r="AI493" s="268"/>
      <c r="AJ493" s="266"/>
      <c r="AL493" s="268"/>
      <c r="AM493" s="266"/>
    </row>
    <row r="494" spans="1:39" s="267" customFormat="1" x14ac:dyDescent="0.2">
      <c r="A494" s="380"/>
      <c r="B494" s="320"/>
      <c r="C494" s="309"/>
      <c r="D494" s="309"/>
      <c r="E494" s="309"/>
      <c r="F494" s="309"/>
      <c r="G494" s="309"/>
      <c r="H494" s="309"/>
      <c r="I494" s="309"/>
      <c r="J494" s="309"/>
      <c r="K494" s="309"/>
      <c r="L494" s="309"/>
      <c r="M494" s="309"/>
      <c r="N494" s="309"/>
      <c r="O494" s="309"/>
      <c r="P494" s="309"/>
      <c r="Q494" s="294"/>
      <c r="R494" s="458"/>
      <c r="S494" s="264"/>
      <c r="T494" s="278"/>
      <c r="U494" s="279"/>
      <c r="W494" s="280"/>
      <c r="X494" s="278"/>
      <c r="Z494" s="280"/>
      <c r="AA494" s="278"/>
      <c r="AC494" s="280"/>
      <c r="AD494" s="278"/>
      <c r="AF494" s="280"/>
      <c r="AG494" s="278"/>
      <c r="AI494" s="280"/>
      <c r="AJ494" s="278"/>
      <c r="AL494" s="280"/>
      <c r="AM494" s="278"/>
    </row>
    <row r="495" spans="1:39" s="267" customFormat="1" x14ac:dyDescent="0.2">
      <c r="A495" s="308"/>
      <c r="B495" s="269"/>
      <c r="C495" s="290"/>
      <c r="D495" s="290"/>
      <c r="E495" s="290"/>
      <c r="F495" s="290"/>
      <c r="G495" s="290"/>
      <c r="H495" s="290"/>
      <c r="I495" s="290"/>
      <c r="J495" s="290"/>
      <c r="K495" s="290"/>
      <c r="L495" s="290"/>
      <c r="M495" s="290"/>
      <c r="N495" s="290"/>
      <c r="O495" s="290"/>
      <c r="P495" s="261"/>
      <c r="Q495" s="262"/>
      <c r="R495" s="435"/>
      <c r="S495" s="264"/>
      <c r="T495" s="266"/>
      <c r="U495" s="266"/>
      <c r="V495" s="264"/>
      <c r="W495" s="266"/>
      <c r="X495" s="266"/>
      <c r="Y495" s="264"/>
      <c r="Z495" s="266"/>
      <c r="AA495" s="266"/>
      <c r="AB495" s="264"/>
      <c r="AC495" s="266"/>
      <c r="AD495" s="266"/>
      <c r="AE495" s="264"/>
      <c r="AF495" s="266"/>
      <c r="AG495" s="266"/>
      <c r="AH495" s="264"/>
      <c r="AI495" s="266"/>
      <c r="AJ495" s="266"/>
      <c r="AK495" s="264"/>
      <c r="AL495" s="266"/>
      <c r="AM495" s="266"/>
    </row>
    <row r="496" spans="1:39" s="267" customFormat="1" x14ac:dyDescent="0.2">
      <c r="A496" s="308"/>
      <c r="B496" s="265" t="s">
        <v>157</v>
      </c>
      <c r="C496" s="290"/>
      <c r="D496" s="290"/>
      <c r="E496" s="290"/>
      <c r="F496" s="290"/>
      <c r="G496" s="290"/>
      <c r="H496" s="290"/>
      <c r="I496" s="290"/>
      <c r="J496" s="290"/>
      <c r="K496" s="290"/>
      <c r="L496" s="290"/>
      <c r="M496" s="290"/>
      <c r="N496" s="290"/>
      <c r="O496" s="290"/>
      <c r="P496" s="261"/>
      <c r="Q496" s="262"/>
      <c r="R496" s="435"/>
      <c r="S496" s="264"/>
      <c r="T496" s="266"/>
      <c r="U496" s="211"/>
      <c r="V496" s="264"/>
      <c r="W496" s="211"/>
      <c r="X496" s="211"/>
      <c r="Y496" s="264"/>
      <c r="Z496" s="211"/>
      <c r="AA496" s="211"/>
      <c r="AB496" s="264"/>
      <c r="AC496" s="211"/>
      <c r="AD496" s="211"/>
      <c r="AE496" s="264"/>
      <c r="AF496" s="211"/>
      <c r="AG496" s="211"/>
      <c r="AH496" s="264"/>
      <c r="AI496" s="211"/>
      <c r="AJ496" s="211"/>
      <c r="AK496" s="264"/>
      <c r="AL496" s="211"/>
      <c r="AM496" s="211"/>
    </row>
    <row r="497" spans="1:39" s="267" customFormat="1" x14ac:dyDescent="0.2">
      <c r="A497" s="308"/>
      <c r="B497" s="269"/>
      <c r="C497" s="290"/>
      <c r="D497" s="290"/>
      <c r="E497" s="290"/>
      <c r="F497" s="290"/>
      <c r="G497" s="290"/>
      <c r="H497" s="290"/>
      <c r="I497" s="290"/>
      <c r="J497" s="290"/>
      <c r="K497" s="290"/>
      <c r="L497" s="290"/>
      <c r="M497" s="290"/>
      <c r="N497" s="290"/>
      <c r="O497" s="290"/>
      <c r="P497" s="261"/>
      <c r="Q497" s="262"/>
      <c r="R497" s="435"/>
      <c r="S497" s="264"/>
      <c r="T497" s="266"/>
      <c r="U497" s="211"/>
      <c r="V497" s="264"/>
      <c r="W497" s="211"/>
      <c r="X497" s="211"/>
      <c r="Y497" s="264"/>
      <c r="Z497" s="211"/>
      <c r="AA497" s="211"/>
      <c r="AB497" s="264"/>
      <c r="AC497" s="211"/>
      <c r="AD497" s="211"/>
      <c r="AE497" s="264"/>
      <c r="AF497" s="211"/>
      <c r="AG497" s="211"/>
      <c r="AH497" s="264"/>
      <c r="AI497" s="211"/>
      <c r="AJ497" s="211"/>
      <c r="AK497" s="264"/>
      <c r="AL497" s="211"/>
      <c r="AM497" s="211"/>
    </row>
    <row r="498" spans="1:39" s="267" customFormat="1" x14ac:dyDescent="0.2">
      <c r="A498" s="308"/>
      <c r="B498" s="265" t="s">
        <v>155</v>
      </c>
      <c r="C498" s="290"/>
      <c r="D498" s="290"/>
      <c r="E498" s="290"/>
      <c r="F498" s="290"/>
      <c r="G498" s="290"/>
      <c r="H498" s="290"/>
      <c r="I498" s="290"/>
      <c r="J498" s="290"/>
      <c r="K498" s="290"/>
      <c r="L498" s="290"/>
      <c r="M498" s="290"/>
      <c r="N498" s="290"/>
      <c r="O498" s="290"/>
      <c r="P498" s="261"/>
      <c r="Q498" s="262"/>
      <c r="R498" s="435"/>
      <c r="S498" s="264"/>
      <c r="T498" s="266"/>
      <c r="U498" s="211"/>
      <c r="V498" s="264"/>
      <c r="W498" s="211"/>
      <c r="X498" s="211"/>
      <c r="Y498" s="264"/>
      <c r="Z498" s="211"/>
      <c r="AA498" s="211"/>
      <c r="AB498" s="264"/>
      <c r="AC498" s="211"/>
      <c r="AD498" s="211"/>
      <c r="AE498" s="264"/>
      <c r="AF498" s="211"/>
      <c r="AG498" s="211"/>
      <c r="AH498" s="264"/>
      <c r="AI498" s="211"/>
      <c r="AJ498" s="211"/>
      <c r="AK498" s="264"/>
      <c r="AL498" s="211"/>
      <c r="AM498" s="211"/>
    </row>
    <row r="499" spans="1:39" s="267" customFormat="1" x14ac:dyDescent="0.2">
      <c r="A499" s="308"/>
      <c r="B499" s="269"/>
      <c r="C499" s="290"/>
      <c r="D499" s="290"/>
      <c r="E499" s="290"/>
      <c r="F499" s="290"/>
      <c r="G499" s="290"/>
      <c r="H499" s="290"/>
      <c r="I499" s="290"/>
      <c r="J499" s="290"/>
      <c r="K499" s="290"/>
      <c r="L499" s="290"/>
      <c r="M499" s="290"/>
      <c r="N499" s="290"/>
      <c r="O499" s="290"/>
      <c r="P499" s="261"/>
      <c r="Q499" s="262"/>
      <c r="R499" s="435"/>
      <c r="S499" s="264"/>
      <c r="T499" s="266"/>
      <c r="U499" s="211"/>
      <c r="V499" s="264"/>
      <c r="W499" s="211"/>
      <c r="X499" s="211"/>
      <c r="Y499" s="264"/>
      <c r="Z499" s="211"/>
      <c r="AA499" s="211"/>
      <c r="AB499" s="264"/>
      <c r="AC499" s="211"/>
      <c r="AD499" s="211"/>
      <c r="AE499" s="264"/>
      <c r="AF499" s="211"/>
      <c r="AG499" s="211"/>
      <c r="AH499" s="264"/>
      <c r="AI499" s="211"/>
      <c r="AJ499" s="211"/>
      <c r="AK499" s="264"/>
      <c r="AL499" s="211"/>
      <c r="AM499" s="211"/>
    </row>
    <row r="500" spans="1:39" s="267" customFormat="1" ht="28.5" x14ac:dyDescent="0.2">
      <c r="A500" s="308"/>
      <c r="B500" s="265" t="s">
        <v>751</v>
      </c>
      <c r="C500" s="290"/>
      <c r="D500" s="290"/>
      <c r="E500" s="290"/>
      <c r="F500" s="290"/>
      <c r="G500" s="290"/>
      <c r="H500" s="290"/>
      <c r="I500" s="290"/>
      <c r="J500" s="290"/>
      <c r="K500" s="290"/>
      <c r="L500" s="290"/>
      <c r="M500" s="290"/>
      <c r="N500" s="290"/>
      <c r="O500" s="290"/>
      <c r="P500" s="261"/>
      <c r="Q500" s="262"/>
      <c r="R500" s="435"/>
      <c r="S500" s="264"/>
      <c r="T500" s="266"/>
      <c r="U500" s="211"/>
      <c r="V500" s="264"/>
      <c r="W500" s="211"/>
      <c r="X500" s="211"/>
      <c r="Y500" s="264"/>
      <c r="Z500" s="211"/>
      <c r="AA500" s="211"/>
      <c r="AB500" s="264"/>
      <c r="AC500" s="211"/>
      <c r="AD500" s="211"/>
      <c r="AE500" s="264"/>
      <c r="AF500" s="211"/>
      <c r="AG500" s="211"/>
      <c r="AH500" s="264"/>
      <c r="AI500" s="211"/>
      <c r="AJ500" s="211"/>
      <c r="AK500" s="264"/>
      <c r="AL500" s="211"/>
      <c r="AM500" s="211"/>
    </row>
    <row r="501" spans="1:39" s="267" customFormat="1" x14ac:dyDescent="0.2">
      <c r="A501" s="308"/>
      <c r="B501" s="291"/>
      <c r="C501" s="290"/>
      <c r="D501" s="290"/>
      <c r="E501" s="290"/>
      <c r="F501" s="290"/>
      <c r="G501" s="290"/>
      <c r="H501" s="290"/>
      <c r="I501" s="290"/>
      <c r="J501" s="290"/>
      <c r="K501" s="290"/>
      <c r="L501" s="290"/>
      <c r="M501" s="290"/>
      <c r="N501" s="290"/>
      <c r="O501" s="290"/>
      <c r="P501" s="261"/>
      <c r="Q501" s="262"/>
      <c r="R501" s="435"/>
      <c r="S501" s="264"/>
      <c r="T501" s="266"/>
      <c r="U501" s="211"/>
      <c r="V501" s="264"/>
      <c r="W501" s="211"/>
      <c r="X501" s="211"/>
      <c r="Y501" s="264"/>
      <c r="Z501" s="211"/>
      <c r="AA501" s="211"/>
      <c r="AB501" s="264"/>
      <c r="AC501" s="211"/>
      <c r="AD501" s="211"/>
      <c r="AE501" s="264"/>
      <c r="AF501" s="211"/>
      <c r="AG501" s="211"/>
      <c r="AH501" s="264"/>
      <c r="AI501" s="211"/>
      <c r="AJ501" s="211"/>
      <c r="AK501" s="264"/>
      <c r="AL501" s="211"/>
      <c r="AM501" s="211"/>
    </row>
    <row r="502" spans="1:39" s="288" customFormat="1" ht="42.75" x14ac:dyDescent="0.2">
      <c r="A502" s="283"/>
      <c r="B502" s="265" t="s">
        <v>217</v>
      </c>
      <c r="C502" s="290"/>
      <c r="D502" s="290"/>
      <c r="E502" s="290"/>
      <c r="F502" s="290"/>
      <c r="G502" s="290"/>
      <c r="H502" s="290"/>
      <c r="I502" s="290"/>
      <c r="J502" s="290"/>
      <c r="K502" s="290"/>
      <c r="L502" s="290"/>
      <c r="M502" s="290"/>
      <c r="N502" s="290"/>
      <c r="O502" s="290"/>
      <c r="P502" s="261"/>
      <c r="Q502" s="262"/>
      <c r="R502" s="435"/>
      <c r="S502" s="264"/>
      <c r="T502" s="266"/>
      <c r="U502" s="211"/>
      <c r="W502" s="211"/>
      <c r="X502" s="211"/>
      <c r="Z502" s="211"/>
      <c r="AA502" s="211"/>
      <c r="AC502" s="211"/>
      <c r="AD502" s="211"/>
      <c r="AF502" s="211"/>
      <c r="AG502" s="211"/>
      <c r="AI502" s="211"/>
      <c r="AJ502" s="211"/>
      <c r="AL502" s="211"/>
      <c r="AM502" s="211"/>
    </row>
    <row r="503" spans="1:39" s="288" customFormat="1" x14ac:dyDescent="0.2">
      <c r="A503" s="283"/>
      <c r="B503" s="269"/>
      <c r="C503" s="290"/>
      <c r="D503" s="290"/>
      <c r="E503" s="290"/>
      <c r="F503" s="290"/>
      <c r="G503" s="290"/>
      <c r="H503" s="290"/>
      <c r="I503" s="290"/>
      <c r="J503" s="290"/>
      <c r="K503" s="290"/>
      <c r="L503" s="290"/>
      <c r="M503" s="290"/>
      <c r="N503" s="290"/>
      <c r="O503" s="290"/>
      <c r="P503" s="261"/>
      <c r="Q503" s="262"/>
      <c r="R503" s="435"/>
      <c r="S503" s="264"/>
      <c r="T503" s="266"/>
      <c r="U503" s="211"/>
      <c r="W503" s="211"/>
      <c r="X503" s="211"/>
      <c r="Z503" s="211"/>
      <c r="AA503" s="211"/>
      <c r="AC503" s="211"/>
      <c r="AD503" s="211"/>
      <c r="AF503" s="211"/>
      <c r="AG503" s="211"/>
      <c r="AI503" s="211"/>
      <c r="AJ503" s="211"/>
      <c r="AL503" s="211"/>
      <c r="AM503" s="211"/>
    </row>
    <row r="504" spans="1:39" s="288" customFormat="1" x14ac:dyDescent="0.2">
      <c r="A504" s="283" t="s">
        <v>66</v>
      </c>
      <c r="B504" s="269" t="s">
        <v>156</v>
      </c>
      <c r="C504" s="290">
        <f>(W504+X504)*$C$3</f>
        <v>140</v>
      </c>
      <c r="D504" s="290">
        <f>C504*$Q504</f>
        <v>0</v>
      </c>
      <c r="E504" s="290">
        <f>(Z504+AA504)*$E$3</f>
        <v>172</v>
      </c>
      <c r="F504" s="290">
        <f>E504*$Q504</f>
        <v>0</v>
      </c>
      <c r="G504" s="290">
        <f>(AC504+AD504)*$G$3</f>
        <v>1020</v>
      </c>
      <c r="H504" s="290">
        <f>G504*$Q504</f>
        <v>0</v>
      </c>
      <c r="I504" s="290">
        <f>(AF504+AG504)*$I$3</f>
        <v>236</v>
      </c>
      <c r="J504" s="290">
        <f>I504*$Q504</f>
        <v>0</v>
      </c>
      <c r="K504" s="290">
        <f>(AI504+AJ504)*$K$3</f>
        <v>804</v>
      </c>
      <c r="L504" s="290">
        <f>K504*$Q504</f>
        <v>0</v>
      </c>
      <c r="M504" s="290">
        <f>(AL504+AM504)*$M$3</f>
        <v>300</v>
      </c>
      <c r="N504" s="290">
        <f>M504*$Q504</f>
        <v>0</v>
      </c>
      <c r="O504" s="290">
        <f>C504+E504+G504+I504+K504+M504</f>
        <v>2672</v>
      </c>
      <c r="P504" s="261" t="s">
        <v>12</v>
      </c>
      <c r="Q504" s="262"/>
      <c r="R504" s="435">
        <f>O504*Q504</f>
        <v>0</v>
      </c>
      <c r="S504" s="264"/>
      <c r="T504" s="266">
        <v>38</v>
      </c>
      <c r="U504" s="266">
        <v>32</v>
      </c>
      <c r="W504" s="266">
        <f>T504*$W$3</f>
        <v>76</v>
      </c>
      <c r="X504" s="266">
        <f>U504*$X$3</f>
        <v>64</v>
      </c>
      <c r="Y504" s="264"/>
      <c r="Z504" s="266">
        <f>W504</f>
        <v>76</v>
      </c>
      <c r="AA504" s="266">
        <f>U504*$AA$3</f>
        <v>96</v>
      </c>
      <c r="AB504" s="264"/>
      <c r="AC504" s="266">
        <f>W504</f>
        <v>76</v>
      </c>
      <c r="AD504" s="266">
        <f>U504*$AD$3</f>
        <v>128</v>
      </c>
      <c r="AE504" s="264"/>
      <c r="AF504" s="266">
        <f>W504</f>
        <v>76</v>
      </c>
      <c r="AG504" s="266">
        <f>U504*$AG$3</f>
        <v>160</v>
      </c>
      <c r="AH504" s="264"/>
      <c r="AI504" s="266">
        <f>W504</f>
        <v>76</v>
      </c>
      <c r="AJ504" s="266">
        <f>U504*$AJ$3</f>
        <v>192</v>
      </c>
      <c r="AK504" s="264"/>
      <c r="AL504" s="266">
        <f>W504</f>
        <v>76</v>
      </c>
      <c r="AM504" s="266">
        <f>U504*$AM$3</f>
        <v>224</v>
      </c>
    </row>
    <row r="505" spans="1:39" s="288" customFormat="1" x14ac:dyDescent="0.2">
      <c r="A505" s="283"/>
      <c r="B505" s="269"/>
      <c r="C505" s="290"/>
      <c r="D505" s="290"/>
      <c r="E505" s="290"/>
      <c r="F505" s="290"/>
      <c r="G505" s="290"/>
      <c r="H505" s="290"/>
      <c r="I505" s="290"/>
      <c r="J505" s="290"/>
      <c r="K505" s="290"/>
      <c r="L505" s="290"/>
      <c r="M505" s="290"/>
      <c r="N505" s="290"/>
      <c r="O505" s="290"/>
      <c r="P505" s="261"/>
      <c r="Q505" s="262"/>
      <c r="R505" s="435"/>
      <c r="S505" s="264"/>
      <c r="T505" s="266"/>
      <c r="U505" s="211"/>
      <c r="W505" s="211"/>
      <c r="X505" s="211"/>
      <c r="Z505" s="211"/>
      <c r="AA505" s="211"/>
      <c r="AC505" s="211"/>
      <c r="AD505" s="211"/>
      <c r="AF505" s="211"/>
      <c r="AG505" s="211"/>
      <c r="AI505" s="211"/>
      <c r="AJ505" s="211"/>
      <c r="AL505" s="211"/>
      <c r="AM505" s="211"/>
    </row>
    <row r="506" spans="1:39" s="288" customFormat="1" x14ac:dyDescent="0.2">
      <c r="A506" s="283" t="s">
        <v>67</v>
      </c>
      <c r="B506" s="269" t="s">
        <v>752</v>
      </c>
      <c r="C506" s="290">
        <f>(W506+X506)*$C$3</f>
        <v>60</v>
      </c>
      <c r="D506" s="290">
        <f>C506*$Q506</f>
        <v>0</v>
      </c>
      <c r="E506" s="290">
        <f>(Z506+AA506)*$E$3</f>
        <v>75</v>
      </c>
      <c r="F506" s="290">
        <f>E506*$Q506</f>
        <v>0</v>
      </c>
      <c r="G506" s="290">
        <f>(AC506+AD506)*$G$3</f>
        <v>450</v>
      </c>
      <c r="H506" s="290">
        <f>G506*$Q506</f>
        <v>0</v>
      </c>
      <c r="I506" s="290">
        <f>(AF506+AG506)*$I$3</f>
        <v>105</v>
      </c>
      <c r="J506" s="290">
        <f>I506*$Q506</f>
        <v>0</v>
      </c>
      <c r="K506" s="290">
        <f>(AI506+AJ506)*$K$3</f>
        <v>360</v>
      </c>
      <c r="L506" s="290">
        <f>K506*$Q506</f>
        <v>0</v>
      </c>
      <c r="M506" s="290">
        <f>(AL506+AM506)*$M$3</f>
        <v>135</v>
      </c>
      <c r="N506" s="290">
        <f>M506*$Q506</f>
        <v>0</v>
      </c>
      <c r="O506" s="290">
        <f>C506+E506+G506+I506+K506+M506</f>
        <v>1185</v>
      </c>
      <c r="P506" s="261" t="s">
        <v>12</v>
      </c>
      <c r="Q506" s="262"/>
      <c r="R506" s="435">
        <f>O506*Q506</f>
        <v>0</v>
      </c>
      <c r="S506" s="264"/>
      <c r="T506" s="266">
        <v>15</v>
      </c>
      <c r="U506" s="266">
        <v>15</v>
      </c>
      <c r="W506" s="266">
        <f>T506*$W$3</f>
        <v>30</v>
      </c>
      <c r="X506" s="266">
        <f>U506*$X$3</f>
        <v>30</v>
      </c>
      <c r="Y506" s="264"/>
      <c r="Z506" s="266">
        <f>W506</f>
        <v>30</v>
      </c>
      <c r="AA506" s="266">
        <f>U506*$AA$3</f>
        <v>45</v>
      </c>
      <c r="AB506" s="264"/>
      <c r="AC506" s="266">
        <f>W506</f>
        <v>30</v>
      </c>
      <c r="AD506" s="266">
        <f>U506*$AD$3</f>
        <v>60</v>
      </c>
      <c r="AE506" s="264"/>
      <c r="AF506" s="266">
        <f>W506</f>
        <v>30</v>
      </c>
      <c r="AG506" s="266">
        <f>U506*$AG$3</f>
        <v>75</v>
      </c>
      <c r="AH506" s="264"/>
      <c r="AI506" s="266">
        <f>W506</f>
        <v>30</v>
      </c>
      <c r="AJ506" s="266">
        <f>U506*$AJ$3</f>
        <v>90</v>
      </c>
      <c r="AK506" s="264"/>
      <c r="AL506" s="266">
        <f>W506</f>
        <v>30</v>
      </c>
      <c r="AM506" s="266">
        <f>U506*$AM$3</f>
        <v>105</v>
      </c>
    </row>
    <row r="507" spans="1:39" s="288" customFormat="1" ht="15" x14ac:dyDescent="0.2">
      <c r="A507" s="283"/>
      <c r="B507" s="335"/>
      <c r="C507" s="290"/>
      <c r="D507" s="290"/>
      <c r="E507" s="290"/>
      <c r="F507" s="290"/>
      <c r="G507" s="290"/>
      <c r="H507" s="290"/>
      <c r="I507" s="290"/>
      <c r="J507" s="290"/>
      <c r="K507" s="290"/>
      <c r="L507" s="290"/>
      <c r="M507" s="290"/>
      <c r="N507" s="290"/>
      <c r="O507" s="290"/>
      <c r="P507" s="261"/>
      <c r="Q507" s="262"/>
      <c r="R507" s="435"/>
      <c r="S507" s="264"/>
      <c r="T507" s="266"/>
      <c r="U507" s="211"/>
      <c r="W507" s="211"/>
      <c r="X507" s="211"/>
      <c r="Z507" s="211"/>
      <c r="AA507" s="211"/>
      <c r="AC507" s="211"/>
      <c r="AD507" s="211"/>
      <c r="AF507" s="211"/>
      <c r="AG507" s="211"/>
      <c r="AI507" s="211"/>
      <c r="AJ507" s="211"/>
      <c r="AL507" s="211"/>
      <c r="AM507" s="211"/>
    </row>
    <row r="508" spans="1:39" s="288" customFormat="1" ht="42.75" x14ac:dyDescent="0.2">
      <c r="A508" s="283"/>
      <c r="B508" s="265" t="s">
        <v>753</v>
      </c>
      <c r="C508" s="290"/>
      <c r="D508" s="290"/>
      <c r="E508" s="290"/>
      <c r="F508" s="290"/>
      <c r="G508" s="290"/>
      <c r="H508" s="290"/>
      <c r="I508" s="290"/>
      <c r="J508" s="290"/>
      <c r="K508" s="290"/>
      <c r="L508" s="290"/>
      <c r="M508" s="290"/>
      <c r="N508" s="290"/>
      <c r="O508" s="290"/>
      <c r="P508" s="261"/>
      <c r="Q508" s="262"/>
      <c r="R508" s="435"/>
      <c r="S508" s="264"/>
      <c r="T508" s="266"/>
      <c r="U508" s="211"/>
      <c r="W508" s="211"/>
      <c r="X508" s="211"/>
      <c r="Z508" s="211"/>
      <c r="AA508" s="211"/>
      <c r="AC508" s="211"/>
      <c r="AD508" s="211"/>
      <c r="AF508" s="211"/>
      <c r="AG508" s="211"/>
      <c r="AI508" s="211"/>
      <c r="AJ508" s="211"/>
      <c r="AL508" s="211"/>
      <c r="AM508" s="211"/>
    </row>
    <row r="509" spans="1:39" s="288" customFormat="1" x14ac:dyDescent="0.2">
      <c r="A509" s="283"/>
      <c r="B509" s="269"/>
      <c r="C509" s="290"/>
      <c r="D509" s="290"/>
      <c r="E509" s="290"/>
      <c r="F509" s="290"/>
      <c r="G509" s="290"/>
      <c r="H509" s="290"/>
      <c r="I509" s="290"/>
      <c r="J509" s="290"/>
      <c r="K509" s="290"/>
      <c r="L509" s="290"/>
      <c r="M509" s="290"/>
      <c r="N509" s="290"/>
      <c r="O509" s="290"/>
      <c r="P509" s="261"/>
      <c r="Q509" s="262"/>
      <c r="R509" s="435"/>
      <c r="S509" s="264"/>
      <c r="T509" s="266"/>
      <c r="U509" s="211"/>
      <c r="W509" s="211"/>
      <c r="X509" s="211"/>
      <c r="Z509" s="211"/>
      <c r="AA509" s="211"/>
      <c r="AC509" s="211"/>
      <c r="AD509" s="211"/>
      <c r="AF509" s="211"/>
      <c r="AG509" s="211"/>
      <c r="AI509" s="211"/>
      <c r="AJ509" s="211"/>
      <c r="AL509" s="211"/>
      <c r="AM509" s="211"/>
    </row>
    <row r="510" spans="1:39" s="288" customFormat="1" x14ac:dyDescent="0.2">
      <c r="A510" s="283" t="s">
        <v>68</v>
      </c>
      <c r="B510" s="269" t="s">
        <v>218</v>
      </c>
      <c r="C510" s="290">
        <f>(W510+X510)*$C$3</f>
        <v>140</v>
      </c>
      <c r="D510" s="290">
        <f>C510*$Q510</f>
        <v>0</v>
      </c>
      <c r="E510" s="290">
        <f>(Z510+AA510)*$E$3</f>
        <v>172</v>
      </c>
      <c r="F510" s="290">
        <f>E510*$Q510</f>
        <v>0</v>
      </c>
      <c r="G510" s="290">
        <f>(AC510+AD510)*$G$3</f>
        <v>1020</v>
      </c>
      <c r="H510" s="290">
        <f>G510*$Q510</f>
        <v>0</v>
      </c>
      <c r="I510" s="290">
        <f>(AF510+AG510)*$I$3</f>
        <v>236</v>
      </c>
      <c r="J510" s="290">
        <f>I510*$Q510</f>
        <v>0</v>
      </c>
      <c r="K510" s="290">
        <f>(AI510+AJ510)*$K$3</f>
        <v>804</v>
      </c>
      <c r="L510" s="290">
        <f>K510*$Q510</f>
        <v>0</v>
      </c>
      <c r="M510" s="290">
        <f>(AL510+AM510)*$M$3</f>
        <v>300</v>
      </c>
      <c r="N510" s="290">
        <f>M510*$Q510</f>
        <v>0</v>
      </c>
      <c r="O510" s="290">
        <f>C510+E510+G510+I510+K510+M510</f>
        <v>2672</v>
      </c>
      <c r="P510" s="261" t="s">
        <v>12</v>
      </c>
      <c r="Q510" s="262"/>
      <c r="R510" s="435">
        <f>O510*Q510</f>
        <v>0</v>
      </c>
      <c r="S510" s="264"/>
      <c r="T510" s="266">
        <v>38</v>
      </c>
      <c r="U510" s="266">
        <v>32</v>
      </c>
      <c r="W510" s="266">
        <f>T510*$W$3</f>
        <v>76</v>
      </c>
      <c r="X510" s="266">
        <f>U510*$X$3</f>
        <v>64</v>
      </c>
      <c r="Y510" s="264"/>
      <c r="Z510" s="266">
        <f>W510</f>
        <v>76</v>
      </c>
      <c r="AA510" s="266">
        <f>U510*$AA$3</f>
        <v>96</v>
      </c>
      <c r="AB510" s="264"/>
      <c r="AC510" s="266">
        <f>W510</f>
        <v>76</v>
      </c>
      <c r="AD510" s="266">
        <f>U510*$AD$3</f>
        <v>128</v>
      </c>
      <c r="AE510" s="264"/>
      <c r="AF510" s="266">
        <f>W510</f>
        <v>76</v>
      </c>
      <c r="AG510" s="266">
        <f>U510*$AG$3</f>
        <v>160</v>
      </c>
      <c r="AH510" s="264"/>
      <c r="AI510" s="266">
        <f>W510</f>
        <v>76</v>
      </c>
      <c r="AJ510" s="266">
        <f>U510*$AJ$3</f>
        <v>192</v>
      </c>
      <c r="AK510" s="264"/>
      <c r="AL510" s="266">
        <f>W510</f>
        <v>76</v>
      </c>
      <c r="AM510" s="266">
        <f>U510*$AM$3</f>
        <v>224</v>
      </c>
    </row>
    <row r="511" spans="1:39" s="288" customFormat="1" x14ac:dyDescent="0.2">
      <c r="A511" s="283"/>
      <c r="B511" s="269"/>
      <c r="C511" s="290"/>
      <c r="D511" s="290"/>
      <c r="E511" s="290"/>
      <c r="F511" s="290"/>
      <c r="G511" s="290"/>
      <c r="H511" s="290"/>
      <c r="I511" s="290"/>
      <c r="J511" s="290"/>
      <c r="K511" s="290"/>
      <c r="L511" s="290"/>
      <c r="M511" s="290"/>
      <c r="N511" s="290"/>
      <c r="O511" s="290"/>
      <c r="P511" s="261"/>
      <c r="Q511" s="262"/>
      <c r="R511" s="435"/>
      <c r="S511" s="264"/>
      <c r="T511" s="266"/>
      <c r="U511" s="211"/>
      <c r="W511" s="211"/>
      <c r="X511" s="211"/>
      <c r="Z511" s="211"/>
      <c r="AA511" s="211"/>
      <c r="AC511" s="211"/>
      <c r="AD511" s="211"/>
      <c r="AF511" s="211"/>
      <c r="AG511" s="211"/>
      <c r="AI511" s="211"/>
      <c r="AJ511" s="211"/>
      <c r="AL511" s="211"/>
      <c r="AM511" s="211"/>
    </row>
    <row r="512" spans="1:39" s="288" customFormat="1" x14ac:dyDescent="0.2">
      <c r="A512" s="283" t="s">
        <v>69</v>
      </c>
      <c r="B512" s="269" t="s">
        <v>754</v>
      </c>
      <c r="C512" s="290">
        <f>(W512+X512)*$C$3</f>
        <v>60</v>
      </c>
      <c r="D512" s="290">
        <f>C512*$Q512</f>
        <v>0</v>
      </c>
      <c r="E512" s="290">
        <f>(Z512+AA512)*$E$3</f>
        <v>75</v>
      </c>
      <c r="F512" s="290">
        <f>E512*$Q512</f>
        <v>0</v>
      </c>
      <c r="G512" s="290">
        <f>(AC512+AD512)*$G$3</f>
        <v>450</v>
      </c>
      <c r="H512" s="290">
        <f>G512*$Q512</f>
        <v>0</v>
      </c>
      <c r="I512" s="290">
        <f>(AF512+AG512)*$I$3</f>
        <v>105</v>
      </c>
      <c r="J512" s="290">
        <f>I512*$Q512</f>
        <v>0</v>
      </c>
      <c r="K512" s="290">
        <f>(AI512+AJ512)*$K$3</f>
        <v>360</v>
      </c>
      <c r="L512" s="290">
        <f>K512*$Q512</f>
        <v>0</v>
      </c>
      <c r="M512" s="290">
        <f>(AL512+AM512)*$M$3</f>
        <v>135</v>
      </c>
      <c r="N512" s="290">
        <f>M512*$Q512</f>
        <v>0</v>
      </c>
      <c r="O512" s="290">
        <f>C512+E512+G512+I512+K512+M512</f>
        <v>1185</v>
      </c>
      <c r="P512" s="261" t="s">
        <v>12</v>
      </c>
      <c r="Q512" s="262"/>
      <c r="R512" s="435">
        <f>O512*Q512</f>
        <v>0</v>
      </c>
      <c r="S512" s="264"/>
      <c r="T512" s="266">
        <v>15</v>
      </c>
      <c r="U512" s="266">
        <v>15</v>
      </c>
      <c r="W512" s="266">
        <f>T512*$W$3</f>
        <v>30</v>
      </c>
      <c r="X512" s="266">
        <f>U512*$X$3</f>
        <v>30</v>
      </c>
      <c r="Y512" s="264"/>
      <c r="Z512" s="266">
        <f>W512</f>
        <v>30</v>
      </c>
      <c r="AA512" s="266">
        <f>U512*$AA$3</f>
        <v>45</v>
      </c>
      <c r="AB512" s="264"/>
      <c r="AC512" s="266">
        <f>W512</f>
        <v>30</v>
      </c>
      <c r="AD512" s="266">
        <f>U512*$AD$3</f>
        <v>60</v>
      </c>
      <c r="AE512" s="264"/>
      <c r="AF512" s="266">
        <f>W512</f>
        <v>30</v>
      </c>
      <c r="AG512" s="266">
        <f>U512*$AG$3</f>
        <v>75</v>
      </c>
      <c r="AH512" s="264"/>
      <c r="AI512" s="266">
        <f>W512</f>
        <v>30</v>
      </c>
      <c r="AJ512" s="266">
        <f>U512*$AJ$3</f>
        <v>90</v>
      </c>
      <c r="AK512" s="264"/>
      <c r="AL512" s="266">
        <f>W512</f>
        <v>30</v>
      </c>
      <c r="AM512" s="266">
        <f>U512*$AM$3</f>
        <v>105</v>
      </c>
    </row>
    <row r="513" spans="1:39" s="288" customFormat="1" x14ac:dyDescent="0.2">
      <c r="A513" s="308"/>
      <c r="B513" s="291"/>
      <c r="C513" s="290"/>
      <c r="D513" s="290"/>
      <c r="E513" s="290"/>
      <c r="F513" s="290"/>
      <c r="G513" s="290"/>
      <c r="H513" s="290"/>
      <c r="I513" s="290"/>
      <c r="J513" s="290"/>
      <c r="K513" s="290"/>
      <c r="L513" s="290"/>
      <c r="M513" s="290"/>
      <c r="N513" s="290"/>
      <c r="O513" s="290"/>
      <c r="P513" s="261"/>
      <c r="Q513" s="262"/>
      <c r="R513" s="435"/>
      <c r="S513" s="264"/>
      <c r="T513" s="266"/>
      <c r="U513" s="211"/>
      <c r="W513" s="211"/>
      <c r="X513" s="211"/>
      <c r="Z513" s="211"/>
      <c r="AA513" s="211"/>
      <c r="AC513" s="211"/>
      <c r="AD513" s="211"/>
      <c r="AF513" s="211"/>
      <c r="AG513" s="211"/>
      <c r="AI513" s="211"/>
      <c r="AJ513" s="211"/>
      <c r="AL513" s="211"/>
      <c r="AM513" s="211"/>
    </row>
    <row r="514" spans="1:39" s="288" customFormat="1" ht="28.5" x14ac:dyDescent="0.2">
      <c r="A514" s="308"/>
      <c r="B514" s="336" t="s">
        <v>219</v>
      </c>
      <c r="C514" s="290"/>
      <c r="D514" s="290"/>
      <c r="E514" s="290"/>
      <c r="F514" s="290"/>
      <c r="G514" s="290"/>
      <c r="H514" s="290"/>
      <c r="I514" s="290"/>
      <c r="J514" s="290"/>
      <c r="K514" s="290"/>
      <c r="L514" s="290"/>
      <c r="M514" s="290"/>
      <c r="N514" s="290"/>
      <c r="O514" s="290"/>
      <c r="P514" s="261"/>
      <c r="Q514" s="262"/>
      <c r="R514" s="435"/>
      <c r="S514" s="264"/>
      <c r="T514" s="266"/>
      <c r="U514" s="266"/>
      <c r="W514" s="266"/>
      <c r="X514" s="266"/>
      <c r="Y514" s="264"/>
      <c r="Z514" s="266"/>
      <c r="AA514" s="266"/>
      <c r="AB514" s="264"/>
      <c r="AC514" s="266"/>
      <c r="AD514" s="266"/>
      <c r="AE514" s="264"/>
      <c r="AF514" s="266"/>
      <c r="AG514" s="266"/>
      <c r="AH514" s="264"/>
      <c r="AI514" s="266"/>
      <c r="AJ514" s="266"/>
      <c r="AK514" s="264"/>
      <c r="AL514" s="266"/>
      <c r="AM514" s="266"/>
    </row>
    <row r="515" spans="1:39" s="267" customFormat="1" x14ac:dyDescent="0.2">
      <c r="A515" s="308"/>
      <c r="B515" s="336"/>
      <c r="C515" s="290"/>
      <c r="D515" s="290"/>
      <c r="E515" s="290"/>
      <c r="F515" s="290"/>
      <c r="G515" s="290"/>
      <c r="H515" s="290"/>
      <c r="I515" s="290"/>
      <c r="J515" s="290"/>
      <c r="K515" s="290"/>
      <c r="L515" s="290"/>
      <c r="M515" s="290"/>
      <c r="N515" s="290"/>
      <c r="O515" s="290"/>
      <c r="P515" s="261"/>
      <c r="Q515" s="262"/>
      <c r="R515" s="435"/>
      <c r="S515" s="264"/>
      <c r="T515" s="266"/>
      <c r="U515" s="211"/>
      <c r="V515" s="264"/>
      <c r="W515" s="211"/>
      <c r="X515" s="211"/>
      <c r="Y515" s="264"/>
      <c r="Z515" s="211"/>
      <c r="AA515" s="211"/>
      <c r="AB515" s="264"/>
      <c r="AC515" s="211"/>
      <c r="AD515" s="211"/>
      <c r="AE515" s="264"/>
      <c r="AF515" s="211"/>
      <c r="AG515" s="211"/>
      <c r="AH515" s="264"/>
      <c r="AI515" s="211"/>
      <c r="AJ515" s="211"/>
      <c r="AK515" s="264"/>
      <c r="AL515" s="211"/>
      <c r="AM515" s="211"/>
    </row>
    <row r="516" spans="1:39" s="288" customFormat="1" ht="14.25" customHeight="1" x14ac:dyDescent="0.2">
      <c r="A516" s="308" t="s">
        <v>70</v>
      </c>
      <c r="B516" s="269" t="s">
        <v>754</v>
      </c>
      <c r="C516" s="290">
        <f>(W516+X516)*$C$3</f>
        <v>60</v>
      </c>
      <c r="D516" s="290">
        <f>C516*$Q516</f>
        <v>0</v>
      </c>
      <c r="E516" s="290">
        <f>(Z516+AA516)*$E$3</f>
        <v>75</v>
      </c>
      <c r="F516" s="290">
        <f>E516*$Q516</f>
        <v>0</v>
      </c>
      <c r="G516" s="290">
        <f>(AC516+AD516)*$G$3</f>
        <v>450</v>
      </c>
      <c r="H516" s="290">
        <f>G516*$Q516</f>
        <v>0</v>
      </c>
      <c r="I516" s="290">
        <f>(AF516+AG516)*$I$3</f>
        <v>105</v>
      </c>
      <c r="J516" s="290">
        <f>I516*$Q516</f>
        <v>0</v>
      </c>
      <c r="K516" s="290">
        <f>(AI516+AJ516)*$K$3</f>
        <v>360</v>
      </c>
      <c r="L516" s="290">
        <f>K516*$Q516</f>
        <v>0</v>
      </c>
      <c r="M516" s="290">
        <f>(AL516+AM516)*$M$3</f>
        <v>135</v>
      </c>
      <c r="N516" s="290">
        <f>M516*$Q516</f>
        <v>0</v>
      </c>
      <c r="O516" s="290">
        <f>C516+E516+G516+I516+K516+M516</f>
        <v>1185</v>
      </c>
      <c r="P516" s="261" t="s">
        <v>12</v>
      </c>
      <c r="Q516" s="262"/>
      <c r="R516" s="435">
        <f>O516*Q516</f>
        <v>0</v>
      </c>
      <c r="S516" s="264"/>
      <c r="T516" s="266">
        <v>15</v>
      </c>
      <c r="U516" s="266">
        <v>15</v>
      </c>
      <c r="W516" s="266">
        <f>T516*$W$3</f>
        <v>30</v>
      </c>
      <c r="X516" s="266">
        <f>U516*$X$3</f>
        <v>30</v>
      </c>
      <c r="Y516" s="264"/>
      <c r="Z516" s="266">
        <f>W516</f>
        <v>30</v>
      </c>
      <c r="AA516" s="266">
        <f>U516*$AA$3</f>
        <v>45</v>
      </c>
      <c r="AB516" s="264"/>
      <c r="AC516" s="266">
        <f>W516</f>
        <v>30</v>
      </c>
      <c r="AD516" s="266">
        <f>U516*$AD$3</f>
        <v>60</v>
      </c>
      <c r="AE516" s="264"/>
      <c r="AF516" s="266">
        <f>W516</f>
        <v>30</v>
      </c>
      <c r="AG516" s="266">
        <f>U516*$AG$3</f>
        <v>75</v>
      </c>
      <c r="AH516" s="264"/>
      <c r="AI516" s="266">
        <f>W516</f>
        <v>30</v>
      </c>
      <c r="AJ516" s="266">
        <f>U516*$AJ$3</f>
        <v>90</v>
      </c>
      <c r="AK516" s="264"/>
      <c r="AL516" s="266">
        <f>W516</f>
        <v>30</v>
      </c>
      <c r="AM516" s="266">
        <f>U516*$AM$3</f>
        <v>105</v>
      </c>
    </row>
    <row r="517" spans="1:39" s="288" customFormat="1" x14ac:dyDescent="0.2">
      <c r="A517" s="308"/>
      <c r="B517" s="259"/>
      <c r="C517" s="290"/>
      <c r="D517" s="290"/>
      <c r="E517" s="290"/>
      <c r="F517" s="290"/>
      <c r="G517" s="290"/>
      <c r="H517" s="290"/>
      <c r="I517" s="290"/>
      <c r="J517" s="290"/>
      <c r="K517" s="290"/>
      <c r="L517" s="290"/>
      <c r="M517" s="290"/>
      <c r="N517" s="290"/>
      <c r="O517" s="290"/>
      <c r="P517" s="261"/>
      <c r="Q517" s="262"/>
      <c r="R517" s="435"/>
      <c r="S517" s="264"/>
      <c r="T517" s="266"/>
      <c r="U517" s="211"/>
      <c r="W517" s="211"/>
      <c r="X517" s="211"/>
      <c r="Z517" s="211"/>
      <c r="AA517" s="211"/>
      <c r="AC517" s="211"/>
      <c r="AD517" s="211"/>
      <c r="AF517" s="211"/>
      <c r="AG517" s="211"/>
      <c r="AI517" s="211"/>
      <c r="AJ517" s="211"/>
      <c r="AL517" s="211"/>
      <c r="AM517" s="211"/>
    </row>
    <row r="518" spans="1:39" s="288" customFormat="1" x14ac:dyDescent="0.2">
      <c r="A518" s="308"/>
      <c r="B518" s="336" t="s">
        <v>755</v>
      </c>
      <c r="C518" s="290"/>
      <c r="D518" s="290"/>
      <c r="E518" s="290"/>
      <c r="F518" s="290"/>
      <c r="G518" s="290"/>
      <c r="H518" s="290"/>
      <c r="I518" s="290"/>
      <c r="J518" s="290"/>
      <c r="K518" s="290"/>
      <c r="L518" s="290"/>
      <c r="M518" s="290"/>
      <c r="N518" s="290"/>
      <c r="O518" s="290"/>
      <c r="P518" s="261"/>
      <c r="Q518" s="262"/>
      <c r="R518" s="435"/>
      <c r="S518" s="264"/>
      <c r="T518" s="266"/>
      <c r="U518" s="266"/>
      <c r="W518" s="266"/>
      <c r="X518" s="266"/>
      <c r="Y518" s="264"/>
      <c r="Z518" s="266"/>
      <c r="AA518" s="266"/>
      <c r="AB518" s="264"/>
      <c r="AC518" s="266"/>
      <c r="AD518" s="266"/>
      <c r="AE518" s="264"/>
      <c r="AF518" s="266"/>
      <c r="AG518" s="266"/>
      <c r="AH518" s="264"/>
      <c r="AI518" s="266"/>
      <c r="AJ518" s="266"/>
      <c r="AK518" s="264"/>
      <c r="AL518" s="266"/>
      <c r="AM518" s="266"/>
    </row>
    <row r="519" spans="1:39" s="267" customFormat="1" x14ac:dyDescent="0.2">
      <c r="A519" s="308"/>
      <c r="B519" s="336"/>
      <c r="C519" s="290"/>
      <c r="D519" s="290"/>
      <c r="E519" s="290"/>
      <c r="F519" s="290"/>
      <c r="G519" s="290"/>
      <c r="H519" s="290"/>
      <c r="I519" s="290"/>
      <c r="J519" s="290"/>
      <c r="K519" s="290"/>
      <c r="L519" s="290"/>
      <c r="M519" s="290"/>
      <c r="N519" s="290"/>
      <c r="O519" s="290"/>
      <c r="P519" s="261"/>
      <c r="Q519" s="262"/>
      <c r="R519" s="435"/>
      <c r="S519" s="264"/>
      <c r="T519" s="266"/>
      <c r="U519" s="211"/>
      <c r="V519" s="264"/>
      <c r="W519" s="211"/>
      <c r="X519" s="211"/>
      <c r="Y519" s="264"/>
      <c r="Z519" s="211"/>
      <c r="AA519" s="211"/>
      <c r="AB519" s="264"/>
      <c r="AC519" s="211"/>
      <c r="AD519" s="211"/>
      <c r="AE519" s="264"/>
      <c r="AF519" s="211"/>
      <c r="AG519" s="211"/>
      <c r="AH519" s="264"/>
      <c r="AI519" s="211"/>
      <c r="AJ519" s="211"/>
      <c r="AK519" s="264"/>
      <c r="AL519" s="211"/>
      <c r="AM519" s="211"/>
    </row>
    <row r="520" spans="1:39" s="288" customFormat="1" ht="14.25" customHeight="1" x14ac:dyDescent="0.2">
      <c r="A520" s="308" t="s">
        <v>71</v>
      </c>
      <c r="B520" s="269" t="s">
        <v>754</v>
      </c>
      <c r="C520" s="290">
        <f>(W520+X520)*$C$3</f>
        <v>60</v>
      </c>
      <c r="D520" s="290">
        <f>C520*$Q520</f>
        <v>0</v>
      </c>
      <c r="E520" s="290">
        <f>(Z520+AA520)*$E$3</f>
        <v>75</v>
      </c>
      <c r="F520" s="290">
        <f>E520*$Q520</f>
        <v>0</v>
      </c>
      <c r="G520" s="290">
        <f>(AC520+AD520)*$G$3</f>
        <v>450</v>
      </c>
      <c r="H520" s="290">
        <f>G520*$Q520</f>
        <v>0</v>
      </c>
      <c r="I520" s="290">
        <f>(AF520+AG520)*$I$3</f>
        <v>105</v>
      </c>
      <c r="J520" s="290">
        <f>I520*$Q520</f>
        <v>0</v>
      </c>
      <c r="K520" s="290">
        <f>(AI520+AJ520)*$K$3</f>
        <v>360</v>
      </c>
      <c r="L520" s="290">
        <f>K520*$Q520</f>
        <v>0</v>
      </c>
      <c r="M520" s="290">
        <f>(AL520+AM520)*$M$3</f>
        <v>135</v>
      </c>
      <c r="N520" s="290">
        <f>M520*$Q520</f>
        <v>0</v>
      </c>
      <c r="O520" s="290">
        <f>C520+E520+G520+I520+K520+M520</f>
        <v>1185</v>
      </c>
      <c r="P520" s="261" t="s">
        <v>12</v>
      </c>
      <c r="Q520" s="262"/>
      <c r="R520" s="435">
        <f>O520*Q520</f>
        <v>0</v>
      </c>
      <c r="S520" s="264"/>
      <c r="T520" s="266">
        <v>15</v>
      </c>
      <c r="U520" s="266">
        <v>15</v>
      </c>
      <c r="W520" s="266">
        <f>T520*$W$3</f>
        <v>30</v>
      </c>
      <c r="X520" s="266">
        <f>U520*$X$3</f>
        <v>30</v>
      </c>
      <c r="Y520" s="264"/>
      <c r="Z520" s="266">
        <f>W520</f>
        <v>30</v>
      </c>
      <c r="AA520" s="266">
        <f>U520*$AA$3</f>
        <v>45</v>
      </c>
      <c r="AB520" s="264"/>
      <c r="AC520" s="266">
        <f>W520</f>
        <v>30</v>
      </c>
      <c r="AD520" s="266">
        <f>U520*$AD$3</f>
        <v>60</v>
      </c>
      <c r="AE520" s="264"/>
      <c r="AF520" s="266">
        <f>W520</f>
        <v>30</v>
      </c>
      <c r="AG520" s="266">
        <f>U520*$AG$3</f>
        <v>75</v>
      </c>
      <c r="AH520" s="264"/>
      <c r="AI520" s="266">
        <f>W520</f>
        <v>30</v>
      </c>
      <c r="AJ520" s="266">
        <f>U520*$AJ$3</f>
        <v>90</v>
      </c>
      <c r="AK520" s="264"/>
      <c r="AL520" s="266">
        <f>W520</f>
        <v>30</v>
      </c>
      <c r="AM520" s="266">
        <f>U520*$AM$3</f>
        <v>105</v>
      </c>
    </row>
    <row r="521" spans="1:39" s="288" customFormat="1" x14ac:dyDescent="0.2">
      <c r="A521" s="308"/>
      <c r="B521" s="259"/>
      <c r="C521" s="290"/>
      <c r="D521" s="290"/>
      <c r="E521" s="290"/>
      <c r="F521" s="290"/>
      <c r="G521" s="290"/>
      <c r="H521" s="290"/>
      <c r="I521" s="290"/>
      <c r="J521" s="290"/>
      <c r="K521" s="290"/>
      <c r="L521" s="290"/>
      <c r="M521" s="290"/>
      <c r="N521" s="290"/>
      <c r="O521" s="290"/>
      <c r="P521" s="261"/>
      <c r="Q521" s="262"/>
      <c r="R521" s="435"/>
      <c r="S521" s="264"/>
      <c r="T521" s="266"/>
      <c r="U521" s="211"/>
      <c r="W521" s="211"/>
      <c r="X521" s="211"/>
      <c r="Z521" s="211"/>
      <c r="AA521" s="211"/>
      <c r="AC521" s="211"/>
      <c r="AD521" s="211"/>
      <c r="AF521" s="211"/>
      <c r="AG521" s="211"/>
      <c r="AI521" s="211"/>
      <c r="AJ521" s="211"/>
      <c r="AL521" s="211"/>
      <c r="AM521" s="211"/>
    </row>
    <row r="522" spans="1:39" s="267" customFormat="1" x14ac:dyDescent="0.2">
      <c r="A522" s="308"/>
      <c r="B522" s="259"/>
      <c r="C522" s="290">
        <f>ROUND(W522*C$3,0)</f>
        <v>0</v>
      </c>
      <c r="D522" s="290"/>
      <c r="E522" s="290">
        <f>ROUND(X522*E$3,0)</f>
        <v>0</v>
      </c>
      <c r="F522" s="290"/>
      <c r="G522" s="290">
        <f>ROUND(Z522*G$3,0)</f>
        <v>0</v>
      </c>
      <c r="H522" s="290"/>
      <c r="I522" s="290"/>
      <c r="J522" s="290"/>
      <c r="K522" s="290"/>
      <c r="L522" s="290"/>
      <c r="M522" s="290"/>
      <c r="N522" s="290"/>
      <c r="O522" s="290"/>
      <c r="P522" s="261"/>
      <c r="Q522" s="262"/>
      <c r="R522" s="435"/>
      <c r="S522" s="264"/>
      <c r="T522" s="266"/>
      <c r="U522" s="211"/>
      <c r="V522" s="264"/>
      <c r="W522" s="211"/>
      <c r="X522" s="211"/>
      <c r="Y522" s="264"/>
      <c r="Z522" s="211"/>
      <c r="AA522" s="211"/>
      <c r="AB522" s="264"/>
      <c r="AC522" s="211"/>
      <c r="AD522" s="211"/>
      <c r="AE522" s="264"/>
      <c r="AF522" s="211"/>
      <c r="AG522" s="211"/>
      <c r="AH522" s="264"/>
      <c r="AI522" s="211"/>
      <c r="AJ522" s="211"/>
      <c r="AK522" s="264"/>
      <c r="AL522" s="211"/>
      <c r="AM522" s="211"/>
    </row>
    <row r="523" spans="1:39" s="267" customFormat="1" x14ac:dyDescent="0.2">
      <c r="A523" s="308"/>
      <c r="B523" s="259"/>
      <c r="C523" s="290"/>
      <c r="D523" s="290"/>
      <c r="E523" s="290"/>
      <c r="F523" s="290"/>
      <c r="G523" s="290"/>
      <c r="H523" s="290"/>
      <c r="I523" s="290"/>
      <c r="J523" s="290"/>
      <c r="K523" s="290"/>
      <c r="L523" s="290"/>
      <c r="M523" s="290"/>
      <c r="N523" s="290"/>
      <c r="O523" s="290"/>
      <c r="P523" s="261"/>
      <c r="Q523" s="262"/>
      <c r="R523" s="435"/>
      <c r="S523" s="264"/>
      <c r="T523" s="266"/>
      <c r="U523" s="211"/>
      <c r="V523" s="264"/>
      <c r="W523" s="211"/>
      <c r="X523" s="211"/>
      <c r="Y523" s="264"/>
      <c r="Z523" s="211"/>
      <c r="AA523" s="211"/>
      <c r="AB523" s="264"/>
      <c r="AC523" s="211"/>
      <c r="AD523" s="211"/>
      <c r="AE523" s="264"/>
      <c r="AF523" s="211"/>
      <c r="AG523" s="211"/>
      <c r="AH523" s="264"/>
      <c r="AI523" s="211"/>
      <c r="AJ523" s="211"/>
      <c r="AK523" s="264"/>
      <c r="AL523" s="211"/>
      <c r="AM523" s="211"/>
    </row>
    <row r="524" spans="1:39" s="267" customFormat="1" x14ac:dyDescent="0.2">
      <c r="A524" s="308"/>
      <c r="B524" s="259"/>
      <c r="C524" s="290"/>
      <c r="D524" s="290"/>
      <c r="E524" s="290"/>
      <c r="F524" s="290"/>
      <c r="G524" s="290"/>
      <c r="H524" s="290"/>
      <c r="I524" s="290"/>
      <c r="J524" s="290"/>
      <c r="K524" s="290"/>
      <c r="L524" s="290"/>
      <c r="M524" s="290"/>
      <c r="N524" s="290"/>
      <c r="O524" s="290"/>
      <c r="P524" s="261"/>
      <c r="Q524" s="262"/>
      <c r="R524" s="435"/>
      <c r="S524" s="264"/>
      <c r="T524" s="266"/>
      <c r="U524" s="211"/>
      <c r="V524" s="264"/>
      <c r="W524" s="211"/>
      <c r="X524" s="211"/>
      <c r="Y524" s="264"/>
      <c r="Z524" s="211"/>
      <c r="AA524" s="211"/>
      <c r="AB524" s="264"/>
      <c r="AC524" s="211"/>
      <c r="AD524" s="211"/>
      <c r="AE524" s="264"/>
      <c r="AF524" s="211"/>
      <c r="AG524" s="211"/>
      <c r="AH524" s="264"/>
      <c r="AI524" s="211"/>
      <c r="AJ524" s="211"/>
      <c r="AK524" s="264"/>
      <c r="AL524" s="211"/>
      <c r="AM524" s="211"/>
    </row>
    <row r="525" spans="1:39" s="267" customFormat="1" x14ac:dyDescent="0.2">
      <c r="A525" s="308"/>
      <c r="B525" s="259"/>
      <c r="C525" s="290"/>
      <c r="D525" s="290"/>
      <c r="E525" s="290"/>
      <c r="F525" s="290"/>
      <c r="G525" s="290"/>
      <c r="H525" s="290"/>
      <c r="I525" s="290"/>
      <c r="J525" s="290"/>
      <c r="K525" s="290"/>
      <c r="L525" s="290"/>
      <c r="M525" s="290"/>
      <c r="N525" s="290"/>
      <c r="O525" s="290"/>
      <c r="P525" s="261"/>
      <c r="Q525" s="262"/>
      <c r="R525" s="435"/>
      <c r="S525" s="264"/>
      <c r="T525" s="266"/>
      <c r="U525" s="211"/>
      <c r="V525" s="264"/>
      <c r="W525" s="211"/>
      <c r="X525" s="211"/>
      <c r="Y525" s="264"/>
      <c r="Z525" s="211"/>
      <c r="AA525" s="211"/>
      <c r="AB525" s="264"/>
      <c r="AC525" s="211"/>
      <c r="AD525" s="211"/>
      <c r="AE525" s="264"/>
      <c r="AF525" s="211"/>
      <c r="AG525" s="211"/>
      <c r="AH525" s="264"/>
      <c r="AI525" s="211"/>
      <c r="AJ525" s="211"/>
      <c r="AK525" s="264"/>
      <c r="AL525" s="211"/>
      <c r="AM525" s="211"/>
    </row>
    <row r="526" spans="1:39" s="267" customFormat="1" x14ac:dyDescent="0.2">
      <c r="A526" s="308"/>
      <c r="B526" s="259"/>
      <c r="C526" s="290"/>
      <c r="D526" s="290"/>
      <c r="E526" s="290"/>
      <c r="F526" s="290"/>
      <c r="G526" s="290"/>
      <c r="H526" s="290"/>
      <c r="I526" s="290"/>
      <c r="J526" s="290"/>
      <c r="K526" s="290"/>
      <c r="L526" s="290"/>
      <c r="M526" s="290"/>
      <c r="N526" s="290"/>
      <c r="O526" s="290"/>
      <c r="P526" s="261"/>
      <c r="Q526" s="262"/>
      <c r="R526" s="435"/>
      <c r="S526" s="264"/>
      <c r="T526" s="266"/>
      <c r="U526" s="211"/>
      <c r="V526" s="264"/>
      <c r="W526" s="211"/>
      <c r="X526" s="211"/>
      <c r="Y526" s="264"/>
      <c r="Z526" s="211"/>
      <c r="AA526" s="211"/>
      <c r="AB526" s="264"/>
      <c r="AC526" s="211"/>
      <c r="AD526" s="211"/>
      <c r="AE526" s="264"/>
      <c r="AF526" s="211"/>
      <c r="AG526" s="211"/>
      <c r="AH526" s="264"/>
      <c r="AI526" s="211"/>
      <c r="AJ526" s="211"/>
      <c r="AK526" s="264"/>
      <c r="AL526" s="211"/>
      <c r="AM526" s="211"/>
    </row>
    <row r="527" spans="1:39" s="267" customFormat="1" x14ac:dyDescent="0.2">
      <c r="A527" s="308"/>
      <c r="B527" s="259"/>
      <c r="C527" s="290"/>
      <c r="D527" s="290"/>
      <c r="E527" s="290"/>
      <c r="F527" s="290"/>
      <c r="G527" s="290"/>
      <c r="H527" s="290"/>
      <c r="I527" s="290"/>
      <c r="J527" s="290"/>
      <c r="K527" s="290"/>
      <c r="L527" s="290"/>
      <c r="M527" s="290"/>
      <c r="N527" s="290"/>
      <c r="O527" s="290"/>
      <c r="P527" s="261"/>
      <c r="Q527" s="262"/>
      <c r="R527" s="435"/>
      <c r="S527" s="264"/>
      <c r="T527" s="266"/>
      <c r="U527" s="211"/>
      <c r="V527" s="264"/>
      <c r="W527" s="211"/>
      <c r="X527" s="211"/>
      <c r="Y527" s="264"/>
      <c r="Z527" s="211"/>
      <c r="AA527" s="211"/>
      <c r="AB527" s="264"/>
      <c r="AC527" s="211"/>
      <c r="AD527" s="211"/>
      <c r="AE527" s="264"/>
      <c r="AF527" s="211"/>
      <c r="AG527" s="211"/>
      <c r="AH527" s="264"/>
      <c r="AI527" s="211"/>
      <c r="AJ527" s="211"/>
      <c r="AK527" s="264"/>
      <c r="AL527" s="211"/>
      <c r="AM527" s="211"/>
    </row>
    <row r="528" spans="1:39" s="267" customFormat="1" x14ac:dyDescent="0.2">
      <c r="A528" s="308"/>
      <c r="B528" s="259"/>
      <c r="C528" s="290"/>
      <c r="D528" s="290"/>
      <c r="E528" s="290"/>
      <c r="F528" s="290"/>
      <c r="G528" s="290"/>
      <c r="H528" s="290"/>
      <c r="I528" s="290"/>
      <c r="J528" s="290"/>
      <c r="K528" s="290"/>
      <c r="L528" s="290"/>
      <c r="M528" s="290"/>
      <c r="N528" s="290"/>
      <c r="O528" s="290"/>
      <c r="P528" s="261"/>
      <c r="Q528" s="262"/>
      <c r="R528" s="435"/>
      <c r="S528" s="264"/>
      <c r="T528" s="266"/>
      <c r="U528" s="211"/>
      <c r="V528" s="264"/>
      <c r="W528" s="211"/>
      <c r="X528" s="211"/>
      <c r="Y528" s="264"/>
      <c r="Z528" s="211"/>
      <c r="AA528" s="211"/>
      <c r="AB528" s="264"/>
      <c r="AC528" s="211"/>
      <c r="AD528" s="211"/>
      <c r="AE528" s="264"/>
      <c r="AF528" s="211"/>
      <c r="AG528" s="211"/>
      <c r="AH528" s="264"/>
      <c r="AI528" s="211"/>
      <c r="AJ528" s="211"/>
      <c r="AK528" s="264"/>
      <c r="AL528" s="211"/>
      <c r="AM528" s="211"/>
    </row>
    <row r="529" spans="1:39" s="267" customFormat="1" x14ac:dyDescent="0.2">
      <c r="A529" s="308"/>
      <c r="B529" s="259"/>
      <c r="C529" s="290"/>
      <c r="D529" s="290"/>
      <c r="E529" s="290"/>
      <c r="F529" s="290"/>
      <c r="G529" s="290"/>
      <c r="H529" s="290"/>
      <c r="I529" s="290"/>
      <c r="J529" s="290"/>
      <c r="K529" s="290"/>
      <c r="L529" s="290"/>
      <c r="M529" s="290"/>
      <c r="N529" s="290"/>
      <c r="O529" s="290"/>
      <c r="P529" s="261"/>
      <c r="Q529" s="262"/>
      <c r="R529" s="435"/>
      <c r="S529" s="264"/>
      <c r="T529" s="266"/>
      <c r="U529" s="211"/>
      <c r="V529" s="264"/>
      <c r="W529" s="211"/>
      <c r="X529" s="211"/>
      <c r="Y529" s="264"/>
      <c r="Z529" s="211"/>
      <c r="AA529" s="211"/>
      <c r="AB529" s="264"/>
      <c r="AC529" s="211"/>
      <c r="AD529" s="211"/>
      <c r="AE529" s="264"/>
      <c r="AF529" s="211"/>
      <c r="AG529" s="211"/>
      <c r="AH529" s="264"/>
      <c r="AI529" s="211"/>
      <c r="AJ529" s="211"/>
      <c r="AK529" s="264"/>
      <c r="AL529" s="211"/>
      <c r="AM529" s="211"/>
    </row>
    <row r="530" spans="1:39" s="267" customFormat="1" x14ac:dyDescent="0.2">
      <c r="A530" s="308"/>
      <c r="B530" s="259"/>
      <c r="C530" s="290"/>
      <c r="D530" s="290"/>
      <c r="E530" s="290"/>
      <c r="F530" s="290"/>
      <c r="G530" s="290"/>
      <c r="H530" s="290"/>
      <c r="I530" s="290"/>
      <c r="J530" s="290"/>
      <c r="K530" s="290"/>
      <c r="L530" s="290"/>
      <c r="M530" s="290"/>
      <c r="N530" s="290"/>
      <c r="O530" s="290"/>
      <c r="P530" s="261"/>
      <c r="Q530" s="262"/>
      <c r="R530" s="435"/>
      <c r="S530" s="264"/>
      <c r="T530" s="266"/>
      <c r="U530" s="211"/>
      <c r="V530" s="264"/>
      <c r="W530" s="211"/>
      <c r="X530" s="211"/>
      <c r="Y530" s="264"/>
      <c r="Z530" s="211"/>
      <c r="AA530" s="211"/>
      <c r="AB530" s="264"/>
      <c r="AC530" s="211"/>
      <c r="AD530" s="211"/>
      <c r="AE530" s="264"/>
      <c r="AF530" s="211"/>
      <c r="AG530" s="211"/>
      <c r="AH530" s="264"/>
      <c r="AI530" s="211"/>
      <c r="AJ530" s="211"/>
      <c r="AK530" s="264"/>
      <c r="AL530" s="211"/>
      <c r="AM530" s="211"/>
    </row>
    <row r="531" spans="1:39" s="267" customFormat="1" x14ac:dyDescent="0.2">
      <c r="A531" s="308"/>
      <c r="B531" s="259" t="s">
        <v>181</v>
      </c>
      <c r="C531" s="290"/>
      <c r="D531" s="290"/>
      <c r="E531" s="290"/>
      <c r="F531" s="290"/>
      <c r="G531" s="290"/>
      <c r="H531" s="290"/>
      <c r="I531" s="290"/>
      <c r="J531" s="290"/>
      <c r="K531" s="290"/>
      <c r="L531" s="290"/>
      <c r="M531" s="290"/>
      <c r="N531" s="290"/>
      <c r="O531" s="290"/>
      <c r="P531" s="261"/>
      <c r="Q531" s="262"/>
      <c r="R531" s="435"/>
      <c r="S531" s="264"/>
      <c r="T531" s="266"/>
      <c r="U531" s="211"/>
      <c r="V531" s="264"/>
      <c r="W531" s="211"/>
      <c r="X531" s="211"/>
      <c r="Y531" s="264"/>
      <c r="Z531" s="211"/>
      <c r="AA531" s="211"/>
      <c r="AB531" s="264"/>
      <c r="AC531" s="211"/>
      <c r="AD531" s="211"/>
      <c r="AE531" s="264"/>
      <c r="AF531" s="211"/>
      <c r="AG531" s="211"/>
      <c r="AH531" s="264"/>
      <c r="AI531" s="211"/>
      <c r="AJ531" s="211"/>
      <c r="AK531" s="264"/>
      <c r="AL531" s="211"/>
      <c r="AM531" s="211"/>
    </row>
    <row r="532" spans="1:39" s="267" customFormat="1" x14ac:dyDescent="0.2">
      <c r="A532" s="308"/>
      <c r="B532" s="308"/>
      <c r="C532" s="290"/>
      <c r="D532" s="290"/>
      <c r="E532" s="290"/>
      <c r="F532" s="290"/>
      <c r="G532" s="290"/>
      <c r="H532" s="290"/>
      <c r="I532" s="290"/>
      <c r="J532" s="290"/>
      <c r="K532" s="290"/>
      <c r="L532" s="290"/>
      <c r="M532" s="290"/>
      <c r="N532" s="290"/>
      <c r="O532" s="290"/>
      <c r="P532" s="261"/>
      <c r="Q532" s="262"/>
      <c r="R532" s="435"/>
      <c r="S532" s="264"/>
      <c r="T532" s="266"/>
      <c r="U532" s="211"/>
      <c r="V532" s="264"/>
      <c r="W532" s="211"/>
      <c r="X532" s="211"/>
      <c r="Y532" s="264"/>
      <c r="Z532" s="211"/>
      <c r="AA532" s="211"/>
      <c r="AB532" s="264"/>
      <c r="AC532" s="211"/>
      <c r="AD532" s="211"/>
      <c r="AE532" s="264"/>
      <c r="AF532" s="211"/>
      <c r="AG532" s="211"/>
      <c r="AH532" s="264"/>
      <c r="AI532" s="211"/>
      <c r="AJ532" s="211"/>
      <c r="AK532" s="264"/>
      <c r="AL532" s="211"/>
      <c r="AM532" s="211"/>
    </row>
    <row r="533" spans="1:39" s="267" customFormat="1" x14ac:dyDescent="0.2">
      <c r="A533" s="308"/>
      <c r="B533" s="308"/>
      <c r="C533" s="290"/>
      <c r="D533" s="290"/>
      <c r="E533" s="290"/>
      <c r="F533" s="290"/>
      <c r="G533" s="290"/>
      <c r="H533" s="290"/>
      <c r="I533" s="290"/>
      <c r="J533" s="290"/>
      <c r="K533" s="290"/>
      <c r="L533" s="290"/>
      <c r="M533" s="290"/>
      <c r="N533" s="290"/>
      <c r="O533" s="290"/>
      <c r="P533" s="261"/>
      <c r="Q533" s="262"/>
      <c r="R533" s="435"/>
      <c r="S533" s="264"/>
      <c r="T533" s="266"/>
      <c r="U533" s="211"/>
      <c r="V533" s="264"/>
      <c r="W533" s="211"/>
      <c r="X533" s="211"/>
      <c r="Y533" s="264"/>
      <c r="Z533" s="211"/>
      <c r="AA533" s="211"/>
      <c r="AB533" s="264"/>
      <c r="AC533" s="211"/>
      <c r="AD533" s="211"/>
      <c r="AE533" s="264"/>
      <c r="AF533" s="211"/>
      <c r="AG533" s="211"/>
      <c r="AH533" s="264"/>
      <c r="AI533" s="211"/>
      <c r="AJ533" s="211"/>
      <c r="AK533" s="264"/>
      <c r="AL533" s="211"/>
      <c r="AM533" s="211"/>
    </row>
    <row r="534" spans="1:39" s="267" customFormat="1" x14ac:dyDescent="0.2">
      <c r="A534" s="308"/>
      <c r="B534" s="259"/>
      <c r="C534" s="290"/>
      <c r="D534" s="290"/>
      <c r="E534" s="290"/>
      <c r="F534" s="290"/>
      <c r="G534" s="290"/>
      <c r="H534" s="290"/>
      <c r="I534" s="290"/>
      <c r="J534" s="290"/>
      <c r="K534" s="290"/>
      <c r="L534" s="290"/>
      <c r="M534" s="290"/>
      <c r="N534" s="290"/>
      <c r="O534" s="290"/>
      <c r="P534" s="261"/>
      <c r="Q534" s="262"/>
      <c r="R534" s="435"/>
      <c r="S534" s="270"/>
      <c r="T534" s="266"/>
      <c r="U534" s="211"/>
      <c r="V534" s="264"/>
      <c r="W534" s="211"/>
      <c r="X534" s="211"/>
      <c r="Y534" s="264"/>
      <c r="Z534" s="211"/>
      <c r="AA534" s="211"/>
      <c r="AB534" s="264"/>
      <c r="AC534" s="211"/>
      <c r="AD534" s="211"/>
      <c r="AE534" s="264"/>
      <c r="AF534" s="211"/>
      <c r="AG534" s="211"/>
      <c r="AH534" s="264"/>
      <c r="AI534" s="211"/>
      <c r="AJ534" s="211"/>
      <c r="AK534" s="264"/>
      <c r="AL534" s="211"/>
      <c r="AM534" s="211"/>
    </row>
    <row r="535" spans="1:39" s="267" customFormat="1" x14ac:dyDescent="0.2">
      <c r="A535" s="375"/>
      <c r="B535" s="376"/>
      <c r="C535" s="377"/>
      <c r="D535" s="377"/>
      <c r="E535" s="377"/>
      <c r="F535" s="377"/>
      <c r="G535" s="377"/>
      <c r="H535" s="377"/>
      <c r="I535" s="377"/>
      <c r="J535" s="377"/>
      <c r="K535" s="377"/>
      <c r="L535" s="377"/>
      <c r="M535" s="377"/>
      <c r="N535" s="377"/>
      <c r="O535" s="377"/>
      <c r="P535" s="377"/>
      <c r="Q535" s="378"/>
      <c r="R535" s="441"/>
      <c r="S535" s="264"/>
      <c r="T535" s="273"/>
      <c r="U535" s="274"/>
      <c r="V535" s="264"/>
      <c r="W535" s="273"/>
      <c r="X535" s="273"/>
      <c r="Y535" s="264"/>
      <c r="Z535" s="273"/>
      <c r="AA535" s="273"/>
      <c r="AB535" s="264"/>
      <c r="AC535" s="273"/>
      <c r="AD535" s="273"/>
      <c r="AE535" s="264"/>
      <c r="AF535" s="273"/>
      <c r="AG535" s="273"/>
      <c r="AH535" s="264"/>
      <c r="AI535" s="273"/>
      <c r="AJ535" s="273"/>
      <c r="AK535" s="264"/>
      <c r="AL535" s="273"/>
      <c r="AM535" s="273"/>
    </row>
    <row r="536" spans="1:39" s="267" customFormat="1" x14ac:dyDescent="0.2">
      <c r="A536" s="380"/>
      <c r="B536" s="320"/>
      <c r="C536" s="430"/>
      <c r="D536" s="309"/>
      <c r="E536" s="309"/>
      <c r="F536" s="309"/>
      <c r="G536" s="309"/>
      <c r="H536" s="309"/>
      <c r="I536" s="309"/>
      <c r="J536" s="309"/>
      <c r="K536" s="309"/>
      <c r="L536" s="309"/>
      <c r="M536" s="309"/>
      <c r="N536" s="309"/>
      <c r="O536" s="309"/>
      <c r="P536" s="171" t="s">
        <v>1</v>
      </c>
      <c r="Q536" s="381" t="s">
        <v>0</v>
      </c>
      <c r="R536" s="435">
        <f>SUM(R495:R534)</f>
        <v>0</v>
      </c>
      <c r="S536" s="276"/>
      <c r="T536" s="266"/>
      <c r="U536" s="277"/>
      <c r="V536" s="264"/>
      <c r="W536" s="266"/>
      <c r="X536" s="266"/>
      <c r="Y536" s="264"/>
      <c r="Z536" s="266"/>
      <c r="AA536" s="266"/>
      <c r="AB536" s="264"/>
      <c r="AC536" s="266"/>
      <c r="AD536" s="266"/>
      <c r="AE536" s="264"/>
      <c r="AF536" s="266"/>
      <c r="AG536" s="266"/>
      <c r="AH536" s="264"/>
      <c r="AI536" s="266"/>
      <c r="AJ536" s="266"/>
      <c r="AK536" s="264"/>
      <c r="AL536" s="266"/>
      <c r="AM536" s="266"/>
    </row>
    <row r="537" spans="1:39" s="267" customFormat="1" x14ac:dyDescent="0.2">
      <c r="A537" s="380"/>
      <c r="B537" s="320"/>
      <c r="C537" s="309"/>
      <c r="D537" s="309"/>
      <c r="E537" s="309"/>
      <c r="F537" s="309"/>
      <c r="G537" s="309"/>
      <c r="H537" s="309"/>
      <c r="I537" s="309"/>
      <c r="J537" s="309"/>
      <c r="K537" s="309"/>
      <c r="L537" s="309"/>
      <c r="M537" s="309"/>
      <c r="N537" s="309"/>
      <c r="O537" s="309"/>
      <c r="P537" s="309"/>
      <c r="Q537" s="294"/>
      <c r="R537" s="458"/>
      <c r="S537" s="264"/>
      <c r="T537" s="278"/>
      <c r="U537" s="279"/>
      <c r="V537" s="264"/>
      <c r="W537" s="278"/>
      <c r="X537" s="278"/>
      <c r="Y537" s="264"/>
      <c r="Z537" s="278"/>
      <c r="AA537" s="278"/>
      <c r="AB537" s="264"/>
      <c r="AC537" s="278"/>
      <c r="AD537" s="278"/>
      <c r="AE537" s="264"/>
      <c r="AF537" s="278"/>
      <c r="AG537" s="278"/>
      <c r="AH537" s="264"/>
      <c r="AI537" s="278"/>
      <c r="AJ537" s="278"/>
      <c r="AK537" s="264"/>
      <c r="AL537" s="278"/>
      <c r="AM537" s="278"/>
    </row>
    <row r="538" spans="1:39" s="267" customFormat="1" x14ac:dyDescent="0.2">
      <c r="A538" s="308"/>
      <c r="B538" s="291"/>
      <c r="C538" s="266"/>
      <c r="D538" s="337"/>
      <c r="E538" s="337"/>
      <c r="F538" s="337"/>
      <c r="G538" s="337"/>
      <c r="H538" s="337"/>
      <c r="I538" s="337"/>
      <c r="J538" s="337"/>
      <c r="K538" s="337"/>
      <c r="L538" s="337"/>
      <c r="M538" s="337"/>
      <c r="N538" s="337"/>
      <c r="O538" s="461"/>
      <c r="P538" s="462"/>
      <c r="Q538" s="463"/>
      <c r="R538" s="464"/>
      <c r="S538" s="264"/>
      <c r="T538" s="266"/>
      <c r="U538" s="211"/>
      <c r="V538" s="264"/>
      <c r="W538" s="211"/>
      <c r="X538" s="211"/>
      <c r="Y538" s="264"/>
      <c r="Z538" s="211"/>
      <c r="AA538" s="211"/>
      <c r="AB538" s="264"/>
      <c r="AC538" s="211"/>
      <c r="AD538" s="211"/>
      <c r="AE538" s="264"/>
      <c r="AF538" s="211"/>
      <c r="AG538" s="211"/>
      <c r="AH538" s="264"/>
      <c r="AI538" s="211"/>
      <c r="AJ538" s="211"/>
      <c r="AK538" s="264"/>
      <c r="AL538" s="211"/>
      <c r="AM538" s="211"/>
    </row>
    <row r="539" spans="1:39" s="267" customFormat="1" x14ac:dyDescent="0.2">
      <c r="A539" s="258"/>
      <c r="B539" s="265" t="s">
        <v>159</v>
      </c>
      <c r="C539" s="290"/>
      <c r="D539" s="290"/>
      <c r="E539" s="290"/>
      <c r="F539" s="290"/>
      <c r="G539" s="290"/>
      <c r="H539" s="290"/>
      <c r="I539" s="290"/>
      <c r="J539" s="290"/>
      <c r="K539" s="290"/>
      <c r="L539" s="290"/>
      <c r="M539" s="290"/>
      <c r="N539" s="290"/>
      <c r="O539" s="290"/>
      <c r="P539" s="261"/>
      <c r="Q539" s="262"/>
      <c r="R539" s="435"/>
      <c r="S539" s="264"/>
      <c r="T539" s="266"/>
      <c r="U539" s="211"/>
      <c r="V539" s="264"/>
      <c r="W539" s="211"/>
      <c r="X539" s="211"/>
      <c r="Y539" s="264"/>
      <c r="Z539" s="211"/>
      <c r="AA539" s="211"/>
      <c r="AB539" s="264"/>
      <c r="AC539" s="211"/>
      <c r="AD539" s="211"/>
      <c r="AE539" s="264"/>
      <c r="AF539" s="211"/>
      <c r="AG539" s="211"/>
      <c r="AH539" s="264"/>
      <c r="AI539" s="211"/>
      <c r="AJ539" s="211"/>
      <c r="AK539" s="264"/>
      <c r="AL539" s="211"/>
      <c r="AM539" s="211"/>
    </row>
    <row r="540" spans="1:39" s="267" customFormat="1" x14ac:dyDescent="0.2">
      <c r="A540" s="258"/>
      <c r="B540" s="356"/>
      <c r="C540" s="290"/>
      <c r="D540" s="290"/>
      <c r="E540" s="290"/>
      <c r="F540" s="290"/>
      <c r="G540" s="290"/>
      <c r="H540" s="290"/>
      <c r="I540" s="290"/>
      <c r="J540" s="290"/>
      <c r="K540" s="290"/>
      <c r="L540" s="290"/>
      <c r="M540" s="290"/>
      <c r="N540" s="290"/>
      <c r="O540" s="290"/>
      <c r="P540" s="261"/>
      <c r="Q540" s="262"/>
      <c r="R540" s="435"/>
      <c r="S540" s="264"/>
      <c r="T540" s="266"/>
      <c r="U540" s="211"/>
      <c r="V540" s="264"/>
      <c r="W540" s="211"/>
      <c r="X540" s="211"/>
      <c r="Y540" s="264"/>
      <c r="Z540" s="211"/>
      <c r="AA540" s="211"/>
      <c r="AB540" s="264"/>
      <c r="AC540" s="211"/>
      <c r="AD540" s="211"/>
      <c r="AE540" s="264"/>
      <c r="AF540" s="211"/>
      <c r="AG540" s="211"/>
      <c r="AH540" s="264"/>
      <c r="AI540" s="211"/>
      <c r="AJ540" s="211"/>
      <c r="AK540" s="264"/>
      <c r="AL540" s="211"/>
      <c r="AM540" s="211"/>
    </row>
    <row r="541" spans="1:39" s="267" customFormat="1" ht="30.75" customHeight="1" x14ac:dyDescent="0.2">
      <c r="A541" s="258"/>
      <c r="B541" s="265" t="s">
        <v>756</v>
      </c>
      <c r="C541" s="290"/>
      <c r="D541" s="290"/>
      <c r="E541" s="290"/>
      <c r="F541" s="290"/>
      <c r="G541" s="290"/>
      <c r="H541" s="290"/>
      <c r="I541" s="290"/>
      <c r="J541" s="290"/>
      <c r="K541" s="290"/>
      <c r="L541" s="290"/>
      <c r="M541" s="290"/>
      <c r="N541" s="290"/>
      <c r="O541" s="290"/>
      <c r="P541" s="261"/>
      <c r="Q541" s="262"/>
      <c r="R541" s="435"/>
      <c r="S541" s="270"/>
      <c r="T541" s="266"/>
      <c r="U541" s="211"/>
      <c r="V541" s="264"/>
      <c r="W541" s="211"/>
      <c r="X541" s="211"/>
      <c r="Y541" s="264"/>
      <c r="Z541" s="211"/>
      <c r="AA541" s="211"/>
      <c r="AB541" s="264"/>
      <c r="AC541" s="211"/>
      <c r="AD541" s="211"/>
      <c r="AE541" s="264"/>
      <c r="AF541" s="211"/>
      <c r="AG541" s="211"/>
      <c r="AH541" s="264"/>
      <c r="AI541" s="211"/>
      <c r="AJ541" s="211"/>
      <c r="AK541" s="264"/>
      <c r="AL541" s="211"/>
      <c r="AM541" s="211"/>
    </row>
    <row r="542" spans="1:39" s="267" customFormat="1" x14ac:dyDescent="0.2">
      <c r="A542" s="308"/>
      <c r="B542" s="202"/>
      <c r="C542" s="290"/>
      <c r="D542" s="290"/>
      <c r="E542" s="290"/>
      <c r="F542" s="290"/>
      <c r="G542" s="290"/>
      <c r="H542" s="290"/>
      <c r="I542" s="290"/>
      <c r="J542" s="290"/>
      <c r="K542" s="290"/>
      <c r="L542" s="290"/>
      <c r="M542" s="290"/>
      <c r="N542" s="290"/>
      <c r="O542" s="290"/>
      <c r="P542" s="261"/>
      <c r="Q542" s="262"/>
      <c r="R542" s="435"/>
      <c r="S542" s="264"/>
      <c r="T542" s="266"/>
      <c r="U542" s="211"/>
      <c r="V542" s="264"/>
      <c r="W542" s="211"/>
      <c r="X542" s="211"/>
      <c r="Y542" s="264"/>
      <c r="Z542" s="211"/>
      <c r="AA542" s="211"/>
      <c r="AB542" s="264"/>
      <c r="AC542" s="211"/>
      <c r="AD542" s="211"/>
      <c r="AE542" s="264"/>
      <c r="AF542" s="211"/>
      <c r="AG542" s="211"/>
      <c r="AH542" s="264"/>
      <c r="AI542" s="211"/>
      <c r="AJ542" s="211"/>
      <c r="AK542" s="264"/>
      <c r="AL542" s="211"/>
      <c r="AM542" s="211"/>
    </row>
    <row r="543" spans="1:39" s="267" customFormat="1" ht="28.5" x14ac:dyDescent="0.2">
      <c r="A543" s="308"/>
      <c r="B543" s="265" t="s">
        <v>757</v>
      </c>
      <c r="C543" s="290"/>
      <c r="D543" s="290"/>
      <c r="E543" s="290"/>
      <c r="F543" s="290"/>
      <c r="G543" s="290"/>
      <c r="H543" s="290"/>
      <c r="I543" s="290"/>
      <c r="J543" s="290"/>
      <c r="K543" s="290"/>
      <c r="L543" s="290"/>
      <c r="M543" s="290"/>
      <c r="N543" s="290"/>
      <c r="O543" s="290"/>
      <c r="P543" s="261"/>
      <c r="Q543" s="262"/>
      <c r="R543" s="435"/>
      <c r="S543" s="264"/>
      <c r="T543" s="266"/>
      <c r="U543" s="211"/>
      <c r="V543" s="264"/>
      <c r="W543" s="211"/>
      <c r="X543" s="211"/>
      <c r="Y543" s="264"/>
      <c r="Z543" s="211"/>
      <c r="AA543" s="211"/>
      <c r="AB543" s="264"/>
      <c r="AC543" s="211"/>
      <c r="AD543" s="211"/>
      <c r="AE543" s="264"/>
      <c r="AF543" s="211"/>
      <c r="AG543" s="211"/>
      <c r="AH543" s="264"/>
      <c r="AI543" s="211"/>
      <c r="AJ543" s="211"/>
      <c r="AK543" s="264"/>
      <c r="AL543" s="211"/>
      <c r="AM543" s="211"/>
    </row>
    <row r="544" spans="1:39" s="267" customFormat="1" x14ac:dyDescent="0.2">
      <c r="A544" s="308"/>
      <c r="B544" s="293"/>
      <c r="C544" s="290"/>
      <c r="D544" s="290"/>
      <c r="E544" s="290"/>
      <c r="F544" s="290"/>
      <c r="G544" s="290"/>
      <c r="H544" s="290"/>
      <c r="I544" s="290"/>
      <c r="J544" s="290"/>
      <c r="K544" s="290"/>
      <c r="L544" s="290"/>
      <c r="M544" s="290"/>
      <c r="N544" s="290"/>
      <c r="O544" s="290"/>
      <c r="P544" s="261"/>
      <c r="Q544" s="262"/>
      <c r="R544" s="435"/>
      <c r="S544" s="264"/>
      <c r="T544" s="266"/>
      <c r="U544" s="211"/>
      <c r="V544" s="264"/>
      <c r="W544" s="211"/>
      <c r="X544" s="211"/>
      <c r="Y544" s="264"/>
      <c r="Z544" s="211"/>
      <c r="AA544" s="211"/>
      <c r="AB544" s="264"/>
      <c r="AC544" s="211"/>
      <c r="AD544" s="211"/>
      <c r="AE544" s="264"/>
      <c r="AF544" s="211"/>
      <c r="AG544" s="211"/>
      <c r="AH544" s="264"/>
      <c r="AI544" s="211"/>
      <c r="AJ544" s="211"/>
      <c r="AK544" s="264"/>
      <c r="AL544" s="211"/>
      <c r="AM544" s="211"/>
    </row>
    <row r="545" spans="1:39" s="267" customFormat="1" x14ac:dyDescent="0.2">
      <c r="A545" s="258" t="s">
        <v>66</v>
      </c>
      <c r="B545" s="259" t="s">
        <v>758</v>
      </c>
      <c r="C545" s="338">
        <f>(W545+X545)*$C$3</f>
        <v>192</v>
      </c>
      <c r="D545" s="338">
        <f>C545*$Q545</f>
        <v>0</v>
      </c>
      <c r="E545" s="338">
        <f>(Z545+AA545)*$E$3</f>
        <v>239</v>
      </c>
      <c r="F545" s="338">
        <f>E545*$Q545</f>
        <v>0</v>
      </c>
      <c r="G545" s="338">
        <f>(AC545+AD545)*$G$3</f>
        <v>1430</v>
      </c>
      <c r="H545" s="338">
        <f>G545*$Q545</f>
        <v>0</v>
      </c>
      <c r="I545" s="338">
        <f>(AF545+AG545)*$I$3</f>
        <v>333</v>
      </c>
      <c r="J545" s="338">
        <f>I545*$Q545</f>
        <v>0</v>
      </c>
      <c r="K545" s="338">
        <f>(AI545+AJ545)*$K$3</f>
        <v>1140</v>
      </c>
      <c r="L545" s="338">
        <f>K545*$Q545</f>
        <v>0</v>
      </c>
      <c r="M545" s="338">
        <f>(AL545+AM545)*$M$3</f>
        <v>427</v>
      </c>
      <c r="N545" s="338">
        <f>M545*$Q545</f>
        <v>0</v>
      </c>
      <c r="O545" s="338">
        <f>C545+E545+G545+I545+K545+M545</f>
        <v>3761</v>
      </c>
      <c r="P545" s="261" t="s">
        <v>10</v>
      </c>
      <c r="Q545" s="262"/>
      <c r="R545" s="435">
        <f>O545*Q545</f>
        <v>0</v>
      </c>
      <c r="S545" s="270"/>
      <c r="T545" s="281">
        <v>49</v>
      </c>
      <c r="U545" s="281">
        <v>47</v>
      </c>
      <c r="V545" s="264"/>
      <c r="W545" s="266">
        <f>T545*$W$3</f>
        <v>98</v>
      </c>
      <c r="X545" s="266">
        <f>U545*$X$3</f>
        <v>94</v>
      </c>
      <c r="Y545" s="264"/>
      <c r="Z545" s="266">
        <f>W545</f>
        <v>98</v>
      </c>
      <c r="AA545" s="266">
        <f>U545*$AA$3</f>
        <v>141</v>
      </c>
      <c r="AB545" s="264"/>
      <c r="AC545" s="266">
        <f>W545</f>
        <v>98</v>
      </c>
      <c r="AD545" s="266">
        <f>U545*$AD$3</f>
        <v>188</v>
      </c>
      <c r="AE545" s="264"/>
      <c r="AF545" s="266">
        <f>W545</f>
        <v>98</v>
      </c>
      <c r="AG545" s="266">
        <f>U545*$AG$3</f>
        <v>235</v>
      </c>
      <c r="AH545" s="264"/>
      <c r="AI545" s="266">
        <f>W545</f>
        <v>98</v>
      </c>
      <c r="AJ545" s="266">
        <f>U545*$AJ$3</f>
        <v>282</v>
      </c>
      <c r="AK545" s="264"/>
      <c r="AL545" s="266">
        <f>W545</f>
        <v>98</v>
      </c>
      <c r="AM545" s="266">
        <f>U545*$AM$3</f>
        <v>329</v>
      </c>
    </row>
    <row r="546" spans="1:39" s="267" customFormat="1" x14ac:dyDescent="0.2">
      <c r="A546" s="258"/>
      <c r="B546" s="259"/>
      <c r="C546" s="290"/>
      <c r="D546" s="290"/>
      <c r="E546" s="290"/>
      <c r="F546" s="290"/>
      <c r="G546" s="290"/>
      <c r="H546" s="290"/>
      <c r="I546" s="290"/>
      <c r="J546" s="290"/>
      <c r="K546" s="290"/>
      <c r="L546" s="290"/>
      <c r="M546" s="290"/>
      <c r="N546" s="290"/>
      <c r="O546" s="290"/>
      <c r="P546" s="261"/>
      <c r="Q546" s="262"/>
      <c r="R546" s="435"/>
      <c r="S546" s="270"/>
      <c r="T546" s="266"/>
      <c r="U546" s="211"/>
      <c r="V546" s="264"/>
      <c r="W546" s="211"/>
      <c r="X546" s="211"/>
      <c r="Y546" s="264"/>
      <c r="Z546" s="211"/>
      <c r="AA546" s="211"/>
      <c r="AB546" s="264"/>
      <c r="AC546" s="211"/>
      <c r="AD546" s="211"/>
      <c r="AE546" s="264"/>
      <c r="AF546" s="211"/>
      <c r="AG546" s="211"/>
      <c r="AH546" s="264"/>
      <c r="AI546" s="211"/>
      <c r="AJ546" s="211"/>
      <c r="AK546" s="264"/>
      <c r="AL546" s="211"/>
      <c r="AM546" s="211"/>
    </row>
    <row r="547" spans="1:39" s="267" customFormat="1" ht="28.5" x14ac:dyDescent="0.2">
      <c r="A547" s="308"/>
      <c r="B547" s="265" t="s">
        <v>759</v>
      </c>
      <c r="C547" s="290"/>
      <c r="D547" s="290"/>
      <c r="E547" s="290"/>
      <c r="F547" s="290"/>
      <c r="G547" s="290"/>
      <c r="H547" s="290"/>
      <c r="I547" s="290"/>
      <c r="J547" s="290"/>
      <c r="K547" s="290"/>
      <c r="L547" s="290"/>
      <c r="M547" s="290"/>
      <c r="N547" s="290"/>
      <c r="O547" s="290"/>
      <c r="P547" s="261"/>
      <c r="Q547" s="262"/>
      <c r="R547" s="435"/>
      <c r="S547" s="264"/>
      <c r="T547" s="266"/>
      <c r="U547" s="211"/>
      <c r="V547" s="264"/>
      <c r="W547" s="211"/>
      <c r="X547" s="211"/>
      <c r="Y547" s="264"/>
      <c r="Z547" s="211"/>
      <c r="AA547" s="211"/>
      <c r="AB547" s="264"/>
      <c r="AC547" s="211"/>
      <c r="AD547" s="211"/>
      <c r="AE547" s="264"/>
      <c r="AF547" s="211"/>
      <c r="AG547" s="211"/>
      <c r="AH547" s="264"/>
      <c r="AI547" s="211"/>
      <c r="AJ547" s="211"/>
      <c r="AK547" s="264"/>
      <c r="AL547" s="211"/>
      <c r="AM547" s="211"/>
    </row>
    <row r="548" spans="1:39" s="267" customFormat="1" x14ac:dyDescent="0.2">
      <c r="A548" s="308"/>
      <c r="B548" s="293"/>
      <c r="C548" s="290"/>
      <c r="D548" s="290"/>
      <c r="E548" s="290"/>
      <c r="F548" s="290"/>
      <c r="G548" s="290"/>
      <c r="H548" s="290"/>
      <c r="I548" s="290"/>
      <c r="J548" s="290"/>
      <c r="K548" s="290"/>
      <c r="L548" s="290"/>
      <c r="M548" s="290"/>
      <c r="N548" s="290"/>
      <c r="O548" s="290"/>
      <c r="P548" s="261"/>
      <c r="Q548" s="262"/>
      <c r="R548" s="435"/>
      <c r="S548" s="264"/>
      <c r="T548" s="266"/>
      <c r="U548" s="211"/>
      <c r="V548" s="264"/>
      <c r="W548" s="211"/>
      <c r="X548" s="211"/>
      <c r="Y548" s="264"/>
      <c r="Z548" s="211"/>
      <c r="AA548" s="211"/>
      <c r="AB548" s="264"/>
      <c r="AC548" s="211"/>
      <c r="AD548" s="211"/>
      <c r="AE548" s="264"/>
      <c r="AF548" s="211"/>
      <c r="AG548" s="211"/>
      <c r="AH548" s="264"/>
      <c r="AI548" s="211"/>
      <c r="AJ548" s="211"/>
      <c r="AK548" s="264"/>
      <c r="AL548" s="211"/>
      <c r="AM548" s="211"/>
    </row>
    <row r="549" spans="1:39" s="267" customFormat="1" x14ac:dyDescent="0.2">
      <c r="A549" s="258" t="s">
        <v>67</v>
      </c>
      <c r="B549" s="259" t="s">
        <v>220</v>
      </c>
      <c r="C549" s="290">
        <f>(W549+X549)*$C$3</f>
        <v>100</v>
      </c>
      <c r="D549" s="290">
        <f>C549*$Q549</f>
        <v>0</v>
      </c>
      <c r="E549" s="290">
        <f>(Z549+AA549)*$E$3</f>
        <v>124</v>
      </c>
      <c r="F549" s="290">
        <f>E549*$Q549</f>
        <v>0</v>
      </c>
      <c r="G549" s="290">
        <f>(AC549+AD549)*$G$3</f>
        <v>740</v>
      </c>
      <c r="H549" s="290">
        <f>G549*$Q549</f>
        <v>0</v>
      </c>
      <c r="I549" s="290">
        <f>(AF549+AG549)*$I$3</f>
        <v>172</v>
      </c>
      <c r="J549" s="290">
        <f>I549*$Q549</f>
        <v>0</v>
      </c>
      <c r="K549" s="290">
        <f>(AI549+AJ549)*$K$3</f>
        <v>588</v>
      </c>
      <c r="L549" s="290">
        <f>K549*$Q549</f>
        <v>0</v>
      </c>
      <c r="M549" s="290">
        <f>(AL549+AM549)*$M$3</f>
        <v>220</v>
      </c>
      <c r="N549" s="290">
        <f>M549*$Q549</f>
        <v>0</v>
      </c>
      <c r="O549" s="290">
        <f>C549+E549+G549+I549+K549+M549</f>
        <v>1944</v>
      </c>
      <c r="P549" s="261" t="s">
        <v>10</v>
      </c>
      <c r="Q549" s="262"/>
      <c r="R549" s="435">
        <f>O549*Q549</f>
        <v>0</v>
      </c>
      <c r="S549" s="270"/>
      <c r="T549" s="266">
        <v>26</v>
      </c>
      <c r="U549" s="266">
        <v>24</v>
      </c>
      <c r="V549" s="264"/>
      <c r="W549" s="266">
        <f>T549*$W$3</f>
        <v>52</v>
      </c>
      <c r="X549" s="266">
        <f>U549*$X$3</f>
        <v>48</v>
      </c>
      <c r="Y549" s="264"/>
      <c r="Z549" s="266">
        <f>W549</f>
        <v>52</v>
      </c>
      <c r="AA549" s="266">
        <f>U549*$AA$3</f>
        <v>72</v>
      </c>
      <c r="AB549" s="264"/>
      <c r="AC549" s="266">
        <f>W549</f>
        <v>52</v>
      </c>
      <c r="AD549" s="266">
        <f>U549*$AD$3</f>
        <v>96</v>
      </c>
      <c r="AE549" s="264"/>
      <c r="AF549" s="266">
        <f>W549</f>
        <v>52</v>
      </c>
      <c r="AG549" s="266">
        <f>U549*$AG$3</f>
        <v>120</v>
      </c>
      <c r="AH549" s="264"/>
      <c r="AI549" s="266">
        <f>W549</f>
        <v>52</v>
      </c>
      <c r="AJ549" s="266">
        <f>U549*$AJ$3</f>
        <v>144</v>
      </c>
      <c r="AK549" s="264"/>
      <c r="AL549" s="266">
        <f>W549</f>
        <v>52</v>
      </c>
      <c r="AM549" s="266">
        <f>U549*$AM$3</f>
        <v>168</v>
      </c>
    </row>
    <row r="550" spans="1:39" s="267" customFormat="1" x14ac:dyDescent="0.2">
      <c r="A550" s="258"/>
      <c r="B550" s="259"/>
      <c r="C550" s="290"/>
      <c r="D550" s="290"/>
      <c r="E550" s="290"/>
      <c r="F550" s="290"/>
      <c r="G550" s="290"/>
      <c r="H550" s="290"/>
      <c r="I550" s="290"/>
      <c r="J550" s="290"/>
      <c r="K550" s="290"/>
      <c r="L550" s="290"/>
      <c r="M550" s="290"/>
      <c r="N550" s="290"/>
      <c r="O550" s="290"/>
      <c r="P550" s="261"/>
      <c r="Q550" s="262"/>
      <c r="R550" s="435"/>
      <c r="S550" s="270"/>
      <c r="T550" s="266"/>
      <c r="U550" s="211"/>
      <c r="V550" s="264"/>
      <c r="W550" s="211"/>
      <c r="X550" s="211"/>
      <c r="Y550" s="264"/>
      <c r="Z550" s="211"/>
      <c r="AA550" s="211"/>
      <c r="AB550" s="264"/>
      <c r="AC550" s="211"/>
      <c r="AD550" s="211"/>
      <c r="AE550" s="264"/>
      <c r="AF550" s="211"/>
      <c r="AG550" s="211"/>
      <c r="AH550" s="264"/>
      <c r="AI550" s="211"/>
      <c r="AJ550" s="211"/>
      <c r="AK550" s="264"/>
      <c r="AL550" s="211"/>
      <c r="AM550" s="211"/>
    </row>
    <row r="551" spans="1:39" s="267" customFormat="1" x14ac:dyDescent="0.2">
      <c r="A551" s="308" t="s">
        <v>68</v>
      </c>
      <c r="B551" s="259" t="s">
        <v>158</v>
      </c>
      <c r="C551" s="290">
        <f>(W551+X551)*$C$3</f>
        <v>66</v>
      </c>
      <c r="D551" s="290">
        <f>C551*$Q551</f>
        <v>0</v>
      </c>
      <c r="E551" s="290">
        <f>(Z551+AA551)*$E$3</f>
        <v>84</v>
      </c>
      <c r="F551" s="290">
        <f>E551*$Q551</f>
        <v>0</v>
      </c>
      <c r="G551" s="290">
        <f>(AC551+AD551)*$G$3</f>
        <v>510</v>
      </c>
      <c r="H551" s="290">
        <f>G551*$Q551</f>
        <v>0</v>
      </c>
      <c r="I551" s="290">
        <f>(AF551+AG551)*$I$3</f>
        <v>120</v>
      </c>
      <c r="J551" s="290">
        <f>I551*$Q551</f>
        <v>0</v>
      </c>
      <c r="K551" s="290">
        <f>(AI551+AJ551)*$K$3</f>
        <v>414</v>
      </c>
      <c r="L551" s="290">
        <f>K551*$Q551</f>
        <v>0</v>
      </c>
      <c r="M551" s="290">
        <f>(AL551+AM551)*$M$3</f>
        <v>156</v>
      </c>
      <c r="N551" s="290">
        <f>M551*$Q551</f>
        <v>0</v>
      </c>
      <c r="O551" s="290">
        <f>C551+E551+G551+I551+K551+M551</f>
        <v>1350</v>
      </c>
      <c r="P551" s="261" t="s">
        <v>10</v>
      </c>
      <c r="Q551" s="262"/>
      <c r="R551" s="435">
        <f>O551*Q551</f>
        <v>0</v>
      </c>
      <c r="S551" s="264"/>
      <c r="T551" s="266">
        <v>15</v>
      </c>
      <c r="U551" s="266">
        <v>18</v>
      </c>
      <c r="V551" s="264"/>
      <c r="W551" s="266">
        <f>T551*$W$3</f>
        <v>30</v>
      </c>
      <c r="X551" s="266">
        <f>U551*$X$3</f>
        <v>36</v>
      </c>
      <c r="Y551" s="264"/>
      <c r="Z551" s="266">
        <f>W551</f>
        <v>30</v>
      </c>
      <c r="AA551" s="266">
        <f>U551*$AA$3</f>
        <v>54</v>
      </c>
      <c r="AB551" s="264"/>
      <c r="AC551" s="266">
        <f>W551</f>
        <v>30</v>
      </c>
      <c r="AD551" s="266">
        <f>U551*$AD$3</f>
        <v>72</v>
      </c>
      <c r="AE551" s="264"/>
      <c r="AF551" s="266">
        <f>W551</f>
        <v>30</v>
      </c>
      <c r="AG551" s="266">
        <f>U551*$AG$3</f>
        <v>90</v>
      </c>
      <c r="AH551" s="264"/>
      <c r="AI551" s="266">
        <f>W551</f>
        <v>30</v>
      </c>
      <c r="AJ551" s="266">
        <f>U551*$AJ$3</f>
        <v>108</v>
      </c>
      <c r="AK551" s="264"/>
      <c r="AL551" s="266">
        <f>W551</f>
        <v>30</v>
      </c>
      <c r="AM551" s="266">
        <f>U551*$AM$3</f>
        <v>126</v>
      </c>
    </row>
    <row r="552" spans="1:39" s="267" customFormat="1" x14ac:dyDescent="0.2">
      <c r="A552" s="258"/>
      <c r="B552" s="259"/>
      <c r="C552" s="290"/>
      <c r="D552" s="290"/>
      <c r="E552" s="290"/>
      <c r="F552" s="290"/>
      <c r="G552" s="290"/>
      <c r="H552" s="290"/>
      <c r="I552" s="290"/>
      <c r="J552" s="290"/>
      <c r="K552" s="290"/>
      <c r="L552" s="290"/>
      <c r="M552" s="290"/>
      <c r="N552" s="290"/>
      <c r="O552" s="290"/>
      <c r="P552" s="261"/>
      <c r="Q552" s="262"/>
      <c r="R552" s="435"/>
      <c r="S552" s="264"/>
      <c r="T552" s="266"/>
      <c r="U552" s="211"/>
      <c r="V552" s="264"/>
      <c r="W552" s="211"/>
      <c r="X552" s="211"/>
      <c r="Y552" s="264"/>
      <c r="Z552" s="211"/>
      <c r="AA552" s="211"/>
      <c r="AB552" s="264"/>
      <c r="AC552" s="211"/>
      <c r="AD552" s="211"/>
      <c r="AE552" s="264"/>
      <c r="AF552" s="211"/>
      <c r="AG552" s="211"/>
      <c r="AH552" s="264"/>
      <c r="AI552" s="211"/>
      <c r="AJ552" s="211"/>
      <c r="AK552" s="264"/>
      <c r="AL552" s="211"/>
      <c r="AM552" s="211"/>
    </row>
    <row r="553" spans="1:39" s="267" customFormat="1" x14ac:dyDescent="0.2">
      <c r="A553" s="258" t="s">
        <v>69</v>
      </c>
      <c r="B553" s="259" t="s">
        <v>760</v>
      </c>
      <c r="C553" s="290">
        <f>(W553+X553)*$C$3</f>
        <v>32</v>
      </c>
      <c r="D553" s="290">
        <f>C553*$Q553</f>
        <v>0</v>
      </c>
      <c r="E553" s="290">
        <f>(Z553+AA553)*$E$3</f>
        <v>39</v>
      </c>
      <c r="F553" s="290">
        <f>E553*$Q553</f>
        <v>0</v>
      </c>
      <c r="G553" s="290">
        <f>(AC553+AD553)*$G$3</f>
        <v>230</v>
      </c>
      <c r="H553" s="290">
        <f>G553*$Q553</f>
        <v>0</v>
      </c>
      <c r="I553" s="290">
        <f>(AF553+AG553)*$I$3</f>
        <v>53</v>
      </c>
      <c r="J553" s="290">
        <f>I553*$Q553</f>
        <v>0</v>
      </c>
      <c r="K553" s="290">
        <f>(AI553+AJ553)*$K$3</f>
        <v>180</v>
      </c>
      <c r="L553" s="290">
        <f>K553*$Q553</f>
        <v>0</v>
      </c>
      <c r="M553" s="290">
        <f>(AL553+AM553)*$M$3</f>
        <v>67</v>
      </c>
      <c r="N553" s="290">
        <f>M553*$Q553</f>
        <v>0</v>
      </c>
      <c r="O553" s="290">
        <f>C553+E553+G553+I553+K553+M553</f>
        <v>601</v>
      </c>
      <c r="P553" s="261" t="s">
        <v>10</v>
      </c>
      <c r="Q553" s="262"/>
      <c r="R553" s="435">
        <f>O553*Q553</f>
        <v>0</v>
      </c>
      <c r="S553" s="270"/>
      <c r="T553" s="266">
        <v>9</v>
      </c>
      <c r="U553" s="266">
        <v>7</v>
      </c>
      <c r="V553" s="264"/>
      <c r="W553" s="266">
        <f>T553*$W$3</f>
        <v>18</v>
      </c>
      <c r="X553" s="266">
        <f>U553*$X$3</f>
        <v>14</v>
      </c>
      <c r="Y553" s="264"/>
      <c r="Z553" s="266">
        <f>W553</f>
        <v>18</v>
      </c>
      <c r="AA553" s="266">
        <f>U553*$AA$3</f>
        <v>21</v>
      </c>
      <c r="AB553" s="264"/>
      <c r="AC553" s="266">
        <f>W553</f>
        <v>18</v>
      </c>
      <c r="AD553" s="266">
        <f>U553*$AD$3</f>
        <v>28</v>
      </c>
      <c r="AE553" s="264"/>
      <c r="AF553" s="266">
        <f>W553</f>
        <v>18</v>
      </c>
      <c r="AG553" s="266">
        <f>U553*$AG$3</f>
        <v>35</v>
      </c>
      <c r="AH553" s="264"/>
      <c r="AI553" s="266">
        <f>W553</f>
        <v>18</v>
      </c>
      <c r="AJ553" s="266">
        <f>U553*$AJ$3</f>
        <v>42</v>
      </c>
      <c r="AK553" s="264"/>
      <c r="AL553" s="266">
        <f>W553</f>
        <v>18</v>
      </c>
      <c r="AM553" s="266">
        <f>U553*$AM$3</f>
        <v>49</v>
      </c>
    </row>
    <row r="554" spans="1:39" s="267" customFormat="1" x14ac:dyDescent="0.2">
      <c r="A554" s="258"/>
      <c r="B554" s="259"/>
      <c r="C554" s="290"/>
      <c r="D554" s="290"/>
      <c r="E554" s="290"/>
      <c r="F554" s="290"/>
      <c r="G554" s="290"/>
      <c r="H554" s="290"/>
      <c r="I554" s="290"/>
      <c r="J554" s="290"/>
      <c r="K554" s="290"/>
      <c r="L554" s="290"/>
      <c r="M554" s="290"/>
      <c r="N554" s="290"/>
      <c r="O554" s="290"/>
      <c r="P554" s="261"/>
      <c r="Q554" s="262"/>
      <c r="R554" s="435"/>
      <c r="S554" s="270"/>
      <c r="T554" s="266"/>
      <c r="U554" s="211"/>
      <c r="V554" s="264"/>
      <c r="W554" s="211"/>
      <c r="X554" s="211"/>
      <c r="Y554" s="264"/>
      <c r="Z554" s="211"/>
      <c r="AA554" s="211"/>
      <c r="AB554" s="264"/>
      <c r="AC554" s="211"/>
      <c r="AD554" s="211"/>
      <c r="AE554" s="264"/>
      <c r="AF554" s="211"/>
      <c r="AG554" s="211"/>
      <c r="AH554" s="264"/>
      <c r="AI554" s="211"/>
      <c r="AJ554" s="211"/>
      <c r="AK554" s="264"/>
      <c r="AL554" s="211"/>
      <c r="AM554" s="211"/>
    </row>
    <row r="555" spans="1:39" s="267" customFormat="1" ht="28.5" x14ac:dyDescent="0.2">
      <c r="A555" s="308"/>
      <c r="B555" s="293" t="s">
        <v>258</v>
      </c>
      <c r="C555" s="290"/>
      <c r="D555" s="290"/>
      <c r="E555" s="290"/>
      <c r="F555" s="290"/>
      <c r="G555" s="290"/>
      <c r="H555" s="290"/>
      <c r="I555" s="290"/>
      <c r="J555" s="290"/>
      <c r="K555" s="290"/>
      <c r="L555" s="290"/>
      <c r="M555" s="290"/>
      <c r="N555" s="290"/>
      <c r="O555" s="290"/>
      <c r="P555" s="261"/>
      <c r="Q555" s="262"/>
      <c r="R555" s="435"/>
      <c r="S555" s="264"/>
      <c r="T555" s="266"/>
      <c r="U555" s="211"/>
      <c r="V555" s="264"/>
      <c r="W555" s="211"/>
      <c r="X555" s="211"/>
      <c r="Y555" s="264"/>
      <c r="Z555" s="211"/>
      <c r="AA555" s="211"/>
      <c r="AB555" s="264"/>
      <c r="AC555" s="211"/>
      <c r="AD555" s="211"/>
      <c r="AE555" s="264"/>
      <c r="AF555" s="211"/>
      <c r="AG555" s="211"/>
      <c r="AH555" s="264"/>
      <c r="AI555" s="211"/>
      <c r="AJ555" s="211"/>
      <c r="AK555" s="264"/>
      <c r="AL555" s="211"/>
      <c r="AM555" s="211"/>
    </row>
    <row r="556" spans="1:39" s="267" customFormat="1" x14ac:dyDescent="0.2">
      <c r="A556" s="308"/>
      <c r="B556" s="293"/>
      <c r="C556" s="290"/>
      <c r="D556" s="290"/>
      <c r="E556" s="290"/>
      <c r="F556" s="290"/>
      <c r="G556" s="290"/>
      <c r="H556" s="290"/>
      <c r="I556" s="290"/>
      <c r="J556" s="290"/>
      <c r="K556" s="290"/>
      <c r="L556" s="290"/>
      <c r="M556" s="290"/>
      <c r="N556" s="290"/>
      <c r="O556" s="290"/>
      <c r="P556" s="261"/>
      <c r="Q556" s="262"/>
      <c r="R556" s="435"/>
      <c r="S556" s="270"/>
      <c r="T556" s="266"/>
      <c r="U556" s="211"/>
      <c r="V556" s="264"/>
      <c r="W556" s="211"/>
      <c r="X556" s="211"/>
      <c r="Y556" s="264"/>
      <c r="Z556" s="211"/>
      <c r="AA556" s="211"/>
      <c r="AB556" s="264"/>
      <c r="AC556" s="211"/>
      <c r="AD556" s="211"/>
      <c r="AE556" s="264"/>
      <c r="AF556" s="211"/>
      <c r="AG556" s="211"/>
      <c r="AH556" s="264"/>
      <c r="AI556" s="211"/>
      <c r="AJ556" s="211"/>
      <c r="AK556" s="264"/>
      <c r="AL556" s="211"/>
      <c r="AM556" s="211"/>
    </row>
    <row r="557" spans="1:39" s="267" customFormat="1" x14ac:dyDescent="0.2">
      <c r="A557" s="258" t="s">
        <v>70</v>
      </c>
      <c r="B557" s="259" t="s">
        <v>220</v>
      </c>
      <c r="C557" s="290">
        <f>(W557+X557)*$C$3</f>
        <v>100</v>
      </c>
      <c r="D557" s="290">
        <f>C557*$Q557</f>
        <v>0</v>
      </c>
      <c r="E557" s="290">
        <f>(Z557+AA557)*$E$3</f>
        <v>124</v>
      </c>
      <c r="F557" s="290">
        <f>E557*$Q557</f>
        <v>0</v>
      </c>
      <c r="G557" s="290">
        <f>(AC557+AD557)*$G$3</f>
        <v>740</v>
      </c>
      <c r="H557" s="290">
        <f>G557*$Q557</f>
        <v>0</v>
      </c>
      <c r="I557" s="290">
        <f>(AF557+AG557)*$I$3</f>
        <v>172</v>
      </c>
      <c r="J557" s="290">
        <f>I557*$Q557</f>
        <v>0</v>
      </c>
      <c r="K557" s="290">
        <f>(AI557+AJ557)*$K$3</f>
        <v>588</v>
      </c>
      <c r="L557" s="290">
        <f>K557*$Q557</f>
        <v>0</v>
      </c>
      <c r="M557" s="290">
        <f>(AL557+AM557)*$M$3</f>
        <v>220</v>
      </c>
      <c r="N557" s="290">
        <f>M557*$Q557</f>
        <v>0</v>
      </c>
      <c r="O557" s="290">
        <f>C557+E557+G557+I557+K557+M557</f>
        <v>1944</v>
      </c>
      <c r="P557" s="261" t="s">
        <v>10</v>
      </c>
      <c r="Q557" s="262"/>
      <c r="R557" s="435">
        <f>O557*Q557</f>
        <v>0</v>
      </c>
      <c r="S557" s="270"/>
      <c r="T557" s="266">
        <v>26</v>
      </c>
      <c r="U557" s="266">
        <v>24</v>
      </c>
      <c r="V557" s="264"/>
      <c r="W557" s="266">
        <f>T557*$W$3</f>
        <v>52</v>
      </c>
      <c r="X557" s="266">
        <f>U557*$X$3</f>
        <v>48</v>
      </c>
      <c r="Y557" s="264"/>
      <c r="Z557" s="266">
        <f>W557</f>
        <v>52</v>
      </c>
      <c r="AA557" s="266">
        <f>U557*$AA$3</f>
        <v>72</v>
      </c>
      <c r="AB557" s="264"/>
      <c r="AC557" s="266">
        <f>W557</f>
        <v>52</v>
      </c>
      <c r="AD557" s="266">
        <f>U557*$AD$3</f>
        <v>96</v>
      </c>
      <c r="AE557" s="264"/>
      <c r="AF557" s="266">
        <f>W557</f>
        <v>52</v>
      </c>
      <c r="AG557" s="266">
        <f>U557*$AG$3</f>
        <v>120</v>
      </c>
      <c r="AH557" s="264"/>
      <c r="AI557" s="266">
        <f>W557</f>
        <v>52</v>
      </c>
      <c r="AJ557" s="266">
        <f>U557*$AJ$3</f>
        <v>144</v>
      </c>
      <c r="AK557" s="264"/>
      <c r="AL557" s="266">
        <f>W557</f>
        <v>52</v>
      </c>
      <c r="AM557" s="266">
        <f>U557*$AM$3</f>
        <v>168</v>
      </c>
    </row>
    <row r="558" spans="1:39" s="267" customFormat="1" x14ac:dyDescent="0.2">
      <c r="A558" s="258"/>
      <c r="B558" s="259"/>
      <c r="C558" s="290"/>
      <c r="D558" s="290"/>
      <c r="E558" s="290"/>
      <c r="F558" s="290"/>
      <c r="G558" s="290"/>
      <c r="H558" s="290"/>
      <c r="I558" s="290"/>
      <c r="J558" s="290"/>
      <c r="K558" s="290"/>
      <c r="L558" s="290"/>
      <c r="M558" s="290"/>
      <c r="N558" s="290"/>
      <c r="O558" s="290"/>
      <c r="P558" s="261"/>
      <c r="Q558" s="262"/>
      <c r="R558" s="435"/>
      <c r="S558" s="270"/>
      <c r="T558" s="266"/>
      <c r="U558" s="211"/>
      <c r="V558" s="264"/>
      <c r="W558" s="211"/>
      <c r="X558" s="211"/>
      <c r="Y558" s="264"/>
      <c r="Z558" s="211"/>
      <c r="AA558" s="211"/>
      <c r="AB558" s="264"/>
      <c r="AC558" s="211"/>
      <c r="AD558" s="211"/>
      <c r="AE558" s="264"/>
      <c r="AF558" s="211"/>
      <c r="AG558" s="211"/>
      <c r="AH558" s="264"/>
      <c r="AI558" s="211"/>
      <c r="AJ558" s="211"/>
      <c r="AK558" s="264"/>
      <c r="AL558" s="211"/>
      <c r="AM558" s="211"/>
    </row>
    <row r="559" spans="1:39" s="267" customFormat="1" x14ac:dyDescent="0.2">
      <c r="A559" s="308" t="s">
        <v>71</v>
      </c>
      <c r="B559" s="259" t="s">
        <v>158</v>
      </c>
      <c r="C559" s="290">
        <f>(W559+X559)*$C$3</f>
        <v>66</v>
      </c>
      <c r="D559" s="290">
        <f>C559*$Q559</f>
        <v>0</v>
      </c>
      <c r="E559" s="290">
        <f>(Z559+AA559)*$E$3</f>
        <v>84</v>
      </c>
      <c r="F559" s="290">
        <f>E559*$Q559</f>
        <v>0</v>
      </c>
      <c r="G559" s="290">
        <f>(AC559+AD559)*$G$3</f>
        <v>510</v>
      </c>
      <c r="H559" s="290">
        <f>G559*$Q559</f>
        <v>0</v>
      </c>
      <c r="I559" s="290">
        <f>(AF559+AG559)*$I$3</f>
        <v>120</v>
      </c>
      <c r="J559" s="290">
        <f>I559*$Q559</f>
        <v>0</v>
      </c>
      <c r="K559" s="290">
        <f>(AI559+AJ559)*$K$3</f>
        <v>414</v>
      </c>
      <c r="L559" s="290">
        <f>K559*$Q559</f>
        <v>0</v>
      </c>
      <c r="M559" s="290">
        <f>(AL559+AM559)*$M$3</f>
        <v>156</v>
      </c>
      <c r="N559" s="290">
        <f>M559*$Q559</f>
        <v>0</v>
      </c>
      <c r="O559" s="290">
        <f>C559+E559+G559+I559+K559+M559</f>
        <v>1350</v>
      </c>
      <c r="P559" s="261" t="s">
        <v>10</v>
      </c>
      <c r="Q559" s="262"/>
      <c r="R559" s="435">
        <f>O559*Q559</f>
        <v>0</v>
      </c>
      <c r="S559" s="264"/>
      <c r="T559" s="266">
        <v>15</v>
      </c>
      <c r="U559" s="266">
        <v>18</v>
      </c>
      <c r="V559" s="264"/>
      <c r="W559" s="266">
        <f>T559*$W$3</f>
        <v>30</v>
      </c>
      <c r="X559" s="266">
        <f>U559*$X$3</f>
        <v>36</v>
      </c>
      <c r="Y559" s="264"/>
      <c r="Z559" s="266">
        <f>W559</f>
        <v>30</v>
      </c>
      <c r="AA559" s="266">
        <f>U559*$AA$3</f>
        <v>54</v>
      </c>
      <c r="AB559" s="264"/>
      <c r="AC559" s="266">
        <f>W559</f>
        <v>30</v>
      </c>
      <c r="AD559" s="266">
        <f>U559*$AD$3</f>
        <v>72</v>
      </c>
      <c r="AE559" s="264"/>
      <c r="AF559" s="266">
        <f>W559</f>
        <v>30</v>
      </c>
      <c r="AG559" s="266">
        <f>U559*$AG$3</f>
        <v>90</v>
      </c>
      <c r="AH559" s="264"/>
      <c r="AI559" s="266">
        <f>W559</f>
        <v>30</v>
      </c>
      <c r="AJ559" s="266">
        <f>U559*$AJ$3</f>
        <v>108</v>
      </c>
      <c r="AK559" s="264"/>
      <c r="AL559" s="266">
        <f>W559</f>
        <v>30</v>
      </c>
      <c r="AM559" s="266">
        <f>U559*$AM$3</f>
        <v>126</v>
      </c>
    </row>
    <row r="560" spans="1:39" s="267" customFormat="1" x14ac:dyDescent="0.2">
      <c r="A560" s="258"/>
      <c r="B560" s="259"/>
      <c r="C560" s="290"/>
      <c r="D560" s="290"/>
      <c r="E560" s="290"/>
      <c r="F560" s="290"/>
      <c r="G560" s="290"/>
      <c r="H560" s="290"/>
      <c r="I560" s="290"/>
      <c r="J560" s="290"/>
      <c r="K560" s="290"/>
      <c r="L560" s="290"/>
      <c r="M560" s="290"/>
      <c r="N560" s="290"/>
      <c r="O560" s="290"/>
      <c r="P560" s="261"/>
      <c r="Q560" s="262"/>
      <c r="R560" s="435"/>
      <c r="S560" s="264"/>
      <c r="T560" s="266"/>
      <c r="U560" s="211"/>
      <c r="V560" s="264"/>
      <c r="W560" s="211"/>
      <c r="X560" s="211"/>
      <c r="Y560" s="264"/>
      <c r="Z560" s="211"/>
      <c r="AA560" s="211"/>
      <c r="AB560" s="264"/>
      <c r="AC560" s="211"/>
      <c r="AD560" s="211"/>
      <c r="AE560" s="264"/>
      <c r="AF560" s="211"/>
      <c r="AG560" s="211"/>
      <c r="AH560" s="264"/>
      <c r="AI560" s="211"/>
      <c r="AJ560" s="211"/>
      <c r="AK560" s="264"/>
      <c r="AL560" s="211"/>
      <c r="AM560" s="211"/>
    </row>
    <row r="561" spans="1:39" s="267" customFormat="1" x14ac:dyDescent="0.2">
      <c r="A561" s="258" t="s">
        <v>72</v>
      </c>
      <c r="B561" s="259" t="s">
        <v>760</v>
      </c>
      <c r="C561" s="290">
        <f>(W561+X561)*$C$3</f>
        <v>32</v>
      </c>
      <c r="D561" s="290">
        <f>C561*$Q561</f>
        <v>0</v>
      </c>
      <c r="E561" s="290">
        <f>(Z561+AA561)*$E$3</f>
        <v>39</v>
      </c>
      <c r="F561" s="290">
        <f>E561*$Q561</f>
        <v>0</v>
      </c>
      <c r="G561" s="290">
        <f>(AC561+AD561)*$G$3</f>
        <v>230</v>
      </c>
      <c r="H561" s="290">
        <f>G561*$Q561</f>
        <v>0</v>
      </c>
      <c r="I561" s="290">
        <f>(AF561+AG561)*$I$3</f>
        <v>53</v>
      </c>
      <c r="J561" s="290">
        <f>I561*$Q561</f>
        <v>0</v>
      </c>
      <c r="K561" s="290">
        <f>(AI561+AJ561)*$K$3</f>
        <v>180</v>
      </c>
      <c r="L561" s="290">
        <f>K561*$Q561</f>
        <v>0</v>
      </c>
      <c r="M561" s="290">
        <f>(AL561+AM561)*$M$3</f>
        <v>67</v>
      </c>
      <c r="N561" s="290">
        <f>M561*$Q561</f>
        <v>0</v>
      </c>
      <c r="O561" s="290">
        <f>C561+E561+G561+I561+K561+M561</f>
        <v>601</v>
      </c>
      <c r="P561" s="261" t="s">
        <v>10</v>
      </c>
      <c r="Q561" s="262"/>
      <c r="R561" s="435">
        <f>O561*Q561</f>
        <v>0</v>
      </c>
      <c r="S561" s="270"/>
      <c r="T561" s="266">
        <v>9</v>
      </c>
      <c r="U561" s="266">
        <v>7</v>
      </c>
      <c r="V561" s="264"/>
      <c r="W561" s="266">
        <f>T561*$W$3</f>
        <v>18</v>
      </c>
      <c r="X561" s="266">
        <f>U561*$X$3</f>
        <v>14</v>
      </c>
      <c r="Y561" s="264"/>
      <c r="Z561" s="266">
        <f>W561</f>
        <v>18</v>
      </c>
      <c r="AA561" s="266">
        <f>U561*$AA$3</f>
        <v>21</v>
      </c>
      <c r="AB561" s="264"/>
      <c r="AC561" s="266">
        <f>W561</f>
        <v>18</v>
      </c>
      <c r="AD561" s="266">
        <f>U561*$AD$3</f>
        <v>28</v>
      </c>
      <c r="AE561" s="264"/>
      <c r="AF561" s="266">
        <f>W561</f>
        <v>18</v>
      </c>
      <c r="AG561" s="266">
        <f>U561*$AG$3</f>
        <v>35</v>
      </c>
      <c r="AH561" s="264"/>
      <c r="AI561" s="266">
        <f>W561</f>
        <v>18</v>
      </c>
      <c r="AJ561" s="266">
        <f>U561*$AJ$3</f>
        <v>42</v>
      </c>
      <c r="AK561" s="264"/>
      <c r="AL561" s="266">
        <f>W561</f>
        <v>18</v>
      </c>
      <c r="AM561" s="266">
        <f>U561*$AM$3</f>
        <v>49</v>
      </c>
    </row>
    <row r="562" spans="1:39" s="267" customFormat="1" x14ac:dyDescent="0.2">
      <c r="A562" s="258"/>
      <c r="B562" s="259"/>
      <c r="C562" s="290"/>
      <c r="D562" s="290"/>
      <c r="E562" s="290"/>
      <c r="F562" s="290"/>
      <c r="G562" s="290"/>
      <c r="H562" s="290"/>
      <c r="I562" s="290"/>
      <c r="J562" s="290"/>
      <c r="K562" s="290"/>
      <c r="L562" s="290"/>
      <c r="M562" s="290"/>
      <c r="N562" s="290"/>
      <c r="O562" s="290"/>
      <c r="P562" s="261"/>
      <c r="Q562" s="262"/>
      <c r="R562" s="435"/>
      <c r="S562" s="270"/>
      <c r="T562" s="266"/>
      <c r="U562" s="211"/>
      <c r="V562" s="264"/>
      <c r="W562" s="211"/>
      <c r="X562" s="211"/>
      <c r="Y562" s="264"/>
      <c r="Z562" s="211"/>
      <c r="AA562" s="211"/>
      <c r="AB562" s="264"/>
      <c r="AC562" s="211"/>
      <c r="AD562" s="211"/>
      <c r="AE562" s="264"/>
      <c r="AF562" s="211"/>
      <c r="AG562" s="211"/>
      <c r="AH562" s="264"/>
      <c r="AI562" s="211"/>
      <c r="AJ562" s="211"/>
      <c r="AK562" s="264"/>
      <c r="AL562" s="211"/>
      <c r="AM562" s="211"/>
    </row>
    <row r="563" spans="1:39" s="267" customFormat="1" ht="28.5" x14ac:dyDescent="0.2">
      <c r="A563" s="308"/>
      <c r="B563" s="293" t="s">
        <v>761</v>
      </c>
      <c r="C563" s="290"/>
      <c r="D563" s="290"/>
      <c r="E563" s="290"/>
      <c r="F563" s="290"/>
      <c r="G563" s="290"/>
      <c r="H563" s="290"/>
      <c r="I563" s="290"/>
      <c r="J563" s="290"/>
      <c r="K563" s="290"/>
      <c r="L563" s="290"/>
      <c r="M563" s="290"/>
      <c r="N563" s="290"/>
      <c r="O563" s="290"/>
      <c r="P563" s="261"/>
      <c r="Q563" s="262"/>
      <c r="R563" s="435"/>
      <c r="S563" s="264"/>
      <c r="T563" s="266"/>
      <c r="U563" s="211"/>
      <c r="V563" s="264"/>
      <c r="W563" s="211"/>
      <c r="X563" s="211"/>
      <c r="Y563" s="264"/>
      <c r="Z563" s="211"/>
      <c r="AA563" s="211"/>
      <c r="AB563" s="264"/>
      <c r="AC563" s="211"/>
      <c r="AD563" s="211"/>
      <c r="AE563" s="264"/>
      <c r="AF563" s="211"/>
      <c r="AG563" s="211"/>
      <c r="AH563" s="264"/>
      <c r="AI563" s="211"/>
      <c r="AJ563" s="211"/>
      <c r="AK563" s="264"/>
      <c r="AL563" s="211"/>
      <c r="AM563" s="211"/>
    </row>
    <row r="564" spans="1:39" s="267" customFormat="1" x14ac:dyDescent="0.2">
      <c r="A564" s="308"/>
      <c r="B564" s="293"/>
      <c r="C564" s="290"/>
      <c r="D564" s="290"/>
      <c r="E564" s="290"/>
      <c r="F564" s="290"/>
      <c r="G564" s="290"/>
      <c r="H564" s="290"/>
      <c r="I564" s="290"/>
      <c r="J564" s="290"/>
      <c r="K564" s="290"/>
      <c r="L564" s="290"/>
      <c r="M564" s="290"/>
      <c r="N564" s="290"/>
      <c r="O564" s="290"/>
      <c r="P564" s="261"/>
      <c r="Q564" s="262"/>
      <c r="R564" s="435"/>
      <c r="S564" s="264"/>
      <c r="T564" s="266"/>
      <c r="U564" s="211"/>
      <c r="V564" s="264"/>
      <c r="W564" s="211"/>
      <c r="X564" s="211"/>
      <c r="Y564" s="264"/>
      <c r="Z564" s="211"/>
      <c r="AA564" s="211"/>
      <c r="AB564" s="264"/>
      <c r="AC564" s="211"/>
      <c r="AD564" s="211"/>
      <c r="AE564" s="264"/>
      <c r="AF564" s="211"/>
      <c r="AG564" s="211"/>
      <c r="AH564" s="264"/>
      <c r="AI564" s="211"/>
      <c r="AJ564" s="211"/>
      <c r="AK564" s="264"/>
      <c r="AL564" s="211"/>
      <c r="AM564" s="211"/>
    </row>
    <row r="565" spans="1:39" s="267" customFormat="1" x14ac:dyDescent="0.2">
      <c r="A565" s="308" t="s">
        <v>73</v>
      </c>
      <c r="B565" s="259" t="s">
        <v>762</v>
      </c>
      <c r="C565" s="290">
        <f>(W565+X565)*$C$3</f>
        <v>82</v>
      </c>
      <c r="D565" s="290">
        <f>C565*$Q565</f>
        <v>0</v>
      </c>
      <c r="E565" s="290">
        <f>(Z565+AA565)*$E$3</f>
        <v>103</v>
      </c>
      <c r="F565" s="290">
        <f>E565*$Q565</f>
        <v>0</v>
      </c>
      <c r="G565" s="290">
        <f>(AC565+AD565)*$G$3</f>
        <v>620</v>
      </c>
      <c r="H565" s="290">
        <f>G565*$Q565</f>
        <v>0</v>
      </c>
      <c r="I565" s="290">
        <f>(AF565+AG565)*$I$3</f>
        <v>145</v>
      </c>
      <c r="J565" s="290">
        <f>I565*$Q565</f>
        <v>0</v>
      </c>
      <c r="K565" s="290">
        <f>(AI565+AJ565)*$K$3</f>
        <v>498</v>
      </c>
      <c r="L565" s="290">
        <f>K565*$Q565</f>
        <v>0</v>
      </c>
      <c r="M565" s="290">
        <f>(AL565+AM565)*$M$3</f>
        <v>187</v>
      </c>
      <c r="N565" s="290">
        <f>M565*$Q565</f>
        <v>0</v>
      </c>
      <c r="O565" s="290">
        <f>C565+E565+G565+I565+K565+M565</f>
        <v>1635</v>
      </c>
      <c r="P565" s="261" t="s">
        <v>10</v>
      </c>
      <c r="Q565" s="262"/>
      <c r="R565" s="435">
        <f>O565*Q565</f>
        <v>0</v>
      </c>
      <c r="S565" s="264"/>
      <c r="T565" s="266">
        <v>20</v>
      </c>
      <c r="U565" s="266">
        <v>21</v>
      </c>
      <c r="V565" s="264"/>
      <c r="W565" s="266">
        <f>T565*$W$3</f>
        <v>40</v>
      </c>
      <c r="X565" s="266">
        <f>U565*$X$3</f>
        <v>42</v>
      </c>
      <c r="Y565" s="264"/>
      <c r="Z565" s="266">
        <f>W565</f>
        <v>40</v>
      </c>
      <c r="AA565" s="266">
        <f>U565*$AA$3</f>
        <v>63</v>
      </c>
      <c r="AB565" s="264"/>
      <c r="AC565" s="266">
        <f>W565</f>
        <v>40</v>
      </c>
      <c r="AD565" s="266">
        <f>U565*$AD$3</f>
        <v>84</v>
      </c>
      <c r="AE565" s="264"/>
      <c r="AF565" s="266">
        <f>W565</f>
        <v>40</v>
      </c>
      <c r="AG565" s="266">
        <f>U565*$AG$3</f>
        <v>105</v>
      </c>
      <c r="AH565" s="264"/>
      <c r="AI565" s="266">
        <f>W565</f>
        <v>40</v>
      </c>
      <c r="AJ565" s="266">
        <f>U565*$AJ$3</f>
        <v>126</v>
      </c>
      <c r="AK565" s="264"/>
      <c r="AL565" s="266">
        <f>W565</f>
        <v>40</v>
      </c>
      <c r="AM565" s="266">
        <f>U565*$AM$3</f>
        <v>147</v>
      </c>
    </row>
    <row r="566" spans="1:39" s="267" customFormat="1" x14ac:dyDescent="0.2">
      <c r="A566" s="308"/>
      <c r="B566" s="293"/>
      <c r="C566" s="290"/>
      <c r="D566" s="290"/>
      <c r="E566" s="290"/>
      <c r="F566" s="290"/>
      <c r="G566" s="290"/>
      <c r="H566" s="290"/>
      <c r="I566" s="290"/>
      <c r="J566" s="290"/>
      <c r="K566" s="290"/>
      <c r="L566" s="290"/>
      <c r="M566" s="290"/>
      <c r="N566" s="290"/>
      <c r="O566" s="290"/>
      <c r="P566" s="261"/>
      <c r="Q566" s="262"/>
      <c r="R566" s="435"/>
      <c r="S566" s="264"/>
      <c r="T566" s="266"/>
      <c r="U566" s="211"/>
      <c r="V566" s="264"/>
      <c r="W566" s="211"/>
      <c r="X566" s="211"/>
      <c r="Y566" s="264"/>
      <c r="Z566" s="211"/>
      <c r="AA566" s="211"/>
      <c r="AB566" s="264"/>
      <c r="AC566" s="211"/>
      <c r="AD566" s="211"/>
      <c r="AE566" s="264"/>
      <c r="AF566" s="211"/>
      <c r="AG566" s="211"/>
      <c r="AH566" s="264"/>
      <c r="AI566" s="211"/>
      <c r="AJ566" s="211"/>
      <c r="AK566" s="264"/>
      <c r="AL566" s="211"/>
      <c r="AM566" s="211"/>
    </row>
    <row r="567" spans="1:39" s="267" customFormat="1" ht="28.5" x14ac:dyDescent="0.2">
      <c r="A567" s="308"/>
      <c r="B567" s="293" t="s">
        <v>763</v>
      </c>
      <c r="C567" s="290"/>
      <c r="D567" s="290"/>
      <c r="E567" s="290"/>
      <c r="F567" s="290"/>
      <c r="G567" s="290"/>
      <c r="H567" s="290"/>
      <c r="I567" s="290"/>
      <c r="J567" s="290"/>
      <c r="K567" s="290"/>
      <c r="L567" s="290"/>
      <c r="M567" s="290"/>
      <c r="N567" s="290"/>
      <c r="O567" s="290"/>
      <c r="P567" s="261"/>
      <c r="Q567" s="262"/>
      <c r="R567" s="435"/>
      <c r="S567" s="264"/>
      <c r="T567" s="266"/>
      <c r="U567" s="211"/>
      <c r="V567" s="264"/>
      <c r="W567" s="211"/>
      <c r="X567" s="211"/>
      <c r="Y567" s="264"/>
      <c r="Z567" s="211"/>
      <c r="AA567" s="211"/>
      <c r="AB567" s="264"/>
      <c r="AC567" s="211"/>
      <c r="AD567" s="211"/>
      <c r="AE567" s="264"/>
      <c r="AF567" s="211"/>
      <c r="AG567" s="211"/>
      <c r="AH567" s="264"/>
      <c r="AI567" s="211"/>
      <c r="AJ567" s="211"/>
      <c r="AK567" s="264"/>
      <c r="AL567" s="211"/>
      <c r="AM567" s="211"/>
    </row>
    <row r="568" spans="1:39" s="267" customFormat="1" x14ac:dyDescent="0.2">
      <c r="A568" s="308"/>
      <c r="B568" s="293"/>
      <c r="C568" s="290"/>
      <c r="D568" s="290"/>
      <c r="E568" s="290"/>
      <c r="F568" s="290"/>
      <c r="G568" s="290"/>
      <c r="H568" s="290"/>
      <c r="I568" s="290"/>
      <c r="J568" s="290"/>
      <c r="K568" s="290"/>
      <c r="L568" s="290"/>
      <c r="M568" s="290"/>
      <c r="N568" s="290"/>
      <c r="O568" s="290"/>
      <c r="P568" s="261"/>
      <c r="Q568" s="262"/>
      <c r="R568" s="435"/>
      <c r="S568" s="264"/>
      <c r="T568" s="266"/>
      <c r="U568" s="211"/>
      <c r="V568" s="264"/>
      <c r="W568" s="211"/>
      <c r="X568" s="211"/>
      <c r="Y568" s="264"/>
      <c r="Z568" s="211"/>
      <c r="AA568" s="211"/>
      <c r="AB568" s="264"/>
      <c r="AC568" s="211"/>
      <c r="AD568" s="211"/>
      <c r="AE568" s="264"/>
      <c r="AF568" s="211"/>
      <c r="AG568" s="211"/>
      <c r="AH568" s="264"/>
      <c r="AI568" s="211"/>
      <c r="AJ568" s="211"/>
      <c r="AK568" s="264"/>
      <c r="AL568" s="211"/>
      <c r="AM568" s="211"/>
    </row>
    <row r="569" spans="1:39" s="267" customFormat="1" x14ac:dyDescent="0.2">
      <c r="A569" s="308" t="s">
        <v>74</v>
      </c>
      <c r="B569" s="259" t="s">
        <v>764</v>
      </c>
      <c r="C569" s="290"/>
      <c r="D569" s="290"/>
      <c r="E569" s="290"/>
      <c r="F569" s="290"/>
      <c r="G569" s="290"/>
      <c r="H569" s="290"/>
      <c r="I569" s="290"/>
      <c r="J569" s="290"/>
      <c r="K569" s="290"/>
      <c r="L569" s="290"/>
      <c r="M569" s="290"/>
      <c r="N569" s="290"/>
      <c r="O569" s="290">
        <f>C569+E569+G569+I569+K569+M569</f>
        <v>0</v>
      </c>
      <c r="P569" s="261" t="s">
        <v>5</v>
      </c>
      <c r="Q569" s="262"/>
      <c r="R569" s="435">
        <f>O569*Q569</f>
        <v>0</v>
      </c>
      <c r="S569" s="264"/>
      <c r="T569" s="266">
        <v>20</v>
      </c>
      <c r="U569" s="266">
        <v>19</v>
      </c>
      <c r="V569" s="264"/>
      <c r="W569" s="266">
        <f>T569*$W$3</f>
        <v>40</v>
      </c>
      <c r="X569" s="266">
        <f>U569*$X$3</f>
        <v>38</v>
      </c>
      <c r="Y569" s="264"/>
      <c r="Z569" s="266">
        <f>W569</f>
        <v>40</v>
      </c>
      <c r="AA569" s="266">
        <f>U569*$AA$3</f>
        <v>57</v>
      </c>
      <c r="AB569" s="264"/>
      <c r="AC569" s="266">
        <f>W569</f>
        <v>40</v>
      </c>
      <c r="AD569" s="266">
        <f>U569*$AD$3</f>
        <v>76</v>
      </c>
      <c r="AE569" s="264"/>
      <c r="AF569" s="266">
        <f>W569</f>
        <v>40</v>
      </c>
      <c r="AG569" s="266">
        <f>U569*$AG$3</f>
        <v>95</v>
      </c>
      <c r="AH569" s="264"/>
      <c r="AI569" s="266">
        <f>W569</f>
        <v>40</v>
      </c>
      <c r="AJ569" s="266">
        <f>U569*$AJ$3</f>
        <v>114</v>
      </c>
      <c r="AK569" s="264"/>
      <c r="AL569" s="266">
        <f>W569</f>
        <v>40</v>
      </c>
      <c r="AM569" s="266">
        <f>U569*$AM$3</f>
        <v>133</v>
      </c>
    </row>
    <row r="570" spans="1:39" s="267" customFormat="1" x14ac:dyDescent="0.2">
      <c r="A570" s="308"/>
      <c r="B570" s="293"/>
      <c r="C570" s="290"/>
      <c r="D570" s="290"/>
      <c r="E570" s="290"/>
      <c r="F570" s="290"/>
      <c r="G570" s="290"/>
      <c r="H570" s="290"/>
      <c r="I570" s="290"/>
      <c r="J570" s="290"/>
      <c r="K570" s="290"/>
      <c r="L570" s="290"/>
      <c r="M570" s="290"/>
      <c r="N570" s="290"/>
      <c r="O570" s="290"/>
      <c r="P570" s="261"/>
      <c r="Q570" s="262"/>
      <c r="R570" s="435"/>
      <c r="S570" s="264"/>
      <c r="T570" s="266"/>
      <c r="U570" s="211"/>
      <c r="V570" s="264"/>
      <c r="W570" s="211"/>
      <c r="X570" s="211"/>
      <c r="Y570" s="264"/>
      <c r="Z570" s="211"/>
      <c r="AA570" s="211"/>
      <c r="AB570" s="264"/>
      <c r="AC570" s="211"/>
      <c r="AD570" s="211"/>
      <c r="AE570" s="264"/>
      <c r="AF570" s="211"/>
      <c r="AG570" s="211"/>
      <c r="AH570" s="264"/>
      <c r="AI570" s="211"/>
      <c r="AJ570" s="211"/>
      <c r="AK570" s="264"/>
      <c r="AL570" s="211"/>
      <c r="AM570" s="211"/>
    </row>
    <row r="571" spans="1:39" s="267" customFormat="1" x14ac:dyDescent="0.2">
      <c r="A571" s="308"/>
      <c r="B571" s="259"/>
      <c r="C571" s="290"/>
      <c r="D571" s="290"/>
      <c r="E571" s="290"/>
      <c r="F571" s="290"/>
      <c r="G571" s="290"/>
      <c r="H571" s="290"/>
      <c r="I571" s="290"/>
      <c r="J571" s="290"/>
      <c r="K571" s="290"/>
      <c r="L571" s="290"/>
      <c r="M571" s="290"/>
      <c r="N571" s="290"/>
      <c r="O571" s="290"/>
      <c r="P571" s="153"/>
      <c r="Q571" s="262"/>
      <c r="R571" s="435"/>
      <c r="S571" s="264"/>
      <c r="T571" s="266"/>
      <c r="U571" s="211"/>
      <c r="V571" s="264"/>
      <c r="W571" s="211"/>
      <c r="X571" s="211"/>
      <c r="Y571" s="264"/>
      <c r="Z571" s="211"/>
      <c r="AA571" s="211"/>
      <c r="AB571" s="264"/>
      <c r="AC571" s="211"/>
      <c r="AD571" s="211"/>
      <c r="AE571" s="264"/>
      <c r="AF571" s="211"/>
      <c r="AG571" s="211"/>
      <c r="AH571" s="264"/>
      <c r="AI571" s="211"/>
      <c r="AJ571" s="211"/>
      <c r="AK571" s="264"/>
      <c r="AL571" s="211"/>
      <c r="AM571" s="211"/>
    </row>
    <row r="572" spans="1:39" s="267" customFormat="1" x14ac:dyDescent="0.2">
      <c r="A572" s="308"/>
      <c r="B572" s="259"/>
      <c r="C572" s="290"/>
      <c r="D572" s="290"/>
      <c r="E572" s="290"/>
      <c r="F572" s="290"/>
      <c r="G572" s="290"/>
      <c r="H572" s="290"/>
      <c r="I572" s="290"/>
      <c r="J572" s="290"/>
      <c r="K572" s="290"/>
      <c r="L572" s="290"/>
      <c r="M572" s="290"/>
      <c r="N572" s="290"/>
      <c r="O572" s="290"/>
      <c r="P572" s="153"/>
      <c r="Q572" s="262"/>
      <c r="R572" s="435"/>
      <c r="S572" s="264"/>
      <c r="T572" s="266"/>
      <c r="U572" s="211"/>
      <c r="V572" s="264"/>
      <c r="W572" s="211"/>
      <c r="X572" s="211"/>
      <c r="Y572" s="264"/>
      <c r="Z572" s="211"/>
      <c r="AA572" s="211"/>
      <c r="AB572" s="264"/>
      <c r="AC572" s="211"/>
      <c r="AD572" s="211"/>
      <c r="AE572" s="264"/>
      <c r="AF572" s="211"/>
      <c r="AG572" s="211"/>
      <c r="AH572" s="264"/>
      <c r="AI572" s="211"/>
      <c r="AJ572" s="211"/>
      <c r="AK572" s="264"/>
      <c r="AL572" s="211"/>
      <c r="AM572" s="211"/>
    </row>
    <row r="573" spans="1:39" s="267" customFormat="1" x14ac:dyDescent="0.2">
      <c r="A573" s="308"/>
      <c r="B573" s="259"/>
      <c r="C573" s="290"/>
      <c r="D573" s="290"/>
      <c r="E573" s="290"/>
      <c r="F573" s="290"/>
      <c r="G573" s="290"/>
      <c r="H573" s="290"/>
      <c r="I573" s="290"/>
      <c r="J573" s="290"/>
      <c r="K573" s="290"/>
      <c r="L573" s="290"/>
      <c r="M573" s="290"/>
      <c r="N573" s="290"/>
      <c r="O573" s="290"/>
      <c r="P573" s="153"/>
      <c r="Q573" s="262"/>
      <c r="R573" s="435"/>
      <c r="S573" s="264"/>
      <c r="T573" s="266"/>
      <c r="U573" s="211"/>
      <c r="V573" s="264"/>
      <c r="W573" s="211"/>
      <c r="X573" s="211"/>
      <c r="Y573" s="264"/>
      <c r="Z573" s="211"/>
      <c r="AA573" s="211"/>
      <c r="AB573" s="264"/>
      <c r="AC573" s="211"/>
      <c r="AD573" s="211"/>
      <c r="AE573" s="264"/>
      <c r="AF573" s="211"/>
      <c r="AG573" s="211"/>
      <c r="AH573" s="264"/>
      <c r="AI573" s="211"/>
      <c r="AJ573" s="211"/>
      <c r="AK573" s="264"/>
      <c r="AL573" s="211"/>
      <c r="AM573" s="211"/>
    </row>
    <row r="574" spans="1:39" s="267" customFormat="1" x14ac:dyDescent="0.2">
      <c r="A574" s="308"/>
      <c r="B574" s="259"/>
      <c r="C574" s="290"/>
      <c r="D574" s="290"/>
      <c r="E574" s="290"/>
      <c r="F574" s="290"/>
      <c r="G574" s="290"/>
      <c r="H574" s="290"/>
      <c r="I574" s="290"/>
      <c r="J574" s="290"/>
      <c r="K574" s="290"/>
      <c r="L574" s="290"/>
      <c r="M574" s="290"/>
      <c r="N574" s="290"/>
      <c r="O574" s="290"/>
      <c r="P574" s="153"/>
      <c r="Q574" s="262"/>
      <c r="R574" s="435"/>
      <c r="S574" s="264"/>
      <c r="T574" s="266"/>
      <c r="U574" s="211"/>
      <c r="V574" s="264"/>
      <c r="W574" s="211"/>
      <c r="X574" s="211"/>
      <c r="Y574" s="264"/>
      <c r="Z574" s="211"/>
      <c r="AA574" s="211"/>
      <c r="AB574" s="264"/>
      <c r="AC574" s="211"/>
      <c r="AD574" s="211"/>
      <c r="AE574" s="264"/>
      <c r="AF574" s="211"/>
      <c r="AG574" s="211"/>
      <c r="AH574" s="264"/>
      <c r="AI574" s="211"/>
      <c r="AJ574" s="211"/>
      <c r="AK574" s="264"/>
      <c r="AL574" s="211"/>
      <c r="AM574" s="211"/>
    </row>
    <row r="575" spans="1:39" s="267" customFormat="1" x14ac:dyDescent="0.2">
      <c r="A575" s="308"/>
      <c r="B575" s="259"/>
      <c r="C575" s="290"/>
      <c r="D575" s="290"/>
      <c r="E575" s="290"/>
      <c r="F575" s="290"/>
      <c r="G575" s="290"/>
      <c r="H575" s="290"/>
      <c r="I575" s="290"/>
      <c r="J575" s="290"/>
      <c r="K575" s="290"/>
      <c r="L575" s="290"/>
      <c r="M575" s="290"/>
      <c r="N575" s="290"/>
      <c r="O575" s="290"/>
      <c r="P575" s="153"/>
      <c r="Q575" s="262"/>
      <c r="R575" s="435"/>
      <c r="S575" s="264"/>
      <c r="T575" s="266"/>
      <c r="U575" s="211"/>
      <c r="V575" s="264"/>
      <c r="W575" s="211"/>
      <c r="X575" s="211"/>
      <c r="Y575" s="264"/>
      <c r="Z575" s="211"/>
      <c r="AA575" s="211"/>
      <c r="AB575" s="264"/>
      <c r="AC575" s="211"/>
      <c r="AD575" s="211"/>
      <c r="AE575" s="264"/>
      <c r="AF575" s="211"/>
      <c r="AG575" s="211"/>
      <c r="AH575" s="264"/>
      <c r="AI575" s="211"/>
      <c r="AJ575" s="211"/>
      <c r="AK575" s="264"/>
      <c r="AL575" s="211"/>
      <c r="AM575" s="211"/>
    </row>
    <row r="576" spans="1:39" s="267" customFormat="1" x14ac:dyDescent="0.2">
      <c r="A576" s="308"/>
      <c r="B576" s="259"/>
      <c r="C576" s="290"/>
      <c r="D576" s="290"/>
      <c r="E576" s="290"/>
      <c r="F576" s="290"/>
      <c r="G576" s="290"/>
      <c r="H576" s="290"/>
      <c r="I576" s="290"/>
      <c r="J576" s="290"/>
      <c r="K576" s="290"/>
      <c r="L576" s="290"/>
      <c r="M576" s="290"/>
      <c r="N576" s="290"/>
      <c r="O576" s="290"/>
      <c r="P576" s="153"/>
      <c r="Q576" s="262"/>
      <c r="R576" s="435"/>
      <c r="S576" s="264"/>
      <c r="T576" s="266"/>
      <c r="U576" s="211"/>
      <c r="V576" s="264"/>
      <c r="W576" s="211"/>
      <c r="X576" s="211"/>
      <c r="Y576" s="264"/>
      <c r="Z576" s="211"/>
      <c r="AA576" s="211"/>
      <c r="AB576" s="264"/>
      <c r="AC576" s="211"/>
      <c r="AD576" s="211"/>
      <c r="AE576" s="264"/>
      <c r="AF576" s="211"/>
      <c r="AG576" s="211"/>
      <c r="AH576" s="264"/>
      <c r="AI576" s="211"/>
      <c r="AJ576" s="211"/>
      <c r="AK576" s="264"/>
      <c r="AL576" s="211"/>
      <c r="AM576" s="211"/>
    </row>
    <row r="577" spans="1:39" s="267" customFormat="1" x14ac:dyDescent="0.2">
      <c r="A577" s="308"/>
      <c r="B577" s="259"/>
      <c r="C577" s="290"/>
      <c r="D577" s="290"/>
      <c r="E577" s="290"/>
      <c r="F577" s="290"/>
      <c r="G577" s="290"/>
      <c r="H577" s="290"/>
      <c r="I577" s="290"/>
      <c r="J577" s="290"/>
      <c r="K577" s="290"/>
      <c r="L577" s="290"/>
      <c r="M577" s="290"/>
      <c r="N577" s="290"/>
      <c r="O577" s="290"/>
      <c r="P577" s="261"/>
      <c r="Q577" s="262"/>
      <c r="R577" s="435"/>
      <c r="S577" s="264"/>
      <c r="T577" s="266"/>
      <c r="U577" s="211"/>
      <c r="V577" s="264"/>
      <c r="W577" s="211"/>
      <c r="X577" s="211"/>
      <c r="Y577" s="264"/>
      <c r="Z577" s="211"/>
      <c r="AA577" s="211"/>
      <c r="AB577" s="264"/>
      <c r="AC577" s="211"/>
      <c r="AD577" s="211"/>
      <c r="AE577" s="264"/>
      <c r="AF577" s="211"/>
      <c r="AG577" s="211"/>
      <c r="AH577" s="264"/>
      <c r="AI577" s="211"/>
      <c r="AJ577" s="211"/>
      <c r="AK577" s="264"/>
      <c r="AL577" s="211"/>
      <c r="AM577" s="211"/>
    </row>
    <row r="578" spans="1:39" s="267" customFormat="1" x14ac:dyDescent="0.2">
      <c r="A578" s="375"/>
      <c r="B578" s="376"/>
      <c r="C578" s="377"/>
      <c r="D578" s="377"/>
      <c r="E578" s="377"/>
      <c r="F578" s="377"/>
      <c r="G578" s="377"/>
      <c r="H578" s="377"/>
      <c r="I578" s="377"/>
      <c r="J578" s="377"/>
      <c r="K578" s="377"/>
      <c r="L578" s="377"/>
      <c r="M578" s="377"/>
      <c r="N578" s="377"/>
      <c r="O578" s="377"/>
      <c r="P578" s="377"/>
      <c r="Q578" s="378"/>
      <c r="R578" s="441"/>
      <c r="S578" s="264"/>
      <c r="T578" s="273"/>
      <c r="U578" s="274"/>
      <c r="V578" s="264"/>
      <c r="W578" s="274"/>
      <c r="X578" s="274"/>
      <c r="Y578" s="264"/>
      <c r="Z578" s="274"/>
      <c r="AA578" s="274"/>
      <c r="AB578" s="264"/>
      <c r="AC578" s="274"/>
      <c r="AD578" s="274"/>
      <c r="AE578" s="264"/>
      <c r="AF578" s="274"/>
      <c r="AG578" s="274"/>
      <c r="AH578" s="264"/>
      <c r="AI578" s="274"/>
      <c r="AJ578" s="274"/>
      <c r="AK578" s="264"/>
      <c r="AL578" s="274"/>
      <c r="AM578" s="274"/>
    </row>
    <row r="579" spans="1:39" s="267" customFormat="1" x14ac:dyDescent="0.2">
      <c r="A579" s="380"/>
      <c r="B579" s="320"/>
      <c r="C579" s="430"/>
      <c r="D579" s="309"/>
      <c r="E579" s="309"/>
      <c r="F579" s="309"/>
      <c r="G579" s="309"/>
      <c r="H579" s="309"/>
      <c r="I579" s="309"/>
      <c r="J579" s="309"/>
      <c r="K579" s="309"/>
      <c r="L579" s="309"/>
      <c r="M579" s="309"/>
      <c r="N579" s="309"/>
      <c r="O579" s="309"/>
      <c r="P579" s="171" t="s">
        <v>1</v>
      </c>
      <c r="Q579" s="381" t="s">
        <v>0</v>
      </c>
      <c r="R579" s="435">
        <f>SUM(R538:R577)</f>
        <v>0</v>
      </c>
      <c r="S579" s="276"/>
      <c r="T579" s="266"/>
      <c r="U579" s="277"/>
      <c r="V579" s="264"/>
      <c r="W579" s="277"/>
      <c r="X579" s="277"/>
      <c r="Y579" s="264"/>
      <c r="Z579" s="277"/>
      <c r="AA579" s="277"/>
      <c r="AB579" s="264"/>
      <c r="AC579" s="277"/>
      <c r="AD579" s="277"/>
      <c r="AE579" s="264"/>
      <c r="AF579" s="277"/>
      <c r="AG579" s="277"/>
      <c r="AH579" s="264"/>
      <c r="AI579" s="277"/>
      <c r="AJ579" s="277"/>
      <c r="AK579" s="264"/>
      <c r="AL579" s="277"/>
      <c r="AM579" s="277"/>
    </row>
    <row r="580" spans="1:39" s="267" customFormat="1" x14ac:dyDescent="0.2">
      <c r="A580" s="380"/>
      <c r="B580" s="320"/>
      <c r="C580" s="309"/>
      <c r="D580" s="309"/>
      <c r="E580" s="309"/>
      <c r="F580" s="309"/>
      <c r="G580" s="309"/>
      <c r="H580" s="309"/>
      <c r="I580" s="309"/>
      <c r="J580" s="309"/>
      <c r="K580" s="309"/>
      <c r="L580" s="309"/>
      <c r="M580" s="309"/>
      <c r="N580" s="309"/>
      <c r="O580" s="309"/>
      <c r="P580" s="309"/>
      <c r="Q580" s="294"/>
      <c r="R580" s="458"/>
      <c r="S580" s="264"/>
      <c r="T580" s="278"/>
      <c r="U580" s="279"/>
      <c r="V580" s="264"/>
      <c r="W580" s="279"/>
      <c r="X580" s="279"/>
      <c r="Y580" s="264"/>
      <c r="Z580" s="279"/>
      <c r="AA580" s="279"/>
      <c r="AB580" s="264"/>
      <c r="AC580" s="279"/>
      <c r="AD580" s="279"/>
      <c r="AE580" s="264"/>
      <c r="AF580" s="279"/>
      <c r="AG580" s="279"/>
      <c r="AH580" s="264"/>
      <c r="AI580" s="279"/>
      <c r="AJ580" s="279"/>
      <c r="AK580" s="264"/>
      <c r="AL580" s="279"/>
      <c r="AM580" s="279"/>
    </row>
    <row r="581" spans="1:39" s="267" customFormat="1" x14ac:dyDescent="0.2">
      <c r="A581" s="258"/>
      <c r="B581" s="259"/>
      <c r="C581" s="357"/>
      <c r="D581" s="478"/>
      <c r="E581" s="478"/>
      <c r="F581" s="478"/>
      <c r="G581" s="478"/>
      <c r="H581" s="478"/>
      <c r="I581" s="478"/>
      <c r="J581" s="478"/>
      <c r="K581" s="478"/>
      <c r="L581" s="478"/>
      <c r="M581" s="478"/>
      <c r="N581" s="478"/>
      <c r="O581" s="478"/>
      <c r="P581" s="261"/>
      <c r="Q581" s="262"/>
      <c r="R581" s="435"/>
      <c r="S581" s="264"/>
      <c r="T581" s="266"/>
      <c r="U581" s="211"/>
      <c r="V581" s="264"/>
      <c r="W581" s="211"/>
      <c r="X581" s="211"/>
      <c r="Y581" s="264"/>
      <c r="Z581" s="211"/>
      <c r="AA581" s="211"/>
      <c r="AB581" s="264"/>
      <c r="AC581" s="211"/>
      <c r="AD581" s="211"/>
      <c r="AE581" s="264"/>
      <c r="AF581" s="211"/>
      <c r="AG581" s="211"/>
      <c r="AH581" s="264"/>
      <c r="AI581" s="211"/>
      <c r="AJ581" s="211"/>
      <c r="AK581" s="264"/>
      <c r="AL581" s="211"/>
      <c r="AM581" s="211"/>
    </row>
    <row r="582" spans="1:39" s="267" customFormat="1" x14ac:dyDescent="0.2">
      <c r="A582" s="258"/>
      <c r="B582" s="265" t="s">
        <v>159</v>
      </c>
      <c r="C582" s="290"/>
      <c r="D582" s="290"/>
      <c r="E582" s="290"/>
      <c r="F582" s="290"/>
      <c r="G582" s="290"/>
      <c r="H582" s="290"/>
      <c r="I582" s="290"/>
      <c r="J582" s="290"/>
      <c r="K582" s="290"/>
      <c r="L582" s="290"/>
      <c r="M582" s="290"/>
      <c r="N582" s="290"/>
      <c r="O582" s="290"/>
      <c r="P582" s="261"/>
      <c r="Q582" s="262"/>
      <c r="R582" s="435"/>
      <c r="S582" s="264"/>
      <c r="T582" s="266"/>
      <c r="U582" s="211"/>
      <c r="V582" s="264"/>
      <c r="W582" s="211"/>
      <c r="X582" s="211"/>
      <c r="Y582" s="264"/>
      <c r="Z582" s="211"/>
      <c r="AA582" s="211"/>
      <c r="AB582" s="264"/>
      <c r="AC582" s="211"/>
      <c r="AD582" s="211"/>
      <c r="AE582" s="264"/>
      <c r="AF582" s="211"/>
      <c r="AG582" s="211"/>
      <c r="AH582" s="264"/>
      <c r="AI582" s="211"/>
      <c r="AJ582" s="211"/>
      <c r="AK582" s="264"/>
      <c r="AL582" s="211"/>
      <c r="AM582" s="211"/>
    </row>
    <row r="583" spans="1:39" s="267" customFormat="1" x14ac:dyDescent="0.2">
      <c r="A583" s="258"/>
      <c r="B583" s="356"/>
      <c r="C583" s="290"/>
      <c r="D583" s="290"/>
      <c r="E583" s="290"/>
      <c r="F583" s="290"/>
      <c r="G583" s="290"/>
      <c r="H583" s="290"/>
      <c r="I583" s="290"/>
      <c r="J583" s="290"/>
      <c r="K583" s="290"/>
      <c r="L583" s="290"/>
      <c r="M583" s="290"/>
      <c r="N583" s="290"/>
      <c r="O583" s="290"/>
      <c r="P583" s="261"/>
      <c r="Q583" s="262"/>
      <c r="R583" s="435"/>
      <c r="S583" s="264"/>
      <c r="T583" s="266"/>
      <c r="U583" s="211"/>
      <c r="V583" s="264"/>
      <c r="W583" s="211"/>
      <c r="X583" s="211"/>
      <c r="Y583" s="264"/>
      <c r="Z583" s="211"/>
      <c r="AA583" s="211"/>
      <c r="AB583" s="264"/>
      <c r="AC583" s="211"/>
      <c r="AD583" s="211"/>
      <c r="AE583" s="264"/>
      <c r="AF583" s="211"/>
      <c r="AG583" s="211"/>
      <c r="AH583" s="264"/>
      <c r="AI583" s="211"/>
      <c r="AJ583" s="211"/>
      <c r="AK583" s="264"/>
      <c r="AL583" s="211"/>
      <c r="AM583" s="211"/>
    </row>
    <row r="584" spans="1:39" s="267" customFormat="1" x14ac:dyDescent="0.2">
      <c r="A584" s="258"/>
      <c r="B584" s="293" t="s">
        <v>221</v>
      </c>
      <c r="C584" s="290"/>
      <c r="D584" s="290"/>
      <c r="E584" s="290"/>
      <c r="F584" s="290"/>
      <c r="G584" s="290"/>
      <c r="H584" s="290"/>
      <c r="I584" s="290"/>
      <c r="J584" s="290"/>
      <c r="K584" s="290"/>
      <c r="L584" s="290"/>
      <c r="M584" s="290"/>
      <c r="N584" s="290"/>
      <c r="O584" s="290"/>
      <c r="P584" s="261"/>
      <c r="Q584" s="262"/>
      <c r="R584" s="435"/>
      <c r="S584" s="264"/>
      <c r="T584" s="266"/>
      <c r="U584" s="211"/>
      <c r="V584" s="264"/>
      <c r="W584" s="211"/>
      <c r="X584" s="211"/>
      <c r="Y584" s="264"/>
      <c r="Z584" s="211"/>
      <c r="AA584" s="211"/>
      <c r="AB584" s="264"/>
      <c r="AC584" s="211"/>
      <c r="AD584" s="211"/>
      <c r="AE584" s="264"/>
      <c r="AF584" s="211"/>
      <c r="AG584" s="211"/>
      <c r="AH584" s="264"/>
      <c r="AI584" s="211"/>
      <c r="AJ584" s="211"/>
      <c r="AK584" s="264"/>
      <c r="AL584" s="211"/>
      <c r="AM584" s="211"/>
    </row>
    <row r="585" spans="1:39" s="267" customFormat="1" x14ac:dyDescent="0.2">
      <c r="A585" s="258"/>
      <c r="B585" s="356"/>
      <c r="C585" s="290"/>
      <c r="D585" s="290"/>
      <c r="E585" s="290"/>
      <c r="F585" s="290"/>
      <c r="G585" s="290"/>
      <c r="H585" s="290"/>
      <c r="I585" s="290"/>
      <c r="J585" s="290"/>
      <c r="K585" s="290"/>
      <c r="L585" s="290"/>
      <c r="M585" s="290"/>
      <c r="N585" s="290"/>
      <c r="O585" s="290"/>
      <c r="P585" s="261"/>
      <c r="Q585" s="262"/>
      <c r="R585" s="435"/>
      <c r="S585" s="264"/>
      <c r="T585" s="266"/>
      <c r="U585" s="211"/>
      <c r="V585" s="264"/>
      <c r="W585" s="211"/>
      <c r="X585" s="211"/>
      <c r="Y585" s="264"/>
      <c r="Z585" s="211"/>
      <c r="AA585" s="211"/>
      <c r="AB585" s="264"/>
      <c r="AC585" s="211"/>
      <c r="AD585" s="211"/>
      <c r="AE585" s="264"/>
      <c r="AF585" s="211"/>
      <c r="AG585" s="211"/>
      <c r="AH585" s="264"/>
      <c r="AI585" s="211"/>
      <c r="AJ585" s="211"/>
      <c r="AK585" s="264"/>
      <c r="AL585" s="211"/>
      <c r="AM585" s="211"/>
    </row>
    <row r="586" spans="1:39" s="267" customFormat="1" x14ac:dyDescent="0.2">
      <c r="A586" s="308"/>
      <c r="B586" s="265" t="s">
        <v>222</v>
      </c>
      <c r="C586" s="290"/>
      <c r="D586" s="290"/>
      <c r="E586" s="290"/>
      <c r="F586" s="290"/>
      <c r="G586" s="290"/>
      <c r="H586" s="290"/>
      <c r="I586" s="290"/>
      <c r="J586" s="290"/>
      <c r="K586" s="290"/>
      <c r="L586" s="290"/>
      <c r="M586" s="290"/>
      <c r="N586" s="290"/>
      <c r="O586" s="290"/>
      <c r="P586" s="153"/>
      <c r="Q586" s="262"/>
      <c r="R586" s="435"/>
      <c r="S586" s="264"/>
      <c r="T586" s="266"/>
      <c r="U586" s="211"/>
      <c r="V586" s="264"/>
      <c r="W586" s="211"/>
      <c r="X586" s="211"/>
      <c r="Y586" s="264"/>
      <c r="Z586" s="211"/>
      <c r="AA586" s="211"/>
      <c r="AB586" s="264"/>
      <c r="AC586" s="211"/>
      <c r="AD586" s="211"/>
      <c r="AE586" s="264"/>
      <c r="AF586" s="211"/>
      <c r="AG586" s="211"/>
      <c r="AH586" s="264"/>
      <c r="AI586" s="211"/>
      <c r="AJ586" s="211"/>
      <c r="AK586" s="264"/>
      <c r="AL586" s="211"/>
      <c r="AM586" s="211"/>
    </row>
    <row r="587" spans="1:39" s="267" customFormat="1" x14ac:dyDescent="0.2">
      <c r="A587" s="308"/>
      <c r="B587" s="206"/>
      <c r="C587" s="290"/>
      <c r="D587" s="290"/>
      <c r="E587" s="290"/>
      <c r="F587" s="290"/>
      <c r="G587" s="290"/>
      <c r="H587" s="290"/>
      <c r="I587" s="290"/>
      <c r="J587" s="290"/>
      <c r="K587" s="290"/>
      <c r="L587" s="290"/>
      <c r="M587" s="290"/>
      <c r="N587" s="290"/>
      <c r="O587" s="290"/>
      <c r="P587" s="261"/>
      <c r="Q587" s="262"/>
      <c r="R587" s="435"/>
      <c r="S587" s="264"/>
      <c r="T587" s="266"/>
      <c r="U587" s="211"/>
      <c r="V587" s="264"/>
      <c r="W587" s="211"/>
      <c r="X587" s="211"/>
      <c r="Y587" s="264"/>
      <c r="Z587" s="211"/>
      <c r="AA587" s="211"/>
      <c r="AB587" s="264"/>
      <c r="AC587" s="211"/>
      <c r="AD587" s="211"/>
      <c r="AE587" s="264"/>
      <c r="AF587" s="211"/>
      <c r="AG587" s="211"/>
      <c r="AH587" s="264"/>
      <c r="AI587" s="211"/>
      <c r="AJ587" s="211"/>
      <c r="AK587" s="264"/>
      <c r="AL587" s="211"/>
      <c r="AM587" s="211"/>
    </row>
    <row r="588" spans="1:39" s="267" customFormat="1" x14ac:dyDescent="0.2">
      <c r="A588" s="308" t="s">
        <v>66</v>
      </c>
      <c r="B588" s="259" t="s">
        <v>765</v>
      </c>
      <c r="C588" s="290">
        <f>(W588+X588)*$C$3</f>
        <v>20</v>
      </c>
      <c r="D588" s="290">
        <f>C588*$Q588</f>
        <v>0</v>
      </c>
      <c r="E588" s="290">
        <f>(Z588+AA588)*$E$3</f>
        <v>24</v>
      </c>
      <c r="F588" s="290">
        <f>E588*$Q588</f>
        <v>0</v>
      </c>
      <c r="G588" s="290">
        <f>(AC588+AD588)*$G$3</f>
        <v>140</v>
      </c>
      <c r="H588" s="290">
        <f>G588*$Q588</f>
        <v>0</v>
      </c>
      <c r="I588" s="290">
        <f>(AF588+AG588)*$I$3</f>
        <v>32</v>
      </c>
      <c r="J588" s="290">
        <f>I588*$Q588</f>
        <v>0</v>
      </c>
      <c r="K588" s="290">
        <f>(AI588+AJ588)*$K$3</f>
        <v>108</v>
      </c>
      <c r="L588" s="290">
        <f>K588*$Q588</f>
        <v>0</v>
      </c>
      <c r="M588" s="290">
        <f>(AL588+AM588)*$M$3</f>
        <v>40</v>
      </c>
      <c r="N588" s="290">
        <f>M588*$Q588</f>
        <v>0</v>
      </c>
      <c r="O588" s="290">
        <f>C588+E588+G588+I588+K588+M588</f>
        <v>364</v>
      </c>
      <c r="P588" s="153" t="s">
        <v>269</v>
      </c>
      <c r="Q588" s="262"/>
      <c r="R588" s="435">
        <f>O588*Q588</f>
        <v>0</v>
      </c>
      <c r="S588" s="264"/>
      <c r="T588" s="266">
        <v>6</v>
      </c>
      <c r="U588" s="266">
        <v>4</v>
      </c>
      <c r="V588" s="264"/>
      <c r="W588" s="266">
        <f>T588*$W$3</f>
        <v>12</v>
      </c>
      <c r="X588" s="266">
        <f>U588*$X$3</f>
        <v>8</v>
      </c>
      <c r="Y588" s="264"/>
      <c r="Z588" s="266">
        <f>W588</f>
        <v>12</v>
      </c>
      <c r="AA588" s="266">
        <f>U588*$AA$3</f>
        <v>12</v>
      </c>
      <c r="AB588" s="264"/>
      <c r="AC588" s="266">
        <f>W588</f>
        <v>12</v>
      </c>
      <c r="AD588" s="266">
        <f>U588*$AD$3</f>
        <v>16</v>
      </c>
      <c r="AE588" s="264"/>
      <c r="AF588" s="266">
        <f>W588</f>
        <v>12</v>
      </c>
      <c r="AG588" s="266">
        <f>U588*$AG$3</f>
        <v>20</v>
      </c>
      <c r="AH588" s="264"/>
      <c r="AI588" s="266">
        <f>W588</f>
        <v>12</v>
      </c>
      <c r="AJ588" s="266">
        <f>U588*$AJ$3</f>
        <v>24</v>
      </c>
      <c r="AK588" s="264"/>
      <c r="AL588" s="266">
        <f>W588</f>
        <v>12</v>
      </c>
      <c r="AM588" s="266">
        <f>U588*$AM$3</f>
        <v>28</v>
      </c>
    </row>
    <row r="589" spans="1:39" s="267" customFormat="1" x14ac:dyDescent="0.2">
      <c r="A589" s="308"/>
      <c r="B589" s="259"/>
      <c r="C589" s="290"/>
      <c r="D589" s="290"/>
      <c r="E589" s="290"/>
      <c r="F589" s="290"/>
      <c r="G589" s="290"/>
      <c r="H589" s="290"/>
      <c r="I589" s="290"/>
      <c r="J589" s="290"/>
      <c r="K589" s="290"/>
      <c r="L589" s="290"/>
      <c r="M589" s="290"/>
      <c r="N589" s="290"/>
      <c r="O589" s="290"/>
      <c r="P589" s="153"/>
      <c r="Q589" s="262"/>
      <c r="R589" s="435"/>
      <c r="S589" s="264"/>
      <c r="T589" s="266"/>
      <c r="U589" s="211"/>
      <c r="V589" s="264"/>
      <c r="W589" s="211"/>
      <c r="X589" s="211"/>
      <c r="Y589" s="264"/>
      <c r="Z589" s="211"/>
      <c r="AA589" s="211"/>
      <c r="AB589" s="264"/>
      <c r="AC589" s="211"/>
      <c r="AD589" s="211"/>
      <c r="AE589" s="264"/>
      <c r="AF589" s="211"/>
      <c r="AG589" s="211"/>
      <c r="AH589" s="264"/>
      <c r="AI589" s="211"/>
      <c r="AJ589" s="211"/>
      <c r="AK589" s="264"/>
      <c r="AL589" s="211"/>
      <c r="AM589" s="211"/>
    </row>
    <row r="590" spans="1:39" s="267" customFormat="1" x14ac:dyDescent="0.2">
      <c r="A590" s="308" t="s">
        <v>67</v>
      </c>
      <c r="B590" s="259" t="s">
        <v>223</v>
      </c>
      <c r="C590" s="290">
        <f>(W590+X590)*$C$3</f>
        <v>50</v>
      </c>
      <c r="D590" s="290">
        <f>C590*$Q590</f>
        <v>0</v>
      </c>
      <c r="E590" s="290">
        <f>(Z590+AA590)*$E$3</f>
        <v>64</v>
      </c>
      <c r="F590" s="290">
        <f>E590*$Q590</f>
        <v>0</v>
      </c>
      <c r="G590" s="290">
        <f>(AC590+AD590)*$G$3</f>
        <v>390</v>
      </c>
      <c r="H590" s="290">
        <f>G590*$Q590</f>
        <v>0</v>
      </c>
      <c r="I590" s="290">
        <f>(AF590+AG590)*$I$3</f>
        <v>92</v>
      </c>
      <c r="J590" s="290">
        <f>I590*$Q590</f>
        <v>0</v>
      </c>
      <c r="K590" s="290">
        <f>(AI590+AJ590)*$K$3</f>
        <v>318</v>
      </c>
      <c r="L590" s="290">
        <f>K590*$Q590</f>
        <v>0</v>
      </c>
      <c r="M590" s="290">
        <f>(AL590+AM590)*$M$3</f>
        <v>120</v>
      </c>
      <c r="N590" s="290">
        <f>M590*$Q590</f>
        <v>0</v>
      </c>
      <c r="O590" s="290">
        <f>C590+E590+G590+I590+K590+M590</f>
        <v>1034</v>
      </c>
      <c r="P590" s="153" t="s">
        <v>269</v>
      </c>
      <c r="Q590" s="262"/>
      <c r="R590" s="435">
        <f>O590*Q590</f>
        <v>0</v>
      </c>
      <c r="S590" s="264"/>
      <c r="T590" s="266">
        <v>11</v>
      </c>
      <c r="U590" s="266">
        <v>14</v>
      </c>
      <c r="V590" s="264"/>
      <c r="W590" s="266">
        <f>T590*$W$3</f>
        <v>22</v>
      </c>
      <c r="X590" s="266">
        <f>U590*$X$3</f>
        <v>28</v>
      </c>
      <c r="Y590" s="264"/>
      <c r="Z590" s="266">
        <f>W590</f>
        <v>22</v>
      </c>
      <c r="AA590" s="266">
        <f>U590*$AA$3</f>
        <v>42</v>
      </c>
      <c r="AB590" s="264"/>
      <c r="AC590" s="266">
        <f>W590</f>
        <v>22</v>
      </c>
      <c r="AD590" s="266">
        <f>U590*$AD$3</f>
        <v>56</v>
      </c>
      <c r="AE590" s="264"/>
      <c r="AF590" s="266">
        <f>W590</f>
        <v>22</v>
      </c>
      <c r="AG590" s="266">
        <f>U590*$AG$3</f>
        <v>70</v>
      </c>
      <c r="AH590" s="264"/>
      <c r="AI590" s="266">
        <f>W590</f>
        <v>22</v>
      </c>
      <c r="AJ590" s="266">
        <f>U590*$AJ$3</f>
        <v>84</v>
      </c>
      <c r="AK590" s="264"/>
      <c r="AL590" s="266">
        <f>W590</f>
        <v>22</v>
      </c>
      <c r="AM590" s="266">
        <f>U590*$AM$3</f>
        <v>98</v>
      </c>
    </row>
    <row r="591" spans="1:39" s="267" customFormat="1" x14ac:dyDescent="0.2">
      <c r="A591" s="308"/>
      <c r="B591" s="259"/>
      <c r="C591" s="290"/>
      <c r="D591" s="290"/>
      <c r="E591" s="290"/>
      <c r="F591" s="290"/>
      <c r="G591" s="290"/>
      <c r="H591" s="290"/>
      <c r="I591" s="290"/>
      <c r="J591" s="290"/>
      <c r="K591" s="290"/>
      <c r="L591" s="290"/>
      <c r="M591" s="290"/>
      <c r="N591" s="290"/>
      <c r="O591" s="290"/>
      <c r="P591" s="153"/>
      <c r="Q591" s="262"/>
      <c r="R591" s="435"/>
      <c r="S591" s="264"/>
      <c r="T591" s="266"/>
      <c r="U591" s="211"/>
      <c r="V591" s="264"/>
      <c r="W591" s="211"/>
      <c r="X591" s="211"/>
      <c r="Y591" s="264"/>
      <c r="Z591" s="211"/>
      <c r="AA591" s="211"/>
      <c r="AB591" s="264"/>
      <c r="AC591" s="211"/>
      <c r="AD591" s="211"/>
      <c r="AE591" s="264"/>
      <c r="AF591" s="211"/>
      <c r="AG591" s="211"/>
      <c r="AH591" s="264"/>
      <c r="AI591" s="211"/>
      <c r="AJ591" s="211"/>
      <c r="AK591" s="264"/>
      <c r="AL591" s="211"/>
      <c r="AM591" s="211"/>
    </row>
    <row r="592" spans="1:39" s="267" customFormat="1" x14ac:dyDescent="0.2">
      <c r="A592" s="308" t="s">
        <v>68</v>
      </c>
      <c r="B592" s="259" t="s">
        <v>766</v>
      </c>
      <c r="C592" s="290">
        <f>(W592+X592)*$C$3</f>
        <v>4</v>
      </c>
      <c r="D592" s="290">
        <f>C592*$Q592</f>
        <v>0</v>
      </c>
      <c r="E592" s="290">
        <f>(Z592+AA592)*$E$3</f>
        <v>5</v>
      </c>
      <c r="F592" s="290">
        <f>E592*$Q592</f>
        <v>0</v>
      </c>
      <c r="G592" s="290">
        <f>(AC592+AD592)*$G$3</f>
        <v>30</v>
      </c>
      <c r="H592" s="290">
        <f>G592*$Q592</f>
        <v>0</v>
      </c>
      <c r="I592" s="290">
        <f>(AF592+AG592)*$I$3</f>
        <v>7</v>
      </c>
      <c r="J592" s="290">
        <f>I592*$Q592</f>
        <v>0</v>
      </c>
      <c r="K592" s="290">
        <f>(AI592+AJ592)*$K$3</f>
        <v>24</v>
      </c>
      <c r="L592" s="290">
        <f>K592*$Q592</f>
        <v>0</v>
      </c>
      <c r="M592" s="290">
        <f>(AL592+AM592)*$M$3</f>
        <v>9</v>
      </c>
      <c r="N592" s="290">
        <f>M592*$Q592</f>
        <v>0</v>
      </c>
      <c r="O592" s="290">
        <f>C592+E592+G592+I592+K592+M592</f>
        <v>79</v>
      </c>
      <c r="P592" s="153" t="s">
        <v>269</v>
      </c>
      <c r="Q592" s="262"/>
      <c r="R592" s="435">
        <f>O592*Q592</f>
        <v>0</v>
      </c>
      <c r="S592" s="264"/>
      <c r="T592" s="266">
        <v>1</v>
      </c>
      <c r="U592" s="266">
        <v>1</v>
      </c>
      <c r="V592" s="264"/>
      <c r="W592" s="266">
        <f>T592*$W$3</f>
        <v>2</v>
      </c>
      <c r="X592" s="266">
        <f>U592*$X$3</f>
        <v>2</v>
      </c>
      <c r="Y592" s="264"/>
      <c r="Z592" s="266">
        <f>W592</f>
        <v>2</v>
      </c>
      <c r="AA592" s="266">
        <f>U592*$AA$3</f>
        <v>3</v>
      </c>
      <c r="AB592" s="264"/>
      <c r="AC592" s="266">
        <f>W592</f>
        <v>2</v>
      </c>
      <c r="AD592" s="266">
        <f>U592*$AD$3</f>
        <v>4</v>
      </c>
      <c r="AE592" s="264"/>
      <c r="AF592" s="266">
        <f>W592</f>
        <v>2</v>
      </c>
      <c r="AG592" s="266">
        <f>U592*$AG$3</f>
        <v>5</v>
      </c>
      <c r="AH592" s="264"/>
      <c r="AI592" s="266">
        <f>W592</f>
        <v>2</v>
      </c>
      <c r="AJ592" s="266">
        <f>U592*$AJ$3</f>
        <v>6</v>
      </c>
      <c r="AK592" s="264"/>
      <c r="AL592" s="266">
        <f>W592</f>
        <v>2</v>
      </c>
      <c r="AM592" s="266">
        <f>U592*$AM$3</f>
        <v>7</v>
      </c>
    </row>
    <row r="593" spans="1:39" s="267" customFormat="1" x14ac:dyDescent="0.2">
      <c r="A593" s="308"/>
      <c r="B593" s="259"/>
      <c r="C593" s="290"/>
      <c r="D593" s="290"/>
      <c r="E593" s="290"/>
      <c r="F593" s="290"/>
      <c r="G593" s="290"/>
      <c r="H593" s="290"/>
      <c r="I593" s="290"/>
      <c r="J593" s="290"/>
      <c r="K593" s="290"/>
      <c r="L593" s="290"/>
      <c r="M593" s="290"/>
      <c r="N593" s="290"/>
      <c r="O593" s="290"/>
      <c r="P593" s="153"/>
      <c r="Q593" s="262"/>
      <c r="R593" s="435"/>
      <c r="S593" s="264"/>
      <c r="T593" s="266"/>
      <c r="U593" s="211"/>
      <c r="V593" s="264"/>
      <c r="W593" s="211"/>
      <c r="X593" s="211"/>
      <c r="Y593" s="264"/>
      <c r="Z593" s="211"/>
      <c r="AA593" s="211"/>
      <c r="AB593" s="264"/>
      <c r="AC593" s="211"/>
      <c r="AD593" s="211"/>
      <c r="AE593" s="264"/>
      <c r="AF593" s="211"/>
      <c r="AG593" s="211"/>
      <c r="AH593" s="264"/>
      <c r="AI593" s="211"/>
      <c r="AJ593" s="211"/>
      <c r="AK593" s="264"/>
      <c r="AL593" s="211"/>
      <c r="AM593" s="211"/>
    </row>
    <row r="594" spans="1:39" s="267" customFormat="1" x14ac:dyDescent="0.2">
      <c r="A594" s="308"/>
      <c r="B594" s="293" t="s">
        <v>259</v>
      </c>
      <c r="C594" s="290"/>
      <c r="D594" s="290"/>
      <c r="E594" s="290">
        <f>ROUND(X594*E$3,0)</f>
        <v>0</v>
      </c>
      <c r="F594" s="290"/>
      <c r="G594" s="290">
        <f>ROUND(Z594*G$3,0)</f>
        <v>0</v>
      </c>
      <c r="H594" s="290"/>
      <c r="I594" s="290"/>
      <c r="J594" s="290"/>
      <c r="K594" s="290"/>
      <c r="L594" s="290"/>
      <c r="M594" s="290"/>
      <c r="N594" s="290"/>
      <c r="O594" s="290"/>
      <c r="P594" s="153"/>
      <c r="Q594" s="262"/>
      <c r="R594" s="435"/>
      <c r="S594" s="264"/>
      <c r="T594" s="266"/>
      <c r="U594" s="211"/>
      <c r="V594" s="264"/>
      <c r="W594" s="211"/>
      <c r="X594" s="211"/>
      <c r="Y594" s="264"/>
      <c r="Z594" s="211"/>
      <c r="AA594" s="211"/>
      <c r="AB594" s="264"/>
      <c r="AC594" s="211"/>
      <c r="AD594" s="211"/>
      <c r="AE594" s="264"/>
      <c r="AF594" s="211"/>
      <c r="AG594" s="211"/>
      <c r="AH594" s="264"/>
      <c r="AI594" s="211"/>
      <c r="AJ594" s="211"/>
      <c r="AK594" s="264"/>
      <c r="AL594" s="211"/>
      <c r="AM594" s="211"/>
    </row>
    <row r="595" spans="1:39" s="267" customFormat="1" x14ac:dyDescent="0.2">
      <c r="A595" s="258"/>
      <c r="B595" s="259"/>
      <c r="C595" s="290"/>
      <c r="D595" s="290"/>
      <c r="E595" s="290"/>
      <c r="F595" s="290"/>
      <c r="G595" s="290"/>
      <c r="H595" s="290"/>
      <c r="I595" s="290"/>
      <c r="J595" s="290"/>
      <c r="K595" s="290"/>
      <c r="L595" s="290"/>
      <c r="M595" s="290"/>
      <c r="N595" s="290">
        <f>M595*$Q595</f>
        <v>0</v>
      </c>
      <c r="O595" s="290"/>
      <c r="P595" s="261"/>
      <c r="Q595" s="262"/>
      <c r="R595" s="435"/>
      <c r="S595" s="264"/>
      <c r="T595" s="266"/>
      <c r="U595" s="211"/>
      <c r="V595" s="264"/>
      <c r="W595" s="211"/>
      <c r="X595" s="211"/>
      <c r="Y595" s="264"/>
      <c r="Z595" s="211"/>
      <c r="AA595" s="211"/>
      <c r="AB595" s="264"/>
      <c r="AC595" s="211"/>
      <c r="AD595" s="211"/>
      <c r="AE595" s="264"/>
      <c r="AF595" s="211"/>
      <c r="AG595" s="211"/>
      <c r="AH595" s="264"/>
      <c r="AI595" s="211"/>
      <c r="AJ595" s="211"/>
      <c r="AK595" s="264"/>
      <c r="AL595" s="211"/>
      <c r="AM595" s="211"/>
    </row>
    <row r="596" spans="1:39" s="267" customFormat="1" x14ac:dyDescent="0.2">
      <c r="A596" s="258" t="s">
        <v>69</v>
      </c>
      <c r="B596" s="259" t="s">
        <v>767</v>
      </c>
      <c r="C596" s="290">
        <f>(W596+X596)*$C$3</f>
        <v>24</v>
      </c>
      <c r="D596" s="290">
        <f>C596*$Q596</f>
        <v>0</v>
      </c>
      <c r="E596" s="290">
        <f>(Z596+AA596)*$E$3</f>
        <v>30</v>
      </c>
      <c r="F596" s="290">
        <f>E596*$Q596</f>
        <v>0</v>
      </c>
      <c r="G596" s="290">
        <f>(AC596+AD596)*$G$3</f>
        <v>180</v>
      </c>
      <c r="H596" s="290">
        <f>G596*$Q596</f>
        <v>0</v>
      </c>
      <c r="I596" s="290">
        <f>(AF596+AG596)*$I$3</f>
        <v>42</v>
      </c>
      <c r="J596" s="290">
        <f>I596*$Q596</f>
        <v>0</v>
      </c>
      <c r="K596" s="290">
        <f>(AI596+AJ596)*$K$3</f>
        <v>144</v>
      </c>
      <c r="L596" s="290">
        <f>K596*$Q596</f>
        <v>0</v>
      </c>
      <c r="M596" s="290">
        <f>(AL596+AM596)*$M$3</f>
        <v>54</v>
      </c>
      <c r="N596" s="290">
        <f>M596*$Q596</f>
        <v>0</v>
      </c>
      <c r="O596" s="290">
        <f>C596+E596+G596+I596+K596+M596</f>
        <v>474</v>
      </c>
      <c r="P596" s="153" t="s">
        <v>269</v>
      </c>
      <c r="Q596" s="262"/>
      <c r="R596" s="435">
        <f>O596*Q596</f>
        <v>0</v>
      </c>
      <c r="S596" s="264"/>
      <c r="T596" s="266">
        <v>6</v>
      </c>
      <c r="U596" s="266">
        <v>6</v>
      </c>
      <c r="V596" s="264"/>
      <c r="W596" s="266">
        <f>T596*$W$3</f>
        <v>12</v>
      </c>
      <c r="X596" s="266">
        <f>U596*$X$3</f>
        <v>12</v>
      </c>
      <c r="Y596" s="264"/>
      <c r="Z596" s="266">
        <f>W596</f>
        <v>12</v>
      </c>
      <c r="AA596" s="266">
        <f>U596*$AA$3</f>
        <v>18</v>
      </c>
      <c r="AB596" s="264"/>
      <c r="AC596" s="266">
        <f>W596</f>
        <v>12</v>
      </c>
      <c r="AD596" s="266">
        <f>U596*$AD$3</f>
        <v>24</v>
      </c>
      <c r="AE596" s="264"/>
      <c r="AF596" s="266">
        <f>W596</f>
        <v>12</v>
      </c>
      <c r="AG596" s="266">
        <f>U596*$AG$3</f>
        <v>30</v>
      </c>
      <c r="AH596" s="264"/>
      <c r="AI596" s="266">
        <f>W596</f>
        <v>12</v>
      </c>
      <c r="AJ596" s="266">
        <f>U596*$AJ$3</f>
        <v>36</v>
      </c>
      <c r="AK596" s="264"/>
      <c r="AL596" s="266">
        <f>W596</f>
        <v>12</v>
      </c>
      <c r="AM596" s="266">
        <f>U596*$AM$3</f>
        <v>42</v>
      </c>
    </row>
    <row r="597" spans="1:39" s="267" customFormat="1" x14ac:dyDescent="0.2">
      <c r="A597" s="258"/>
      <c r="B597" s="259"/>
      <c r="C597" s="290"/>
      <c r="D597" s="290"/>
      <c r="E597" s="290"/>
      <c r="F597" s="290"/>
      <c r="G597" s="290"/>
      <c r="H597" s="290"/>
      <c r="I597" s="290"/>
      <c r="J597" s="290"/>
      <c r="K597" s="290"/>
      <c r="L597" s="290"/>
      <c r="M597" s="290"/>
      <c r="N597" s="290"/>
      <c r="O597" s="290"/>
      <c r="P597" s="153"/>
      <c r="Q597" s="262"/>
      <c r="R597" s="435"/>
      <c r="S597" s="264"/>
      <c r="T597" s="266"/>
      <c r="U597" s="266"/>
      <c r="V597" s="264"/>
      <c r="W597" s="266"/>
      <c r="X597" s="266"/>
      <c r="Y597" s="264"/>
      <c r="Z597" s="266"/>
      <c r="AA597" s="266"/>
      <c r="AB597" s="264"/>
      <c r="AC597" s="266"/>
      <c r="AD597" s="266"/>
      <c r="AE597" s="264"/>
      <c r="AF597" s="266"/>
      <c r="AG597" s="266"/>
      <c r="AH597" s="264"/>
      <c r="AI597" s="266"/>
      <c r="AJ597" s="266"/>
      <c r="AK597" s="264"/>
      <c r="AL597" s="266"/>
      <c r="AM597" s="266"/>
    </row>
    <row r="598" spans="1:39" s="267" customFormat="1" x14ac:dyDescent="0.2">
      <c r="A598" s="258" t="s">
        <v>70</v>
      </c>
      <c r="B598" s="259" t="s">
        <v>228</v>
      </c>
      <c r="C598" s="290">
        <f t="shared" ref="C598:C614" si="9">(W598+X598)*$C$3</f>
        <v>18</v>
      </c>
      <c r="D598" s="290">
        <f t="shared" ref="D598:D616" si="10">C598*$Q598</f>
        <v>0</v>
      </c>
      <c r="E598" s="290">
        <f t="shared" ref="E598:E614" si="11">(Z598+AA598)*$E$3</f>
        <v>22</v>
      </c>
      <c r="F598" s="290">
        <f t="shared" ref="F598:F616" si="12">E598*$Q598</f>
        <v>0</v>
      </c>
      <c r="G598" s="290">
        <f t="shared" ref="G598:G614" si="13">(AC598+AD598)*$G$3</f>
        <v>130</v>
      </c>
      <c r="H598" s="290">
        <f t="shared" ref="H598:H616" si="14">G598*$Q598</f>
        <v>0</v>
      </c>
      <c r="I598" s="290">
        <f t="shared" ref="I598:I614" si="15">(AF598+AG598)*$I$3</f>
        <v>30</v>
      </c>
      <c r="J598" s="290">
        <f t="shared" ref="J598:J616" si="16">I598*$Q598</f>
        <v>0</v>
      </c>
      <c r="K598" s="290">
        <f t="shared" ref="K598:K614" si="17">(AI598+AJ598)*$K$3</f>
        <v>102</v>
      </c>
      <c r="L598" s="290">
        <f t="shared" ref="L598:L616" si="18">K598*$Q598</f>
        <v>0</v>
      </c>
      <c r="M598" s="290">
        <f t="shared" ref="M598:M614" si="19">(AL598+AM598)*$M$3</f>
        <v>38</v>
      </c>
      <c r="N598" s="290">
        <f t="shared" ref="N598:N616" si="20">M598*$Q598</f>
        <v>0</v>
      </c>
      <c r="O598" s="290">
        <f t="shared" ref="O598:O614" si="21">C598+E598+G598+I598+K598+M598</f>
        <v>340</v>
      </c>
      <c r="P598" s="153" t="s">
        <v>269</v>
      </c>
      <c r="Q598" s="262"/>
      <c r="R598" s="436">
        <f>O598*Q598</f>
        <v>0</v>
      </c>
      <c r="S598" s="264"/>
      <c r="T598" s="266">
        <v>5</v>
      </c>
      <c r="U598" s="266">
        <v>4</v>
      </c>
      <c r="V598" s="264"/>
      <c r="W598" s="266">
        <f t="shared" ref="W598:W614" si="22">T598*$W$3</f>
        <v>10</v>
      </c>
      <c r="X598" s="266">
        <f t="shared" ref="X598:X614" si="23">U598*$X$3</f>
        <v>8</v>
      </c>
      <c r="Y598" s="264"/>
      <c r="Z598" s="266">
        <f t="shared" ref="Z598:Z614" si="24">W598</f>
        <v>10</v>
      </c>
      <c r="AA598" s="266">
        <f t="shared" ref="AA598:AA614" si="25">U598*$AA$3</f>
        <v>12</v>
      </c>
      <c r="AB598" s="264"/>
      <c r="AC598" s="266">
        <f t="shared" ref="AC598:AC614" si="26">W598</f>
        <v>10</v>
      </c>
      <c r="AD598" s="266">
        <f t="shared" ref="AD598:AD614" si="27">U598*$AD$3</f>
        <v>16</v>
      </c>
      <c r="AE598" s="264"/>
      <c r="AF598" s="266">
        <f t="shared" ref="AF598:AF614" si="28">W598</f>
        <v>10</v>
      </c>
      <c r="AG598" s="266">
        <f t="shared" ref="AG598:AG614" si="29">U598*$AG$3</f>
        <v>20</v>
      </c>
      <c r="AH598" s="264"/>
      <c r="AI598" s="266">
        <f t="shared" ref="AI598:AI614" si="30">W598</f>
        <v>10</v>
      </c>
      <c r="AJ598" s="266">
        <f t="shared" ref="AJ598:AJ614" si="31">U598*$AJ$3</f>
        <v>24</v>
      </c>
      <c r="AK598" s="264"/>
      <c r="AL598" s="266">
        <f t="shared" ref="AL598:AL614" si="32">W598</f>
        <v>10</v>
      </c>
      <c r="AM598" s="266">
        <f t="shared" ref="AM598:AM614" si="33">U598*$AM$3</f>
        <v>28</v>
      </c>
    </row>
    <row r="599" spans="1:39" s="267" customFormat="1" x14ac:dyDescent="0.2">
      <c r="A599" s="258"/>
      <c r="B599" s="259"/>
      <c r="C599" s="290"/>
      <c r="D599" s="290"/>
      <c r="E599" s="290"/>
      <c r="F599" s="290"/>
      <c r="G599" s="290"/>
      <c r="H599" s="290"/>
      <c r="I599" s="290"/>
      <c r="J599" s="290"/>
      <c r="K599" s="290"/>
      <c r="L599" s="290"/>
      <c r="M599" s="290"/>
      <c r="N599" s="290"/>
      <c r="O599" s="290"/>
      <c r="P599" s="153"/>
      <c r="Q599" s="431"/>
      <c r="R599" s="436"/>
      <c r="S599" s="264"/>
      <c r="T599" s="266"/>
      <c r="U599" s="266"/>
      <c r="V599" s="264"/>
      <c r="W599" s="266"/>
      <c r="X599" s="266"/>
      <c r="Y599" s="264"/>
      <c r="Z599" s="266"/>
      <c r="AA599" s="266"/>
      <c r="AB599" s="264"/>
      <c r="AC599" s="266"/>
      <c r="AD599" s="266"/>
      <c r="AE599" s="264"/>
      <c r="AF599" s="266"/>
      <c r="AG599" s="266"/>
      <c r="AH599" s="264"/>
      <c r="AI599" s="266"/>
      <c r="AJ599" s="266"/>
      <c r="AK599" s="264"/>
      <c r="AL599" s="266"/>
      <c r="AM599" s="266"/>
    </row>
    <row r="600" spans="1:39" s="342" customFormat="1" x14ac:dyDescent="0.2">
      <c r="A600" s="340" t="s">
        <v>71</v>
      </c>
      <c r="B600" s="341" t="s">
        <v>923</v>
      </c>
      <c r="C600" s="338">
        <f t="shared" ref="C600" si="34">(W600+X600)*$C$3</f>
        <v>8</v>
      </c>
      <c r="D600" s="338">
        <f t="shared" ref="D600" si="35">C600*$Q600</f>
        <v>0</v>
      </c>
      <c r="E600" s="338">
        <f t="shared" ref="E600" si="36">(Z600+AA600)*$E$3</f>
        <v>10</v>
      </c>
      <c r="F600" s="338">
        <f t="shared" ref="F600" si="37">E600*$Q600</f>
        <v>0</v>
      </c>
      <c r="G600" s="338">
        <f t="shared" ref="G600" si="38">(AC600+AD600)*$G$3</f>
        <v>60</v>
      </c>
      <c r="H600" s="338">
        <f t="shared" ref="H600" si="39">G600*$Q600</f>
        <v>0</v>
      </c>
      <c r="I600" s="338">
        <f t="shared" ref="I600" si="40">(AF600+AG600)*$I$3</f>
        <v>14</v>
      </c>
      <c r="J600" s="338">
        <f t="shared" ref="J600" si="41">I600*$Q600</f>
        <v>0</v>
      </c>
      <c r="K600" s="338">
        <f t="shared" ref="K600" si="42">(AI600+AJ600)*$K$3</f>
        <v>48</v>
      </c>
      <c r="L600" s="338">
        <f t="shared" ref="L600" si="43">K600*$Q600</f>
        <v>0</v>
      </c>
      <c r="M600" s="338">
        <f t="shared" ref="M600" si="44">(AL600+AM600)*$M$3</f>
        <v>18</v>
      </c>
      <c r="N600" s="338">
        <f t="shared" ref="N600" si="45">M600*$Q600</f>
        <v>0</v>
      </c>
      <c r="O600" s="338">
        <f t="shared" ref="O600" si="46">C600+E600+G600+I600+K600+M600</f>
        <v>158</v>
      </c>
      <c r="P600" s="235" t="s">
        <v>269</v>
      </c>
      <c r="Q600" s="431"/>
      <c r="R600" s="436"/>
      <c r="T600" s="343">
        <v>2</v>
      </c>
      <c r="U600" s="343">
        <v>2</v>
      </c>
      <c r="W600" s="343">
        <f t="shared" ref="W600" si="47">T600*$W$3</f>
        <v>4</v>
      </c>
      <c r="X600" s="343">
        <f t="shared" ref="X600" si="48">U600*$X$3</f>
        <v>4</v>
      </c>
      <c r="Z600" s="343">
        <f t="shared" ref="Z600" si="49">W600</f>
        <v>4</v>
      </c>
      <c r="AA600" s="343">
        <f t="shared" ref="AA600" si="50">U600*$AA$3</f>
        <v>6</v>
      </c>
      <c r="AC600" s="343">
        <f t="shared" ref="AC600" si="51">W600</f>
        <v>4</v>
      </c>
      <c r="AD600" s="343">
        <f t="shared" ref="AD600" si="52">U600*$AD$3</f>
        <v>8</v>
      </c>
      <c r="AF600" s="343">
        <f t="shared" ref="AF600" si="53">W600</f>
        <v>4</v>
      </c>
      <c r="AG600" s="343">
        <f t="shared" ref="AG600" si="54">U600*$AG$3</f>
        <v>10</v>
      </c>
      <c r="AI600" s="343">
        <f t="shared" ref="AI600" si="55">W600</f>
        <v>4</v>
      </c>
      <c r="AJ600" s="343">
        <f t="shared" ref="AJ600" si="56">U600*$AJ$3</f>
        <v>12</v>
      </c>
      <c r="AL600" s="343">
        <f t="shared" ref="AL600" si="57">W600</f>
        <v>4</v>
      </c>
      <c r="AM600" s="343">
        <f t="shared" ref="AM600" si="58">U600*$AM$3</f>
        <v>14</v>
      </c>
    </row>
    <row r="601" spans="1:39" s="267" customFormat="1" x14ac:dyDescent="0.2">
      <c r="A601" s="258"/>
      <c r="B601" s="259"/>
      <c r="C601" s="290"/>
      <c r="D601" s="290"/>
      <c r="E601" s="290"/>
      <c r="F601" s="290"/>
      <c r="G601" s="290"/>
      <c r="H601" s="290"/>
      <c r="I601" s="290"/>
      <c r="J601" s="290"/>
      <c r="K601" s="290"/>
      <c r="L601" s="290"/>
      <c r="M601" s="290"/>
      <c r="N601" s="290"/>
      <c r="O601" s="290"/>
      <c r="P601" s="153"/>
      <c r="Q601" s="431"/>
      <c r="R601" s="436"/>
      <c r="S601" s="264"/>
      <c r="T601" s="266"/>
      <c r="U601" s="266"/>
      <c r="V601" s="264"/>
      <c r="W601" s="266"/>
      <c r="X601" s="266"/>
      <c r="Y601" s="264"/>
      <c r="Z601" s="266"/>
      <c r="AA601" s="266"/>
      <c r="AB601" s="264"/>
      <c r="AC601" s="266"/>
      <c r="AD601" s="266"/>
      <c r="AE601" s="264"/>
      <c r="AF601" s="266"/>
      <c r="AG601" s="266"/>
      <c r="AH601" s="264"/>
      <c r="AI601" s="266"/>
      <c r="AJ601" s="266"/>
      <c r="AK601" s="264"/>
      <c r="AL601" s="266"/>
      <c r="AM601" s="266"/>
    </row>
    <row r="602" spans="1:39" s="267" customFormat="1" x14ac:dyDescent="0.2">
      <c r="A602" s="340" t="s">
        <v>72</v>
      </c>
      <c r="B602" s="259" t="s">
        <v>768</v>
      </c>
      <c r="C602" s="338">
        <f t="shared" si="9"/>
        <v>32</v>
      </c>
      <c r="D602" s="338">
        <f t="shared" si="10"/>
        <v>0</v>
      </c>
      <c r="E602" s="338">
        <f t="shared" si="11"/>
        <v>40</v>
      </c>
      <c r="F602" s="338">
        <f t="shared" si="12"/>
        <v>0</v>
      </c>
      <c r="G602" s="338">
        <f t="shared" si="13"/>
        <v>240</v>
      </c>
      <c r="H602" s="338">
        <f t="shared" si="14"/>
        <v>0</v>
      </c>
      <c r="I602" s="338">
        <f t="shared" si="15"/>
        <v>56</v>
      </c>
      <c r="J602" s="338">
        <f t="shared" si="16"/>
        <v>0</v>
      </c>
      <c r="K602" s="338">
        <f t="shared" si="17"/>
        <v>192</v>
      </c>
      <c r="L602" s="338">
        <f t="shared" si="18"/>
        <v>0</v>
      </c>
      <c r="M602" s="338">
        <f t="shared" si="19"/>
        <v>72</v>
      </c>
      <c r="N602" s="338">
        <f t="shared" si="20"/>
        <v>0</v>
      </c>
      <c r="O602" s="338">
        <f t="shared" si="21"/>
        <v>632</v>
      </c>
      <c r="P602" s="153" t="s">
        <v>269</v>
      </c>
      <c r="Q602" s="431"/>
      <c r="R602" s="436">
        <f>O602*Q602</f>
        <v>0</v>
      </c>
      <c r="S602" s="264"/>
      <c r="T602" s="281">
        <v>8</v>
      </c>
      <c r="U602" s="266">
        <v>8</v>
      </c>
      <c r="V602" s="264"/>
      <c r="W602" s="266">
        <f t="shared" si="22"/>
        <v>16</v>
      </c>
      <c r="X602" s="266">
        <f t="shared" si="23"/>
        <v>16</v>
      </c>
      <c r="Y602" s="264"/>
      <c r="Z602" s="266">
        <f t="shared" si="24"/>
        <v>16</v>
      </c>
      <c r="AA602" s="266">
        <f t="shared" si="25"/>
        <v>24</v>
      </c>
      <c r="AB602" s="264"/>
      <c r="AC602" s="266">
        <f t="shared" si="26"/>
        <v>16</v>
      </c>
      <c r="AD602" s="266">
        <f t="shared" si="27"/>
        <v>32</v>
      </c>
      <c r="AE602" s="264"/>
      <c r="AF602" s="266">
        <f t="shared" si="28"/>
        <v>16</v>
      </c>
      <c r="AG602" s="266">
        <f t="shared" si="29"/>
        <v>40</v>
      </c>
      <c r="AH602" s="264"/>
      <c r="AI602" s="266">
        <f t="shared" si="30"/>
        <v>16</v>
      </c>
      <c r="AJ602" s="266">
        <f t="shared" si="31"/>
        <v>48</v>
      </c>
      <c r="AK602" s="264"/>
      <c r="AL602" s="266">
        <f t="shared" si="32"/>
        <v>16</v>
      </c>
      <c r="AM602" s="266">
        <f t="shared" si="33"/>
        <v>56</v>
      </c>
    </row>
    <row r="603" spans="1:39" s="267" customFormat="1" x14ac:dyDescent="0.2">
      <c r="A603" s="258"/>
      <c r="B603" s="259"/>
      <c r="C603" s="290"/>
      <c r="D603" s="290"/>
      <c r="E603" s="290"/>
      <c r="F603" s="290"/>
      <c r="G603" s="290"/>
      <c r="H603" s="290"/>
      <c r="I603" s="290"/>
      <c r="J603" s="290"/>
      <c r="K603" s="290"/>
      <c r="L603" s="290"/>
      <c r="M603" s="290"/>
      <c r="N603" s="290"/>
      <c r="O603" s="290"/>
      <c r="P603" s="153"/>
      <c r="Q603" s="431"/>
      <c r="R603" s="436"/>
      <c r="S603" s="264"/>
      <c r="T603" s="266"/>
      <c r="U603" s="266"/>
      <c r="V603" s="264"/>
      <c r="W603" s="266"/>
      <c r="X603" s="266"/>
      <c r="Y603" s="264"/>
      <c r="Z603" s="266"/>
      <c r="AA603" s="266"/>
      <c r="AB603" s="264"/>
      <c r="AC603" s="266"/>
      <c r="AD603" s="266"/>
      <c r="AE603" s="264"/>
      <c r="AF603" s="266"/>
      <c r="AG603" s="266"/>
      <c r="AH603" s="264"/>
      <c r="AI603" s="266"/>
      <c r="AJ603" s="266"/>
      <c r="AK603" s="264"/>
      <c r="AL603" s="266"/>
      <c r="AM603" s="266"/>
    </row>
    <row r="604" spans="1:39" s="348" customFormat="1" x14ac:dyDescent="0.2">
      <c r="A604" s="344" t="s">
        <v>73</v>
      </c>
      <c r="B604" s="345" t="s">
        <v>769</v>
      </c>
      <c r="C604" s="346">
        <v>2</v>
      </c>
      <c r="D604" s="346">
        <f t="shared" si="10"/>
        <v>0</v>
      </c>
      <c r="E604" s="346">
        <v>3</v>
      </c>
      <c r="F604" s="346">
        <f t="shared" si="12"/>
        <v>0</v>
      </c>
      <c r="G604" s="346">
        <v>20</v>
      </c>
      <c r="H604" s="346">
        <f t="shared" si="14"/>
        <v>0</v>
      </c>
      <c r="I604" s="346">
        <v>5</v>
      </c>
      <c r="J604" s="346">
        <f t="shared" si="16"/>
        <v>0</v>
      </c>
      <c r="K604" s="346">
        <v>18</v>
      </c>
      <c r="L604" s="346">
        <f t="shared" si="18"/>
        <v>0</v>
      </c>
      <c r="M604" s="346">
        <v>7</v>
      </c>
      <c r="N604" s="346">
        <f t="shared" si="20"/>
        <v>0</v>
      </c>
      <c r="O604" s="346">
        <f t="shared" ref="O604" si="59">C604+E604+G604+I604+K604+M604</f>
        <v>55</v>
      </c>
      <c r="P604" s="232" t="s">
        <v>269</v>
      </c>
      <c r="Q604" s="347"/>
      <c r="R604" s="442" t="s">
        <v>904</v>
      </c>
      <c r="T604" s="349"/>
      <c r="U604" s="349">
        <v>0</v>
      </c>
      <c r="W604" s="349">
        <f t="shared" ref="W604" si="60">T604*$W$3</f>
        <v>0</v>
      </c>
      <c r="X604" s="349">
        <f t="shared" ref="X604" si="61">U604*$X$3</f>
        <v>0</v>
      </c>
      <c r="Z604" s="349">
        <f t="shared" ref="Z604" si="62">W604</f>
        <v>0</v>
      </c>
      <c r="AA604" s="349">
        <f t="shared" ref="AA604" si="63">U604*$AA$3</f>
        <v>0</v>
      </c>
      <c r="AC604" s="349">
        <f t="shared" ref="AC604" si="64">W604</f>
        <v>0</v>
      </c>
      <c r="AD604" s="349">
        <f t="shared" ref="AD604" si="65">U604*$AD$3</f>
        <v>0</v>
      </c>
      <c r="AF604" s="349">
        <f t="shared" ref="AF604" si="66">W604</f>
        <v>0</v>
      </c>
      <c r="AG604" s="349">
        <f t="shared" ref="AG604" si="67">U604*$AG$3</f>
        <v>0</v>
      </c>
      <c r="AI604" s="349">
        <f t="shared" ref="AI604" si="68">W604</f>
        <v>0</v>
      </c>
      <c r="AJ604" s="349">
        <f t="shared" ref="AJ604" si="69">U604*$AJ$3</f>
        <v>0</v>
      </c>
      <c r="AL604" s="349">
        <f t="shared" ref="AL604" si="70">W604</f>
        <v>0</v>
      </c>
      <c r="AM604" s="349">
        <f t="shared" ref="AM604" si="71">U604*$AM$3</f>
        <v>0</v>
      </c>
    </row>
    <row r="605" spans="1:39" s="267" customFormat="1" x14ac:dyDescent="0.2">
      <c r="A605" s="258"/>
      <c r="B605" s="259"/>
      <c r="C605" s="290"/>
      <c r="D605" s="290"/>
      <c r="E605" s="290"/>
      <c r="F605" s="290"/>
      <c r="G605" s="290"/>
      <c r="H605" s="290"/>
      <c r="I605" s="290"/>
      <c r="J605" s="290"/>
      <c r="K605" s="290"/>
      <c r="L605" s="290"/>
      <c r="M605" s="290"/>
      <c r="N605" s="290"/>
      <c r="O605" s="290"/>
      <c r="P605" s="153"/>
      <c r="Q605" s="431"/>
      <c r="R605" s="436"/>
      <c r="S605" s="264"/>
      <c r="T605" s="266"/>
      <c r="U605" s="266"/>
      <c r="V605" s="264"/>
      <c r="W605" s="266"/>
      <c r="X605" s="266"/>
      <c r="Y605" s="264"/>
      <c r="Z605" s="266"/>
      <c r="AA605" s="266"/>
      <c r="AB605" s="264"/>
      <c r="AC605" s="266"/>
      <c r="AD605" s="266"/>
      <c r="AE605" s="264"/>
      <c r="AF605" s="266"/>
      <c r="AG605" s="266"/>
      <c r="AH605" s="264"/>
      <c r="AI605" s="266"/>
      <c r="AJ605" s="266"/>
      <c r="AK605" s="264"/>
      <c r="AL605" s="266"/>
      <c r="AM605" s="266"/>
    </row>
    <row r="606" spans="1:39" s="267" customFormat="1" x14ac:dyDescent="0.2">
      <c r="A606" s="340" t="s">
        <v>74</v>
      </c>
      <c r="B606" s="259" t="s">
        <v>770</v>
      </c>
      <c r="C606" s="338">
        <f t="shared" si="9"/>
        <v>2</v>
      </c>
      <c r="D606" s="338">
        <f t="shared" si="10"/>
        <v>0</v>
      </c>
      <c r="E606" s="338">
        <f t="shared" si="11"/>
        <v>2</v>
      </c>
      <c r="F606" s="338">
        <f t="shared" si="12"/>
        <v>0</v>
      </c>
      <c r="G606" s="338">
        <f t="shared" si="13"/>
        <v>10</v>
      </c>
      <c r="H606" s="338">
        <f t="shared" si="14"/>
        <v>0</v>
      </c>
      <c r="I606" s="338">
        <f t="shared" si="15"/>
        <v>2</v>
      </c>
      <c r="J606" s="338">
        <f t="shared" si="16"/>
        <v>0</v>
      </c>
      <c r="K606" s="338">
        <f t="shared" si="17"/>
        <v>6</v>
      </c>
      <c r="L606" s="338">
        <f t="shared" si="18"/>
        <v>0</v>
      </c>
      <c r="M606" s="338">
        <f t="shared" si="19"/>
        <v>2</v>
      </c>
      <c r="N606" s="338">
        <f t="shared" si="20"/>
        <v>0</v>
      </c>
      <c r="O606" s="338">
        <f t="shared" si="21"/>
        <v>24</v>
      </c>
      <c r="P606" s="153" t="s">
        <v>269</v>
      </c>
      <c r="Q606" s="431"/>
      <c r="R606" s="436">
        <f>O606*Q606</f>
        <v>0</v>
      </c>
      <c r="S606" s="264"/>
      <c r="T606" s="281">
        <v>1</v>
      </c>
      <c r="U606" s="266">
        <v>0</v>
      </c>
      <c r="V606" s="264"/>
      <c r="W606" s="266">
        <f t="shared" si="22"/>
        <v>2</v>
      </c>
      <c r="X606" s="266">
        <f t="shared" si="23"/>
        <v>0</v>
      </c>
      <c r="Y606" s="264"/>
      <c r="Z606" s="266">
        <f t="shared" si="24"/>
        <v>2</v>
      </c>
      <c r="AA606" s="266">
        <f t="shared" si="25"/>
        <v>0</v>
      </c>
      <c r="AB606" s="264"/>
      <c r="AC606" s="266">
        <f t="shared" si="26"/>
        <v>2</v>
      </c>
      <c r="AD606" s="266">
        <f t="shared" si="27"/>
        <v>0</v>
      </c>
      <c r="AE606" s="264"/>
      <c r="AF606" s="266">
        <f t="shared" si="28"/>
        <v>2</v>
      </c>
      <c r="AG606" s="266">
        <f t="shared" si="29"/>
        <v>0</v>
      </c>
      <c r="AH606" s="264"/>
      <c r="AI606" s="266">
        <f t="shared" si="30"/>
        <v>2</v>
      </c>
      <c r="AJ606" s="266">
        <f t="shared" si="31"/>
        <v>0</v>
      </c>
      <c r="AK606" s="264"/>
      <c r="AL606" s="266">
        <f t="shared" si="32"/>
        <v>2</v>
      </c>
      <c r="AM606" s="266">
        <f t="shared" si="33"/>
        <v>0</v>
      </c>
    </row>
    <row r="607" spans="1:39" s="267" customFormat="1" x14ac:dyDescent="0.2">
      <c r="A607" s="258"/>
      <c r="B607" s="259"/>
      <c r="C607" s="290"/>
      <c r="D607" s="290"/>
      <c r="E607" s="290"/>
      <c r="F607" s="290"/>
      <c r="G607" s="290"/>
      <c r="H607" s="290"/>
      <c r="I607" s="290"/>
      <c r="J607" s="290"/>
      <c r="K607" s="290"/>
      <c r="L607" s="290"/>
      <c r="M607" s="290"/>
      <c r="N607" s="290"/>
      <c r="O607" s="290"/>
      <c r="P607" s="153"/>
      <c r="Q607" s="262"/>
      <c r="R607" s="435"/>
      <c r="S607" s="264"/>
      <c r="T607" s="266"/>
      <c r="U607" s="266"/>
      <c r="V607" s="264"/>
      <c r="W607" s="266"/>
      <c r="X607" s="266"/>
      <c r="Y607" s="264"/>
      <c r="Z607" s="266"/>
      <c r="AA607" s="266"/>
      <c r="AB607" s="264"/>
      <c r="AC607" s="266"/>
      <c r="AD607" s="266"/>
      <c r="AE607" s="264"/>
      <c r="AF607" s="266"/>
      <c r="AG607" s="266"/>
      <c r="AH607" s="264"/>
      <c r="AI607" s="266"/>
      <c r="AJ607" s="266"/>
      <c r="AK607" s="264"/>
      <c r="AL607" s="266"/>
      <c r="AM607" s="266"/>
    </row>
    <row r="608" spans="1:39" s="267" customFormat="1" x14ac:dyDescent="0.2">
      <c r="A608" s="340" t="s">
        <v>75</v>
      </c>
      <c r="B608" s="259" t="s">
        <v>231</v>
      </c>
      <c r="C608" s="290">
        <f t="shared" si="9"/>
        <v>2</v>
      </c>
      <c r="D608" s="290">
        <f t="shared" si="10"/>
        <v>0</v>
      </c>
      <c r="E608" s="290">
        <f t="shared" si="11"/>
        <v>3</v>
      </c>
      <c r="F608" s="290">
        <f t="shared" si="12"/>
        <v>0</v>
      </c>
      <c r="G608" s="290">
        <f t="shared" si="13"/>
        <v>20</v>
      </c>
      <c r="H608" s="290">
        <f t="shared" si="14"/>
        <v>0</v>
      </c>
      <c r="I608" s="290">
        <f t="shared" si="15"/>
        <v>5</v>
      </c>
      <c r="J608" s="290">
        <f t="shared" si="16"/>
        <v>0</v>
      </c>
      <c r="K608" s="290">
        <f t="shared" si="17"/>
        <v>18</v>
      </c>
      <c r="L608" s="290">
        <f t="shared" si="18"/>
        <v>0</v>
      </c>
      <c r="M608" s="290">
        <f t="shared" si="19"/>
        <v>7</v>
      </c>
      <c r="N608" s="290">
        <f t="shared" si="20"/>
        <v>0</v>
      </c>
      <c r="O608" s="290">
        <f t="shared" si="21"/>
        <v>55</v>
      </c>
      <c r="P608" s="153" t="s">
        <v>269</v>
      </c>
      <c r="Q608" s="262"/>
      <c r="R608" s="435">
        <f>O608*Q608</f>
        <v>0</v>
      </c>
      <c r="S608" s="264"/>
      <c r="T608" s="266"/>
      <c r="U608" s="266">
        <v>1</v>
      </c>
      <c r="V608" s="264"/>
      <c r="W608" s="266">
        <f t="shared" si="22"/>
        <v>0</v>
      </c>
      <c r="X608" s="266">
        <f t="shared" si="23"/>
        <v>2</v>
      </c>
      <c r="Y608" s="264"/>
      <c r="Z608" s="266">
        <f t="shared" si="24"/>
        <v>0</v>
      </c>
      <c r="AA608" s="266">
        <f t="shared" si="25"/>
        <v>3</v>
      </c>
      <c r="AB608" s="264"/>
      <c r="AC608" s="266">
        <f t="shared" si="26"/>
        <v>0</v>
      </c>
      <c r="AD608" s="266">
        <f t="shared" si="27"/>
        <v>4</v>
      </c>
      <c r="AE608" s="264"/>
      <c r="AF608" s="266">
        <f t="shared" si="28"/>
        <v>0</v>
      </c>
      <c r="AG608" s="266">
        <f t="shared" si="29"/>
        <v>5</v>
      </c>
      <c r="AH608" s="264"/>
      <c r="AI608" s="266">
        <f t="shared" si="30"/>
        <v>0</v>
      </c>
      <c r="AJ608" s="266">
        <f t="shared" si="31"/>
        <v>6</v>
      </c>
      <c r="AK608" s="264"/>
      <c r="AL608" s="266">
        <f t="shared" si="32"/>
        <v>0</v>
      </c>
      <c r="AM608" s="266">
        <f t="shared" si="33"/>
        <v>7</v>
      </c>
    </row>
    <row r="609" spans="1:39" s="267" customFormat="1" x14ac:dyDescent="0.2">
      <c r="A609" s="258"/>
      <c r="B609" s="259"/>
      <c r="C609" s="290"/>
      <c r="D609" s="290"/>
      <c r="E609" s="290"/>
      <c r="F609" s="290"/>
      <c r="G609" s="290"/>
      <c r="H609" s="290"/>
      <c r="I609" s="290"/>
      <c r="J609" s="290"/>
      <c r="K609" s="290"/>
      <c r="L609" s="290"/>
      <c r="M609" s="290"/>
      <c r="N609" s="290"/>
      <c r="O609" s="290"/>
      <c r="P609" s="153"/>
      <c r="Q609" s="262"/>
      <c r="R609" s="435"/>
      <c r="S609" s="264"/>
      <c r="T609" s="266"/>
      <c r="U609" s="266"/>
      <c r="V609" s="264"/>
      <c r="W609" s="266"/>
      <c r="X609" s="266"/>
      <c r="Y609" s="264"/>
      <c r="Z609" s="266"/>
      <c r="AA609" s="266"/>
      <c r="AB609" s="264"/>
      <c r="AC609" s="266"/>
      <c r="AD609" s="266"/>
      <c r="AE609" s="264"/>
      <c r="AF609" s="266"/>
      <c r="AG609" s="266"/>
      <c r="AH609" s="264"/>
      <c r="AI609" s="266"/>
      <c r="AJ609" s="266"/>
      <c r="AK609" s="264"/>
      <c r="AL609" s="266"/>
      <c r="AM609" s="266"/>
    </row>
    <row r="610" spans="1:39" s="267" customFormat="1" x14ac:dyDescent="0.2">
      <c r="A610" s="340" t="s">
        <v>76</v>
      </c>
      <c r="B610" s="259" t="s">
        <v>771</v>
      </c>
      <c r="C610" s="338">
        <f t="shared" ref="C610" si="72">(W610+X610)*$C$3</f>
        <v>20</v>
      </c>
      <c r="D610" s="338">
        <f t="shared" si="10"/>
        <v>0</v>
      </c>
      <c r="E610" s="338">
        <f t="shared" ref="E610" si="73">(Z610+AA610)*$E$3</f>
        <v>23</v>
      </c>
      <c r="F610" s="338">
        <f t="shared" si="12"/>
        <v>0</v>
      </c>
      <c r="G610" s="338">
        <f t="shared" ref="G610" si="74">(AC610+AD610)*$G$3</f>
        <v>130</v>
      </c>
      <c r="H610" s="338">
        <f t="shared" si="14"/>
        <v>0</v>
      </c>
      <c r="I610" s="338">
        <f t="shared" ref="I610" si="75">(AF610+AG610)*$I$3</f>
        <v>29</v>
      </c>
      <c r="J610" s="338">
        <f t="shared" si="16"/>
        <v>0</v>
      </c>
      <c r="K610" s="338">
        <f t="shared" ref="K610" si="76">(AI610+AJ610)*$K$3</f>
        <v>96</v>
      </c>
      <c r="L610" s="338">
        <f t="shared" si="18"/>
        <v>0</v>
      </c>
      <c r="M610" s="338">
        <f t="shared" ref="M610" si="77">(AL610+AM610)*$M$3</f>
        <v>35</v>
      </c>
      <c r="N610" s="338">
        <f t="shared" si="20"/>
        <v>0</v>
      </c>
      <c r="O610" s="338">
        <f t="shared" ref="O610" si="78">C610+E610+G610+I610+K610+M610</f>
        <v>333</v>
      </c>
      <c r="P610" s="153" t="s">
        <v>269</v>
      </c>
      <c r="Q610" s="262"/>
      <c r="R610" s="435">
        <f>O610*Q610</f>
        <v>0</v>
      </c>
      <c r="S610" s="264"/>
      <c r="T610" s="281">
        <v>7</v>
      </c>
      <c r="U610" s="266">
        <v>3</v>
      </c>
      <c r="V610" s="264"/>
      <c r="W610" s="266">
        <f t="shared" ref="W610" si="79">T610*$W$3</f>
        <v>14</v>
      </c>
      <c r="X610" s="266">
        <f t="shared" ref="X610" si="80">U610*$X$3</f>
        <v>6</v>
      </c>
      <c r="Y610" s="264"/>
      <c r="Z610" s="266">
        <f t="shared" ref="Z610" si="81">W610</f>
        <v>14</v>
      </c>
      <c r="AA610" s="266">
        <f t="shared" ref="AA610" si="82">U610*$AA$3</f>
        <v>9</v>
      </c>
      <c r="AB610" s="264"/>
      <c r="AC610" s="266">
        <f t="shared" ref="AC610" si="83">W610</f>
        <v>14</v>
      </c>
      <c r="AD610" s="266">
        <f t="shared" ref="AD610" si="84">U610*$AD$3</f>
        <v>12</v>
      </c>
      <c r="AE610" s="264"/>
      <c r="AF610" s="266">
        <f t="shared" ref="AF610" si="85">W610</f>
        <v>14</v>
      </c>
      <c r="AG610" s="266">
        <f t="shared" ref="AG610" si="86">U610*$AG$3</f>
        <v>15</v>
      </c>
      <c r="AH610" s="264"/>
      <c r="AI610" s="266">
        <f t="shared" ref="AI610" si="87">W610</f>
        <v>14</v>
      </c>
      <c r="AJ610" s="266">
        <f t="shared" ref="AJ610" si="88">U610*$AJ$3</f>
        <v>18</v>
      </c>
      <c r="AK610" s="264"/>
      <c r="AL610" s="266">
        <f t="shared" ref="AL610" si="89">W610</f>
        <v>14</v>
      </c>
      <c r="AM610" s="266">
        <f t="shared" ref="AM610" si="90">U610*$AM$3</f>
        <v>21</v>
      </c>
    </row>
    <row r="611" spans="1:39" s="267" customFormat="1" x14ac:dyDescent="0.2">
      <c r="A611" s="258"/>
      <c r="B611" s="259"/>
      <c r="C611" s="290"/>
      <c r="D611" s="290"/>
      <c r="E611" s="290"/>
      <c r="F611" s="290"/>
      <c r="G611" s="290"/>
      <c r="H611" s="290"/>
      <c r="I611" s="290"/>
      <c r="J611" s="290"/>
      <c r="K611" s="290"/>
      <c r="L611" s="290"/>
      <c r="M611" s="290"/>
      <c r="N611" s="290"/>
      <c r="O611" s="290"/>
      <c r="P611" s="153"/>
      <c r="Q611" s="262"/>
      <c r="R611" s="435"/>
      <c r="S611" s="264"/>
      <c r="T611" s="266"/>
      <c r="U611" s="266"/>
      <c r="V611" s="264"/>
      <c r="W611" s="266"/>
      <c r="X611" s="266"/>
      <c r="Y611" s="264"/>
      <c r="Z611" s="266"/>
      <c r="AA611" s="266"/>
      <c r="AB611" s="264"/>
      <c r="AC611" s="266"/>
      <c r="AD611" s="266"/>
      <c r="AE611" s="264"/>
      <c r="AF611" s="266"/>
      <c r="AG611" s="266"/>
      <c r="AH611" s="264"/>
      <c r="AI611" s="266"/>
      <c r="AJ611" s="266"/>
      <c r="AK611" s="264"/>
      <c r="AL611" s="266"/>
      <c r="AM611" s="266"/>
    </row>
    <row r="612" spans="1:39" s="267" customFormat="1" x14ac:dyDescent="0.2">
      <c r="A612" s="340" t="s">
        <v>77</v>
      </c>
      <c r="B612" s="259" t="s">
        <v>772</v>
      </c>
      <c r="C612" s="290">
        <f t="shared" ref="C612" si="91">(W612+X612)*$C$3</f>
        <v>2</v>
      </c>
      <c r="D612" s="290">
        <f t="shared" si="10"/>
        <v>0</v>
      </c>
      <c r="E612" s="290">
        <f t="shared" ref="E612" si="92">(Z612+AA612)*$E$3</f>
        <v>3</v>
      </c>
      <c r="F612" s="290">
        <f t="shared" si="12"/>
        <v>0</v>
      </c>
      <c r="G612" s="290">
        <f t="shared" ref="G612" si="93">(AC612+AD612)*$G$3</f>
        <v>20</v>
      </c>
      <c r="H612" s="290">
        <f t="shared" si="14"/>
        <v>0</v>
      </c>
      <c r="I612" s="290">
        <f t="shared" ref="I612" si="94">(AF612+AG612)*$I$3</f>
        <v>5</v>
      </c>
      <c r="J612" s="290">
        <f t="shared" si="16"/>
        <v>0</v>
      </c>
      <c r="K612" s="290">
        <f t="shared" ref="K612" si="95">(AI612+AJ612)*$K$3</f>
        <v>18</v>
      </c>
      <c r="L612" s="290">
        <f t="shared" si="18"/>
        <v>0</v>
      </c>
      <c r="M612" s="290">
        <f t="shared" ref="M612" si="96">(AL612+AM612)*$M$3</f>
        <v>7</v>
      </c>
      <c r="N612" s="290">
        <f t="shared" si="20"/>
        <v>0</v>
      </c>
      <c r="O612" s="290">
        <f t="shared" ref="O612" si="97">C612+E612+G612+I612+K612+M612</f>
        <v>55</v>
      </c>
      <c r="P612" s="153" t="s">
        <v>269</v>
      </c>
      <c r="Q612" s="262"/>
      <c r="R612" s="435">
        <f>O612*Q612</f>
        <v>0</v>
      </c>
      <c r="S612" s="264"/>
      <c r="T612" s="266"/>
      <c r="U612" s="266">
        <v>1</v>
      </c>
      <c r="V612" s="264"/>
      <c r="W612" s="266">
        <f t="shared" ref="W612" si="98">T612*$W$3</f>
        <v>0</v>
      </c>
      <c r="X612" s="266">
        <f t="shared" ref="X612" si="99">U612*$X$3</f>
        <v>2</v>
      </c>
      <c r="Y612" s="264"/>
      <c r="Z612" s="266">
        <f t="shared" ref="Z612" si="100">W612</f>
        <v>0</v>
      </c>
      <c r="AA612" s="266">
        <f t="shared" ref="AA612" si="101">U612*$AA$3</f>
        <v>3</v>
      </c>
      <c r="AB612" s="264"/>
      <c r="AC612" s="266">
        <f t="shared" ref="AC612" si="102">W612</f>
        <v>0</v>
      </c>
      <c r="AD612" s="266">
        <f t="shared" ref="AD612" si="103">U612*$AD$3</f>
        <v>4</v>
      </c>
      <c r="AE612" s="264"/>
      <c r="AF612" s="266">
        <f t="shared" ref="AF612" si="104">W612</f>
        <v>0</v>
      </c>
      <c r="AG612" s="266">
        <f t="shared" ref="AG612" si="105">U612*$AG$3</f>
        <v>5</v>
      </c>
      <c r="AH612" s="264"/>
      <c r="AI612" s="266">
        <f t="shared" ref="AI612" si="106">W612</f>
        <v>0</v>
      </c>
      <c r="AJ612" s="266">
        <f t="shared" ref="AJ612" si="107">U612*$AJ$3</f>
        <v>6</v>
      </c>
      <c r="AK612" s="264"/>
      <c r="AL612" s="266">
        <f t="shared" ref="AL612" si="108">W612</f>
        <v>0</v>
      </c>
      <c r="AM612" s="266">
        <f t="shared" ref="AM612" si="109">U612*$AM$3</f>
        <v>7</v>
      </c>
    </row>
    <row r="613" spans="1:39" s="267" customFormat="1" x14ac:dyDescent="0.2">
      <c r="A613" s="258"/>
      <c r="B613" s="259"/>
      <c r="C613" s="290"/>
      <c r="D613" s="290"/>
      <c r="E613" s="290"/>
      <c r="F613" s="290"/>
      <c r="G613" s="290"/>
      <c r="H613" s="290"/>
      <c r="I613" s="290"/>
      <c r="J613" s="290"/>
      <c r="K613" s="290"/>
      <c r="L613" s="290"/>
      <c r="M613" s="290"/>
      <c r="N613" s="290"/>
      <c r="O613" s="290"/>
      <c r="P613" s="153"/>
      <c r="Q613" s="262"/>
      <c r="R613" s="435"/>
      <c r="S613" s="264"/>
      <c r="T613" s="266"/>
      <c r="U613" s="266"/>
      <c r="V613" s="264"/>
      <c r="W613" s="266"/>
      <c r="X613" s="266"/>
      <c r="Y613" s="264"/>
      <c r="Z613" s="266"/>
      <c r="AA613" s="266"/>
      <c r="AB613" s="264"/>
      <c r="AC613" s="266"/>
      <c r="AD613" s="266"/>
      <c r="AE613" s="264"/>
      <c r="AF613" s="266"/>
      <c r="AG613" s="266"/>
      <c r="AH613" s="264"/>
      <c r="AI613" s="266"/>
      <c r="AJ613" s="266"/>
      <c r="AK613" s="264"/>
      <c r="AL613" s="266"/>
      <c r="AM613" s="266"/>
    </row>
    <row r="614" spans="1:39" s="267" customFormat="1" x14ac:dyDescent="0.2">
      <c r="A614" s="340" t="s">
        <v>79</v>
      </c>
      <c r="B614" s="259" t="s">
        <v>773</v>
      </c>
      <c r="C614" s="290">
        <f t="shared" si="9"/>
        <v>2</v>
      </c>
      <c r="D614" s="290">
        <f t="shared" si="10"/>
        <v>0</v>
      </c>
      <c r="E614" s="290">
        <f t="shared" si="11"/>
        <v>2</v>
      </c>
      <c r="F614" s="290">
        <f t="shared" si="12"/>
        <v>0</v>
      </c>
      <c r="G614" s="290">
        <f t="shared" si="13"/>
        <v>10</v>
      </c>
      <c r="H614" s="290">
        <f t="shared" si="14"/>
        <v>0</v>
      </c>
      <c r="I614" s="290">
        <f t="shared" si="15"/>
        <v>2</v>
      </c>
      <c r="J614" s="290">
        <f t="shared" si="16"/>
        <v>0</v>
      </c>
      <c r="K614" s="290">
        <f t="shared" si="17"/>
        <v>6</v>
      </c>
      <c r="L614" s="290">
        <f t="shared" si="18"/>
        <v>0</v>
      </c>
      <c r="M614" s="290">
        <f t="shared" si="19"/>
        <v>2</v>
      </c>
      <c r="N614" s="290">
        <f t="shared" si="20"/>
        <v>0</v>
      </c>
      <c r="O614" s="290">
        <f t="shared" si="21"/>
        <v>24</v>
      </c>
      <c r="P614" s="153" t="s">
        <v>269</v>
      </c>
      <c r="Q614" s="262"/>
      <c r="R614" s="435">
        <f>O614*Q614</f>
        <v>0</v>
      </c>
      <c r="S614" s="264"/>
      <c r="T614" s="266">
        <v>1</v>
      </c>
      <c r="U614" s="266"/>
      <c r="V614" s="264"/>
      <c r="W614" s="266">
        <f t="shared" si="22"/>
        <v>2</v>
      </c>
      <c r="X614" s="266">
        <f t="shared" si="23"/>
        <v>0</v>
      </c>
      <c r="Y614" s="264"/>
      <c r="Z614" s="266">
        <f t="shared" si="24"/>
        <v>2</v>
      </c>
      <c r="AA614" s="266">
        <f t="shared" si="25"/>
        <v>0</v>
      </c>
      <c r="AB614" s="264"/>
      <c r="AC614" s="266">
        <f t="shared" si="26"/>
        <v>2</v>
      </c>
      <c r="AD614" s="266">
        <f t="shared" si="27"/>
        <v>0</v>
      </c>
      <c r="AE614" s="264"/>
      <c r="AF614" s="266">
        <f t="shared" si="28"/>
        <v>2</v>
      </c>
      <c r="AG614" s="266">
        <f t="shared" si="29"/>
        <v>0</v>
      </c>
      <c r="AH614" s="264"/>
      <c r="AI614" s="266">
        <f t="shared" si="30"/>
        <v>2</v>
      </c>
      <c r="AJ614" s="266">
        <f t="shared" si="31"/>
        <v>0</v>
      </c>
      <c r="AK614" s="264"/>
      <c r="AL614" s="266">
        <f t="shared" si="32"/>
        <v>2</v>
      </c>
      <c r="AM614" s="266">
        <f t="shared" si="33"/>
        <v>0</v>
      </c>
    </row>
    <row r="615" spans="1:39" s="267" customFormat="1" x14ac:dyDescent="0.2">
      <c r="A615" s="258"/>
      <c r="B615" s="259"/>
      <c r="C615" s="290"/>
      <c r="D615" s="290"/>
      <c r="E615" s="290"/>
      <c r="F615" s="290"/>
      <c r="G615" s="290"/>
      <c r="H615" s="290"/>
      <c r="I615" s="290"/>
      <c r="J615" s="290"/>
      <c r="K615" s="290"/>
      <c r="L615" s="290"/>
      <c r="M615" s="290"/>
      <c r="N615" s="290"/>
      <c r="O615" s="290"/>
      <c r="P615" s="153"/>
      <c r="Q615" s="262"/>
      <c r="R615" s="435"/>
      <c r="S615" s="264"/>
      <c r="T615" s="266"/>
      <c r="U615" s="266"/>
      <c r="V615" s="264"/>
      <c r="W615" s="266"/>
      <c r="X615" s="266"/>
      <c r="Y615" s="264"/>
      <c r="Z615" s="266"/>
      <c r="AA615" s="266"/>
      <c r="AB615" s="264"/>
      <c r="AC615" s="266"/>
      <c r="AD615" s="266"/>
      <c r="AE615" s="264"/>
      <c r="AF615" s="266"/>
      <c r="AG615" s="266"/>
      <c r="AH615" s="264"/>
      <c r="AI615" s="266"/>
      <c r="AJ615" s="266"/>
      <c r="AK615" s="264"/>
      <c r="AL615" s="266"/>
      <c r="AM615" s="266"/>
    </row>
    <row r="616" spans="1:39" s="267" customFormat="1" x14ac:dyDescent="0.2">
      <c r="A616" s="350" t="s">
        <v>80</v>
      </c>
      <c r="B616" s="259" t="s">
        <v>774</v>
      </c>
      <c r="C616" s="290">
        <f t="shared" ref="C616" si="110">(W616+X616)*$C$3</f>
        <v>4</v>
      </c>
      <c r="D616" s="290">
        <f t="shared" si="10"/>
        <v>0</v>
      </c>
      <c r="E616" s="290">
        <f t="shared" ref="E616" si="111">(Z616+AA616)*$E$3</f>
        <v>4</v>
      </c>
      <c r="F616" s="290">
        <f t="shared" si="12"/>
        <v>0</v>
      </c>
      <c r="G616" s="290">
        <f t="shared" ref="G616" si="112">(AC616+AD616)*$G$3</f>
        <v>20</v>
      </c>
      <c r="H616" s="290">
        <f t="shared" si="14"/>
        <v>0</v>
      </c>
      <c r="I616" s="290">
        <f t="shared" ref="I616" si="113">(AF616+AG616)*$I$3</f>
        <v>4</v>
      </c>
      <c r="J616" s="290">
        <f t="shared" si="16"/>
        <v>0</v>
      </c>
      <c r="K616" s="290">
        <f t="shared" ref="K616" si="114">(AI616+AJ616)*$K$3</f>
        <v>12</v>
      </c>
      <c r="L616" s="290">
        <f t="shared" si="18"/>
        <v>0</v>
      </c>
      <c r="M616" s="290">
        <f t="shared" ref="M616" si="115">(AL616+AM616)*$M$3</f>
        <v>4</v>
      </c>
      <c r="N616" s="290">
        <f t="shared" si="20"/>
        <v>0</v>
      </c>
      <c r="O616" s="290">
        <f t="shared" ref="O616" si="116">C616+E616+G616+I616+K616+M616</f>
        <v>48</v>
      </c>
      <c r="P616" s="153" t="s">
        <v>269</v>
      </c>
      <c r="Q616" s="262"/>
      <c r="R616" s="435">
        <f>O616*Q616</f>
        <v>0</v>
      </c>
      <c r="S616" s="264"/>
      <c r="T616" s="266">
        <v>2</v>
      </c>
      <c r="U616" s="266"/>
      <c r="V616" s="264"/>
      <c r="W616" s="266">
        <f t="shared" ref="W616" si="117">T616*$W$3</f>
        <v>4</v>
      </c>
      <c r="X616" s="266">
        <f t="shared" ref="X616" si="118">U616*$X$3</f>
        <v>0</v>
      </c>
      <c r="Y616" s="264"/>
      <c r="Z616" s="266">
        <f t="shared" ref="Z616" si="119">W616</f>
        <v>4</v>
      </c>
      <c r="AA616" s="266">
        <f t="shared" ref="AA616" si="120">U616*$AA$3</f>
        <v>0</v>
      </c>
      <c r="AB616" s="264"/>
      <c r="AC616" s="266">
        <f t="shared" ref="AC616" si="121">W616</f>
        <v>4</v>
      </c>
      <c r="AD616" s="266">
        <f t="shared" ref="AD616" si="122">U616*$AD$3</f>
        <v>0</v>
      </c>
      <c r="AE616" s="264"/>
      <c r="AF616" s="266">
        <f t="shared" ref="AF616" si="123">W616</f>
        <v>4</v>
      </c>
      <c r="AG616" s="266">
        <f t="shared" ref="AG616" si="124">U616*$AG$3</f>
        <v>0</v>
      </c>
      <c r="AH616" s="264"/>
      <c r="AI616" s="266">
        <f t="shared" ref="AI616" si="125">W616</f>
        <v>4</v>
      </c>
      <c r="AJ616" s="266">
        <f t="shared" ref="AJ616" si="126">U616*$AJ$3</f>
        <v>0</v>
      </c>
      <c r="AK616" s="264"/>
      <c r="AL616" s="266">
        <f t="shared" ref="AL616" si="127">W616</f>
        <v>4</v>
      </c>
      <c r="AM616" s="266">
        <f t="shared" ref="AM616" si="128">U616*$AM$3</f>
        <v>0</v>
      </c>
    </row>
    <row r="617" spans="1:39" s="267" customFormat="1" x14ac:dyDescent="0.2">
      <c r="A617" s="308"/>
      <c r="B617" s="259"/>
      <c r="C617" s="290"/>
      <c r="D617" s="290"/>
      <c r="E617" s="290"/>
      <c r="F617" s="290"/>
      <c r="G617" s="290"/>
      <c r="H617" s="290"/>
      <c r="I617" s="290"/>
      <c r="J617" s="290"/>
      <c r="K617" s="290"/>
      <c r="L617" s="290"/>
      <c r="M617" s="290"/>
      <c r="N617" s="290"/>
      <c r="O617" s="290"/>
      <c r="P617" s="261"/>
      <c r="Q617" s="262"/>
      <c r="R617" s="435"/>
      <c r="S617" s="264"/>
      <c r="T617" s="266"/>
      <c r="U617" s="211"/>
      <c r="V617" s="264"/>
      <c r="W617" s="211"/>
      <c r="X617" s="211"/>
      <c r="Y617" s="264"/>
      <c r="Z617" s="211"/>
      <c r="AA617" s="211"/>
      <c r="AB617" s="264"/>
      <c r="AC617" s="211"/>
      <c r="AD617" s="211"/>
      <c r="AE617" s="264"/>
      <c r="AF617" s="211"/>
      <c r="AG617" s="211"/>
      <c r="AH617" s="264"/>
      <c r="AI617" s="211"/>
      <c r="AJ617" s="211"/>
      <c r="AK617" s="264"/>
      <c r="AL617" s="211"/>
      <c r="AM617" s="211"/>
    </row>
    <row r="618" spans="1:39" s="267" customFormat="1" x14ac:dyDescent="0.2">
      <c r="A618" s="308"/>
      <c r="B618" s="202" t="s">
        <v>775</v>
      </c>
      <c r="C618" s="290"/>
      <c r="D618" s="290"/>
      <c r="E618" s="290"/>
      <c r="F618" s="290"/>
      <c r="G618" s="290"/>
      <c r="H618" s="290"/>
      <c r="I618" s="290"/>
      <c r="J618" s="290"/>
      <c r="K618" s="290"/>
      <c r="L618" s="290"/>
      <c r="M618" s="290"/>
      <c r="N618" s="290"/>
      <c r="O618" s="290"/>
      <c r="P618" s="261"/>
      <c r="Q618" s="262"/>
      <c r="R618" s="435"/>
      <c r="S618" s="264"/>
      <c r="T618" s="266"/>
      <c r="U618" s="211"/>
      <c r="V618" s="264"/>
      <c r="W618" s="211"/>
      <c r="X618" s="211"/>
      <c r="Y618" s="264"/>
      <c r="Z618" s="211"/>
      <c r="AA618" s="211"/>
      <c r="AB618" s="264"/>
      <c r="AC618" s="211"/>
      <c r="AD618" s="211"/>
      <c r="AE618" s="264"/>
      <c r="AF618" s="211"/>
      <c r="AG618" s="211"/>
      <c r="AH618" s="264"/>
      <c r="AI618" s="211"/>
      <c r="AJ618" s="211"/>
      <c r="AK618" s="264"/>
      <c r="AL618" s="211"/>
      <c r="AM618" s="211"/>
    </row>
    <row r="619" spans="1:39" s="267" customFormat="1" x14ac:dyDescent="0.2">
      <c r="A619" s="308"/>
      <c r="B619" s="202"/>
      <c r="C619" s="290"/>
      <c r="D619" s="290"/>
      <c r="E619" s="290"/>
      <c r="F619" s="290"/>
      <c r="G619" s="290"/>
      <c r="H619" s="290"/>
      <c r="I619" s="290"/>
      <c r="J619" s="290"/>
      <c r="K619" s="290"/>
      <c r="L619" s="290"/>
      <c r="M619" s="290"/>
      <c r="N619" s="290"/>
      <c r="O619" s="290"/>
      <c r="P619" s="261"/>
      <c r="Q619" s="262"/>
      <c r="R619" s="435"/>
      <c r="S619" s="264"/>
      <c r="T619" s="266"/>
      <c r="U619" s="211"/>
      <c r="V619" s="264"/>
      <c r="W619" s="211"/>
      <c r="X619" s="211"/>
      <c r="Y619" s="264"/>
      <c r="Z619" s="211"/>
      <c r="AA619" s="211"/>
      <c r="AB619" s="264"/>
      <c r="AC619" s="211"/>
      <c r="AD619" s="211"/>
      <c r="AE619" s="264"/>
      <c r="AF619" s="211"/>
      <c r="AG619" s="211"/>
      <c r="AH619" s="264"/>
      <c r="AI619" s="211"/>
      <c r="AJ619" s="211"/>
      <c r="AK619" s="264"/>
      <c r="AL619" s="211"/>
      <c r="AM619" s="211"/>
    </row>
    <row r="620" spans="1:39" s="267" customFormat="1" x14ac:dyDescent="0.2">
      <c r="A620" s="350" t="s">
        <v>81</v>
      </c>
      <c r="B620" s="259" t="s">
        <v>243</v>
      </c>
      <c r="C620" s="290">
        <f>(W620+X620)*$C$3</f>
        <v>4</v>
      </c>
      <c r="D620" s="290">
        <f>C620*$Q620</f>
        <v>0</v>
      </c>
      <c r="E620" s="290">
        <f>(Z620+AA620)*$E$3</f>
        <v>5</v>
      </c>
      <c r="F620" s="290">
        <f>E620*$Q620</f>
        <v>0</v>
      </c>
      <c r="G620" s="290">
        <f>(AC620+AD620)*$G$3</f>
        <v>30</v>
      </c>
      <c r="H620" s="290">
        <f>G620*$Q620</f>
        <v>0</v>
      </c>
      <c r="I620" s="290">
        <f>(AF620+AG620)*$I$3</f>
        <v>7</v>
      </c>
      <c r="J620" s="290">
        <f>I620*$Q620</f>
        <v>0</v>
      </c>
      <c r="K620" s="290">
        <f>(AI620+AJ620)*$K$3</f>
        <v>24</v>
      </c>
      <c r="L620" s="290">
        <f>K620*$Q620</f>
        <v>0</v>
      </c>
      <c r="M620" s="290">
        <f>(AL620+AM620)*$M$3</f>
        <v>9</v>
      </c>
      <c r="N620" s="290">
        <f>M620*$Q620</f>
        <v>0</v>
      </c>
      <c r="O620" s="290">
        <f>C620+E620+G620+I620+K620+M620</f>
        <v>79</v>
      </c>
      <c r="P620" s="153" t="s">
        <v>269</v>
      </c>
      <c r="Q620" s="262"/>
      <c r="R620" s="435">
        <f>O620*Q620</f>
        <v>0</v>
      </c>
      <c r="S620" s="264"/>
      <c r="T620" s="266">
        <v>1</v>
      </c>
      <c r="U620" s="266">
        <v>1</v>
      </c>
      <c r="V620" s="264"/>
      <c r="W620" s="266">
        <f>T620*$W$3</f>
        <v>2</v>
      </c>
      <c r="X620" s="266">
        <f>U620*$X$3</f>
        <v>2</v>
      </c>
      <c r="Y620" s="264"/>
      <c r="Z620" s="266">
        <f>W620</f>
        <v>2</v>
      </c>
      <c r="AA620" s="266">
        <f>U620*$AA$3</f>
        <v>3</v>
      </c>
      <c r="AB620" s="264"/>
      <c r="AC620" s="266">
        <f>W620</f>
        <v>2</v>
      </c>
      <c r="AD620" s="266">
        <f>U620*$AD$3</f>
        <v>4</v>
      </c>
      <c r="AE620" s="264"/>
      <c r="AF620" s="266">
        <f>W620</f>
        <v>2</v>
      </c>
      <c r="AG620" s="266">
        <f>U620*$AG$3</f>
        <v>5</v>
      </c>
      <c r="AH620" s="264"/>
      <c r="AI620" s="266">
        <f>W620</f>
        <v>2</v>
      </c>
      <c r="AJ620" s="266">
        <f>U620*$AJ$3</f>
        <v>6</v>
      </c>
      <c r="AK620" s="264"/>
      <c r="AL620" s="266">
        <f>W620</f>
        <v>2</v>
      </c>
      <c r="AM620" s="266">
        <f>U620*$AM$3</f>
        <v>7</v>
      </c>
    </row>
    <row r="621" spans="1:39" s="267" customFormat="1" x14ac:dyDescent="0.2">
      <c r="A621" s="308"/>
      <c r="B621" s="259"/>
      <c r="C621" s="290"/>
      <c r="D621" s="290"/>
      <c r="E621" s="290"/>
      <c r="F621" s="290"/>
      <c r="G621" s="290"/>
      <c r="H621" s="290"/>
      <c r="I621" s="290"/>
      <c r="J621" s="290"/>
      <c r="K621" s="290"/>
      <c r="L621" s="290"/>
      <c r="M621" s="290"/>
      <c r="N621" s="290"/>
      <c r="O621" s="290"/>
      <c r="P621" s="153"/>
      <c r="Q621" s="262"/>
      <c r="R621" s="435"/>
      <c r="S621" s="264"/>
      <c r="T621" s="266"/>
      <c r="U621" s="211"/>
      <c r="V621" s="264"/>
      <c r="W621" s="211"/>
      <c r="X621" s="211"/>
      <c r="Y621" s="264"/>
      <c r="Z621" s="211"/>
      <c r="AA621" s="211"/>
      <c r="AB621" s="264"/>
      <c r="AC621" s="211"/>
      <c r="AD621" s="211"/>
      <c r="AE621" s="264"/>
      <c r="AF621" s="211"/>
      <c r="AG621" s="211"/>
      <c r="AH621" s="264"/>
      <c r="AI621" s="211"/>
      <c r="AJ621" s="211"/>
      <c r="AK621" s="264"/>
      <c r="AL621" s="211"/>
      <c r="AM621" s="211"/>
    </row>
    <row r="622" spans="1:39" s="267" customFormat="1" x14ac:dyDescent="0.2">
      <c r="A622" s="350" t="s">
        <v>82</v>
      </c>
      <c r="B622" s="259" t="s">
        <v>231</v>
      </c>
      <c r="C622" s="290">
        <f>(W622+X622)*$C$3</f>
        <v>4</v>
      </c>
      <c r="D622" s="290">
        <f>C622*$Q622</f>
        <v>0</v>
      </c>
      <c r="E622" s="290">
        <f>(Z622+AA622)*$E$3</f>
        <v>5</v>
      </c>
      <c r="F622" s="290">
        <f>E622*$Q622</f>
        <v>0</v>
      </c>
      <c r="G622" s="290">
        <f>(AC622+AD622)*$G$3</f>
        <v>30</v>
      </c>
      <c r="H622" s="290">
        <f>G622*$Q622</f>
        <v>0</v>
      </c>
      <c r="I622" s="290">
        <f>(AF622+AG622)*$I$3</f>
        <v>7</v>
      </c>
      <c r="J622" s="290">
        <f>I622*$Q622</f>
        <v>0</v>
      </c>
      <c r="K622" s="290">
        <f>(AI622+AJ622)*$K$3</f>
        <v>24</v>
      </c>
      <c r="L622" s="290">
        <f>K622*$Q622</f>
        <v>0</v>
      </c>
      <c r="M622" s="290">
        <f>(AL622+AM622)*$M$3</f>
        <v>9</v>
      </c>
      <c r="N622" s="290">
        <f>M622*$Q622</f>
        <v>0</v>
      </c>
      <c r="O622" s="290">
        <f>C622+E622+G622+I622+K622+M622</f>
        <v>79</v>
      </c>
      <c r="P622" s="153" t="s">
        <v>269</v>
      </c>
      <c r="Q622" s="262"/>
      <c r="R622" s="435">
        <f>O622*Q622</f>
        <v>0</v>
      </c>
      <c r="S622" s="264"/>
      <c r="T622" s="266">
        <v>1</v>
      </c>
      <c r="U622" s="266">
        <v>1</v>
      </c>
      <c r="V622" s="264"/>
      <c r="W622" s="266">
        <f>T622*$W$3</f>
        <v>2</v>
      </c>
      <c r="X622" s="266">
        <f>U622*$X$3</f>
        <v>2</v>
      </c>
      <c r="Y622" s="264"/>
      <c r="Z622" s="266">
        <f>W622</f>
        <v>2</v>
      </c>
      <c r="AA622" s="266">
        <f>U622*$AA$3</f>
        <v>3</v>
      </c>
      <c r="AB622" s="264"/>
      <c r="AC622" s="266">
        <f>W622</f>
        <v>2</v>
      </c>
      <c r="AD622" s="266">
        <f>U622*$AD$3</f>
        <v>4</v>
      </c>
      <c r="AE622" s="264"/>
      <c r="AF622" s="266">
        <f>W622</f>
        <v>2</v>
      </c>
      <c r="AG622" s="266">
        <f>U622*$AG$3</f>
        <v>5</v>
      </c>
      <c r="AH622" s="264"/>
      <c r="AI622" s="266">
        <f>W622</f>
        <v>2</v>
      </c>
      <c r="AJ622" s="266">
        <f>U622*$AJ$3</f>
        <v>6</v>
      </c>
      <c r="AK622" s="264"/>
      <c r="AL622" s="266">
        <f>W622</f>
        <v>2</v>
      </c>
      <c r="AM622" s="266">
        <f>U622*$AM$3</f>
        <v>7</v>
      </c>
    </row>
    <row r="623" spans="1:39" s="267" customFormat="1" x14ac:dyDescent="0.2">
      <c r="A623" s="308"/>
      <c r="B623" s="259"/>
      <c r="C623" s="290"/>
      <c r="D623" s="290"/>
      <c r="E623" s="290"/>
      <c r="F623" s="290"/>
      <c r="G623" s="290"/>
      <c r="H623" s="290"/>
      <c r="I623" s="290"/>
      <c r="J623" s="290"/>
      <c r="K623" s="290"/>
      <c r="L623" s="290"/>
      <c r="M623" s="290"/>
      <c r="N623" s="290"/>
      <c r="O623" s="290"/>
      <c r="P623" s="153"/>
      <c r="Q623" s="262"/>
      <c r="R623" s="435"/>
      <c r="S623" s="264"/>
      <c r="T623" s="266"/>
      <c r="U623" s="211"/>
      <c r="V623" s="264"/>
      <c r="W623" s="211"/>
      <c r="X623" s="211"/>
      <c r="Y623" s="264"/>
      <c r="Z623" s="211"/>
      <c r="AA623" s="211"/>
      <c r="AB623" s="264"/>
      <c r="AC623" s="211"/>
      <c r="AD623" s="211"/>
      <c r="AE623" s="264"/>
      <c r="AF623" s="211"/>
      <c r="AG623" s="211"/>
      <c r="AH623" s="264"/>
      <c r="AI623" s="211"/>
      <c r="AJ623" s="211"/>
      <c r="AK623" s="264"/>
      <c r="AL623" s="211"/>
      <c r="AM623" s="211"/>
    </row>
    <row r="624" spans="1:39" s="267" customFormat="1" x14ac:dyDescent="0.2">
      <c r="A624" s="350" t="s">
        <v>83</v>
      </c>
      <c r="B624" s="259" t="s">
        <v>771</v>
      </c>
      <c r="C624" s="290">
        <f>(W624+X624)*$C$3</f>
        <v>10</v>
      </c>
      <c r="D624" s="290">
        <f>C624*$Q624</f>
        <v>0</v>
      </c>
      <c r="E624" s="290">
        <f>(Z624+AA624)*$E$3</f>
        <v>12</v>
      </c>
      <c r="F624" s="290">
        <f>E624*$Q624</f>
        <v>0</v>
      </c>
      <c r="G624" s="290">
        <f>(AC624+AD624)*$G$3</f>
        <v>70</v>
      </c>
      <c r="H624" s="290">
        <f>G624*$Q624</f>
        <v>0</v>
      </c>
      <c r="I624" s="290">
        <f>(AF624+AG624)*$I$3</f>
        <v>16</v>
      </c>
      <c r="J624" s="290">
        <f>I624*$Q624</f>
        <v>0</v>
      </c>
      <c r="K624" s="290">
        <f>(AI624+AJ624)*$K$3</f>
        <v>54</v>
      </c>
      <c r="L624" s="290">
        <f>K624*$Q624</f>
        <v>0</v>
      </c>
      <c r="M624" s="290">
        <f>(AL624+AM624)*$M$3</f>
        <v>20</v>
      </c>
      <c r="N624" s="290">
        <f>M624*$Q624</f>
        <v>0</v>
      </c>
      <c r="O624" s="290">
        <f>C624+E624+G624+I624+K624+M624</f>
        <v>182</v>
      </c>
      <c r="P624" s="153" t="s">
        <v>269</v>
      </c>
      <c r="Q624" s="262"/>
      <c r="R624" s="435">
        <f>O624*Q624</f>
        <v>0</v>
      </c>
      <c r="S624" s="264"/>
      <c r="T624" s="266">
        <v>3</v>
      </c>
      <c r="U624" s="266">
        <v>2</v>
      </c>
      <c r="V624" s="264"/>
      <c r="W624" s="266">
        <f>T624*$W$3</f>
        <v>6</v>
      </c>
      <c r="X624" s="266">
        <f>U624*$X$3</f>
        <v>4</v>
      </c>
      <c r="Y624" s="264"/>
      <c r="Z624" s="266">
        <f>W624</f>
        <v>6</v>
      </c>
      <c r="AA624" s="266">
        <f>U624*$AA$3</f>
        <v>6</v>
      </c>
      <c r="AB624" s="264"/>
      <c r="AC624" s="266">
        <f>W624</f>
        <v>6</v>
      </c>
      <c r="AD624" s="266">
        <f>U624*$AD$3</f>
        <v>8</v>
      </c>
      <c r="AE624" s="264"/>
      <c r="AF624" s="266">
        <f>W624</f>
        <v>6</v>
      </c>
      <c r="AG624" s="266">
        <f>U624*$AG$3</f>
        <v>10</v>
      </c>
      <c r="AH624" s="264"/>
      <c r="AI624" s="266">
        <f>W624</f>
        <v>6</v>
      </c>
      <c r="AJ624" s="266">
        <f>U624*$AJ$3</f>
        <v>12</v>
      </c>
      <c r="AK624" s="264"/>
      <c r="AL624" s="266">
        <f>W624</f>
        <v>6</v>
      </c>
      <c r="AM624" s="266">
        <f>U624*$AM$3</f>
        <v>14</v>
      </c>
    </row>
    <row r="625" spans="1:39" s="267" customFormat="1" x14ac:dyDescent="0.2">
      <c r="A625" s="308"/>
      <c r="B625" s="259"/>
      <c r="C625" s="290"/>
      <c r="D625" s="290"/>
      <c r="E625" s="290"/>
      <c r="F625" s="290"/>
      <c r="G625" s="290"/>
      <c r="H625" s="290"/>
      <c r="I625" s="290"/>
      <c r="J625" s="290"/>
      <c r="K625" s="290"/>
      <c r="L625" s="290"/>
      <c r="M625" s="290"/>
      <c r="N625" s="290"/>
      <c r="O625" s="290"/>
      <c r="P625" s="153"/>
      <c r="Q625" s="262"/>
      <c r="R625" s="435"/>
      <c r="S625" s="264"/>
      <c r="T625" s="266"/>
      <c r="U625" s="266"/>
      <c r="V625" s="264"/>
      <c r="W625" s="266"/>
      <c r="X625" s="266"/>
      <c r="Y625" s="264"/>
      <c r="Z625" s="266"/>
      <c r="AA625" s="266"/>
      <c r="AB625" s="264"/>
      <c r="AC625" s="266"/>
      <c r="AD625" s="266"/>
      <c r="AE625" s="264"/>
      <c r="AF625" s="266"/>
      <c r="AG625" s="266"/>
      <c r="AH625" s="264"/>
      <c r="AI625" s="266"/>
      <c r="AJ625" s="266"/>
      <c r="AK625" s="264"/>
      <c r="AL625" s="266"/>
      <c r="AM625" s="266"/>
    </row>
    <row r="626" spans="1:39" s="267" customFormat="1" x14ac:dyDescent="0.2">
      <c r="A626" s="293"/>
      <c r="B626" s="293"/>
      <c r="C626" s="293"/>
      <c r="D626" s="293"/>
      <c r="E626" s="293"/>
      <c r="F626" s="293"/>
      <c r="G626" s="293"/>
      <c r="H626" s="293"/>
      <c r="I626" s="293"/>
      <c r="J626" s="293"/>
      <c r="K626" s="293"/>
      <c r="L626" s="293"/>
      <c r="M626" s="293"/>
      <c r="N626" s="293"/>
      <c r="O626" s="293"/>
      <c r="P626" s="479"/>
      <c r="Q626" s="480"/>
      <c r="R626" s="481"/>
      <c r="S626" s="351"/>
      <c r="T626" s="293"/>
      <c r="U626" s="211"/>
      <c r="V626" s="264"/>
      <c r="W626" s="211"/>
      <c r="X626" s="211"/>
      <c r="Y626" s="264"/>
      <c r="Z626" s="211"/>
      <c r="AA626" s="211"/>
      <c r="AB626" s="264"/>
      <c r="AC626" s="211"/>
      <c r="AD626" s="211"/>
      <c r="AE626" s="264"/>
      <c r="AF626" s="211"/>
      <c r="AG626" s="211"/>
      <c r="AH626" s="264"/>
      <c r="AI626" s="211"/>
      <c r="AJ626" s="211"/>
      <c r="AK626" s="264"/>
      <c r="AL626" s="211"/>
      <c r="AM626" s="211"/>
    </row>
    <row r="627" spans="1:39" s="267" customFormat="1" x14ac:dyDescent="0.2">
      <c r="A627" s="375"/>
      <c r="B627" s="376"/>
      <c r="C627" s="377"/>
      <c r="D627" s="377"/>
      <c r="E627" s="377"/>
      <c r="F627" s="377"/>
      <c r="G627" s="377"/>
      <c r="H627" s="377"/>
      <c r="I627" s="377"/>
      <c r="J627" s="377"/>
      <c r="K627" s="377"/>
      <c r="L627" s="377"/>
      <c r="M627" s="377"/>
      <c r="N627" s="377"/>
      <c r="O627" s="377"/>
      <c r="P627" s="377"/>
      <c r="Q627" s="378"/>
      <c r="R627" s="441"/>
      <c r="S627" s="264"/>
      <c r="T627" s="273"/>
      <c r="U627" s="274"/>
      <c r="V627" s="264"/>
      <c r="W627" s="273"/>
      <c r="X627" s="273"/>
      <c r="Y627" s="264"/>
      <c r="Z627" s="273"/>
      <c r="AA627" s="273"/>
      <c r="AB627" s="264"/>
      <c r="AC627" s="273"/>
      <c r="AD627" s="273"/>
      <c r="AE627" s="264"/>
      <c r="AF627" s="273"/>
      <c r="AG627" s="273"/>
      <c r="AH627" s="264"/>
      <c r="AI627" s="273"/>
      <c r="AJ627" s="273"/>
      <c r="AK627" s="264"/>
      <c r="AL627" s="273"/>
      <c r="AM627" s="273"/>
    </row>
    <row r="628" spans="1:39" s="267" customFormat="1" x14ac:dyDescent="0.2">
      <c r="A628" s="380"/>
      <c r="B628" s="320"/>
      <c r="C628" s="430"/>
      <c r="D628" s="309"/>
      <c r="E628" s="309"/>
      <c r="F628" s="309"/>
      <c r="G628" s="309"/>
      <c r="H628" s="309"/>
      <c r="I628" s="309"/>
      <c r="J628" s="309"/>
      <c r="K628" s="309"/>
      <c r="L628" s="309"/>
      <c r="M628" s="309"/>
      <c r="N628" s="309"/>
      <c r="O628" s="309"/>
      <c r="P628" s="171" t="s">
        <v>1</v>
      </c>
      <c r="Q628" s="381" t="s">
        <v>0</v>
      </c>
      <c r="R628" s="435">
        <f>SUM(R581:R626)</f>
        <v>0</v>
      </c>
      <c r="S628" s="276"/>
      <c r="T628" s="266"/>
      <c r="U628" s="277"/>
      <c r="V628" s="264"/>
      <c r="W628" s="266"/>
      <c r="X628" s="266"/>
      <c r="Y628" s="264"/>
      <c r="Z628" s="266"/>
      <c r="AA628" s="266"/>
      <c r="AB628" s="264"/>
      <c r="AC628" s="266"/>
      <c r="AD628" s="266"/>
      <c r="AE628" s="264"/>
      <c r="AF628" s="266"/>
      <c r="AG628" s="266"/>
      <c r="AH628" s="264"/>
      <c r="AI628" s="266"/>
      <c r="AJ628" s="266"/>
      <c r="AK628" s="264"/>
      <c r="AL628" s="266"/>
      <c r="AM628" s="266"/>
    </row>
    <row r="629" spans="1:39" s="267" customFormat="1" x14ac:dyDescent="0.2">
      <c r="A629" s="380"/>
      <c r="B629" s="320"/>
      <c r="C629" s="309"/>
      <c r="D629" s="309"/>
      <c r="E629" s="309"/>
      <c r="F629" s="309"/>
      <c r="G629" s="309"/>
      <c r="H629" s="309"/>
      <c r="I629" s="309"/>
      <c r="J629" s="309"/>
      <c r="K629" s="309"/>
      <c r="L629" s="309"/>
      <c r="M629" s="309"/>
      <c r="N629" s="309"/>
      <c r="O629" s="309"/>
      <c r="P629" s="309"/>
      <c r="Q629" s="294"/>
      <c r="R629" s="458"/>
      <c r="S629" s="264"/>
      <c r="T629" s="278"/>
      <c r="U629" s="279"/>
      <c r="V629" s="264"/>
      <c r="W629" s="278"/>
      <c r="X629" s="278"/>
      <c r="Y629" s="264"/>
      <c r="Z629" s="278"/>
      <c r="AA629" s="278"/>
      <c r="AB629" s="264"/>
      <c r="AC629" s="278"/>
      <c r="AD629" s="278"/>
      <c r="AE629" s="264"/>
      <c r="AF629" s="278"/>
      <c r="AG629" s="278"/>
      <c r="AH629" s="264"/>
      <c r="AI629" s="278"/>
      <c r="AJ629" s="278"/>
      <c r="AK629" s="264"/>
      <c r="AL629" s="278"/>
      <c r="AM629" s="278"/>
    </row>
    <row r="630" spans="1:39" s="267" customFormat="1" x14ac:dyDescent="0.2">
      <c r="A630" s="258"/>
      <c r="B630" s="259"/>
      <c r="C630" s="290"/>
      <c r="D630" s="290"/>
      <c r="E630" s="290"/>
      <c r="F630" s="290"/>
      <c r="G630" s="290"/>
      <c r="H630" s="290"/>
      <c r="I630" s="290"/>
      <c r="J630" s="290"/>
      <c r="K630" s="290"/>
      <c r="L630" s="290"/>
      <c r="M630" s="290"/>
      <c r="N630" s="290"/>
      <c r="O630" s="290"/>
      <c r="P630" s="153"/>
      <c r="Q630" s="262"/>
      <c r="R630" s="435"/>
      <c r="S630" s="264"/>
      <c r="T630" s="266"/>
      <c r="U630" s="211"/>
      <c r="V630" s="264"/>
      <c r="W630" s="211"/>
      <c r="X630" s="211"/>
      <c r="Y630" s="264"/>
      <c r="Z630" s="211"/>
      <c r="AA630" s="211"/>
      <c r="AB630" s="264"/>
      <c r="AC630" s="211"/>
      <c r="AD630" s="211"/>
      <c r="AE630" s="264"/>
      <c r="AF630" s="211"/>
      <c r="AG630" s="211"/>
      <c r="AH630" s="264"/>
      <c r="AI630" s="211"/>
      <c r="AJ630" s="211"/>
      <c r="AK630" s="264"/>
      <c r="AL630" s="211"/>
      <c r="AM630" s="211"/>
    </row>
    <row r="631" spans="1:39" s="267" customFormat="1" x14ac:dyDescent="0.2">
      <c r="A631" s="258"/>
      <c r="B631" s="265" t="s">
        <v>159</v>
      </c>
      <c r="C631" s="290"/>
      <c r="D631" s="290"/>
      <c r="E631" s="290"/>
      <c r="F631" s="290"/>
      <c r="G631" s="290"/>
      <c r="H631" s="290"/>
      <c r="I631" s="290"/>
      <c r="J631" s="290"/>
      <c r="K631" s="290"/>
      <c r="L631" s="290"/>
      <c r="M631" s="290"/>
      <c r="N631" s="290"/>
      <c r="O631" s="290"/>
      <c r="P631" s="261"/>
      <c r="Q631" s="262"/>
      <c r="R631" s="435"/>
      <c r="S631" s="264"/>
      <c r="T631" s="266"/>
      <c r="U631" s="211"/>
      <c r="V631" s="264"/>
      <c r="W631" s="211"/>
      <c r="X631" s="211"/>
      <c r="Y631" s="264"/>
      <c r="Z631" s="211"/>
      <c r="AA631" s="211"/>
      <c r="AB631" s="264"/>
      <c r="AC631" s="211"/>
      <c r="AD631" s="211"/>
      <c r="AE631" s="264"/>
      <c r="AF631" s="211"/>
      <c r="AG631" s="211"/>
      <c r="AH631" s="264"/>
      <c r="AI631" s="211"/>
      <c r="AJ631" s="211"/>
      <c r="AK631" s="264"/>
      <c r="AL631" s="211"/>
      <c r="AM631" s="211"/>
    </row>
    <row r="632" spans="1:39" s="267" customFormat="1" x14ac:dyDescent="0.2">
      <c r="A632" s="258"/>
      <c r="B632" s="356"/>
      <c r="C632" s="290"/>
      <c r="D632" s="290"/>
      <c r="E632" s="290"/>
      <c r="F632" s="290"/>
      <c r="G632" s="290"/>
      <c r="H632" s="290"/>
      <c r="I632" s="290"/>
      <c r="J632" s="290"/>
      <c r="K632" s="290"/>
      <c r="L632" s="290"/>
      <c r="M632" s="290"/>
      <c r="N632" s="290"/>
      <c r="O632" s="290"/>
      <c r="P632" s="261"/>
      <c r="Q632" s="262"/>
      <c r="R632" s="435"/>
      <c r="S632" s="264"/>
      <c r="T632" s="266"/>
      <c r="U632" s="211"/>
      <c r="V632" s="264"/>
      <c r="W632" s="211"/>
      <c r="X632" s="211"/>
      <c r="Y632" s="264"/>
      <c r="Z632" s="211"/>
      <c r="AA632" s="211"/>
      <c r="AB632" s="264"/>
      <c r="AC632" s="211"/>
      <c r="AD632" s="211"/>
      <c r="AE632" s="264"/>
      <c r="AF632" s="211"/>
      <c r="AG632" s="211"/>
      <c r="AH632" s="264"/>
      <c r="AI632" s="211"/>
      <c r="AJ632" s="211"/>
      <c r="AK632" s="264"/>
      <c r="AL632" s="211"/>
      <c r="AM632" s="211"/>
    </row>
    <row r="633" spans="1:39" s="267" customFormat="1" x14ac:dyDescent="0.2">
      <c r="A633" s="258"/>
      <c r="B633" s="293" t="s">
        <v>225</v>
      </c>
      <c r="C633" s="290"/>
      <c r="D633" s="290"/>
      <c r="E633" s="290"/>
      <c r="F633" s="290"/>
      <c r="G633" s="290"/>
      <c r="H633" s="290"/>
      <c r="I633" s="290"/>
      <c r="J633" s="290"/>
      <c r="K633" s="290"/>
      <c r="L633" s="290"/>
      <c r="M633" s="290"/>
      <c r="N633" s="290"/>
      <c r="O633" s="290"/>
      <c r="P633" s="261"/>
      <c r="Q633" s="262"/>
      <c r="R633" s="435"/>
      <c r="S633" s="264"/>
      <c r="T633" s="266"/>
      <c r="U633" s="211"/>
      <c r="V633" s="264"/>
      <c r="W633" s="211"/>
      <c r="X633" s="211"/>
      <c r="Y633" s="264"/>
      <c r="Z633" s="211"/>
      <c r="AA633" s="211"/>
      <c r="AB633" s="264"/>
      <c r="AC633" s="211"/>
      <c r="AD633" s="211"/>
      <c r="AE633" s="264"/>
      <c r="AF633" s="211"/>
      <c r="AG633" s="211"/>
      <c r="AH633" s="264"/>
      <c r="AI633" s="211"/>
      <c r="AJ633" s="211"/>
      <c r="AK633" s="264"/>
      <c r="AL633" s="211"/>
      <c r="AM633" s="211"/>
    </row>
    <row r="634" spans="1:39" s="267" customFormat="1" x14ac:dyDescent="0.2">
      <c r="A634" s="308"/>
      <c r="B634" s="259"/>
      <c r="C634" s="290">
        <f>ROUND(W634*C$3,0)</f>
        <v>0</v>
      </c>
      <c r="D634" s="290">
        <f t="shared" ref="D634" si="129">C634*$Q634</f>
        <v>0</v>
      </c>
      <c r="E634" s="290">
        <f>ROUND(X634*E$3,0)</f>
        <v>0</v>
      </c>
      <c r="F634" s="290">
        <f t="shared" ref="F634" si="130">E634*$Q634</f>
        <v>0</v>
      </c>
      <c r="G634" s="290">
        <f>ROUND(Z634*G$3,0)</f>
        <v>0</v>
      </c>
      <c r="H634" s="290">
        <f t="shared" ref="H634" si="131">G634*$Q634</f>
        <v>0</v>
      </c>
      <c r="I634" s="290"/>
      <c r="J634" s="290"/>
      <c r="K634" s="290"/>
      <c r="L634" s="290"/>
      <c r="M634" s="290"/>
      <c r="N634" s="290"/>
      <c r="O634" s="290"/>
      <c r="P634" s="261"/>
      <c r="Q634" s="262"/>
      <c r="R634" s="435"/>
      <c r="S634" s="264"/>
      <c r="T634" s="266"/>
      <c r="U634" s="211"/>
      <c r="V634" s="264"/>
      <c r="W634" s="211"/>
      <c r="X634" s="211"/>
      <c r="Y634" s="264"/>
      <c r="Z634" s="211"/>
      <c r="AA634" s="211"/>
      <c r="AB634" s="264"/>
      <c r="AC634" s="211"/>
      <c r="AD634" s="211"/>
      <c r="AE634" s="264"/>
      <c r="AF634" s="211"/>
      <c r="AG634" s="211"/>
      <c r="AH634" s="264"/>
      <c r="AI634" s="211"/>
      <c r="AJ634" s="211"/>
      <c r="AK634" s="264"/>
      <c r="AL634" s="211"/>
      <c r="AM634" s="211"/>
    </row>
    <row r="635" spans="1:39" s="267" customFormat="1" x14ac:dyDescent="0.2">
      <c r="A635" s="308"/>
      <c r="B635" s="202" t="s">
        <v>229</v>
      </c>
      <c r="C635" s="290"/>
      <c r="D635" s="290"/>
      <c r="E635" s="290"/>
      <c r="F635" s="290"/>
      <c r="G635" s="290"/>
      <c r="H635" s="290"/>
      <c r="I635" s="290"/>
      <c r="J635" s="290"/>
      <c r="K635" s="290"/>
      <c r="L635" s="290"/>
      <c r="M635" s="290"/>
      <c r="N635" s="290"/>
      <c r="O635" s="290"/>
      <c r="P635" s="261"/>
      <c r="Q635" s="262"/>
      <c r="R635" s="435"/>
      <c r="S635" s="264"/>
      <c r="T635" s="266"/>
      <c r="U635" s="211"/>
      <c r="V635" s="264"/>
      <c r="W635" s="211"/>
      <c r="X635" s="211"/>
      <c r="Y635" s="264"/>
      <c r="Z635" s="211"/>
      <c r="AA635" s="211"/>
      <c r="AB635" s="264"/>
      <c r="AC635" s="211"/>
      <c r="AD635" s="211"/>
      <c r="AE635" s="264"/>
      <c r="AF635" s="211"/>
      <c r="AG635" s="211"/>
      <c r="AH635" s="264"/>
      <c r="AI635" s="211"/>
      <c r="AJ635" s="211"/>
      <c r="AK635" s="264"/>
      <c r="AL635" s="211"/>
      <c r="AM635" s="211"/>
    </row>
    <row r="636" spans="1:39" s="267" customFormat="1" x14ac:dyDescent="0.2">
      <c r="A636" s="308"/>
      <c r="B636" s="202"/>
      <c r="C636" s="290"/>
      <c r="D636" s="290"/>
      <c r="E636" s="290"/>
      <c r="F636" s="290"/>
      <c r="G636" s="290"/>
      <c r="H636" s="290"/>
      <c r="I636" s="290"/>
      <c r="J636" s="290"/>
      <c r="K636" s="290"/>
      <c r="L636" s="290"/>
      <c r="M636" s="290"/>
      <c r="N636" s="290"/>
      <c r="O636" s="290"/>
      <c r="P636" s="261"/>
      <c r="Q636" s="262"/>
      <c r="R636" s="435"/>
      <c r="S636" s="264"/>
      <c r="T636" s="266"/>
      <c r="U636" s="211"/>
      <c r="V636" s="264"/>
      <c r="W636" s="211"/>
      <c r="X636" s="211"/>
      <c r="Y636" s="264"/>
      <c r="Z636" s="211"/>
      <c r="AA636" s="211"/>
      <c r="AB636" s="264"/>
      <c r="AC636" s="211"/>
      <c r="AD636" s="211"/>
      <c r="AE636" s="264"/>
      <c r="AF636" s="211"/>
      <c r="AG636" s="211"/>
      <c r="AH636" s="264"/>
      <c r="AI636" s="211"/>
      <c r="AJ636" s="211"/>
      <c r="AK636" s="264"/>
      <c r="AL636" s="211"/>
      <c r="AM636" s="211"/>
    </row>
    <row r="637" spans="1:39" s="267" customFormat="1" x14ac:dyDescent="0.2">
      <c r="A637" s="308" t="s">
        <v>66</v>
      </c>
      <c r="B637" s="259" t="s">
        <v>230</v>
      </c>
      <c r="C637" s="290">
        <f>(W637+X637)*$C$3</f>
        <v>4</v>
      </c>
      <c r="D637" s="290">
        <f>C637*$Q637</f>
        <v>0</v>
      </c>
      <c r="E637" s="290">
        <f>(Z637+AA637)*$E$3</f>
        <v>5</v>
      </c>
      <c r="F637" s="290">
        <f>E637*$Q637</f>
        <v>0</v>
      </c>
      <c r="G637" s="290">
        <f>(AC637+AD637)*$G$3</f>
        <v>30</v>
      </c>
      <c r="H637" s="290">
        <f>G637*$Q637</f>
        <v>0</v>
      </c>
      <c r="I637" s="290">
        <f>(AF637+AG637)*$I$3</f>
        <v>7</v>
      </c>
      <c r="J637" s="290">
        <f>I637*$Q637</f>
        <v>0</v>
      </c>
      <c r="K637" s="290">
        <f>(AI637+AJ637)*$K$3</f>
        <v>24</v>
      </c>
      <c r="L637" s="290">
        <f>K637*$Q637</f>
        <v>0</v>
      </c>
      <c r="M637" s="290">
        <f>(AL637+AM637)*$M$3</f>
        <v>9</v>
      </c>
      <c r="N637" s="290">
        <f>M637*$Q637</f>
        <v>0</v>
      </c>
      <c r="O637" s="290">
        <f>C637+E637+G637+I637+K637+M637</f>
        <v>79</v>
      </c>
      <c r="P637" s="153" t="s">
        <v>269</v>
      </c>
      <c r="Q637" s="262"/>
      <c r="R637" s="435">
        <f>O637*Q637</f>
        <v>0</v>
      </c>
      <c r="S637" s="264"/>
      <c r="T637" s="266">
        <v>1</v>
      </c>
      <c r="U637" s="266">
        <v>1</v>
      </c>
      <c r="V637" s="264"/>
      <c r="W637" s="266">
        <f>T637*$W$3</f>
        <v>2</v>
      </c>
      <c r="X637" s="266">
        <f>U637*$X$3</f>
        <v>2</v>
      </c>
      <c r="Y637" s="264"/>
      <c r="Z637" s="266">
        <f>W637</f>
        <v>2</v>
      </c>
      <c r="AA637" s="266">
        <f>U637*$AA$3</f>
        <v>3</v>
      </c>
      <c r="AB637" s="264"/>
      <c r="AC637" s="266">
        <f>W637</f>
        <v>2</v>
      </c>
      <c r="AD637" s="266">
        <f>U637*$AD$3</f>
        <v>4</v>
      </c>
      <c r="AE637" s="264"/>
      <c r="AF637" s="266">
        <f>W637</f>
        <v>2</v>
      </c>
      <c r="AG637" s="266">
        <f>U637*$AG$3</f>
        <v>5</v>
      </c>
      <c r="AH637" s="264"/>
      <c r="AI637" s="266">
        <f>W637</f>
        <v>2</v>
      </c>
      <c r="AJ637" s="266">
        <f>U637*$AJ$3</f>
        <v>6</v>
      </c>
      <c r="AK637" s="264"/>
      <c r="AL637" s="266">
        <f>W637</f>
        <v>2</v>
      </c>
      <c r="AM637" s="266">
        <f>U637*$AM$3</f>
        <v>7</v>
      </c>
    </row>
    <row r="638" spans="1:39" s="267" customFormat="1" x14ac:dyDescent="0.2">
      <c r="A638" s="308"/>
      <c r="B638" s="259"/>
      <c r="C638" s="290"/>
      <c r="D638" s="290"/>
      <c r="E638" s="290"/>
      <c r="F638" s="290"/>
      <c r="G638" s="290"/>
      <c r="H638" s="290"/>
      <c r="I638" s="290"/>
      <c r="J638" s="290"/>
      <c r="K638" s="290"/>
      <c r="L638" s="290"/>
      <c r="M638" s="290"/>
      <c r="N638" s="290"/>
      <c r="O638" s="290"/>
      <c r="P638" s="153"/>
      <c r="Q638" s="262"/>
      <c r="R638" s="435"/>
      <c r="S638" s="264"/>
      <c r="T638" s="266"/>
      <c r="U638" s="266"/>
      <c r="V638" s="264"/>
      <c r="W638" s="266"/>
      <c r="X638" s="266"/>
      <c r="Y638" s="264"/>
      <c r="Z638" s="266"/>
      <c r="AA638" s="266"/>
      <c r="AB638" s="264"/>
      <c r="AC638" s="266"/>
      <c r="AD638" s="266"/>
      <c r="AE638" s="264"/>
      <c r="AF638" s="266"/>
      <c r="AG638" s="266"/>
      <c r="AH638" s="264"/>
      <c r="AI638" s="266"/>
      <c r="AJ638" s="266"/>
      <c r="AK638" s="264"/>
      <c r="AL638" s="266"/>
      <c r="AM638" s="266"/>
    </row>
    <row r="639" spans="1:39" s="267" customFormat="1" ht="28.5" x14ac:dyDescent="0.2">
      <c r="A639" s="308"/>
      <c r="B639" s="293" t="s">
        <v>776</v>
      </c>
      <c r="C639" s="290"/>
      <c r="D639" s="290"/>
      <c r="E639" s="290"/>
      <c r="F639" s="290"/>
      <c r="G639" s="290"/>
      <c r="H639" s="290"/>
      <c r="I639" s="290"/>
      <c r="J639" s="290"/>
      <c r="K639" s="290"/>
      <c r="L639" s="290"/>
      <c r="M639" s="290"/>
      <c r="N639" s="290"/>
      <c r="O639" s="290"/>
      <c r="P639" s="153"/>
      <c r="Q639" s="262"/>
      <c r="R639" s="435"/>
      <c r="S639" s="264"/>
      <c r="T639" s="266"/>
      <c r="U639" s="211"/>
      <c r="V639" s="264"/>
      <c r="W639" s="211"/>
      <c r="X639" s="211"/>
      <c r="Y639" s="264"/>
      <c r="Z639" s="211"/>
      <c r="AA639" s="211"/>
      <c r="AB639" s="264"/>
      <c r="AC639" s="211"/>
      <c r="AD639" s="211"/>
      <c r="AE639" s="264"/>
      <c r="AF639" s="211"/>
      <c r="AG639" s="211"/>
      <c r="AH639" s="264"/>
      <c r="AI639" s="211"/>
      <c r="AJ639" s="211"/>
      <c r="AK639" s="264"/>
      <c r="AL639" s="211"/>
      <c r="AM639" s="211"/>
    </row>
    <row r="640" spans="1:39" s="267" customFormat="1" x14ac:dyDescent="0.2">
      <c r="A640" s="258"/>
      <c r="B640" s="293"/>
      <c r="C640" s="290"/>
      <c r="D640" s="290"/>
      <c r="E640" s="290"/>
      <c r="F640" s="290"/>
      <c r="G640" s="290"/>
      <c r="H640" s="290"/>
      <c r="I640" s="290"/>
      <c r="J640" s="290"/>
      <c r="K640" s="290"/>
      <c r="L640" s="290"/>
      <c r="M640" s="290"/>
      <c r="N640" s="290"/>
      <c r="O640" s="290"/>
      <c r="P640" s="153"/>
      <c r="Q640" s="262"/>
      <c r="R640" s="435"/>
      <c r="S640" s="264"/>
      <c r="T640" s="266"/>
      <c r="U640" s="211"/>
      <c r="V640" s="264"/>
      <c r="W640" s="211"/>
      <c r="X640" s="211"/>
      <c r="Y640" s="264"/>
      <c r="Z640" s="211"/>
      <c r="AA640" s="211"/>
      <c r="AB640" s="264"/>
      <c r="AC640" s="211"/>
      <c r="AD640" s="211"/>
      <c r="AE640" s="264"/>
      <c r="AF640" s="211"/>
      <c r="AG640" s="211"/>
      <c r="AH640" s="264"/>
      <c r="AI640" s="211"/>
      <c r="AJ640" s="211"/>
      <c r="AK640" s="264"/>
      <c r="AL640" s="211"/>
      <c r="AM640" s="211"/>
    </row>
    <row r="641" spans="1:39" s="267" customFormat="1" x14ac:dyDescent="0.2">
      <c r="A641" s="258"/>
      <c r="B641" s="293" t="s">
        <v>224</v>
      </c>
      <c r="C641" s="290"/>
      <c r="D641" s="290"/>
      <c r="E641" s="290"/>
      <c r="F641" s="290"/>
      <c r="G641" s="290"/>
      <c r="H641" s="290"/>
      <c r="I641" s="290"/>
      <c r="J641" s="290"/>
      <c r="K641" s="290"/>
      <c r="L641" s="290"/>
      <c r="M641" s="290"/>
      <c r="N641" s="290"/>
      <c r="O641" s="290"/>
      <c r="P641" s="153"/>
      <c r="Q641" s="262"/>
      <c r="R641" s="435"/>
      <c r="S641" s="264"/>
      <c r="T641" s="266"/>
      <c r="U641" s="211"/>
      <c r="V641" s="264"/>
      <c r="W641" s="211"/>
      <c r="X641" s="211"/>
      <c r="Y641" s="264"/>
      <c r="Z641" s="211"/>
      <c r="AA641" s="211"/>
      <c r="AB641" s="264"/>
      <c r="AC641" s="211"/>
      <c r="AD641" s="211"/>
      <c r="AE641" s="264"/>
      <c r="AF641" s="211"/>
      <c r="AG641" s="211"/>
      <c r="AH641" s="264"/>
      <c r="AI641" s="211"/>
      <c r="AJ641" s="211"/>
      <c r="AK641" s="264"/>
      <c r="AL641" s="211"/>
      <c r="AM641" s="211"/>
    </row>
    <row r="642" spans="1:39" s="267" customFormat="1" x14ac:dyDescent="0.2">
      <c r="A642" s="308"/>
      <c r="B642" s="293"/>
      <c r="C642" s="290"/>
      <c r="D642" s="290"/>
      <c r="E642" s="290"/>
      <c r="F642" s="290"/>
      <c r="G642" s="290"/>
      <c r="H642" s="290"/>
      <c r="I642" s="290"/>
      <c r="J642" s="290"/>
      <c r="K642" s="290"/>
      <c r="L642" s="290"/>
      <c r="M642" s="290"/>
      <c r="N642" s="290"/>
      <c r="O642" s="290"/>
      <c r="P642" s="261"/>
      <c r="Q642" s="262"/>
      <c r="R642" s="435"/>
      <c r="S642" s="264"/>
      <c r="T642" s="266"/>
      <c r="U642" s="211"/>
      <c r="V642" s="264"/>
      <c r="W642" s="211"/>
      <c r="X642" s="211"/>
      <c r="Y642" s="264"/>
      <c r="Z642" s="211"/>
      <c r="AA642" s="211"/>
      <c r="AB642" s="264"/>
      <c r="AC642" s="211"/>
      <c r="AD642" s="211"/>
      <c r="AE642" s="264"/>
      <c r="AF642" s="211"/>
      <c r="AG642" s="211"/>
      <c r="AH642" s="264"/>
      <c r="AI642" s="211"/>
      <c r="AJ642" s="211"/>
      <c r="AK642" s="264"/>
      <c r="AL642" s="211"/>
      <c r="AM642" s="211"/>
    </row>
    <row r="643" spans="1:39" s="267" customFormat="1" x14ac:dyDescent="0.2">
      <c r="A643" s="308" t="s">
        <v>67</v>
      </c>
      <c r="B643" s="259" t="s">
        <v>777</v>
      </c>
      <c r="C643" s="290">
        <f>(W643+X643)*$C$3</f>
        <v>10</v>
      </c>
      <c r="D643" s="290">
        <f>C643*$Q643</f>
        <v>0</v>
      </c>
      <c r="E643" s="290">
        <f>(Z643+AA643)*$E$3</f>
        <v>13</v>
      </c>
      <c r="F643" s="290">
        <f>E643*$Q643</f>
        <v>0</v>
      </c>
      <c r="G643" s="290">
        <f>(AC643+AD643)*$G$3</f>
        <v>80</v>
      </c>
      <c r="H643" s="290">
        <f>G643*$Q643</f>
        <v>0</v>
      </c>
      <c r="I643" s="290">
        <f>(AF643+AG643)*$I$3</f>
        <v>19</v>
      </c>
      <c r="J643" s="290">
        <f>I643*$Q643</f>
        <v>0</v>
      </c>
      <c r="K643" s="290">
        <f>(AI643+AJ643)*$K$3</f>
        <v>66</v>
      </c>
      <c r="L643" s="290">
        <f>K643*$Q643</f>
        <v>0</v>
      </c>
      <c r="M643" s="290">
        <f>(AL643+AM643)*$M$3</f>
        <v>25</v>
      </c>
      <c r="N643" s="290">
        <f>M643*$Q643</f>
        <v>0</v>
      </c>
      <c r="O643" s="290">
        <f>C643+E643+G643+I643+K643+M643</f>
        <v>213</v>
      </c>
      <c r="P643" s="153" t="s">
        <v>269</v>
      </c>
      <c r="Q643" s="262"/>
      <c r="R643" s="435">
        <f>O643*Q643</f>
        <v>0</v>
      </c>
      <c r="S643" s="264"/>
      <c r="T643" s="266">
        <v>2</v>
      </c>
      <c r="U643" s="266">
        <v>3</v>
      </c>
      <c r="V643" s="264"/>
      <c r="W643" s="266">
        <f>T643*$W$3</f>
        <v>4</v>
      </c>
      <c r="X643" s="266">
        <f>U643*$X$3</f>
        <v>6</v>
      </c>
      <c r="Y643" s="264"/>
      <c r="Z643" s="266">
        <f>W643</f>
        <v>4</v>
      </c>
      <c r="AA643" s="266">
        <f>U643*$AA$3</f>
        <v>9</v>
      </c>
      <c r="AB643" s="264"/>
      <c r="AC643" s="266">
        <f>W643</f>
        <v>4</v>
      </c>
      <c r="AD643" s="266">
        <f>U643*$AD$3</f>
        <v>12</v>
      </c>
      <c r="AE643" s="264"/>
      <c r="AF643" s="266">
        <f>W643</f>
        <v>4</v>
      </c>
      <c r="AG643" s="266">
        <f>U643*$AG$3</f>
        <v>15</v>
      </c>
      <c r="AH643" s="264"/>
      <c r="AI643" s="266">
        <f>W643</f>
        <v>4</v>
      </c>
      <c r="AJ643" s="266">
        <f>U643*$AJ$3</f>
        <v>18</v>
      </c>
      <c r="AK643" s="264"/>
      <c r="AL643" s="266">
        <f>W643</f>
        <v>4</v>
      </c>
      <c r="AM643" s="266">
        <f>U643*$AM$3</f>
        <v>21</v>
      </c>
    </row>
    <row r="644" spans="1:39" s="267" customFormat="1" x14ac:dyDescent="0.2">
      <c r="A644" s="308"/>
      <c r="B644" s="206"/>
      <c r="C644" s="290"/>
      <c r="D644" s="290"/>
      <c r="E644" s="290"/>
      <c r="F644" s="290"/>
      <c r="G644" s="290"/>
      <c r="H644" s="290"/>
      <c r="I644" s="290"/>
      <c r="J644" s="290"/>
      <c r="K644" s="290"/>
      <c r="L644" s="290"/>
      <c r="M644" s="290"/>
      <c r="N644" s="290"/>
      <c r="O644" s="290"/>
      <c r="P644" s="261"/>
      <c r="Q644" s="262"/>
      <c r="R644" s="435"/>
      <c r="S644" s="264"/>
      <c r="T644" s="266"/>
      <c r="U644" s="211"/>
      <c r="V644" s="264"/>
      <c r="W644" s="211"/>
      <c r="X644" s="211"/>
      <c r="Y644" s="264"/>
      <c r="Z644" s="211"/>
      <c r="AA644" s="211"/>
      <c r="AB644" s="264"/>
      <c r="AC644" s="211"/>
      <c r="AD644" s="211"/>
      <c r="AE644" s="264"/>
      <c r="AF644" s="211"/>
      <c r="AG644" s="211"/>
      <c r="AH644" s="264"/>
      <c r="AI644" s="211"/>
      <c r="AJ644" s="211"/>
      <c r="AK644" s="264"/>
      <c r="AL644" s="211"/>
      <c r="AM644" s="211"/>
    </row>
    <row r="645" spans="1:39" s="267" customFormat="1" x14ac:dyDescent="0.2">
      <c r="A645" s="308" t="s">
        <v>68</v>
      </c>
      <c r="B645" s="259" t="s">
        <v>778</v>
      </c>
      <c r="C645" s="290">
        <f>(W645+X645)*$C$3</f>
        <v>18</v>
      </c>
      <c r="D645" s="290">
        <f>C645*$Q645</f>
        <v>0</v>
      </c>
      <c r="E645" s="290">
        <f>(Z645+AA645)*$E$3</f>
        <v>22</v>
      </c>
      <c r="F645" s="290">
        <f>E645*$Q645</f>
        <v>0</v>
      </c>
      <c r="G645" s="290">
        <f>(AC645+AD645)*$G$3</f>
        <v>130</v>
      </c>
      <c r="H645" s="290">
        <f>G645*$Q645</f>
        <v>0</v>
      </c>
      <c r="I645" s="290">
        <f>(AF645+AG645)*$I$3</f>
        <v>30</v>
      </c>
      <c r="J645" s="290">
        <f>I645*$Q645</f>
        <v>0</v>
      </c>
      <c r="K645" s="290">
        <f>(AI645+AJ645)*$K$3</f>
        <v>102</v>
      </c>
      <c r="L645" s="290">
        <f>K645*$Q645</f>
        <v>0</v>
      </c>
      <c r="M645" s="290">
        <f>(AL645+AM645)*$M$3</f>
        <v>38</v>
      </c>
      <c r="N645" s="290">
        <f>M645*$Q645</f>
        <v>0</v>
      </c>
      <c r="O645" s="290">
        <f>C645+E645+G645+I645+K645+M645</f>
        <v>340</v>
      </c>
      <c r="P645" s="153" t="s">
        <v>269</v>
      </c>
      <c r="Q645" s="262"/>
      <c r="R645" s="435">
        <f>O645*Q645</f>
        <v>0</v>
      </c>
      <c r="S645" s="264"/>
      <c r="T645" s="266">
        <v>5</v>
      </c>
      <c r="U645" s="266">
        <v>4</v>
      </c>
      <c r="V645" s="264"/>
      <c r="W645" s="266">
        <f>T645*$W$3</f>
        <v>10</v>
      </c>
      <c r="X645" s="266">
        <f>U645*$X$3</f>
        <v>8</v>
      </c>
      <c r="Y645" s="264"/>
      <c r="Z645" s="266">
        <f>W645</f>
        <v>10</v>
      </c>
      <c r="AA645" s="266">
        <f>U645*$AA$3</f>
        <v>12</v>
      </c>
      <c r="AB645" s="264"/>
      <c r="AC645" s="266">
        <f>W645</f>
        <v>10</v>
      </c>
      <c r="AD645" s="266">
        <f>U645*$AD$3</f>
        <v>16</v>
      </c>
      <c r="AE645" s="264"/>
      <c r="AF645" s="266">
        <f>W645</f>
        <v>10</v>
      </c>
      <c r="AG645" s="266">
        <f>U645*$AG$3</f>
        <v>20</v>
      </c>
      <c r="AH645" s="264"/>
      <c r="AI645" s="266">
        <f>W645</f>
        <v>10</v>
      </c>
      <c r="AJ645" s="266">
        <f>U645*$AJ$3</f>
        <v>24</v>
      </c>
      <c r="AK645" s="264"/>
      <c r="AL645" s="266">
        <f>W645</f>
        <v>10</v>
      </c>
      <c r="AM645" s="266">
        <f>U645*$AM$3</f>
        <v>28</v>
      </c>
    </row>
    <row r="646" spans="1:39" s="267" customFormat="1" x14ac:dyDescent="0.2">
      <c r="A646" s="308"/>
      <c r="B646" s="259"/>
      <c r="C646" s="290"/>
      <c r="D646" s="290"/>
      <c r="E646" s="290"/>
      <c r="F646" s="290"/>
      <c r="G646" s="290"/>
      <c r="H646" s="290"/>
      <c r="I646" s="290"/>
      <c r="J646" s="290"/>
      <c r="K646" s="290"/>
      <c r="L646" s="290"/>
      <c r="M646" s="290"/>
      <c r="N646" s="290"/>
      <c r="O646" s="290"/>
      <c r="P646" s="153"/>
      <c r="Q646" s="262"/>
      <c r="R646" s="435"/>
      <c r="S646" s="264"/>
      <c r="T646" s="266"/>
      <c r="U646" s="211"/>
      <c r="V646" s="264"/>
      <c r="W646" s="211"/>
      <c r="X646" s="211"/>
      <c r="Y646" s="264"/>
      <c r="Z646" s="211"/>
      <c r="AA646" s="211"/>
      <c r="AB646" s="264"/>
      <c r="AC646" s="211"/>
      <c r="AD646" s="211"/>
      <c r="AE646" s="264"/>
      <c r="AF646" s="211"/>
      <c r="AG646" s="211"/>
      <c r="AH646" s="264"/>
      <c r="AI646" s="211"/>
      <c r="AJ646" s="211"/>
      <c r="AK646" s="264"/>
      <c r="AL646" s="211"/>
      <c r="AM646" s="211"/>
    </row>
    <row r="647" spans="1:39" s="267" customFormat="1" x14ac:dyDescent="0.2">
      <c r="A647" s="308"/>
      <c r="B647" s="293" t="s">
        <v>227</v>
      </c>
      <c r="C647" s="290"/>
      <c r="D647" s="290"/>
      <c r="E647" s="290"/>
      <c r="F647" s="290"/>
      <c r="G647" s="290"/>
      <c r="H647" s="290"/>
      <c r="I647" s="290"/>
      <c r="J647" s="290"/>
      <c r="K647" s="290"/>
      <c r="L647" s="290"/>
      <c r="M647" s="290"/>
      <c r="N647" s="290"/>
      <c r="O647" s="290"/>
      <c r="P647" s="153"/>
      <c r="Q647" s="262"/>
      <c r="R647" s="435"/>
      <c r="S647" s="264"/>
      <c r="T647" s="266"/>
      <c r="U647" s="211"/>
      <c r="V647" s="264"/>
      <c r="W647" s="211"/>
      <c r="X647" s="211"/>
      <c r="Y647" s="264"/>
      <c r="Z647" s="211"/>
      <c r="AA647" s="211"/>
      <c r="AB647" s="264"/>
      <c r="AC647" s="211"/>
      <c r="AD647" s="211"/>
      <c r="AE647" s="264"/>
      <c r="AF647" s="211"/>
      <c r="AG647" s="211"/>
      <c r="AH647" s="264"/>
      <c r="AI647" s="211"/>
      <c r="AJ647" s="211"/>
      <c r="AK647" s="264"/>
      <c r="AL647" s="211"/>
      <c r="AM647" s="211"/>
    </row>
    <row r="648" spans="1:39" s="267" customFormat="1" x14ac:dyDescent="0.2">
      <c r="A648" s="308"/>
      <c r="B648" s="259"/>
      <c r="C648" s="290"/>
      <c r="D648" s="290"/>
      <c r="E648" s="290"/>
      <c r="F648" s="290"/>
      <c r="G648" s="290"/>
      <c r="H648" s="290"/>
      <c r="I648" s="290"/>
      <c r="J648" s="290"/>
      <c r="K648" s="290"/>
      <c r="L648" s="290"/>
      <c r="M648" s="290"/>
      <c r="N648" s="290"/>
      <c r="O648" s="290"/>
      <c r="P648" s="261"/>
      <c r="Q648" s="262"/>
      <c r="R648" s="435"/>
      <c r="S648" s="264"/>
      <c r="T648" s="266"/>
      <c r="U648" s="211"/>
      <c r="V648" s="264"/>
      <c r="W648" s="211"/>
      <c r="X648" s="211"/>
      <c r="Y648" s="264"/>
      <c r="Z648" s="211"/>
      <c r="AA648" s="211"/>
      <c r="AB648" s="264"/>
      <c r="AC648" s="211"/>
      <c r="AD648" s="211"/>
      <c r="AE648" s="264"/>
      <c r="AF648" s="211"/>
      <c r="AG648" s="211"/>
      <c r="AH648" s="264"/>
      <c r="AI648" s="211"/>
      <c r="AJ648" s="211"/>
      <c r="AK648" s="264"/>
      <c r="AL648" s="211"/>
      <c r="AM648" s="211"/>
    </row>
    <row r="649" spans="1:39" s="267" customFormat="1" x14ac:dyDescent="0.2">
      <c r="A649" s="308" t="s">
        <v>69</v>
      </c>
      <c r="B649" s="259" t="s">
        <v>779</v>
      </c>
      <c r="C649" s="290">
        <f>(W649+X649)*$C$3</f>
        <v>4</v>
      </c>
      <c r="D649" s="290">
        <f>C649*$Q649</f>
        <v>0</v>
      </c>
      <c r="E649" s="290">
        <f>(Z649+AA649)*$E$3</f>
        <v>5</v>
      </c>
      <c r="F649" s="290">
        <f>E649*$Q649</f>
        <v>0</v>
      </c>
      <c r="G649" s="290">
        <f>(AC649+AD649)*$G$3</f>
        <v>30</v>
      </c>
      <c r="H649" s="290">
        <f>G649*$Q649</f>
        <v>0</v>
      </c>
      <c r="I649" s="290">
        <f>(AF649+AG649)*$I$3</f>
        <v>7</v>
      </c>
      <c r="J649" s="290">
        <f>I649*$Q649</f>
        <v>0</v>
      </c>
      <c r="K649" s="290">
        <f>(AI649+AJ649)*$K$3</f>
        <v>24</v>
      </c>
      <c r="L649" s="290">
        <f>K649*$Q649</f>
        <v>0</v>
      </c>
      <c r="M649" s="290">
        <f>(AL649+AM649)*$M$3</f>
        <v>9</v>
      </c>
      <c r="N649" s="290">
        <f>M649*$Q649</f>
        <v>0</v>
      </c>
      <c r="O649" s="290">
        <f>C649+E649+G649+I649+K649+M649</f>
        <v>79</v>
      </c>
      <c r="P649" s="153" t="s">
        <v>269</v>
      </c>
      <c r="Q649" s="262"/>
      <c r="R649" s="435">
        <f>O649*Q649</f>
        <v>0</v>
      </c>
      <c r="S649" s="264"/>
      <c r="T649" s="266">
        <v>1</v>
      </c>
      <c r="U649" s="266">
        <v>1</v>
      </c>
      <c r="V649" s="264"/>
      <c r="W649" s="266">
        <f>T649*$W$3</f>
        <v>2</v>
      </c>
      <c r="X649" s="266">
        <f>U649*$X$3</f>
        <v>2</v>
      </c>
      <c r="Y649" s="264"/>
      <c r="Z649" s="266">
        <f>W649</f>
        <v>2</v>
      </c>
      <c r="AA649" s="266">
        <f>U649*$AA$3</f>
        <v>3</v>
      </c>
      <c r="AB649" s="264"/>
      <c r="AC649" s="266">
        <f>W649</f>
        <v>2</v>
      </c>
      <c r="AD649" s="266">
        <f>U649*$AD$3</f>
        <v>4</v>
      </c>
      <c r="AE649" s="264"/>
      <c r="AF649" s="266">
        <f>W649</f>
        <v>2</v>
      </c>
      <c r="AG649" s="266">
        <f>U649*$AG$3</f>
        <v>5</v>
      </c>
      <c r="AH649" s="264"/>
      <c r="AI649" s="266">
        <f>W649</f>
        <v>2</v>
      </c>
      <c r="AJ649" s="266">
        <f>U649*$AJ$3</f>
        <v>6</v>
      </c>
      <c r="AK649" s="264"/>
      <c r="AL649" s="266">
        <f>W649</f>
        <v>2</v>
      </c>
      <c r="AM649" s="266">
        <f>U649*$AM$3</f>
        <v>7</v>
      </c>
    </row>
    <row r="650" spans="1:39" s="267" customFormat="1" x14ac:dyDescent="0.2">
      <c r="A650" s="308"/>
      <c r="B650" s="259"/>
      <c r="C650" s="290"/>
      <c r="D650" s="290"/>
      <c r="E650" s="290"/>
      <c r="F650" s="290"/>
      <c r="G650" s="290"/>
      <c r="H650" s="290"/>
      <c r="I650" s="290"/>
      <c r="J650" s="290"/>
      <c r="K650" s="290"/>
      <c r="L650" s="290"/>
      <c r="M650" s="290"/>
      <c r="N650" s="290"/>
      <c r="O650" s="290"/>
      <c r="P650" s="153"/>
      <c r="Q650" s="262"/>
      <c r="R650" s="435"/>
      <c r="S650" s="264"/>
      <c r="T650" s="266"/>
      <c r="U650" s="211"/>
      <c r="V650" s="264"/>
      <c r="W650" s="211"/>
      <c r="X650" s="211"/>
      <c r="Y650" s="264"/>
      <c r="Z650" s="211"/>
      <c r="AA650" s="211"/>
      <c r="AB650" s="264"/>
      <c r="AC650" s="211"/>
      <c r="AD650" s="211"/>
      <c r="AE650" s="264"/>
      <c r="AF650" s="211"/>
      <c r="AG650" s="211"/>
      <c r="AH650" s="264"/>
      <c r="AI650" s="211"/>
      <c r="AJ650" s="211"/>
      <c r="AK650" s="264"/>
      <c r="AL650" s="211"/>
      <c r="AM650" s="211"/>
    </row>
    <row r="651" spans="1:39" s="267" customFormat="1" x14ac:dyDescent="0.2">
      <c r="A651" s="308"/>
      <c r="B651" s="293" t="s">
        <v>226</v>
      </c>
      <c r="C651" s="290"/>
      <c r="D651" s="290"/>
      <c r="E651" s="290"/>
      <c r="F651" s="290"/>
      <c r="G651" s="290"/>
      <c r="H651" s="290"/>
      <c r="I651" s="290"/>
      <c r="J651" s="290"/>
      <c r="K651" s="290"/>
      <c r="L651" s="290"/>
      <c r="M651" s="290"/>
      <c r="N651" s="290"/>
      <c r="O651" s="290"/>
      <c r="P651" s="153"/>
      <c r="Q651" s="262"/>
      <c r="R651" s="435"/>
      <c r="S651" s="264"/>
      <c r="T651" s="266"/>
      <c r="U651" s="211"/>
      <c r="V651" s="264"/>
      <c r="W651" s="211"/>
      <c r="X651" s="211"/>
      <c r="Y651" s="264"/>
      <c r="Z651" s="211"/>
      <c r="AA651" s="211"/>
      <c r="AB651" s="264"/>
      <c r="AC651" s="211"/>
      <c r="AD651" s="211"/>
      <c r="AE651" s="264"/>
      <c r="AF651" s="211"/>
      <c r="AG651" s="211"/>
      <c r="AH651" s="264"/>
      <c r="AI651" s="211"/>
      <c r="AJ651" s="211"/>
      <c r="AK651" s="264"/>
      <c r="AL651" s="211"/>
      <c r="AM651" s="211"/>
    </row>
    <row r="652" spans="1:39" s="267" customFormat="1" x14ac:dyDescent="0.2">
      <c r="A652" s="308"/>
      <c r="B652" s="259"/>
      <c r="C652" s="290"/>
      <c r="D652" s="290"/>
      <c r="E652" s="290"/>
      <c r="F652" s="290"/>
      <c r="G652" s="290"/>
      <c r="H652" s="290"/>
      <c r="I652" s="290"/>
      <c r="J652" s="290"/>
      <c r="K652" s="290"/>
      <c r="L652" s="290"/>
      <c r="M652" s="290"/>
      <c r="N652" s="290"/>
      <c r="O652" s="290"/>
      <c r="P652" s="261"/>
      <c r="Q652" s="262"/>
      <c r="R652" s="435"/>
      <c r="S652" s="264"/>
      <c r="T652" s="266"/>
      <c r="U652" s="211"/>
      <c r="V652" s="264"/>
      <c r="W652" s="211"/>
      <c r="X652" s="211"/>
      <c r="Y652" s="264"/>
      <c r="Z652" s="211"/>
      <c r="AA652" s="211"/>
      <c r="AB652" s="264"/>
      <c r="AC652" s="211"/>
      <c r="AD652" s="211"/>
      <c r="AE652" s="264"/>
      <c r="AF652" s="211"/>
      <c r="AG652" s="211"/>
      <c r="AH652" s="264"/>
      <c r="AI652" s="211"/>
      <c r="AJ652" s="211"/>
      <c r="AK652" s="264"/>
      <c r="AL652" s="211"/>
      <c r="AM652" s="211"/>
    </row>
    <row r="653" spans="1:39" s="267" customFormat="1" x14ac:dyDescent="0.2">
      <c r="A653" s="308" t="s">
        <v>70</v>
      </c>
      <c r="B653" s="259" t="s">
        <v>779</v>
      </c>
      <c r="C653" s="290">
        <f>(W653+X653)*$C$3</f>
        <v>4</v>
      </c>
      <c r="D653" s="290">
        <f>C653*$Q653</f>
        <v>0</v>
      </c>
      <c r="E653" s="290">
        <f>(Z653+AA653)*$E$3</f>
        <v>5</v>
      </c>
      <c r="F653" s="290">
        <f>E653*$Q653</f>
        <v>0</v>
      </c>
      <c r="G653" s="290">
        <f>(AC653+AD653)*$G$3</f>
        <v>30</v>
      </c>
      <c r="H653" s="290">
        <f>G653*$Q653</f>
        <v>0</v>
      </c>
      <c r="I653" s="290">
        <f>(AF653+AG653)*$I$3</f>
        <v>7</v>
      </c>
      <c r="J653" s="290">
        <f>I653*$Q653</f>
        <v>0</v>
      </c>
      <c r="K653" s="290">
        <f>(AI653+AJ653)*$K$3</f>
        <v>24</v>
      </c>
      <c r="L653" s="290">
        <f>K653*$Q653</f>
        <v>0</v>
      </c>
      <c r="M653" s="290">
        <f>(AL653+AM653)*$M$3</f>
        <v>9</v>
      </c>
      <c r="N653" s="290">
        <f>M653*$Q653</f>
        <v>0</v>
      </c>
      <c r="O653" s="290">
        <f>C653+E653+G653+I653+K653+M653</f>
        <v>79</v>
      </c>
      <c r="P653" s="153" t="s">
        <v>269</v>
      </c>
      <c r="Q653" s="262"/>
      <c r="R653" s="435">
        <f>O653*Q653</f>
        <v>0</v>
      </c>
      <c r="S653" s="264"/>
      <c r="T653" s="266">
        <v>1</v>
      </c>
      <c r="U653" s="266">
        <v>1</v>
      </c>
      <c r="V653" s="264"/>
      <c r="W653" s="266">
        <f>T653*$W$3</f>
        <v>2</v>
      </c>
      <c r="X653" s="266">
        <f>U653*$X$3</f>
        <v>2</v>
      </c>
      <c r="Y653" s="264"/>
      <c r="Z653" s="266">
        <f>W653</f>
        <v>2</v>
      </c>
      <c r="AA653" s="266">
        <f>U653*$AA$3</f>
        <v>3</v>
      </c>
      <c r="AB653" s="264"/>
      <c r="AC653" s="266">
        <f>W653</f>
        <v>2</v>
      </c>
      <c r="AD653" s="266">
        <f>U653*$AD$3</f>
        <v>4</v>
      </c>
      <c r="AE653" s="264"/>
      <c r="AF653" s="266">
        <f>W653</f>
        <v>2</v>
      </c>
      <c r="AG653" s="266">
        <f>U653*$AG$3</f>
        <v>5</v>
      </c>
      <c r="AH653" s="264"/>
      <c r="AI653" s="266">
        <f>W653</f>
        <v>2</v>
      </c>
      <c r="AJ653" s="266">
        <f>U653*$AJ$3</f>
        <v>6</v>
      </c>
      <c r="AK653" s="264"/>
      <c r="AL653" s="266">
        <f>W653</f>
        <v>2</v>
      </c>
      <c r="AM653" s="266">
        <f>U653*$AM$3</f>
        <v>7</v>
      </c>
    </row>
    <row r="654" spans="1:39" s="267" customFormat="1" x14ac:dyDescent="0.2">
      <c r="A654" s="258"/>
      <c r="B654" s="259"/>
      <c r="C654" s="290"/>
      <c r="D654" s="290"/>
      <c r="E654" s="290"/>
      <c r="F654" s="290"/>
      <c r="G654" s="290"/>
      <c r="H654" s="290"/>
      <c r="I654" s="290"/>
      <c r="J654" s="290"/>
      <c r="K654" s="290"/>
      <c r="L654" s="290"/>
      <c r="M654" s="290"/>
      <c r="N654" s="290"/>
      <c r="O654" s="290"/>
      <c r="P654" s="153"/>
      <c r="Q654" s="262"/>
      <c r="R654" s="435"/>
      <c r="S654" s="264"/>
      <c r="T654" s="266"/>
      <c r="U654" s="211"/>
      <c r="V654" s="264"/>
      <c r="W654" s="211"/>
      <c r="X654" s="211"/>
      <c r="Y654" s="264"/>
      <c r="Z654" s="211"/>
      <c r="AA654" s="211"/>
      <c r="AB654" s="264"/>
      <c r="AC654" s="211"/>
      <c r="AD654" s="211"/>
      <c r="AE654" s="264"/>
      <c r="AF654" s="211"/>
      <c r="AG654" s="211"/>
      <c r="AH654" s="264"/>
      <c r="AI654" s="211"/>
      <c r="AJ654" s="211"/>
      <c r="AK654" s="264"/>
      <c r="AL654" s="211"/>
      <c r="AM654" s="211"/>
    </row>
    <row r="655" spans="1:39" s="333" customFormat="1" x14ac:dyDescent="0.2">
      <c r="A655" s="465"/>
      <c r="B655" s="293" t="s">
        <v>780</v>
      </c>
      <c r="C655" s="466"/>
      <c r="D655" s="466"/>
      <c r="E655" s="466"/>
      <c r="F655" s="466"/>
      <c r="G655" s="466"/>
      <c r="H655" s="466"/>
      <c r="I655" s="290"/>
      <c r="J655" s="290"/>
      <c r="K655" s="290"/>
      <c r="L655" s="290"/>
      <c r="M655" s="290"/>
      <c r="N655" s="290"/>
      <c r="O655" s="290"/>
      <c r="P655" s="352"/>
      <c r="Q655" s="468"/>
      <c r="R655" s="469"/>
      <c r="S655" s="331"/>
      <c r="T655" s="332"/>
      <c r="U655" s="211"/>
      <c r="V655" s="331"/>
      <c r="W655" s="211"/>
      <c r="X655" s="211"/>
      <c r="Y655" s="331"/>
      <c r="Z655" s="211"/>
      <c r="AA655" s="211"/>
      <c r="AB655" s="331"/>
      <c r="AC655" s="211"/>
      <c r="AD655" s="211"/>
      <c r="AE655" s="331"/>
      <c r="AF655" s="211"/>
      <c r="AG655" s="211"/>
      <c r="AH655" s="331"/>
      <c r="AI655" s="211"/>
      <c r="AJ655" s="211"/>
      <c r="AK655" s="331"/>
      <c r="AL655" s="211"/>
      <c r="AM655" s="211"/>
    </row>
    <row r="656" spans="1:39" s="267" customFormat="1" x14ac:dyDescent="0.2">
      <c r="A656" s="308"/>
      <c r="B656" s="259"/>
      <c r="C656" s="290">
        <f>ROUND(W656*C$3,0)</f>
        <v>0</v>
      </c>
      <c r="D656" s="290">
        <f t="shared" ref="D656:D662" si="132">C656*$Q656</f>
        <v>0</v>
      </c>
      <c r="E656" s="290">
        <f>ROUND(X656*E$3,0)</f>
        <v>0</v>
      </c>
      <c r="F656" s="290">
        <f t="shared" ref="F656:F662" si="133">E656*$Q656</f>
        <v>0</v>
      </c>
      <c r="G656" s="290">
        <f>ROUND(Z656*G$3,0)</f>
        <v>0</v>
      </c>
      <c r="H656" s="290">
        <f t="shared" ref="H656:H662" si="134">G656*$Q656</f>
        <v>0</v>
      </c>
      <c r="I656" s="290"/>
      <c r="J656" s="290"/>
      <c r="K656" s="290"/>
      <c r="L656" s="290"/>
      <c r="M656" s="290"/>
      <c r="N656" s="290"/>
      <c r="O656" s="290"/>
      <c r="P656" s="261"/>
      <c r="Q656" s="262"/>
      <c r="R656" s="435"/>
      <c r="S656" s="264"/>
      <c r="T656" s="266"/>
      <c r="U656" s="211"/>
      <c r="V656" s="264"/>
      <c r="W656" s="211"/>
      <c r="X656" s="211"/>
      <c r="Y656" s="264"/>
      <c r="Z656" s="211"/>
      <c r="AA656" s="211"/>
      <c r="AB656" s="264"/>
      <c r="AC656" s="211"/>
      <c r="AD656" s="211"/>
      <c r="AE656" s="264"/>
      <c r="AF656" s="211"/>
      <c r="AG656" s="211"/>
      <c r="AH656" s="264"/>
      <c r="AI656" s="211"/>
      <c r="AJ656" s="211"/>
      <c r="AK656" s="264"/>
      <c r="AL656" s="211"/>
      <c r="AM656" s="211"/>
    </row>
    <row r="657" spans="1:39" s="267" customFormat="1" x14ac:dyDescent="0.2">
      <c r="A657" s="308" t="s">
        <v>71</v>
      </c>
      <c r="B657" s="259" t="s">
        <v>781</v>
      </c>
      <c r="C657" s="290">
        <f>(W657+X657)*$C$3</f>
        <v>2</v>
      </c>
      <c r="D657" s="290">
        <f>C657*$Q657</f>
        <v>0</v>
      </c>
      <c r="E657" s="290">
        <f>(Z657+AA657)*$E$3</f>
        <v>2</v>
      </c>
      <c r="F657" s="290">
        <f>E657*$Q657</f>
        <v>0</v>
      </c>
      <c r="G657" s="290">
        <f>(AC657+AD657)*$G$3</f>
        <v>10</v>
      </c>
      <c r="H657" s="290">
        <f>G657*$Q657</f>
        <v>0</v>
      </c>
      <c r="I657" s="290">
        <f>(AF657+AG657)*$I$3</f>
        <v>2</v>
      </c>
      <c r="J657" s="290">
        <f>I657*$Q657</f>
        <v>0</v>
      </c>
      <c r="K657" s="290">
        <f>(AI657+AJ657)*$K$3</f>
        <v>6</v>
      </c>
      <c r="L657" s="290">
        <f>K657*$Q657</f>
        <v>0</v>
      </c>
      <c r="M657" s="290">
        <f>(AL657+AM657)*$M$3</f>
        <v>2</v>
      </c>
      <c r="N657" s="290">
        <f>M657*$Q657</f>
        <v>0</v>
      </c>
      <c r="O657" s="290">
        <f>C657+E657+G657+I657+K657+M657</f>
        <v>24</v>
      </c>
      <c r="P657" s="153" t="s">
        <v>269</v>
      </c>
      <c r="Q657" s="262"/>
      <c r="R657" s="435">
        <f>O657*Q657</f>
        <v>0</v>
      </c>
      <c r="S657" s="264"/>
      <c r="T657" s="266">
        <v>1</v>
      </c>
      <c r="U657" s="266"/>
      <c r="V657" s="264"/>
      <c r="W657" s="266">
        <f>T657*$W$3</f>
        <v>2</v>
      </c>
      <c r="X657" s="266">
        <f>U657*$X$3</f>
        <v>0</v>
      </c>
      <c r="Y657" s="264"/>
      <c r="Z657" s="266">
        <f>W657</f>
        <v>2</v>
      </c>
      <c r="AA657" s="266">
        <f>U657*$AA$3</f>
        <v>0</v>
      </c>
      <c r="AB657" s="264"/>
      <c r="AC657" s="266">
        <f>W657</f>
        <v>2</v>
      </c>
      <c r="AD657" s="266">
        <f>U657*$AD$3</f>
        <v>0</v>
      </c>
      <c r="AE657" s="264"/>
      <c r="AF657" s="266">
        <f>W657</f>
        <v>2</v>
      </c>
      <c r="AG657" s="266">
        <f>U657*$AG$3</f>
        <v>0</v>
      </c>
      <c r="AH657" s="264"/>
      <c r="AI657" s="266">
        <f>W657</f>
        <v>2</v>
      </c>
      <c r="AJ657" s="266">
        <f>U657*$AJ$3</f>
        <v>0</v>
      </c>
      <c r="AK657" s="264"/>
      <c r="AL657" s="266">
        <f>W657</f>
        <v>2</v>
      </c>
      <c r="AM657" s="266">
        <f>U657*$AM$3</f>
        <v>0</v>
      </c>
    </row>
    <row r="658" spans="1:39" s="267" customFormat="1" x14ac:dyDescent="0.2">
      <c r="A658" s="308"/>
      <c r="B658" s="259"/>
      <c r="C658" s="290">
        <f>ROUND(W658*C$3,0)</f>
        <v>0</v>
      </c>
      <c r="D658" s="290">
        <f t="shared" si="132"/>
        <v>0</v>
      </c>
      <c r="E658" s="290">
        <f>ROUND(X658*E$3,0)</f>
        <v>0</v>
      </c>
      <c r="F658" s="290">
        <f t="shared" si="133"/>
        <v>0</v>
      </c>
      <c r="G658" s="290">
        <f>ROUND(Z658*G$3,0)</f>
        <v>0</v>
      </c>
      <c r="H658" s="290">
        <f t="shared" si="134"/>
        <v>0</v>
      </c>
      <c r="I658" s="290"/>
      <c r="J658" s="290"/>
      <c r="K658" s="290"/>
      <c r="L658" s="290"/>
      <c r="M658" s="290"/>
      <c r="N658" s="290"/>
      <c r="O658" s="290"/>
      <c r="P658" s="261"/>
      <c r="Q658" s="262"/>
      <c r="R658" s="435"/>
      <c r="S658" s="264"/>
      <c r="T658" s="266"/>
      <c r="U658" s="211"/>
      <c r="V658" s="264"/>
      <c r="W658" s="211"/>
      <c r="X658" s="211"/>
      <c r="Y658" s="264"/>
      <c r="Z658" s="211"/>
      <c r="AA658" s="211"/>
      <c r="AB658" s="264"/>
      <c r="AC658" s="211"/>
      <c r="AD658" s="211"/>
      <c r="AE658" s="264"/>
      <c r="AF658" s="211"/>
      <c r="AG658" s="211"/>
      <c r="AH658" s="264"/>
      <c r="AI658" s="211"/>
      <c r="AJ658" s="211"/>
      <c r="AK658" s="264"/>
      <c r="AL658" s="211"/>
      <c r="AM658" s="211"/>
    </row>
    <row r="659" spans="1:39" s="348" customFormat="1" x14ac:dyDescent="0.2">
      <c r="A659" s="353" t="s">
        <v>72</v>
      </c>
      <c r="B659" s="345" t="s">
        <v>782</v>
      </c>
      <c r="C659" s="346">
        <v>2</v>
      </c>
      <c r="D659" s="346">
        <f>C659*$Q659</f>
        <v>0</v>
      </c>
      <c r="E659" s="346">
        <v>3</v>
      </c>
      <c r="F659" s="346">
        <f>E659*$Q659</f>
        <v>0</v>
      </c>
      <c r="G659" s="346">
        <v>20</v>
      </c>
      <c r="H659" s="346">
        <f>G659*$Q659</f>
        <v>0</v>
      </c>
      <c r="I659" s="346">
        <v>5</v>
      </c>
      <c r="J659" s="346">
        <f>I659*$Q659</f>
        <v>0</v>
      </c>
      <c r="K659" s="346">
        <v>18</v>
      </c>
      <c r="L659" s="346">
        <f>K659*$Q659</f>
        <v>0</v>
      </c>
      <c r="M659" s="346">
        <v>7</v>
      </c>
      <c r="N659" s="346">
        <f>M659*$Q659</f>
        <v>0</v>
      </c>
      <c r="O659" s="346">
        <f>C659+E659+G659+I659+K659+M659</f>
        <v>55</v>
      </c>
      <c r="P659" s="232" t="s">
        <v>269</v>
      </c>
      <c r="Q659" s="347"/>
      <c r="R659" s="442" t="s">
        <v>904</v>
      </c>
      <c r="T659" s="349"/>
      <c r="U659" s="349">
        <v>0</v>
      </c>
      <c r="W659" s="349">
        <f>T659*$W$3</f>
        <v>0</v>
      </c>
      <c r="X659" s="349">
        <f>U659*$X$3</f>
        <v>0</v>
      </c>
      <c r="Z659" s="349">
        <f>W659</f>
        <v>0</v>
      </c>
      <c r="AA659" s="349">
        <f>U659*$AA$3</f>
        <v>0</v>
      </c>
      <c r="AC659" s="349">
        <f>W659</f>
        <v>0</v>
      </c>
      <c r="AD659" s="349">
        <f>U659*$AD$3</f>
        <v>0</v>
      </c>
      <c r="AF659" s="349">
        <f>W659</f>
        <v>0</v>
      </c>
      <c r="AG659" s="349">
        <f>U659*$AG$3</f>
        <v>0</v>
      </c>
      <c r="AI659" s="349">
        <f>W659</f>
        <v>0</v>
      </c>
      <c r="AJ659" s="349">
        <f>U659*$AJ$3</f>
        <v>0</v>
      </c>
      <c r="AL659" s="349">
        <f>W659</f>
        <v>0</v>
      </c>
      <c r="AM659" s="349">
        <f>U659*$AM$3</f>
        <v>0</v>
      </c>
    </row>
    <row r="660" spans="1:39" s="267" customFormat="1" x14ac:dyDescent="0.2">
      <c r="A660" s="308"/>
      <c r="B660" s="259"/>
      <c r="C660" s="290">
        <f>ROUND(W660*C$3,0)</f>
        <v>0</v>
      </c>
      <c r="D660" s="290">
        <f t="shared" si="132"/>
        <v>0</v>
      </c>
      <c r="E660" s="290">
        <f>ROUND(X660*E$3,0)</f>
        <v>0</v>
      </c>
      <c r="F660" s="290">
        <f t="shared" si="133"/>
        <v>0</v>
      </c>
      <c r="G660" s="290">
        <f>ROUND(Z660*G$3,0)</f>
        <v>0</v>
      </c>
      <c r="H660" s="290">
        <f t="shared" si="134"/>
        <v>0</v>
      </c>
      <c r="I660" s="290"/>
      <c r="J660" s="290"/>
      <c r="K660" s="290"/>
      <c r="L660" s="290"/>
      <c r="M660" s="290"/>
      <c r="N660" s="290"/>
      <c r="O660" s="290"/>
      <c r="P660" s="261"/>
      <c r="Q660" s="262"/>
      <c r="R660" s="435"/>
      <c r="S660" s="264"/>
      <c r="T660" s="266"/>
      <c r="U660" s="211"/>
      <c r="V660" s="264"/>
      <c r="W660" s="211"/>
      <c r="X660" s="211"/>
      <c r="Y660" s="264"/>
      <c r="Z660" s="211"/>
      <c r="AA660" s="211"/>
      <c r="AB660" s="264"/>
      <c r="AC660" s="211"/>
      <c r="AD660" s="211"/>
      <c r="AE660" s="264"/>
      <c r="AF660" s="211"/>
      <c r="AG660" s="211"/>
      <c r="AH660" s="264"/>
      <c r="AI660" s="211"/>
      <c r="AJ660" s="211"/>
      <c r="AK660" s="264"/>
      <c r="AL660" s="211"/>
      <c r="AM660" s="211"/>
    </row>
    <row r="661" spans="1:39" s="267" customFormat="1" x14ac:dyDescent="0.2">
      <c r="A661" s="308" t="s">
        <v>73</v>
      </c>
      <c r="B661" s="259" t="s">
        <v>783</v>
      </c>
      <c r="C661" s="338">
        <f>(W661+X661)*$C$3</f>
        <v>4</v>
      </c>
      <c r="D661" s="338">
        <f>C661*$Q661</f>
        <v>0</v>
      </c>
      <c r="E661" s="338">
        <f>(Z661+AA661)*$E$3</f>
        <v>5</v>
      </c>
      <c r="F661" s="338">
        <f>E661*$Q661</f>
        <v>0</v>
      </c>
      <c r="G661" s="338">
        <f>(AC661+AD661)*$G$3</f>
        <v>30</v>
      </c>
      <c r="H661" s="338">
        <f>G661*$Q661</f>
        <v>0</v>
      </c>
      <c r="I661" s="338">
        <f>(AF661+AG661)*$I$3</f>
        <v>7</v>
      </c>
      <c r="J661" s="338">
        <f>I661*$Q661</f>
        <v>0</v>
      </c>
      <c r="K661" s="338">
        <f>(AI661+AJ661)*$K$3</f>
        <v>24</v>
      </c>
      <c r="L661" s="338">
        <f>K661*$Q661</f>
        <v>0</v>
      </c>
      <c r="M661" s="338">
        <f>(AL661+AM661)*$M$3</f>
        <v>9</v>
      </c>
      <c r="N661" s="338">
        <f>M661*$Q661</f>
        <v>0</v>
      </c>
      <c r="O661" s="338">
        <f>C661+E661+G661+I661+K661+M661</f>
        <v>79</v>
      </c>
      <c r="P661" s="153" t="s">
        <v>269</v>
      </c>
      <c r="Q661" s="262"/>
      <c r="R661" s="435">
        <f>O661*Q661</f>
        <v>0</v>
      </c>
      <c r="S661" s="264"/>
      <c r="T661" s="281">
        <v>1</v>
      </c>
      <c r="U661" s="266">
        <v>1</v>
      </c>
      <c r="V661" s="264"/>
      <c r="W661" s="266">
        <f>T661*$W$3</f>
        <v>2</v>
      </c>
      <c r="X661" s="266">
        <f>U661*$X$3</f>
        <v>2</v>
      </c>
      <c r="Y661" s="264"/>
      <c r="Z661" s="266">
        <f>W661</f>
        <v>2</v>
      </c>
      <c r="AA661" s="266">
        <f>U661*$AA$3</f>
        <v>3</v>
      </c>
      <c r="AB661" s="264"/>
      <c r="AC661" s="266">
        <f>W661</f>
        <v>2</v>
      </c>
      <c r="AD661" s="266">
        <f>U661*$AD$3</f>
        <v>4</v>
      </c>
      <c r="AE661" s="264"/>
      <c r="AF661" s="266">
        <f>W661</f>
        <v>2</v>
      </c>
      <c r="AG661" s="266">
        <f>U661*$AG$3</f>
        <v>5</v>
      </c>
      <c r="AH661" s="264"/>
      <c r="AI661" s="266">
        <f>W661</f>
        <v>2</v>
      </c>
      <c r="AJ661" s="266">
        <f>U661*$AJ$3</f>
        <v>6</v>
      </c>
      <c r="AK661" s="264"/>
      <c r="AL661" s="266">
        <f>W661</f>
        <v>2</v>
      </c>
      <c r="AM661" s="266">
        <f>U661*$AM$3</f>
        <v>7</v>
      </c>
    </row>
    <row r="662" spans="1:39" s="267" customFormat="1" x14ac:dyDescent="0.2">
      <c r="A662" s="308"/>
      <c r="B662" s="259"/>
      <c r="C662" s="290">
        <f>ROUND(W662*C$3,0)</f>
        <v>0</v>
      </c>
      <c r="D662" s="290">
        <f t="shared" si="132"/>
        <v>0</v>
      </c>
      <c r="E662" s="290">
        <f>ROUND(X662*E$3,0)</f>
        <v>0</v>
      </c>
      <c r="F662" s="290">
        <f t="shared" si="133"/>
        <v>0</v>
      </c>
      <c r="G662" s="290">
        <f>ROUND(Z662*G$3,0)</f>
        <v>0</v>
      </c>
      <c r="H662" s="290">
        <f t="shared" si="134"/>
        <v>0</v>
      </c>
      <c r="I662" s="290"/>
      <c r="J662" s="290"/>
      <c r="K662" s="290"/>
      <c r="L662" s="290"/>
      <c r="M662" s="290"/>
      <c r="N662" s="290"/>
      <c r="O662" s="290"/>
      <c r="P662" s="261"/>
      <c r="Q662" s="262"/>
      <c r="R662" s="435"/>
      <c r="S662" s="264"/>
      <c r="T662" s="266"/>
      <c r="U662" s="211"/>
      <c r="V662" s="264"/>
      <c r="W662" s="211"/>
      <c r="X662" s="211"/>
      <c r="Y662" s="264"/>
      <c r="Z662" s="211"/>
      <c r="AA662" s="211"/>
      <c r="AB662" s="264"/>
      <c r="AC662" s="211"/>
      <c r="AD662" s="211"/>
      <c r="AE662" s="264"/>
      <c r="AF662" s="211"/>
      <c r="AG662" s="211"/>
      <c r="AH662" s="264"/>
      <c r="AI662" s="211"/>
      <c r="AJ662" s="211"/>
      <c r="AK662" s="264"/>
      <c r="AL662" s="211"/>
      <c r="AM662" s="211"/>
    </row>
    <row r="663" spans="1:39" s="267" customFormat="1" x14ac:dyDescent="0.2">
      <c r="A663" s="308" t="s">
        <v>74</v>
      </c>
      <c r="B663" s="259" t="s">
        <v>784</v>
      </c>
      <c r="C663" s="290">
        <f>(W663+X663)*$C$3</f>
        <v>2</v>
      </c>
      <c r="D663" s="290">
        <f>C663*$Q663</f>
        <v>0</v>
      </c>
      <c r="E663" s="290">
        <f>(Z663+AA663)*$E$3</f>
        <v>3</v>
      </c>
      <c r="F663" s="290">
        <f>E663*$Q663</f>
        <v>0</v>
      </c>
      <c r="G663" s="290">
        <f>(AC663+AD663)*$G$3</f>
        <v>20</v>
      </c>
      <c r="H663" s="290">
        <f>G663*$Q663</f>
        <v>0</v>
      </c>
      <c r="I663" s="290">
        <f>(AF663+AG663)*$I$3</f>
        <v>5</v>
      </c>
      <c r="J663" s="290">
        <f>I663*$Q663</f>
        <v>0</v>
      </c>
      <c r="K663" s="290">
        <f>(AI663+AJ663)*$K$3</f>
        <v>18</v>
      </c>
      <c r="L663" s="290">
        <f>K663*$Q663</f>
        <v>0</v>
      </c>
      <c r="M663" s="290">
        <f>(AL663+AM663)*$M$3</f>
        <v>7</v>
      </c>
      <c r="N663" s="290">
        <f>M663*$Q663</f>
        <v>0</v>
      </c>
      <c r="O663" s="290">
        <f>C663+E663+G663+I663+K663+M663</f>
        <v>55</v>
      </c>
      <c r="P663" s="153" t="s">
        <v>269</v>
      </c>
      <c r="Q663" s="431"/>
      <c r="R663" s="436">
        <f>O663*Q663</f>
        <v>0</v>
      </c>
      <c r="S663" s="264"/>
      <c r="T663" s="266"/>
      <c r="U663" s="266">
        <v>1</v>
      </c>
      <c r="V663" s="264"/>
      <c r="W663" s="266">
        <f>T663*$W$3</f>
        <v>0</v>
      </c>
      <c r="X663" s="266">
        <f>U663*$X$3</f>
        <v>2</v>
      </c>
      <c r="Y663" s="264"/>
      <c r="Z663" s="266">
        <f>W663</f>
        <v>0</v>
      </c>
      <c r="AA663" s="266">
        <f>U663*$AA$3</f>
        <v>3</v>
      </c>
      <c r="AB663" s="264"/>
      <c r="AC663" s="266">
        <f>W663</f>
        <v>0</v>
      </c>
      <c r="AD663" s="266">
        <f>U663*$AD$3</f>
        <v>4</v>
      </c>
      <c r="AE663" s="264"/>
      <c r="AF663" s="266">
        <f>W663</f>
        <v>0</v>
      </c>
      <c r="AG663" s="266">
        <f>U663*$AG$3</f>
        <v>5</v>
      </c>
      <c r="AH663" s="264"/>
      <c r="AI663" s="266">
        <f>W663</f>
        <v>0</v>
      </c>
      <c r="AJ663" s="266">
        <f>U663*$AJ$3</f>
        <v>6</v>
      </c>
      <c r="AK663" s="264"/>
      <c r="AL663" s="266">
        <f>W663</f>
        <v>0</v>
      </c>
      <c r="AM663" s="266">
        <f>U663*$AM$3</f>
        <v>7</v>
      </c>
    </row>
    <row r="664" spans="1:39" s="267" customFormat="1" x14ac:dyDescent="0.2">
      <c r="A664" s="308"/>
      <c r="B664" s="259"/>
      <c r="C664" s="290">
        <f>ROUND(W664*C$3,0)</f>
        <v>0</v>
      </c>
      <c r="D664" s="290">
        <f t="shared" ref="D664" si="135">C664*$Q664</f>
        <v>0</v>
      </c>
      <c r="E664" s="290">
        <f>ROUND(X664*E$3,0)</f>
        <v>0</v>
      </c>
      <c r="F664" s="290">
        <f t="shared" ref="F664" si="136">E664*$Q664</f>
        <v>0</v>
      </c>
      <c r="G664" s="290">
        <f>ROUND(Z664*G$3,0)</f>
        <v>0</v>
      </c>
      <c r="H664" s="290">
        <f t="shared" ref="H664" si="137">G664*$Q664</f>
        <v>0</v>
      </c>
      <c r="I664" s="290"/>
      <c r="J664" s="290"/>
      <c r="K664" s="290"/>
      <c r="L664" s="290"/>
      <c r="M664" s="290"/>
      <c r="N664" s="290"/>
      <c r="O664" s="290"/>
      <c r="P664" s="261"/>
      <c r="Q664" s="431"/>
      <c r="R664" s="436"/>
      <c r="S664" s="264"/>
      <c r="T664" s="266"/>
      <c r="U664" s="211"/>
      <c r="V664" s="264"/>
      <c r="W664" s="211"/>
      <c r="X664" s="211"/>
      <c r="Y664" s="264"/>
      <c r="Z664" s="211"/>
      <c r="AA664" s="211"/>
      <c r="AB664" s="264"/>
      <c r="AC664" s="211"/>
      <c r="AD664" s="211"/>
      <c r="AE664" s="264"/>
      <c r="AF664" s="211"/>
      <c r="AG664" s="211"/>
      <c r="AH664" s="264"/>
      <c r="AI664" s="211"/>
      <c r="AJ664" s="211"/>
      <c r="AK664" s="264"/>
      <c r="AL664" s="211"/>
      <c r="AM664" s="211"/>
    </row>
    <row r="665" spans="1:39" s="342" customFormat="1" x14ac:dyDescent="0.2">
      <c r="A665" s="350" t="s">
        <v>75</v>
      </c>
      <c r="B665" s="341" t="s">
        <v>924</v>
      </c>
      <c r="C665" s="338">
        <f>(W665+X665)*$C$3</f>
        <v>8</v>
      </c>
      <c r="D665" s="338">
        <f>C665*$Q665</f>
        <v>0</v>
      </c>
      <c r="E665" s="338">
        <f>(Z665+AA665)*$E$3</f>
        <v>9</v>
      </c>
      <c r="F665" s="338">
        <f>E665*$Q665</f>
        <v>0</v>
      </c>
      <c r="G665" s="338">
        <f>(AC665+AD665)*$G$3</f>
        <v>50</v>
      </c>
      <c r="H665" s="338">
        <f>G665*$Q665</f>
        <v>0</v>
      </c>
      <c r="I665" s="338">
        <f>(AF665+AG665)*$I$3</f>
        <v>11</v>
      </c>
      <c r="J665" s="338">
        <f>I665*$Q665</f>
        <v>0</v>
      </c>
      <c r="K665" s="338">
        <f>(AI665+AJ665)*$K$3</f>
        <v>36</v>
      </c>
      <c r="L665" s="338">
        <f>K665*$Q665</f>
        <v>0</v>
      </c>
      <c r="M665" s="338">
        <f>(AL665+AM665)*$M$3</f>
        <v>13</v>
      </c>
      <c r="N665" s="338">
        <f>M665*$Q665</f>
        <v>0</v>
      </c>
      <c r="O665" s="338">
        <f>C665+E665+G665+I665+K665+M665</f>
        <v>127</v>
      </c>
      <c r="P665" s="235" t="s">
        <v>269</v>
      </c>
      <c r="Q665" s="431"/>
      <c r="R665" s="436"/>
      <c r="T665" s="343">
        <v>3</v>
      </c>
      <c r="U665" s="343">
        <v>1</v>
      </c>
      <c r="W665" s="343">
        <f>T665*$W$3</f>
        <v>6</v>
      </c>
      <c r="X665" s="343">
        <f>U665*$X$3</f>
        <v>2</v>
      </c>
      <c r="Z665" s="343">
        <f>W665</f>
        <v>6</v>
      </c>
      <c r="AA665" s="343">
        <f>U665*$AA$3</f>
        <v>3</v>
      </c>
      <c r="AC665" s="343">
        <f>W665</f>
        <v>6</v>
      </c>
      <c r="AD665" s="343">
        <f>U665*$AD$3</f>
        <v>4</v>
      </c>
      <c r="AF665" s="343">
        <f>W665</f>
        <v>6</v>
      </c>
      <c r="AG665" s="343">
        <f>U665*$AG$3</f>
        <v>5</v>
      </c>
      <c r="AI665" s="343">
        <f>W665</f>
        <v>6</v>
      </c>
      <c r="AJ665" s="343">
        <f>U665*$AJ$3</f>
        <v>6</v>
      </c>
      <c r="AL665" s="343">
        <f>W665</f>
        <v>6</v>
      </c>
      <c r="AM665" s="343">
        <f>U665*$AM$3</f>
        <v>7</v>
      </c>
    </row>
    <row r="666" spans="1:39" s="267" customFormat="1" x14ac:dyDescent="0.2">
      <c r="A666" s="258"/>
      <c r="B666" s="259"/>
      <c r="C666" s="290"/>
      <c r="D666" s="290"/>
      <c r="E666" s="290"/>
      <c r="F666" s="290"/>
      <c r="G666" s="290"/>
      <c r="H666" s="290"/>
      <c r="I666" s="290"/>
      <c r="J666" s="290"/>
      <c r="K666" s="290"/>
      <c r="L666" s="290"/>
      <c r="M666" s="290"/>
      <c r="N666" s="290"/>
      <c r="O666" s="290"/>
      <c r="P666" s="153"/>
      <c r="Q666" s="431"/>
      <c r="R666" s="436"/>
      <c r="S666" s="264"/>
      <c r="T666" s="266"/>
      <c r="U666" s="211"/>
      <c r="V666" s="264"/>
      <c r="W666" s="211"/>
      <c r="X666" s="211"/>
      <c r="Y666" s="264"/>
      <c r="Z666" s="211"/>
      <c r="AA666" s="211"/>
      <c r="AB666" s="264"/>
      <c r="AC666" s="211"/>
      <c r="AD666" s="211"/>
      <c r="AE666" s="264"/>
      <c r="AF666" s="211"/>
      <c r="AG666" s="211"/>
      <c r="AH666" s="264"/>
      <c r="AI666" s="211"/>
      <c r="AJ666" s="211"/>
      <c r="AK666" s="264"/>
      <c r="AL666" s="211"/>
      <c r="AM666" s="211"/>
    </row>
    <row r="667" spans="1:39" s="342" customFormat="1" x14ac:dyDescent="0.2">
      <c r="A667" s="340" t="s">
        <v>76</v>
      </c>
      <c r="B667" s="341" t="s">
        <v>925</v>
      </c>
      <c r="C667" s="338">
        <f>(W667+X667)*$C$3</f>
        <v>4</v>
      </c>
      <c r="D667" s="338">
        <f>C667*$Q667</f>
        <v>0</v>
      </c>
      <c r="E667" s="338">
        <f>(Z667+AA667)*$E$3</f>
        <v>5</v>
      </c>
      <c r="F667" s="338">
        <f>E667*$Q667</f>
        <v>0</v>
      </c>
      <c r="G667" s="338">
        <f>(AC667+AD667)*$G$3</f>
        <v>30</v>
      </c>
      <c r="H667" s="338">
        <f>G667*$Q667</f>
        <v>0</v>
      </c>
      <c r="I667" s="338">
        <f>(AF667+AG667)*$I$3</f>
        <v>7</v>
      </c>
      <c r="J667" s="338">
        <f>I667*$Q667</f>
        <v>0</v>
      </c>
      <c r="K667" s="338">
        <f>(AI667+AJ667)*$K$3</f>
        <v>24</v>
      </c>
      <c r="L667" s="338">
        <f>K667*$Q667</f>
        <v>0</v>
      </c>
      <c r="M667" s="338">
        <f>(AL667+AM667)*$M$3</f>
        <v>9</v>
      </c>
      <c r="N667" s="338">
        <f>M667*$Q667</f>
        <v>0</v>
      </c>
      <c r="O667" s="338">
        <f>C667+E667+G667+I667+K667+M667</f>
        <v>79</v>
      </c>
      <c r="P667" s="235" t="s">
        <v>269</v>
      </c>
      <c r="Q667" s="431"/>
      <c r="R667" s="436"/>
      <c r="T667" s="343">
        <v>1</v>
      </c>
      <c r="U667" s="343">
        <v>1</v>
      </c>
      <c r="W667" s="343">
        <f>T667*$W$3</f>
        <v>2</v>
      </c>
      <c r="X667" s="343">
        <f>U667*$X$3</f>
        <v>2</v>
      </c>
      <c r="Z667" s="343">
        <f>W667</f>
        <v>2</v>
      </c>
      <c r="AA667" s="343">
        <f>U667*$AA$3</f>
        <v>3</v>
      </c>
      <c r="AC667" s="343">
        <f>W667</f>
        <v>2</v>
      </c>
      <c r="AD667" s="343">
        <f>U667*$AD$3</f>
        <v>4</v>
      </c>
      <c r="AF667" s="343">
        <f>W667</f>
        <v>2</v>
      </c>
      <c r="AG667" s="343">
        <f>U667*$AG$3</f>
        <v>5</v>
      </c>
      <c r="AI667" s="343">
        <f>W667</f>
        <v>2</v>
      </c>
      <c r="AJ667" s="343">
        <f>U667*$AJ$3</f>
        <v>6</v>
      </c>
      <c r="AL667" s="343">
        <f>W667</f>
        <v>2</v>
      </c>
      <c r="AM667" s="343">
        <f>U667*$AM$3</f>
        <v>7</v>
      </c>
    </row>
    <row r="668" spans="1:39" s="267" customFormat="1" x14ac:dyDescent="0.2">
      <c r="A668" s="258"/>
      <c r="B668" s="259"/>
      <c r="C668" s="290"/>
      <c r="D668" s="290"/>
      <c r="E668" s="290"/>
      <c r="F668" s="290"/>
      <c r="G668" s="290"/>
      <c r="H668" s="290"/>
      <c r="I668" s="290"/>
      <c r="J668" s="290"/>
      <c r="K668" s="290"/>
      <c r="L668" s="290"/>
      <c r="M668" s="290"/>
      <c r="N668" s="290"/>
      <c r="O668" s="290"/>
      <c r="P668" s="153"/>
      <c r="Q668" s="431"/>
      <c r="R668" s="436"/>
      <c r="S668" s="264"/>
      <c r="T668" s="266"/>
      <c r="U668" s="211"/>
      <c r="V668" s="264"/>
      <c r="W668" s="211"/>
      <c r="X668" s="211"/>
      <c r="Y668" s="264"/>
      <c r="Z668" s="211"/>
      <c r="AA668" s="211"/>
      <c r="AB668" s="264"/>
      <c r="AC668" s="211"/>
      <c r="AD668" s="211"/>
      <c r="AE668" s="264"/>
      <c r="AF668" s="211"/>
      <c r="AG668" s="211"/>
      <c r="AH668" s="264"/>
      <c r="AI668" s="211"/>
      <c r="AJ668" s="211"/>
      <c r="AK668" s="264"/>
      <c r="AL668" s="211"/>
      <c r="AM668" s="211"/>
    </row>
    <row r="669" spans="1:39" s="267" customFormat="1" x14ac:dyDescent="0.2">
      <c r="A669" s="258"/>
      <c r="B669" s="259"/>
      <c r="C669" s="290"/>
      <c r="D669" s="290"/>
      <c r="E669" s="290"/>
      <c r="F669" s="290"/>
      <c r="G669" s="290"/>
      <c r="H669" s="290"/>
      <c r="I669" s="290"/>
      <c r="J669" s="290"/>
      <c r="K669" s="290"/>
      <c r="L669" s="290"/>
      <c r="M669" s="290"/>
      <c r="N669" s="290"/>
      <c r="O669" s="290"/>
      <c r="P669" s="153"/>
      <c r="Q669" s="262"/>
      <c r="R669" s="435"/>
      <c r="S669" s="264"/>
      <c r="T669" s="266"/>
      <c r="U669" s="211"/>
      <c r="V669" s="264"/>
      <c r="W669" s="211"/>
      <c r="X669" s="211"/>
      <c r="Y669" s="264"/>
      <c r="Z669" s="211"/>
      <c r="AA669" s="211"/>
      <c r="AB669" s="264"/>
      <c r="AC669" s="211"/>
      <c r="AD669" s="211"/>
      <c r="AE669" s="264"/>
      <c r="AF669" s="211"/>
      <c r="AG669" s="211"/>
      <c r="AH669" s="264"/>
      <c r="AI669" s="211"/>
      <c r="AJ669" s="211"/>
      <c r="AK669" s="264"/>
      <c r="AL669" s="211"/>
      <c r="AM669" s="211"/>
    </row>
    <row r="670" spans="1:39" s="267" customFormat="1" x14ac:dyDescent="0.2">
      <c r="A670" s="258"/>
      <c r="B670" s="259"/>
      <c r="C670" s="290"/>
      <c r="D670" s="290"/>
      <c r="E670" s="290"/>
      <c r="F670" s="290"/>
      <c r="G670" s="290"/>
      <c r="H670" s="290"/>
      <c r="I670" s="290"/>
      <c r="J670" s="290"/>
      <c r="K670" s="290"/>
      <c r="L670" s="290"/>
      <c r="M670" s="290"/>
      <c r="N670" s="290"/>
      <c r="O670" s="290"/>
      <c r="P670" s="153"/>
      <c r="Q670" s="262"/>
      <c r="R670" s="435"/>
      <c r="S670" s="264"/>
      <c r="T670" s="266"/>
      <c r="U670" s="211"/>
      <c r="V670" s="264"/>
      <c r="W670" s="211"/>
      <c r="X670" s="211"/>
      <c r="Y670" s="264"/>
      <c r="Z670" s="211"/>
      <c r="AA670" s="211"/>
      <c r="AB670" s="264"/>
      <c r="AC670" s="211"/>
      <c r="AD670" s="211"/>
      <c r="AE670" s="264"/>
      <c r="AF670" s="211"/>
      <c r="AG670" s="211"/>
      <c r="AH670" s="264"/>
      <c r="AI670" s="211"/>
      <c r="AJ670" s="211"/>
      <c r="AK670" s="264"/>
      <c r="AL670" s="211"/>
      <c r="AM670" s="211"/>
    </row>
    <row r="671" spans="1:39" s="267" customFormat="1" x14ac:dyDescent="0.2">
      <c r="A671" s="258"/>
      <c r="B671" s="259"/>
      <c r="C671" s="290"/>
      <c r="D671" s="290"/>
      <c r="E671" s="290"/>
      <c r="F671" s="290"/>
      <c r="G671" s="290"/>
      <c r="H671" s="290"/>
      <c r="I671" s="290"/>
      <c r="J671" s="290"/>
      <c r="K671" s="290"/>
      <c r="L671" s="290"/>
      <c r="M671" s="290"/>
      <c r="N671" s="290"/>
      <c r="O671" s="290"/>
      <c r="P671" s="153"/>
      <c r="Q671" s="262"/>
      <c r="R671" s="435"/>
      <c r="S671" s="264"/>
      <c r="T671" s="266"/>
      <c r="U671" s="211"/>
      <c r="V671" s="264"/>
      <c r="W671" s="211"/>
      <c r="X671" s="211"/>
      <c r="Y671" s="264"/>
      <c r="Z671" s="211"/>
      <c r="AA671" s="211"/>
      <c r="AB671" s="264"/>
      <c r="AC671" s="211"/>
      <c r="AD671" s="211"/>
      <c r="AE671" s="264"/>
      <c r="AF671" s="211"/>
      <c r="AG671" s="211"/>
      <c r="AH671" s="264"/>
      <c r="AI671" s="211"/>
      <c r="AJ671" s="211"/>
      <c r="AK671" s="264"/>
      <c r="AL671" s="211"/>
      <c r="AM671" s="211"/>
    </row>
    <row r="672" spans="1:39" s="267" customFormat="1" x14ac:dyDescent="0.2">
      <c r="A672" s="258"/>
      <c r="B672" s="259"/>
      <c r="C672" s="290"/>
      <c r="D672" s="290"/>
      <c r="E672" s="290"/>
      <c r="F672" s="290"/>
      <c r="G672" s="290"/>
      <c r="H672" s="290"/>
      <c r="I672" s="290"/>
      <c r="J672" s="290"/>
      <c r="K672" s="290"/>
      <c r="L672" s="290"/>
      <c r="M672" s="290"/>
      <c r="N672" s="290"/>
      <c r="O672" s="290"/>
      <c r="P672" s="153"/>
      <c r="Q672" s="262"/>
      <c r="R672" s="435"/>
      <c r="S672" s="264"/>
      <c r="T672" s="266"/>
      <c r="U672" s="211"/>
      <c r="V672" s="264"/>
      <c r="W672" s="211"/>
      <c r="X672" s="211"/>
      <c r="Y672" s="264"/>
      <c r="Z672" s="211"/>
      <c r="AA672" s="211"/>
      <c r="AB672" s="264"/>
      <c r="AC672" s="211"/>
      <c r="AD672" s="211"/>
      <c r="AE672" s="264"/>
      <c r="AF672" s="211"/>
      <c r="AG672" s="211"/>
      <c r="AH672" s="264"/>
      <c r="AI672" s="211"/>
      <c r="AJ672" s="211"/>
      <c r="AK672" s="264"/>
      <c r="AL672" s="211"/>
      <c r="AM672" s="211"/>
    </row>
    <row r="673" spans="1:39" s="267" customFormat="1" x14ac:dyDescent="0.2">
      <c r="A673" s="258"/>
      <c r="B673" s="259"/>
      <c r="C673" s="290"/>
      <c r="D673" s="290"/>
      <c r="E673" s="290"/>
      <c r="F673" s="290"/>
      <c r="G673" s="290"/>
      <c r="H673" s="290"/>
      <c r="I673" s="290"/>
      <c r="J673" s="290"/>
      <c r="K673" s="290"/>
      <c r="L673" s="290"/>
      <c r="M673" s="290"/>
      <c r="N673" s="290"/>
      <c r="O673" s="290"/>
      <c r="P673" s="153"/>
      <c r="Q673" s="262"/>
      <c r="R673" s="435"/>
      <c r="S673" s="264"/>
      <c r="T673" s="266"/>
      <c r="U673" s="211"/>
      <c r="V673" s="264"/>
      <c r="W673" s="211"/>
      <c r="X673" s="211"/>
      <c r="Y673" s="264"/>
      <c r="Z673" s="211"/>
      <c r="AA673" s="211"/>
      <c r="AB673" s="264"/>
      <c r="AC673" s="211"/>
      <c r="AD673" s="211"/>
      <c r="AE673" s="264"/>
      <c r="AF673" s="211"/>
      <c r="AG673" s="211"/>
      <c r="AH673" s="264"/>
      <c r="AI673" s="211"/>
      <c r="AJ673" s="211"/>
      <c r="AK673" s="264"/>
      <c r="AL673" s="211"/>
      <c r="AM673" s="211"/>
    </row>
    <row r="674" spans="1:39" s="267" customFormat="1" x14ac:dyDescent="0.2">
      <c r="A674" s="293"/>
      <c r="B674" s="293"/>
      <c r="C674" s="293"/>
      <c r="D674" s="293"/>
      <c r="E674" s="293"/>
      <c r="F674" s="293"/>
      <c r="G674" s="293"/>
      <c r="H674" s="293"/>
      <c r="I674" s="293"/>
      <c r="J674" s="293"/>
      <c r="K674" s="293"/>
      <c r="L674" s="293"/>
      <c r="M674" s="293"/>
      <c r="N674" s="293"/>
      <c r="O674" s="293"/>
      <c r="P674" s="479"/>
      <c r="Q674" s="480"/>
      <c r="R674" s="481"/>
      <c r="S674" s="351"/>
      <c r="T674" s="293"/>
      <c r="U674" s="211"/>
      <c r="V674" s="264"/>
      <c r="W674" s="211"/>
      <c r="X674" s="211"/>
      <c r="Y674" s="264"/>
      <c r="Z674" s="211"/>
      <c r="AA674" s="211"/>
      <c r="AB674" s="264"/>
      <c r="AC674" s="211"/>
      <c r="AD674" s="211"/>
      <c r="AE674" s="264"/>
      <c r="AF674" s="211"/>
      <c r="AG674" s="211"/>
      <c r="AH674" s="264"/>
      <c r="AI674" s="211"/>
      <c r="AJ674" s="211"/>
      <c r="AK674" s="264"/>
      <c r="AL674" s="211"/>
      <c r="AM674" s="211"/>
    </row>
    <row r="675" spans="1:39" s="267" customFormat="1" x14ac:dyDescent="0.2">
      <c r="A675" s="375"/>
      <c r="B675" s="376"/>
      <c r="C675" s="377"/>
      <c r="D675" s="377"/>
      <c r="E675" s="377"/>
      <c r="F675" s="377"/>
      <c r="G675" s="377"/>
      <c r="H675" s="377"/>
      <c r="I675" s="377"/>
      <c r="J675" s="377"/>
      <c r="K675" s="377"/>
      <c r="L675" s="377"/>
      <c r="M675" s="377"/>
      <c r="N675" s="377"/>
      <c r="O675" s="377"/>
      <c r="P675" s="377"/>
      <c r="Q675" s="378"/>
      <c r="R675" s="441"/>
      <c r="S675" s="264"/>
      <c r="T675" s="273"/>
      <c r="U675" s="274"/>
      <c r="V675" s="264"/>
      <c r="W675" s="273"/>
      <c r="X675" s="273"/>
      <c r="Y675" s="264"/>
      <c r="Z675" s="273"/>
      <c r="AA675" s="273"/>
      <c r="AB675" s="264"/>
      <c r="AC675" s="273"/>
      <c r="AD675" s="273"/>
      <c r="AE675" s="264"/>
      <c r="AF675" s="273"/>
      <c r="AG675" s="273"/>
      <c r="AH675" s="264"/>
      <c r="AI675" s="273"/>
      <c r="AJ675" s="273"/>
      <c r="AK675" s="264"/>
      <c r="AL675" s="273"/>
      <c r="AM675" s="273"/>
    </row>
    <row r="676" spans="1:39" s="267" customFormat="1" x14ac:dyDescent="0.2">
      <c r="A676" s="380"/>
      <c r="B676" s="320"/>
      <c r="C676" s="430"/>
      <c r="D676" s="309"/>
      <c r="E676" s="309"/>
      <c r="F676" s="309"/>
      <c r="G676" s="309"/>
      <c r="H676" s="309"/>
      <c r="I676" s="309"/>
      <c r="J676" s="309"/>
      <c r="K676" s="309"/>
      <c r="L676" s="309"/>
      <c r="M676" s="309"/>
      <c r="N676" s="309"/>
      <c r="O676" s="309"/>
      <c r="P676" s="171" t="s">
        <v>1</v>
      </c>
      <c r="Q676" s="381" t="s">
        <v>0</v>
      </c>
      <c r="R676" s="435">
        <f>SUM(R630:R674)</f>
        <v>0</v>
      </c>
      <c r="S676" s="276"/>
      <c r="T676" s="266"/>
      <c r="U676" s="277"/>
      <c r="V676" s="264"/>
      <c r="W676" s="266"/>
      <c r="X676" s="266"/>
      <c r="Y676" s="264"/>
      <c r="Z676" s="266"/>
      <c r="AA676" s="266"/>
      <c r="AB676" s="264"/>
      <c r="AC676" s="266"/>
      <c r="AD676" s="266"/>
      <c r="AE676" s="264"/>
      <c r="AF676" s="266"/>
      <c r="AG676" s="266"/>
      <c r="AH676" s="264"/>
      <c r="AI676" s="266"/>
      <c r="AJ676" s="266"/>
      <c r="AK676" s="264"/>
      <c r="AL676" s="266"/>
      <c r="AM676" s="266"/>
    </row>
    <row r="677" spans="1:39" s="267" customFormat="1" x14ac:dyDescent="0.2">
      <c r="A677" s="380"/>
      <c r="B677" s="320"/>
      <c r="C677" s="309"/>
      <c r="D677" s="309"/>
      <c r="E677" s="309"/>
      <c r="F677" s="309"/>
      <c r="G677" s="309"/>
      <c r="H677" s="309"/>
      <c r="I677" s="309"/>
      <c r="J677" s="309"/>
      <c r="K677" s="309"/>
      <c r="L677" s="309"/>
      <c r="M677" s="309"/>
      <c r="N677" s="309"/>
      <c r="O677" s="309"/>
      <c r="P677" s="309"/>
      <c r="Q677" s="294"/>
      <c r="R677" s="458"/>
      <c r="S677" s="264"/>
      <c r="T677" s="278"/>
      <c r="U677" s="279"/>
      <c r="V677" s="264"/>
      <c r="W677" s="278"/>
      <c r="X677" s="278"/>
      <c r="Y677" s="264"/>
      <c r="Z677" s="278"/>
      <c r="AA677" s="278"/>
      <c r="AB677" s="264"/>
      <c r="AC677" s="278"/>
      <c r="AD677" s="278"/>
      <c r="AE677" s="264"/>
      <c r="AF677" s="278"/>
      <c r="AG677" s="278"/>
      <c r="AH677" s="264"/>
      <c r="AI677" s="278"/>
      <c r="AJ677" s="278"/>
      <c r="AK677" s="264"/>
      <c r="AL677" s="278"/>
      <c r="AM677" s="278"/>
    </row>
    <row r="678" spans="1:39" s="267" customFormat="1" x14ac:dyDescent="0.2">
      <c r="A678" s="258"/>
      <c r="B678" s="259"/>
      <c r="C678" s="290"/>
      <c r="D678" s="290"/>
      <c r="E678" s="290"/>
      <c r="F678" s="290"/>
      <c r="G678" s="290"/>
      <c r="H678" s="290"/>
      <c r="I678" s="290"/>
      <c r="J678" s="290"/>
      <c r="K678" s="290"/>
      <c r="L678" s="290"/>
      <c r="M678" s="290"/>
      <c r="N678" s="290"/>
      <c r="O678" s="290"/>
      <c r="P678" s="261"/>
      <c r="Q678" s="262"/>
      <c r="R678" s="435"/>
      <c r="S678" s="264"/>
      <c r="T678" s="266"/>
      <c r="U678" s="211"/>
      <c r="V678" s="264"/>
      <c r="W678" s="211"/>
      <c r="X678" s="211"/>
      <c r="Y678" s="264"/>
      <c r="Z678" s="211"/>
      <c r="AA678" s="211"/>
      <c r="AB678" s="264"/>
      <c r="AC678" s="211"/>
      <c r="AD678" s="211"/>
      <c r="AE678" s="264"/>
      <c r="AF678" s="211"/>
      <c r="AG678" s="211"/>
      <c r="AH678" s="264"/>
      <c r="AI678" s="211"/>
      <c r="AJ678" s="211"/>
      <c r="AK678" s="264"/>
      <c r="AL678" s="211"/>
      <c r="AM678" s="211"/>
    </row>
    <row r="679" spans="1:39" s="267" customFormat="1" x14ac:dyDescent="0.2">
      <c r="A679" s="258"/>
      <c r="B679" s="265" t="s">
        <v>159</v>
      </c>
      <c r="C679" s="290"/>
      <c r="D679" s="290"/>
      <c r="E679" s="290"/>
      <c r="F679" s="290"/>
      <c r="G679" s="290"/>
      <c r="H679" s="290"/>
      <c r="I679" s="290"/>
      <c r="J679" s="290"/>
      <c r="K679" s="290"/>
      <c r="L679" s="290"/>
      <c r="M679" s="290"/>
      <c r="N679" s="290"/>
      <c r="O679" s="290"/>
      <c r="P679" s="261"/>
      <c r="Q679" s="262"/>
      <c r="R679" s="435"/>
      <c r="S679" s="264"/>
      <c r="T679" s="266"/>
      <c r="U679" s="211"/>
      <c r="V679" s="264"/>
      <c r="W679" s="211"/>
      <c r="X679" s="211"/>
      <c r="Y679" s="264"/>
      <c r="Z679" s="211"/>
      <c r="AA679" s="211"/>
      <c r="AB679" s="264"/>
      <c r="AC679" s="211"/>
      <c r="AD679" s="211"/>
      <c r="AE679" s="264"/>
      <c r="AF679" s="211"/>
      <c r="AG679" s="211"/>
      <c r="AH679" s="264"/>
      <c r="AI679" s="211"/>
      <c r="AJ679" s="211"/>
      <c r="AK679" s="264"/>
      <c r="AL679" s="211"/>
      <c r="AM679" s="211"/>
    </row>
    <row r="680" spans="1:39" s="267" customFormat="1" x14ac:dyDescent="0.2">
      <c r="A680" s="258"/>
      <c r="B680" s="356"/>
      <c r="C680" s="290"/>
      <c r="D680" s="290"/>
      <c r="E680" s="290"/>
      <c r="F680" s="290"/>
      <c r="G680" s="290"/>
      <c r="H680" s="290"/>
      <c r="I680" s="290"/>
      <c r="J680" s="290"/>
      <c r="K680" s="290"/>
      <c r="L680" s="290"/>
      <c r="M680" s="290"/>
      <c r="N680" s="290"/>
      <c r="O680" s="290"/>
      <c r="P680" s="261"/>
      <c r="Q680" s="262"/>
      <c r="R680" s="435"/>
      <c r="S680" s="264"/>
      <c r="T680" s="266"/>
      <c r="U680" s="211"/>
      <c r="V680" s="264"/>
      <c r="W680" s="211"/>
      <c r="X680" s="211"/>
      <c r="Y680" s="264"/>
      <c r="Z680" s="211"/>
      <c r="AA680" s="211"/>
      <c r="AB680" s="264"/>
      <c r="AC680" s="211"/>
      <c r="AD680" s="211"/>
      <c r="AE680" s="264"/>
      <c r="AF680" s="211"/>
      <c r="AG680" s="211"/>
      <c r="AH680" s="264"/>
      <c r="AI680" s="211"/>
      <c r="AJ680" s="211"/>
      <c r="AK680" s="264"/>
      <c r="AL680" s="211"/>
      <c r="AM680" s="211"/>
    </row>
    <row r="681" spans="1:39" s="267" customFormat="1" ht="28.5" x14ac:dyDescent="0.2">
      <c r="A681" s="258"/>
      <c r="B681" s="293" t="s">
        <v>785</v>
      </c>
      <c r="C681" s="290"/>
      <c r="D681" s="290"/>
      <c r="E681" s="290"/>
      <c r="F681" s="290"/>
      <c r="G681" s="290"/>
      <c r="H681" s="290"/>
      <c r="I681" s="290"/>
      <c r="J681" s="290"/>
      <c r="K681" s="290"/>
      <c r="L681" s="290"/>
      <c r="M681" s="290"/>
      <c r="N681" s="290"/>
      <c r="O681" s="290"/>
      <c r="P681" s="261"/>
      <c r="Q681" s="262"/>
      <c r="R681" s="435"/>
      <c r="S681" s="264"/>
      <c r="T681" s="266"/>
      <c r="U681" s="211"/>
      <c r="V681" s="264"/>
      <c r="W681" s="211"/>
      <c r="X681" s="211"/>
      <c r="Y681" s="264"/>
      <c r="Z681" s="211"/>
      <c r="AA681" s="211"/>
      <c r="AB681" s="264"/>
      <c r="AC681" s="211"/>
      <c r="AD681" s="211"/>
      <c r="AE681" s="264"/>
      <c r="AF681" s="211"/>
      <c r="AG681" s="211"/>
      <c r="AH681" s="264"/>
      <c r="AI681" s="211"/>
      <c r="AJ681" s="211"/>
      <c r="AK681" s="264"/>
      <c r="AL681" s="211"/>
      <c r="AM681" s="211"/>
    </row>
    <row r="682" spans="1:39" s="267" customFormat="1" x14ac:dyDescent="0.2">
      <c r="A682" s="308"/>
      <c r="B682" s="293"/>
      <c r="C682" s="290"/>
      <c r="D682" s="290"/>
      <c r="E682" s="290"/>
      <c r="F682" s="290"/>
      <c r="G682" s="290"/>
      <c r="H682" s="290"/>
      <c r="I682" s="290"/>
      <c r="J682" s="290"/>
      <c r="K682" s="290"/>
      <c r="L682" s="290"/>
      <c r="M682" s="290"/>
      <c r="N682" s="290"/>
      <c r="O682" s="290"/>
      <c r="P682" s="261"/>
      <c r="Q682" s="262"/>
      <c r="R682" s="435"/>
      <c r="S682" s="264"/>
      <c r="T682" s="266"/>
      <c r="U682" s="211"/>
      <c r="V682" s="264"/>
      <c r="W682" s="211"/>
      <c r="X682" s="211"/>
      <c r="Y682" s="264"/>
      <c r="Z682" s="211"/>
      <c r="AA682" s="211"/>
      <c r="AB682" s="264"/>
      <c r="AC682" s="211"/>
      <c r="AD682" s="211"/>
      <c r="AE682" s="264"/>
      <c r="AF682" s="211"/>
      <c r="AG682" s="211"/>
      <c r="AH682" s="264"/>
      <c r="AI682" s="211"/>
      <c r="AJ682" s="211"/>
      <c r="AK682" s="264"/>
      <c r="AL682" s="211"/>
      <c r="AM682" s="211"/>
    </row>
    <row r="683" spans="1:39" s="267" customFormat="1" x14ac:dyDescent="0.2">
      <c r="A683" s="308"/>
      <c r="B683" s="293" t="s">
        <v>786</v>
      </c>
      <c r="C683" s="290">
        <f>ROUND(W683*C$3,0)</f>
        <v>0</v>
      </c>
      <c r="D683" s="290">
        <f t="shared" ref="D683:D693" si="138">C683*$Q683</f>
        <v>0</v>
      </c>
      <c r="E683" s="290">
        <f>ROUND(X683*E$3,0)</f>
        <v>0</v>
      </c>
      <c r="F683" s="290">
        <f t="shared" ref="F683:F693" si="139">E683*$Q683</f>
        <v>0</v>
      </c>
      <c r="G683" s="290">
        <f>ROUND(Z683*G$3,0)</f>
        <v>0</v>
      </c>
      <c r="H683" s="290">
        <f t="shared" ref="H683:H693" si="140">G683*$Q683</f>
        <v>0</v>
      </c>
      <c r="I683" s="290"/>
      <c r="J683" s="290"/>
      <c r="K683" s="290"/>
      <c r="L683" s="290"/>
      <c r="M683" s="290"/>
      <c r="N683" s="290"/>
      <c r="O683" s="290"/>
      <c r="P683" s="153"/>
      <c r="Q683" s="262"/>
      <c r="R683" s="435"/>
      <c r="S683" s="264"/>
      <c r="T683" s="266"/>
      <c r="U683" s="211"/>
      <c r="V683" s="264"/>
      <c r="W683" s="211"/>
      <c r="X683" s="211"/>
      <c r="Y683" s="264"/>
      <c r="Z683" s="211"/>
      <c r="AA683" s="211"/>
      <c r="AB683" s="264"/>
      <c r="AC683" s="211"/>
      <c r="AD683" s="211"/>
      <c r="AE683" s="264"/>
      <c r="AF683" s="211"/>
      <c r="AG683" s="211"/>
      <c r="AH683" s="264"/>
      <c r="AI683" s="211"/>
      <c r="AJ683" s="211"/>
      <c r="AK683" s="264"/>
      <c r="AL683" s="211"/>
      <c r="AM683" s="211"/>
    </row>
    <row r="684" spans="1:39" s="267" customFormat="1" x14ac:dyDescent="0.2">
      <c r="A684" s="308"/>
      <c r="B684" s="259"/>
      <c r="C684" s="290">
        <f>ROUND(W684*C$3,0)</f>
        <v>0</v>
      </c>
      <c r="D684" s="290">
        <f t="shared" si="138"/>
        <v>0</v>
      </c>
      <c r="E684" s="290">
        <f>ROUND(X684*E$3,0)</f>
        <v>0</v>
      </c>
      <c r="F684" s="290">
        <f t="shared" si="139"/>
        <v>0</v>
      </c>
      <c r="G684" s="290">
        <f>ROUND(Z684*G$3,0)</f>
        <v>0</v>
      </c>
      <c r="H684" s="290">
        <f t="shared" si="140"/>
        <v>0</v>
      </c>
      <c r="I684" s="290"/>
      <c r="J684" s="290"/>
      <c r="K684" s="290"/>
      <c r="L684" s="290"/>
      <c r="M684" s="290"/>
      <c r="N684" s="290"/>
      <c r="O684" s="290"/>
      <c r="P684" s="261"/>
      <c r="Q684" s="262"/>
      <c r="R684" s="435"/>
      <c r="S684" s="264"/>
      <c r="T684" s="266"/>
      <c r="U684" s="211"/>
      <c r="V684" s="264"/>
      <c r="W684" s="211"/>
      <c r="X684" s="211"/>
      <c r="Y684" s="264"/>
      <c r="Z684" s="211"/>
      <c r="AA684" s="211"/>
      <c r="AB684" s="264"/>
      <c r="AC684" s="211"/>
      <c r="AD684" s="211"/>
      <c r="AE684" s="264"/>
      <c r="AF684" s="211"/>
      <c r="AG684" s="211"/>
      <c r="AH684" s="264"/>
      <c r="AI684" s="211"/>
      <c r="AJ684" s="211"/>
      <c r="AK684" s="264"/>
      <c r="AL684" s="211"/>
      <c r="AM684" s="211"/>
    </row>
    <row r="685" spans="1:39" s="267" customFormat="1" x14ac:dyDescent="0.2">
      <c r="A685" s="308" t="s">
        <v>66</v>
      </c>
      <c r="B685" s="259" t="s">
        <v>781</v>
      </c>
      <c r="C685" s="290">
        <f>(W685+X685)*$C$3</f>
        <v>2</v>
      </c>
      <c r="D685" s="290">
        <f t="shared" si="138"/>
        <v>0</v>
      </c>
      <c r="E685" s="290">
        <f>(Z685+AA685)*$E$3</f>
        <v>2</v>
      </c>
      <c r="F685" s="290">
        <f t="shared" si="139"/>
        <v>0</v>
      </c>
      <c r="G685" s="290">
        <f>(AC685+AD685)*$G$3</f>
        <v>10</v>
      </c>
      <c r="H685" s="290">
        <f t="shared" si="140"/>
        <v>0</v>
      </c>
      <c r="I685" s="290">
        <f>(AF685+AG685)*$I$3</f>
        <v>2</v>
      </c>
      <c r="J685" s="290">
        <f>I685*$Q685</f>
        <v>0</v>
      </c>
      <c r="K685" s="290">
        <f>(AI685+AJ685)*$K$3</f>
        <v>6</v>
      </c>
      <c r="L685" s="290">
        <f>K685*$Q685</f>
        <v>0</v>
      </c>
      <c r="M685" s="290">
        <f>(AL685+AM685)*$M$3</f>
        <v>2</v>
      </c>
      <c r="N685" s="290">
        <f>M685*$Q685</f>
        <v>0</v>
      </c>
      <c r="O685" s="290">
        <f>C685+E685+G685+I685+K685+M685</f>
        <v>24</v>
      </c>
      <c r="P685" s="153" t="s">
        <v>269</v>
      </c>
      <c r="Q685" s="262"/>
      <c r="R685" s="435">
        <f>O685*Q685</f>
        <v>0</v>
      </c>
      <c r="S685" s="264"/>
      <c r="T685" s="266">
        <v>1</v>
      </c>
      <c r="U685" s="266"/>
      <c r="V685" s="264"/>
      <c r="W685" s="266">
        <f>T685*$W$3</f>
        <v>2</v>
      </c>
      <c r="X685" s="266">
        <f>U685*$X$3</f>
        <v>0</v>
      </c>
      <c r="Y685" s="264"/>
      <c r="Z685" s="266">
        <f>W685</f>
        <v>2</v>
      </c>
      <c r="AA685" s="266">
        <f>U685*$AA$3</f>
        <v>0</v>
      </c>
      <c r="AB685" s="264"/>
      <c r="AC685" s="266">
        <f>W685</f>
        <v>2</v>
      </c>
      <c r="AD685" s="266">
        <f>U685*$AD$3</f>
        <v>0</v>
      </c>
      <c r="AE685" s="264"/>
      <c r="AF685" s="266">
        <f>W685</f>
        <v>2</v>
      </c>
      <c r="AG685" s="266">
        <f>U685*$AG$3</f>
        <v>0</v>
      </c>
      <c r="AH685" s="264"/>
      <c r="AI685" s="266">
        <f>W685</f>
        <v>2</v>
      </c>
      <c r="AJ685" s="266">
        <f>U685*$AJ$3</f>
        <v>0</v>
      </c>
      <c r="AK685" s="264"/>
      <c r="AL685" s="266">
        <f>W685</f>
        <v>2</v>
      </c>
      <c r="AM685" s="266">
        <f>U685*$AM$3</f>
        <v>0</v>
      </c>
    </row>
    <row r="686" spans="1:39" s="267" customFormat="1" x14ac:dyDescent="0.2">
      <c r="A686" s="308"/>
      <c r="B686" s="259"/>
      <c r="C686" s="290">
        <f>ROUND(W686*C$3,0)</f>
        <v>0</v>
      </c>
      <c r="D686" s="290">
        <f t="shared" si="138"/>
        <v>0</v>
      </c>
      <c r="E686" s="290">
        <f>ROUND(X686*E$3,0)</f>
        <v>0</v>
      </c>
      <c r="F686" s="290">
        <f t="shared" si="139"/>
        <v>0</v>
      </c>
      <c r="G686" s="290">
        <f>ROUND(Z686*G$3,0)</f>
        <v>0</v>
      </c>
      <c r="H686" s="290">
        <f t="shared" si="140"/>
        <v>0</v>
      </c>
      <c r="I686" s="290"/>
      <c r="J686" s="290"/>
      <c r="K686" s="290"/>
      <c r="L686" s="290"/>
      <c r="M686" s="290"/>
      <c r="N686" s="290"/>
      <c r="O686" s="290"/>
      <c r="P686" s="261"/>
      <c r="Q686" s="262"/>
      <c r="R686" s="435"/>
      <c r="S686" s="264"/>
      <c r="T686" s="266"/>
      <c r="U686" s="211"/>
      <c r="V686" s="264"/>
      <c r="W686" s="211"/>
      <c r="X686" s="211"/>
      <c r="Y686" s="264"/>
      <c r="Z686" s="211"/>
      <c r="AA686" s="211"/>
      <c r="AB686" s="264"/>
      <c r="AC686" s="211"/>
      <c r="AD686" s="211"/>
      <c r="AE686" s="264"/>
      <c r="AF686" s="211"/>
      <c r="AG686" s="211"/>
      <c r="AH686" s="264"/>
      <c r="AI686" s="211"/>
      <c r="AJ686" s="211"/>
      <c r="AK686" s="264"/>
      <c r="AL686" s="211"/>
      <c r="AM686" s="211"/>
    </row>
    <row r="687" spans="1:39" s="348" customFormat="1" x14ac:dyDescent="0.2">
      <c r="A687" s="353" t="s">
        <v>67</v>
      </c>
      <c r="B687" s="345" t="s">
        <v>782</v>
      </c>
      <c r="C687" s="346">
        <v>2</v>
      </c>
      <c r="D687" s="346">
        <v>0</v>
      </c>
      <c r="E687" s="346">
        <v>3</v>
      </c>
      <c r="F687" s="346">
        <v>0</v>
      </c>
      <c r="G687" s="346">
        <v>20</v>
      </c>
      <c r="H687" s="346">
        <v>0</v>
      </c>
      <c r="I687" s="346">
        <v>5</v>
      </c>
      <c r="J687" s="346">
        <v>0</v>
      </c>
      <c r="K687" s="346">
        <v>18</v>
      </c>
      <c r="L687" s="346">
        <v>0</v>
      </c>
      <c r="M687" s="346">
        <v>7</v>
      </c>
      <c r="N687" s="346">
        <f>M687*$Q687</f>
        <v>0</v>
      </c>
      <c r="O687" s="346">
        <f>C687+E687+G687+I687+K687+M687</f>
        <v>55</v>
      </c>
      <c r="P687" s="232" t="s">
        <v>269</v>
      </c>
      <c r="Q687" s="347"/>
      <c r="R687" s="442" t="s">
        <v>904</v>
      </c>
      <c r="T687" s="349"/>
      <c r="U687" s="349">
        <v>0</v>
      </c>
      <c r="W687" s="349">
        <f>T687*$W$3</f>
        <v>0</v>
      </c>
      <c r="X687" s="349">
        <f>U687*$X$3</f>
        <v>0</v>
      </c>
      <c r="Z687" s="349">
        <f>W687</f>
        <v>0</v>
      </c>
      <c r="AA687" s="349">
        <f>U687*$AA$3</f>
        <v>0</v>
      </c>
      <c r="AC687" s="349">
        <f>W687</f>
        <v>0</v>
      </c>
      <c r="AD687" s="349">
        <f>U687*$AD$3</f>
        <v>0</v>
      </c>
      <c r="AF687" s="349">
        <f>W687</f>
        <v>0</v>
      </c>
      <c r="AG687" s="349">
        <f>U687*$AG$3</f>
        <v>0</v>
      </c>
      <c r="AI687" s="349">
        <f>W687</f>
        <v>0</v>
      </c>
      <c r="AJ687" s="349">
        <f>U687*$AJ$3</f>
        <v>0</v>
      </c>
      <c r="AL687" s="349">
        <f>W687</f>
        <v>0</v>
      </c>
      <c r="AM687" s="349">
        <f>U687*$AM$3</f>
        <v>0</v>
      </c>
    </row>
    <row r="688" spans="1:39" s="267" customFormat="1" x14ac:dyDescent="0.2">
      <c r="A688" s="308"/>
      <c r="B688" s="259"/>
      <c r="C688" s="290">
        <f>ROUND(W688*C$3,0)</f>
        <v>0</v>
      </c>
      <c r="D688" s="290">
        <f t="shared" si="138"/>
        <v>0</v>
      </c>
      <c r="E688" s="290">
        <f>ROUND(X688*E$3,0)</f>
        <v>0</v>
      </c>
      <c r="F688" s="290">
        <f t="shared" si="139"/>
        <v>0</v>
      </c>
      <c r="G688" s="290">
        <f>ROUND(Z688*G$3,0)</f>
        <v>0</v>
      </c>
      <c r="H688" s="290">
        <f t="shared" si="140"/>
        <v>0</v>
      </c>
      <c r="I688" s="290"/>
      <c r="J688" s="290"/>
      <c r="K688" s="290"/>
      <c r="L688" s="290"/>
      <c r="M688" s="290"/>
      <c r="N688" s="290"/>
      <c r="O688" s="290"/>
      <c r="P688" s="261"/>
      <c r="Q688" s="262"/>
      <c r="R688" s="435"/>
      <c r="S688" s="264"/>
      <c r="T688" s="266"/>
      <c r="U688" s="211"/>
      <c r="V688" s="264"/>
      <c r="W688" s="211"/>
      <c r="X688" s="211"/>
      <c r="Y688" s="264"/>
      <c r="Z688" s="211"/>
      <c r="AA688" s="211"/>
      <c r="AB688" s="264"/>
      <c r="AC688" s="211"/>
      <c r="AD688" s="211"/>
      <c r="AE688" s="264"/>
      <c r="AF688" s="211"/>
      <c r="AG688" s="211"/>
      <c r="AH688" s="264"/>
      <c r="AI688" s="211"/>
      <c r="AJ688" s="211"/>
      <c r="AK688" s="264"/>
      <c r="AL688" s="211"/>
      <c r="AM688" s="211"/>
    </row>
    <row r="689" spans="1:39" s="267" customFormat="1" x14ac:dyDescent="0.2">
      <c r="A689" s="350" t="s">
        <v>68</v>
      </c>
      <c r="B689" s="259" t="s">
        <v>783</v>
      </c>
      <c r="C689" s="338">
        <f>(W689+X689)*$C$3</f>
        <v>4</v>
      </c>
      <c r="D689" s="338">
        <f t="shared" si="138"/>
        <v>0</v>
      </c>
      <c r="E689" s="338">
        <f>(Z689+AA689)*$E$3</f>
        <v>5</v>
      </c>
      <c r="F689" s="338">
        <f t="shared" si="139"/>
        <v>0</v>
      </c>
      <c r="G689" s="338">
        <f>(AC689+AD689)*$G$3</f>
        <v>30</v>
      </c>
      <c r="H689" s="338">
        <f t="shared" si="140"/>
        <v>0</v>
      </c>
      <c r="I689" s="338">
        <f>(AF689+AG689)*$I$3</f>
        <v>7</v>
      </c>
      <c r="J689" s="338">
        <f>I689*$Q689</f>
        <v>0</v>
      </c>
      <c r="K689" s="338">
        <f>(AI689+AJ689)*$K$3</f>
        <v>24</v>
      </c>
      <c r="L689" s="338">
        <f>K689*$Q689</f>
        <v>0</v>
      </c>
      <c r="M689" s="338">
        <f>(AL689+AM689)*$M$3</f>
        <v>9</v>
      </c>
      <c r="N689" s="338">
        <f>M689*$Q689</f>
        <v>0</v>
      </c>
      <c r="O689" s="338">
        <f>C689+E689+G689+I689+K689+M689</f>
        <v>79</v>
      </c>
      <c r="P689" s="153" t="s">
        <v>269</v>
      </c>
      <c r="Q689" s="431"/>
      <c r="R689" s="436">
        <f>O689*Q689</f>
        <v>0</v>
      </c>
      <c r="S689" s="264"/>
      <c r="T689" s="281">
        <v>1</v>
      </c>
      <c r="U689" s="266">
        <v>1</v>
      </c>
      <c r="V689" s="264"/>
      <c r="W689" s="266">
        <f>T689*$W$3</f>
        <v>2</v>
      </c>
      <c r="X689" s="266">
        <f>U689*$X$3</f>
        <v>2</v>
      </c>
      <c r="Y689" s="264"/>
      <c r="Z689" s="266">
        <f>W689</f>
        <v>2</v>
      </c>
      <c r="AA689" s="266">
        <f>U689*$AA$3</f>
        <v>3</v>
      </c>
      <c r="AB689" s="264"/>
      <c r="AC689" s="266">
        <f>W689</f>
        <v>2</v>
      </c>
      <c r="AD689" s="266">
        <f>U689*$AD$3</f>
        <v>4</v>
      </c>
      <c r="AE689" s="264"/>
      <c r="AF689" s="266">
        <f>W689</f>
        <v>2</v>
      </c>
      <c r="AG689" s="266">
        <f>U689*$AG$3</f>
        <v>5</v>
      </c>
      <c r="AH689" s="264"/>
      <c r="AI689" s="266">
        <f>W689</f>
        <v>2</v>
      </c>
      <c r="AJ689" s="266">
        <f>U689*$AJ$3</f>
        <v>6</v>
      </c>
      <c r="AK689" s="264"/>
      <c r="AL689" s="266">
        <f>W689</f>
        <v>2</v>
      </c>
      <c r="AM689" s="266">
        <f>U689*$AM$3</f>
        <v>7</v>
      </c>
    </row>
    <row r="690" spans="1:39" s="267" customFormat="1" x14ac:dyDescent="0.2">
      <c r="A690" s="308"/>
      <c r="B690" s="259"/>
      <c r="C690" s="290">
        <f>ROUND(W690*C$3,0)</f>
        <v>0</v>
      </c>
      <c r="D690" s="290">
        <f t="shared" si="138"/>
        <v>0</v>
      </c>
      <c r="E690" s="290">
        <f>ROUND(X690*E$3,0)</f>
        <v>0</v>
      </c>
      <c r="F690" s="290">
        <f t="shared" si="139"/>
        <v>0</v>
      </c>
      <c r="G690" s="290">
        <f>ROUND(Z690*G$3,0)</f>
        <v>0</v>
      </c>
      <c r="H690" s="290">
        <f t="shared" si="140"/>
        <v>0</v>
      </c>
      <c r="I690" s="290"/>
      <c r="J690" s="290"/>
      <c r="K690" s="290"/>
      <c r="L690" s="290"/>
      <c r="M690" s="290"/>
      <c r="N690" s="290"/>
      <c r="O690" s="290"/>
      <c r="P690" s="261"/>
      <c r="Q690" s="431"/>
      <c r="R690" s="436"/>
      <c r="S690" s="264"/>
      <c r="T690" s="266"/>
      <c r="U690" s="211"/>
      <c r="V690" s="264"/>
      <c r="W690" s="211"/>
      <c r="X690" s="211"/>
      <c r="Y690" s="264"/>
      <c r="Z690" s="211"/>
      <c r="AA690" s="211"/>
      <c r="AB690" s="264"/>
      <c r="AC690" s="211"/>
      <c r="AD690" s="211"/>
      <c r="AE690" s="264"/>
      <c r="AF690" s="211"/>
      <c r="AG690" s="211"/>
      <c r="AH690" s="264"/>
      <c r="AI690" s="211"/>
      <c r="AJ690" s="211"/>
      <c r="AK690" s="264"/>
      <c r="AL690" s="211"/>
      <c r="AM690" s="211"/>
    </row>
    <row r="691" spans="1:39" s="267" customFormat="1" x14ac:dyDescent="0.2">
      <c r="A691" s="350" t="s">
        <v>69</v>
      </c>
      <c r="B691" s="259" t="s">
        <v>784</v>
      </c>
      <c r="C691" s="290">
        <f>(W691+X691)*$C$3</f>
        <v>2</v>
      </c>
      <c r="D691" s="290">
        <f t="shared" si="138"/>
        <v>0</v>
      </c>
      <c r="E691" s="290">
        <f>(Z691+AA691)*$E$3</f>
        <v>3</v>
      </c>
      <c r="F691" s="290">
        <f t="shared" si="139"/>
        <v>0</v>
      </c>
      <c r="G691" s="290">
        <f>(AC691+AD691)*$G$3</f>
        <v>20</v>
      </c>
      <c r="H691" s="290">
        <f t="shared" si="140"/>
        <v>0</v>
      </c>
      <c r="I691" s="290">
        <f>(AF691+AG691)*$I$3</f>
        <v>5</v>
      </c>
      <c r="J691" s="290">
        <f>I691*$Q691</f>
        <v>0</v>
      </c>
      <c r="K691" s="290">
        <f>(AI691+AJ691)*$K$3</f>
        <v>18</v>
      </c>
      <c r="L691" s="290">
        <f>K691*$Q691</f>
        <v>0</v>
      </c>
      <c r="M691" s="290">
        <f>(AL691+AM691)*$M$3</f>
        <v>7</v>
      </c>
      <c r="N691" s="290">
        <f>M691*$Q691</f>
        <v>0</v>
      </c>
      <c r="O691" s="290">
        <f>C691+E691+G691+I691+K691+M691</f>
        <v>55</v>
      </c>
      <c r="P691" s="153" t="s">
        <v>269</v>
      </c>
      <c r="Q691" s="431"/>
      <c r="R691" s="436">
        <f>O691*Q691</f>
        <v>0</v>
      </c>
      <c r="S691" s="264"/>
      <c r="T691" s="266"/>
      <c r="U691" s="266">
        <v>1</v>
      </c>
      <c r="V691" s="264"/>
      <c r="W691" s="266">
        <f>T691*$W$3</f>
        <v>0</v>
      </c>
      <c r="X691" s="266">
        <f>U691*$X$3</f>
        <v>2</v>
      </c>
      <c r="Y691" s="264"/>
      <c r="Z691" s="266">
        <f>W691</f>
        <v>0</v>
      </c>
      <c r="AA691" s="266">
        <f>U691*$AA$3</f>
        <v>3</v>
      </c>
      <c r="AB691" s="264"/>
      <c r="AC691" s="266">
        <f>W691</f>
        <v>0</v>
      </c>
      <c r="AD691" s="266">
        <f>U691*$AD$3</f>
        <v>4</v>
      </c>
      <c r="AE691" s="264"/>
      <c r="AF691" s="266">
        <f>W691</f>
        <v>0</v>
      </c>
      <c r="AG691" s="266">
        <f>U691*$AG$3</f>
        <v>5</v>
      </c>
      <c r="AH691" s="264"/>
      <c r="AI691" s="266">
        <f>W691</f>
        <v>0</v>
      </c>
      <c r="AJ691" s="266">
        <f>U691*$AJ$3</f>
        <v>6</v>
      </c>
      <c r="AK691" s="264"/>
      <c r="AL691" s="266">
        <f>W691</f>
        <v>0</v>
      </c>
      <c r="AM691" s="266">
        <f>U691*$AM$3</f>
        <v>7</v>
      </c>
    </row>
    <row r="692" spans="1:39" s="267" customFormat="1" x14ac:dyDescent="0.2">
      <c r="A692" s="308"/>
      <c r="B692" s="259"/>
      <c r="C692" s="290">
        <f>ROUND(W692*C$3,0)</f>
        <v>0</v>
      </c>
      <c r="D692" s="290">
        <f t="shared" si="138"/>
        <v>0</v>
      </c>
      <c r="E692" s="290">
        <f>ROUND(X692*E$3,0)</f>
        <v>0</v>
      </c>
      <c r="F692" s="290">
        <f t="shared" si="139"/>
        <v>0</v>
      </c>
      <c r="G692" s="290">
        <f>ROUND(Z692*G$3,0)</f>
        <v>0</v>
      </c>
      <c r="H692" s="290">
        <f t="shared" si="140"/>
        <v>0</v>
      </c>
      <c r="I692" s="290"/>
      <c r="J692" s="290"/>
      <c r="K692" s="290"/>
      <c r="L692" s="290"/>
      <c r="M692" s="290"/>
      <c r="N692" s="290"/>
      <c r="O692" s="290"/>
      <c r="P692" s="261"/>
      <c r="Q692" s="431"/>
      <c r="R692" s="436"/>
      <c r="S692" s="264"/>
      <c r="T692" s="266"/>
      <c r="U692" s="211"/>
      <c r="V692" s="264"/>
      <c r="W692" s="211"/>
      <c r="X692" s="211"/>
      <c r="Y692" s="264"/>
      <c r="Z692" s="211"/>
      <c r="AA692" s="211"/>
      <c r="AB692" s="264"/>
      <c r="AC692" s="211"/>
      <c r="AD692" s="211"/>
      <c r="AE692" s="264"/>
      <c r="AF692" s="211"/>
      <c r="AG692" s="211"/>
      <c r="AH692" s="264"/>
      <c r="AI692" s="211"/>
      <c r="AJ692" s="211"/>
      <c r="AK692" s="264"/>
      <c r="AL692" s="211"/>
      <c r="AM692" s="211"/>
    </row>
    <row r="693" spans="1:39" s="342" customFormat="1" x14ac:dyDescent="0.2">
      <c r="A693" s="350" t="s">
        <v>70</v>
      </c>
      <c r="B693" s="341" t="s">
        <v>924</v>
      </c>
      <c r="C693" s="338">
        <f>(W693+X693)*$C$3</f>
        <v>8</v>
      </c>
      <c r="D693" s="338">
        <f t="shared" si="138"/>
        <v>0</v>
      </c>
      <c r="E693" s="338">
        <f>(Z693+AA693)*$E$3</f>
        <v>9</v>
      </c>
      <c r="F693" s="338">
        <f t="shared" si="139"/>
        <v>0</v>
      </c>
      <c r="G693" s="338">
        <f>(AC693+AD693)*$G$3</f>
        <v>50</v>
      </c>
      <c r="H693" s="338">
        <f t="shared" si="140"/>
        <v>0</v>
      </c>
      <c r="I693" s="338">
        <f>(AF693+AG693)*$I$3</f>
        <v>11</v>
      </c>
      <c r="J693" s="338">
        <f>I693*$Q693</f>
        <v>0</v>
      </c>
      <c r="K693" s="338">
        <f>(AI693+AJ693)*$K$3</f>
        <v>36</v>
      </c>
      <c r="L693" s="338">
        <f>K693*$Q693</f>
        <v>0</v>
      </c>
      <c r="M693" s="338">
        <f>(AL693+AM693)*$M$3</f>
        <v>13</v>
      </c>
      <c r="N693" s="338">
        <f>M693*$Q693</f>
        <v>0</v>
      </c>
      <c r="O693" s="338">
        <f>C693+E693+G693+I693+K693+M693</f>
        <v>127</v>
      </c>
      <c r="P693" s="235" t="s">
        <v>269</v>
      </c>
      <c r="Q693" s="431"/>
      <c r="R693" s="436"/>
      <c r="T693" s="343">
        <v>3</v>
      </c>
      <c r="U693" s="343">
        <v>1</v>
      </c>
      <c r="W693" s="343">
        <f>T693*$W$3</f>
        <v>6</v>
      </c>
      <c r="X693" s="343">
        <f>U693*$X$3</f>
        <v>2</v>
      </c>
      <c r="Z693" s="343">
        <f>W693</f>
        <v>6</v>
      </c>
      <c r="AA693" s="343">
        <f>U693*$AA$3</f>
        <v>3</v>
      </c>
      <c r="AC693" s="343">
        <f>W693</f>
        <v>6</v>
      </c>
      <c r="AD693" s="343">
        <f>U693*$AD$3</f>
        <v>4</v>
      </c>
      <c r="AF693" s="343">
        <f>W693</f>
        <v>6</v>
      </c>
      <c r="AG693" s="343">
        <f>U693*$AG$3</f>
        <v>5</v>
      </c>
      <c r="AI693" s="343">
        <f>W693</f>
        <v>6</v>
      </c>
      <c r="AJ693" s="343">
        <f>U693*$AJ$3</f>
        <v>6</v>
      </c>
      <c r="AL693" s="343">
        <f>W693</f>
        <v>6</v>
      </c>
      <c r="AM693" s="343">
        <f>U693*$AM$3</f>
        <v>7</v>
      </c>
    </row>
    <row r="694" spans="1:39" s="267" customFormat="1" x14ac:dyDescent="0.2">
      <c r="A694" s="258"/>
      <c r="B694" s="259"/>
      <c r="C694" s="290"/>
      <c r="D694" s="290"/>
      <c r="E694" s="290"/>
      <c r="F694" s="290"/>
      <c r="G694" s="290"/>
      <c r="H694" s="290"/>
      <c r="I694" s="290"/>
      <c r="J694" s="290"/>
      <c r="K694" s="290"/>
      <c r="L694" s="290"/>
      <c r="M694" s="290"/>
      <c r="N694" s="290"/>
      <c r="O694" s="290"/>
      <c r="P694" s="153"/>
      <c r="Q694" s="431"/>
      <c r="R694" s="436"/>
      <c r="S694" s="264"/>
      <c r="T694" s="266"/>
      <c r="U694" s="211"/>
      <c r="V694" s="264"/>
      <c r="W694" s="211"/>
      <c r="X694" s="211"/>
      <c r="Y694" s="264"/>
      <c r="Z694" s="211"/>
      <c r="AA694" s="211"/>
      <c r="AB694" s="264"/>
      <c r="AC694" s="211"/>
      <c r="AD694" s="211"/>
      <c r="AE694" s="264"/>
      <c r="AF694" s="211"/>
      <c r="AG694" s="211"/>
      <c r="AH694" s="264"/>
      <c r="AI694" s="211"/>
      <c r="AJ694" s="211"/>
      <c r="AK694" s="264"/>
      <c r="AL694" s="211"/>
      <c r="AM694" s="211"/>
    </row>
    <row r="695" spans="1:39" s="342" customFormat="1" x14ac:dyDescent="0.2">
      <c r="A695" s="340" t="s">
        <v>71</v>
      </c>
      <c r="B695" s="341" t="s">
        <v>925</v>
      </c>
      <c r="C695" s="338">
        <f>(W695+X695)*$C$3</f>
        <v>4</v>
      </c>
      <c r="D695" s="338">
        <f t="shared" ref="D695" si="141">C695*$Q695</f>
        <v>0</v>
      </c>
      <c r="E695" s="338">
        <f>(Z695+AA695)*$E$3</f>
        <v>5</v>
      </c>
      <c r="F695" s="338">
        <f t="shared" ref="F695" si="142">E695*$Q695</f>
        <v>0</v>
      </c>
      <c r="G695" s="338">
        <f>(AC695+AD695)*$G$3</f>
        <v>30</v>
      </c>
      <c r="H695" s="338">
        <f t="shared" ref="H695" si="143">G695*$Q695</f>
        <v>0</v>
      </c>
      <c r="I695" s="338">
        <f>(AF695+AG695)*$I$3</f>
        <v>7</v>
      </c>
      <c r="J695" s="338">
        <f>I695*$Q695</f>
        <v>0</v>
      </c>
      <c r="K695" s="338">
        <f>(AI695+AJ695)*$K$3</f>
        <v>24</v>
      </c>
      <c r="L695" s="338">
        <f>K695*$Q695</f>
        <v>0</v>
      </c>
      <c r="M695" s="338">
        <f>(AL695+AM695)*$M$3</f>
        <v>9</v>
      </c>
      <c r="N695" s="338">
        <f>M695*$Q695</f>
        <v>0</v>
      </c>
      <c r="O695" s="338">
        <f>C695+E695+G695+I695+K695+M695</f>
        <v>79</v>
      </c>
      <c r="P695" s="235" t="s">
        <v>269</v>
      </c>
      <c r="Q695" s="431"/>
      <c r="R695" s="436"/>
      <c r="T695" s="343">
        <v>1</v>
      </c>
      <c r="U695" s="343">
        <v>1</v>
      </c>
      <c r="W695" s="343">
        <f>T695*$W$3</f>
        <v>2</v>
      </c>
      <c r="X695" s="343">
        <f>U695*$X$3</f>
        <v>2</v>
      </c>
      <c r="Z695" s="343">
        <f>W695</f>
        <v>2</v>
      </c>
      <c r="AA695" s="343">
        <f>U695*$AA$3</f>
        <v>3</v>
      </c>
      <c r="AC695" s="343">
        <f>W695</f>
        <v>2</v>
      </c>
      <c r="AD695" s="343">
        <f>U695*$AD$3</f>
        <v>4</v>
      </c>
      <c r="AF695" s="343">
        <f>W695</f>
        <v>2</v>
      </c>
      <c r="AG695" s="343">
        <f>U695*$AG$3</f>
        <v>5</v>
      </c>
      <c r="AI695" s="343">
        <f>W695</f>
        <v>2</v>
      </c>
      <c r="AJ695" s="343">
        <f>U695*$AJ$3</f>
        <v>6</v>
      </c>
      <c r="AL695" s="343">
        <f>W695</f>
        <v>2</v>
      </c>
      <c r="AM695" s="343">
        <f>U695*$AM$3</f>
        <v>7</v>
      </c>
    </row>
    <row r="696" spans="1:39" s="267" customFormat="1" x14ac:dyDescent="0.2">
      <c r="A696" s="258"/>
      <c r="B696" s="259"/>
      <c r="C696" s="290"/>
      <c r="D696" s="290"/>
      <c r="E696" s="290"/>
      <c r="F696" s="290"/>
      <c r="G696" s="290"/>
      <c r="H696" s="290"/>
      <c r="I696" s="290"/>
      <c r="J696" s="290"/>
      <c r="K696" s="290"/>
      <c r="L696" s="290"/>
      <c r="M696" s="290"/>
      <c r="N696" s="290"/>
      <c r="O696" s="290"/>
      <c r="P696" s="153"/>
      <c r="Q696" s="431"/>
      <c r="R696" s="436"/>
      <c r="S696" s="264"/>
      <c r="T696" s="266"/>
      <c r="U696" s="211"/>
      <c r="V696" s="264"/>
      <c r="W696" s="211"/>
      <c r="X696" s="211"/>
      <c r="Y696" s="264"/>
      <c r="Z696" s="211"/>
      <c r="AA696" s="211"/>
      <c r="AB696" s="264"/>
      <c r="AC696" s="211"/>
      <c r="AD696" s="211"/>
      <c r="AE696" s="264"/>
      <c r="AF696" s="211"/>
      <c r="AG696" s="211"/>
      <c r="AH696" s="264"/>
      <c r="AI696" s="211"/>
      <c r="AJ696" s="211"/>
      <c r="AK696" s="264"/>
      <c r="AL696" s="211"/>
      <c r="AM696" s="211"/>
    </row>
    <row r="697" spans="1:39" s="267" customFormat="1" x14ac:dyDescent="0.2">
      <c r="A697" s="258"/>
      <c r="B697" s="293" t="s">
        <v>787</v>
      </c>
      <c r="C697" s="290"/>
      <c r="D697" s="290"/>
      <c r="E697" s="290"/>
      <c r="F697" s="290"/>
      <c r="G697" s="290"/>
      <c r="H697" s="290"/>
      <c r="I697" s="290"/>
      <c r="J697" s="290"/>
      <c r="K697" s="290"/>
      <c r="L697" s="290"/>
      <c r="M697" s="290"/>
      <c r="N697" s="290"/>
      <c r="O697" s="290"/>
      <c r="P697" s="261"/>
      <c r="Q697" s="431"/>
      <c r="R697" s="436"/>
      <c r="S697" s="264"/>
      <c r="T697" s="266"/>
      <c r="U697" s="211"/>
      <c r="V697" s="264"/>
      <c r="W697" s="211"/>
      <c r="X697" s="211"/>
      <c r="Y697" s="264"/>
      <c r="Z697" s="211"/>
      <c r="AA697" s="211"/>
      <c r="AB697" s="264"/>
      <c r="AC697" s="211"/>
      <c r="AD697" s="211"/>
      <c r="AE697" s="264"/>
      <c r="AF697" s="211"/>
      <c r="AG697" s="211"/>
      <c r="AH697" s="264"/>
      <c r="AI697" s="211"/>
      <c r="AJ697" s="211"/>
      <c r="AK697" s="264"/>
      <c r="AL697" s="211"/>
      <c r="AM697" s="211"/>
    </row>
    <row r="698" spans="1:39" s="267" customFormat="1" x14ac:dyDescent="0.2">
      <c r="A698" s="308"/>
      <c r="B698" s="293"/>
      <c r="C698" s="290"/>
      <c r="D698" s="290"/>
      <c r="E698" s="290"/>
      <c r="F698" s="290"/>
      <c r="G698" s="290"/>
      <c r="H698" s="290"/>
      <c r="I698" s="290"/>
      <c r="J698" s="290"/>
      <c r="K698" s="290"/>
      <c r="L698" s="290"/>
      <c r="M698" s="290"/>
      <c r="N698" s="290"/>
      <c r="O698" s="290"/>
      <c r="P698" s="261"/>
      <c r="Q698" s="262"/>
      <c r="R698" s="435"/>
      <c r="S698" s="264"/>
      <c r="T698" s="266"/>
      <c r="U698" s="211"/>
      <c r="V698" s="264"/>
      <c r="W698" s="211"/>
      <c r="X698" s="211"/>
      <c r="Y698" s="264"/>
      <c r="Z698" s="211"/>
      <c r="AA698" s="211"/>
      <c r="AB698" s="264"/>
      <c r="AC698" s="211"/>
      <c r="AD698" s="211"/>
      <c r="AE698" s="264"/>
      <c r="AF698" s="211"/>
      <c r="AG698" s="211"/>
      <c r="AH698" s="264"/>
      <c r="AI698" s="211"/>
      <c r="AJ698" s="211"/>
      <c r="AK698" s="264"/>
      <c r="AL698" s="211"/>
      <c r="AM698" s="211"/>
    </row>
    <row r="699" spans="1:39" s="348" customFormat="1" x14ac:dyDescent="0.2">
      <c r="A699" s="353" t="s">
        <v>71</v>
      </c>
      <c r="B699" s="345" t="s">
        <v>788</v>
      </c>
      <c r="C699" s="346">
        <v>2</v>
      </c>
      <c r="D699" s="346">
        <v>0</v>
      </c>
      <c r="E699" s="346">
        <v>3</v>
      </c>
      <c r="F699" s="346">
        <v>0</v>
      </c>
      <c r="G699" s="346">
        <v>20</v>
      </c>
      <c r="H699" s="346">
        <v>0</v>
      </c>
      <c r="I699" s="346">
        <v>5</v>
      </c>
      <c r="J699" s="346">
        <v>0</v>
      </c>
      <c r="K699" s="346">
        <v>18</v>
      </c>
      <c r="L699" s="346">
        <v>0</v>
      </c>
      <c r="M699" s="346">
        <v>7</v>
      </c>
      <c r="N699" s="346">
        <f>M699*$Q699</f>
        <v>0</v>
      </c>
      <c r="O699" s="346">
        <f>C699+E699+G699+I699+K699+M699</f>
        <v>55</v>
      </c>
      <c r="P699" s="232" t="s">
        <v>12</v>
      </c>
      <c r="Q699" s="347"/>
      <c r="R699" s="442" t="s">
        <v>904</v>
      </c>
      <c r="T699" s="349"/>
      <c r="U699" s="349">
        <v>0</v>
      </c>
      <c r="W699" s="349">
        <f>T699*$W$3</f>
        <v>0</v>
      </c>
      <c r="X699" s="349">
        <f>U699*$X$3</f>
        <v>0</v>
      </c>
      <c r="Z699" s="349">
        <f>W699</f>
        <v>0</v>
      </c>
      <c r="AA699" s="349">
        <f>U699*$AA$3</f>
        <v>0</v>
      </c>
      <c r="AC699" s="349">
        <f>W699</f>
        <v>0</v>
      </c>
      <c r="AD699" s="349">
        <f>U699*$AD$3</f>
        <v>0</v>
      </c>
      <c r="AF699" s="349">
        <f>W699</f>
        <v>0</v>
      </c>
      <c r="AG699" s="349">
        <f>U699*$AG$3</f>
        <v>0</v>
      </c>
      <c r="AI699" s="349">
        <f>W699</f>
        <v>0</v>
      </c>
      <c r="AJ699" s="349">
        <f>U699*$AJ$3</f>
        <v>0</v>
      </c>
      <c r="AL699" s="349">
        <f>W699</f>
        <v>0</v>
      </c>
      <c r="AM699" s="349">
        <f>U699*$AM$3</f>
        <v>0</v>
      </c>
    </row>
    <row r="700" spans="1:39" s="267" customFormat="1" x14ac:dyDescent="0.2">
      <c r="A700" s="308"/>
      <c r="B700" s="259"/>
      <c r="C700" s="290"/>
      <c r="D700" s="290"/>
      <c r="E700" s="290"/>
      <c r="F700" s="290"/>
      <c r="G700" s="290"/>
      <c r="H700" s="290"/>
      <c r="I700" s="290"/>
      <c r="J700" s="290"/>
      <c r="K700" s="290"/>
      <c r="L700" s="290"/>
      <c r="M700" s="290"/>
      <c r="N700" s="290"/>
      <c r="O700" s="290"/>
      <c r="P700" s="153"/>
      <c r="Q700" s="262"/>
      <c r="R700" s="435"/>
      <c r="S700" s="264"/>
      <c r="T700" s="266"/>
      <c r="U700" s="266"/>
      <c r="V700" s="264"/>
      <c r="W700" s="266"/>
      <c r="X700" s="266"/>
      <c r="Y700" s="264"/>
      <c r="Z700" s="266"/>
      <c r="AA700" s="266"/>
      <c r="AB700" s="264"/>
      <c r="AC700" s="266"/>
      <c r="AD700" s="266"/>
      <c r="AE700" s="264"/>
      <c r="AF700" s="266"/>
      <c r="AG700" s="266"/>
      <c r="AH700" s="264"/>
      <c r="AI700" s="266"/>
      <c r="AJ700" s="266"/>
      <c r="AK700" s="264"/>
      <c r="AL700" s="266"/>
      <c r="AM700" s="266"/>
    </row>
    <row r="701" spans="1:39" s="267" customFormat="1" x14ac:dyDescent="0.2">
      <c r="A701" s="444" t="s">
        <v>72</v>
      </c>
      <c r="B701" s="259" t="s">
        <v>789</v>
      </c>
      <c r="C701" s="338">
        <f>(W701+X701)*$C$3</f>
        <v>4</v>
      </c>
      <c r="D701" s="338">
        <f>C701*$Q701</f>
        <v>0</v>
      </c>
      <c r="E701" s="338">
        <f>(Z701+AA701)*$E$3</f>
        <v>5</v>
      </c>
      <c r="F701" s="338">
        <f>E701*$Q701</f>
        <v>0</v>
      </c>
      <c r="G701" s="338">
        <f>(AC701+AD701)*$G$3</f>
        <v>30</v>
      </c>
      <c r="H701" s="338">
        <f>G701*$Q701</f>
        <v>0</v>
      </c>
      <c r="I701" s="338">
        <f>(AF701+AG701)*$I$3</f>
        <v>7</v>
      </c>
      <c r="J701" s="338">
        <f>I701*$Q701</f>
        <v>0</v>
      </c>
      <c r="K701" s="338">
        <f>(AI701+AJ701)*$K$3</f>
        <v>24</v>
      </c>
      <c r="L701" s="338">
        <f>K701*$Q701</f>
        <v>0</v>
      </c>
      <c r="M701" s="338">
        <f>(AL701+AM701)*$M$3</f>
        <v>9</v>
      </c>
      <c r="N701" s="338">
        <f>M701*$Q701</f>
        <v>0</v>
      </c>
      <c r="O701" s="338">
        <f>C701+E701+G701+I701+K701+M701</f>
        <v>79</v>
      </c>
      <c r="P701" s="153" t="s">
        <v>12</v>
      </c>
      <c r="Q701" s="262"/>
      <c r="R701" s="435">
        <f>O701*Q701</f>
        <v>0</v>
      </c>
      <c r="S701" s="264"/>
      <c r="T701" s="266">
        <v>1</v>
      </c>
      <c r="U701" s="281">
        <v>1</v>
      </c>
      <c r="V701" s="264"/>
      <c r="W701" s="266">
        <f>T701*$W$3</f>
        <v>2</v>
      </c>
      <c r="X701" s="266">
        <f>U701*$X$3</f>
        <v>2</v>
      </c>
      <c r="Y701" s="264"/>
      <c r="Z701" s="266">
        <f>W701</f>
        <v>2</v>
      </c>
      <c r="AA701" s="266">
        <f>U701*$AA$3</f>
        <v>3</v>
      </c>
      <c r="AB701" s="264"/>
      <c r="AC701" s="266">
        <f>W701</f>
        <v>2</v>
      </c>
      <c r="AD701" s="266">
        <f>U701*$AD$3</f>
        <v>4</v>
      </c>
      <c r="AE701" s="264"/>
      <c r="AF701" s="266">
        <f>W701</f>
        <v>2</v>
      </c>
      <c r="AG701" s="266">
        <f>U701*$AG$3</f>
        <v>5</v>
      </c>
      <c r="AH701" s="264"/>
      <c r="AI701" s="266">
        <f>W701</f>
        <v>2</v>
      </c>
      <c r="AJ701" s="266">
        <f>U701*$AJ$3</f>
        <v>6</v>
      </c>
      <c r="AK701" s="264"/>
      <c r="AL701" s="266">
        <f>W701</f>
        <v>2</v>
      </c>
      <c r="AM701" s="266">
        <f>U701*$AM$3</f>
        <v>7</v>
      </c>
    </row>
    <row r="702" spans="1:39" s="267" customFormat="1" x14ac:dyDescent="0.2">
      <c r="A702" s="258"/>
      <c r="B702" s="293"/>
      <c r="C702" s="290"/>
      <c r="D702" s="290"/>
      <c r="E702" s="290"/>
      <c r="F702" s="290"/>
      <c r="G702" s="290"/>
      <c r="H702" s="290"/>
      <c r="I702" s="290"/>
      <c r="J702" s="290"/>
      <c r="K702" s="290"/>
      <c r="L702" s="290"/>
      <c r="M702" s="290"/>
      <c r="N702" s="290"/>
      <c r="O702" s="290"/>
      <c r="P702" s="261"/>
      <c r="Q702" s="262"/>
      <c r="R702" s="435"/>
      <c r="S702" s="264"/>
      <c r="T702" s="266"/>
      <c r="U702" s="211"/>
      <c r="V702" s="264"/>
      <c r="W702" s="211"/>
      <c r="X702" s="211"/>
      <c r="Y702" s="264"/>
      <c r="Z702" s="211"/>
      <c r="AA702" s="211"/>
      <c r="AB702" s="264"/>
      <c r="AC702" s="211"/>
      <c r="AD702" s="211"/>
      <c r="AE702" s="264"/>
      <c r="AF702" s="211"/>
      <c r="AG702" s="211"/>
      <c r="AH702" s="264"/>
      <c r="AI702" s="211"/>
      <c r="AJ702" s="211"/>
      <c r="AK702" s="264"/>
      <c r="AL702" s="211"/>
      <c r="AM702" s="211"/>
    </row>
    <row r="703" spans="1:39" s="342" customFormat="1" x14ac:dyDescent="0.2">
      <c r="A703" s="350" t="s">
        <v>73</v>
      </c>
      <c r="B703" s="341" t="s">
        <v>926</v>
      </c>
      <c r="C703" s="338">
        <f>(W703+X703)*$C$3</f>
        <v>4</v>
      </c>
      <c r="D703" s="338">
        <f>C703*$Q703</f>
        <v>0</v>
      </c>
      <c r="E703" s="338">
        <f>(Z703+AA703)*$E$3</f>
        <v>5</v>
      </c>
      <c r="F703" s="338">
        <f>E703*$Q703</f>
        <v>0</v>
      </c>
      <c r="G703" s="338">
        <f>(AC703+AD703)*$G$3</f>
        <v>30</v>
      </c>
      <c r="H703" s="338">
        <f>G703*$Q703</f>
        <v>0</v>
      </c>
      <c r="I703" s="338">
        <f>(AF703+AG703)*$I$3</f>
        <v>7</v>
      </c>
      <c r="J703" s="338">
        <f>I703*$Q703</f>
        <v>0</v>
      </c>
      <c r="K703" s="338">
        <f>(AI703+AJ703)*$K$3</f>
        <v>24</v>
      </c>
      <c r="L703" s="338">
        <f>K703*$Q703</f>
        <v>0</v>
      </c>
      <c r="M703" s="338">
        <f>(AL703+AM703)*$M$3</f>
        <v>9</v>
      </c>
      <c r="N703" s="338">
        <f>M703*$Q703</f>
        <v>0</v>
      </c>
      <c r="O703" s="338">
        <f>C703+E703+G703+I703+K703+M703</f>
        <v>79</v>
      </c>
      <c r="P703" s="9" t="s">
        <v>12</v>
      </c>
      <c r="Q703" s="431"/>
      <c r="R703" s="436"/>
      <c r="T703" s="343">
        <v>1</v>
      </c>
      <c r="U703" s="343">
        <v>1</v>
      </c>
      <c r="W703" s="343">
        <f>T703*$W$3</f>
        <v>2</v>
      </c>
      <c r="X703" s="343">
        <f>U703*$X$3</f>
        <v>2</v>
      </c>
      <c r="Z703" s="343">
        <f>W703</f>
        <v>2</v>
      </c>
      <c r="AA703" s="343">
        <f>U703*$AA$3</f>
        <v>3</v>
      </c>
      <c r="AC703" s="343">
        <f>W703</f>
        <v>2</v>
      </c>
      <c r="AD703" s="343">
        <f>U703*$AD$3</f>
        <v>4</v>
      </c>
      <c r="AF703" s="343">
        <f>W703</f>
        <v>2</v>
      </c>
      <c r="AG703" s="343">
        <f>U703*$AG$3</f>
        <v>5</v>
      </c>
      <c r="AI703" s="343">
        <f>W703</f>
        <v>2</v>
      </c>
      <c r="AJ703" s="343">
        <f>U703*$AJ$3</f>
        <v>6</v>
      </c>
      <c r="AL703" s="343">
        <f>W703</f>
        <v>2</v>
      </c>
      <c r="AM703" s="343">
        <f>U703*$AM$3</f>
        <v>7</v>
      </c>
    </row>
    <row r="704" spans="1:39" s="267" customFormat="1" x14ac:dyDescent="0.2">
      <c r="A704" s="308"/>
      <c r="B704" s="259"/>
      <c r="C704" s="443"/>
      <c r="D704" s="443"/>
      <c r="E704" s="443"/>
      <c r="F704" s="443"/>
      <c r="G704" s="443"/>
      <c r="H704" s="443"/>
      <c r="I704" s="443"/>
      <c r="J704" s="443"/>
      <c r="K704" s="443"/>
      <c r="L704" s="443"/>
      <c r="M704" s="443"/>
      <c r="N704" s="443"/>
      <c r="O704" s="443"/>
      <c r="P704" s="9"/>
      <c r="Q704" s="431"/>
      <c r="R704" s="436"/>
      <c r="S704" s="264"/>
      <c r="T704" s="266"/>
      <c r="U704" s="266"/>
      <c r="V704" s="264"/>
      <c r="W704" s="266"/>
      <c r="X704" s="266"/>
      <c r="Y704" s="264"/>
      <c r="Z704" s="266"/>
      <c r="AA704" s="266"/>
      <c r="AB704" s="264"/>
      <c r="AC704" s="266"/>
      <c r="AD704" s="266"/>
      <c r="AE704" s="264"/>
      <c r="AF704" s="266"/>
      <c r="AG704" s="266"/>
      <c r="AH704" s="264"/>
      <c r="AI704" s="266"/>
      <c r="AJ704" s="266"/>
      <c r="AK704" s="264"/>
      <c r="AL704" s="266"/>
      <c r="AM704" s="266"/>
    </row>
    <row r="705" spans="1:39" s="342" customFormat="1" x14ac:dyDescent="0.2">
      <c r="A705" s="444" t="s">
        <v>74</v>
      </c>
      <c r="B705" s="354" t="s">
        <v>927</v>
      </c>
      <c r="C705" s="443">
        <f>(W705+X705)*$C$3</f>
        <v>2</v>
      </c>
      <c r="D705" s="443">
        <f>C705*$Q705</f>
        <v>0</v>
      </c>
      <c r="E705" s="443">
        <f>(Z705+AA705)*$E$3</f>
        <v>2</v>
      </c>
      <c r="F705" s="443">
        <f>E705*$Q705</f>
        <v>0</v>
      </c>
      <c r="G705" s="443">
        <f>(AC705+AD705)*$G$3</f>
        <v>10</v>
      </c>
      <c r="H705" s="443">
        <f>G705*$Q705</f>
        <v>0</v>
      </c>
      <c r="I705" s="443">
        <f>(AF705+AG705)*$I$3</f>
        <v>2</v>
      </c>
      <c r="J705" s="443">
        <f>I705*$Q705</f>
        <v>0</v>
      </c>
      <c r="K705" s="443">
        <f>(AI705+AJ705)*$K$3</f>
        <v>6</v>
      </c>
      <c r="L705" s="443">
        <f>K705*$Q705</f>
        <v>0</v>
      </c>
      <c r="M705" s="443">
        <f>(AL705+AM705)*$M$3</f>
        <v>2</v>
      </c>
      <c r="N705" s="443">
        <f>M705*$Q705</f>
        <v>0</v>
      </c>
      <c r="O705" s="443">
        <f>C705+E705+G705+I705+K705+M705</f>
        <v>24</v>
      </c>
      <c r="P705" s="9" t="s">
        <v>12</v>
      </c>
      <c r="Q705" s="431"/>
      <c r="R705" s="436"/>
      <c r="T705" s="343">
        <v>1</v>
      </c>
      <c r="U705" s="343"/>
      <c r="W705" s="343">
        <f>T705*$W$3</f>
        <v>2</v>
      </c>
      <c r="X705" s="343">
        <f>U705*$X$3</f>
        <v>0</v>
      </c>
      <c r="Z705" s="343">
        <f>W705</f>
        <v>2</v>
      </c>
      <c r="AA705" s="343">
        <f>U705*$AA$3</f>
        <v>0</v>
      </c>
      <c r="AC705" s="343">
        <f>W705</f>
        <v>2</v>
      </c>
      <c r="AD705" s="343">
        <f>U705*$AD$3</f>
        <v>0</v>
      </c>
      <c r="AF705" s="343">
        <f>W705</f>
        <v>2</v>
      </c>
      <c r="AG705" s="343">
        <f>U705*$AG$3</f>
        <v>0</v>
      </c>
      <c r="AI705" s="343">
        <f>W705</f>
        <v>2</v>
      </c>
      <c r="AJ705" s="343">
        <f>U705*$AJ$3</f>
        <v>0</v>
      </c>
      <c r="AL705" s="343">
        <f>W705</f>
        <v>2</v>
      </c>
      <c r="AM705" s="343">
        <f>U705*$AM$3</f>
        <v>0</v>
      </c>
    </row>
    <row r="706" spans="1:39" s="267" customFormat="1" x14ac:dyDescent="0.2">
      <c r="A706" s="444"/>
      <c r="B706" s="259"/>
      <c r="C706" s="443"/>
      <c r="D706" s="443"/>
      <c r="E706" s="443"/>
      <c r="F706" s="443"/>
      <c r="G706" s="443"/>
      <c r="H706" s="443"/>
      <c r="I706" s="443"/>
      <c r="J706" s="443"/>
      <c r="K706" s="443"/>
      <c r="L706" s="443"/>
      <c r="M706" s="443"/>
      <c r="N706" s="443"/>
      <c r="O706" s="443"/>
      <c r="P706" s="9"/>
      <c r="Q706" s="431"/>
      <c r="R706" s="436"/>
      <c r="S706" s="264"/>
      <c r="T706" s="266"/>
      <c r="U706" s="266"/>
      <c r="V706" s="264"/>
      <c r="W706" s="266"/>
      <c r="X706" s="266"/>
      <c r="Y706" s="264"/>
      <c r="Z706" s="266"/>
      <c r="AA706" s="266"/>
      <c r="AB706" s="264"/>
      <c r="AC706" s="266"/>
      <c r="AD706" s="266"/>
      <c r="AE706" s="264"/>
      <c r="AF706" s="266"/>
      <c r="AG706" s="266"/>
      <c r="AH706" s="264"/>
      <c r="AI706" s="266"/>
      <c r="AJ706" s="266"/>
      <c r="AK706" s="264"/>
      <c r="AL706" s="266"/>
      <c r="AM706" s="266"/>
    </row>
    <row r="707" spans="1:39" s="342" customFormat="1" x14ac:dyDescent="0.2">
      <c r="A707" s="444" t="s">
        <v>75</v>
      </c>
      <c r="B707" s="354" t="s">
        <v>928</v>
      </c>
      <c r="C707" s="443">
        <f>(W707+X707)*$C$3</f>
        <v>4</v>
      </c>
      <c r="D707" s="443">
        <f>C707*$Q707</f>
        <v>0</v>
      </c>
      <c r="E707" s="443">
        <f>(Z707+AA707)*$E$3</f>
        <v>5</v>
      </c>
      <c r="F707" s="443">
        <f>E707*$Q707</f>
        <v>0</v>
      </c>
      <c r="G707" s="443">
        <f>(AC707+AD707)*$G$3</f>
        <v>30</v>
      </c>
      <c r="H707" s="443">
        <f>G707*$Q707</f>
        <v>0</v>
      </c>
      <c r="I707" s="443">
        <f>(AF707+AG707)*$I$3</f>
        <v>7</v>
      </c>
      <c r="J707" s="443">
        <f>I707*$Q707</f>
        <v>0</v>
      </c>
      <c r="K707" s="443">
        <f>(AI707+AJ707)*$K$3</f>
        <v>24</v>
      </c>
      <c r="L707" s="443">
        <f>K707*$Q707</f>
        <v>0</v>
      </c>
      <c r="M707" s="443">
        <f>(AL707+AM707)*$M$3</f>
        <v>9</v>
      </c>
      <c r="N707" s="443">
        <f>M707*$Q707</f>
        <v>0</v>
      </c>
      <c r="O707" s="443">
        <f>C707+E707+G707+I707+K707+M707</f>
        <v>79</v>
      </c>
      <c r="P707" s="9" t="s">
        <v>12</v>
      </c>
      <c r="Q707" s="431"/>
      <c r="R707" s="436"/>
      <c r="T707" s="343">
        <v>1</v>
      </c>
      <c r="U707" s="343">
        <v>1</v>
      </c>
      <c r="W707" s="343">
        <f>T707*$W$3</f>
        <v>2</v>
      </c>
      <c r="X707" s="343">
        <f>U707*$X$3</f>
        <v>2</v>
      </c>
      <c r="Z707" s="343">
        <f>W707</f>
        <v>2</v>
      </c>
      <c r="AA707" s="343">
        <f>U707*$AA$3</f>
        <v>3</v>
      </c>
      <c r="AC707" s="343">
        <f>W707</f>
        <v>2</v>
      </c>
      <c r="AD707" s="343">
        <f>U707*$AD$3</f>
        <v>4</v>
      </c>
      <c r="AF707" s="343">
        <f>W707</f>
        <v>2</v>
      </c>
      <c r="AG707" s="343">
        <f>U707*$AG$3</f>
        <v>5</v>
      </c>
      <c r="AI707" s="343">
        <f>W707</f>
        <v>2</v>
      </c>
      <c r="AJ707" s="343">
        <f>U707*$AJ$3</f>
        <v>6</v>
      </c>
      <c r="AL707" s="343">
        <f>W707</f>
        <v>2</v>
      </c>
      <c r="AM707" s="343">
        <f>U707*$AM$3</f>
        <v>7</v>
      </c>
    </row>
    <row r="708" spans="1:39" s="267" customFormat="1" x14ac:dyDescent="0.2">
      <c r="A708" s="444"/>
      <c r="B708" s="259"/>
      <c r="C708" s="443"/>
      <c r="D708" s="443"/>
      <c r="E708" s="443"/>
      <c r="F708" s="443"/>
      <c r="G708" s="443"/>
      <c r="H708" s="443"/>
      <c r="I708" s="443"/>
      <c r="J708" s="443"/>
      <c r="K708" s="443"/>
      <c r="L708" s="443"/>
      <c r="M708" s="443"/>
      <c r="N708" s="443"/>
      <c r="O708" s="443"/>
      <c r="P708" s="482"/>
      <c r="Q708" s="431"/>
      <c r="R708" s="436"/>
      <c r="S708" s="264"/>
      <c r="T708" s="266"/>
      <c r="U708" s="211"/>
      <c r="V708" s="264"/>
      <c r="W708" s="211"/>
      <c r="X708" s="211"/>
      <c r="Y708" s="264"/>
      <c r="Z708" s="211"/>
      <c r="AA708" s="211"/>
      <c r="AB708" s="264"/>
      <c r="AC708" s="211"/>
      <c r="AD708" s="211"/>
      <c r="AE708" s="264"/>
      <c r="AF708" s="211"/>
      <c r="AG708" s="211"/>
      <c r="AH708" s="264"/>
      <c r="AI708" s="211"/>
      <c r="AJ708" s="211"/>
      <c r="AK708" s="264"/>
      <c r="AL708" s="211"/>
      <c r="AM708" s="211"/>
    </row>
    <row r="709" spans="1:39" s="342" customFormat="1" x14ac:dyDescent="0.2">
      <c r="A709" s="444" t="s">
        <v>76</v>
      </c>
      <c r="B709" s="354" t="s">
        <v>929</v>
      </c>
      <c r="C709" s="443">
        <f>(W709+X709)*$C$3</f>
        <v>2</v>
      </c>
      <c r="D709" s="443">
        <f>C709*$Q709</f>
        <v>0</v>
      </c>
      <c r="E709" s="443">
        <f>(Z709+AA709)*$E$3</f>
        <v>3</v>
      </c>
      <c r="F709" s="443">
        <f>E709*$Q709</f>
        <v>0</v>
      </c>
      <c r="G709" s="443">
        <f>(AC709+AD709)*$G$3</f>
        <v>20</v>
      </c>
      <c r="H709" s="443">
        <f>G709*$Q709</f>
        <v>0</v>
      </c>
      <c r="I709" s="443">
        <f>(AF709+AG709)*$I$3</f>
        <v>5</v>
      </c>
      <c r="J709" s="443">
        <f>I709*$Q709</f>
        <v>0</v>
      </c>
      <c r="K709" s="443">
        <f>(AI709+AJ709)*$K$3</f>
        <v>18</v>
      </c>
      <c r="L709" s="443">
        <f>K709*$Q709</f>
        <v>0</v>
      </c>
      <c r="M709" s="443">
        <f>(AL709+AM709)*$M$3</f>
        <v>7</v>
      </c>
      <c r="N709" s="443">
        <f>M709*$Q709</f>
        <v>0</v>
      </c>
      <c r="O709" s="443">
        <f>C709+E709+G709+I709+K709+M709</f>
        <v>55</v>
      </c>
      <c r="P709" s="9" t="s">
        <v>12</v>
      </c>
      <c r="Q709" s="431"/>
      <c r="R709" s="436"/>
      <c r="T709" s="343"/>
      <c r="U709" s="343">
        <v>1</v>
      </c>
      <c r="W709" s="343">
        <f>T709*$W$3</f>
        <v>0</v>
      </c>
      <c r="X709" s="343">
        <f>U709*$X$3</f>
        <v>2</v>
      </c>
      <c r="Z709" s="343">
        <f>W709</f>
        <v>0</v>
      </c>
      <c r="AA709" s="343">
        <f>U709*$AA$3</f>
        <v>3</v>
      </c>
      <c r="AC709" s="343">
        <f>W709</f>
        <v>0</v>
      </c>
      <c r="AD709" s="343">
        <f>U709*$AD$3</f>
        <v>4</v>
      </c>
      <c r="AF709" s="343">
        <f>W709</f>
        <v>0</v>
      </c>
      <c r="AG709" s="343">
        <f>U709*$AG$3</f>
        <v>5</v>
      </c>
      <c r="AI709" s="343">
        <f>W709</f>
        <v>0</v>
      </c>
      <c r="AJ709" s="343">
        <f>U709*$AJ$3</f>
        <v>6</v>
      </c>
      <c r="AL709" s="343">
        <f>W709</f>
        <v>0</v>
      </c>
      <c r="AM709" s="343">
        <f>U709*$AM$3</f>
        <v>7</v>
      </c>
    </row>
    <row r="710" spans="1:39" s="267" customFormat="1" x14ac:dyDescent="0.2">
      <c r="A710" s="308"/>
      <c r="B710" s="259"/>
      <c r="C710" s="443"/>
      <c r="D710" s="443"/>
      <c r="E710" s="443"/>
      <c r="F710" s="443"/>
      <c r="G710" s="443"/>
      <c r="H710" s="443"/>
      <c r="I710" s="443"/>
      <c r="J710" s="443"/>
      <c r="K710" s="443"/>
      <c r="L710" s="443"/>
      <c r="M710" s="443"/>
      <c r="N710" s="443"/>
      <c r="O710" s="443"/>
      <c r="P710" s="482"/>
      <c r="Q710" s="431"/>
      <c r="R710" s="436"/>
      <c r="S710" s="264"/>
      <c r="T710" s="266"/>
      <c r="U710" s="211"/>
      <c r="V710" s="264"/>
      <c r="W710" s="211"/>
      <c r="X710" s="211"/>
      <c r="Y710" s="264"/>
      <c r="Z710" s="211"/>
      <c r="AA710" s="211"/>
      <c r="AB710" s="264"/>
      <c r="AC710" s="211"/>
      <c r="AD710" s="211"/>
      <c r="AE710" s="264"/>
      <c r="AF710" s="211"/>
      <c r="AG710" s="211"/>
      <c r="AH710" s="264"/>
      <c r="AI710" s="211"/>
      <c r="AJ710" s="211"/>
      <c r="AK710" s="264"/>
      <c r="AL710" s="211"/>
      <c r="AM710" s="211"/>
    </row>
    <row r="711" spans="1:39" s="267" customFormat="1" x14ac:dyDescent="0.2">
      <c r="A711" s="444" t="s">
        <v>77</v>
      </c>
      <c r="B711" s="269" t="s">
        <v>792</v>
      </c>
      <c r="C711" s="443">
        <f>(W711+X711)*$C$3</f>
        <v>2</v>
      </c>
      <c r="D711" s="443">
        <f>C711*$Q711</f>
        <v>0</v>
      </c>
      <c r="E711" s="443">
        <f>(Z711+AA711)*$E$3</f>
        <v>3</v>
      </c>
      <c r="F711" s="443">
        <f>E711*$Q711</f>
        <v>0</v>
      </c>
      <c r="G711" s="443">
        <f>(AC711+AD711)*$G$3</f>
        <v>20</v>
      </c>
      <c r="H711" s="443">
        <f>G711*$Q711</f>
        <v>0</v>
      </c>
      <c r="I711" s="443">
        <f>(AF711+AG711)*$I$3</f>
        <v>5</v>
      </c>
      <c r="J711" s="443">
        <f>I711*$Q711</f>
        <v>0</v>
      </c>
      <c r="K711" s="443">
        <f>(AI711+AJ711)*$K$3</f>
        <v>18</v>
      </c>
      <c r="L711" s="443">
        <f>K711*$Q711</f>
        <v>0</v>
      </c>
      <c r="M711" s="443">
        <f>(AL711+AM711)*$M$3</f>
        <v>7</v>
      </c>
      <c r="N711" s="443">
        <f>M711*$Q711</f>
        <v>0</v>
      </c>
      <c r="O711" s="443">
        <f>C711+E711+G711+I711+K711+M711</f>
        <v>55</v>
      </c>
      <c r="P711" s="9" t="s">
        <v>12</v>
      </c>
      <c r="Q711" s="431"/>
      <c r="R711" s="436">
        <f>O711*Q711</f>
        <v>0</v>
      </c>
      <c r="S711" s="264"/>
      <c r="T711" s="266"/>
      <c r="U711" s="266">
        <v>1</v>
      </c>
      <c r="V711" s="264"/>
      <c r="W711" s="266">
        <f>T711*$W$3</f>
        <v>0</v>
      </c>
      <c r="X711" s="266">
        <f>U711*$X$3</f>
        <v>2</v>
      </c>
      <c r="Y711" s="264"/>
      <c r="Z711" s="266">
        <f>W711</f>
        <v>0</v>
      </c>
      <c r="AA711" s="266">
        <f>U711*$AA$3</f>
        <v>3</v>
      </c>
      <c r="AB711" s="264"/>
      <c r="AC711" s="266">
        <f>W711</f>
        <v>0</v>
      </c>
      <c r="AD711" s="266">
        <f>U711*$AD$3</f>
        <v>4</v>
      </c>
      <c r="AE711" s="264"/>
      <c r="AF711" s="266">
        <f>W711</f>
        <v>0</v>
      </c>
      <c r="AG711" s="266">
        <f>U711*$AG$3</f>
        <v>5</v>
      </c>
      <c r="AH711" s="264"/>
      <c r="AI711" s="266">
        <f>W711</f>
        <v>0</v>
      </c>
      <c r="AJ711" s="266">
        <f>U711*$AJ$3</f>
        <v>6</v>
      </c>
      <c r="AK711" s="264"/>
      <c r="AL711" s="266">
        <f>W711</f>
        <v>0</v>
      </c>
      <c r="AM711" s="266">
        <f>U711*$AM$3</f>
        <v>7</v>
      </c>
    </row>
    <row r="712" spans="1:39" s="267" customFormat="1" x14ac:dyDescent="0.2">
      <c r="A712" s="444"/>
      <c r="B712" s="259"/>
      <c r="C712" s="443"/>
      <c r="D712" s="443"/>
      <c r="E712" s="443"/>
      <c r="F712" s="443"/>
      <c r="G712" s="443"/>
      <c r="H712" s="443"/>
      <c r="I712" s="443"/>
      <c r="J712" s="443"/>
      <c r="K712" s="443"/>
      <c r="L712" s="443"/>
      <c r="M712" s="443"/>
      <c r="N712" s="443"/>
      <c r="O712" s="443"/>
      <c r="P712" s="482"/>
      <c r="Q712" s="431"/>
      <c r="R712" s="436"/>
      <c r="S712" s="264"/>
      <c r="T712" s="266"/>
      <c r="U712" s="211"/>
      <c r="V712" s="264"/>
      <c r="W712" s="211"/>
      <c r="X712" s="211"/>
      <c r="Y712" s="264"/>
      <c r="Z712" s="211"/>
      <c r="AA712" s="211"/>
      <c r="AB712" s="264"/>
      <c r="AC712" s="211"/>
      <c r="AD712" s="211"/>
      <c r="AE712" s="264"/>
      <c r="AF712" s="211"/>
      <c r="AG712" s="211"/>
      <c r="AH712" s="264"/>
      <c r="AI712" s="211"/>
      <c r="AJ712" s="211"/>
      <c r="AK712" s="264"/>
      <c r="AL712" s="211"/>
      <c r="AM712" s="211"/>
    </row>
    <row r="713" spans="1:39" s="267" customFormat="1" x14ac:dyDescent="0.2">
      <c r="A713" s="444" t="s">
        <v>79</v>
      </c>
      <c r="B713" s="269" t="s">
        <v>793</v>
      </c>
      <c r="C713" s="290">
        <f>(W713+X713)*$C$3</f>
        <v>2</v>
      </c>
      <c r="D713" s="290">
        <f>C713*$Q713</f>
        <v>0</v>
      </c>
      <c r="E713" s="290">
        <f>(Z713+AA713)*$E$3</f>
        <v>2</v>
      </c>
      <c r="F713" s="290">
        <f>E713*$Q713</f>
        <v>0</v>
      </c>
      <c r="G713" s="290">
        <f>(AC713+AD713)*$G$3</f>
        <v>10</v>
      </c>
      <c r="H713" s="290">
        <f>G713*$Q713</f>
        <v>0</v>
      </c>
      <c r="I713" s="290">
        <f>(AF713+AG713)*$I$3</f>
        <v>2</v>
      </c>
      <c r="J713" s="290">
        <f>I713*$Q713</f>
        <v>0</v>
      </c>
      <c r="K713" s="290">
        <f>(AI713+AJ713)*$K$3</f>
        <v>6</v>
      </c>
      <c r="L713" s="290">
        <f>K713*$Q713</f>
        <v>0</v>
      </c>
      <c r="M713" s="290">
        <f>(AL713+AM713)*$M$3</f>
        <v>2</v>
      </c>
      <c r="N713" s="290">
        <f>M713*$Q713</f>
        <v>0</v>
      </c>
      <c r="O713" s="290">
        <f>C713+E713+G713+I713+K713+M713</f>
        <v>24</v>
      </c>
      <c r="P713" s="153" t="s">
        <v>12</v>
      </c>
      <c r="Q713" s="262"/>
      <c r="R713" s="435">
        <f>O713*Q713</f>
        <v>0</v>
      </c>
      <c r="S713" s="264"/>
      <c r="T713" s="266">
        <v>1</v>
      </c>
      <c r="U713" s="266"/>
      <c r="V713" s="264"/>
      <c r="W713" s="266">
        <f>T713*$W$3</f>
        <v>2</v>
      </c>
      <c r="X713" s="266">
        <f>U713*$X$3</f>
        <v>0</v>
      </c>
      <c r="Y713" s="264"/>
      <c r="Z713" s="266">
        <f>W713</f>
        <v>2</v>
      </c>
      <c r="AA713" s="266">
        <f>U713*$AA$3</f>
        <v>0</v>
      </c>
      <c r="AB713" s="264"/>
      <c r="AC713" s="266">
        <f>W713</f>
        <v>2</v>
      </c>
      <c r="AD713" s="266">
        <f>U713*$AD$3</f>
        <v>0</v>
      </c>
      <c r="AE713" s="264"/>
      <c r="AF713" s="266">
        <f>W713</f>
        <v>2</v>
      </c>
      <c r="AG713" s="266">
        <f>U713*$AG$3</f>
        <v>0</v>
      </c>
      <c r="AH713" s="264"/>
      <c r="AI713" s="266">
        <f>W713</f>
        <v>2</v>
      </c>
      <c r="AJ713" s="266">
        <f>U713*$AJ$3</f>
        <v>0</v>
      </c>
      <c r="AK713" s="264"/>
      <c r="AL713" s="266">
        <f>W713</f>
        <v>2</v>
      </c>
      <c r="AM713" s="266">
        <f>U713*$AM$3</f>
        <v>0</v>
      </c>
    </row>
    <row r="714" spans="1:39" s="267" customFormat="1" x14ac:dyDescent="0.2">
      <c r="A714" s="258"/>
      <c r="B714" s="269"/>
      <c r="C714" s="290"/>
      <c r="D714" s="290"/>
      <c r="E714" s="290"/>
      <c r="F714" s="290"/>
      <c r="G714" s="290"/>
      <c r="H714" s="290"/>
      <c r="I714" s="290"/>
      <c r="J714" s="290"/>
      <c r="K714" s="290"/>
      <c r="L714" s="290"/>
      <c r="M714" s="290"/>
      <c r="N714" s="290"/>
      <c r="O714" s="290"/>
      <c r="P714" s="153"/>
      <c r="Q714" s="262"/>
      <c r="R714" s="435"/>
      <c r="S714" s="264"/>
      <c r="T714" s="266"/>
      <c r="U714" s="266"/>
      <c r="V714" s="264"/>
      <c r="W714" s="266"/>
      <c r="X714" s="266"/>
      <c r="Y714" s="264"/>
      <c r="Z714" s="266"/>
      <c r="AA714" s="266"/>
      <c r="AB714" s="264"/>
      <c r="AC714" s="266"/>
      <c r="AD714" s="266"/>
      <c r="AE714" s="264"/>
      <c r="AF714" s="266"/>
      <c r="AG714" s="266"/>
      <c r="AH714" s="264"/>
      <c r="AI714" s="266"/>
      <c r="AJ714" s="266"/>
      <c r="AK714" s="264"/>
      <c r="AL714" s="266"/>
      <c r="AM714" s="266"/>
    </row>
    <row r="715" spans="1:39" s="267" customFormat="1" x14ac:dyDescent="0.2">
      <c r="A715" s="258"/>
      <c r="B715" s="269"/>
      <c r="C715" s="290"/>
      <c r="D715" s="290"/>
      <c r="E715" s="290"/>
      <c r="F715" s="290"/>
      <c r="G715" s="290"/>
      <c r="H715" s="290"/>
      <c r="I715" s="290"/>
      <c r="J715" s="290"/>
      <c r="K715" s="290"/>
      <c r="L715" s="290"/>
      <c r="M715" s="290"/>
      <c r="N715" s="290"/>
      <c r="O715" s="290"/>
      <c r="P715" s="153"/>
      <c r="Q715" s="262"/>
      <c r="R715" s="435"/>
      <c r="S715" s="264"/>
      <c r="T715" s="266"/>
      <c r="U715" s="266"/>
      <c r="V715" s="264"/>
      <c r="W715" s="266"/>
      <c r="X715" s="266"/>
      <c r="Y715" s="264"/>
      <c r="Z715" s="266"/>
      <c r="AA715" s="266"/>
      <c r="AB715" s="264"/>
      <c r="AC715" s="266"/>
      <c r="AD715" s="266"/>
      <c r="AE715" s="264"/>
      <c r="AF715" s="266"/>
      <c r="AG715" s="266"/>
      <c r="AH715" s="264"/>
      <c r="AI715" s="266"/>
      <c r="AJ715" s="266"/>
      <c r="AK715" s="264"/>
      <c r="AL715" s="266"/>
      <c r="AM715" s="266"/>
    </row>
    <row r="716" spans="1:39" s="267" customFormat="1" x14ac:dyDescent="0.2">
      <c r="A716" s="258"/>
      <c r="B716" s="269"/>
      <c r="C716" s="290"/>
      <c r="D716" s="290"/>
      <c r="E716" s="290"/>
      <c r="F716" s="290"/>
      <c r="G716" s="290"/>
      <c r="H716" s="290"/>
      <c r="I716" s="290"/>
      <c r="J716" s="290"/>
      <c r="K716" s="290"/>
      <c r="L716" s="290"/>
      <c r="M716" s="290"/>
      <c r="N716" s="290"/>
      <c r="O716" s="290"/>
      <c r="P716" s="153"/>
      <c r="Q716" s="262"/>
      <c r="R716" s="435"/>
      <c r="S716" s="264"/>
      <c r="T716" s="266"/>
      <c r="U716" s="266"/>
      <c r="V716" s="264"/>
      <c r="W716" s="266"/>
      <c r="X716" s="266"/>
      <c r="Y716" s="264"/>
      <c r="Z716" s="266"/>
      <c r="AA716" s="266"/>
      <c r="AB716" s="264"/>
      <c r="AC716" s="266"/>
      <c r="AD716" s="266"/>
      <c r="AE716" s="264"/>
      <c r="AF716" s="266"/>
      <c r="AG716" s="266"/>
      <c r="AH716" s="264"/>
      <c r="AI716" s="266"/>
      <c r="AJ716" s="266"/>
      <c r="AK716" s="264"/>
      <c r="AL716" s="266"/>
      <c r="AM716" s="266"/>
    </row>
    <row r="717" spans="1:39" s="267" customFormat="1" x14ac:dyDescent="0.2">
      <c r="A717" s="258"/>
      <c r="B717" s="269"/>
      <c r="C717" s="290"/>
      <c r="D717" s="290"/>
      <c r="E717" s="290"/>
      <c r="F717" s="290"/>
      <c r="G717" s="290"/>
      <c r="H717" s="290"/>
      <c r="I717" s="290"/>
      <c r="J717" s="290"/>
      <c r="K717" s="290"/>
      <c r="L717" s="290"/>
      <c r="M717" s="290"/>
      <c r="N717" s="290"/>
      <c r="O717" s="290"/>
      <c r="P717" s="153"/>
      <c r="Q717" s="262"/>
      <c r="R717" s="435"/>
      <c r="S717" s="264"/>
      <c r="T717" s="266"/>
      <c r="U717" s="266"/>
      <c r="V717" s="264"/>
      <c r="W717" s="266"/>
      <c r="X717" s="266"/>
      <c r="Y717" s="264"/>
      <c r="Z717" s="266"/>
      <c r="AA717" s="266"/>
      <c r="AB717" s="264"/>
      <c r="AC717" s="266"/>
      <c r="AD717" s="266"/>
      <c r="AE717" s="264"/>
      <c r="AF717" s="266"/>
      <c r="AG717" s="266"/>
      <c r="AH717" s="264"/>
      <c r="AI717" s="266"/>
      <c r="AJ717" s="266"/>
      <c r="AK717" s="264"/>
      <c r="AL717" s="266"/>
      <c r="AM717" s="266"/>
    </row>
    <row r="718" spans="1:39" s="267" customFormat="1" x14ac:dyDescent="0.2">
      <c r="A718" s="258"/>
      <c r="B718" s="269"/>
      <c r="C718" s="290"/>
      <c r="D718" s="290"/>
      <c r="E718" s="290"/>
      <c r="F718" s="290"/>
      <c r="G718" s="290"/>
      <c r="H718" s="290"/>
      <c r="I718" s="290"/>
      <c r="J718" s="290"/>
      <c r="K718" s="290"/>
      <c r="L718" s="290"/>
      <c r="M718" s="290"/>
      <c r="N718" s="290"/>
      <c r="O718" s="290"/>
      <c r="P718" s="153"/>
      <c r="Q718" s="262"/>
      <c r="R718" s="435"/>
      <c r="S718" s="264"/>
      <c r="T718" s="266"/>
      <c r="U718" s="266"/>
      <c r="V718" s="264"/>
      <c r="W718" s="266"/>
      <c r="X718" s="266"/>
      <c r="Y718" s="264"/>
      <c r="Z718" s="266"/>
      <c r="AA718" s="266"/>
      <c r="AB718" s="264"/>
      <c r="AC718" s="266"/>
      <c r="AD718" s="266"/>
      <c r="AE718" s="264"/>
      <c r="AF718" s="266"/>
      <c r="AG718" s="266"/>
      <c r="AH718" s="264"/>
      <c r="AI718" s="266"/>
      <c r="AJ718" s="266"/>
      <c r="AK718" s="264"/>
      <c r="AL718" s="266"/>
      <c r="AM718" s="266"/>
    </row>
    <row r="719" spans="1:39" s="267" customFormat="1" x14ac:dyDescent="0.2">
      <c r="A719" s="258"/>
      <c r="B719" s="269"/>
      <c r="C719" s="290"/>
      <c r="D719" s="290"/>
      <c r="E719" s="290"/>
      <c r="F719" s="290"/>
      <c r="G719" s="290"/>
      <c r="H719" s="290"/>
      <c r="I719" s="290"/>
      <c r="J719" s="290"/>
      <c r="K719" s="290"/>
      <c r="L719" s="290"/>
      <c r="M719" s="290"/>
      <c r="N719" s="290"/>
      <c r="O719" s="290"/>
      <c r="P719" s="153"/>
      <c r="Q719" s="262"/>
      <c r="R719" s="435"/>
      <c r="S719" s="264"/>
      <c r="T719" s="266"/>
      <c r="U719" s="266"/>
      <c r="V719" s="264"/>
      <c r="W719" s="266"/>
      <c r="X719" s="266"/>
      <c r="Y719" s="264"/>
      <c r="Z719" s="266"/>
      <c r="AA719" s="266"/>
      <c r="AB719" s="264"/>
      <c r="AC719" s="266"/>
      <c r="AD719" s="266"/>
      <c r="AE719" s="264"/>
      <c r="AF719" s="266"/>
      <c r="AG719" s="266"/>
      <c r="AH719" s="264"/>
      <c r="AI719" s="266"/>
      <c r="AJ719" s="266"/>
      <c r="AK719" s="264"/>
      <c r="AL719" s="266"/>
      <c r="AM719" s="266"/>
    </row>
    <row r="720" spans="1:39" s="267" customFormat="1" x14ac:dyDescent="0.2">
      <c r="A720" s="258"/>
      <c r="B720" s="269"/>
      <c r="C720" s="290"/>
      <c r="D720" s="290"/>
      <c r="E720" s="290"/>
      <c r="F720" s="290"/>
      <c r="G720" s="290"/>
      <c r="H720" s="290"/>
      <c r="I720" s="290"/>
      <c r="J720" s="290"/>
      <c r="K720" s="290"/>
      <c r="L720" s="290"/>
      <c r="M720" s="290"/>
      <c r="N720" s="290"/>
      <c r="O720" s="290"/>
      <c r="P720" s="153"/>
      <c r="Q720" s="262"/>
      <c r="R720" s="435"/>
      <c r="S720" s="264"/>
      <c r="T720" s="266"/>
      <c r="U720" s="266"/>
      <c r="V720" s="264"/>
      <c r="W720" s="266"/>
      <c r="X720" s="266"/>
      <c r="Y720" s="264"/>
      <c r="Z720" s="266"/>
      <c r="AA720" s="266"/>
      <c r="AB720" s="264"/>
      <c r="AC720" s="266"/>
      <c r="AD720" s="266"/>
      <c r="AE720" s="264"/>
      <c r="AF720" s="266"/>
      <c r="AG720" s="266"/>
      <c r="AH720" s="264"/>
      <c r="AI720" s="266"/>
      <c r="AJ720" s="266"/>
      <c r="AK720" s="264"/>
      <c r="AL720" s="266"/>
      <c r="AM720" s="266"/>
    </row>
    <row r="721" spans="1:39" s="267" customFormat="1" x14ac:dyDescent="0.2">
      <c r="A721" s="258"/>
      <c r="B721" s="269"/>
      <c r="C721" s="290"/>
      <c r="D721" s="290"/>
      <c r="E721" s="290"/>
      <c r="F721" s="290"/>
      <c r="G721" s="290"/>
      <c r="H721" s="290"/>
      <c r="I721" s="290"/>
      <c r="J721" s="290"/>
      <c r="K721" s="290"/>
      <c r="L721" s="290"/>
      <c r="M721" s="290"/>
      <c r="N721" s="290"/>
      <c r="O721" s="290"/>
      <c r="P721" s="153"/>
      <c r="Q721" s="262"/>
      <c r="R721" s="435"/>
      <c r="S721" s="264"/>
      <c r="T721" s="266"/>
      <c r="U721" s="266"/>
      <c r="V721" s="264"/>
      <c r="W721" s="266"/>
      <c r="X721" s="266"/>
      <c r="Y721" s="264"/>
      <c r="Z721" s="266"/>
      <c r="AA721" s="266"/>
      <c r="AB721" s="264"/>
      <c r="AC721" s="266"/>
      <c r="AD721" s="266"/>
      <c r="AE721" s="264"/>
      <c r="AF721" s="266"/>
      <c r="AG721" s="266"/>
      <c r="AH721" s="264"/>
      <c r="AI721" s="266"/>
      <c r="AJ721" s="266"/>
      <c r="AK721" s="264"/>
      <c r="AL721" s="266"/>
      <c r="AM721" s="266"/>
    </row>
    <row r="722" spans="1:39" s="267" customFormat="1" x14ac:dyDescent="0.2">
      <c r="A722" s="308"/>
      <c r="B722" s="259"/>
      <c r="C722" s="290"/>
      <c r="D722" s="290"/>
      <c r="E722" s="290"/>
      <c r="F722" s="290"/>
      <c r="G722" s="290"/>
      <c r="H722" s="290"/>
      <c r="I722" s="290"/>
      <c r="J722" s="290"/>
      <c r="K722" s="290"/>
      <c r="L722" s="290"/>
      <c r="M722" s="290"/>
      <c r="N722" s="290"/>
      <c r="O722" s="290"/>
      <c r="P722" s="261"/>
      <c r="Q722" s="262"/>
      <c r="R722" s="435"/>
      <c r="S722" s="264"/>
      <c r="T722" s="266"/>
      <c r="U722" s="211"/>
      <c r="V722" s="264"/>
      <c r="W722" s="211"/>
      <c r="X722" s="211"/>
      <c r="Y722" s="264"/>
      <c r="Z722" s="211"/>
      <c r="AA722" s="211"/>
      <c r="AB722" s="264"/>
      <c r="AC722" s="211"/>
      <c r="AD722" s="211"/>
      <c r="AE722" s="264"/>
      <c r="AF722" s="211"/>
      <c r="AG722" s="211"/>
      <c r="AH722" s="264"/>
      <c r="AI722" s="211"/>
      <c r="AJ722" s="211"/>
      <c r="AK722" s="264"/>
      <c r="AL722" s="211"/>
      <c r="AM722" s="211"/>
    </row>
    <row r="723" spans="1:39" s="267" customFormat="1" x14ac:dyDescent="0.2">
      <c r="A723" s="375"/>
      <c r="B723" s="376"/>
      <c r="C723" s="377"/>
      <c r="D723" s="377"/>
      <c r="E723" s="377"/>
      <c r="F723" s="377"/>
      <c r="G723" s="377"/>
      <c r="H723" s="377"/>
      <c r="I723" s="377"/>
      <c r="J723" s="377"/>
      <c r="K723" s="377"/>
      <c r="L723" s="377"/>
      <c r="M723" s="377"/>
      <c r="N723" s="377"/>
      <c r="O723" s="377"/>
      <c r="P723" s="377"/>
      <c r="Q723" s="378"/>
      <c r="R723" s="441"/>
      <c r="S723" s="264"/>
      <c r="T723" s="273"/>
      <c r="U723" s="274"/>
      <c r="V723" s="264"/>
      <c r="W723" s="273"/>
      <c r="X723" s="273"/>
      <c r="Y723" s="264"/>
      <c r="Z723" s="273"/>
      <c r="AA723" s="273"/>
      <c r="AB723" s="264"/>
      <c r="AC723" s="273"/>
      <c r="AD723" s="273"/>
      <c r="AE723" s="264"/>
      <c r="AF723" s="273"/>
      <c r="AG723" s="273"/>
      <c r="AH723" s="264"/>
      <c r="AI723" s="273"/>
      <c r="AJ723" s="273"/>
      <c r="AK723" s="264"/>
      <c r="AL723" s="273"/>
      <c r="AM723" s="273"/>
    </row>
    <row r="724" spans="1:39" s="267" customFormat="1" x14ac:dyDescent="0.2">
      <c r="A724" s="380"/>
      <c r="B724" s="320"/>
      <c r="C724" s="430"/>
      <c r="D724" s="309"/>
      <c r="E724" s="309"/>
      <c r="F724" s="309"/>
      <c r="G724" s="309"/>
      <c r="H724" s="309"/>
      <c r="I724" s="309"/>
      <c r="J724" s="309"/>
      <c r="K724" s="309"/>
      <c r="L724" s="309"/>
      <c r="M724" s="309"/>
      <c r="N724" s="309"/>
      <c r="O724" s="309"/>
      <c r="P724" s="171" t="s">
        <v>1</v>
      </c>
      <c r="Q724" s="381" t="s">
        <v>0</v>
      </c>
      <c r="R724" s="435">
        <f>SUM(R678:R722)</f>
        <v>0</v>
      </c>
      <c r="S724" s="276"/>
      <c r="T724" s="266"/>
      <c r="U724" s="277"/>
      <c r="V724" s="264"/>
      <c r="W724" s="266"/>
      <c r="X724" s="266"/>
      <c r="Y724" s="264"/>
      <c r="Z724" s="266"/>
      <c r="AA724" s="266"/>
      <c r="AB724" s="264"/>
      <c r="AC724" s="266"/>
      <c r="AD724" s="266"/>
      <c r="AE724" s="264"/>
      <c r="AF724" s="266"/>
      <c r="AG724" s="266"/>
      <c r="AH724" s="264"/>
      <c r="AI724" s="266"/>
      <c r="AJ724" s="266"/>
      <c r="AK724" s="264"/>
      <c r="AL724" s="266"/>
      <c r="AM724" s="266"/>
    </row>
    <row r="725" spans="1:39" s="267" customFormat="1" x14ac:dyDescent="0.2">
      <c r="A725" s="380"/>
      <c r="B725" s="320"/>
      <c r="C725" s="309"/>
      <c r="D725" s="309"/>
      <c r="E725" s="309"/>
      <c r="F725" s="309"/>
      <c r="G725" s="309"/>
      <c r="H725" s="309"/>
      <c r="I725" s="309"/>
      <c r="J725" s="309"/>
      <c r="K725" s="309"/>
      <c r="L725" s="309"/>
      <c r="M725" s="309"/>
      <c r="N725" s="309"/>
      <c r="O725" s="309"/>
      <c r="P725" s="309"/>
      <c r="Q725" s="294"/>
      <c r="R725" s="458"/>
      <c r="S725" s="264"/>
      <c r="T725" s="278"/>
      <c r="U725" s="279"/>
      <c r="V725" s="264"/>
      <c r="W725" s="278"/>
      <c r="X725" s="278"/>
      <c r="Y725" s="264"/>
      <c r="Z725" s="278"/>
      <c r="AA725" s="278"/>
      <c r="AB725" s="264"/>
      <c r="AC725" s="278"/>
      <c r="AD725" s="278"/>
      <c r="AE725" s="264"/>
      <c r="AF725" s="278"/>
      <c r="AG725" s="278"/>
      <c r="AH725" s="264"/>
      <c r="AI725" s="278"/>
      <c r="AJ725" s="278"/>
      <c r="AK725" s="264"/>
      <c r="AL725" s="278"/>
      <c r="AM725" s="278"/>
    </row>
    <row r="726" spans="1:39" s="267" customFormat="1" x14ac:dyDescent="0.2">
      <c r="A726" s="258"/>
      <c r="B726" s="259"/>
      <c r="C726" s="290"/>
      <c r="D726" s="290"/>
      <c r="E726" s="290"/>
      <c r="F726" s="290"/>
      <c r="G726" s="290"/>
      <c r="H726" s="290"/>
      <c r="I726" s="290"/>
      <c r="J726" s="290"/>
      <c r="K726" s="290"/>
      <c r="L726" s="290"/>
      <c r="M726" s="290"/>
      <c r="N726" s="290"/>
      <c r="O726" s="290"/>
      <c r="P726" s="261"/>
      <c r="Q726" s="262"/>
      <c r="R726" s="435"/>
      <c r="S726" s="264"/>
      <c r="T726" s="266"/>
      <c r="U726" s="211"/>
      <c r="V726" s="264"/>
      <c r="W726" s="211"/>
      <c r="X726" s="211"/>
      <c r="Y726" s="264"/>
      <c r="Z726" s="211"/>
      <c r="AA726" s="211"/>
      <c r="AB726" s="264"/>
      <c r="AC726" s="211"/>
      <c r="AD726" s="211"/>
      <c r="AE726" s="264"/>
      <c r="AF726" s="211"/>
      <c r="AG726" s="211"/>
      <c r="AH726" s="264"/>
      <c r="AI726" s="211"/>
      <c r="AJ726" s="211"/>
      <c r="AK726" s="264"/>
      <c r="AL726" s="211"/>
      <c r="AM726" s="211"/>
    </row>
    <row r="727" spans="1:39" s="267" customFormat="1" x14ac:dyDescent="0.2">
      <c r="A727" s="258"/>
      <c r="B727" s="265" t="s">
        <v>159</v>
      </c>
      <c r="C727" s="290"/>
      <c r="D727" s="290"/>
      <c r="E727" s="290"/>
      <c r="F727" s="290"/>
      <c r="G727" s="290"/>
      <c r="H727" s="290"/>
      <c r="I727" s="290"/>
      <c r="J727" s="290"/>
      <c r="K727" s="290"/>
      <c r="L727" s="290"/>
      <c r="M727" s="290"/>
      <c r="N727" s="290"/>
      <c r="O727" s="290"/>
      <c r="P727" s="261"/>
      <c r="Q727" s="262"/>
      <c r="R727" s="435"/>
      <c r="S727" s="264"/>
      <c r="T727" s="266"/>
      <c r="U727" s="211"/>
      <c r="V727" s="264"/>
      <c r="W727" s="211"/>
      <c r="X727" s="211"/>
      <c r="Y727" s="264"/>
      <c r="Z727" s="211"/>
      <c r="AA727" s="211"/>
      <c r="AB727" s="264"/>
      <c r="AC727" s="211"/>
      <c r="AD727" s="211"/>
      <c r="AE727" s="264"/>
      <c r="AF727" s="211"/>
      <c r="AG727" s="211"/>
      <c r="AH727" s="264"/>
      <c r="AI727" s="211"/>
      <c r="AJ727" s="211"/>
      <c r="AK727" s="264"/>
      <c r="AL727" s="211"/>
      <c r="AM727" s="211"/>
    </row>
    <row r="728" spans="1:39" s="267" customFormat="1" x14ac:dyDescent="0.2">
      <c r="A728" s="258"/>
      <c r="B728" s="356"/>
      <c r="C728" s="290"/>
      <c r="D728" s="290"/>
      <c r="E728" s="290"/>
      <c r="F728" s="290"/>
      <c r="G728" s="290"/>
      <c r="H728" s="290"/>
      <c r="I728" s="290"/>
      <c r="J728" s="290"/>
      <c r="K728" s="290"/>
      <c r="L728" s="290"/>
      <c r="M728" s="290"/>
      <c r="N728" s="290"/>
      <c r="O728" s="290"/>
      <c r="P728" s="261"/>
      <c r="Q728" s="262"/>
      <c r="R728" s="435"/>
      <c r="S728" s="264"/>
      <c r="T728" s="266"/>
      <c r="U728" s="211"/>
      <c r="V728" s="264"/>
      <c r="W728" s="211"/>
      <c r="X728" s="211"/>
      <c r="Y728" s="264"/>
      <c r="Z728" s="211"/>
      <c r="AA728" s="211"/>
      <c r="AB728" s="264"/>
      <c r="AC728" s="211"/>
      <c r="AD728" s="211"/>
      <c r="AE728" s="264"/>
      <c r="AF728" s="211"/>
      <c r="AG728" s="211"/>
      <c r="AH728" s="264"/>
      <c r="AI728" s="211"/>
      <c r="AJ728" s="211"/>
      <c r="AK728" s="264"/>
      <c r="AL728" s="211"/>
      <c r="AM728" s="211"/>
    </row>
    <row r="729" spans="1:39" s="267" customFormat="1" ht="28.5" x14ac:dyDescent="0.2">
      <c r="A729" s="258"/>
      <c r="B729" s="293" t="s">
        <v>785</v>
      </c>
      <c r="C729" s="290"/>
      <c r="D729" s="290"/>
      <c r="E729" s="290"/>
      <c r="F729" s="290"/>
      <c r="G729" s="290"/>
      <c r="H729" s="290"/>
      <c r="I729" s="290"/>
      <c r="J729" s="290"/>
      <c r="K729" s="290"/>
      <c r="L729" s="290"/>
      <c r="M729" s="290"/>
      <c r="N729" s="290"/>
      <c r="O729" s="290"/>
      <c r="P729" s="261"/>
      <c r="Q729" s="262"/>
      <c r="R729" s="435"/>
      <c r="S729" s="264"/>
      <c r="T729" s="266"/>
      <c r="U729" s="211"/>
      <c r="V729" s="264"/>
      <c r="W729" s="211"/>
      <c r="X729" s="211"/>
      <c r="Y729" s="264"/>
      <c r="Z729" s="211"/>
      <c r="AA729" s="211"/>
      <c r="AB729" s="264"/>
      <c r="AC729" s="211"/>
      <c r="AD729" s="211"/>
      <c r="AE729" s="264"/>
      <c r="AF729" s="211"/>
      <c r="AG729" s="211"/>
      <c r="AH729" s="264"/>
      <c r="AI729" s="211"/>
      <c r="AJ729" s="211"/>
      <c r="AK729" s="264"/>
      <c r="AL729" s="211"/>
      <c r="AM729" s="211"/>
    </row>
    <row r="730" spans="1:39" s="267" customFormat="1" x14ac:dyDescent="0.2">
      <c r="A730" s="308"/>
      <c r="B730" s="293"/>
      <c r="C730" s="290"/>
      <c r="D730" s="290"/>
      <c r="E730" s="290"/>
      <c r="F730" s="290"/>
      <c r="G730" s="290"/>
      <c r="H730" s="290"/>
      <c r="I730" s="290"/>
      <c r="J730" s="290"/>
      <c r="K730" s="290"/>
      <c r="L730" s="290"/>
      <c r="M730" s="290"/>
      <c r="N730" s="290"/>
      <c r="O730" s="290"/>
      <c r="P730" s="261"/>
      <c r="Q730" s="262"/>
      <c r="R730" s="435"/>
      <c r="S730" s="264"/>
      <c r="T730" s="266"/>
      <c r="U730" s="211"/>
      <c r="V730" s="264"/>
      <c r="W730" s="211"/>
      <c r="X730" s="211"/>
      <c r="Y730" s="264"/>
      <c r="Z730" s="211"/>
      <c r="AA730" s="211"/>
      <c r="AB730" s="264"/>
      <c r="AC730" s="211"/>
      <c r="AD730" s="211"/>
      <c r="AE730" s="264"/>
      <c r="AF730" s="211"/>
      <c r="AG730" s="211"/>
      <c r="AH730" s="264"/>
      <c r="AI730" s="211"/>
      <c r="AJ730" s="211"/>
      <c r="AK730" s="264"/>
      <c r="AL730" s="211"/>
      <c r="AM730" s="211"/>
    </row>
    <row r="731" spans="1:39" s="267" customFormat="1" x14ac:dyDescent="0.2">
      <c r="A731" s="258"/>
      <c r="B731" s="293" t="s">
        <v>794</v>
      </c>
      <c r="C731" s="290"/>
      <c r="D731" s="290"/>
      <c r="E731" s="290"/>
      <c r="F731" s="290"/>
      <c r="G731" s="290"/>
      <c r="H731" s="290"/>
      <c r="I731" s="290"/>
      <c r="J731" s="290"/>
      <c r="K731" s="290"/>
      <c r="L731" s="290"/>
      <c r="M731" s="290"/>
      <c r="N731" s="290"/>
      <c r="O731" s="290"/>
      <c r="P731" s="261"/>
      <c r="Q731" s="262"/>
      <c r="R731" s="435"/>
      <c r="S731" s="264"/>
      <c r="T731" s="266"/>
      <c r="U731" s="211"/>
      <c r="V731" s="264"/>
      <c r="W731" s="211"/>
      <c r="X731" s="211"/>
      <c r="Y731" s="264"/>
      <c r="Z731" s="211"/>
      <c r="AA731" s="211"/>
      <c r="AB731" s="264"/>
      <c r="AC731" s="211"/>
      <c r="AD731" s="211"/>
      <c r="AE731" s="264"/>
      <c r="AF731" s="211"/>
      <c r="AG731" s="211"/>
      <c r="AH731" s="264"/>
      <c r="AI731" s="211"/>
      <c r="AJ731" s="211"/>
      <c r="AK731" s="264"/>
      <c r="AL731" s="211"/>
      <c r="AM731" s="211"/>
    </row>
    <row r="732" spans="1:39" s="267" customFormat="1" x14ac:dyDescent="0.2">
      <c r="A732" s="308"/>
      <c r="B732" s="259"/>
      <c r="C732" s="443"/>
      <c r="D732" s="443"/>
      <c r="E732" s="443"/>
      <c r="F732" s="443"/>
      <c r="G732" s="443"/>
      <c r="H732" s="443"/>
      <c r="I732" s="443"/>
      <c r="J732" s="443"/>
      <c r="K732" s="443"/>
      <c r="L732" s="443"/>
      <c r="M732" s="443"/>
      <c r="N732" s="443"/>
      <c r="O732" s="443"/>
      <c r="P732" s="153"/>
      <c r="Q732" s="262"/>
      <c r="R732" s="435"/>
      <c r="S732" s="264"/>
      <c r="T732" s="266"/>
      <c r="U732" s="266"/>
      <c r="V732" s="264"/>
      <c r="W732" s="266"/>
      <c r="X732" s="266"/>
      <c r="Y732" s="264"/>
      <c r="Z732" s="266"/>
      <c r="AA732" s="266"/>
      <c r="AB732" s="264"/>
      <c r="AC732" s="266"/>
      <c r="AD732" s="266"/>
      <c r="AE732" s="264"/>
      <c r="AF732" s="266"/>
      <c r="AG732" s="266"/>
      <c r="AH732" s="264"/>
      <c r="AI732" s="266"/>
      <c r="AJ732" s="266"/>
      <c r="AK732" s="264"/>
      <c r="AL732" s="266"/>
      <c r="AM732" s="266"/>
    </row>
    <row r="733" spans="1:39" s="267" customFormat="1" x14ac:dyDescent="0.2">
      <c r="A733" s="308" t="s">
        <v>66</v>
      </c>
      <c r="B733" s="341" t="s">
        <v>789</v>
      </c>
      <c r="C733" s="443">
        <f>(W733+X733)*$C$3</f>
        <v>2</v>
      </c>
      <c r="D733" s="443">
        <f>C733*$Q733</f>
        <v>0</v>
      </c>
      <c r="E733" s="443">
        <f>(Z733+AA733)*$E$3</f>
        <v>3</v>
      </c>
      <c r="F733" s="443">
        <f>E733*$Q733</f>
        <v>0</v>
      </c>
      <c r="G733" s="443">
        <f>(AC733+AD733)*$G$3</f>
        <v>20</v>
      </c>
      <c r="H733" s="443">
        <f>G733*$Q733</f>
        <v>0</v>
      </c>
      <c r="I733" s="443">
        <f>(AF733+AG733)*$I$3</f>
        <v>5</v>
      </c>
      <c r="J733" s="443">
        <f>I733*$Q733</f>
        <v>0</v>
      </c>
      <c r="K733" s="443">
        <f>(AI733+AJ733)*$K$3</f>
        <v>18</v>
      </c>
      <c r="L733" s="443">
        <f>K733*$Q733</f>
        <v>0</v>
      </c>
      <c r="M733" s="443">
        <f>(AL733+AM733)*$M$3</f>
        <v>7</v>
      </c>
      <c r="N733" s="443">
        <f>M733*$Q733</f>
        <v>0</v>
      </c>
      <c r="O733" s="443">
        <f>C733+E733+G733+I733+K733+M733</f>
        <v>55</v>
      </c>
      <c r="P733" s="153" t="s">
        <v>12</v>
      </c>
      <c r="Q733" s="262"/>
      <c r="R733" s="435">
        <f>O733*Q733</f>
        <v>0</v>
      </c>
      <c r="S733" s="264"/>
      <c r="T733" s="266">
        <v>0</v>
      </c>
      <c r="U733" s="281">
        <v>1</v>
      </c>
      <c r="V733" s="264"/>
      <c r="W733" s="266">
        <f>T733*$W$3</f>
        <v>0</v>
      </c>
      <c r="X733" s="266">
        <f>U733*$X$3</f>
        <v>2</v>
      </c>
      <c r="Y733" s="264"/>
      <c r="Z733" s="266">
        <f>W733</f>
        <v>0</v>
      </c>
      <c r="AA733" s="266">
        <f>U733*$AA$3</f>
        <v>3</v>
      </c>
      <c r="AB733" s="264"/>
      <c r="AC733" s="266">
        <f>W733</f>
        <v>0</v>
      </c>
      <c r="AD733" s="266">
        <f>U733*$AD$3</f>
        <v>4</v>
      </c>
      <c r="AE733" s="264"/>
      <c r="AF733" s="266">
        <f>W733</f>
        <v>0</v>
      </c>
      <c r="AG733" s="266">
        <f>U733*$AG$3</f>
        <v>5</v>
      </c>
      <c r="AH733" s="264"/>
      <c r="AI733" s="266">
        <f>W733</f>
        <v>0</v>
      </c>
      <c r="AJ733" s="266">
        <f>U733*$AJ$3</f>
        <v>6</v>
      </c>
      <c r="AK733" s="264"/>
      <c r="AL733" s="266">
        <f>W733</f>
        <v>0</v>
      </c>
      <c r="AM733" s="266">
        <f>U733*$AM$3</f>
        <v>7</v>
      </c>
    </row>
    <row r="734" spans="1:39" s="267" customFormat="1" x14ac:dyDescent="0.2">
      <c r="A734" s="308"/>
      <c r="B734" s="259"/>
      <c r="C734" s="443"/>
      <c r="D734" s="443"/>
      <c r="E734" s="443"/>
      <c r="F734" s="443"/>
      <c r="G734" s="443"/>
      <c r="H734" s="443"/>
      <c r="I734" s="443"/>
      <c r="J734" s="443"/>
      <c r="K734" s="443"/>
      <c r="L734" s="443"/>
      <c r="M734" s="443"/>
      <c r="N734" s="443"/>
      <c r="O734" s="443"/>
      <c r="P734" s="9"/>
      <c r="Q734" s="431"/>
      <c r="R734" s="436"/>
      <c r="S734" s="264"/>
      <c r="T734" s="266"/>
      <c r="U734" s="266"/>
      <c r="V734" s="264"/>
      <c r="W734" s="266"/>
      <c r="X734" s="266"/>
      <c r="Y734" s="264"/>
      <c r="Z734" s="266"/>
      <c r="AA734" s="266"/>
      <c r="AB734" s="264"/>
      <c r="AC734" s="266"/>
      <c r="AD734" s="266"/>
      <c r="AE734" s="264"/>
      <c r="AF734" s="266"/>
      <c r="AG734" s="266"/>
      <c r="AH734" s="264"/>
      <c r="AI734" s="266"/>
      <c r="AJ734" s="266"/>
      <c r="AK734" s="264"/>
      <c r="AL734" s="266"/>
      <c r="AM734" s="266"/>
    </row>
    <row r="735" spans="1:39" s="342" customFormat="1" x14ac:dyDescent="0.2">
      <c r="A735" s="444" t="s">
        <v>67</v>
      </c>
      <c r="B735" s="354" t="s">
        <v>927</v>
      </c>
      <c r="C735" s="443">
        <f>(W735+X735)*$C$3</f>
        <v>2</v>
      </c>
      <c r="D735" s="443">
        <f>C735*$Q735</f>
        <v>0</v>
      </c>
      <c r="E735" s="443">
        <f>(Z735+AA735)*$E$3</f>
        <v>2</v>
      </c>
      <c r="F735" s="443">
        <f>E735*$Q735</f>
        <v>0</v>
      </c>
      <c r="G735" s="443">
        <f>(AC735+AD735)*$G$3</f>
        <v>10</v>
      </c>
      <c r="H735" s="443">
        <f>G735*$Q735</f>
        <v>0</v>
      </c>
      <c r="I735" s="443">
        <f>(AF735+AG735)*$I$3</f>
        <v>2</v>
      </c>
      <c r="J735" s="443">
        <f>I735*$Q735</f>
        <v>0</v>
      </c>
      <c r="K735" s="443">
        <f>(AI735+AJ735)*$K$3</f>
        <v>6</v>
      </c>
      <c r="L735" s="443">
        <f>K735*$Q735</f>
        <v>0</v>
      </c>
      <c r="M735" s="443">
        <f>(AL735+AM735)*$M$3</f>
        <v>2</v>
      </c>
      <c r="N735" s="443">
        <f>M735*$Q735</f>
        <v>0</v>
      </c>
      <c r="O735" s="443">
        <f>C735+E735+G735+I735+K735+M735</f>
        <v>24</v>
      </c>
      <c r="P735" s="9" t="s">
        <v>12</v>
      </c>
      <c r="Q735" s="431"/>
      <c r="R735" s="436"/>
      <c r="T735" s="343">
        <v>1</v>
      </c>
      <c r="U735" s="343"/>
      <c r="W735" s="343">
        <f>T735*$W$3</f>
        <v>2</v>
      </c>
      <c r="X735" s="343">
        <f>U735*$X$3</f>
        <v>0</v>
      </c>
      <c r="Z735" s="343">
        <f>W735</f>
        <v>2</v>
      </c>
      <c r="AA735" s="343">
        <f>U735*$AA$3</f>
        <v>0</v>
      </c>
      <c r="AC735" s="343">
        <f>W735</f>
        <v>2</v>
      </c>
      <c r="AD735" s="343">
        <f>U735*$AD$3</f>
        <v>0</v>
      </c>
      <c r="AF735" s="343">
        <f>W735</f>
        <v>2</v>
      </c>
      <c r="AG735" s="343">
        <f>U735*$AG$3</f>
        <v>0</v>
      </c>
      <c r="AI735" s="343">
        <f>W735</f>
        <v>2</v>
      </c>
      <c r="AJ735" s="343">
        <f>U735*$AJ$3</f>
        <v>0</v>
      </c>
      <c r="AL735" s="343">
        <f>W735</f>
        <v>2</v>
      </c>
      <c r="AM735" s="343">
        <f>U735*$AM$3</f>
        <v>0</v>
      </c>
    </row>
    <row r="736" spans="1:39" s="267" customFormat="1" x14ac:dyDescent="0.2">
      <c r="A736" s="444"/>
      <c r="B736" s="259"/>
      <c r="C736" s="290"/>
      <c r="D736" s="290"/>
      <c r="E736" s="290"/>
      <c r="F736" s="290"/>
      <c r="G736" s="290"/>
      <c r="H736" s="290"/>
      <c r="I736" s="290"/>
      <c r="J736" s="290"/>
      <c r="K736" s="290"/>
      <c r="L736" s="290"/>
      <c r="M736" s="290"/>
      <c r="N736" s="290"/>
      <c r="O736" s="290"/>
      <c r="P736" s="153"/>
      <c r="Q736" s="431"/>
      <c r="R736" s="436"/>
      <c r="S736" s="264"/>
      <c r="T736" s="266"/>
      <c r="U736" s="266"/>
      <c r="V736" s="264"/>
      <c r="W736" s="266"/>
      <c r="X736" s="266"/>
      <c r="Y736" s="264"/>
      <c r="Z736" s="266"/>
      <c r="AA736" s="266"/>
      <c r="AB736" s="264"/>
      <c r="AC736" s="266"/>
      <c r="AD736" s="266"/>
      <c r="AE736" s="264"/>
      <c r="AF736" s="266"/>
      <c r="AG736" s="266"/>
      <c r="AH736" s="264"/>
      <c r="AI736" s="266"/>
      <c r="AJ736" s="266"/>
      <c r="AK736" s="264"/>
      <c r="AL736" s="266"/>
      <c r="AM736" s="266"/>
    </row>
    <row r="737" spans="1:39" s="342" customFormat="1" x14ac:dyDescent="0.2">
      <c r="A737" s="444" t="s">
        <v>68</v>
      </c>
      <c r="B737" s="354" t="s">
        <v>928</v>
      </c>
      <c r="C737" s="338">
        <f>(W737+X737)*$C$3</f>
        <v>4</v>
      </c>
      <c r="D737" s="338">
        <f>C737*$Q737</f>
        <v>0</v>
      </c>
      <c r="E737" s="338">
        <f>(Z737+AA737)*$E$3</f>
        <v>5</v>
      </c>
      <c r="F737" s="338">
        <f>E737*$Q737</f>
        <v>0</v>
      </c>
      <c r="G737" s="338">
        <f>(AC737+AD737)*$G$3</f>
        <v>30</v>
      </c>
      <c r="H737" s="338">
        <f>G737*$Q737</f>
        <v>0</v>
      </c>
      <c r="I737" s="338">
        <f>(AF737+AG737)*$I$3</f>
        <v>7</v>
      </c>
      <c r="J737" s="338">
        <f>I737*$Q737</f>
        <v>0</v>
      </c>
      <c r="K737" s="338">
        <f>(AI737+AJ737)*$K$3</f>
        <v>24</v>
      </c>
      <c r="L737" s="338">
        <f>K737*$Q737</f>
        <v>0</v>
      </c>
      <c r="M737" s="338">
        <f>(AL737+AM737)*$M$3</f>
        <v>9</v>
      </c>
      <c r="N737" s="338">
        <f>M737*$Q737</f>
        <v>0</v>
      </c>
      <c r="O737" s="338">
        <f>C737+E737+G737+I737+K737+M737</f>
        <v>79</v>
      </c>
      <c r="P737" s="235" t="s">
        <v>12</v>
      </c>
      <c r="Q737" s="431"/>
      <c r="R737" s="436"/>
      <c r="T737" s="343">
        <v>1</v>
      </c>
      <c r="U737" s="343">
        <v>1</v>
      </c>
      <c r="W737" s="343">
        <f>T737*$W$3</f>
        <v>2</v>
      </c>
      <c r="X737" s="343">
        <f>U737*$X$3</f>
        <v>2</v>
      </c>
      <c r="Z737" s="343">
        <f>W737</f>
        <v>2</v>
      </c>
      <c r="AA737" s="343">
        <f>U737*$AA$3</f>
        <v>3</v>
      </c>
      <c r="AC737" s="343">
        <f>W737</f>
        <v>2</v>
      </c>
      <c r="AD737" s="343">
        <f>U737*$AD$3</f>
        <v>4</v>
      </c>
      <c r="AF737" s="343">
        <f>W737</f>
        <v>2</v>
      </c>
      <c r="AG737" s="343">
        <f>U737*$AG$3</f>
        <v>5</v>
      </c>
      <c r="AI737" s="343">
        <f>W737</f>
        <v>2</v>
      </c>
      <c r="AJ737" s="343">
        <f>U737*$AJ$3</f>
        <v>6</v>
      </c>
      <c r="AL737" s="343">
        <f>W737</f>
        <v>2</v>
      </c>
      <c r="AM737" s="343">
        <f>U737*$AM$3</f>
        <v>7</v>
      </c>
    </row>
    <row r="738" spans="1:39" s="267" customFormat="1" x14ac:dyDescent="0.2">
      <c r="A738" s="308"/>
      <c r="B738" s="259"/>
      <c r="C738" s="290"/>
      <c r="D738" s="290"/>
      <c r="E738" s="290"/>
      <c r="F738" s="290"/>
      <c r="G738" s="290"/>
      <c r="H738" s="290"/>
      <c r="I738" s="290"/>
      <c r="J738" s="290"/>
      <c r="K738" s="290"/>
      <c r="L738" s="290"/>
      <c r="M738" s="290"/>
      <c r="N738" s="290"/>
      <c r="O738" s="290"/>
      <c r="P738" s="153"/>
      <c r="Q738" s="431"/>
      <c r="R738" s="436"/>
      <c r="S738" s="264"/>
      <c r="T738" s="266"/>
      <c r="U738" s="266"/>
      <c r="V738" s="264"/>
      <c r="W738" s="266"/>
      <c r="X738" s="266"/>
      <c r="Y738" s="264"/>
      <c r="Z738" s="266"/>
      <c r="AA738" s="266"/>
      <c r="AB738" s="264"/>
      <c r="AC738" s="266"/>
      <c r="AD738" s="266"/>
      <c r="AE738" s="264"/>
      <c r="AF738" s="266"/>
      <c r="AG738" s="266"/>
      <c r="AH738" s="264"/>
      <c r="AI738" s="266"/>
      <c r="AJ738" s="266"/>
      <c r="AK738" s="264"/>
      <c r="AL738" s="266"/>
      <c r="AM738" s="266"/>
    </row>
    <row r="739" spans="1:39" s="348" customFormat="1" x14ac:dyDescent="0.2">
      <c r="A739" s="353" t="s">
        <v>69</v>
      </c>
      <c r="B739" s="345" t="s">
        <v>790</v>
      </c>
      <c r="C739" s="346">
        <v>2</v>
      </c>
      <c r="D739" s="346">
        <f>C739*$Q739</f>
        <v>0</v>
      </c>
      <c r="E739" s="346">
        <v>2</v>
      </c>
      <c r="F739" s="346">
        <f>E739*$Q739</f>
        <v>0</v>
      </c>
      <c r="G739" s="346">
        <v>10</v>
      </c>
      <c r="H739" s="346">
        <f>G739*$Q739</f>
        <v>0</v>
      </c>
      <c r="I739" s="346">
        <v>2</v>
      </c>
      <c r="J739" s="346">
        <f>I739*$Q739</f>
        <v>0</v>
      </c>
      <c r="K739" s="346">
        <v>6</v>
      </c>
      <c r="L739" s="346">
        <f>K739*$Q739</f>
        <v>0</v>
      </c>
      <c r="M739" s="346">
        <v>2</v>
      </c>
      <c r="N739" s="346">
        <f>M739*$Q739</f>
        <v>0</v>
      </c>
      <c r="O739" s="346">
        <f>C739+E739+G739+I739+K739+M739</f>
        <v>24</v>
      </c>
      <c r="P739" s="232" t="s">
        <v>12</v>
      </c>
      <c r="Q739" s="432"/>
      <c r="R739" s="437"/>
      <c r="T739" s="349">
        <v>0</v>
      </c>
      <c r="U739" s="349"/>
      <c r="W739" s="349">
        <f>T739*$W$3</f>
        <v>0</v>
      </c>
      <c r="X739" s="349">
        <f>U739*$X$3</f>
        <v>0</v>
      </c>
      <c r="Z739" s="349">
        <f>W739</f>
        <v>0</v>
      </c>
      <c r="AA739" s="349">
        <f>U739*$AA$3</f>
        <v>0</v>
      </c>
      <c r="AC739" s="349">
        <f>W739</f>
        <v>0</v>
      </c>
      <c r="AD739" s="349">
        <f>U739*$AD$3</f>
        <v>0</v>
      </c>
      <c r="AF739" s="349">
        <f>W739</f>
        <v>0</v>
      </c>
      <c r="AG739" s="349">
        <f>U739*$AG$3</f>
        <v>0</v>
      </c>
      <c r="AI739" s="349">
        <f>W739</f>
        <v>0</v>
      </c>
      <c r="AJ739" s="349">
        <f>U739*$AJ$3</f>
        <v>0</v>
      </c>
      <c r="AL739" s="349">
        <f>W739</f>
        <v>0</v>
      </c>
      <c r="AM739" s="349">
        <f>U739*$AM$3</f>
        <v>0</v>
      </c>
    </row>
    <row r="740" spans="1:39" s="267" customFormat="1" x14ac:dyDescent="0.2">
      <c r="A740" s="308"/>
      <c r="B740" s="259"/>
      <c r="C740" s="290"/>
      <c r="D740" s="290"/>
      <c r="E740" s="290"/>
      <c r="F740" s="290"/>
      <c r="G740" s="290"/>
      <c r="H740" s="290"/>
      <c r="I740" s="290"/>
      <c r="J740" s="290"/>
      <c r="K740" s="290"/>
      <c r="L740" s="290"/>
      <c r="M740" s="290"/>
      <c r="N740" s="290"/>
      <c r="O740" s="290"/>
      <c r="P740" s="153"/>
      <c r="Q740" s="431"/>
      <c r="R740" s="436"/>
      <c r="S740" s="264"/>
      <c r="T740" s="266"/>
      <c r="U740" s="266"/>
      <c r="V740" s="264"/>
      <c r="W740" s="266"/>
      <c r="X740" s="266"/>
      <c r="Y740" s="264"/>
      <c r="Z740" s="266"/>
      <c r="AA740" s="266"/>
      <c r="AB740" s="264"/>
      <c r="AC740" s="266"/>
      <c r="AD740" s="266"/>
      <c r="AE740" s="264"/>
      <c r="AF740" s="266"/>
      <c r="AG740" s="266"/>
      <c r="AH740" s="264"/>
      <c r="AI740" s="266"/>
      <c r="AJ740" s="266"/>
      <c r="AK740" s="264"/>
      <c r="AL740" s="266"/>
      <c r="AM740" s="266"/>
    </row>
    <row r="741" spans="1:39" s="348" customFormat="1" x14ac:dyDescent="0.2">
      <c r="A741" s="353" t="s">
        <v>70</v>
      </c>
      <c r="B741" s="355" t="s">
        <v>791</v>
      </c>
      <c r="C741" s="338">
        <v>4</v>
      </c>
      <c r="D741" s="338">
        <v>0</v>
      </c>
      <c r="E741" s="338">
        <v>5</v>
      </c>
      <c r="F741" s="338">
        <v>0</v>
      </c>
      <c r="G741" s="338">
        <v>30</v>
      </c>
      <c r="H741" s="338">
        <v>0</v>
      </c>
      <c r="I741" s="338">
        <v>7</v>
      </c>
      <c r="J741" s="338">
        <v>0</v>
      </c>
      <c r="K741" s="338">
        <v>24</v>
      </c>
      <c r="L741" s="338">
        <v>0</v>
      </c>
      <c r="M741" s="338">
        <v>9</v>
      </c>
      <c r="N741" s="346">
        <f>M741*$Q741</f>
        <v>0</v>
      </c>
      <c r="O741" s="346">
        <f>C741+E741+G741+I741+K741+M741</f>
        <v>79</v>
      </c>
      <c r="P741" s="232" t="s">
        <v>12</v>
      </c>
      <c r="Q741" s="432"/>
      <c r="R741" s="437"/>
      <c r="T741" s="349">
        <v>0</v>
      </c>
      <c r="U741" s="349">
        <v>0</v>
      </c>
      <c r="W741" s="349">
        <f>T741*$W$3</f>
        <v>0</v>
      </c>
      <c r="X741" s="349">
        <f>U741*$X$3</f>
        <v>0</v>
      </c>
      <c r="Z741" s="349">
        <f>W741</f>
        <v>0</v>
      </c>
      <c r="AA741" s="349">
        <f>U741*$AA$3</f>
        <v>0</v>
      </c>
      <c r="AC741" s="349">
        <f>W741</f>
        <v>0</v>
      </c>
      <c r="AD741" s="349">
        <f>U741*$AD$3</f>
        <v>0</v>
      </c>
      <c r="AF741" s="349">
        <f>W741</f>
        <v>0</v>
      </c>
      <c r="AG741" s="349">
        <f>U741*$AG$3</f>
        <v>0</v>
      </c>
      <c r="AI741" s="349">
        <f>W741</f>
        <v>0</v>
      </c>
      <c r="AJ741" s="349">
        <f>U741*$AJ$3</f>
        <v>0</v>
      </c>
      <c r="AL741" s="349">
        <f>W741</f>
        <v>0</v>
      </c>
      <c r="AM741" s="349">
        <f>U741*$AM$3</f>
        <v>0</v>
      </c>
    </row>
    <row r="742" spans="1:39" s="267" customFormat="1" x14ac:dyDescent="0.2">
      <c r="A742" s="308"/>
      <c r="B742" s="269"/>
      <c r="C742" s="443"/>
      <c r="D742" s="443"/>
      <c r="E742" s="443"/>
      <c r="F742" s="443"/>
      <c r="G742" s="443"/>
      <c r="H742" s="443"/>
      <c r="I742" s="443"/>
      <c r="J742" s="443"/>
      <c r="K742" s="443"/>
      <c r="L742" s="443"/>
      <c r="M742" s="443"/>
      <c r="N742" s="443"/>
      <c r="O742" s="443"/>
      <c r="P742" s="9"/>
      <c r="Q742" s="431"/>
      <c r="R742" s="436"/>
      <c r="S742" s="264"/>
      <c r="T742" s="266"/>
      <c r="U742" s="266"/>
      <c r="V742" s="264"/>
      <c r="W742" s="266"/>
      <c r="X742" s="266"/>
      <c r="Y742" s="264"/>
      <c r="Z742" s="266"/>
      <c r="AA742" s="266"/>
      <c r="AB742" s="264"/>
      <c r="AC742" s="266"/>
      <c r="AD742" s="266"/>
      <c r="AE742" s="264"/>
      <c r="AF742" s="266"/>
      <c r="AG742" s="266"/>
      <c r="AH742" s="264"/>
      <c r="AI742" s="266"/>
      <c r="AJ742" s="266"/>
      <c r="AK742" s="264"/>
      <c r="AL742" s="266"/>
      <c r="AM742" s="266"/>
    </row>
    <row r="743" spans="1:39" s="342" customFormat="1" x14ac:dyDescent="0.2">
      <c r="A743" s="444" t="s">
        <v>71</v>
      </c>
      <c r="B743" s="354" t="s">
        <v>929</v>
      </c>
      <c r="C743" s="443">
        <f>(W743+X743)*$C$3</f>
        <v>2</v>
      </c>
      <c r="D743" s="443">
        <f>C743*$Q743</f>
        <v>0</v>
      </c>
      <c r="E743" s="443">
        <f>(Z743+AA743)*$E$3</f>
        <v>3</v>
      </c>
      <c r="F743" s="443">
        <f>E743*$Q743</f>
        <v>0</v>
      </c>
      <c r="G743" s="443">
        <f>(AC743+AD743)*$G$3</f>
        <v>20</v>
      </c>
      <c r="H743" s="443">
        <f>G743*$Q743</f>
        <v>0</v>
      </c>
      <c r="I743" s="443">
        <f>(AF743+AG743)*$I$3</f>
        <v>5</v>
      </c>
      <c r="J743" s="443">
        <f>I743*$Q743</f>
        <v>0</v>
      </c>
      <c r="K743" s="443">
        <f>(AI743+AJ743)*$K$3</f>
        <v>18</v>
      </c>
      <c r="L743" s="443">
        <f>K743*$Q743</f>
        <v>0</v>
      </c>
      <c r="M743" s="443">
        <f>(AL743+AM743)*$M$3</f>
        <v>7</v>
      </c>
      <c r="N743" s="443">
        <f>M743*$Q743</f>
        <v>0</v>
      </c>
      <c r="O743" s="443">
        <f>C743+E743+G743+I743+K743+M743</f>
        <v>55</v>
      </c>
      <c r="P743" s="9" t="s">
        <v>12</v>
      </c>
      <c r="Q743" s="431"/>
      <c r="R743" s="436"/>
      <c r="T743" s="343"/>
      <c r="U743" s="343">
        <v>1</v>
      </c>
      <c r="W743" s="343">
        <f>T743*$W$3</f>
        <v>0</v>
      </c>
      <c r="X743" s="343">
        <f>U743*$X$3</f>
        <v>2</v>
      </c>
      <c r="Z743" s="343">
        <f>W743</f>
        <v>0</v>
      </c>
      <c r="AA743" s="343">
        <f>U743*$AA$3</f>
        <v>3</v>
      </c>
      <c r="AC743" s="343">
        <f>W743</f>
        <v>0</v>
      </c>
      <c r="AD743" s="343">
        <f>U743*$AD$3</f>
        <v>4</v>
      </c>
      <c r="AF743" s="343">
        <f>W743</f>
        <v>0</v>
      </c>
      <c r="AG743" s="343">
        <f>U743*$AG$3</f>
        <v>5</v>
      </c>
      <c r="AI743" s="343">
        <f>W743</f>
        <v>0</v>
      </c>
      <c r="AJ743" s="343">
        <f>U743*$AJ$3</f>
        <v>6</v>
      </c>
      <c r="AL743" s="343">
        <f>W743</f>
        <v>0</v>
      </c>
      <c r="AM743" s="343">
        <f>U743*$AM$3</f>
        <v>7</v>
      </c>
    </row>
    <row r="744" spans="1:39" s="267" customFormat="1" x14ac:dyDescent="0.2">
      <c r="A744" s="444"/>
      <c r="B744" s="269"/>
      <c r="C744" s="290"/>
      <c r="D744" s="290"/>
      <c r="E744" s="290"/>
      <c r="F744" s="290"/>
      <c r="G744" s="290"/>
      <c r="H744" s="290"/>
      <c r="I744" s="290"/>
      <c r="J744" s="290"/>
      <c r="K744" s="290"/>
      <c r="L744" s="290"/>
      <c r="M744" s="290"/>
      <c r="N744" s="290"/>
      <c r="O744" s="290"/>
      <c r="P744" s="153"/>
      <c r="Q744" s="262"/>
      <c r="R744" s="435"/>
      <c r="S744" s="264"/>
      <c r="T744" s="266"/>
      <c r="U744" s="266"/>
      <c r="V744" s="264"/>
      <c r="W744" s="266"/>
      <c r="X744" s="266"/>
      <c r="Y744" s="264"/>
      <c r="Z744" s="266"/>
      <c r="AA744" s="266"/>
      <c r="AB744" s="264"/>
      <c r="AC744" s="266"/>
      <c r="AD744" s="266"/>
      <c r="AE744" s="264"/>
      <c r="AF744" s="266"/>
      <c r="AG744" s="266"/>
      <c r="AH744" s="264"/>
      <c r="AI744" s="266"/>
      <c r="AJ744" s="266"/>
      <c r="AK744" s="264"/>
      <c r="AL744" s="266"/>
      <c r="AM744" s="266"/>
    </row>
    <row r="745" spans="1:39" s="267" customFormat="1" x14ac:dyDescent="0.2">
      <c r="A745" s="444" t="s">
        <v>72</v>
      </c>
      <c r="B745" s="269" t="s">
        <v>792</v>
      </c>
      <c r="C745" s="290">
        <f>(W745+X745)*$C$3</f>
        <v>2</v>
      </c>
      <c r="D745" s="290">
        <f>C745*$Q745</f>
        <v>0</v>
      </c>
      <c r="E745" s="290">
        <f>(Z745+AA745)*$E$3</f>
        <v>3</v>
      </c>
      <c r="F745" s="290">
        <f>E745*$Q745</f>
        <v>0</v>
      </c>
      <c r="G745" s="290">
        <f>(AC745+AD745)*$G$3</f>
        <v>20</v>
      </c>
      <c r="H745" s="290">
        <f>G745*$Q745</f>
        <v>0</v>
      </c>
      <c r="I745" s="290">
        <f>(AF745+AG745)*$I$3</f>
        <v>5</v>
      </c>
      <c r="J745" s="290">
        <f>I745*$Q745</f>
        <v>0</v>
      </c>
      <c r="K745" s="290">
        <f>(AI745+AJ745)*$K$3</f>
        <v>18</v>
      </c>
      <c r="L745" s="290">
        <f>K745*$Q745</f>
        <v>0</v>
      </c>
      <c r="M745" s="290">
        <f>(AL745+AM745)*$M$3</f>
        <v>7</v>
      </c>
      <c r="N745" s="290">
        <f>M745*$Q745</f>
        <v>0</v>
      </c>
      <c r="O745" s="290">
        <f>C745+E745+G745+I745+K745+M745</f>
        <v>55</v>
      </c>
      <c r="P745" s="153" t="s">
        <v>12</v>
      </c>
      <c r="Q745" s="262"/>
      <c r="R745" s="435">
        <f>O745*Q745</f>
        <v>0</v>
      </c>
      <c r="S745" s="264"/>
      <c r="T745" s="266"/>
      <c r="U745" s="266">
        <v>1</v>
      </c>
      <c r="V745" s="264"/>
      <c r="W745" s="266">
        <f>T745*$W$3</f>
        <v>0</v>
      </c>
      <c r="X745" s="266">
        <f>U745*$X$3</f>
        <v>2</v>
      </c>
      <c r="Y745" s="264"/>
      <c r="Z745" s="266">
        <f>W745</f>
        <v>0</v>
      </c>
      <c r="AA745" s="266">
        <f>U745*$AA$3</f>
        <v>3</v>
      </c>
      <c r="AB745" s="264"/>
      <c r="AC745" s="266">
        <f>W745</f>
        <v>0</v>
      </c>
      <c r="AD745" s="266">
        <f>U745*$AD$3</f>
        <v>4</v>
      </c>
      <c r="AE745" s="264"/>
      <c r="AF745" s="266">
        <f>W745</f>
        <v>0</v>
      </c>
      <c r="AG745" s="266">
        <f>U745*$AG$3</f>
        <v>5</v>
      </c>
      <c r="AH745" s="264"/>
      <c r="AI745" s="266">
        <f>W745</f>
        <v>0</v>
      </c>
      <c r="AJ745" s="266">
        <f>U745*$AJ$3</f>
        <v>6</v>
      </c>
      <c r="AK745" s="264"/>
      <c r="AL745" s="266">
        <f>W745</f>
        <v>0</v>
      </c>
      <c r="AM745" s="266">
        <f>U745*$AM$3</f>
        <v>7</v>
      </c>
    </row>
    <row r="746" spans="1:39" s="267" customFormat="1" x14ac:dyDescent="0.2">
      <c r="A746" s="444"/>
      <c r="B746" s="269"/>
      <c r="C746" s="290"/>
      <c r="D746" s="290"/>
      <c r="E746" s="290"/>
      <c r="F746" s="290"/>
      <c r="G746" s="290"/>
      <c r="H746" s="290"/>
      <c r="I746" s="290"/>
      <c r="J746" s="290"/>
      <c r="K746" s="290"/>
      <c r="L746" s="290"/>
      <c r="M746" s="290"/>
      <c r="N746" s="290"/>
      <c r="O746" s="290"/>
      <c r="P746" s="153"/>
      <c r="Q746" s="262"/>
      <c r="R746" s="435"/>
      <c r="S746" s="264"/>
      <c r="T746" s="266"/>
      <c r="U746" s="266"/>
      <c r="V746" s="264"/>
      <c r="W746" s="266"/>
      <c r="X746" s="266"/>
      <c r="Y746" s="264"/>
      <c r="Z746" s="266"/>
      <c r="AA746" s="266"/>
      <c r="AB746" s="264"/>
      <c r="AC746" s="266"/>
      <c r="AD746" s="266"/>
      <c r="AE746" s="264"/>
      <c r="AF746" s="266"/>
      <c r="AG746" s="266"/>
      <c r="AH746" s="264"/>
      <c r="AI746" s="266"/>
      <c r="AJ746" s="266"/>
      <c r="AK746" s="264"/>
      <c r="AL746" s="266"/>
      <c r="AM746" s="266"/>
    </row>
    <row r="747" spans="1:39" s="267" customFormat="1" x14ac:dyDescent="0.2">
      <c r="A747" s="444" t="s">
        <v>73</v>
      </c>
      <c r="B747" s="269" t="s">
        <v>793</v>
      </c>
      <c r="C747" s="290">
        <f>(W747+X747)*$C$3</f>
        <v>2</v>
      </c>
      <c r="D747" s="290">
        <f>C747*$Q747</f>
        <v>0</v>
      </c>
      <c r="E747" s="290">
        <f>(Z747+AA747)*$E$3</f>
        <v>2</v>
      </c>
      <c r="F747" s="290">
        <f>E747*$Q747</f>
        <v>0</v>
      </c>
      <c r="G747" s="290">
        <f>(AC747+AD747)*$G$3</f>
        <v>10</v>
      </c>
      <c r="H747" s="290">
        <f>G747*$Q747</f>
        <v>0</v>
      </c>
      <c r="I747" s="290">
        <f>(AF747+AG747)*$I$3</f>
        <v>2</v>
      </c>
      <c r="J747" s="290">
        <f>I747*$Q747</f>
        <v>0</v>
      </c>
      <c r="K747" s="290">
        <f>(AI747+AJ747)*$K$3</f>
        <v>6</v>
      </c>
      <c r="L747" s="290">
        <f>K747*$Q747</f>
        <v>0</v>
      </c>
      <c r="M747" s="290">
        <f>(AL747+AM747)*$M$3</f>
        <v>2</v>
      </c>
      <c r="N747" s="290">
        <f>M747*$Q747</f>
        <v>0</v>
      </c>
      <c r="O747" s="290">
        <f>C747+E747+G747+I747+K747+M747</f>
        <v>24</v>
      </c>
      <c r="P747" s="153" t="s">
        <v>12</v>
      </c>
      <c r="Q747" s="262"/>
      <c r="R747" s="435">
        <f>O747*Q747</f>
        <v>0</v>
      </c>
      <c r="S747" s="264"/>
      <c r="T747" s="266">
        <v>1</v>
      </c>
      <c r="U747" s="266"/>
      <c r="V747" s="264"/>
      <c r="W747" s="266">
        <f>T747*$W$3</f>
        <v>2</v>
      </c>
      <c r="X747" s="266">
        <f>U747*$X$3</f>
        <v>0</v>
      </c>
      <c r="Y747" s="264"/>
      <c r="Z747" s="266">
        <f>W747</f>
        <v>2</v>
      </c>
      <c r="AA747" s="266">
        <f>U747*$AA$3</f>
        <v>0</v>
      </c>
      <c r="AB747" s="264"/>
      <c r="AC747" s="266">
        <f>W747</f>
        <v>2</v>
      </c>
      <c r="AD747" s="266">
        <f>U747*$AD$3</f>
        <v>0</v>
      </c>
      <c r="AE747" s="264"/>
      <c r="AF747" s="266">
        <f>W747</f>
        <v>2</v>
      </c>
      <c r="AG747" s="266">
        <f>U747*$AG$3</f>
        <v>0</v>
      </c>
      <c r="AH747" s="264"/>
      <c r="AI747" s="266">
        <f>W747</f>
        <v>2</v>
      </c>
      <c r="AJ747" s="266">
        <f>U747*$AJ$3</f>
        <v>0</v>
      </c>
      <c r="AK747" s="264"/>
      <c r="AL747" s="266">
        <f>W747</f>
        <v>2</v>
      </c>
      <c r="AM747" s="266">
        <f>U747*$AM$3</f>
        <v>0</v>
      </c>
    </row>
    <row r="748" spans="1:39" s="267" customFormat="1" x14ac:dyDescent="0.2">
      <c r="A748" s="258"/>
      <c r="B748" s="259"/>
      <c r="C748" s="290"/>
      <c r="D748" s="290"/>
      <c r="E748" s="290"/>
      <c r="F748" s="290"/>
      <c r="G748" s="290"/>
      <c r="H748" s="290"/>
      <c r="I748" s="290"/>
      <c r="J748" s="290"/>
      <c r="K748" s="290"/>
      <c r="L748" s="290"/>
      <c r="M748" s="290"/>
      <c r="N748" s="290"/>
      <c r="O748" s="290"/>
      <c r="P748" s="153"/>
      <c r="Q748" s="262"/>
      <c r="R748" s="435"/>
      <c r="S748" s="264"/>
      <c r="T748" s="266"/>
      <c r="U748" s="211"/>
      <c r="V748" s="264"/>
      <c r="W748" s="211"/>
      <c r="X748" s="211"/>
      <c r="Y748" s="264"/>
      <c r="Z748" s="211"/>
      <c r="AA748" s="211"/>
      <c r="AB748" s="264"/>
      <c r="AC748" s="211"/>
      <c r="AD748" s="211"/>
      <c r="AE748" s="264"/>
      <c r="AF748" s="211"/>
      <c r="AG748" s="211"/>
      <c r="AH748" s="264"/>
      <c r="AI748" s="211"/>
      <c r="AJ748" s="211"/>
      <c r="AK748" s="264"/>
      <c r="AL748" s="211"/>
      <c r="AM748" s="211"/>
    </row>
    <row r="749" spans="1:39" s="267" customFormat="1" x14ac:dyDescent="0.2">
      <c r="A749" s="258"/>
      <c r="B749" s="293" t="s">
        <v>795</v>
      </c>
      <c r="C749" s="290"/>
      <c r="D749" s="290"/>
      <c r="E749" s="290"/>
      <c r="F749" s="290"/>
      <c r="G749" s="290"/>
      <c r="H749" s="290"/>
      <c r="I749" s="290"/>
      <c r="J749" s="290"/>
      <c r="K749" s="290"/>
      <c r="L749" s="290"/>
      <c r="M749" s="290"/>
      <c r="N749" s="290"/>
      <c r="O749" s="290"/>
      <c r="P749" s="261"/>
      <c r="Q749" s="262"/>
      <c r="R749" s="435"/>
      <c r="S749" s="264"/>
      <c r="T749" s="266"/>
      <c r="U749" s="211"/>
      <c r="V749" s="264"/>
      <c r="W749" s="211"/>
      <c r="X749" s="211"/>
      <c r="Y749" s="264"/>
      <c r="Z749" s="211"/>
      <c r="AA749" s="211"/>
      <c r="AB749" s="264"/>
      <c r="AC749" s="211"/>
      <c r="AD749" s="211"/>
      <c r="AE749" s="264"/>
      <c r="AF749" s="211"/>
      <c r="AG749" s="211"/>
      <c r="AH749" s="264"/>
      <c r="AI749" s="211"/>
      <c r="AJ749" s="211"/>
      <c r="AK749" s="264"/>
      <c r="AL749" s="211"/>
      <c r="AM749" s="211"/>
    </row>
    <row r="750" spans="1:39" s="267" customFormat="1" x14ac:dyDescent="0.2">
      <c r="A750" s="444"/>
      <c r="B750" s="265"/>
      <c r="C750" s="290"/>
      <c r="D750" s="290"/>
      <c r="E750" s="290"/>
      <c r="F750" s="290"/>
      <c r="G750" s="290"/>
      <c r="H750" s="290"/>
      <c r="I750" s="290"/>
      <c r="J750" s="290"/>
      <c r="K750" s="290"/>
      <c r="L750" s="290"/>
      <c r="M750" s="290"/>
      <c r="N750" s="290"/>
      <c r="O750" s="290"/>
      <c r="P750" s="261"/>
      <c r="Q750" s="262"/>
      <c r="R750" s="435"/>
      <c r="S750" s="264"/>
      <c r="T750" s="266"/>
      <c r="U750" s="211"/>
      <c r="V750" s="264"/>
      <c r="W750" s="211"/>
      <c r="X750" s="211"/>
      <c r="Y750" s="264"/>
      <c r="Z750" s="211"/>
      <c r="AA750" s="211"/>
      <c r="AB750" s="264"/>
      <c r="AC750" s="211"/>
      <c r="AD750" s="211"/>
      <c r="AE750" s="264"/>
      <c r="AF750" s="211"/>
      <c r="AG750" s="211"/>
      <c r="AH750" s="264"/>
      <c r="AI750" s="211"/>
      <c r="AJ750" s="211"/>
      <c r="AK750" s="264"/>
      <c r="AL750" s="211"/>
      <c r="AM750" s="211"/>
    </row>
    <row r="751" spans="1:39" s="267" customFormat="1" x14ac:dyDescent="0.2">
      <c r="A751" s="444" t="s">
        <v>74</v>
      </c>
      <c r="B751" s="259" t="s">
        <v>228</v>
      </c>
      <c r="C751" s="290">
        <f>(W751+X751)*$C$3</f>
        <v>14</v>
      </c>
      <c r="D751" s="290">
        <f>C751*$Q751</f>
        <v>0</v>
      </c>
      <c r="E751" s="290">
        <f>(Z751+AA751)*$E$3</f>
        <v>17</v>
      </c>
      <c r="F751" s="290">
        <f>E751*$Q751</f>
        <v>0</v>
      </c>
      <c r="G751" s="290">
        <f>(AC751+AD751)*$G$3</f>
        <v>100</v>
      </c>
      <c r="H751" s="290">
        <f>G751*$Q751</f>
        <v>0</v>
      </c>
      <c r="I751" s="290">
        <f>(AF751+AG751)*$I$3</f>
        <v>23</v>
      </c>
      <c r="J751" s="290">
        <f>I751*$Q751</f>
        <v>0</v>
      </c>
      <c r="K751" s="290">
        <f>(AI751+AJ751)*$K$3</f>
        <v>78</v>
      </c>
      <c r="L751" s="290">
        <f>K751*$Q751</f>
        <v>0</v>
      </c>
      <c r="M751" s="290">
        <f>(AL751+AM751)*$M$3</f>
        <v>29</v>
      </c>
      <c r="N751" s="290">
        <f>M751*$Q751</f>
        <v>0</v>
      </c>
      <c r="O751" s="290">
        <f>C751+E751+G751+I751+K751+M751</f>
        <v>261</v>
      </c>
      <c r="P751" s="153" t="s">
        <v>12</v>
      </c>
      <c r="Q751" s="262"/>
      <c r="R751" s="435">
        <f>O751*Q751</f>
        <v>0</v>
      </c>
      <c r="S751" s="264"/>
      <c r="T751" s="266">
        <v>4</v>
      </c>
      <c r="U751" s="266">
        <v>3</v>
      </c>
      <c r="V751" s="264"/>
      <c r="W751" s="266">
        <f>T751*$W$3</f>
        <v>8</v>
      </c>
      <c r="X751" s="266">
        <f>U751*$X$3</f>
        <v>6</v>
      </c>
      <c r="Y751" s="264"/>
      <c r="Z751" s="266">
        <f>W751</f>
        <v>8</v>
      </c>
      <c r="AA751" s="266">
        <f>U751*$AA$3</f>
        <v>9</v>
      </c>
      <c r="AB751" s="264"/>
      <c r="AC751" s="266">
        <f>W751</f>
        <v>8</v>
      </c>
      <c r="AD751" s="266">
        <f>U751*$AD$3</f>
        <v>12</v>
      </c>
      <c r="AE751" s="264"/>
      <c r="AF751" s="266">
        <f>W751</f>
        <v>8</v>
      </c>
      <c r="AG751" s="266">
        <f>U751*$AG$3</f>
        <v>15</v>
      </c>
      <c r="AH751" s="264"/>
      <c r="AI751" s="266">
        <f>W751</f>
        <v>8</v>
      </c>
      <c r="AJ751" s="266">
        <f>U751*$AJ$3</f>
        <v>18</v>
      </c>
      <c r="AK751" s="264"/>
      <c r="AL751" s="266">
        <f>W751</f>
        <v>8</v>
      </c>
      <c r="AM751" s="266">
        <f>U751*$AM$3</f>
        <v>21</v>
      </c>
    </row>
    <row r="752" spans="1:39" s="267" customFormat="1" x14ac:dyDescent="0.2">
      <c r="A752" s="444"/>
      <c r="B752" s="265"/>
      <c r="C752" s="290">
        <f>ROUND(W752*C$3,0)</f>
        <v>0</v>
      </c>
      <c r="D752" s="290"/>
      <c r="E752" s="290">
        <f>ROUND(X752*E$3,0)</f>
        <v>0</v>
      </c>
      <c r="F752" s="290"/>
      <c r="G752" s="290">
        <f>ROUND(Z752*G$3,0)</f>
        <v>0</v>
      </c>
      <c r="H752" s="290"/>
      <c r="I752" s="290"/>
      <c r="J752" s="290"/>
      <c r="K752" s="290"/>
      <c r="L752" s="290"/>
      <c r="M752" s="290"/>
      <c r="N752" s="290"/>
      <c r="O752" s="290"/>
      <c r="P752" s="261"/>
      <c r="Q752" s="262"/>
      <c r="R752" s="435"/>
      <c r="S752" s="264"/>
      <c r="T752" s="266"/>
      <c r="U752" s="211"/>
      <c r="V752" s="264"/>
      <c r="W752" s="211"/>
      <c r="X752" s="211"/>
      <c r="Y752" s="264"/>
      <c r="Z752" s="211"/>
      <c r="AA752" s="211"/>
      <c r="AB752" s="264"/>
      <c r="AC752" s="211"/>
      <c r="AD752" s="211"/>
      <c r="AE752" s="264"/>
      <c r="AF752" s="211"/>
      <c r="AG752" s="211"/>
      <c r="AH752" s="264"/>
      <c r="AI752" s="211"/>
      <c r="AJ752" s="211"/>
      <c r="AK752" s="264"/>
      <c r="AL752" s="211"/>
      <c r="AM752" s="211"/>
    </row>
    <row r="753" spans="1:39" s="267" customFormat="1" x14ac:dyDescent="0.2">
      <c r="A753" s="444" t="s">
        <v>75</v>
      </c>
      <c r="B753" s="259" t="s">
        <v>770</v>
      </c>
      <c r="C753" s="290">
        <f>(W753+X753)*$C$3</f>
        <v>4</v>
      </c>
      <c r="D753" s="290">
        <f>C753*$Q753</f>
        <v>0</v>
      </c>
      <c r="E753" s="290">
        <f>(Z753+AA753)*$E$3</f>
        <v>5</v>
      </c>
      <c r="F753" s="290">
        <f>E753*$Q753</f>
        <v>0</v>
      </c>
      <c r="G753" s="290">
        <f>(AC753+AD753)*$G$3</f>
        <v>30</v>
      </c>
      <c r="H753" s="290">
        <f>G753*$Q753</f>
        <v>0</v>
      </c>
      <c r="I753" s="290">
        <f>(AF753+AG753)*$I$3</f>
        <v>7</v>
      </c>
      <c r="J753" s="290">
        <f>I753*$Q753</f>
        <v>0</v>
      </c>
      <c r="K753" s="290">
        <f>(AI753+AJ753)*$K$3</f>
        <v>24</v>
      </c>
      <c r="L753" s="290">
        <f>K753*$Q753</f>
        <v>0</v>
      </c>
      <c r="M753" s="290">
        <f>(AL753+AM753)*$M$3</f>
        <v>9</v>
      </c>
      <c r="N753" s="290">
        <f>M753*$Q753</f>
        <v>0</v>
      </c>
      <c r="O753" s="290">
        <f>C753+E753+G753+I753+K753+M753</f>
        <v>79</v>
      </c>
      <c r="P753" s="153" t="s">
        <v>12</v>
      </c>
      <c r="Q753" s="262"/>
      <c r="R753" s="435">
        <f>O753*Q753</f>
        <v>0</v>
      </c>
      <c r="S753" s="264"/>
      <c r="T753" s="266">
        <v>1</v>
      </c>
      <c r="U753" s="266">
        <v>1</v>
      </c>
      <c r="V753" s="264"/>
      <c r="W753" s="266">
        <f>T753*$W$3</f>
        <v>2</v>
      </c>
      <c r="X753" s="266">
        <f>U753*$X$3</f>
        <v>2</v>
      </c>
      <c r="Y753" s="264"/>
      <c r="Z753" s="266">
        <f>W753</f>
        <v>2</v>
      </c>
      <c r="AA753" s="266">
        <f>U753*$AA$3</f>
        <v>3</v>
      </c>
      <c r="AB753" s="264"/>
      <c r="AC753" s="266">
        <f>W753</f>
        <v>2</v>
      </c>
      <c r="AD753" s="266">
        <f>U753*$AD$3</f>
        <v>4</v>
      </c>
      <c r="AE753" s="264"/>
      <c r="AF753" s="266">
        <f>W753</f>
        <v>2</v>
      </c>
      <c r="AG753" s="266">
        <f>U753*$AG$3</f>
        <v>5</v>
      </c>
      <c r="AH753" s="264"/>
      <c r="AI753" s="266">
        <f>W753</f>
        <v>2</v>
      </c>
      <c r="AJ753" s="266">
        <f>U753*$AJ$3</f>
        <v>6</v>
      </c>
      <c r="AK753" s="264"/>
      <c r="AL753" s="266">
        <f>W753</f>
        <v>2</v>
      </c>
      <c r="AM753" s="266">
        <f>U753*$AM$3</f>
        <v>7</v>
      </c>
    </row>
    <row r="754" spans="1:39" s="267" customFormat="1" x14ac:dyDescent="0.2">
      <c r="A754" s="444"/>
      <c r="B754" s="265"/>
      <c r="C754" s="290"/>
      <c r="D754" s="290"/>
      <c r="E754" s="290"/>
      <c r="F754" s="290"/>
      <c r="G754" s="290"/>
      <c r="H754" s="290"/>
      <c r="I754" s="290"/>
      <c r="J754" s="290"/>
      <c r="K754" s="290"/>
      <c r="L754" s="290"/>
      <c r="M754" s="290"/>
      <c r="N754" s="290"/>
      <c r="O754" s="290"/>
      <c r="P754" s="261"/>
      <c r="Q754" s="262"/>
      <c r="R754" s="435"/>
      <c r="S754" s="264"/>
      <c r="T754" s="266"/>
      <c r="U754" s="211"/>
      <c r="V754" s="264"/>
      <c r="W754" s="211"/>
      <c r="X754" s="211"/>
      <c r="Y754" s="264"/>
      <c r="Z754" s="211"/>
      <c r="AA754" s="211"/>
      <c r="AB754" s="264"/>
      <c r="AC754" s="211"/>
      <c r="AD754" s="211"/>
      <c r="AE754" s="264"/>
      <c r="AF754" s="211"/>
      <c r="AG754" s="211"/>
      <c r="AH754" s="264"/>
      <c r="AI754" s="211"/>
      <c r="AJ754" s="211"/>
      <c r="AK754" s="264"/>
      <c r="AL754" s="211"/>
      <c r="AM754" s="211"/>
    </row>
    <row r="755" spans="1:39" s="267" customFormat="1" x14ac:dyDescent="0.2">
      <c r="A755" s="444"/>
      <c r="B755" s="293" t="s">
        <v>796</v>
      </c>
      <c r="C755" s="290"/>
      <c r="D755" s="290"/>
      <c r="E755" s="290"/>
      <c r="F755" s="290"/>
      <c r="G755" s="290"/>
      <c r="H755" s="290"/>
      <c r="I755" s="290"/>
      <c r="J755" s="290"/>
      <c r="K755" s="290"/>
      <c r="L755" s="290"/>
      <c r="M755" s="290"/>
      <c r="N755" s="290"/>
      <c r="O755" s="290"/>
      <c r="P755" s="153"/>
      <c r="Q755" s="262"/>
      <c r="R755" s="435"/>
      <c r="S755" s="264"/>
      <c r="T755" s="266"/>
      <c r="U755" s="211"/>
      <c r="V755" s="264"/>
      <c r="W755" s="211"/>
      <c r="X755" s="211"/>
      <c r="Y755" s="264"/>
      <c r="Z755" s="211"/>
      <c r="AA755" s="211"/>
      <c r="AB755" s="264"/>
      <c r="AC755" s="211"/>
      <c r="AD755" s="211"/>
      <c r="AE755" s="264"/>
      <c r="AF755" s="211"/>
      <c r="AG755" s="211"/>
      <c r="AH755" s="264"/>
      <c r="AI755" s="211"/>
      <c r="AJ755" s="211"/>
      <c r="AK755" s="264"/>
      <c r="AL755" s="211"/>
      <c r="AM755" s="211"/>
    </row>
    <row r="756" spans="1:39" s="267" customFormat="1" x14ac:dyDescent="0.2">
      <c r="A756" s="445"/>
      <c r="B756" s="356"/>
      <c r="C756" s="290"/>
      <c r="D756" s="290"/>
      <c r="E756" s="290"/>
      <c r="F756" s="290"/>
      <c r="G756" s="290"/>
      <c r="H756" s="290"/>
      <c r="I756" s="290"/>
      <c r="J756" s="290"/>
      <c r="K756" s="290"/>
      <c r="L756" s="290"/>
      <c r="M756" s="290"/>
      <c r="N756" s="290"/>
      <c r="O756" s="290"/>
      <c r="P756" s="261"/>
      <c r="Q756" s="262"/>
      <c r="R756" s="435"/>
      <c r="S756" s="264"/>
      <c r="T756" s="266"/>
      <c r="U756" s="211"/>
      <c r="V756" s="264"/>
      <c r="W756" s="211"/>
      <c r="X756" s="211"/>
      <c r="Y756" s="264"/>
      <c r="Z756" s="211"/>
      <c r="AA756" s="211"/>
      <c r="AB756" s="264"/>
      <c r="AC756" s="211"/>
      <c r="AD756" s="211"/>
      <c r="AE756" s="264"/>
      <c r="AF756" s="211"/>
      <c r="AG756" s="211"/>
      <c r="AH756" s="264"/>
      <c r="AI756" s="211"/>
      <c r="AJ756" s="211"/>
      <c r="AK756" s="264"/>
      <c r="AL756" s="211"/>
      <c r="AM756" s="211"/>
    </row>
    <row r="757" spans="1:39" s="264" customFormat="1" x14ac:dyDescent="0.2">
      <c r="A757" s="445" t="s">
        <v>76</v>
      </c>
      <c r="B757" s="259" t="s">
        <v>797</v>
      </c>
      <c r="C757" s="290">
        <f>(W757+X757)*$C$3</f>
        <v>4</v>
      </c>
      <c r="D757" s="290">
        <f>C757*$Q757</f>
        <v>0</v>
      </c>
      <c r="E757" s="290">
        <f>(Z757+AA757)*$E$3</f>
        <v>5</v>
      </c>
      <c r="F757" s="290">
        <f>E757*$Q757</f>
        <v>0</v>
      </c>
      <c r="G757" s="290">
        <f>(AC757+AD757)*$G$3</f>
        <v>30</v>
      </c>
      <c r="H757" s="290">
        <f>G757*$Q757</f>
        <v>0</v>
      </c>
      <c r="I757" s="290">
        <f>(AF757+AG757)*$I$3</f>
        <v>7</v>
      </c>
      <c r="J757" s="290">
        <f>I757*$Q757</f>
        <v>0</v>
      </c>
      <c r="K757" s="290">
        <f>(AI757+AJ757)*$K$3</f>
        <v>24</v>
      </c>
      <c r="L757" s="290">
        <f>K757*$Q757</f>
        <v>0</v>
      </c>
      <c r="M757" s="290">
        <f>(AL757+AM757)*$M$3</f>
        <v>9</v>
      </c>
      <c r="N757" s="290">
        <f>M757*$Q757</f>
        <v>0</v>
      </c>
      <c r="O757" s="290">
        <f>C757+E757+G757+I757+K757+M757</f>
        <v>79</v>
      </c>
      <c r="P757" s="153" t="s">
        <v>269</v>
      </c>
      <c r="Q757" s="262"/>
      <c r="R757" s="435">
        <f>O757*Q757</f>
        <v>0</v>
      </c>
      <c r="S757" s="276"/>
      <c r="T757" s="266">
        <v>1</v>
      </c>
      <c r="U757" s="266">
        <v>1</v>
      </c>
      <c r="W757" s="266">
        <f>T757*$W$3</f>
        <v>2</v>
      </c>
      <c r="X757" s="266">
        <f>U757*$X$3</f>
        <v>2</v>
      </c>
      <c r="Z757" s="266">
        <f>W757</f>
        <v>2</v>
      </c>
      <c r="AA757" s="266">
        <f>U757*$AA$3</f>
        <v>3</v>
      </c>
      <c r="AC757" s="266">
        <f>W757</f>
        <v>2</v>
      </c>
      <c r="AD757" s="266">
        <f>U757*$AD$3</f>
        <v>4</v>
      </c>
      <c r="AF757" s="266">
        <f>W757</f>
        <v>2</v>
      </c>
      <c r="AG757" s="266">
        <f>U757*$AG$3</f>
        <v>5</v>
      </c>
      <c r="AI757" s="266">
        <f>W757</f>
        <v>2</v>
      </c>
      <c r="AJ757" s="266">
        <f>U757*$AJ$3</f>
        <v>6</v>
      </c>
      <c r="AL757" s="266">
        <f>W757</f>
        <v>2</v>
      </c>
      <c r="AM757" s="266">
        <f>U757*$AM$3</f>
        <v>7</v>
      </c>
    </row>
    <row r="758" spans="1:39" s="264" customFormat="1" x14ac:dyDescent="0.2">
      <c r="A758" s="445"/>
      <c r="B758" s="259"/>
      <c r="C758" s="290"/>
      <c r="D758" s="290"/>
      <c r="E758" s="290"/>
      <c r="F758" s="290"/>
      <c r="G758" s="290"/>
      <c r="H758" s="290"/>
      <c r="I758" s="290"/>
      <c r="J758" s="290"/>
      <c r="K758" s="290"/>
      <c r="L758" s="290"/>
      <c r="M758" s="290"/>
      <c r="N758" s="290"/>
      <c r="O758" s="290"/>
      <c r="P758" s="261"/>
      <c r="Q758" s="262"/>
      <c r="R758" s="435"/>
      <c r="S758" s="276"/>
      <c r="T758" s="357"/>
      <c r="U758" s="357"/>
      <c r="W758" s="211"/>
      <c r="X758" s="211"/>
      <c r="Z758" s="211"/>
      <c r="AA758" s="211"/>
      <c r="AC758" s="211"/>
      <c r="AD758" s="211"/>
      <c r="AF758" s="211"/>
      <c r="AG758" s="211"/>
      <c r="AI758" s="211"/>
      <c r="AJ758" s="211"/>
      <c r="AL758" s="211"/>
      <c r="AM758" s="211"/>
    </row>
    <row r="759" spans="1:39" s="267" customFormat="1" x14ac:dyDescent="0.2">
      <c r="A759" s="445" t="s">
        <v>77</v>
      </c>
      <c r="B759" s="259" t="s">
        <v>798</v>
      </c>
      <c r="C759" s="290">
        <f>(W759+X759)*$C$3</f>
        <v>4</v>
      </c>
      <c r="D759" s="290">
        <f>C759*$Q759</f>
        <v>0</v>
      </c>
      <c r="E759" s="290">
        <f>(Z759+AA759)*$E$3</f>
        <v>5</v>
      </c>
      <c r="F759" s="290">
        <f>E759*$Q759</f>
        <v>0</v>
      </c>
      <c r="G759" s="290">
        <f>(AC759+AD759)*$G$3</f>
        <v>30</v>
      </c>
      <c r="H759" s="290">
        <f>G759*$Q759</f>
        <v>0</v>
      </c>
      <c r="I759" s="290">
        <f>(AF759+AG759)*$I$3</f>
        <v>7</v>
      </c>
      <c r="J759" s="290">
        <f>I759*$Q759</f>
        <v>0</v>
      </c>
      <c r="K759" s="290">
        <f>(AI759+AJ759)*$K$3</f>
        <v>24</v>
      </c>
      <c r="L759" s="290">
        <f>K759*$Q759</f>
        <v>0</v>
      </c>
      <c r="M759" s="290">
        <f>(AL759+AM759)*$M$3</f>
        <v>9</v>
      </c>
      <c r="N759" s="290">
        <f>M759*$Q759</f>
        <v>0</v>
      </c>
      <c r="O759" s="290">
        <f>C759+E759+G759+I759+K759+M759</f>
        <v>79</v>
      </c>
      <c r="P759" s="153" t="s">
        <v>269</v>
      </c>
      <c r="Q759" s="262"/>
      <c r="R759" s="435">
        <f>O759*Q759</f>
        <v>0</v>
      </c>
      <c r="S759" s="264"/>
      <c r="T759" s="266">
        <v>1</v>
      </c>
      <c r="U759" s="266">
        <v>1</v>
      </c>
      <c r="V759" s="264"/>
      <c r="W759" s="266">
        <f>T759*$W$3</f>
        <v>2</v>
      </c>
      <c r="X759" s="266">
        <f>U759*$X$3</f>
        <v>2</v>
      </c>
      <c r="Y759" s="264"/>
      <c r="Z759" s="266">
        <f>W759</f>
        <v>2</v>
      </c>
      <c r="AA759" s="266">
        <f>U759*$AA$3</f>
        <v>3</v>
      </c>
      <c r="AB759" s="264"/>
      <c r="AC759" s="266">
        <f>W759</f>
        <v>2</v>
      </c>
      <c r="AD759" s="266">
        <f>U759*$AD$3</f>
        <v>4</v>
      </c>
      <c r="AE759" s="264"/>
      <c r="AF759" s="266">
        <f>W759</f>
        <v>2</v>
      </c>
      <c r="AG759" s="266">
        <f>U759*$AG$3</f>
        <v>5</v>
      </c>
      <c r="AH759" s="264"/>
      <c r="AI759" s="266">
        <f>W759</f>
        <v>2</v>
      </c>
      <c r="AJ759" s="266">
        <f>U759*$AJ$3</f>
        <v>6</v>
      </c>
      <c r="AK759" s="264"/>
      <c r="AL759" s="266">
        <f>W759</f>
        <v>2</v>
      </c>
      <c r="AM759" s="266">
        <f>U759*$AM$3</f>
        <v>7</v>
      </c>
    </row>
    <row r="760" spans="1:39" s="267" customFormat="1" x14ac:dyDescent="0.2">
      <c r="A760" s="445"/>
      <c r="B760" s="293"/>
      <c r="C760" s="290"/>
      <c r="D760" s="290"/>
      <c r="E760" s="290"/>
      <c r="F760" s="290"/>
      <c r="G760" s="290"/>
      <c r="H760" s="290"/>
      <c r="I760" s="290"/>
      <c r="J760" s="290"/>
      <c r="K760" s="290"/>
      <c r="L760" s="290"/>
      <c r="M760" s="290"/>
      <c r="N760" s="290">
        <f>M760*$Q760</f>
        <v>0</v>
      </c>
      <c r="O760" s="290"/>
      <c r="P760" s="261"/>
      <c r="Q760" s="262"/>
      <c r="R760" s="435"/>
      <c r="S760" s="264"/>
      <c r="T760" s="266"/>
      <c r="U760" s="266"/>
      <c r="V760" s="264"/>
      <c r="W760" s="211"/>
      <c r="X760" s="211"/>
      <c r="Y760" s="264"/>
      <c r="Z760" s="211"/>
      <c r="AA760" s="211"/>
      <c r="AB760" s="264"/>
      <c r="AC760" s="211"/>
      <c r="AD760" s="211"/>
      <c r="AE760" s="264"/>
      <c r="AF760" s="211"/>
      <c r="AG760" s="211"/>
      <c r="AH760" s="264"/>
      <c r="AI760" s="211"/>
      <c r="AJ760" s="211"/>
      <c r="AK760" s="264"/>
      <c r="AL760" s="211"/>
      <c r="AM760" s="211"/>
    </row>
    <row r="761" spans="1:39" s="267" customFormat="1" x14ac:dyDescent="0.2">
      <c r="A761" s="445"/>
      <c r="B761" s="293" t="s">
        <v>799</v>
      </c>
      <c r="C761" s="290"/>
      <c r="D761" s="290"/>
      <c r="E761" s="290"/>
      <c r="F761" s="290"/>
      <c r="G761" s="290"/>
      <c r="H761" s="290"/>
      <c r="I761" s="290"/>
      <c r="J761" s="290"/>
      <c r="K761" s="290"/>
      <c r="L761" s="290"/>
      <c r="M761" s="290"/>
      <c r="N761" s="290"/>
      <c r="O761" s="290"/>
      <c r="P761" s="261"/>
      <c r="Q761" s="262"/>
      <c r="R761" s="435"/>
      <c r="S761" s="264"/>
      <c r="T761" s="266"/>
      <c r="U761" s="266"/>
      <c r="V761" s="264"/>
      <c r="W761" s="211"/>
      <c r="X761" s="211"/>
      <c r="Y761" s="264"/>
      <c r="Z761" s="211"/>
      <c r="AA761" s="211"/>
      <c r="AB761" s="264"/>
      <c r="AC761" s="211"/>
      <c r="AD761" s="211"/>
      <c r="AE761" s="264"/>
      <c r="AF761" s="211"/>
      <c r="AG761" s="211"/>
      <c r="AH761" s="264"/>
      <c r="AI761" s="211"/>
      <c r="AJ761" s="211"/>
      <c r="AK761" s="264"/>
      <c r="AL761" s="211"/>
      <c r="AM761" s="211"/>
    </row>
    <row r="762" spans="1:39" s="267" customFormat="1" x14ac:dyDescent="0.2">
      <c r="A762" s="445"/>
      <c r="B762" s="293"/>
      <c r="C762" s="290"/>
      <c r="D762" s="290"/>
      <c r="E762" s="290"/>
      <c r="F762" s="290"/>
      <c r="G762" s="290"/>
      <c r="H762" s="290"/>
      <c r="I762" s="290"/>
      <c r="J762" s="290"/>
      <c r="K762" s="290"/>
      <c r="L762" s="290"/>
      <c r="M762" s="290"/>
      <c r="N762" s="290"/>
      <c r="O762" s="290"/>
      <c r="P762" s="261"/>
      <c r="Q762" s="262"/>
      <c r="R762" s="435"/>
      <c r="S762" s="264"/>
      <c r="T762" s="266"/>
      <c r="U762" s="266"/>
      <c r="V762" s="264"/>
      <c r="W762" s="211"/>
      <c r="X762" s="211"/>
      <c r="Y762" s="264"/>
      <c r="Z762" s="211"/>
      <c r="AA762" s="211"/>
      <c r="AB762" s="264"/>
      <c r="AC762" s="211"/>
      <c r="AD762" s="211"/>
      <c r="AE762" s="264"/>
      <c r="AF762" s="211"/>
      <c r="AG762" s="211"/>
      <c r="AH762" s="264"/>
      <c r="AI762" s="211"/>
      <c r="AJ762" s="211"/>
      <c r="AK762" s="264"/>
      <c r="AL762" s="211"/>
      <c r="AM762" s="211"/>
    </row>
    <row r="763" spans="1:39" s="267" customFormat="1" x14ac:dyDescent="0.2">
      <c r="A763" s="445" t="s">
        <v>79</v>
      </c>
      <c r="B763" s="259" t="s">
        <v>231</v>
      </c>
      <c r="C763" s="290">
        <f>(W763+X763)*$C$3</f>
        <v>4</v>
      </c>
      <c r="D763" s="290">
        <f>C763*$Q763</f>
        <v>0</v>
      </c>
      <c r="E763" s="290">
        <f>(Z763+AA763)*$E$3</f>
        <v>5</v>
      </c>
      <c r="F763" s="290">
        <f>E763*$Q763</f>
        <v>0</v>
      </c>
      <c r="G763" s="290">
        <f>(AC763+AD763)*$G$3</f>
        <v>30</v>
      </c>
      <c r="H763" s="290">
        <f>G763*$Q763</f>
        <v>0</v>
      </c>
      <c r="I763" s="290">
        <f>(AF763+AG763)*$I$3</f>
        <v>7</v>
      </c>
      <c r="J763" s="290">
        <f>I763*$Q763</f>
        <v>0</v>
      </c>
      <c r="K763" s="290">
        <f>(AI763+AJ763)*$K$3</f>
        <v>24</v>
      </c>
      <c r="L763" s="290">
        <f>K763*$Q763</f>
        <v>0</v>
      </c>
      <c r="M763" s="290">
        <f>(AL763+AM763)*$M$3</f>
        <v>9</v>
      </c>
      <c r="N763" s="290">
        <f>M763*$Q763</f>
        <v>0</v>
      </c>
      <c r="O763" s="290">
        <f>C763+E763+G763+I763+K763+M763</f>
        <v>79</v>
      </c>
      <c r="P763" s="153" t="s">
        <v>269</v>
      </c>
      <c r="Q763" s="262"/>
      <c r="R763" s="435">
        <f>O763*Q763</f>
        <v>0</v>
      </c>
      <c r="S763" s="264"/>
      <c r="T763" s="266">
        <v>1</v>
      </c>
      <c r="U763" s="266">
        <v>1</v>
      </c>
      <c r="V763" s="264"/>
      <c r="W763" s="266">
        <f>T763*$W$3</f>
        <v>2</v>
      </c>
      <c r="X763" s="266">
        <f>U763*$X$3</f>
        <v>2</v>
      </c>
      <c r="Y763" s="264"/>
      <c r="Z763" s="266">
        <f>W763</f>
        <v>2</v>
      </c>
      <c r="AA763" s="266">
        <f>U763*$AA$3</f>
        <v>3</v>
      </c>
      <c r="AB763" s="264"/>
      <c r="AC763" s="266">
        <f>W763</f>
        <v>2</v>
      </c>
      <c r="AD763" s="266">
        <f>U763*$AD$3</f>
        <v>4</v>
      </c>
      <c r="AE763" s="264"/>
      <c r="AF763" s="266">
        <f>W763</f>
        <v>2</v>
      </c>
      <c r="AG763" s="266">
        <f>U763*$AG$3</f>
        <v>5</v>
      </c>
      <c r="AH763" s="264"/>
      <c r="AI763" s="266">
        <f>W763</f>
        <v>2</v>
      </c>
      <c r="AJ763" s="266">
        <f>U763*$AJ$3</f>
        <v>6</v>
      </c>
      <c r="AK763" s="264"/>
      <c r="AL763" s="266">
        <f>W763</f>
        <v>2</v>
      </c>
      <c r="AM763" s="266">
        <f>U763*$AM$3</f>
        <v>7</v>
      </c>
    </row>
    <row r="764" spans="1:39" s="267" customFormat="1" x14ac:dyDescent="0.2">
      <c r="A764" s="445"/>
      <c r="B764" s="259"/>
      <c r="C764" s="290"/>
      <c r="D764" s="290"/>
      <c r="E764" s="290"/>
      <c r="F764" s="290"/>
      <c r="G764" s="290"/>
      <c r="H764" s="290"/>
      <c r="I764" s="290"/>
      <c r="J764" s="290"/>
      <c r="K764" s="290"/>
      <c r="L764" s="290"/>
      <c r="M764" s="290"/>
      <c r="N764" s="290"/>
      <c r="O764" s="290"/>
      <c r="P764" s="153"/>
      <c r="Q764" s="262"/>
      <c r="R764" s="435"/>
      <c r="S764" s="264"/>
      <c r="T764" s="266"/>
      <c r="U764" s="266"/>
      <c r="V764" s="264"/>
      <c r="W764" s="266"/>
      <c r="X764" s="266"/>
      <c r="Y764" s="264"/>
      <c r="Z764" s="266"/>
      <c r="AA764" s="266"/>
      <c r="AB764" s="264"/>
      <c r="AC764" s="266"/>
      <c r="AD764" s="266"/>
      <c r="AE764" s="264"/>
      <c r="AF764" s="266"/>
      <c r="AG764" s="266"/>
      <c r="AH764" s="264"/>
      <c r="AI764" s="266"/>
      <c r="AJ764" s="266"/>
      <c r="AK764" s="264"/>
      <c r="AL764" s="266"/>
      <c r="AM764" s="266"/>
    </row>
    <row r="765" spans="1:39" s="267" customFormat="1" x14ac:dyDescent="0.2">
      <c r="A765" s="445"/>
      <c r="B765" s="259"/>
      <c r="C765" s="290"/>
      <c r="D765" s="290"/>
      <c r="E765" s="290"/>
      <c r="F765" s="290"/>
      <c r="G765" s="290"/>
      <c r="H765" s="290"/>
      <c r="I765" s="290"/>
      <c r="J765" s="290"/>
      <c r="K765" s="290"/>
      <c r="L765" s="290"/>
      <c r="M765" s="290"/>
      <c r="N765" s="290"/>
      <c r="O765" s="290"/>
      <c r="P765" s="153"/>
      <c r="Q765" s="262"/>
      <c r="R765" s="435"/>
      <c r="S765" s="264"/>
      <c r="T765" s="266"/>
      <c r="U765" s="266"/>
      <c r="V765" s="264"/>
      <c r="W765" s="266"/>
      <c r="X765" s="266"/>
      <c r="Y765" s="264"/>
      <c r="Z765" s="266"/>
      <c r="AA765" s="266"/>
      <c r="AB765" s="264"/>
      <c r="AC765" s="266"/>
      <c r="AD765" s="266"/>
      <c r="AE765" s="264"/>
      <c r="AF765" s="266"/>
      <c r="AG765" s="266"/>
      <c r="AH765" s="264"/>
      <c r="AI765" s="266"/>
      <c r="AJ765" s="266"/>
      <c r="AK765" s="264"/>
      <c r="AL765" s="266"/>
      <c r="AM765" s="266"/>
    </row>
    <row r="766" spans="1:39" s="267" customFormat="1" x14ac:dyDescent="0.2">
      <c r="A766" s="445"/>
      <c r="B766" s="259"/>
      <c r="C766" s="290"/>
      <c r="D766" s="290"/>
      <c r="E766" s="290"/>
      <c r="F766" s="290"/>
      <c r="G766" s="290"/>
      <c r="H766" s="290"/>
      <c r="I766" s="290"/>
      <c r="J766" s="290"/>
      <c r="K766" s="290"/>
      <c r="L766" s="290"/>
      <c r="M766" s="290"/>
      <c r="N766" s="290"/>
      <c r="O766" s="290"/>
      <c r="P766" s="153"/>
      <c r="Q766" s="262"/>
      <c r="R766" s="435"/>
      <c r="S766" s="264"/>
      <c r="T766" s="266"/>
      <c r="U766" s="266"/>
      <c r="V766" s="264"/>
      <c r="W766" s="266"/>
      <c r="X766" s="266"/>
      <c r="Y766" s="264"/>
      <c r="Z766" s="266"/>
      <c r="AA766" s="266"/>
      <c r="AB766" s="264"/>
      <c r="AC766" s="266"/>
      <c r="AD766" s="266"/>
      <c r="AE766" s="264"/>
      <c r="AF766" s="266"/>
      <c r="AG766" s="266"/>
      <c r="AH766" s="264"/>
      <c r="AI766" s="266"/>
      <c r="AJ766" s="266"/>
      <c r="AK766" s="264"/>
      <c r="AL766" s="266"/>
      <c r="AM766" s="266"/>
    </row>
    <row r="767" spans="1:39" s="267" customFormat="1" x14ac:dyDescent="0.2">
      <c r="A767" s="445"/>
      <c r="B767" s="259"/>
      <c r="C767" s="290"/>
      <c r="D767" s="290"/>
      <c r="E767" s="290"/>
      <c r="F767" s="290"/>
      <c r="G767" s="290"/>
      <c r="H767" s="290"/>
      <c r="I767" s="290"/>
      <c r="J767" s="290"/>
      <c r="K767" s="290"/>
      <c r="L767" s="290"/>
      <c r="M767" s="290"/>
      <c r="N767" s="290"/>
      <c r="O767" s="290"/>
      <c r="P767" s="153"/>
      <c r="Q767" s="262"/>
      <c r="R767" s="435"/>
      <c r="S767" s="264"/>
      <c r="T767" s="266"/>
      <c r="U767" s="266"/>
      <c r="V767" s="264"/>
      <c r="W767" s="266"/>
      <c r="X767" s="266"/>
      <c r="Y767" s="264"/>
      <c r="Z767" s="266"/>
      <c r="AA767" s="266"/>
      <c r="AB767" s="264"/>
      <c r="AC767" s="266"/>
      <c r="AD767" s="266"/>
      <c r="AE767" s="264"/>
      <c r="AF767" s="266"/>
      <c r="AG767" s="266"/>
      <c r="AH767" s="264"/>
      <c r="AI767" s="266"/>
      <c r="AJ767" s="266"/>
      <c r="AK767" s="264"/>
      <c r="AL767" s="266"/>
      <c r="AM767" s="266"/>
    </row>
    <row r="768" spans="1:39" s="267" customFormat="1" x14ac:dyDescent="0.2">
      <c r="A768" s="258"/>
      <c r="B768" s="259"/>
      <c r="C768" s="290"/>
      <c r="D768" s="290"/>
      <c r="E768" s="290"/>
      <c r="F768" s="290"/>
      <c r="G768" s="290"/>
      <c r="H768" s="290"/>
      <c r="I768" s="290"/>
      <c r="J768" s="290"/>
      <c r="K768" s="290"/>
      <c r="L768" s="290"/>
      <c r="M768" s="290"/>
      <c r="N768" s="290"/>
      <c r="O768" s="290"/>
      <c r="P768" s="153"/>
      <c r="Q768" s="262"/>
      <c r="R768" s="435"/>
      <c r="S768" s="264"/>
      <c r="T768" s="266"/>
      <c r="U768" s="266"/>
      <c r="V768" s="264"/>
      <c r="W768" s="266"/>
      <c r="X768" s="266"/>
      <c r="Y768" s="264"/>
      <c r="Z768" s="266"/>
      <c r="AA768" s="266"/>
      <c r="AB768" s="264"/>
      <c r="AC768" s="266"/>
      <c r="AD768" s="266"/>
      <c r="AE768" s="264"/>
      <c r="AF768" s="266"/>
      <c r="AG768" s="266"/>
      <c r="AH768" s="264"/>
      <c r="AI768" s="266"/>
      <c r="AJ768" s="266"/>
      <c r="AK768" s="264"/>
      <c r="AL768" s="266"/>
      <c r="AM768" s="266"/>
    </row>
    <row r="769" spans="1:39" s="267" customFormat="1" x14ac:dyDescent="0.2">
      <c r="A769" s="258"/>
      <c r="B769" s="259"/>
      <c r="C769" s="290"/>
      <c r="D769" s="290"/>
      <c r="E769" s="290"/>
      <c r="F769" s="290"/>
      <c r="G769" s="290"/>
      <c r="H769" s="290"/>
      <c r="I769" s="290"/>
      <c r="J769" s="290"/>
      <c r="K769" s="290"/>
      <c r="L769" s="290"/>
      <c r="M769" s="290"/>
      <c r="N769" s="290"/>
      <c r="O769" s="290"/>
      <c r="P769" s="153"/>
      <c r="Q769" s="262"/>
      <c r="R769" s="435"/>
      <c r="S769" s="264"/>
      <c r="T769" s="266"/>
      <c r="U769" s="266"/>
      <c r="V769" s="264"/>
      <c r="W769" s="266"/>
      <c r="X769" s="266"/>
      <c r="Y769" s="264"/>
      <c r="Z769" s="266"/>
      <c r="AA769" s="266"/>
      <c r="AB769" s="264"/>
      <c r="AC769" s="266"/>
      <c r="AD769" s="266"/>
      <c r="AE769" s="264"/>
      <c r="AF769" s="266"/>
      <c r="AG769" s="266"/>
      <c r="AH769" s="264"/>
      <c r="AI769" s="266"/>
      <c r="AJ769" s="266"/>
      <c r="AK769" s="264"/>
      <c r="AL769" s="266"/>
      <c r="AM769" s="266"/>
    </row>
    <row r="770" spans="1:39" s="267" customFormat="1" x14ac:dyDescent="0.2">
      <c r="A770" s="308"/>
      <c r="B770" s="259"/>
      <c r="C770" s="290"/>
      <c r="D770" s="290"/>
      <c r="E770" s="290"/>
      <c r="F770" s="290"/>
      <c r="G770" s="290"/>
      <c r="H770" s="290"/>
      <c r="I770" s="290"/>
      <c r="J770" s="290"/>
      <c r="K770" s="290"/>
      <c r="L770" s="290"/>
      <c r="M770" s="290"/>
      <c r="N770" s="290"/>
      <c r="O770" s="290"/>
      <c r="P770" s="261"/>
      <c r="Q770" s="262"/>
      <c r="R770" s="435"/>
      <c r="S770" s="264"/>
      <c r="T770" s="266"/>
      <c r="U770" s="211"/>
      <c r="V770" s="264"/>
      <c r="W770" s="211"/>
      <c r="X770" s="211"/>
      <c r="Y770" s="264"/>
      <c r="Z770" s="211"/>
      <c r="AA770" s="211"/>
      <c r="AB770" s="264"/>
      <c r="AC770" s="211"/>
      <c r="AD770" s="211"/>
      <c r="AE770" s="264"/>
      <c r="AF770" s="211"/>
      <c r="AG770" s="211"/>
      <c r="AH770" s="264"/>
      <c r="AI770" s="211"/>
      <c r="AJ770" s="211"/>
      <c r="AK770" s="264"/>
      <c r="AL770" s="211"/>
      <c r="AM770" s="211"/>
    </row>
    <row r="771" spans="1:39" s="267" customFormat="1" x14ac:dyDescent="0.2">
      <c r="A771" s="375"/>
      <c r="B771" s="376"/>
      <c r="C771" s="377"/>
      <c r="D771" s="377"/>
      <c r="E771" s="377"/>
      <c r="F771" s="377"/>
      <c r="G771" s="377"/>
      <c r="H771" s="377"/>
      <c r="I771" s="377"/>
      <c r="J771" s="377"/>
      <c r="K771" s="377"/>
      <c r="L771" s="377"/>
      <c r="M771" s="377"/>
      <c r="N771" s="377"/>
      <c r="O771" s="377"/>
      <c r="P771" s="377"/>
      <c r="Q771" s="378"/>
      <c r="R771" s="441"/>
      <c r="S771" s="264"/>
      <c r="T771" s="273"/>
      <c r="U771" s="274"/>
      <c r="V771" s="264"/>
      <c r="W771" s="273"/>
      <c r="X771" s="273"/>
      <c r="Y771" s="264"/>
      <c r="Z771" s="273"/>
      <c r="AA771" s="273"/>
      <c r="AB771" s="264"/>
      <c r="AC771" s="273"/>
      <c r="AD771" s="273"/>
      <c r="AE771" s="264"/>
      <c r="AF771" s="273"/>
      <c r="AG771" s="273"/>
      <c r="AH771" s="264"/>
      <c r="AI771" s="273"/>
      <c r="AJ771" s="273"/>
      <c r="AK771" s="264"/>
      <c r="AL771" s="273"/>
      <c r="AM771" s="273"/>
    </row>
    <row r="772" spans="1:39" s="267" customFormat="1" x14ac:dyDescent="0.2">
      <c r="A772" s="380"/>
      <c r="B772" s="320"/>
      <c r="C772" s="430"/>
      <c r="D772" s="309"/>
      <c r="E772" s="309"/>
      <c r="F772" s="309"/>
      <c r="G772" s="309"/>
      <c r="H772" s="309"/>
      <c r="I772" s="309"/>
      <c r="J772" s="309"/>
      <c r="K772" s="309"/>
      <c r="L772" s="309"/>
      <c r="M772" s="309"/>
      <c r="N772" s="309"/>
      <c r="O772" s="309"/>
      <c r="P772" s="171" t="s">
        <v>1</v>
      </c>
      <c r="Q772" s="381" t="s">
        <v>0</v>
      </c>
      <c r="R772" s="435">
        <f>SUM(R726:R770)</f>
        <v>0</v>
      </c>
      <c r="S772" s="276"/>
      <c r="T772" s="266"/>
      <c r="U772" s="277"/>
      <c r="V772" s="264"/>
      <c r="W772" s="266"/>
      <c r="X772" s="266"/>
      <c r="Y772" s="264"/>
      <c r="Z772" s="266"/>
      <c r="AA772" s="266"/>
      <c r="AB772" s="264"/>
      <c r="AC772" s="266"/>
      <c r="AD772" s="266"/>
      <c r="AE772" s="264"/>
      <c r="AF772" s="266"/>
      <c r="AG772" s="266"/>
      <c r="AH772" s="264"/>
      <c r="AI772" s="266"/>
      <c r="AJ772" s="266"/>
      <c r="AK772" s="264"/>
      <c r="AL772" s="266"/>
      <c r="AM772" s="266"/>
    </row>
    <row r="773" spans="1:39" s="267" customFormat="1" x14ac:dyDescent="0.2">
      <c r="A773" s="380"/>
      <c r="B773" s="320"/>
      <c r="C773" s="309"/>
      <c r="D773" s="309"/>
      <c r="E773" s="309"/>
      <c r="F773" s="309"/>
      <c r="G773" s="309"/>
      <c r="H773" s="309"/>
      <c r="I773" s="309"/>
      <c r="J773" s="309"/>
      <c r="K773" s="309"/>
      <c r="L773" s="309"/>
      <c r="M773" s="309"/>
      <c r="N773" s="309"/>
      <c r="O773" s="309"/>
      <c r="P773" s="309"/>
      <c r="Q773" s="294"/>
      <c r="R773" s="458"/>
      <c r="S773" s="264"/>
      <c r="T773" s="278"/>
      <c r="U773" s="279"/>
      <c r="V773" s="264"/>
      <c r="W773" s="278"/>
      <c r="X773" s="278"/>
      <c r="Y773" s="264"/>
      <c r="Z773" s="278"/>
      <c r="AA773" s="278"/>
      <c r="AB773" s="264"/>
      <c r="AC773" s="278"/>
      <c r="AD773" s="278"/>
      <c r="AE773" s="264"/>
      <c r="AF773" s="278"/>
      <c r="AG773" s="278"/>
      <c r="AH773" s="264"/>
      <c r="AI773" s="278"/>
      <c r="AJ773" s="278"/>
      <c r="AK773" s="264"/>
      <c r="AL773" s="278"/>
      <c r="AM773" s="278"/>
    </row>
    <row r="774" spans="1:39" s="267" customFormat="1" x14ac:dyDescent="0.2">
      <c r="A774" s="308"/>
      <c r="B774" s="259"/>
      <c r="C774" s="290"/>
      <c r="D774" s="290"/>
      <c r="E774" s="290"/>
      <c r="F774" s="290"/>
      <c r="G774" s="290"/>
      <c r="H774" s="290"/>
      <c r="I774" s="290"/>
      <c r="J774" s="290"/>
      <c r="K774" s="290"/>
      <c r="L774" s="290"/>
      <c r="M774" s="290"/>
      <c r="N774" s="290"/>
      <c r="O774" s="290"/>
      <c r="P774" s="261"/>
      <c r="Q774" s="262"/>
      <c r="R774" s="435"/>
      <c r="S774" s="264"/>
      <c r="T774" s="266"/>
      <c r="U774" s="211"/>
      <c r="V774" s="264"/>
      <c r="W774" s="211"/>
      <c r="X774" s="211"/>
      <c r="Y774" s="264"/>
      <c r="Z774" s="211"/>
      <c r="AA774" s="211"/>
      <c r="AB774" s="264"/>
      <c r="AC774" s="211"/>
      <c r="AD774" s="211"/>
      <c r="AE774" s="264"/>
      <c r="AF774" s="211"/>
      <c r="AG774" s="211"/>
      <c r="AH774" s="264"/>
      <c r="AI774" s="211"/>
      <c r="AJ774" s="211"/>
      <c r="AK774" s="264"/>
      <c r="AL774" s="211"/>
      <c r="AM774" s="211"/>
    </row>
    <row r="775" spans="1:39" s="267" customFormat="1" x14ac:dyDescent="0.2">
      <c r="A775" s="308"/>
      <c r="B775" s="265" t="s">
        <v>159</v>
      </c>
      <c r="C775" s="290"/>
      <c r="D775" s="290"/>
      <c r="E775" s="290"/>
      <c r="F775" s="290"/>
      <c r="G775" s="290"/>
      <c r="H775" s="290"/>
      <c r="I775" s="290"/>
      <c r="J775" s="290"/>
      <c r="K775" s="290"/>
      <c r="L775" s="290"/>
      <c r="M775" s="290"/>
      <c r="N775" s="290"/>
      <c r="O775" s="290"/>
      <c r="P775" s="261"/>
      <c r="Q775" s="262"/>
      <c r="R775" s="435"/>
      <c r="S775" s="264"/>
      <c r="T775" s="266"/>
      <c r="U775" s="211"/>
      <c r="V775" s="264"/>
      <c r="W775" s="211"/>
      <c r="X775" s="211"/>
      <c r="Y775" s="264"/>
      <c r="Z775" s="211"/>
      <c r="AA775" s="211"/>
      <c r="AB775" s="264"/>
      <c r="AC775" s="211"/>
      <c r="AD775" s="211"/>
      <c r="AE775" s="264"/>
      <c r="AF775" s="211"/>
      <c r="AG775" s="211"/>
      <c r="AH775" s="264"/>
      <c r="AI775" s="211"/>
      <c r="AJ775" s="211"/>
      <c r="AK775" s="264"/>
      <c r="AL775" s="211"/>
      <c r="AM775" s="211"/>
    </row>
    <row r="776" spans="1:39" s="267" customFormat="1" x14ac:dyDescent="0.2">
      <c r="A776" s="308"/>
      <c r="B776" s="356"/>
      <c r="C776" s="290"/>
      <c r="D776" s="290"/>
      <c r="E776" s="290"/>
      <c r="F776" s="290"/>
      <c r="G776" s="290"/>
      <c r="H776" s="290"/>
      <c r="I776" s="290"/>
      <c r="J776" s="290"/>
      <c r="K776" s="290"/>
      <c r="L776" s="290"/>
      <c r="M776" s="290"/>
      <c r="N776" s="290"/>
      <c r="O776" s="290"/>
      <c r="P776" s="261"/>
      <c r="Q776" s="262"/>
      <c r="R776" s="435"/>
      <c r="S776" s="264"/>
      <c r="T776" s="266"/>
      <c r="U776" s="211"/>
      <c r="V776" s="264"/>
      <c r="W776" s="211"/>
      <c r="X776" s="211"/>
      <c r="Y776" s="264"/>
      <c r="Z776" s="211"/>
      <c r="AA776" s="211"/>
      <c r="AB776" s="264"/>
      <c r="AC776" s="211"/>
      <c r="AD776" s="211"/>
      <c r="AE776" s="264"/>
      <c r="AF776" s="211"/>
      <c r="AG776" s="211"/>
      <c r="AH776" s="264"/>
      <c r="AI776" s="211"/>
      <c r="AJ776" s="211"/>
      <c r="AK776" s="264"/>
      <c r="AL776" s="211"/>
      <c r="AM776" s="211"/>
    </row>
    <row r="777" spans="1:39" s="267" customFormat="1" x14ac:dyDescent="0.2">
      <c r="A777" s="258"/>
      <c r="B777" s="265" t="s">
        <v>154</v>
      </c>
      <c r="C777" s="290"/>
      <c r="D777" s="290"/>
      <c r="E777" s="290"/>
      <c r="F777" s="290"/>
      <c r="G777" s="290"/>
      <c r="H777" s="290"/>
      <c r="I777" s="290"/>
      <c r="J777" s="290"/>
      <c r="K777" s="290"/>
      <c r="L777" s="290"/>
      <c r="M777" s="290"/>
      <c r="N777" s="290"/>
      <c r="O777" s="290"/>
      <c r="P777" s="261"/>
      <c r="Q777" s="262"/>
      <c r="R777" s="435"/>
      <c r="S777" s="264"/>
      <c r="T777" s="266"/>
      <c r="U777" s="211"/>
      <c r="V777" s="264"/>
      <c r="W777" s="211"/>
      <c r="X777" s="211"/>
      <c r="Y777" s="264"/>
      <c r="Z777" s="211"/>
      <c r="AA777" s="211"/>
      <c r="AB777" s="264"/>
      <c r="AC777" s="211"/>
      <c r="AD777" s="211"/>
      <c r="AE777" s="264"/>
      <c r="AF777" s="211"/>
      <c r="AG777" s="211"/>
      <c r="AH777" s="264"/>
      <c r="AI777" s="211"/>
      <c r="AJ777" s="211"/>
      <c r="AK777" s="264"/>
      <c r="AL777" s="211"/>
      <c r="AM777" s="211"/>
    </row>
    <row r="778" spans="1:39" s="267" customFormat="1" x14ac:dyDescent="0.2">
      <c r="A778" s="258"/>
      <c r="B778" s="293"/>
      <c r="C778" s="290"/>
      <c r="D778" s="290"/>
      <c r="E778" s="290"/>
      <c r="F778" s="290"/>
      <c r="G778" s="290"/>
      <c r="H778" s="290"/>
      <c r="I778" s="290"/>
      <c r="J778" s="290"/>
      <c r="K778" s="290"/>
      <c r="L778" s="290"/>
      <c r="M778" s="290"/>
      <c r="N778" s="290"/>
      <c r="O778" s="290"/>
      <c r="P778" s="261"/>
      <c r="Q778" s="262"/>
      <c r="R778" s="435"/>
      <c r="S778" s="264"/>
      <c r="T778" s="266"/>
      <c r="U778" s="211"/>
      <c r="V778" s="264"/>
      <c r="W778" s="211"/>
      <c r="X778" s="211"/>
      <c r="Y778" s="264"/>
      <c r="Z778" s="211"/>
      <c r="AA778" s="211"/>
      <c r="AB778" s="264"/>
      <c r="AC778" s="211"/>
      <c r="AD778" s="211"/>
      <c r="AE778" s="264"/>
      <c r="AF778" s="211"/>
      <c r="AG778" s="211"/>
      <c r="AH778" s="264"/>
      <c r="AI778" s="211"/>
      <c r="AJ778" s="211"/>
      <c r="AK778" s="264"/>
      <c r="AL778" s="211"/>
      <c r="AM778" s="211"/>
    </row>
    <row r="779" spans="1:39" s="267" customFormat="1" ht="42.75" x14ac:dyDescent="0.2">
      <c r="A779" s="258"/>
      <c r="B779" s="265" t="s">
        <v>800</v>
      </c>
      <c r="C779" s="290"/>
      <c r="D779" s="290"/>
      <c r="E779" s="290"/>
      <c r="F779" s="290"/>
      <c r="G779" s="290"/>
      <c r="H779" s="290"/>
      <c r="I779" s="290"/>
      <c r="J779" s="290"/>
      <c r="K779" s="290"/>
      <c r="L779" s="290"/>
      <c r="M779" s="290"/>
      <c r="N779" s="290"/>
      <c r="O779" s="290"/>
      <c r="P779" s="261"/>
      <c r="Q779" s="262"/>
      <c r="R779" s="435"/>
      <c r="S779" s="264"/>
      <c r="T779" s="266"/>
      <c r="U779" s="211"/>
      <c r="V779" s="264"/>
      <c r="W779" s="211"/>
      <c r="X779" s="211"/>
      <c r="Y779" s="264"/>
      <c r="Z779" s="211"/>
      <c r="AA779" s="211"/>
      <c r="AB779" s="264"/>
      <c r="AC779" s="211"/>
      <c r="AD779" s="211"/>
      <c r="AE779" s="264"/>
      <c r="AF779" s="211"/>
      <c r="AG779" s="211"/>
      <c r="AH779" s="264"/>
      <c r="AI779" s="211"/>
      <c r="AJ779" s="211"/>
      <c r="AK779" s="264"/>
      <c r="AL779" s="211"/>
      <c r="AM779" s="211"/>
    </row>
    <row r="780" spans="1:39" s="267" customFormat="1" x14ac:dyDescent="0.2">
      <c r="A780" s="258"/>
      <c r="B780" s="293"/>
      <c r="C780" s="290"/>
      <c r="D780" s="290"/>
      <c r="E780" s="290"/>
      <c r="F780" s="290"/>
      <c r="G780" s="290"/>
      <c r="H780" s="290"/>
      <c r="I780" s="290"/>
      <c r="J780" s="290"/>
      <c r="K780" s="290"/>
      <c r="L780" s="290"/>
      <c r="M780" s="290"/>
      <c r="N780" s="290"/>
      <c r="O780" s="290"/>
      <c r="P780" s="261"/>
      <c r="Q780" s="262"/>
      <c r="R780" s="435"/>
      <c r="S780" s="264"/>
      <c r="T780" s="266"/>
      <c r="U780" s="211"/>
      <c r="V780" s="264"/>
      <c r="W780" s="211"/>
      <c r="X780" s="211"/>
      <c r="Y780" s="264"/>
      <c r="Z780" s="211"/>
      <c r="AA780" s="211"/>
      <c r="AB780" s="264"/>
      <c r="AC780" s="211"/>
      <c r="AD780" s="211"/>
      <c r="AE780" s="264"/>
      <c r="AF780" s="211"/>
      <c r="AG780" s="211"/>
      <c r="AH780" s="264"/>
      <c r="AI780" s="211"/>
      <c r="AJ780" s="211"/>
      <c r="AK780" s="264"/>
      <c r="AL780" s="211"/>
      <c r="AM780" s="211"/>
    </row>
    <row r="781" spans="1:39" s="267" customFormat="1" ht="14.25" customHeight="1" x14ac:dyDescent="0.2">
      <c r="A781" s="258" t="s">
        <v>66</v>
      </c>
      <c r="B781" s="224" t="s">
        <v>930</v>
      </c>
      <c r="C781" s="290">
        <f>(W781+X781)*$C$3</f>
        <v>2</v>
      </c>
      <c r="D781" s="290">
        <f>C781*$Q781</f>
        <v>0</v>
      </c>
      <c r="E781" s="290">
        <f>(Z781+AA781)*$E$3</f>
        <v>2</v>
      </c>
      <c r="F781" s="290">
        <f>E781*$Q781</f>
        <v>0</v>
      </c>
      <c r="G781" s="290">
        <f>(AC781+AD781)*$G$3</f>
        <v>10</v>
      </c>
      <c r="H781" s="290">
        <f>G781*$Q781</f>
        <v>0</v>
      </c>
      <c r="I781" s="290">
        <f>(AF781+AG781)*$I$3</f>
        <v>2</v>
      </c>
      <c r="J781" s="290">
        <f>I781*$Q781</f>
        <v>0</v>
      </c>
      <c r="K781" s="290">
        <f>(AI781+AJ781)*$K$3</f>
        <v>6</v>
      </c>
      <c r="L781" s="290">
        <f>K781*$Q781</f>
        <v>0</v>
      </c>
      <c r="M781" s="290">
        <f>(AL781+AM781)*$M$3</f>
        <v>2</v>
      </c>
      <c r="N781" s="290">
        <f>M781*$Q781</f>
        <v>0</v>
      </c>
      <c r="O781" s="290">
        <f>C781+E781+G781+I781+K781+M781</f>
        <v>24</v>
      </c>
      <c r="P781" s="153" t="s">
        <v>269</v>
      </c>
      <c r="Q781" s="262"/>
      <c r="R781" s="435"/>
      <c r="S781" s="264"/>
      <c r="T781" s="266">
        <v>1</v>
      </c>
      <c r="U781" s="266"/>
      <c r="V781" s="264"/>
      <c r="W781" s="266">
        <f>T781*$W$3</f>
        <v>2</v>
      </c>
      <c r="X781" s="266">
        <f>U781*$X$3</f>
        <v>0</v>
      </c>
      <c r="Y781" s="264"/>
      <c r="Z781" s="266">
        <f>W781</f>
        <v>2</v>
      </c>
      <c r="AA781" s="266">
        <f>U781*$AA$3</f>
        <v>0</v>
      </c>
      <c r="AB781" s="264"/>
      <c r="AC781" s="266">
        <f>W781</f>
        <v>2</v>
      </c>
      <c r="AD781" s="266">
        <f>U781*$AD$3</f>
        <v>0</v>
      </c>
      <c r="AE781" s="264"/>
      <c r="AF781" s="266">
        <f>W781</f>
        <v>2</v>
      </c>
      <c r="AG781" s="266">
        <f>U781*$AG$3</f>
        <v>0</v>
      </c>
      <c r="AH781" s="264"/>
      <c r="AI781" s="266">
        <f>W781</f>
        <v>2</v>
      </c>
      <c r="AJ781" s="266">
        <f>U781*$AJ$3</f>
        <v>0</v>
      </c>
      <c r="AK781" s="264"/>
      <c r="AL781" s="266">
        <f>W781</f>
        <v>2</v>
      </c>
      <c r="AM781" s="266">
        <f>U781*$AM$3</f>
        <v>0</v>
      </c>
    </row>
    <row r="782" spans="1:39" s="267" customFormat="1" x14ac:dyDescent="0.2">
      <c r="A782" s="258"/>
      <c r="B782" s="206"/>
      <c r="C782" s="290"/>
      <c r="D782" s="290"/>
      <c r="E782" s="290"/>
      <c r="F782" s="290"/>
      <c r="G782" s="290"/>
      <c r="H782" s="290"/>
      <c r="I782" s="290"/>
      <c r="J782" s="290"/>
      <c r="K782" s="290"/>
      <c r="L782" s="290"/>
      <c r="M782" s="290"/>
      <c r="N782" s="290"/>
      <c r="O782" s="290"/>
      <c r="P782" s="153"/>
      <c r="Q782" s="262"/>
      <c r="R782" s="435"/>
      <c r="S782" s="264"/>
      <c r="T782" s="266"/>
      <c r="U782" s="266"/>
      <c r="V782" s="264"/>
      <c r="W782" s="266"/>
      <c r="X782" s="266"/>
      <c r="Y782" s="264"/>
      <c r="Z782" s="266"/>
      <c r="AA782" s="266"/>
      <c r="AB782" s="264"/>
      <c r="AC782" s="266"/>
      <c r="AD782" s="266"/>
      <c r="AE782" s="264"/>
      <c r="AF782" s="266"/>
      <c r="AG782" s="266"/>
      <c r="AH782" s="264"/>
      <c r="AI782" s="266"/>
      <c r="AJ782" s="266"/>
      <c r="AK782" s="264"/>
      <c r="AL782" s="266"/>
      <c r="AM782" s="266"/>
    </row>
    <row r="783" spans="1:39" s="267" customFormat="1" ht="14.25" customHeight="1" x14ac:dyDescent="0.2">
      <c r="A783" s="258" t="s">
        <v>67</v>
      </c>
      <c r="B783" s="206" t="s">
        <v>801</v>
      </c>
      <c r="C783" s="290">
        <f t="shared" ref="C783" si="144">(W783+X783)*$C$3</f>
        <v>2</v>
      </c>
      <c r="D783" s="290">
        <f>C783*$Q783</f>
        <v>0</v>
      </c>
      <c r="E783" s="290">
        <f t="shared" ref="E783" si="145">(Z783+AA783)*$E$3</f>
        <v>2</v>
      </c>
      <c r="F783" s="290">
        <f>E783*$Q783</f>
        <v>0</v>
      </c>
      <c r="G783" s="290">
        <f t="shared" ref="G783" si="146">(AC783+AD783)*$G$3</f>
        <v>10</v>
      </c>
      <c r="H783" s="290">
        <f>G783*$Q783</f>
        <v>0</v>
      </c>
      <c r="I783" s="290">
        <f t="shared" ref="I783" si="147">(AF783+AG783)*$I$3</f>
        <v>2</v>
      </c>
      <c r="J783" s="290">
        <f>I783*$Q783</f>
        <v>0</v>
      </c>
      <c r="K783" s="290">
        <f t="shared" ref="K783" si="148">(AI783+AJ783)*$K$3</f>
        <v>6</v>
      </c>
      <c r="L783" s="290">
        <f>K783*$Q783</f>
        <v>0</v>
      </c>
      <c r="M783" s="290">
        <f t="shared" ref="M783" si="149">(AL783+AM783)*$M$3</f>
        <v>2</v>
      </c>
      <c r="N783" s="290">
        <f>M783*$Q783</f>
        <v>0</v>
      </c>
      <c r="O783" s="290">
        <f t="shared" ref="O783" si="150">C783+E783+G783+I783+K783+M783</f>
        <v>24</v>
      </c>
      <c r="P783" s="153" t="s">
        <v>269</v>
      </c>
      <c r="Q783" s="262"/>
      <c r="R783" s="435"/>
      <c r="S783" s="264"/>
      <c r="T783" s="266">
        <v>1</v>
      </c>
      <c r="U783" s="266"/>
      <c r="V783" s="264"/>
      <c r="W783" s="266">
        <f t="shared" ref="W783" si="151">T783*$W$3</f>
        <v>2</v>
      </c>
      <c r="X783" s="266">
        <f t="shared" ref="X783" si="152">U783*$X$3</f>
        <v>0</v>
      </c>
      <c r="Y783" s="264"/>
      <c r="Z783" s="266">
        <f t="shared" ref="Z783" si="153">W783</f>
        <v>2</v>
      </c>
      <c r="AA783" s="266">
        <f t="shared" ref="AA783" si="154">U783*$AA$3</f>
        <v>0</v>
      </c>
      <c r="AB783" s="264"/>
      <c r="AC783" s="266">
        <f t="shared" ref="AC783" si="155">W783</f>
        <v>2</v>
      </c>
      <c r="AD783" s="266">
        <f t="shared" ref="AD783" si="156">U783*$AD$3</f>
        <v>0</v>
      </c>
      <c r="AE783" s="264"/>
      <c r="AF783" s="266">
        <f t="shared" ref="AF783" si="157">W783</f>
        <v>2</v>
      </c>
      <c r="AG783" s="266">
        <f t="shared" ref="AG783" si="158">U783*$AG$3</f>
        <v>0</v>
      </c>
      <c r="AH783" s="264"/>
      <c r="AI783" s="266">
        <f t="shared" ref="AI783" si="159">W783</f>
        <v>2</v>
      </c>
      <c r="AJ783" s="266">
        <f t="shared" ref="AJ783" si="160">U783*$AJ$3</f>
        <v>0</v>
      </c>
      <c r="AK783" s="264"/>
      <c r="AL783" s="266">
        <f t="shared" ref="AL783" si="161">W783</f>
        <v>2</v>
      </c>
      <c r="AM783" s="266">
        <f t="shared" ref="AM783" si="162">U783*$AM$3</f>
        <v>0</v>
      </c>
    </row>
    <row r="784" spans="1:39" s="267" customFormat="1" ht="14.25" customHeight="1" x14ac:dyDescent="0.2">
      <c r="A784" s="258"/>
      <c r="B784" s="206"/>
      <c r="C784" s="290"/>
      <c r="D784" s="290"/>
      <c r="E784" s="290"/>
      <c r="F784" s="290"/>
      <c r="G784" s="290"/>
      <c r="H784" s="290"/>
      <c r="I784" s="290"/>
      <c r="J784" s="290"/>
      <c r="K784" s="290"/>
      <c r="L784" s="290"/>
      <c r="M784" s="290"/>
      <c r="N784" s="290"/>
      <c r="O784" s="290"/>
      <c r="P784" s="153"/>
      <c r="Q784" s="262"/>
      <c r="R784" s="435"/>
      <c r="S784" s="264"/>
      <c r="T784" s="266"/>
      <c r="U784" s="266"/>
      <c r="V784" s="264"/>
      <c r="W784" s="266"/>
      <c r="X784" s="266"/>
      <c r="Y784" s="264"/>
      <c r="Z784" s="266"/>
      <c r="AA784" s="266"/>
      <c r="AB784" s="264"/>
      <c r="AC784" s="266"/>
      <c r="AD784" s="266"/>
      <c r="AE784" s="264"/>
      <c r="AF784" s="266"/>
      <c r="AG784" s="266"/>
      <c r="AH784" s="264"/>
      <c r="AI784" s="266"/>
      <c r="AJ784" s="266"/>
      <c r="AK784" s="264"/>
      <c r="AL784" s="266"/>
      <c r="AM784" s="266"/>
    </row>
    <row r="785" spans="1:39" s="267" customFormat="1" ht="14.25" customHeight="1" x14ac:dyDescent="0.2">
      <c r="A785" s="258" t="s">
        <v>68</v>
      </c>
      <c r="B785" s="224" t="s">
        <v>931</v>
      </c>
      <c r="C785" s="290">
        <f t="shared" ref="C785" si="163">(W785+X785)*$C$3</f>
        <v>2</v>
      </c>
      <c r="D785" s="290">
        <f>C785*$Q785</f>
        <v>0</v>
      </c>
      <c r="E785" s="290">
        <f t="shared" ref="E785" si="164">(Z785+AA785)*$E$3</f>
        <v>2</v>
      </c>
      <c r="F785" s="290">
        <f>E785*$Q785</f>
        <v>0</v>
      </c>
      <c r="G785" s="290">
        <f t="shared" ref="G785" si="165">(AC785+AD785)*$G$3</f>
        <v>10</v>
      </c>
      <c r="H785" s="290">
        <f>G785*$Q785</f>
        <v>0</v>
      </c>
      <c r="I785" s="290">
        <f t="shared" ref="I785" si="166">(AF785+AG785)*$I$3</f>
        <v>2</v>
      </c>
      <c r="J785" s="290">
        <f>I785*$Q785</f>
        <v>0</v>
      </c>
      <c r="K785" s="290">
        <f t="shared" ref="K785" si="167">(AI785+AJ785)*$K$3</f>
        <v>6</v>
      </c>
      <c r="L785" s="290">
        <f>K785*$Q785</f>
        <v>0</v>
      </c>
      <c r="M785" s="290">
        <f t="shared" ref="M785" si="168">(AL785+AM785)*$M$3</f>
        <v>2</v>
      </c>
      <c r="N785" s="290">
        <f>M785*$Q785</f>
        <v>0</v>
      </c>
      <c r="O785" s="290">
        <f t="shared" ref="O785" si="169">C785+E785+G785+I785+K785+M785</f>
        <v>24</v>
      </c>
      <c r="P785" s="153" t="s">
        <v>269</v>
      </c>
      <c r="Q785" s="262"/>
      <c r="R785" s="435"/>
      <c r="S785" s="264"/>
      <c r="T785" s="266">
        <v>1</v>
      </c>
      <c r="U785" s="266"/>
      <c r="V785" s="264"/>
      <c r="W785" s="266">
        <f t="shared" ref="W785" si="170">T785*$W$3</f>
        <v>2</v>
      </c>
      <c r="X785" s="266">
        <f t="shared" ref="X785" si="171">U785*$X$3</f>
        <v>0</v>
      </c>
      <c r="Y785" s="264"/>
      <c r="Z785" s="266">
        <f t="shared" ref="Z785" si="172">W785</f>
        <v>2</v>
      </c>
      <c r="AA785" s="266">
        <f t="shared" ref="AA785" si="173">U785*$AA$3</f>
        <v>0</v>
      </c>
      <c r="AB785" s="264"/>
      <c r="AC785" s="266">
        <f t="shared" ref="AC785" si="174">W785</f>
        <v>2</v>
      </c>
      <c r="AD785" s="266">
        <f t="shared" ref="AD785" si="175">U785*$AD$3</f>
        <v>0</v>
      </c>
      <c r="AE785" s="264"/>
      <c r="AF785" s="266">
        <f t="shared" ref="AF785" si="176">W785</f>
        <v>2</v>
      </c>
      <c r="AG785" s="266">
        <f t="shared" ref="AG785" si="177">U785*$AG$3</f>
        <v>0</v>
      </c>
      <c r="AH785" s="264"/>
      <c r="AI785" s="266">
        <f t="shared" ref="AI785" si="178">W785</f>
        <v>2</v>
      </c>
      <c r="AJ785" s="266">
        <f t="shared" ref="AJ785" si="179">U785*$AJ$3</f>
        <v>0</v>
      </c>
      <c r="AK785" s="264"/>
      <c r="AL785" s="266">
        <f t="shared" ref="AL785" si="180">W785</f>
        <v>2</v>
      </c>
      <c r="AM785" s="266">
        <f t="shared" ref="AM785" si="181">U785*$AM$3</f>
        <v>0</v>
      </c>
    </row>
    <row r="786" spans="1:39" s="267" customFormat="1" ht="14.25" customHeight="1" x14ac:dyDescent="0.2">
      <c r="A786" s="258"/>
      <c r="B786" s="206"/>
      <c r="C786" s="290"/>
      <c r="D786" s="290"/>
      <c r="E786" s="290"/>
      <c r="F786" s="290"/>
      <c r="G786" s="290"/>
      <c r="H786" s="290"/>
      <c r="I786" s="290"/>
      <c r="J786" s="290"/>
      <c r="K786" s="290"/>
      <c r="L786" s="290"/>
      <c r="M786" s="290"/>
      <c r="N786" s="290"/>
      <c r="O786" s="290"/>
      <c r="P786" s="153"/>
      <c r="Q786" s="262"/>
      <c r="R786" s="435"/>
      <c r="S786" s="264"/>
      <c r="T786" s="266"/>
      <c r="U786" s="266"/>
      <c r="V786" s="264"/>
      <c r="W786" s="266"/>
      <c r="X786" s="266"/>
      <c r="Y786" s="264"/>
      <c r="Z786" s="266"/>
      <c r="AA786" s="266"/>
      <c r="AB786" s="264"/>
      <c r="AC786" s="266"/>
      <c r="AD786" s="266"/>
      <c r="AE786" s="264"/>
      <c r="AF786" s="266"/>
      <c r="AG786" s="266"/>
      <c r="AH786" s="264"/>
      <c r="AI786" s="266"/>
      <c r="AJ786" s="266"/>
      <c r="AK786" s="264"/>
      <c r="AL786" s="266"/>
      <c r="AM786" s="266"/>
    </row>
    <row r="787" spans="1:39" s="267" customFormat="1" ht="14.25" customHeight="1" x14ac:dyDescent="0.2">
      <c r="A787" s="258" t="s">
        <v>69</v>
      </c>
      <c r="B787" s="224" t="s">
        <v>932</v>
      </c>
      <c r="C787" s="290">
        <f t="shared" ref="C787" si="182">(W787+X787)*$C$3</f>
        <v>2</v>
      </c>
      <c r="D787" s="290">
        <f>C787*$Q787</f>
        <v>0</v>
      </c>
      <c r="E787" s="290">
        <f t="shared" ref="E787" si="183">(Z787+AA787)*$E$3</f>
        <v>2</v>
      </c>
      <c r="F787" s="290">
        <f>E787*$Q787</f>
        <v>0</v>
      </c>
      <c r="G787" s="290">
        <f t="shared" ref="G787" si="184">(AC787+AD787)*$G$3</f>
        <v>10</v>
      </c>
      <c r="H787" s="290">
        <f>G787*$Q787</f>
        <v>0</v>
      </c>
      <c r="I787" s="290">
        <f t="shared" ref="I787" si="185">(AF787+AG787)*$I$3</f>
        <v>2</v>
      </c>
      <c r="J787" s="290">
        <f>I787*$Q787</f>
        <v>0</v>
      </c>
      <c r="K787" s="290">
        <f t="shared" ref="K787" si="186">(AI787+AJ787)*$K$3</f>
        <v>6</v>
      </c>
      <c r="L787" s="290">
        <f>K787*$Q787</f>
        <v>0</v>
      </c>
      <c r="M787" s="290">
        <f t="shared" ref="M787" si="187">(AL787+AM787)*$M$3</f>
        <v>2</v>
      </c>
      <c r="N787" s="290">
        <f>M787*$Q787</f>
        <v>0</v>
      </c>
      <c r="O787" s="290">
        <f t="shared" ref="O787" si="188">C787+E787+G787+I787+K787+M787</f>
        <v>24</v>
      </c>
      <c r="P787" s="153" t="s">
        <v>269</v>
      </c>
      <c r="Q787" s="262"/>
      <c r="R787" s="435"/>
      <c r="S787" s="264"/>
      <c r="T787" s="266">
        <v>1</v>
      </c>
      <c r="U787" s="266"/>
      <c r="V787" s="264"/>
      <c r="W787" s="266">
        <f t="shared" ref="W787" si="189">T787*$W$3</f>
        <v>2</v>
      </c>
      <c r="X787" s="266">
        <f t="shared" ref="X787" si="190">U787*$X$3</f>
        <v>0</v>
      </c>
      <c r="Y787" s="264"/>
      <c r="Z787" s="266">
        <f t="shared" ref="Z787" si="191">W787</f>
        <v>2</v>
      </c>
      <c r="AA787" s="266">
        <f t="shared" ref="AA787" si="192">U787*$AA$3</f>
        <v>0</v>
      </c>
      <c r="AB787" s="264"/>
      <c r="AC787" s="266">
        <f t="shared" ref="AC787" si="193">W787</f>
        <v>2</v>
      </c>
      <c r="AD787" s="266">
        <f t="shared" ref="AD787" si="194">U787*$AD$3</f>
        <v>0</v>
      </c>
      <c r="AE787" s="264"/>
      <c r="AF787" s="266">
        <f t="shared" ref="AF787" si="195">W787</f>
        <v>2</v>
      </c>
      <c r="AG787" s="266">
        <f t="shared" ref="AG787" si="196">U787*$AG$3</f>
        <v>0</v>
      </c>
      <c r="AH787" s="264"/>
      <c r="AI787" s="266">
        <f t="shared" ref="AI787" si="197">W787</f>
        <v>2</v>
      </c>
      <c r="AJ787" s="266">
        <f t="shared" ref="AJ787" si="198">U787*$AJ$3</f>
        <v>0</v>
      </c>
      <c r="AK787" s="264"/>
      <c r="AL787" s="266">
        <f t="shared" ref="AL787" si="199">W787</f>
        <v>2</v>
      </c>
      <c r="AM787" s="266">
        <f t="shared" ref="AM787" si="200">U787*$AM$3</f>
        <v>0</v>
      </c>
    </row>
    <row r="788" spans="1:39" s="267" customFormat="1" ht="14.25" customHeight="1" x14ac:dyDescent="0.2">
      <c r="A788" s="258"/>
      <c r="B788" s="206"/>
      <c r="C788" s="290"/>
      <c r="D788" s="290"/>
      <c r="E788" s="290"/>
      <c r="F788" s="290"/>
      <c r="G788" s="290"/>
      <c r="H788" s="290"/>
      <c r="I788" s="290"/>
      <c r="J788" s="290"/>
      <c r="K788" s="290"/>
      <c r="L788" s="290"/>
      <c r="M788" s="290"/>
      <c r="N788" s="290"/>
      <c r="O788" s="290"/>
      <c r="P788" s="153"/>
      <c r="Q788" s="262"/>
      <c r="R788" s="435"/>
      <c r="S788" s="264"/>
      <c r="T788" s="266"/>
      <c r="U788" s="266"/>
      <c r="V788" s="264"/>
      <c r="W788" s="266"/>
      <c r="X788" s="266"/>
      <c r="Y788" s="264"/>
      <c r="Z788" s="266"/>
      <c r="AA788" s="266"/>
      <c r="AB788" s="264"/>
      <c r="AC788" s="266"/>
      <c r="AD788" s="266"/>
      <c r="AE788" s="264"/>
      <c r="AF788" s="266"/>
      <c r="AG788" s="266"/>
      <c r="AH788" s="264"/>
      <c r="AI788" s="266"/>
      <c r="AJ788" s="266"/>
      <c r="AK788" s="264"/>
      <c r="AL788" s="266"/>
      <c r="AM788" s="266"/>
    </row>
    <row r="789" spans="1:39" s="267" customFormat="1" ht="14.25" customHeight="1" x14ac:dyDescent="0.2">
      <c r="A789" s="258" t="s">
        <v>70</v>
      </c>
      <c r="B789" s="224" t="s">
        <v>933</v>
      </c>
      <c r="C789" s="290">
        <f t="shared" ref="C789" si="201">(W789+X789)*$C$3</f>
        <v>2</v>
      </c>
      <c r="D789" s="290">
        <f>C789*$Q789</f>
        <v>0</v>
      </c>
      <c r="E789" s="290">
        <f t="shared" ref="E789" si="202">(Z789+AA789)*$E$3</f>
        <v>2</v>
      </c>
      <c r="F789" s="290">
        <f>E789*$Q789</f>
        <v>0</v>
      </c>
      <c r="G789" s="290">
        <f t="shared" ref="G789" si="203">(AC789+AD789)*$G$3</f>
        <v>10</v>
      </c>
      <c r="H789" s="290">
        <f>G789*$Q789</f>
        <v>0</v>
      </c>
      <c r="I789" s="290">
        <f t="shared" ref="I789" si="204">(AF789+AG789)*$I$3</f>
        <v>2</v>
      </c>
      <c r="J789" s="290">
        <f>I789*$Q789</f>
        <v>0</v>
      </c>
      <c r="K789" s="290">
        <f t="shared" ref="K789" si="205">(AI789+AJ789)*$K$3</f>
        <v>6</v>
      </c>
      <c r="L789" s="290">
        <f>K789*$Q789</f>
        <v>0</v>
      </c>
      <c r="M789" s="290">
        <f t="shared" ref="M789" si="206">(AL789+AM789)*$M$3</f>
        <v>2</v>
      </c>
      <c r="N789" s="290">
        <f>M789*$Q789</f>
        <v>0</v>
      </c>
      <c r="O789" s="290">
        <f t="shared" ref="O789" si="207">C789+E789+G789+I789+K789+M789</f>
        <v>24</v>
      </c>
      <c r="P789" s="153" t="s">
        <v>269</v>
      </c>
      <c r="Q789" s="262"/>
      <c r="R789" s="435"/>
      <c r="S789" s="264"/>
      <c r="T789" s="266">
        <v>1</v>
      </c>
      <c r="U789" s="266"/>
      <c r="V789" s="264"/>
      <c r="W789" s="266">
        <f t="shared" ref="W789" si="208">T789*$W$3</f>
        <v>2</v>
      </c>
      <c r="X789" s="266">
        <f t="shared" ref="X789" si="209">U789*$X$3</f>
        <v>0</v>
      </c>
      <c r="Y789" s="264"/>
      <c r="Z789" s="266">
        <f t="shared" ref="Z789" si="210">W789</f>
        <v>2</v>
      </c>
      <c r="AA789" s="266">
        <f t="shared" ref="AA789" si="211">U789*$AA$3</f>
        <v>0</v>
      </c>
      <c r="AB789" s="264"/>
      <c r="AC789" s="266">
        <f t="shared" ref="AC789" si="212">W789</f>
        <v>2</v>
      </c>
      <c r="AD789" s="266">
        <f t="shared" ref="AD789" si="213">U789*$AD$3</f>
        <v>0</v>
      </c>
      <c r="AE789" s="264"/>
      <c r="AF789" s="266">
        <f t="shared" ref="AF789" si="214">W789</f>
        <v>2</v>
      </c>
      <c r="AG789" s="266">
        <f t="shared" ref="AG789" si="215">U789*$AG$3</f>
        <v>0</v>
      </c>
      <c r="AH789" s="264"/>
      <c r="AI789" s="266">
        <f t="shared" ref="AI789" si="216">W789</f>
        <v>2</v>
      </c>
      <c r="AJ789" s="266">
        <f t="shared" ref="AJ789" si="217">U789*$AJ$3</f>
        <v>0</v>
      </c>
      <c r="AK789" s="264"/>
      <c r="AL789" s="266">
        <f t="shared" ref="AL789" si="218">W789</f>
        <v>2</v>
      </c>
      <c r="AM789" s="266">
        <f t="shared" ref="AM789" si="219">U789*$AM$3</f>
        <v>0</v>
      </c>
    </row>
    <row r="790" spans="1:39" s="267" customFormat="1" ht="14.25" customHeight="1" x14ac:dyDescent="0.2">
      <c r="A790" s="258"/>
      <c r="B790" s="206"/>
      <c r="C790" s="290"/>
      <c r="D790" s="290"/>
      <c r="E790" s="290"/>
      <c r="F790" s="290"/>
      <c r="G790" s="290"/>
      <c r="H790" s="290"/>
      <c r="I790" s="290"/>
      <c r="J790" s="290"/>
      <c r="K790" s="290"/>
      <c r="L790" s="290"/>
      <c r="M790" s="290"/>
      <c r="N790" s="290"/>
      <c r="O790" s="290"/>
      <c r="P790" s="153"/>
      <c r="Q790" s="262"/>
      <c r="R790" s="435"/>
      <c r="S790" s="264"/>
      <c r="T790" s="266"/>
      <c r="U790" s="266"/>
      <c r="V790" s="264"/>
      <c r="W790" s="266"/>
      <c r="X790" s="266"/>
      <c r="Y790" s="264"/>
      <c r="Z790" s="266"/>
      <c r="AA790" s="266"/>
      <c r="AB790" s="264"/>
      <c r="AC790" s="266"/>
      <c r="AD790" s="266"/>
      <c r="AE790" s="264"/>
      <c r="AF790" s="266"/>
      <c r="AG790" s="266"/>
      <c r="AH790" s="264"/>
      <c r="AI790" s="266"/>
      <c r="AJ790" s="266"/>
      <c r="AK790" s="264"/>
      <c r="AL790" s="266"/>
      <c r="AM790" s="266"/>
    </row>
    <row r="791" spans="1:39" s="267" customFormat="1" ht="14.25" customHeight="1" x14ac:dyDescent="0.2">
      <c r="A791" s="258" t="s">
        <v>71</v>
      </c>
      <c r="B791" s="224" t="s">
        <v>934</v>
      </c>
      <c r="C791" s="290">
        <f t="shared" ref="C791" si="220">(W791+X791)*$C$3</f>
        <v>2</v>
      </c>
      <c r="D791" s="290">
        <f>C791*$Q791</f>
        <v>0</v>
      </c>
      <c r="E791" s="290">
        <f t="shared" ref="E791" si="221">(Z791+AA791)*$E$3</f>
        <v>2</v>
      </c>
      <c r="F791" s="290">
        <f>E791*$Q791</f>
        <v>0</v>
      </c>
      <c r="G791" s="290">
        <f t="shared" ref="G791" si="222">(AC791+AD791)*$G$3</f>
        <v>10</v>
      </c>
      <c r="H791" s="290">
        <f>G791*$Q791</f>
        <v>0</v>
      </c>
      <c r="I791" s="290">
        <f t="shared" ref="I791" si="223">(AF791+AG791)*$I$3</f>
        <v>2</v>
      </c>
      <c r="J791" s="290">
        <f>I791*$Q791</f>
        <v>0</v>
      </c>
      <c r="K791" s="290">
        <f t="shared" ref="K791" si="224">(AI791+AJ791)*$K$3</f>
        <v>6</v>
      </c>
      <c r="L791" s="290">
        <f>K791*$Q791</f>
        <v>0</v>
      </c>
      <c r="M791" s="290">
        <f t="shared" ref="M791" si="225">(AL791+AM791)*$M$3</f>
        <v>2</v>
      </c>
      <c r="N791" s="290">
        <f>M791*$Q791</f>
        <v>0</v>
      </c>
      <c r="O791" s="290">
        <f t="shared" ref="O791" si="226">C791+E791+G791+I791+K791+M791</f>
        <v>24</v>
      </c>
      <c r="P791" s="153" t="s">
        <v>269</v>
      </c>
      <c r="Q791" s="262"/>
      <c r="R791" s="435"/>
      <c r="S791" s="264"/>
      <c r="T791" s="266">
        <v>1</v>
      </c>
      <c r="U791" s="266"/>
      <c r="V791" s="264"/>
      <c r="W791" s="266">
        <f t="shared" ref="W791" si="227">T791*$W$3</f>
        <v>2</v>
      </c>
      <c r="X791" s="266">
        <f t="shared" ref="X791" si="228">U791*$X$3</f>
        <v>0</v>
      </c>
      <c r="Y791" s="264"/>
      <c r="Z791" s="266">
        <f t="shared" ref="Z791" si="229">W791</f>
        <v>2</v>
      </c>
      <c r="AA791" s="266">
        <f t="shared" ref="AA791" si="230">U791*$AA$3</f>
        <v>0</v>
      </c>
      <c r="AB791" s="264"/>
      <c r="AC791" s="266">
        <f t="shared" ref="AC791" si="231">W791</f>
        <v>2</v>
      </c>
      <c r="AD791" s="266">
        <f t="shared" ref="AD791" si="232">U791*$AD$3</f>
        <v>0</v>
      </c>
      <c r="AE791" s="264"/>
      <c r="AF791" s="266">
        <f t="shared" ref="AF791" si="233">W791</f>
        <v>2</v>
      </c>
      <c r="AG791" s="266">
        <f t="shared" ref="AG791" si="234">U791*$AG$3</f>
        <v>0</v>
      </c>
      <c r="AH791" s="264"/>
      <c r="AI791" s="266">
        <f t="shared" ref="AI791" si="235">W791</f>
        <v>2</v>
      </c>
      <c r="AJ791" s="266">
        <f t="shared" ref="AJ791" si="236">U791*$AJ$3</f>
        <v>0</v>
      </c>
      <c r="AK791" s="264"/>
      <c r="AL791" s="266">
        <f t="shared" ref="AL791" si="237">W791</f>
        <v>2</v>
      </c>
      <c r="AM791" s="266">
        <f t="shared" ref="AM791" si="238">U791*$AM$3</f>
        <v>0</v>
      </c>
    </row>
    <row r="792" spans="1:39" s="267" customFormat="1" ht="14.25" customHeight="1" x14ac:dyDescent="0.2">
      <c r="A792" s="258"/>
      <c r="B792" s="206"/>
      <c r="C792" s="290"/>
      <c r="D792" s="290"/>
      <c r="E792" s="290"/>
      <c r="F792" s="290"/>
      <c r="G792" s="290"/>
      <c r="H792" s="290"/>
      <c r="I792" s="290"/>
      <c r="J792" s="290"/>
      <c r="K792" s="290"/>
      <c r="L792" s="290"/>
      <c r="M792" s="290"/>
      <c r="N792" s="290"/>
      <c r="O792" s="290"/>
      <c r="P792" s="153"/>
      <c r="Q792" s="262"/>
      <c r="R792" s="435"/>
      <c r="S792" s="264"/>
      <c r="T792" s="266"/>
      <c r="U792" s="266"/>
      <c r="V792" s="264"/>
      <c r="W792" s="266"/>
      <c r="X792" s="266"/>
      <c r="Y792" s="264"/>
      <c r="Z792" s="266"/>
      <c r="AA792" s="266"/>
      <c r="AB792" s="264"/>
      <c r="AC792" s="266"/>
      <c r="AD792" s="266"/>
      <c r="AE792" s="264"/>
      <c r="AF792" s="266"/>
      <c r="AG792" s="266"/>
      <c r="AH792" s="264"/>
      <c r="AI792" s="266"/>
      <c r="AJ792" s="266"/>
      <c r="AK792" s="264"/>
      <c r="AL792" s="266"/>
      <c r="AM792" s="266"/>
    </row>
    <row r="793" spans="1:39" s="267" customFormat="1" ht="14.25" customHeight="1" x14ac:dyDescent="0.2">
      <c r="A793" s="258" t="s">
        <v>72</v>
      </c>
      <c r="B793" s="224" t="s">
        <v>935</v>
      </c>
      <c r="C793" s="290">
        <f t="shared" ref="C793" si="239">(W793+X793)*$C$3</f>
        <v>2</v>
      </c>
      <c r="D793" s="290">
        <f>C793*$Q793</f>
        <v>0</v>
      </c>
      <c r="E793" s="290">
        <f t="shared" ref="E793" si="240">(Z793+AA793)*$E$3</f>
        <v>3</v>
      </c>
      <c r="F793" s="290">
        <f>E793*$Q793</f>
        <v>0</v>
      </c>
      <c r="G793" s="290">
        <f t="shared" ref="G793" si="241">(AC793+AD793)*$G$3</f>
        <v>20</v>
      </c>
      <c r="H793" s="290">
        <f>G793*$Q793</f>
        <v>0</v>
      </c>
      <c r="I793" s="290">
        <f t="shared" ref="I793" si="242">(AF793+AG793)*$I$3</f>
        <v>5</v>
      </c>
      <c r="J793" s="290">
        <f>I793*$Q793</f>
        <v>0</v>
      </c>
      <c r="K793" s="290">
        <f t="shared" ref="K793" si="243">(AI793+AJ793)*$K$3</f>
        <v>18</v>
      </c>
      <c r="L793" s="290">
        <f>K793*$Q793</f>
        <v>0</v>
      </c>
      <c r="M793" s="290">
        <f t="shared" ref="M793" si="244">(AL793+AM793)*$M$3</f>
        <v>7</v>
      </c>
      <c r="N793" s="290">
        <f>M793*$Q793</f>
        <v>0</v>
      </c>
      <c r="O793" s="290">
        <f t="shared" ref="O793" si="245">C793+E793+G793+I793+K793+M793</f>
        <v>55</v>
      </c>
      <c r="P793" s="153" t="s">
        <v>269</v>
      </c>
      <c r="Q793" s="262"/>
      <c r="R793" s="435"/>
      <c r="S793" s="264"/>
      <c r="T793" s="266"/>
      <c r="U793" s="266">
        <v>1</v>
      </c>
      <c r="V793" s="264"/>
      <c r="W793" s="266">
        <f t="shared" ref="W793" si="246">T793*$W$3</f>
        <v>0</v>
      </c>
      <c r="X793" s="266">
        <f t="shared" ref="X793" si="247">U793*$X$3</f>
        <v>2</v>
      </c>
      <c r="Y793" s="264"/>
      <c r="Z793" s="266">
        <f t="shared" ref="Z793" si="248">W793</f>
        <v>0</v>
      </c>
      <c r="AA793" s="266">
        <f t="shared" ref="AA793" si="249">U793*$AA$3</f>
        <v>3</v>
      </c>
      <c r="AB793" s="264"/>
      <c r="AC793" s="266">
        <f t="shared" ref="AC793" si="250">W793</f>
        <v>0</v>
      </c>
      <c r="AD793" s="266">
        <f t="shared" ref="AD793" si="251">U793*$AD$3</f>
        <v>4</v>
      </c>
      <c r="AE793" s="264"/>
      <c r="AF793" s="266">
        <f t="shared" ref="AF793" si="252">W793</f>
        <v>0</v>
      </c>
      <c r="AG793" s="266">
        <f t="shared" ref="AG793" si="253">U793*$AG$3</f>
        <v>5</v>
      </c>
      <c r="AH793" s="264"/>
      <c r="AI793" s="266">
        <f t="shared" ref="AI793" si="254">W793</f>
        <v>0</v>
      </c>
      <c r="AJ793" s="266">
        <f t="shared" ref="AJ793" si="255">U793*$AJ$3</f>
        <v>6</v>
      </c>
      <c r="AK793" s="264"/>
      <c r="AL793" s="266">
        <f t="shared" ref="AL793" si="256">W793</f>
        <v>0</v>
      </c>
      <c r="AM793" s="266">
        <f t="shared" ref="AM793" si="257">U793*$AM$3</f>
        <v>7</v>
      </c>
    </row>
    <row r="794" spans="1:39" s="267" customFormat="1" ht="14.25" customHeight="1" x14ac:dyDescent="0.2">
      <c r="A794" s="258"/>
      <c r="B794" s="206"/>
      <c r="C794" s="290"/>
      <c r="D794" s="290"/>
      <c r="E794" s="290"/>
      <c r="F794" s="290"/>
      <c r="G794" s="290"/>
      <c r="H794" s="290"/>
      <c r="I794" s="290"/>
      <c r="J794" s="290"/>
      <c r="K794" s="290"/>
      <c r="L794" s="290"/>
      <c r="M794" s="290"/>
      <c r="N794" s="290"/>
      <c r="O794" s="290"/>
      <c r="P794" s="153"/>
      <c r="Q794" s="262"/>
      <c r="R794" s="435"/>
      <c r="S794" s="264"/>
      <c r="T794" s="266"/>
      <c r="U794" s="266"/>
      <c r="V794" s="264"/>
      <c r="W794" s="266"/>
      <c r="X794" s="266"/>
      <c r="Y794" s="264"/>
      <c r="Z794" s="266"/>
      <c r="AA794" s="266"/>
      <c r="AB794" s="264"/>
      <c r="AC794" s="266"/>
      <c r="AD794" s="266"/>
      <c r="AE794" s="264"/>
      <c r="AF794" s="266"/>
      <c r="AG794" s="266"/>
      <c r="AH794" s="264"/>
      <c r="AI794" s="266"/>
      <c r="AJ794" s="266"/>
      <c r="AK794" s="264"/>
      <c r="AL794" s="266"/>
      <c r="AM794" s="266"/>
    </row>
    <row r="795" spans="1:39" s="267" customFormat="1" ht="14.25" customHeight="1" x14ac:dyDescent="0.2">
      <c r="A795" s="258" t="s">
        <v>73</v>
      </c>
      <c r="B795" s="224" t="s">
        <v>936</v>
      </c>
      <c r="C795" s="290">
        <f t="shared" ref="C795" si="258">(W795+X795)*$C$3</f>
        <v>2</v>
      </c>
      <c r="D795" s="290">
        <f>C795*$Q795</f>
        <v>0</v>
      </c>
      <c r="E795" s="290">
        <f t="shared" ref="E795" si="259">(Z795+AA795)*$E$3</f>
        <v>3</v>
      </c>
      <c r="F795" s="290">
        <f>E795*$Q795</f>
        <v>0</v>
      </c>
      <c r="G795" s="290">
        <f t="shared" ref="G795" si="260">(AC795+AD795)*$G$3</f>
        <v>20</v>
      </c>
      <c r="H795" s="290">
        <f>G795*$Q795</f>
        <v>0</v>
      </c>
      <c r="I795" s="290">
        <f t="shared" ref="I795" si="261">(AF795+AG795)*$I$3</f>
        <v>5</v>
      </c>
      <c r="J795" s="290">
        <f>I795*$Q795</f>
        <v>0</v>
      </c>
      <c r="K795" s="290">
        <f t="shared" ref="K795" si="262">(AI795+AJ795)*$K$3</f>
        <v>18</v>
      </c>
      <c r="L795" s="290">
        <f>K795*$Q795</f>
        <v>0</v>
      </c>
      <c r="M795" s="290">
        <f t="shared" ref="M795" si="263">(AL795+AM795)*$M$3</f>
        <v>7</v>
      </c>
      <c r="N795" s="290">
        <f>M795*$Q795</f>
        <v>0</v>
      </c>
      <c r="O795" s="290">
        <f t="shared" ref="O795" si="264">C795+E795+G795+I795+K795+M795</f>
        <v>55</v>
      </c>
      <c r="P795" s="153" t="s">
        <v>269</v>
      </c>
      <c r="Q795" s="262"/>
      <c r="R795" s="435"/>
      <c r="S795" s="264"/>
      <c r="T795" s="266"/>
      <c r="U795" s="266">
        <v>1</v>
      </c>
      <c r="V795" s="264"/>
      <c r="W795" s="266">
        <f t="shared" ref="W795" si="265">T795*$W$3</f>
        <v>0</v>
      </c>
      <c r="X795" s="266">
        <f t="shared" ref="X795" si="266">U795*$X$3</f>
        <v>2</v>
      </c>
      <c r="Y795" s="264"/>
      <c r="Z795" s="266">
        <f t="shared" ref="Z795" si="267">W795</f>
        <v>0</v>
      </c>
      <c r="AA795" s="266">
        <f t="shared" ref="AA795" si="268">U795*$AA$3</f>
        <v>3</v>
      </c>
      <c r="AB795" s="264"/>
      <c r="AC795" s="266">
        <f t="shared" ref="AC795" si="269">W795</f>
        <v>0</v>
      </c>
      <c r="AD795" s="266">
        <f t="shared" ref="AD795" si="270">U795*$AD$3</f>
        <v>4</v>
      </c>
      <c r="AE795" s="264"/>
      <c r="AF795" s="266">
        <f t="shared" ref="AF795" si="271">W795</f>
        <v>0</v>
      </c>
      <c r="AG795" s="266">
        <f t="shared" ref="AG795" si="272">U795*$AG$3</f>
        <v>5</v>
      </c>
      <c r="AH795" s="264"/>
      <c r="AI795" s="266">
        <f t="shared" ref="AI795" si="273">W795</f>
        <v>0</v>
      </c>
      <c r="AJ795" s="266">
        <f t="shared" ref="AJ795" si="274">U795*$AJ$3</f>
        <v>6</v>
      </c>
      <c r="AK795" s="264"/>
      <c r="AL795" s="266">
        <f t="shared" ref="AL795" si="275">W795</f>
        <v>0</v>
      </c>
      <c r="AM795" s="266">
        <f t="shared" ref="AM795" si="276">U795*$AM$3</f>
        <v>7</v>
      </c>
    </row>
    <row r="796" spans="1:39" s="267" customFormat="1" ht="14.25" customHeight="1" x14ac:dyDescent="0.2">
      <c r="A796" s="258"/>
      <c r="B796" s="206"/>
      <c r="C796" s="290"/>
      <c r="D796" s="290"/>
      <c r="E796" s="290"/>
      <c r="F796" s="290"/>
      <c r="G796" s="290"/>
      <c r="H796" s="290"/>
      <c r="I796" s="290"/>
      <c r="J796" s="290"/>
      <c r="K796" s="290"/>
      <c r="L796" s="290"/>
      <c r="M796" s="290"/>
      <c r="N796" s="290"/>
      <c r="O796" s="290"/>
      <c r="P796" s="153"/>
      <c r="Q796" s="262"/>
      <c r="R796" s="435"/>
      <c r="S796" s="264"/>
      <c r="T796" s="266"/>
      <c r="U796" s="266"/>
      <c r="V796" s="264"/>
      <c r="W796" s="266"/>
      <c r="X796" s="266"/>
      <c r="Y796" s="264"/>
      <c r="Z796" s="266"/>
      <c r="AA796" s="266"/>
      <c r="AB796" s="264"/>
      <c r="AC796" s="266"/>
      <c r="AD796" s="266"/>
      <c r="AE796" s="264"/>
      <c r="AF796" s="266"/>
      <c r="AG796" s="266"/>
      <c r="AH796" s="264"/>
      <c r="AI796" s="266"/>
      <c r="AJ796" s="266"/>
      <c r="AK796" s="264"/>
      <c r="AL796" s="266"/>
      <c r="AM796" s="266"/>
    </row>
    <row r="797" spans="1:39" s="267" customFormat="1" ht="14.25" customHeight="1" x14ac:dyDescent="0.2">
      <c r="A797" s="258" t="s">
        <v>74</v>
      </c>
      <c r="B797" s="224" t="s">
        <v>937</v>
      </c>
      <c r="C797" s="290">
        <f t="shared" ref="C797" si="277">(W797+X797)*$C$3</f>
        <v>2</v>
      </c>
      <c r="D797" s="290">
        <f>C797*$Q797</f>
        <v>0</v>
      </c>
      <c r="E797" s="290">
        <f t="shared" ref="E797" si="278">(Z797+AA797)*$E$3</f>
        <v>3</v>
      </c>
      <c r="F797" s="290">
        <f>E797*$Q797</f>
        <v>0</v>
      </c>
      <c r="G797" s="290">
        <f t="shared" ref="G797" si="279">(AC797+AD797)*$G$3</f>
        <v>20</v>
      </c>
      <c r="H797" s="290">
        <f>G797*$Q797</f>
        <v>0</v>
      </c>
      <c r="I797" s="290">
        <f t="shared" ref="I797" si="280">(AF797+AG797)*$I$3</f>
        <v>5</v>
      </c>
      <c r="J797" s="290">
        <f>I797*$Q797</f>
        <v>0</v>
      </c>
      <c r="K797" s="290">
        <f t="shared" ref="K797" si="281">(AI797+AJ797)*$K$3</f>
        <v>18</v>
      </c>
      <c r="L797" s="290">
        <f>K797*$Q797</f>
        <v>0</v>
      </c>
      <c r="M797" s="290">
        <f t="shared" ref="M797" si="282">(AL797+AM797)*$M$3</f>
        <v>7</v>
      </c>
      <c r="N797" s="290">
        <f>M797*$Q797</f>
        <v>0</v>
      </c>
      <c r="O797" s="290">
        <f t="shared" ref="O797" si="283">C797+E797+G797+I797+K797+M797</f>
        <v>55</v>
      </c>
      <c r="P797" s="153" t="s">
        <v>269</v>
      </c>
      <c r="Q797" s="262"/>
      <c r="R797" s="435"/>
      <c r="S797" s="264"/>
      <c r="T797" s="266"/>
      <c r="U797" s="266">
        <v>1</v>
      </c>
      <c r="V797" s="264"/>
      <c r="W797" s="266">
        <f t="shared" ref="W797" si="284">T797*$W$3</f>
        <v>0</v>
      </c>
      <c r="X797" s="266">
        <f t="shared" ref="X797" si="285">U797*$X$3</f>
        <v>2</v>
      </c>
      <c r="Y797" s="264"/>
      <c r="Z797" s="266">
        <f t="shared" ref="Z797" si="286">W797</f>
        <v>0</v>
      </c>
      <c r="AA797" s="266">
        <f t="shared" ref="AA797" si="287">U797*$AA$3</f>
        <v>3</v>
      </c>
      <c r="AB797" s="264"/>
      <c r="AC797" s="266">
        <f t="shared" ref="AC797" si="288">W797</f>
        <v>0</v>
      </c>
      <c r="AD797" s="266">
        <f t="shared" ref="AD797" si="289">U797*$AD$3</f>
        <v>4</v>
      </c>
      <c r="AE797" s="264"/>
      <c r="AF797" s="266">
        <f t="shared" ref="AF797" si="290">W797</f>
        <v>0</v>
      </c>
      <c r="AG797" s="266">
        <f t="shared" ref="AG797" si="291">U797*$AG$3</f>
        <v>5</v>
      </c>
      <c r="AH797" s="264"/>
      <c r="AI797" s="266">
        <f t="shared" ref="AI797" si="292">W797</f>
        <v>0</v>
      </c>
      <c r="AJ797" s="266">
        <f t="shared" ref="AJ797" si="293">U797*$AJ$3</f>
        <v>6</v>
      </c>
      <c r="AK797" s="264"/>
      <c r="AL797" s="266">
        <f t="shared" ref="AL797" si="294">W797</f>
        <v>0</v>
      </c>
      <c r="AM797" s="266">
        <f t="shared" ref="AM797" si="295">U797*$AM$3</f>
        <v>7</v>
      </c>
    </row>
    <row r="798" spans="1:39" s="267" customFormat="1" ht="14.25" customHeight="1" x14ac:dyDescent="0.2">
      <c r="A798" s="258"/>
      <c r="B798" s="206"/>
      <c r="C798" s="290"/>
      <c r="D798" s="290"/>
      <c r="E798" s="290"/>
      <c r="F798" s="290"/>
      <c r="G798" s="290"/>
      <c r="H798" s="290"/>
      <c r="I798" s="290"/>
      <c r="J798" s="290"/>
      <c r="K798" s="290"/>
      <c r="L798" s="290"/>
      <c r="M798" s="290"/>
      <c r="N798" s="290"/>
      <c r="O798" s="290"/>
      <c r="P798" s="153"/>
      <c r="Q798" s="262"/>
      <c r="R798" s="435"/>
      <c r="S798" s="264"/>
      <c r="T798" s="266"/>
      <c r="U798" s="266"/>
      <c r="V798" s="264"/>
      <c r="W798" s="266"/>
      <c r="X798" s="266"/>
      <c r="Y798" s="264"/>
      <c r="Z798" s="266"/>
      <c r="AA798" s="266"/>
      <c r="AB798" s="264"/>
      <c r="AC798" s="266"/>
      <c r="AD798" s="266"/>
      <c r="AE798" s="264"/>
      <c r="AF798" s="266"/>
      <c r="AG798" s="266"/>
      <c r="AH798" s="264"/>
      <c r="AI798" s="266"/>
      <c r="AJ798" s="266"/>
      <c r="AK798" s="264"/>
      <c r="AL798" s="266"/>
      <c r="AM798" s="266"/>
    </row>
    <row r="799" spans="1:39" s="267" customFormat="1" ht="14.25" customHeight="1" x14ac:dyDescent="0.2">
      <c r="A799" s="258" t="s">
        <v>75</v>
      </c>
      <c r="B799" s="224" t="s">
        <v>938</v>
      </c>
      <c r="C799" s="290">
        <f t="shared" ref="C799" si="296">(W799+X799)*$C$3</f>
        <v>2</v>
      </c>
      <c r="D799" s="290">
        <f>C799*$Q799</f>
        <v>0</v>
      </c>
      <c r="E799" s="290">
        <f t="shared" ref="E799" si="297">(Z799+AA799)*$E$3</f>
        <v>3</v>
      </c>
      <c r="F799" s="290">
        <f>E799*$Q799</f>
        <v>0</v>
      </c>
      <c r="G799" s="290">
        <f t="shared" ref="G799" si="298">(AC799+AD799)*$G$3</f>
        <v>20</v>
      </c>
      <c r="H799" s="290">
        <f>G799*$Q799</f>
        <v>0</v>
      </c>
      <c r="I799" s="290">
        <f t="shared" ref="I799" si="299">(AF799+AG799)*$I$3</f>
        <v>5</v>
      </c>
      <c r="J799" s="290">
        <f>I799*$Q799</f>
        <v>0</v>
      </c>
      <c r="K799" s="290">
        <f t="shared" ref="K799" si="300">(AI799+AJ799)*$K$3</f>
        <v>18</v>
      </c>
      <c r="L799" s="290">
        <f>K799*$Q799</f>
        <v>0</v>
      </c>
      <c r="M799" s="290">
        <f t="shared" ref="M799" si="301">(AL799+AM799)*$M$3</f>
        <v>7</v>
      </c>
      <c r="N799" s="290">
        <f>M799*$Q799</f>
        <v>0</v>
      </c>
      <c r="O799" s="290">
        <f t="shared" ref="O799" si="302">C799+E799+G799+I799+K799+M799</f>
        <v>55</v>
      </c>
      <c r="P799" s="153" t="s">
        <v>269</v>
      </c>
      <c r="Q799" s="262"/>
      <c r="R799" s="435"/>
      <c r="S799" s="264"/>
      <c r="T799" s="266"/>
      <c r="U799" s="266">
        <v>1</v>
      </c>
      <c r="V799" s="264"/>
      <c r="W799" s="266">
        <f t="shared" ref="W799" si="303">T799*$W$3</f>
        <v>0</v>
      </c>
      <c r="X799" s="266">
        <f t="shared" ref="X799" si="304">U799*$X$3</f>
        <v>2</v>
      </c>
      <c r="Y799" s="264"/>
      <c r="Z799" s="266">
        <f t="shared" ref="Z799" si="305">W799</f>
        <v>0</v>
      </c>
      <c r="AA799" s="266">
        <f t="shared" ref="AA799" si="306">U799*$AA$3</f>
        <v>3</v>
      </c>
      <c r="AB799" s="264"/>
      <c r="AC799" s="266">
        <f t="shared" ref="AC799" si="307">W799</f>
        <v>0</v>
      </c>
      <c r="AD799" s="266">
        <f t="shared" ref="AD799" si="308">U799*$AD$3</f>
        <v>4</v>
      </c>
      <c r="AE799" s="264"/>
      <c r="AF799" s="266">
        <f t="shared" ref="AF799" si="309">W799</f>
        <v>0</v>
      </c>
      <c r="AG799" s="266">
        <f t="shared" ref="AG799" si="310">U799*$AG$3</f>
        <v>5</v>
      </c>
      <c r="AH799" s="264"/>
      <c r="AI799" s="266">
        <f t="shared" ref="AI799" si="311">W799</f>
        <v>0</v>
      </c>
      <c r="AJ799" s="266">
        <f t="shared" ref="AJ799" si="312">U799*$AJ$3</f>
        <v>6</v>
      </c>
      <c r="AK799" s="264"/>
      <c r="AL799" s="266">
        <f t="shared" ref="AL799" si="313">W799</f>
        <v>0</v>
      </c>
      <c r="AM799" s="266">
        <f t="shared" ref="AM799" si="314">U799*$AM$3</f>
        <v>7</v>
      </c>
    </row>
    <row r="800" spans="1:39" s="267" customFormat="1" ht="14.25" customHeight="1" x14ac:dyDescent="0.2">
      <c r="A800" s="258"/>
      <c r="B800" s="206"/>
      <c r="C800" s="290"/>
      <c r="D800" s="290"/>
      <c r="E800" s="290"/>
      <c r="F800" s="290"/>
      <c r="G800" s="290"/>
      <c r="H800" s="290"/>
      <c r="I800" s="290"/>
      <c r="J800" s="290"/>
      <c r="K800" s="290"/>
      <c r="L800" s="290"/>
      <c r="M800" s="290"/>
      <c r="N800" s="290"/>
      <c r="O800" s="290"/>
      <c r="P800" s="153"/>
      <c r="Q800" s="262"/>
      <c r="R800" s="435"/>
      <c r="S800" s="264"/>
      <c r="T800" s="266"/>
      <c r="U800" s="266"/>
      <c r="V800" s="264"/>
      <c r="W800" s="266"/>
      <c r="X800" s="266"/>
      <c r="Y800" s="264"/>
      <c r="Z800" s="266"/>
      <c r="AA800" s="266"/>
      <c r="AB800" s="264"/>
      <c r="AC800" s="266"/>
      <c r="AD800" s="266"/>
      <c r="AE800" s="264"/>
      <c r="AF800" s="266"/>
      <c r="AG800" s="266"/>
      <c r="AH800" s="264"/>
      <c r="AI800" s="266"/>
      <c r="AJ800" s="266"/>
      <c r="AK800" s="264"/>
      <c r="AL800" s="266"/>
      <c r="AM800" s="266"/>
    </row>
    <row r="801" spans="1:39" s="267" customFormat="1" ht="14.25" customHeight="1" x14ac:dyDescent="0.2">
      <c r="A801" s="258" t="s">
        <v>76</v>
      </c>
      <c r="B801" s="224" t="s">
        <v>939</v>
      </c>
      <c r="C801" s="290">
        <f t="shared" ref="C801" si="315">(W801+X801)*$C$3</f>
        <v>2</v>
      </c>
      <c r="D801" s="290">
        <f>C801*$Q801</f>
        <v>0</v>
      </c>
      <c r="E801" s="290">
        <f t="shared" ref="E801" si="316">(Z801+AA801)*$E$3</f>
        <v>3</v>
      </c>
      <c r="F801" s="290">
        <f>E801*$Q801</f>
        <v>0</v>
      </c>
      <c r="G801" s="290">
        <f t="shared" ref="G801" si="317">(AC801+AD801)*$G$3</f>
        <v>20</v>
      </c>
      <c r="H801" s="290">
        <f>G801*$Q801</f>
        <v>0</v>
      </c>
      <c r="I801" s="290">
        <f t="shared" ref="I801" si="318">(AF801+AG801)*$I$3</f>
        <v>5</v>
      </c>
      <c r="J801" s="290">
        <f>I801*$Q801</f>
        <v>0</v>
      </c>
      <c r="K801" s="290">
        <f t="shared" ref="K801" si="319">(AI801+AJ801)*$K$3</f>
        <v>18</v>
      </c>
      <c r="L801" s="290">
        <f>K801*$Q801</f>
        <v>0</v>
      </c>
      <c r="M801" s="290">
        <f t="shared" ref="M801" si="320">(AL801+AM801)*$M$3</f>
        <v>7</v>
      </c>
      <c r="N801" s="290">
        <f>M801*$Q801</f>
        <v>0</v>
      </c>
      <c r="O801" s="290">
        <f t="shared" ref="O801" si="321">C801+E801+G801+I801+K801+M801</f>
        <v>55</v>
      </c>
      <c r="P801" s="153" t="s">
        <v>269</v>
      </c>
      <c r="Q801" s="262"/>
      <c r="R801" s="435"/>
      <c r="S801" s="264"/>
      <c r="T801" s="266"/>
      <c r="U801" s="266">
        <v>1</v>
      </c>
      <c r="V801" s="264"/>
      <c r="W801" s="266">
        <f t="shared" ref="W801" si="322">T801*$W$3</f>
        <v>0</v>
      </c>
      <c r="X801" s="266">
        <f t="shared" ref="X801" si="323">U801*$X$3</f>
        <v>2</v>
      </c>
      <c r="Y801" s="264"/>
      <c r="Z801" s="266">
        <f t="shared" ref="Z801" si="324">W801</f>
        <v>0</v>
      </c>
      <c r="AA801" s="266">
        <f t="shared" ref="AA801" si="325">U801*$AA$3</f>
        <v>3</v>
      </c>
      <c r="AB801" s="264"/>
      <c r="AC801" s="266">
        <f t="shared" ref="AC801" si="326">W801</f>
        <v>0</v>
      </c>
      <c r="AD801" s="266">
        <f t="shared" ref="AD801" si="327">U801*$AD$3</f>
        <v>4</v>
      </c>
      <c r="AE801" s="264"/>
      <c r="AF801" s="266">
        <f t="shared" ref="AF801" si="328">W801</f>
        <v>0</v>
      </c>
      <c r="AG801" s="266">
        <f t="shared" ref="AG801" si="329">U801*$AG$3</f>
        <v>5</v>
      </c>
      <c r="AH801" s="264"/>
      <c r="AI801" s="266">
        <f t="shared" ref="AI801" si="330">W801</f>
        <v>0</v>
      </c>
      <c r="AJ801" s="266">
        <f t="shared" ref="AJ801" si="331">U801*$AJ$3</f>
        <v>6</v>
      </c>
      <c r="AK801" s="264"/>
      <c r="AL801" s="266">
        <f t="shared" ref="AL801" si="332">W801</f>
        <v>0</v>
      </c>
      <c r="AM801" s="266">
        <f t="shared" ref="AM801" si="333">U801*$AM$3</f>
        <v>7</v>
      </c>
    </row>
    <row r="802" spans="1:39" s="267" customFormat="1" x14ac:dyDescent="0.2">
      <c r="A802" s="258"/>
      <c r="B802" s="206"/>
      <c r="C802" s="290"/>
      <c r="D802" s="290"/>
      <c r="E802" s="290"/>
      <c r="F802" s="290"/>
      <c r="G802" s="290"/>
      <c r="H802" s="290"/>
      <c r="I802" s="290"/>
      <c r="J802" s="290"/>
      <c r="K802" s="290"/>
      <c r="L802" s="290"/>
      <c r="M802" s="290"/>
      <c r="N802" s="290"/>
      <c r="O802" s="290"/>
      <c r="P802" s="153"/>
      <c r="Q802" s="262"/>
      <c r="R802" s="435"/>
      <c r="S802" s="264"/>
      <c r="T802" s="266"/>
      <c r="U802" s="266"/>
      <c r="V802" s="264"/>
      <c r="W802" s="266"/>
      <c r="X802" s="266"/>
      <c r="Y802" s="264"/>
      <c r="Z802" s="266"/>
      <c r="AA802" s="266"/>
      <c r="AB802" s="264"/>
      <c r="AC802" s="266"/>
      <c r="AD802" s="266"/>
      <c r="AE802" s="264"/>
      <c r="AF802" s="266"/>
      <c r="AG802" s="266"/>
      <c r="AH802" s="264"/>
      <c r="AI802" s="266"/>
      <c r="AJ802" s="266"/>
      <c r="AK802" s="264"/>
      <c r="AL802" s="266"/>
      <c r="AM802" s="266"/>
    </row>
    <row r="803" spans="1:39" s="267" customFormat="1" ht="42.75" x14ac:dyDescent="0.2">
      <c r="A803" s="258"/>
      <c r="B803" s="265" t="s">
        <v>802</v>
      </c>
      <c r="C803" s="290"/>
      <c r="D803" s="290"/>
      <c r="E803" s="290"/>
      <c r="F803" s="290"/>
      <c r="G803" s="290"/>
      <c r="H803" s="290"/>
      <c r="I803" s="290"/>
      <c r="J803" s="290"/>
      <c r="K803" s="290"/>
      <c r="L803" s="290"/>
      <c r="M803" s="290"/>
      <c r="N803" s="290"/>
      <c r="O803" s="290"/>
      <c r="P803" s="153"/>
      <c r="Q803" s="262"/>
      <c r="R803" s="435"/>
      <c r="S803" s="264"/>
      <c r="T803" s="266"/>
      <c r="U803" s="266"/>
      <c r="V803" s="264"/>
      <c r="W803" s="266"/>
      <c r="X803" s="266"/>
      <c r="Y803" s="264"/>
      <c r="Z803" s="266"/>
      <c r="AA803" s="266"/>
      <c r="AB803" s="264"/>
      <c r="AC803" s="266"/>
      <c r="AD803" s="266"/>
      <c r="AE803" s="264"/>
      <c r="AF803" s="266"/>
      <c r="AG803" s="266"/>
      <c r="AH803" s="264"/>
      <c r="AI803" s="266"/>
      <c r="AJ803" s="266"/>
      <c r="AK803" s="264"/>
      <c r="AL803" s="266"/>
      <c r="AM803" s="266"/>
    </row>
    <row r="804" spans="1:39" s="267" customFormat="1" x14ac:dyDescent="0.2">
      <c r="A804" s="258"/>
      <c r="B804" s="265"/>
      <c r="C804" s="290"/>
      <c r="D804" s="290"/>
      <c r="E804" s="290"/>
      <c r="F804" s="290"/>
      <c r="G804" s="290"/>
      <c r="H804" s="290"/>
      <c r="I804" s="290"/>
      <c r="J804" s="290"/>
      <c r="K804" s="290"/>
      <c r="L804" s="290"/>
      <c r="M804" s="290"/>
      <c r="N804" s="290"/>
      <c r="O804" s="290"/>
      <c r="P804" s="153"/>
      <c r="Q804" s="262"/>
      <c r="R804" s="435"/>
      <c r="S804" s="264"/>
      <c r="T804" s="266"/>
      <c r="U804" s="266"/>
      <c r="V804" s="264"/>
      <c r="W804" s="266"/>
      <c r="X804" s="266"/>
      <c r="Y804" s="264"/>
      <c r="Z804" s="266"/>
      <c r="AA804" s="266"/>
      <c r="AB804" s="264"/>
      <c r="AC804" s="266"/>
      <c r="AD804" s="266"/>
      <c r="AE804" s="264"/>
      <c r="AF804" s="266"/>
      <c r="AG804" s="266"/>
      <c r="AH804" s="264"/>
      <c r="AI804" s="266"/>
      <c r="AJ804" s="266"/>
      <c r="AK804" s="264"/>
      <c r="AL804" s="266"/>
      <c r="AM804" s="266"/>
    </row>
    <row r="805" spans="1:39" s="267" customFormat="1" x14ac:dyDescent="0.2">
      <c r="A805" s="258" t="s">
        <v>77</v>
      </c>
      <c r="B805" s="206" t="s">
        <v>803</v>
      </c>
      <c r="C805" s="290">
        <f>(W805+X805)*$C$3</f>
        <v>2</v>
      </c>
      <c r="D805" s="290">
        <f>C805*$Q805</f>
        <v>0</v>
      </c>
      <c r="E805" s="290">
        <f>(Z805+AA805)*$E$3</f>
        <v>2</v>
      </c>
      <c r="F805" s="290">
        <f>E805*$Q805</f>
        <v>0</v>
      </c>
      <c r="G805" s="290">
        <f>(AC805+AD805)*$G$3</f>
        <v>10</v>
      </c>
      <c r="H805" s="290">
        <f>G805*$Q805</f>
        <v>0</v>
      </c>
      <c r="I805" s="290">
        <f>(AF805+AG805)*$I$3</f>
        <v>2</v>
      </c>
      <c r="J805" s="290">
        <f>I805*$Q805</f>
        <v>0</v>
      </c>
      <c r="K805" s="290">
        <f>(AI805+AJ805)*$K$3</f>
        <v>6</v>
      </c>
      <c r="L805" s="290">
        <f>K805*$Q805</f>
        <v>0</v>
      </c>
      <c r="M805" s="290">
        <f>(AL805+AM805)*$M$3</f>
        <v>2</v>
      </c>
      <c r="N805" s="290">
        <f>M805*$Q805</f>
        <v>0</v>
      </c>
      <c r="O805" s="290">
        <f>C805+E805+G805+I805+K805+M805</f>
        <v>24</v>
      </c>
      <c r="P805" s="153" t="s">
        <v>269</v>
      </c>
      <c r="Q805" s="262"/>
      <c r="R805" s="435"/>
      <c r="S805" s="264"/>
      <c r="T805" s="266">
        <v>1</v>
      </c>
      <c r="U805" s="266"/>
      <c r="V805" s="264"/>
      <c r="W805" s="266">
        <f>T805*$W$3</f>
        <v>2</v>
      </c>
      <c r="X805" s="266">
        <f>U805*$X$3</f>
        <v>0</v>
      </c>
      <c r="Y805" s="264"/>
      <c r="Z805" s="266">
        <f>W805</f>
        <v>2</v>
      </c>
      <c r="AA805" s="266">
        <f>U805*$AA$3</f>
        <v>0</v>
      </c>
      <c r="AB805" s="264"/>
      <c r="AC805" s="266">
        <f>W805</f>
        <v>2</v>
      </c>
      <c r="AD805" s="266">
        <f>U805*$AD$3</f>
        <v>0</v>
      </c>
      <c r="AE805" s="264"/>
      <c r="AF805" s="266">
        <f>W805</f>
        <v>2</v>
      </c>
      <c r="AG805" s="266">
        <f>U805*$AG$3</f>
        <v>0</v>
      </c>
      <c r="AH805" s="264"/>
      <c r="AI805" s="266">
        <f>W805</f>
        <v>2</v>
      </c>
      <c r="AJ805" s="266">
        <f>U805*$AJ$3</f>
        <v>0</v>
      </c>
      <c r="AK805" s="264"/>
      <c r="AL805" s="266">
        <f>W805</f>
        <v>2</v>
      </c>
      <c r="AM805" s="266">
        <f>U805*$AM$3</f>
        <v>0</v>
      </c>
    </row>
    <row r="806" spans="1:39" s="267" customFormat="1" x14ac:dyDescent="0.2">
      <c r="A806" s="258"/>
      <c r="B806" s="206"/>
      <c r="C806" s="290"/>
      <c r="D806" s="290"/>
      <c r="E806" s="290"/>
      <c r="F806" s="290"/>
      <c r="G806" s="290"/>
      <c r="H806" s="290"/>
      <c r="I806" s="290"/>
      <c r="J806" s="290"/>
      <c r="K806" s="290"/>
      <c r="L806" s="290"/>
      <c r="M806" s="290"/>
      <c r="N806" s="290"/>
      <c r="O806" s="290"/>
      <c r="P806" s="153"/>
      <c r="Q806" s="262"/>
      <c r="R806" s="435"/>
      <c r="S806" s="264"/>
      <c r="T806" s="266"/>
      <c r="U806" s="266"/>
      <c r="V806" s="264"/>
      <c r="W806" s="266"/>
      <c r="X806" s="266"/>
      <c r="Y806" s="264"/>
      <c r="Z806" s="266"/>
      <c r="AA806" s="266"/>
      <c r="AB806" s="264"/>
      <c r="AC806" s="266"/>
      <c r="AD806" s="266"/>
      <c r="AE806" s="264"/>
      <c r="AF806" s="266"/>
      <c r="AG806" s="266"/>
      <c r="AH806" s="264"/>
      <c r="AI806" s="266"/>
      <c r="AJ806" s="266"/>
      <c r="AK806" s="264"/>
      <c r="AL806" s="266"/>
      <c r="AM806" s="266"/>
    </row>
    <row r="807" spans="1:39" s="267" customFormat="1" x14ac:dyDescent="0.2">
      <c r="A807" s="258" t="s">
        <v>79</v>
      </c>
      <c r="B807" s="206" t="s">
        <v>804</v>
      </c>
      <c r="C807" s="290">
        <f>(W807+X807)*$C$3</f>
        <v>2</v>
      </c>
      <c r="D807" s="290">
        <f>C807*$Q807</f>
        <v>0</v>
      </c>
      <c r="E807" s="290">
        <f>(Z807+AA807)*$E$3</f>
        <v>3</v>
      </c>
      <c r="F807" s="290">
        <f>E807*$Q807</f>
        <v>0</v>
      </c>
      <c r="G807" s="290">
        <f>(AC807+AD807)*$G$3</f>
        <v>20</v>
      </c>
      <c r="H807" s="290">
        <f>G807*$Q807</f>
        <v>0</v>
      </c>
      <c r="I807" s="290">
        <f>(AF807+AG807)*$I$3</f>
        <v>5</v>
      </c>
      <c r="J807" s="290">
        <f>I807*$Q807</f>
        <v>0</v>
      </c>
      <c r="K807" s="290">
        <f>(AI807+AJ807)*$K$3</f>
        <v>18</v>
      </c>
      <c r="L807" s="290">
        <f>K807*$Q807</f>
        <v>0</v>
      </c>
      <c r="M807" s="290">
        <f>(AL807+AM807)*$M$3</f>
        <v>7</v>
      </c>
      <c r="N807" s="290">
        <f>M807*$Q807</f>
        <v>0</v>
      </c>
      <c r="O807" s="290">
        <f>C807+E807+G807+I807+K807+M807</f>
        <v>55</v>
      </c>
      <c r="P807" s="153" t="s">
        <v>269</v>
      </c>
      <c r="Q807" s="262"/>
      <c r="R807" s="435"/>
      <c r="S807" s="264"/>
      <c r="T807" s="266"/>
      <c r="U807" s="266">
        <v>1</v>
      </c>
      <c r="V807" s="264"/>
      <c r="W807" s="266">
        <f>T807*$W$3</f>
        <v>0</v>
      </c>
      <c r="X807" s="266">
        <f>U807*$X$3</f>
        <v>2</v>
      </c>
      <c r="Y807" s="264"/>
      <c r="Z807" s="266">
        <f>W807</f>
        <v>0</v>
      </c>
      <c r="AA807" s="266">
        <f>U807*$AA$3</f>
        <v>3</v>
      </c>
      <c r="AB807" s="264"/>
      <c r="AC807" s="266">
        <f>W807</f>
        <v>0</v>
      </c>
      <c r="AD807" s="266">
        <f>U807*$AD$3</f>
        <v>4</v>
      </c>
      <c r="AE807" s="264"/>
      <c r="AF807" s="266">
        <f>W807</f>
        <v>0</v>
      </c>
      <c r="AG807" s="266">
        <f>U807*$AG$3</f>
        <v>5</v>
      </c>
      <c r="AH807" s="264"/>
      <c r="AI807" s="266">
        <f>W807</f>
        <v>0</v>
      </c>
      <c r="AJ807" s="266">
        <f>U807*$AJ$3</f>
        <v>6</v>
      </c>
      <c r="AK807" s="264"/>
      <c r="AL807" s="266">
        <f>W807</f>
        <v>0</v>
      </c>
      <c r="AM807" s="266">
        <f>U807*$AM$3</f>
        <v>7</v>
      </c>
    </row>
    <row r="808" spans="1:39" s="267" customFormat="1" x14ac:dyDescent="0.2">
      <c r="A808" s="258"/>
      <c r="B808" s="206"/>
      <c r="C808" s="290"/>
      <c r="D808" s="290"/>
      <c r="E808" s="290"/>
      <c r="F808" s="290"/>
      <c r="G808" s="290"/>
      <c r="H808" s="290"/>
      <c r="I808" s="290"/>
      <c r="J808" s="290"/>
      <c r="K808" s="290"/>
      <c r="L808" s="290"/>
      <c r="M808" s="290"/>
      <c r="N808" s="290"/>
      <c r="O808" s="290"/>
      <c r="P808" s="153"/>
      <c r="Q808" s="262"/>
      <c r="R808" s="435"/>
      <c r="S808" s="264"/>
      <c r="T808" s="266"/>
      <c r="U808" s="266"/>
      <c r="V808" s="264"/>
      <c r="W808" s="266"/>
      <c r="X808" s="266"/>
      <c r="Y808" s="264"/>
      <c r="Z808" s="266"/>
      <c r="AA808" s="266"/>
      <c r="AB808" s="264"/>
      <c r="AC808" s="266"/>
      <c r="AD808" s="266"/>
      <c r="AE808" s="264"/>
      <c r="AF808" s="266"/>
      <c r="AG808" s="266"/>
      <c r="AH808" s="264"/>
      <c r="AI808" s="266"/>
      <c r="AJ808" s="266"/>
      <c r="AK808" s="264"/>
      <c r="AL808" s="266"/>
      <c r="AM808" s="266"/>
    </row>
    <row r="809" spans="1:39" s="267" customFormat="1" x14ac:dyDescent="0.2">
      <c r="A809" s="258"/>
      <c r="B809" s="259"/>
      <c r="C809" s="290"/>
      <c r="D809" s="290"/>
      <c r="E809" s="290"/>
      <c r="F809" s="290"/>
      <c r="G809" s="290"/>
      <c r="H809" s="290"/>
      <c r="I809" s="290"/>
      <c r="J809" s="290"/>
      <c r="K809" s="290"/>
      <c r="L809" s="290"/>
      <c r="M809" s="290"/>
      <c r="N809" s="290"/>
      <c r="O809" s="290"/>
      <c r="P809" s="153"/>
      <c r="Q809" s="262"/>
      <c r="R809" s="435"/>
      <c r="S809" s="264"/>
      <c r="T809" s="266"/>
      <c r="U809" s="211"/>
      <c r="V809" s="264"/>
      <c r="W809" s="211"/>
      <c r="X809" s="211"/>
      <c r="Y809" s="264"/>
      <c r="Z809" s="211"/>
      <c r="AA809" s="211"/>
      <c r="AB809" s="264"/>
      <c r="AC809" s="211"/>
      <c r="AD809" s="211"/>
      <c r="AE809" s="264"/>
      <c r="AF809" s="211"/>
      <c r="AG809" s="211"/>
      <c r="AH809" s="264"/>
      <c r="AI809" s="211"/>
      <c r="AJ809" s="211"/>
      <c r="AK809" s="264"/>
      <c r="AL809" s="211"/>
      <c r="AM809" s="211"/>
    </row>
    <row r="810" spans="1:39" s="267" customFormat="1" x14ac:dyDescent="0.2">
      <c r="A810" s="258"/>
      <c r="B810" s="358"/>
      <c r="C810" s="290"/>
      <c r="D810" s="290"/>
      <c r="E810" s="290"/>
      <c r="F810" s="290"/>
      <c r="G810" s="290"/>
      <c r="H810" s="290"/>
      <c r="I810" s="290"/>
      <c r="J810" s="290"/>
      <c r="K810" s="290"/>
      <c r="L810" s="290"/>
      <c r="M810" s="290"/>
      <c r="N810" s="290"/>
      <c r="O810" s="290"/>
      <c r="P810" s="261"/>
      <c r="Q810" s="262"/>
      <c r="R810" s="435"/>
      <c r="S810" s="264"/>
      <c r="T810" s="266"/>
      <c r="U810" s="211"/>
      <c r="V810" s="264"/>
      <c r="W810" s="211"/>
      <c r="X810" s="211"/>
      <c r="Y810" s="264"/>
      <c r="Z810" s="211"/>
      <c r="AA810" s="211"/>
      <c r="AB810" s="264"/>
      <c r="AC810" s="211"/>
      <c r="AD810" s="211"/>
      <c r="AE810" s="264"/>
      <c r="AF810" s="211"/>
      <c r="AG810" s="211"/>
      <c r="AH810" s="264"/>
      <c r="AI810" s="211"/>
      <c r="AJ810" s="211"/>
      <c r="AK810" s="264"/>
      <c r="AL810" s="211"/>
      <c r="AM810" s="211"/>
    </row>
    <row r="811" spans="1:39" s="267" customFormat="1" x14ac:dyDescent="0.2">
      <c r="A811" s="258"/>
      <c r="B811" s="259"/>
      <c r="C811" s="290"/>
      <c r="D811" s="290"/>
      <c r="E811" s="290"/>
      <c r="F811" s="290"/>
      <c r="G811" s="290"/>
      <c r="H811" s="290"/>
      <c r="I811" s="290"/>
      <c r="J811" s="290"/>
      <c r="K811" s="290"/>
      <c r="L811" s="290"/>
      <c r="M811" s="290"/>
      <c r="N811" s="290"/>
      <c r="O811" s="290"/>
      <c r="P811" s="261"/>
      <c r="Q811" s="262"/>
      <c r="R811" s="435"/>
      <c r="S811" s="264"/>
      <c r="T811" s="266"/>
      <c r="U811" s="211"/>
      <c r="V811" s="264"/>
      <c r="W811" s="211"/>
      <c r="X811" s="211"/>
      <c r="Y811" s="264"/>
      <c r="Z811" s="211"/>
      <c r="AA811" s="211"/>
      <c r="AB811" s="264"/>
      <c r="AC811" s="211"/>
      <c r="AD811" s="211"/>
      <c r="AE811" s="264"/>
      <c r="AF811" s="211"/>
      <c r="AG811" s="211"/>
      <c r="AH811" s="264"/>
      <c r="AI811" s="211"/>
      <c r="AJ811" s="211"/>
      <c r="AK811" s="264"/>
      <c r="AL811" s="211"/>
      <c r="AM811" s="211"/>
    </row>
    <row r="812" spans="1:39" s="267" customFormat="1" x14ac:dyDescent="0.2">
      <c r="A812" s="258"/>
      <c r="B812" s="259"/>
      <c r="C812" s="290"/>
      <c r="D812" s="290"/>
      <c r="E812" s="290"/>
      <c r="F812" s="290"/>
      <c r="G812" s="290"/>
      <c r="H812" s="290"/>
      <c r="I812" s="290"/>
      <c r="J812" s="290"/>
      <c r="K812" s="290"/>
      <c r="L812" s="290"/>
      <c r="M812" s="290"/>
      <c r="N812" s="290"/>
      <c r="O812" s="290"/>
      <c r="P812" s="261"/>
      <c r="Q812" s="262"/>
      <c r="R812" s="435"/>
      <c r="S812" s="264"/>
      <c r="T812" s="266"/>
      <c r="U812" s="211"/>
      <c r="V812" s="264"/>
      <c r="W812" s="211"/>
      <c r="X812" s="211"/>
      <c r="Y812" s="264"/>
      <c r="Z812" s="211"/>
      <c r="AA812" s="211"/>
      <c r="AB812" s="264"/>
      <c r="AC812" s="211"/>
      <c r="AD812" s="211"/>
      <c r="AE812" s="264"/>
      <c r="AF812" s="211"/>
      <c r="AG812" s="211"/>
      <c r="AH812" s="264"/>
      <c r="AI812" s="211"/>
      <c r="AJ812" s="211"/>
      <c r="AK812" s="264"/>
      <c r="AL812" s="211"/>
      <c r="AM812" s="211"/>
    </row>
    <row r="813" spans="1:39" s="267" customFormat="1" x14ac:dyDescent="0.2">
      <c r="A813" s="258"/>
      <c r="B813" s="259"/>
      <c r="C813" s="290"/>
      <c r="D813" s="290"/>
      <c r="E813" s="290"/>
      <c r="F813" s="290"/>
      <c r="G813" s="290"/>
      <c r="H813" s="290"/>
      <c r="I813" s="290"/>
      <c r="J813" s="290"/>
      <c r="K813" s="290"/>
      <c r="L813" s="290"/>
      <c r="M813" s="290"/>
      <c r="N813" s="290"/>
      <c r="O813" s="290"/>
      <c r="P813" s="261"/>
      <c r="Q813" s="262"/>
      <c r="R813" s="435"/>
      <c r="S813" s="264"/>
      <c r="T813" s="266"/>
      <c r="U813" s="211"/>
      <c r="V813" s="264"/>
      <c r="W813" s="211"/>
      <c r="X813" s="211"/>
      <c r="Y813" s="264"/>
      <c r="Z813" s="211"/>
      <c r="AA813" s="211"/>
      <c r="AB813" s="264"/>
      <c r="AC813" s="211"/>
      <c r="AD813" s="211"/>
      <c r="AE813" s="264"/>
      <c r="AF813" s="211"/>
      <c r="AG813" s="211"/>
      <c r="AH813" s="264"/>
      <c r="AI813" s="211"/>
      <c r="AJ813" s="211"/>
      <c r="AK813" s="264"/>
      <c r="AL813" s="211"/>
      <c r="AM813" s="211"/>
    </row>
    <row r="814" spans="1:39" s="267" customFormat="1" x14ac:dyDescent="0.2">
      <c r="A814" s="308"/>
      <c r="B814" s="259"/>
      <c r="C814" s="290"/>
      <c r="D814" s="290"/>
      <c r="E814" s="290"/>
      <c r="F814" s="290"/>
      <c r="G814" s="290"/>
      <c r="H814" s="290"/>
      <c r="I814" s="290"/>
      <c r="J814" s="290"/>
      <c r="K814" s="290"/>
      <c r="L814" s="290"/>
      <c r="M814" s="290"/>
      <c r="N814" s="290"/>
      <c r="O814" s="290"/>
      <c r="P814" s="261"/>
      <c r="Q814" s="262"/>
      <c r="R814" s="435"/>
      <c r="S814" s="264"/>
      <c r="T814" s="266"/>
      <c r="U814" s="211"/>
      <c r="V814" s="264"/>
      <c r="W814" s="211"/>
      <c r="X814" s="211"/>
      <c r="Y814" s="264"/>
      <c r="Z814" s="211"/>
      <c r="AA814" s="211"/>
      <c r="AB814" s="264"/>
      <c r="AC814" s="211"/>
      <c r="AD814" s="211"/>
      <c r="AE814" s="264"/>
      <c r="AF814" s="211"/>
      <c r="AG814" s="211"/>
      <c r="AH814" s="264"/>
      <c r="AI814" s="211"/>
      <c r="AJ814" s="211"/>
      <c r="AK814" s="264"/>
      <c r="AL814" s="211"/>
      <c r="AM814" s="211"/>
    </row>
    <row r="815" spans="1:39" s="267" customFormat="1" x14ac:dyDescent="0.2">
      <c r="A815" s="308"/>
      <c r="B815" s="259"/>
      <c r="C815" s="290"/>
      <c r="D815" s="290"/>
      <c r="E815" s="290"/>
      <c r="F815" s="290"/>
      <c r="G815" s="290"/>
      <c r="H815" s="290"/>
      <c r="I815" s="290"/>
      <c r="J815" s="290"/>
      <c r="K815" s="290"/>
      <c r="L815" s="290"/>
      <c r="M815" s="290"/>
      <c r="N815" s="290"/>
      <c r="O815" s="290"/>
      <c r="P815" s="261"/>
      <c r="Q815" s="262"/>
      <c r="R815" s="435"/>
      <c r="S815" s="264"/>
      <c r="T815" s="266"/>
      <c r="U815" s="211"/>
      <c r="V815" s="264"/>
      <c r="W815" s="211"/>
      <c r="X815" s="211"/>
      <c r="Y815" s="264"/>
      <c r="Z815" s="211"/>
      <c r="AA815" s="211"/>
      <c r="AB815" s="264"/>
      <c r="AC815" s="211"/>
      <c r="AD815" s="211"/>
      <c r="AE815" s="264"/>
      <c r="AF815" s="211"/>
      <c r="AG815" s="211"/>
      <c r="AH815" s="264"/>
      <c r="AI815" s="211"/>
      <c r="AJ815" s="211"/>
      <c r="AK815" s="264"/>
      <c r="AL815" s="211"/>
      <c r="AM815" s="211"/>
    </row>
    <row r="816" spans="1:39" s="267" customFormat="1" x14ac:dyDescent="0.2">
      <c r="A816" s="375"/>
      <c r="B816" s="376"/>
      <c r="C816" s="377"/>
      <c r="D816" s="377"/>
      <c r="E816" s="377"/>
      <c r="F816" s="377"/>
      <c r="G816" s="377"/>
      <c r="H816" s="377"/>
      <c r="I816" s="377"/>
      <c r="J816" s="377"/>
      <c r="K816" s="377"/>
      <c r="L816" s="377"/>
      <c r="M816" s="377"/>
      <c r="N816" s="377"/>
      <c r="O816" s="377"/>
      <c r="P816" s="377"/>
      <c r="Q816" s="378"/>
      <c r="R816" s="441"/>
      <c r="S816" s="264"/>
      <c r="T816" s="273"/>
      <c r="U816" s="274"/>
      <c r="V816" s="264"/>
      <c r="W816" s="273"/>
      <c r="X816" s="273"/>
      <c r="Y816" s="264"/>
      <c r="Z816" s="273"/>
      <c r="AA816" s="273"/>
      <c r="AB816" s="264"/>
      <c r="AC816" s="273"/>
      <c r="AD816" s="273"/>
      <c r="AE816" s="264"/>
      <c r="AF816" s="273"/>
      <c r="AG816" s="273"/>
      <c r="AH816" s="264"/>
      <c r="AI816" s="273"/>
      <c r="AJ816" s="273"/>
      <c r="AK816" s="264"/>
      <c r="AL816" s="273"/>
      <c r="AM816" s="273"/>
    </row>
    <row r="817" spans="1:39" s="267" customFormat="1" x14ac:dyDescent="0.2">
      <c r="A817" s="380"/>
      <c r="B817" s="320"/>
      <c r="C817" s="430"/>
      <c r="D817" s="309"/>
      <c r="E817" s="309"/>
      <c r="F817" s="309"/>
      <c r="G817" s="309"/>
      <c r="H817" s="309"/>
      <c r="I817" s="309"/>
      <c r="J817" s="309"/>
      <c r="K817" s="309"/>
      <c r="L817" s="309"/>
      <c r="M817" s="309"/>
      <c r="N817" s="309"/>
      <c r="O817" s="309"/>
      <c r="P817" s="171" t="s">
        <v>1</v>
      </c>
      <c r="Q817" s="381" t="s">
        <v>0</v>
      </c>
      <c r="R817" s="435"/>
      <c r="S817" s="276"/>
      <c r="T817" s="266"/>
      <c r="U817" s="277"/>
      <c r="V817" s="264"/>
      <c r="W817" s="266"/>
      <c r="X817" s="266"/>
      <c r="Y817" s="264"/>
      <c r="Z817" s="266"/>
      <c r="AA817" s="266"/>
      <c r="AB817" s="264"/>
      <c r="AC817" s="266"/>
      <c r="AD817" s="266"/>
      <c r="AE817" s="264"/>
      <c r="AF817" s="266"/>
      <c r="AG817" s="266"/>
      <c r="AH817" s="264"/>
      <c r="AI817" s="266"/>
      <c r="AJ817" s="266"/>
      <c r="AK817" s="264"/>
      <c r="AL817" s="266"/>
      <c r="AM817" s="266"/>
    </row>
    <row r="818" spans="1:39" s="267" customFormat="1" x14ac:dyDescent="0.2">
      <c r="A818" s="380"/>
      <c r="B818" s="320"/>
      <c r="C818" s="309"/>
      <c r="D818" s="309"/>
      <c r="E818" s="309"/>
      <c r="F818" s="309"/>
      <c r="G818" s="309"/>
      <c r="H818" s="309"/>
      <c r="I818" s="309"/>
      <c r="J818" s="309"/>
      <c r="K818" s="309"/>
      <c r="L818" s="309"/>
      <c r="M818" s="309"/>
      <c r="N818" s="309"/>
      <c r="O818" s="309"/>
      <c r="P818" s="309"/>
      <c r="Q818" s="294"/>
      <c r="R818" s="458"/>
      <c r="S818" s="264"/>
      <c r="T818" s="278"/>
      <c r="U818" s="279"/>
      <c r="V818" s="264"/>
      <c r="W818" s="278"/>
      <c r="X818" s="278"/>
      <c r="Y818" s="264"/>
      <c r="Z818" s="278"/>
      <c r="AA818" s="278"/>
      <c r="AB818" s="264"/>
      <c r="AC818" s="278"/>
      <c r="AD818" s="278"/>
      <c r="AE818" s="264"/>
      <c r="AF818" s="278"/>
      <c r="AG818" s="278"/>
      <c r="AH818" s="264"/>
      <c r="AI818" s="278"/>
      <c r="AJ818" s="278"/>
      <c r="AK818" s="264"/>
      <c r="AL818" s="278"/>
      <c r="AM818" s="278"/>
    </row>
    <row r="819" spans="1:39" s="267" customFormat="1" x14ac:dyDescent="0.2">
      <c r="A819" s="308"/>
      <c r="B819" s="259"/>
      <c r="C819" s="290"/>
      <c r="D819" s="290"/>
      <c r="E819" s="290"/>
      <c r="F819" s="290"/>
      <c r="G819" s="290"/>
      <c r="H819" s="290"/>
      <c r="I819" s="290"/>
      <c r="J819" s="290"/>
      <c r="K819" s="290"/>
      <c r="L819" s="290"/>
      <c r="M819" s="290"/>
      <c r="N819" s="290"/>
      <c r="O819" s="290"/>
      <c r="P819" s="261"/>
      <c r="Q819" s="262"/>
      <c r="R819" s="435"/>
      <c r="S819" s="264"/>
      <c r="T819" s="266"/>
      <c r="U819" s="211"/>
      <c r="V819" s="264"/>
      <c r="W819" s="211"/>
      <c r="X819" s="211"/>
      <c r="Y819" s="264"/>
      <c r="Z819" s="211"/>
      <c r="AA819" s="211"/>
      <c r="AB819" s="264"/>
      <c r="AC819" s="211"/>
      <c r="AD819" s="211"/>
      <c r="AE819" s="264"/>
      <c r="AF819" s="211"/>
      <c r="AG819" s="211"/>
      <c r="AH819" s="264"/>
      <c r="AI819" s="211"/>
      <c r="AJ819" s="211"/>
      <c r="AK819" s="264"/>
      <c r="AL819" s="211"/>
      <c r="AM819" s="211"/>
    </row>
    <row r="820" spans="1:39" s="267" customFormat="1" x14ac:dyDescent="0.2">
      <c r="A820" s="308"/>
      <c r="B820" s="265" t="s">
        <v>159</v>
      </c>
      <c r="C820" s="290"/>
      <c r="D820" s="290"/>
      <c r="E820" s="290"/>
      <c r="F820" s="290"/>
      <c r="G820" s="290"/>
      <c r="H820" s="290"/>
      <c r="I820" s="290"/>
      <c r="J820" s="290"/>
      <c r="K820" s="290"/>
      <c r="L820" s="290"/>
      <c r="M820" s="290"/>
      <c r="N820" s="290"/>
      <c r="O820" s="290"/>
      <c r="P820" s="261"/>
      <c r="Q820" s="262"/>
      <c r="R820" s="435"/>
      <c r="S820" s="264"/>
      <c r="T820" s="266"/>
      <c r="U820" s="211"/>
      <c r="V820" s="264"/>
      <c r="W820" s="211"/>
      <c r="X820" s="211"/>
      <c r="Y820" s="264"/>
      <c r="Z820" s="211"/>
      <c r="AA820" s="211"/>
      <c r="AB820" s="264"/>
      <c r="AC820" s="211"/>
      <c r="AD820" s="211"/>
      <c r="AE820" s="264"/>
      <c r="AF820" s="211"/>
      <c r="AG820" s="211"/>
      <c r="AH820" s="264"/>
      <c r="AI820" s="211"/>
      <c r="AJ820" s="211"/>
      <c r="AK820" s="264"/>
      <c r="AL820" s="211"/>
      <c r="AM820" s="211"/>
    </row>
    <row r="821" spans="1:39" s="267" customFormat="1" x14ac:dyDescent="0.2">
      <c r="A821" s="308"/>
      <c r="B821" s="356"/>
      <c r="C821" s="290"/>
      <c r="D821" s="290"/>
      <c r="E821" s="290"/>
      <c r="F821" s="290"/>
      <c r="G821" s="290"/>
      <c r="H821" s="290"/>
      <c r="I821" s="290"/>
      <c r="J821" s="290"/>
      <c r="K821" s="290"/>
      <c r="L821" s="290"/>
      <c r="M821" s="290"/>
      <c r="N821" s="290"/>
      <c r="O821" s="290"/>
      <c r="P821" s="261"/>
      <c r="Q821" s="262"/>
      <c r="R821" s="435"/>
      <c r="S821" s="264"/>
      <c r="T821" s="266"/>
      <c r="U821" s="211"/>
      <c r="V821" s="264"/>
      <c r="W821" s="211"/>
      <c r="X821" s="211"/>
      <c r="Y821" s="264"/>
      <c r="Z821" s="211"/>
      <c r="AA821" s="211"/>
      <c r="AB821" s="264"/>
      <c r="AC821" s="211"/>
      <c r="AD821" s="211"/>
      <c r="AE821" s="264"/>
      <c r="AF821" s="211"/>
      <c r="AG821" s="211"/>
      <c r="AH821" s="264"/>
      <c r="AI821" s="211"/>
      <c r="AJ821" s="211"/>
      <c r="AK821" s="264"/>
      <c r="AL821" s="211"/>
      <c r="AM821" s="211"/>
    </row>
    <row r="822" spans="1:39" s="267" customFormat="1" x14ac:dyDescent="0.2">
      <c r="A822" s="258"/>
      <c r="B822" s="265" t="s">
        <v>212</v>
      </c>
      <c r="C822" s="290"/>
      <c r="D822" s="290"/>
      <c r="E822" s="290"/>
      <c r="F822" s="290"/>
      <c r="G822" s="290"/>
      <c r="H822" s="290"/>
      <c r="I822" s="290"/>
      <c r="J822" s="290"/>
      <c r="K822" s="290"/>
      <c r="L822" s="290"/>
      <c r="M822" s="290"/>
      <c r="N822" s="290"/>
      <c r="O822" s="290"/>
      <c r="P822" s="261"/>
      <c r="Q822" s="262"/>
      <c r="R822" s="435"/>
      <c r="S822" s="264"/>
      <c r="T822" s="266"/>
      <c r="U822" s="211"/>
      <c r="V822" s="264"/>
      <c r="W822" s="211"/>
      <c r="X822" s="211"/>
      <c r="Y822" s="264"/>
      <c r="Z822" s="211"/>
      <c r="AA822" s="211"/>
      <c r="AB822" s="264"/>
      <c r="AC822" s="211"/>
      <c r="AD822" s="211"/>
      <c r="AE822" s="264"/>
      <c r="AF822" s="211"/>
      <c r="AG822" s="211"/>
      <c r="AH822" s="264"/>
      <c r="AI822" s="211"/>
      <c r="AJ822" s="211"/>
      <c r="AK822" s="264"/>
      <c r="AL822" s="211"/>
      <c r="AM822" s="211"/>
    </row>
    <row r="823" spans="1:39" s="267" customFormat="1" x14ac:dyDescent="0.2">
      <c r="A823" s="258"/>
      <c r="B823" s="293"/>
      <c r="C823" s="290"/>
      <c r="D823" s="290"/>
      <c r="E823" s="290"/>
      <c r="F823" s="290"/>
      <c r="G823" s="290"/>
      <c r="H823" s="290"/>
      <c r="I823" s="290"/>
      <c r="J823" s="290"/>
      <c r="K823" s="290"/>
      <c r="L823" s="290"/>
      <c r="M823" s="290"/>
      <c r="N823" s="290"/>
      <c r="O823" s="290"/>
      <c r="P823" s="261"/>
      <c r="Q823" s="262"/>
      <c r="R823" s="435"/>
      <c r="S823" s="264"/>
      <c r="T823" s="266"/>
      <c r="U823" s="211"/>
      <c r="V823" s="264"/>
      <c r="W823" s="211"/>
      <c r="X823" s="211"/>
      <c r="Y823" s="264"/>
      <c r="Z823" s="211"/>
      <c r="AA823" s="211"/>
      <c r="AB823" s="264"/>
      <c r="AC823" s="211"/>
      <c r="AD823" s="211"/>
      <c r="AE823" s="264"/>
      <c r="AF823" s="211"/>
      <c r="AG823" s="211"/>
      <c r="AH823" s="264"/>
      <c r="AI823" s="211"/>
      <c r="AJ823" s="211"/>
      <c r="AK823" s="264"/>
      <c r="AL823" s="211"/>
      <c r="AM823" s="211"/>
    </row>
    <row r="824" spans="1:39" s="267" customFormat="1" ht="57" x14ac:dyDescent="0.2">
      <c r="A824" s="258"/>
      <c r="B824" s="265" t="s">
        <v>805</v>
      </c>
      <c r="C824" s="290"/>
      <c r="D824" s="290"/>
      <c r="E824" s="290"/>
      <c r="F824" s="290"/>
      <c r="G824" s="290"/>
      <c r="H824" s="290"/>
      <c r="I824" s="290"/>
      <c r="J824" s="290"/>
      <c r="K824" s="290"/>
      <c r="L824" s="290"/>
      <c r="M824" s="290"/>
      <c r="N824" s="290"/>
      <c r="O824" s="290"/>
      <c r="P824" s="153"/>
      <c r="Q824" s="262"/>
      <c r="R824" s="435"/>
      <c r="S824" s="264"/>
      <c r="T824" s="266"/>
      <c r="U824" s="266"/>
      <c r="V824" s="264"/>
      <c r="W824" s="266"/>
      <c r="X824" s="266"/>
      <c r="Y824" s="264"/>
      <c r="Z824" s="266"/>
      <c r="AA824" s="266"/>
      <c r="AB824" s="264"/>
      <c r="AC824" s="266"/>
      <c r="AD824" s="266"/>
      <c r="AE824" s="264"/>
      <c r="AF824" s="266"/>
      <c r="AG824" s="266"/>
      <c r="AH824" s="264"/>
      <c r="AI824" s="266"/>
      <c r="AJ824" s="266"/>
      <c r="AK824" s="264"/>
      <c r="AL824" s="266"/>
      <c r="AM824" s="266"/>
    </row>
    <row r="825" spans="1:39" s="267" customFormat="1" x14ac:dyDescent="0.2">
      <c r="A825" s="258"/>
      <c r="B825" s="265"/>
      <c r="C825" s="290"/>
      <c r="D825" s="290"/>
      <c r="E825" s="290"/>
      <c r="F825" s="290"/>
      <c r="G825" s="290"/>
      <c r="H825" s="290"/>
      <c r="I825" s="290"/>
      <c r="J825" s="290"/>
      <c r="K825" s="290"/>
      <c r="L825" s="290"/>
      <c r="M825" s="290"/>
      <c r="N825" s="290"/>
      <c r="O825" s="290"/>
      <c r="P825" s="153"/>
      <c r="Q825" s="262"/>
      <c r="R825" s="435"/>
      <c r="S825" s="264"/>
      <c r="T825" s="266"/>
      <c r="U825" s="266"/>
      <c r="V825" s="264"/>
      <c r="W825" s="266"/>
      <c r="X825" s="266"/>
      <c r="Y825" s="264"/>
      <c r="Z825" s="266"/>
      <c r="AA825" s="266"/>
      <c r="AB825" s="264"/>
      <c r="AC825" s="266"/>
      <c r="AD825" s="266"/>
      <c r="AE825" s="264"/>
      <c r="AF825" s="266"/>
      <c r="AG825" s="266"/>
      <c r="AH825" s="264"/>
      <c r="AI825" s="266"/>
      <c r="AJ825" s="266"/>
      <c r="AK825" s="264"/>
      <c r="AL825" s="266"/>
      <c r="AM825" s="266"/>
    </row>
    <row r="826" spans="1:39" s="267" customFormat="1" ht="28.5" x14ac:dyDescent="0.2">
      <c r="A826" s="258" t="s">
        <v>66</v>
      </c>
      <c r="B826" s="206" t="s">
        <v>806</v>
      </c>
      <c r="C826" s="290">
        <f t="shared" ref="C826:C828" si="334">(W826+X826)*$C$3</f>
        <v>2</v>
      </c>
      <c r="D826" s="290">
        <f>C826*$Q826</f>
        <v>0</v>
      </c>
      <c r="E826" s="290">
        <f t="shared" ref="E826:E828" si="335">(Z826+AA826)*$E$3</f>
        <v>2</v>
      </c>
      <c r="F826" s="290">
        <f>E826*$Q826</f>
        <v>0</v>
      </c>
      <c r="G826" s="290">
        <f t="shared" ref="G826:G828" si="336">(AC826+AD826)*$G$3</f>
        <v>10</v>
      </c>
      <c r="H826" s="290">
        <f>G826*$Q826</f>
        <v>0</v>
      </c>
      <c r="I826" s="290">
        <f t="shared" ref="I826:I828" si="337">(AF826+AG826)*$I$3</f>
        <v>2</v>
      </c>
      <c r="J826" s="290">
        <f>I826*$Q826</f>
        <v>0</v>
      </c>
      <c r="K826" s="290">
        <f t="shared" ref="K826:K828" si="338">(AI826+AJ826)*$K$3</f>
        <v>6</v>
      </c>
      <c r="L826" s="290">
        <f>K826*$Q826</f>
        <v>0</v>
      </c>
      <c r="M826" s="290">
        <f t="shared" ref="M826:M828" si="339">(AL826+AM826)*$M$3</f>
        <v>2</v>
      </c>
      <c r="N826" s="290">
        <f>M826*$Q826</f>
        <v>0</v>
      </c>
      <c r="O826" s="290">
        <f t="shared" ref="O826:O828" si="340">C826+E826+G826+I826+K826+M826</f>
        <v>24</v>
      </c>
      <c r="P826" s="153" t="s">
        <v>269</v>
      </c>
      <c r="Q826" s="262"/>
      <c r="R826" s="435"/>
      <c r="S826" s="264"/>
      <c r="T826" s="266">
        <v>1</v>
      </c>
      <c r="U826" s="266"/>
      <c r="V826" s="264"/>
      <c r="W826" s="266">
        <f t="shared" ref="W826:W828" si="341">T826*$W$3</f>
        <v>2</v>
      </c>
      <c r="X826" s="266">
        <f t="shared" ref="X826:X828" si="342">U826*$X$3</f>
        <v>0</v>
      </c>
      <c r="Y826" s="264"/>
      <c r="Z826" s="266">
        <f t="shared" ref="Z826:Z828" si="343">W826</f>
        <v>2</v>
      </c>
      <c r="AA826" s="266">
        <f t="shared" ref="AA826:AA828" si="344">U826*$AA$3</f>
        <v>0</v>
      </c>
      <c r="AB826" s="264"/>
      <c r="AC826" s="266">
        <f t="shared" ref="AC826:AC828" si="345">W826</f>
        <v>2</v>
      </c>
      <c r="AD826" s="266">
        <f t="shared" ref="AD826:AD828" si="346">U826*$AD$3</f>
        <v>0</v>
      </c>
      <c r="AE826" s="264"/>
      <c r="AF826" s="266">
        <f t="shared" ref="AF826:AF828" si="347">W826</f>
        <v>2</v>
      </c>
      <c r="AG826" s="266">
        <f t="shared" ref="AG826:AG828" si="348">U826*$AG$3</f>
        <v>0</v>
      </c>
      <c r="AH826" s="264"/>
      <c r="AI826" s="266">
        <f t="shared" ref="AI826:AI828" si="349">W826</f>
        <v>2</v>
      </c>
      <c r="AJ826" s="266">
        <f t="shared" ref="AJ826:AJ828" si="350">U826*$AJ$3</f>
        <v>0</v>
      </c>
      <c r="AK826" s="264"/>
      <c r="AL826" s="266">
        <f t="shared" ref="AL826:AL828" si="351">W826</f>
        <v>2</v>
      </c>
      <c r="AM826" s="266">
        <f t="shared" ref="AM826:AM828" si="352">U826*$AM$3</f>
        <v>0</v>
      </c>
    </row>
    <row r="827" spans="1:39" s="267" customFormat="1" x14ac:dyDescent="0.2">
      <c r="A827" s="258"/>
      <c r="B827" s="206"/>
      <c r="C827" s="290"/>
      <c r="D827" s="290"/>
      <c r="E827" s="290"/>
      <c r="F827" s="290"/>
      <c r="G827" s="290"/>
      <c r="H827" s="290"/>
      <c r="I827" s="290"/>
      <c r="J827" s="290"/>
      <c r="K827" s="290"/>
      <c r="L827" s="290"/>
      <c r="M827" s="290"/>
      <c r="N827" s="290"/>
      <c r="O827" s="290"/>
      <c r="P827" s="153"/>
      <c r="Q827" s="262"/>
      <c r="R827" s="435"/>
      <c r="S827" s="264"/>
      <c r="T827" s="266"/>
      <c r="U827" s="266"/>
      <c r="V827" s="264"/>
      <c r="W827" s="266"/>
      <c r="X827" s="266"/>
      <c r="Y827" s="264"/>
      <c r="Z827" s="266"/>
      <c r="AA827" s="266"/>
      <c r="AB827" s="264"/>
      <c r="AC827" s="266"/>
      <c r="AD827" s="266"/>
      <c r="AE827" s="264"/>
      <c r="AF827" s="266"/>
      <c r="AG827" s="266"/>
      <c r="AH827" s="264"/>
      <c r="AI827" s="266"/>
      <c r="AJ827" s="266"/>
      <c r="AK827" s="264"/>
      <c r="AL827" s="266"/>
      <c r="AM827" s="266"/>
    </row>
    <row r="828" spans="1:39" s="267" customFormat="1" ht="28.5" x14ac:dyDescent="0.2">
      <c r="A828" s="258" t="s">
        <v>67</v>
      </c>
      <c r="B828" s="224" t="s">
        <v>940</v>
      </c>
      <c r="C828" s="290">
        <f t="shared" si="334"/>
        <v>2</v>
      </c>
      <c r="D828" s="290">
        <f>C828*$Q828</f>
        <v>0</v>
      </c>
      <c r="E828" s="290">
        <f t="shared" si="335"/>
        <v>3</v>
      </c>
      <c r="F828" s="290">
        <f>E828*$Q828</f>
        <v>0</v>
      </c>
      <c r="G828" s="290">
        <f t="shared" si="336"/>
        <v>20</v>
      </c>
      <c r="H828" s="290">
        <f>G828*$Q828</f>
        <v>0</v>
      </c>
      <c r="I828" s="290">
        <f t="shared" si="337"/>
        <v>5</v>
      </c>
      <c r="J828" s="290">
        <f>I828*$Q828</f>
        <v>0</v>
      </c>
      <c r="K828" s="290">
        <f t="shared" si="338"/>
        <v>18</v>
      </c>
      <c r="L828" s="290">
        <f>K828*$Q828</f>
        <v>0</v>
      </c>
      <c r="M828" s="290">
        <f t="shared" si="339"/>
        <v>7</v>
      </c>
      <c r="N828" s="290">
        <f>M828*$Q828</f>
        <v>0</v>
      </c>
      <c r="O828" s="290">
        <f t="shared" si="340"/>
        <v>55</v>
      </c>
      <c r="P828" s="153" t="s">
        <v>269</v>
      </c>
      <c r="Q828" s="262"/>
      <c r="R828" s="435"/>
      <c r="S828" s="264"/>
      <c r="T828" s="266"/>
      <c r="U828" s="266">
        <v>1</v>
      </c>
      <c r="V828" s="264"/>
      <c r="W828" s="266">
        <f t="shared" si="341"/>
        <v>0</v>
      </c>
      <c r="X828" s="266">
        <f t="shared" si="342"/>
        <v>2</v>
      </c>
      <c r="Y828" s="264"/>
      <c r="Z828" s="266">
        <f t="shared" si="343"/>
        <v>0</v>
      </c>
      <c r="AA828" s="266">
        <f t="shared" si="344"/>
        <v>3</v>
      </c>
      <c r="AB828" s="264"/>
      <c r="AC828" s="266">
        <f t="shared" si="345"/>
        <v>0</v>
      </c>
      <c r="AD828" s="266">
        <f t="shared" si="346"/>
        <v>4</v>
      </c>
      <c r="AE828" s="264"/>
      <c r="AF828" s="266">
        <f t="shared" si="347"/>
        <v>0</v>
      </c>
      <c r="AG828" s="266">
        <f t="shared" si="348"/>
        <v>5</v>
      </c>
      <c r="AH828" s="264"/>
      <c r="AI828" s="266">
        <f t="shared" si="349"/>
        <v>0</v>
      </c>
      <c r="AJ828" s="266">
        <f t="shared" si="350"/>
        <v>6</v>
      </c>
      <c r="AK828" s="264"/>
      <c r="AL828" s="266">
        <f t="shared" si="351"/>
        <v>0</v>
      </c>
      <c r="AM828" s="266">
        <f t="shared" si="352"/>
        <v>7</v>
      </c>
    </row>
    <row r="829" spans="1:39" s="267" customFormat="1" x14ac:dyDescent="0.2">
      <c r="A829" s="258"/>
      <c r="B829" s="206"/>
      <c r="C829" s="290"/>
      <c r="D829" s="290"/>
      <c r="E829" s="290"/>
      <c r="F829" s="290"/>
      <c r="G829" s="290"/>
      <c r="H829" s="290"/>
      <c r="I829" s="290"/>
      <c r="J829" s="290"/>
      <c r="K829" s="290"/>
      <c r="L829" s="290"/>
      <c r="M829" s="290"/>
      <c r="N829" s="290"/>
      <c r="O829" s="290"/>
      <c r="P829" s="153"/>
      <c r="Q829" s="262"/>
      <c r="R829" s="435"/>
      <c r="S829" s="264"/>
      <c r="T829" s="266"/>
      <c r="U829" s="266"/>
      <c r="V829" s="264"/>
      <c r="W829" s="266"/>
      <c r="X829" s="266"/>
      <c r="Y829" s="264"/>
      <c r="Z829" s="266"/>
      <c r="AA829" s="266"/>
      <c r="AB829" s="264"/>
      <c r="AC829" s="266"/>
      <c r="AD829" s="266"/>
      <c r="AE829" s="264"/>
      <c r="AF829" s="266"/>
      <c r="AG829" s="266"/>
      <c r="AH829" s="264"/>
      <c r="AI829" s="266"/>
      <c r="AJ829" s="266"/>
      <c r="AK829" s="264"/>
      <c r="AL829" s="266"/>
      <c r="AM829" s="266"/>
    </row>
    <row r="830" spans="1:39" s="267" customFormat="1" ht="42.75" x14ac:dyDescent="0.2">
      <c r="A830" s="258"/>
      <c r="B830" s="265" t="s">
        <v>807</v>
      </c>
      <c r="C830" s="290"/>
      <c r="D830" s="290"/>
      <c r="E830" s="290"/>
      <c r="F830" s="290"/>
      <c r="G830" s="290"/>
      <c r="H830" s="290"/>
      <c r="I830" s="290"/>
      <c r="J830" s="290"/>
      <c r="K830" s="290"/>
      <c r="L830" s="290"/>
      <c r="M830" s="290"/>
      <c r="N830" s="290"/>
      <c r="O830" s="290"/>
      <c r="P830" s="153"/>
      <c r="Q830" s="262"/>
      <c r="R830" s="435"/>
      <c r="S830" s="264"/>
      <c r="T830" s="266"/>
      <c r="U830" s="266"/>
      <c r="V830" s="264"/>
      <c r="W830" s="266"/>
      <c r="X830" s="266"/>
      <c r="Y830" s="264"/>
      <c r="Z830" s="266"/>
      <c r="AA830" s="266"/>
      <c r="AB830" s="264"/>
      <c r="AC830" s="266"/>
      <c r="AD830" s="266"/>
      <c r="AE830" s="264"/>
      <c r="AF830" s="266"/>
      <c r="AG830" s="266"/>
      <c r="AH830" s="264"/>
      <c r="AI830" s="266"/>
      <c r="AJ830" s="266"/>
      <c r="AK830" s="264"/>
      <c r="AL830" s="266"/>
      <c r="AM830" s="266"/>
    </row>
    <row r="831" spans="1:39" s="267" customFormat="1" x14ac:dyDescent="0.2">
      <c r="A831" s="258"/>
      <c r="B831" s="265"/>
      <c r="C831" s="290"/>
      <c r="D831" s="290"/>
      <c r="E831" s="290"/>
      <c r="F831" s="290"/>
      <c r="G831" s="290"/>
      <c r="H831" s="290"/>
      <c r="I831" s="290"/>
      <c r="J831" s="290"/>
      <c r="K831" s="290"/>
      <c r="L831" s="290"/>
      <c r="M831" s="290"/>
      <c r="N831" s="290"/>
      <c r="O831" s="290"/>
      <c r="P831" s="153"/>
      <c r="Q831" s="262"/>
      <c r="R831" s="435"/>
      <c r="S831" s="264"/>
      <c r="T831" s="266"/>
      <c r="U831" s="266"/>
      <c r="V831" s="264"/>
      <c r="W831" s="266"/>
      <c r="X831" s="266"/>
      <c r="Y831" s="264"/>
      <c r="Z831" s="266"/>
      <c r="AA831" s="266"/>
      <c r="AB831" s="264"/>
      <c r="AC831" s="266"/>
      <c r="AD831" s="266"/>
      <c r="AE831" s="264"/>
      <c r="AF831" s="266"/>
      <c r="AG831" s="266"/>
      <c r="AH831" s="264"/>
      <c r="AI831" s="266"/>
      <c r="AJ831" s="266"/>
      <c r="AK831" s="264"/>
      <c r="AL831" s="266"/>
      <c r="AM831" s="266"/>
    </row>
    <row r="832" spans="1:39" s="267" customFormat="1" ht="28.5" x14ac:dyDescent="0.2">
      <c r="A832" s="258" t="s">
        <v>68</v>
      </c>
      <c r="B832" s="206" t="s">
        <v>808</v>
      </c>
      <c r="C832" s="290">
        <f>(W832+X832)*$C$3</f>
        <v>2</v>
      </c>
      <c r="D832" s="290">
        <f>C832*$Q832</f>
        <v>0</v>
      </c>
      <c r="E832" s="290">
        <f>(Z832+AA832)*$E$3</f>
        <v>2</v>
      </c>
      <c r="F832" s="290">
        <f>E832*$Q832</f>
        <v>0</v>
      </c>
      <c r="G832" s="290">
        <f>(AC832+AD832)*$G$3</f>
        <v>10</v>
      </c>
      <c r="H832" s="290">
        <f>G832*$Q832</f>
        <v>0</v>
      </c>
      <c r="I832" s="290">
        <f>(AF832+AG832)*$I$3</f>
        <v>2</v>
      </c>
      <c r="J832" s="290">
        <f>I832*$Q832</f>
        <v>0</v>
      </c>
      <c r="K832" s="290">
        <f>(AI832+AJ832)*$K$3</f>
        <v>6</v>
      </c>
      <c r="L832" s="290">
        <f>K832*$Q832</f>
        <v>0</v>
      </c>
      <c r="M832" s="290">
        <f>(AL832+AM832)*$M$3</f>
        <v>2</v>
      </c>
      <c r="N832" s="290">
        <f>M832*$Q832</f>
        <v>0</v>
      </c>
      <c r="O832" s="290">
        <f>C832+E832+G832+I832+K832+M832</f>
        <v>24</v>
      </c>
      <c r="P832" s="153" t="s">
        <v>269</v>
      </c>
      <c r="Q832" s="262"/>
      <c r="R832" s="435"/>
      <c r="S832" s="264"/>
      <c r="T832" s="266">
        <v>1</v>
      </c>
      <c r="U832" s="266"/>
      <c r="V832" s="264"/>
      <c r="W832" s="266">
        <f>T832*$W$3</f>
        <v>2</v>
      </c>
      <c r="X832" s="266">
        <f>U832*$X$3</f>
        <v>0</v>
      </c>
      <c r="Y832" s="264"/>
      <c r="Z832" s="266">
        <f>W832</f>
        <v>2</v>
      </c>
      <c r="AA832" s="266">
        <f>U832*$AA$3</f>
        <v>0</v>
      </c>
      <c r="AB832" s="264"/>
      <c r="AC832" s="266">
        <f>W832</f>
        <v>2</v>
      </c>
      <c r="AD832" s="266">
        <f>U832*$AD$3</f>
        <v>0</v>
      </c>
      <c r="AE832" s="264"/>
      <c r="AF832" s="266">
        <f>W832</f>
        <v>2</v>
      </c>
      <c r="AG832" s="266">
        <f>U832*$AG$3</f>
        <v>0</v>
      </c>
      <c r="AH832" s="264"/>
      <c r="AI832" s="266">
        <f>W832</f>
        <v>2</v>
      </c>
      <c r="AJ832" s="266">
        <f>U832*$AJ$3</f>
        <v>0</v>
      </c>
      <c r="AK832" s="264"/>
      <c r="AL832" s="266">
        <f>W832</f>
        <v>2</v>
      </c>
      <c r="AM832" s="266">
        <f>U832*$AM$3</f>
        <v>0</v>
      </c>
    </row>
    <row r="833" spans="1:39" s="267" customFormat="1" x14ac:dyDescent="0.2">
      <c r="A833" s="258"/>
      <c r="B833" s="206"/>
      <c r="C833" s="290"/>
      <c r="D833" s="290"/>
      <c r="E833" s="290"/>
      <c r="F833" s="290"/>
      <c r="G833" s="290"/>
      <c r="H833" s="290"/>
      <c r="I833" s="290"/>
      <c r="J833" s="290"/>
      <c r="K833" s="290"/>
      <c r="L833" s="290"/>
      <c r="M833" s="290"/>
      <c r="N833" s="290"/>
      <c r="O833" s="290"/>
      <c r="P833" s="153"/>
      <c r="Q833" s="262"/>
      <c r="R833" s="435"/>
      <c r="S833" s="264"/>
      <c r="T833" s="266"/>
      <c r="U833" s="266"/>
      <c r="V833" s="264"/>
      <c r="W833" s="266"/>
      <c r="X833" s="266"/>
      <c r="Y833" s="264"/>
      <c r="Z833" s="266"/>
      <c r="AA833" s="266"/>
      <c r="AB833" s="264"/>
      <c r="AC833" s="266"/>
      <c r="AD833" s="266"/>
      <c r="AE833" s="264"/>
      <c r="AF833" s="266"/>
      <c r="AG833" s="266"/>
      <c r="AH833" s="264"/>
      <c r="AI833" s="266"/>
      <c r="AJ833" s="266"/>
      <c r="AK833" s="264"/>
      <c r="AL833" s="266"/>
      <c r="AM833" s="266"/>
    </row>
    <row r="834" spans="1:39" s="267" customFormat="1" ht="28.5" x14ac:dyDescent="0.2">
      <c r="A834" s="258" t="s">
        <v>69</v>
      </c>
      <c r="B834" s="206" t="s">
        <v>809</v>
      </c>
      <c r="C834" s="290">
        <f>(W834+X834)*$C$3</f>
        <v>2</v>
      </c>
      <c r="D834" s="290">
        <f>C834*$Q834</f>
        <v>0</v>
      </c>
      <c r="E834" s="290">
        <f>(Z834+AA834)*$E$3</f>
        <v>3</v>
      </c>
      <c r="F834" s="290">
        <f>E834*$Q834</f>
        <v>0</v>
      </c>
      <c r="G834" s="290">
        <f>(AC834+AD834)*$G$3</f>
        <v>20</v>
      </c>
      <c r="H834" s="290">
        <f>G834*$Q834</f>
        <v>0</v>
      </c>
      <c r="I834" s="290">
        <f>(AF834+AG834)*$I$3</f>
        <v>5</v>
      </c>
      <c r="J834" s="290">
        <f>I834*$Q834</f>
        <v>0</v>
      </c>
      <c r="K834" s="290">
        <f>(AI834+AJ834)*$K$3</f>
        <v>18</v>
      </c>
      <c r="L834" s="290">
        <f>K834*$Q834</f>
        <v>0</v>
      </c>
      <c r="M834" s="290">
        <f>(AL834+AM834)*$M$3</f>
        <v>7</v>
      </c>
      <c r="N834" s="290">
        <f>M834*$Q834</f>
        <v>0</v>
      </c>
      <c r="O834" s="290">
        <f>C834+E834+G834+I834+K834+M834</f>
        <v>55</v>
      </c>
      <c r="P834" s="153" t="s">
        <v>269</v>
      </c>
      <c r="Q834" s="262"/>
      <c r="R834" s="435"/>
      <c r="S834" s="264"/>
      <c r="T834" s="266"/>
      <c r="U834" s="266">
        <v>1</v>
      </c>
      <c r="V834" s="264"/>
      <c r="W834" s="266">
        <f>T834*$W$3</f>
        <v>0</v>
      </c>
      <c r="X834" s="266">
        <f>U834*$X$3</f>
        <v>2</v>
      </c>
      <c r="Y834" s="264"/>
      <c r="Z834" s="266">
        <f>W834</f>
        <v>0</v>
      </c>
      <c r="AA834" s="266">
        <f>U834*$AA$3</f>
        <v>3</v>
      </c>
      <c r="AB834" s="264"/>
      <c r="AC834" s="266">
        <f>W834</f>
        <v>0</v>
      </c>
      <c r="AD834" s="266">
        <f>U834*$AD$3</f>
        <v>4</v>
      </c>
      <c r="AE834" s="264"/>
      <c r="AF834" s="266">
        <f>W834</f>
        <v>0</v>
      </c>
      <c r="AG834" s="266">
        <f>U834*$AG$3</f>
        <v>5</v>
      </c>
      <c r="AH834" s="264"/>
      <c r="AI834" s="266">
        <f>W834</f>
        <v>0</v>
      </c>
      <c r="AJ834" s="266">
        <f>U834*$AJ$3</f>
        <v>6</v>
      </c>
      <c r="AK834" s="264"/>
      <c r="AL834" s="266">
        <f>W834</f>
        <v>0</v>
      </c>
      <c r="AM834" s="266">
        <f>U834*$AM$3</f>
        <v>7</v>
      </c>
    </row>
    <row r="835" spans="1:39" s="267" customFormat="1" x14ac:dyDescent="0.2">
      <c r="A835" s="258"/>
      <c r="B835" s="206"/>
      <c r="C835" s="290"/>
      <c r="D835" s="290"/>
      <c r="E835" s="290"/>
      <c r="F835" s="290"/>
      <c r="G835" s="290"/>
      <c r="H835" s="290"/>
      <c r="I835" s="290"/>
      <c r="J835" s="290"/>
      <c r="K835" s="290"/>
      <c r="L835" s="290"/>
      <c r="M835" s="290"/>
      <c r="N835" s="290"/>
      <c r="O835" s="290"/>
      <c r="P835" s="153"/>
      <c r="Q835" s="262"/>
      <c r="R835" s="435"/>
      <c r="S835" s="264"/>
      <c r="T835" s="266"/>
      <c r="U835" s="211"/>
      <c r="V835" s="264"/>
      <c r="W835" s="211"/>
      <c r="X835" s="211"/>
      <c r="Y835" s="264"/>
      <c r="Z835" s="211"/>
      <c r="AA835" s="211"/>
      <c r="AB835" s="264"/>
      <c r="AC835" s="211"/>
      <c r="AD835" s="211"/>
      <c r="AE835" s="264"/>
      <c r="AF835" s="211"/>
      <c r="AG835" s="211"/>
      <c r="AH835" s="264"/>
      <c r="AI835" s="211"/>
      <c r="AJ835" s="211"/>
      <c r="AK835" s="264"/>
      <c r="AL835" s="211"/>
      <c r="AM835" s="211"/>
    </row>
    <row r="836" spans="1:39" s="267" customFormat="1" ht="28.5" x14ac:dyDescent="0.2">
      <c r="A836" s="258"/>
      <c r="B836" s="265" t="s">
        <v>810</v>
      </c>
      <c r="C836" s="290"/>
      <c r="D836" s="290"/>
      <c r="E836" s="290"/>
      <c r="F836" s="290"/>
      <c r="G836" s="290"/>
      <c r="H836" s="290"/>
      <c r="I836" s="290"/>
      <c r="J836" s="290"/>
      <c r="K836" s="290"/>
      <c r="L836" s="290"/>
      <c r="M836" s="290"/>
      <c r="N836" s="290"/>
      <c r="O836" s="290"/>
      <c r="P836" s="153"/>
      <c r="Q836" s="262"/>
      <c r="R836" s="435"/>
      <c r="S836" s="264"/>
      <c r="T836" s="266"/>
      <c r="U836" s="211"/>
      <c r="V836" s="264"/>
      <c r="W836" s="211"/>
      <c r="X836" s="211"/>
      <c r="Y836" s="264"/>
      <c r="Z836" s="211"/>
      <c r="AA836" s="211"/>
      <c r="AB836" s="264"/>
      <c r="AC836" s="211"/>
      <c r="AD836" s="211"/>
      <c r="AE836" s="264"/>
      <c r="AF836" s="211"/>
      <c r="AG836" s="211"/>
      <c r="AH836" s="264"/>
      <c r="AI836" s="211"/>
      <c r="AJ836" s="211"/>
      <c r="AK836" s="264"/>
      <c r="AL836" s="211"/>
      <c r="AM836" s="211"/>
    </row>
    <row r="837" spans="1:39" s="267" customFormat="1" x14ac:dyDescent="0.2">
      <c r="A837" s="258"/>
      <c r="B837" s="265"/>
      <c r="C837" s="290"/>
      <c r="D837" s="290"/>
      <c r="E837" s="290"/>
      <c r="F837" s="290"/>
      <c r="G837" s="290"/>
      <c r="H837" s="290"/>
      <c r="I837" s="290"/>
      <c r="J837" s="290"/>
      <c r="K837" s="290"/>
      <c r="L837" s="290"/>
      <c r="M837" s="290"/>
      <c r="N837" s="290"/>
      <c r="O837" s="290"/>
      <c r="P837" s="153"/>
      <c r="Q837" s="262"/>
      <c r="R837" s="435"/>
      <c r="S837" s="264"/>
      <c r="T837" s="266"/>
      <c r="U837" s="211"/>
      <c r="V837" s="264"/>
      <c r="W837" s="211"/>
      <c r="X837" s="211"/>
      <c r="Y837" s="264"/>
      <c r="Z837" s="211"/>
      <c r="AA837" s="211"/>
      <c r="AB837" s="264"/>
      <c r="AC837" s="211"/>
      <c r="AD837" s="211"/>
      <c r="AE837" s="264"/>
      <c r="AF837" s="211"/>
      <c r="AG837" s="211"/>
      <c r="AH837" s="264"/>
      <c r="AI837" s="211"/>
      <c r="AJ837" s="211"/>
      <c r="AK837" s="264"/>
      <c r="AL837" s="211"/>
      <c r="AM837" s="211"/>
    </row>
    <row r="838" spans="1:39" s="267" customFormat="1" ht="28.5" x14ac:dyDescent="0.2">
      <c r="A838" s="258" t="s">
        <v>70</v>
      </c>
      <c r="B838" s="206" t="s">
        <v>811</v>
      </c>
      <c r="C838" s="290">
        <f t="shared" ref="C838:C840" si="353">(W838+X838)*$C$3</f>
        <v>2</v>
      </c>
      <c r="D838" s="290">
        <f>C838*$Q838</f>
        <v>0</v>
      </c>
      <c r="E838" s="290">
        <f t="shared" ref="E838:E840" si="354">(Z838+AA838)*$E$3</f>
        <v>2</v>
      </c>
      <c r="F838" s="290">
        <f>E838*$Q838</f>
        <v>0</v>
      </c>
      <c r="G838" s="290">
        <f t="shared" ref="G838:G840" si="355">(AC838+AD838)*$G$3</f>
        <v>10</v>
      </c>
      <c r="H838" s="290">
        <f>G838*$Q838</f>
        <v>0</v>
      </c>
      <c r="I838" s="290">
        <f t="shared" ref="I838:I840" si="356">(AF838+AG838)*$I$3</f>
        <v>2</v>
      </c>
      <c r="J838" s="290">
        <f>I838*$Q838</f>
        <v>0</v>
      </c>
      <c r="K838" s="290">
        <f t="shared" ref="K838:K840" si="357">(AI838+AJ838)*$K$3</f>
        <v>6</v>
      </c>
      <c r="L838" s="290">
        <f>K838*$Q838</f>
        <v>0</v>
      </c>
      <c r="M838" s="290">
        <f t="shared" ref="M838:M840" si="358">(AL838+AM838)*$M$3</f>
        <v>2</v>
      </c>
      <c r="N838" s="290">
        <f>M838*$Q838</f>
        <v>0</v>
      </c>
      <c r="O838" s="290">
        <f t="shared" ref="O838:O840" si="359">C838+E838+G838+I838+K838+M838</f>
        <v>24</v>
      </c>
      <c r="P838" s="153" t="s">
        <v>269</v>
      </c>
      <c r="Q838" s="262"/>
      <c r="R838" s="435"/>
      <c r="S838" s="264"/>
      <c r="T838" s="266">
        <v>1</v>
      </c>
      <c r="U838" s="266"/>
      <c r="V838" s="264"/>
      <c r="W838" s="266">
        <f t="shared" ref="W838:W840" si="360">T838*$W$3</f>
        <v>2</v>
      </c>
      <c r="X838" s="266">
        <f t="shared" ref="X838:X840" si="361">U838*$X$3</f>
        <v>0</v>
      </c>
      <c r="Y838" s="264"/>
      <c r="Z838" s="266">
        <f t="shared" ref="Z838:Z840" si="362">W838</f>
        <v>2</v>
      </c>
      <c r="AA838" s="266">
        <f t="shared" ref="AA838:AA840" si="363">U838*$AA$3</f>
        <v>0</v>
      </c>
      <c r="AB838" s="264"/>
      <c r="AC838" s="266">
        <f t="shared" ref="AC838:AC840" si="364">W838</f>
        <v>2</v>
      </c>
      <c r="AD838" s="266">
        <f t="shared" ref="AD838:AD840" si="365">U838*$AD$3</f>
        <v>0</v>
      </c>
      <c r="AE838" s="264"/>
      <c r="AF838" s="266">
        <f t="shared" ref="AF838:AF840" si="366">W838</f>
        <v>2</v>
      </c>
      <c r="AG838" s="266">
        <f t="shared" ref="AG838:AG840" si="367">U838*$AG$3</f>
        <v>0</v>
      </c>
      <c r="AH838" s="264"/>
      <c r="AI838" s="266">
        <f t="shared" ref="AI838:AI840" si="368">W838</f>
        <v>2</v>
      </c>
      <c r="AJ838" s="266">
        <f t="shared" ref="AJ838:AJ840" si="369">U838*$AJ$3</f>
        <v>0</v>
      </c>
      <c r="AK838" s="264"/>
      <c r="AL838" s="266">
        <f t="shared" ref="AL838:AL840" si="370">W838</f>
        <v>2</v>
      </c>
      <c r="AM838" s="266">
        <f t="shared" ref="AM838:AM840" si="371">U838*$AM$3</f>
        <v>0</v>
      </c>
    </row>
    <row r="839" spans="1:39" s="267" customFormat="1" x14ac:dyDescent="0.2">
      <c r="A839" s="258"/>
      <c r="B839" s="206"/>
      <c r="C839" s="290"/>
      <c r="D839" s="290"/>
      <c r="E839" s="290"/>
      <c r="F839" s="290"/>
      <c r="G839" s="290"/>
      <c r="H839" s="290"/>
      <c r="I839" s="290"/>
      <c r="J839" s="290"/>
      <c r="K839" s="290"/>
      <c r="L839" s="290"/>
      <c r="M839" s="290"/>
      <c r="N839" s="290"/>
      <c r="O839" s="290"/>
      <c r="P839" s="153"/>
      <c r="Q839" s="262"/>
      <c r="R839" s="435"/>
      <c r="S839" s="264"/>
      <c r="T839" s="266"/>
      <c r="U839" s="266"/>
      <c r="V839" s="264"/>
      <c r="W839" s="266"/>
      <c r="X839" s="266"/>
      <c r="Y839" s="264"/>
      <c r="Z839" s="266"/>
      <c r="AA839" s="266"/>
      <c r="AB839" s="264"/>
      <c r="AC839" s="266"/>
      <c r="AD839" s="266"/>
      <c r="AE839" s="264"/>
      <c r="AF839" s="266"/>
      <c r="AG839" s="266"/>
      <c r="AH839" s="264"/>
      <c r="AI839" s="266"/>
      <c r="AJ839" s="266"/>
      <c r="AK839" s="264"/>
      <c r="AL839" s="266"/>
      <c r="AM839" s="266"/>
    </row>
    <row r="840" spans="1:39" s="267" customFormat="1" ht="28.5" x14ac:dyDescent="0.2">
      <c r="A840" s="258" t="s">
        <v>71</v>
      </c>
      <c r="B840" s="206" t="s">
        <v>812</v>
      </c>
      <c r="C840" s="290">
        <f t="shared" si="353"/>
        <v>2</v>
      </c>
      <c r="D840" s="290">
        <f>C840*$Q840</f>
        <v>0</v>
      </c>
      <c r="E840" s="290">
        <f t="shared" si="354"/>
        <v>3</v>
      </c>
      <c r="F840" s="290">
        <f>E840*$Q840</f>
        <v>0</v>
      </c>
      <c r="G840" s="290">
        <f t="shared" si="355"/>
        <v>20</v>
      </c>
      <c r="H840" s="290">
        <f>G840*$Q840</f>
        <v>0</v>
      </c>
      <c r="I840" s="290">
        <f t="shared" si="356"/>
        <v>5</v>
      </c>
      <c r="J840" s="290">
        <f>I840*$Q840</f>
        <v>0</v>
      </c>
      <c r="K840" s="290">
        <f t="shared" si="357"/>
        <v>18</v>
      </c>
      <c r="L840" s="290">
        <f>K840*$Q840</f>
        <v>0</v>
      </c>
      <c r="M840" s="290">
        <f t="shared" si="358"/>
        <v>7</v>
      </c>
      <c r="N840" s="290">
        <f>M840*$Q840</f>
        <v>0</v>
      </c>
      <c r="O840" s="290">
        <f t="shared" si="359"/>
        <v>55</v>
      </c>
      <c r="P840" s="153" t="s">
        <v>269</v>
      </c>
      <c r="Q840" s="262"/>
      <c r="R840" s="435"/>
      <c r="S840" s="264"/>
      <c r="T840" s="266"/>
      <c r="U840" s="266">
        <v>1</v>
      </c>
      <c r="V840" s="264"/>
      <c r="W840" s="266">
        <f t="shared" si="360"/>
        <v>0</v>
      </c>
      <c r="X840" s="266">
        <f t="shared" si="361"/>
        <v>2</v>
      </c>
      <c r="Y840" s="264"/>
      <c r="Z840" s="266">
        <f t="shared" si="362"/>
        <v>0</v>
      </c>
      <c r="AA840" s="266">
        <f t="shared" si="363"/>
        <v>3</v>
      </c>
      <c r="AB840" s="264"/>
      <c r="AC840" s="266">
        <f t="shared" si="364"/>
        <v>0</v>
      </c>
      <c r="AD840" s="266">
        <f t="shared" si="365"/>
        <v>4</v>
      </c>
      <c r="AE840" s="264"/>
      <c r="AF840" s="266">
        <f t="shared" si="366"/>
        <v>0</v>
      </c>
      <c r="AG840" s="266">
        <f t="shared" si="367"/>
        <v>5</v>
      </c>
      <c r="AH840" s="264"/>
      <c r="AI840" s="266">
        <f t="shared" si="368"/>
        <v>0</v>
      </c>
      <c r="AJ840" s="266">
        <f t="shared" si="369"/>
        <v>6</v>
      </c>
      <c r="AK840" s="264"/>
      <c r="AL840" s="266">
        <f t="shared" si="370"/>
        <v>0</v>
      </c>
      <c r="AM840" s="266">
        <f t="shared" si="371"/>
        <v>7</v>
      </c>
    </row>
    <row r="841" spans="1:39" s="267" customFormat="1" x14ac:dyDescent="0.2">
      <c r="A841" s="258"/>
      <c r="B841" s="259"/>
      <c r="C841" s="290"/>
      <c r="D841" s="290"/>
      <c r="E841" s="290"/>
      <c r="F841" s="290"/>
      <c r="G841" s="290"/>
      <c r="H841" s="290"/>
      <c r="I841" s="290"/>
      <c r="J841" s="290"/>
      <c r="K841" s="290"/>
      <c r="L841" s="290"/>
      <c r="M841" s="290"/>
      <c r="N841" s="290"/>
      <c r="O841" s="290"/>
      <c r="P841" s="153"/>
      <c r="Q841" s="262"/>
      <c r="R841" s="435"/>
      <c r="S841" s="264"/>
      <c r="T841" s="266"/>
      <c r="U841" s="211"/>
      <c r="V841" s="264"/>
      <c r="W841" s="211"/>
      <c r="X841" s="211"/>
      <c r="Y841" s="264"/>
      <c r="Z841" s="211"/>
      <c r="AA841" s="211"/>
      <c r="AB841" s="264"/>
      <c r="AC841" s="211"/>
      <c r="AD841" s="211"/>
      <c r="AE841" s="264"/>
      <c r="AF841" s="211"/>
      <c r="AG841" s="211"/>
      <c r="AH841" s="264"/>
      <c r="AI841" s="211"/>
      <c r="AJ841" s="211"/>
      <c r="AK841" s="264"/>
      <c r="AL841" s="211"/>
      <c r="AM841" s="211"/>
    </row>
    <row r="842" spans="1:39" s="267" customFormat="1" x14ac:dyDescent="0.2">
      <c r="A842" s="258"/>
      <c r="B842" s="259"/>
      <c r="C842" s="290"/>
      <c r="D842" s="290"/>
      <c r="E842" s="290"/>
      <c r="F842" s="290"/>
      <c r="G842" s="290"/>
      <c r="H842" s="290"/>
      <c r="I842" s="290"/>
      <c r="J842" s="290"/>
      <c r="K842" s="290"/>
      <c r="L842" s="290"/>
      <c r="M842" s="290"/>
      <c r="N842" s="290"/>
      <c r="O842" s="290"/>
      <c r="P842" s="153"/>
      <c r="Q842" s="262"/>
      <c r="R842" s="435"/>
      <c r="S842" s="264"/>
      <c r="T842" s="266"/>
      <c r="U842" s="211"/>
      <c r="V842" s="264"/>
      <c r="W842" s="211"/>
      <c r="X842" s="211"/>
      <c r="Y842" s="264"/>
      <c r="Z842" s="211"/>
      <c r="AA842" s="211"/>
      <c r="AB842" s="264"/>
      <c r="AC842" s="211"/>
      <c r="AD842" s="211"/>
      <c r="AE842" s="264"/>
      <c r="AF842" s="211"/>
      <c r="AG842" s="211"/>
      <c r="AH842" s="264"/>
      <c r="AI842" s="211"/>
      <c r="AJ842" s="211"/>
      <c r="AK842" s="264"/>
      <c r="AL842" s="211"/>
      <c r="AM842" s="211"/>
    </row>
    <row r="843" spans="1:39" s="267" customFormat="1" x14ac:dyDescent="0.2">
      <c r="A843" s="258"/>
      <c r="B843" s="358"/>
      <c r="C843" s="290"/>
      <c r="D843" s="290"/>
      <c r="E843" s="290"/>
      <c r="F843" s="290"/>
      <c r="G843" s="290"/>
      <c r="H843" s="290"/>
      <c r="I843" s="290"/>
      <c r="J843" s="290"/>
      <c r="K843" s="290"/>
      <c r="L843" s="290"/>
      <c r="M843" s="290"/>
      <c r="N843" s="290"/>
      <c r="O843" s="290"/>
      <c r="P843" s="261"/>
      <c r="Q843" s="262"/>
      <c r="R843" s="435"/>
      <c r="S843" s="264"/>
      <c r="T843" s="266"/>
      <c r="U843" s="211"/>
      <c r="V843" s="264"/>
      <c r="W843" s="211"/>
      <c r="X843" s="211"/>
      <c r="Y843" s="264"/>
      <c r="Z843" s="211"/>
      <c r="AA843" s="211"/>
      <c r="AB843" s="264"/>
      <c r="AC843" s="211"/>
      <c r="AD843" s="211"/>
      <c r="AE843" s="264"/>
      <c r="AF843" s="211"/>
      <c r="AG843" s="211"/>
      <c r="AH843" s="264"/>
      <c r="AI843" s="211"/>
      <c r="AJ843" s="211"/>
      <c r="AK843" s="264"/>
      <c r="AL843" s="211"/>
      <c r="AM843" s="211"/>
    </row>
    <row r="844" spans="1:39" s="267" customFormat="1" x14ac:dyDescent="0.2">
      <c r="A844" s="258"/>
      <c r="B844" s="259"/>
      <c r="C844" s="290"/>
      <c r="D844" s="290"/>
      <c r="E844" s="290"/>
      <c r="F844" s="290"/>
      <c r="G844" s="290"/>
      <c r="H844" s="290"/>
      <c r="I844" s="290"/>
      <c r="J844" s="290"/>
      <c r="K844" s="290"/>
      <c r="L844" s="290"/>
      <c r="M844" s="290"/>
      <c r="N844" s="290"/>
      <c r="O844" s="290"/>
      <c r="P844" s="261"/>
      <c r="Q844" s="262"/>
      <c r="R844" s="435"/>
      <c r="S844" s="264"/>
      <c r="T844" s="266"/>
      <c r="U844" s="211"/>
      <c r="V844" s="264"/>
      <c r="W844" s="211"/>
      <c r="X844" s="211"/>
      <c r="Y844" s="264"/>
      <c r="Z844" s="211"/>
      <c r="AA844" s="211"/>
      <c r="AB844" s="264"/>
      <c r="AC844" s="211"/>
      <c r="AD844" s="211"/>
      <c r="AE844" s="264"/>
      <c r="AF844" s="211"/>
      <c r="AG844" s="211"/>
      <c r="AH844" s="264"/>
      <c r="AI844" s="211"/>
      <c r="AJ844" s="211"/>
      <c r="AK844" s="264"/>
      <c r="AL844" s="211"/>
      <c r="AM844" s="211"/>
    </row>
    <row r="845" spans="1:39" s="267" customFormat="1" x14ac:dyDescent="0.2">
      <c r="A845" s="258"/>
      <c r="B845" s="259"/>
      <c r="C845" s="290"/>
      <c r="D845" s="290"/>
      <c r="E845" s="290"/>
      <c r="F845" s="290"/>
      <c r="G845" s="290"/>
      <c r="H845" s="290"/>
      <c r="I845" s="290"/>
      <c r="J845" s="290"/>
      <c r="K845" s="290"/>
      <c r="L845" s="290"/>
      <c r="M845" s="290"/>
      <c r="N845" s="290"/>
      <c r="O845" s="290"/>
      <c r="P845" s="261"/>
      <c r="Q845" s="262"/>
      <c r="R845" s="435"/>
      <c r="S845" s="264"/>
      <c r="T845" s="266"/>
      <c r="U845" s="211"/>
      <c r="V845" s="264"/>
      <c r="W845" s="211"/>
      <c r="X845" s="211"/>
      <c r="Y845" s="264"/>
      <c r="Z845" s="211"/>
      <c r="AA845" s="211"/>
      <c r="AB845" s="264"/>
      <c r="AC845" s="211"/>
      <c r="AD845" s="211"/>
      <c r="AE845" s="264"/>
      <c r="AF845" s="211"/>
      <c r="AG845" s="211"/>
      <c r="AH845" s="264"/>
      <c r="AI845" s="211"/>
      <c r="AJ845" s="211"/>
      <c r="AK845" s="264"/>
      <c r="AL845" s="211"/>
      <c r="AM845" s="211"/>
    </row>
    <row r="846" spans="1:39" s="267" customFormat="1" x14ac:dyDescent="0.2">
      <c r="A846" s="258"/>
      <c r="B846" s="259"/>
      <c r="C846" s="290"/>
      <c r="D846" s="290"/>
      <c r="E846" s="290"/>
      <c r="F846" s="290"/>
      <c r="G846" s="290"/>
      <c r="H846" s="290"/>
      <c r="I846" s="290"/>
      <c r="J846" s="290"/>
      <c r="K846" s="290"/>
      <c r="L846" s="290"/>
      <c r="M846" s="290"/>
      <c r="N846" s="290"/>
      <c r="O846" s="290"/>
      <c r="P846" s="261"/>
      <c r="Q846" s="262"/>
      <c r="R846" s="435"/>
      <c r="S846" s="264"/>
      <c r="T846" s="266"/>
      <c r="U846" s="211"/>
      <c r="V846" s="264"/>
      <c r="W846" s="211"/>
      <c r="X846" s="211"/>
      <c r="Y846" s="264"/>
      <c r="Z846" s="211"/>
      <c r="AA846" s="211"/>
      <c r="AB846" s="264"/>
      <c r="AC846" s="211"/>
      <c r="AD846" s="211"/>
      <c r="AE846" s="264"/>
      <c r="AF846" s="211"/>
      <c r="AG846" s="211"/>
      <c r="AH846" s="264"/>
      <c r="AI846" s="211"/>
      <c r="AJ846" s="211"/>
      <c r="AK846" s="264"/>
      <c r="AL846" s="211"/>
      <c r="AM846" s="211"/>
    </row>
    <row r="847" spans="1:39" s="267" customFormat="1" x14ac:dyDescent="0.2">
      <c r="A847" s="258"/>
      <c r="B847" s="259"/>
      <c r="C847" s="290"/>
      <c r="D847" s="290"/>
      <c r="E847" s="290"/>
      <c r="F847" s="290"/>
      <c r="G847" s="290"/>
      <c r="H847" s="290"/>
      <c r="I847" s="290"/>
      <c r="J847" s="290"/>
      <c r="K847" s="290"/>
      <c r="L847" s="290"/>
      <c r="M847" s="290"/>
      <c r="N847" s="290"/>
      <c r="O847" s="290"/>
      <c r="P847" s="261"/>
      <c r="Q847" s="262"/>
      <c r="R847" s="435"/>
      <c r="S847" s="264"/>
      <c r="T847" s="266"/>
      <c r="U847" s="211"/>
      <c r="V847" s="264"/>
      <c r="W847" s="211"/>
      <c r="X847" s="211"/>
      <c r="Y847" s="264"/>
      <c r="Z847" s="211"/>
      <c r="AA847" s="211"/>
      <c r="AB847" s="264"/>
      <c r="AC847" s="211"/>
      <c r="AD847" s="211"/>
      <c r="AE847" s="264"/>
      <c r="AF847" s="211"/>
      <c r="AG847" s="211"/>
      <c r="AH847" s="264"/>
      <c r="AI847" s="211"/>
      <c r="AJ847" s="211"/>
      <c r="AK847" s="264"/>
      <c r="AL847" s="211"/>
      <c r="AM847" s="211"/>
    </row>
    <row r="848" spans="1:39" s="267" customFormat="1" x14ac:dyDescent="0.2">
      <c r="A848" s="258"/>
      <c r="B848" s="259"/>
      <c r="C848" s="290"/>
      <c r="D848" s="290"/>
      <c r="E848" s="290"/>
      <c r="F848" s="290"/>
      <c r="G848" s="290"/>
      <c r="H848" s="290"/>
      <c r="I848" s="290"/>
      <c r="J848" s="290"/>
      <c r="K848" s="290"/>
      <c r="L848" s="290"/>
      <c r="M848" s="290"/>
      <c r="N848" s="290"/>
      <c r="O848" s="290"/>
      <c r="P848" s="261"/>
      <c r="Q848" s="262"/>
      <c r="R848" s="435"/>
      <c r="S848" s="264"/>
      <c r="T848" s="266"/>
      <c r="U848" s="211"/>
      <c r="V848" s="264"/>
      <c r="W848" s="211"/>
      <c r="X848" s="211"/>
      <c r="Y848" s="264"/>
      <c r="Z848" s="211"/>
      <c r="AA848" s="211"/>
      <c r="AB848" s="264"/>
      <c r="AC848" s="211"/>
      <c r="AD848" s="211"/>
      <c r="AE848" s="264"/>
      <c r="AF848" s="211"/>
      <c r="AG848" s="211"/>
      <c r="AH848" s="264"/>
      <c r="AI848" s="211"/>
      <c r="AJ848" s="211"/>
      <c r="AK848" s="264"/>
      <c r="AL848" s="211"/>
      <c r="AM848" s="211"/>
    </row>
    <row r="849" spans="1:39" s="267" customFormat="1" x14ac:dyDescent="0.2">
      <c r="A849" s="258"/>
      <c r="B849" s="259"/>
      <c r="C849" s="290"/>
      <c r="D849" s="290"/>
      <c r="E849" s="290"/>
      <c r="F849" s="290"/>
      <c r="G849" s="290"/>
      <c r="H849" s="290"/>
      <c r="I849" s="290"/>
      <c r="J849" s="290"/>
      <c r="K849" s="290"/>
      <c r="L849" s="290"/>
      <c r="M849" s="290"/>
      <c r="N849" s="290"/>
      <c r="O849" s="290"/>
      <c r="P849" s="261"/>
      <c r="Q849" s="262"/>
      <c r="R849" s="435"/>
      <c r="S849" s="264"/>
      <c r="T849" s="266"/>
      <c r="U849" s="211"/>
      <c r="V849" s="264"/>
      <c r="W849" s="211"/>
      <c r="X849" s="211"/>
      <c r="Y849" s="264"/>
      <c r="Z849" s="211"/>
      <c r="AA849" s="211"/>
      <c r="AB849" s="264"/>
      <c r="AC849" s="211"/>
      <c r="AD849" s="211"/>
      <c r="AE849" s="264"/>
      <c r="AF849" s="211"/>
      <c r="AG849" s="211"/>
      <c r="AH849" s="264"/>
      <c r="AI849" s="211"/>
      <c r="AJ849" s="211"/>
      <c r="AK849" s="264"/>
      <c r="AL849" s="211"/>
      <c r="AM849" s="211"/>
    </row>
    <row r="850" spans="1:39" s="267" customFormat="1" x14ac:dyDescent="0.2">
      <c r="A850" s="258"/>
      <c r="B850" s="259"/>
      <c r="C850" s="290"/>
      <c r="D850" s="290"/>
      <c r="E850" s="290"/>
      <c r="F850" s="290"/>
      <c r="G850" s="290"/>
      <c r="H850" s="290"/>
      <c r="I850" s="290"/>
      <c r="J850" s="290"/>
      <c r="K850" s="290"/>
      <c r="L850" s="290"/>
      <c r="M850" s="290"/>
      <c r="N850" s="290"/>
      <c r="O850" s="290"/>
      <c r="P850" s="261"/>
      <c r="Q850" s="262"/>
      <c r="R850" s="435"/>
      <c r="S850" s="264"/>
      <c r="T850" s="266"/>
      <c r="U850" s="211"/>
      <c r="V850" s="264"/>
      <c r="W850" s="211"/>
      <c r="X850" s="211"/>
      <c r="Y850" s="264"/>
      <c r="Z850" s="211"/>
      <c r="AA850" s="211"/>
      <c r="AB850" s="264"/>
      <c r="AC850" s="211"/>
      <c r="AD850" s="211"/>
      <c r="AE850" s="264"/>
      <c r="AF850" s="211"/>
      <c r="AG850" s="211"/>
      <c r="AH850" s="264"/>
      <c r="AI850" s="211"/>
      <c r="AJ850" s="211"/>
      <c r="AK850" s="264"/>
      <c r="AL850" s="211"/>
      <c r="AM850" s="211"/>
    </row>
    <row r="851" spans="1:39" s="267" customFormat="1" x14ac:dyDescent="0.2">
      <c r="A851" s="308"/>
      <c r="B851" s="259"/>
      <c r="C851" s="290"/>
      <c r="D851" s="290"/>
      <c r="E851" s="290"/>
      <c r="F851" s="290"/>
      <c r="G851" s="290"/>
      <c r="H851" s="290"/>
      <c r="I851" s="290"/>
      <c r="J851" s="290"/>
      <c r="K851" s="290"/>
      <c r="L851" s="290"/>
      <c r="M851" s="290"/>
      <c r="N851" s="290"/>
      <c r="O851" s="290"/>
      <c r="P851" s="261"/>
      <c r="Q851" s="262"/>
      <c r="R851" s="435"/>
      <c r="S851" s="264"/>
      <c r="T851" s="266"/>
      <c r="U851" s="211"/>
      <c r="V851" s="264"/>
      <c r="W851" s="211"/>
      <c r="X851" s="211"/>
      <c r="Y851" s="264"/>
      <c r="Z851" s="211"/>
      <c r="AA851" s="211"/>
      <c r="AB851" s="264"/>
      <c r="AC851" s="211"/>
      <c r="AD851" s="211"/>
      <c r="AE851" s="264"/>
      <c r="AF851" s="211"/>
      <c r="AG851" s="211"/>
      <c r="AH851" s="264"/>
      <c r="AI851" s="211"/>
      <c r="AJ851" s="211"/>
      <c r="AK851" s="264"/>
      <c r="AL851" s="211"/>
      <c r="AM851" s="211"/>
    </row>
    <row r="852" spans="1:39" s="267" customFormat="1" x14ac:dyDescent="0.2">
      <c r="A852" s="308"/>
      <c r="B852" s="259"/>
      <c r="C852" s="290"/>
      <c r="D852" s="290"/>
      <c r="E852" s="290"/>
      <c r="F852" s="290"/>
      <c r="G852" s="290"/>
      <c r="H852" s="290"/>
      <c r="I852" s="290"/>
      <c r="J852" s="290"/>
      <c r="K852" s="290"/>
      <c r="L852" s="290"/>
      <c r="M852" s="290"/>
      <c r="N852" s="290"/>
      <c r="O852" s="290"/>
      <c r="P852" s="261"/>
      <c r="Q852" s="262"/>
      <c r="R852" s="435"/>
      <c r="S852" s="264"/>
      <c r="T852" s="266"/>
      <c r="U852" s="211"/>
      <c r="V852" s="264"/>
      <c r="W852" s="211"/>
      <c r="X852" s="211"/>
      <c r="Y852" s="264"/>
      <c r="Z852" s="211"/>
      <c r="AA852" s="211"/>
      <c r="AB852" s="264"/>
      <c r="AC852" s="211"/>
      <c r="AD852" s="211"/>
      <c r="AE852" s="264"/>
      <c r="AF852" s="211"/>
      <c r="AG852" s="211"/>
      <c r="AH852" s="264"/>
      <c r="AI852" s="211"/>
      <c r="AJ852" s="211"/>
      <c r="AK852" s="264"/>
      <c r="AL852" s="211"/>
      <c r="AM852" s="211"/>
    </row>
    <row r="853" spans="1:39" s="267" customFormat="1" x14ac:dyDescent="0.2">
      <c r="A853" s="375"/>
      <c r="B853" s="376"/>
      <c r="C853" s="377"/>
      <c r="D853" s="377"/>
      <c r="E853" s="377"/>
      <c r="F853" s="377"/>
      <c r="G853" s="377"/>
      <c r="H853" s="377"/>
      <c r="I853" s="377"/>
      <c r="J853" s="377"/>
      <c r="K853" s="377"/>
      <c r="L853" s="377"/>
      <c r="M853" s="377"/>
      <c r="N853" s="377"/>
      <c r="O853" s="377"/>
      <c r="P853" s="377"/>
      <c r="Q853" s="378"/>
      <c r="R853" s="441"/>
      <c r="S853" s="264"/>
      <c r="T853" s="273"/>
      <c r="U853" s="274"/>
      <c r="V853" s="264"/>
      <c r="W853" s="273"/>
      <c r="X853" s="273"/>
      <c r="Y853" s="264"/>
      <c r="Z853" s="273"/>
      <c r="AA853" s="273"/>
      <c r="AB853" s="264"/>
      <c r="AC853" s="273"/>
      <c r="AD853" s="273"/>
      <c r="AE853" s="264"/>
      <c r="AF853" s="273"/>
      <c r="AG853" s="273"/>
      <c r="AH853" s="264"/>
      <c r="AI853" s="273"/>
      <c r="AJ853" s="273"/>
      <c r="AK853" s="264"/>
      <c r="AL853" s="273"/>
      <c r="AM853" s="273"/>
    </row>
    <row r="854" spans="1:39" s="267" customFormat="1" x14ac:dyDescent="0.2">
      <c r="A854" s="380"/>
      <c r="B854" s="320"/>
      <c r="C854" s="430"/>
      <c r="D854" s="309"/>
      <c r="E854" s="309"/>
      <c r="F854" s="309"/>
      <c r="G854" s="309"/>
      <c r="H854" s="309"/>
      <c r="I854" s="309"/>
      <c r="J854" s="309"/>
      <c r="K854" s="309"/>
      <c r="L854" s="309"/>
      <c r="M854" s="309"/>
      <c r="N854" s="309"/>
      <c r="O854" s="309"/>
      <c r="P854" s="171" t="s">
        <v>1</v>
      </c>
      <c r="Q854" s="381" t="s">
        <v>0</v>
      </c>
      <c r="R854" s="435"/>
      <c r="S854" s="276"/>
      <c r="T854" s="266"/>
      <c r="U854" s="277"/>
      <c r="V854" s="264"/>
      <c r="W854" s="266"/>
      <c r="X854" s="266"/>
      <c r="Y854" s="264"/>
      <c r="Z854" s="266"/>
      <c r="AA854" s="266"/>
      <c r="AB854" s="264"/>
      <c r="AC854" s="266"/>
      <c r="AD854" s="266"/>
      <c r="AE854" s="264"/>
      <c r="AF854" s="266"/>
      <c r="AG854" s="266"/>
      <c r="AH854" s="264"/>
      <c r="AI854" s="266"/>
      <c r="AJ854" s="266"/>
      <c r="AK854" s="264"/>
      <c r="AL854" s="266"/>
      <c r="AM854" s="266"/>
    </row>
    <row r="855" spans="1:39" s="267" customFormat="1" x14ac:dyDescent="0.2">
      <c r="A855" s="380"/>
      <c r="B855" s="320"/>
      <c r="C855" s="309"/>
      <c r="D855" s="309"/>
      <c r="E855" s="309"/>
      <c r="F855" s="309"/>
      <c r="G855" s="309"/>
      <c r="H855" s="309"/>
      <c r="I855" s="309"/>
      <c r="J855" s="309"/>
      <c r="K855" s="309"/>
      <c r="L855" s="309"/>
      <c r="M855" s="309"/>
      <c r="N855" s="309"/>
      <c r="O855" s="309"/>
      <c r="P855" s="309"/>
      <c r="Q855" s="294"/>
      <c r="R855" s="458"/>
      <c r="S855" s="264"/>
      <c r="T855" s="278"/>
      <c r="U855" s="279"/>
      <c r="V855" s="264"/>
      <c r="W855" s="278"/>
      <c r="X855" s="278"/>
      <c r="Y855" s="264"/>
      <c r="Z855" s="278"/>
      <c r="AA855" s="278"/>
      <c r="AB855" s="264"/>
      <c r="AC855" s="278"/>
      <c r="AD855" s="278"/>
      <c r="AE855" s="264"/>
      <c r="AF855" s="278"/>
      <c r="AG855" s="278"/>
      <c r="AH855" s="264"/>
      <c r="AI855" s="278"/>
      <c r="AJ855" s="278"/>
      <c r="AK855" s="264"/>
      <c r="AL855" s="278"/>
      <c r="AM855" s="278"/>
    </row>
    <row r="856" spans="1:39" s="267" customFormat="1" x14ac:dyDescent="0.2">
      <c r="A856" s="258"/>
      <c r="B856" s="259"/>
      <c r="C856" s="290"/>
      <c r="D856" s="290"/>
      <c r="E856" s="290"/>
      <c r="F856" s="290"/>
      <c r="G856" s="290"/>
      <c r="H856" s="290"/>
      <c r="I856" s="290"/>
      <c r="J856" s="290"/>
      <c r="K856" s="290"/>
      <c r="L856" s="290"/>
      <c r="M856" s="290"/>
      <c r="N856" s="290"/>
      <c r="O856" s="290"/>
      <c r="P856" s="153"/>
      <c r="Q856" s="262"/>
      <c r="R856" s="435"/>
      <c r="S856" s="264"/>
      <c r="T856" s="266"/>
      <c r="U856" s="211"/>
      <c r="W856" s="211"/>
      <c r="X856" s="211"/>
      <c r="Z856" s="211"/>
      <c r="AA856" s="211"/>
      <c r="AC856" s="211"/>
      <c r="AD856" s="211"/>
      <c r="AF856" s="211"/>
      <c r="AG856" s="211"/>
      <c r="AI856" s="211"/>
      <c r="AJ856" s="211"/>
      <c r="AL856" s="211"/>
      <c r="AM856" s="211"/>
    </row>
    <row r="857" spans="1:39" s="267" customFormat="1" x14ac:dyDescent="0.2">
      <c r="A857" s="258"/>
      <c r="B857" s="265" t="s">
        <v>160</v>
      </c>
      <c r="C857" s="290"/>
      <c r="D857" s="290"/>
      <c r="E857" s="290"/>
      <c r="F857" s="290"/>
      <c r="G857" s="290"/>
      <c r="H857" s="290"/>
      <c r="I857" s="290"/>
      <c r="J857" s="290"/>
      <c r="K857" s="290"/>
      <c r="L857" s="290"/>
      <c r="M857" s="290"/>
      <c r="N857" s="290"/>
      <c r="O857" s="290"/>
      <c r="P857" s="153"/>
      <c r="Q857" s="262"/>
      <c r="R857" s="435"/>
      <c r="S857" s="264"/>
      <c r="T857" s="266"/>
      <c r="U857" s="211"/>
      <c r="W857" s="211"/>
      <c r="X857" s="211"/>
      <c r="Z857" s="211"/>
      <c r="AA857" s="211"/>
      <c r="AC857" s="211"/>
      <c r="AD857" s="211"/>
      <c r="AF857" s="211"/>
      <c r="AG857" s="211"/>
      <c r="AI857" s="211"/>
      <c r="AJ857" s="211"/>
      <c r="AL857" s="211"/>
      <c r="AM857" s="211"/>
    </row>
    <row r="858" spans="1:39" s="267" customFormat="1" x14ac:dyDescent="0.2">
      <c r="A858" s="258"/>
      <c r="B858" s="269"/>
      <c r="C858" s="290"/>
      <c r="D858" s="290">
        <f t="shared" ref="D858:D886" si="372">C858*$Q858</f>
        <v>0</v>
      </c>
      <c r="E858" s="290"/>
      <c r="F858" s="290">
        <f t="shared" ref="F858:F886" si="373">E858*$Q858</f>
        <v>0</v>
      </c>
      <c r="G858" s="290"/>
      <c r="H858" s="290">
        <f t="shared" ref="H858:H886" si="374">G858*$Q858</f>
        <v>0</v>
      </c>
      <c r="I858" s="290"/>
      <c r="J858" s="290">
        <f t="shared" ref="J858:J886" si="375">I858*$Q858</f>
        <v>0</v>
      </c>
      <c r="K858" s="290"/>
      <c r="L858" s="290">
        <f t="shared" ref="L858:L886" si="376">K858*$Q858</f>
        <v>0</v>
      </c>
      <c r="M858" s="290"/>
      <c r="N858" s="290">
        <f t="shared" ref="N858:N886" si="377">M858*$Q858</f>
        <v>0</v>
      </c>
      <c r="O858" s="290"/>
      <c r="P858" s="261"/>
      <c r="Q858" s="262"/>
      <c r="R858" s="435"/>
      <c r="S858" s="264"/>
      <c r="T858" s="266"/>
      <c r="U858" s="211"/>
      <c r="W858" s="211"/>
      <c r="X858" s="211"/>
      <c r="Z858" s="211"/>
      <c r="AA858" s="211"/>
      <c r="AC858" s="211"/>
      <c r="AD858" s="211"/>
      <c r="AF858" s="211"/>
      <c r="AG858" s="211"/>
      <c r="AI858" s="211"/>
      <c r="AJ858" s="211"/>
      <c r="AL858" s="211"/>
      <c r="AM858" s="211"/>
    </row>
    <row r="859" spans="1:39" s="267" customFormat="1" x14ac:dyDescent="0.2">
      <c r="A859" s="258" t="s">
        <v>66</v>
      </c>
      <c r="B859" s="269" t="s">
        <v>161</v>
      </c>
      <c r="C859" s="290">
        <f>(W859+X859)*$C$3</f>
        <v>0</v>
      </c>
      <c r="D859" s="290">
        <f>C859*$Q859</f>
        <v>0</v>
      </c>
      <c r="E859" s="290">
        <f>(Z859+AA859)*$E$3</f>
        <v>0</v>
      </c>
      <c r="F859" s="290">
        <f>E859*$Q859</f>
        <v>0</v>
      </c>
      <c r="G859" s="290">
        <f>(AC859+AD859)*$G$3</f>
        <v>0</v>
      </c>
      <c r="H859" s="290">
        <f>G859*$Q859</f>
        <v>0</v>
      </c>
      <c r="I859" s="290">
        <f>(AF859+AG859)*$I$3</f>
        <v>0</v>
      </c>
      <c r="J859" s="290">
        <f>I859*$Q859</f>
        <v>0</v>
      </c>
      <c r="K859" s="290">
        <f>(AI859+AJ859)*$K$3</f>
        <v>0</v>
      </c>
      <c r="L859" s="290">
        <f>K859*$Q859</f>
        <v>0</v>
      </c>
      <c r="M859" s="290">
        <f>(AL859+AM859)*$M$3</f>
        <v>0</v>
      </c>
      <c r="N859" s="290">
        <f>M859*$Q859</f>
        <v>0</v>
      </c>
      <c r="O859" s="290">
        <f>C859+E859+G859+I859+K859+M859</f>
        <v>0</v>
      </c>
      <c r="P859" s="153" t="s">
        <v>5</v>
      </c>
      <c r="Q859" s="262"/>
      <c r="R859" s="435"/>
      <c r="S859" s="264"/>
      <c r="T859" s="266"/>
      <c r="U859" s="266">
        <v>0</v>
      </c>
      <c r="W859" s="268">
        <f>T859*$W$3</f>
        <v>0</v>
      </c>
      <c r="X859" s="266">
        <f>U859*$X$3</f>
        <v>0</v>
      </c>
      <c r="Z859" s="268">
        <f>W859</f>
        <v>0</v>
      </c>
      <c r="AA859" s="266">
        <f>U859*$AA$3</f>
        <v>0</v>
      </c>
      <c r="AC859" s="268">
        <f>W859</f>
        <v>0</v>
      </c>
      <c r="AD859" s="266">
        <f>U859*$AD$3</f>
        <v>0</v>
      </c>
      <c r="AF859" s="268">
        <f>W859</f>
        <v>0</v>
      </c>
      <c r="AG859" s="266">
        <f>U859*$AG$3</f>
        <v>0</v>
      </c>
      <c r="AI859" s="268">
        <f>W859</f>
        <v>0</v>
      </c>
      <c r="AJ859" s="266">
        <f>U859*$AJ$3</f>
        <v>0</v>
      </c>
      <c r="AL859" s="268">
        <f>W859</f>
        <v>0</v>
      </c>
      <c r="AM859" s="266">
        <f>U859*$AM$3</f>
        <v>0</v>
      </c>
    </row>
    <row r="860" spans="1:39" s="267" customFormat="1" x14ac:dyDescent="0.2">
      <c r="A860" s="258"/>
      <c r="B860" s="269"/>
      <c r="C860" s="290"/>
      <c r="D860" s="290">
        <f t="shared" si="372"/>
        <v>0</v>
      </c>
      <c r="E860" s="290"/>
      <c r="F860" s="290">
        <f t="shared" si="373"/>
        <v>0</v>
      </c>
      <c r="G860" s="290"/>
      <c r="H860" s="290">
        <f t="shared" si="374"/>
        <v>0</v>
      </c>
      <c r="I860" s="290"/>
      <c r="J860" s="290">
        <f t="shared" si="375"/>
        <v>0</v>
      </c>
      <c r="K860" s="290"/>
      <c r="L860" s="290">
        <f t="shared" si="376"/>
        <v>0</v>
      </c>
      <c r="M860" s="290"/>
      <c r="N860" s="290">
        <f t="shared" si="377"/>
        <v>0</v>
      </c>
      <c r="O860" s="290"/>
      <c r="P860" s="153"/>
      <c r="Q860" s="262"/>
      <c r="R860" s="435"/>
      <c r="S860" s="264"/>
      <c r="T860" s="266"/>
      <c r="U860" s="211"/>
      <c r="W860" s="211"/>
      <c r="X860" s="211"/>
      <c r="Z860" s="211"/>
      <c r="AA860" s="211"/>
      <c r="AC860" s="211"/>
      <c r="AD860" s="211"/>
      <c r="AF860" s="211"/>
      <c r="AG860" s="211"/>
      <c r="AI860" s="211"/>
      <c r="AJ860" s="211"/>
      <c r="AL860" s="211"/>
      <c r="AM860" s="211"/>
    </row>
    <row r="861" spans="1:39" s="267" customFormat="1" ht="28.5" x14ac:dyDescent="0.2">
      <c r="A861" s="258" t="s">
        <v>67</v>
      </c>
      <c r="B861" s="269" t="s">
        <v>162</v>
      </c>
      <c r="C861" s="290">
        <f>(W861+X861)*$C$3</f>
        <v>0</v>
      </c>
      <c r="D861" s="290">
        <f>C861*$Q861</f>
        <v>0</v>
      </c>
      <c r="E861" s="290">
        <f>(Z861+AA861)*$E$3</f>
        <v>0</v>
      </c>
      <c r="F861" s="290">
        <f>E861*$Q861</f>
        <v>0</v>
      </c>
      <c r="G861" s="290">
        <f>(AC861+AD861)*$G$3</f>
        <v>0</v>
      </c>
      <c r="H861" s="290">
        <f>G861*$Q861</f>
        <v>0</v>
      </c>
      <c r="I861" s="290">
        <f>(AF861+AG861)*$I$3</f>
        <v>0</v>
      </c>
      <c r="J861" s="290">
        <f>I861*$Q861</f>
        <v>0</v>
      </c>
      <c r="K861" s="290">
        <f>(AI861+AJ861)*$K$3</f>
        <v>0</v>
      </c>
      <c r="L861" s="290">
        <f>K861*$Q861</f>
        <v>0</v>
      </c>
      <c r="M861" s="290">
        <f>(AL861+AM861)*$M$3</f>
        <v>0</v>
      </c>
      <c r="N861" s="290">
        <f>M861*$Q861</f>
        <v>0</v>
      </c>
      <c r="O861" s="290">
        <f>C861+E861+G861+I861+K861+M861</f>
        <v>0</v>
      </c>
      <c r="P861" s="153" t="s">
        <v>5</v>
      </c>
      <c r="Q861" s="262"/>
      <c r="R861" s="435"/>
      <c r="S861" s="264"/>
      <c r="T861" s="266"/>
      <c r="U861" s="266">
        <v>0</v>
      </c>
      <c r="W861" s="268">
        <f>T861*$W$3</f>
        <v>0</v>
      </c>
      <c r="X861" s="266">
        <f>U861*$X$3</f>
        <v>0</v>
      </c>
      <c r="Z861" s="268">
        <f>W861</f>
        <v>0</v>
      </c>
      <c r="AA861" s="266">
        <f>U861*$AA$3</f>
        <v>0</v>
      </c>
      <c r="AC861" s="268">
        <f>W861</f>
        <v>0</v>
      </c>
      <c r="AD861" s="266">
        <f>U861*$AD$3</f>
        <v>0</v>
      </c>
      <c r="AF861" s="268">
        <f>W861</f>
        <v>0</v>
      </c>
      <c r="AG861" s="266">
        <f>U861*$AG$3</f>
        <v>0</v>
      </c>
      <c r="AI861" s="268">
        <f>W861</f>
        <v>0</v>
      </c>
      <c r="AJ861" s="266">
        <f>U861*$AJ$3</f>
        <v>0</v>
      </c>
      <c r="AL861" s="268">
        <f>W861</f>
        <v>0</v>
      </c>
      <c r="AM861" s="266">
        <f>U861*$AM$3</f>
        <v>0</v>
      </c>
    </row>
    <row r="862" spans="1:39" s="267" customFormat="1" x14ac:dyDescent="0.2">
      <c r="A862" s="258"/>
      <c r="B862" s="269"/>
      <c r="C862" s="290"/>
      <c r="D862" s="290">
        <f t="shared" si="372"/>
        <v>0</v>
      </c>
      <c r="E862" s="290"/>
      <c r="F862" s="290">
        <f t="shared" si="373"/>
        <v>0</v>
      </c>
      <c r="G862" s="290"/>
      <c r="H862" s="290">
        <f t="shared" si="374"/>
        <v>0</v>
      </c>
      <c r="I862" s="290"/>
      <c r="J862" s="290">
        <f t="shared" si="375"/>
        <v>0</v>
      </c>
      <c r="K862" s="290"/>
      <c r="L862" s="290">
        <f t="shared" si="376"/>
        <v>0</v>
      </c>
      <c r="M862" s="290"/>
      <c r="N862" s="290">
        <f t="shared" si="377"/>
        <v>0</v>
      </c>
      <c r="O862" s="290"/>
      <c r="P862" s="153"/>
      <c r="Q862" s="262"/>
      <c r="R862" s="435"/>
      <c r="S862" s="264"/>
      <c r="T862" s="266"/>
      <c r="U862" s="211"/>
      <c r="W862" s="211"/>
      <c r="X862" s="211"/>
      <c r="Z862" s="211"/>
      <c r="AA862" s="211"/>
      <c r="AC862" s="211"/>
      <c r="AD862" s="211"/>
      <c r="AF862" s="211"/>
      <c r="AG862" s="211"/>
      <c r="AI862" s="211"/>
      <c r="AJ862" s="211"/>
      <c r="AL862" s="211"/>
      <c r="AM862" s="211"/>
    </row>
    <row r="863" spans="1:39" s="267" customFormat="1" ht="28.5" x14ac:dyDescent="0.2">
      <c r="A863" s="258" t="s">
        <v>68</v>
      </c>
      <c r="B863" s="269" t="s">
        <v>163</v>
      </c>
      <c r="C863" s="290">
        <f>(W863+X863)*$C$3</f>
        <v>0</v>
      </c>
      <c r="D863" s="290">
        <f>C863*$Q863</f>
        <v>0</v>
      </c>
      <c r="E863" s="290">
        <f>(Z863+AA863)*$E$3</f>
        <v>0</v>
      </c>
      <c r="F863" s="290">
        <f>E863*$Q863</f>
        <v>0</v>
      </c>
      <c r="G863" s="290">
        <f>(AC863+AD863)*$G$3</f>
        <v>0</v>
      </c>
      <c r="H863" s="290">
        <f>G863*$Q863</f>
        <v>0</v>
      </c>
      <c r="I863" s="290">
        <f>(AF863+AG863)*$I$3</f>
        <v>0</v>
      </c>
      <c r="J863" s="290">
        <f>I863*$Q863</f>
        <v>0</v>
      </c>
      <c r="K863" s="290">
        <f>(AI863+AJ863)*$K$3</f>
        <v>0</v>
      </c>
      <c r="L863" s="290">
        <f>K863*$Q863</f>
        <v>0</v>
      </c>
      <c r="M863" s="290">
        <f>(AL863+AM863)*$M$3</f>
        <v>0</v>
      </c>
      <c r="N863" s="290">
        <f>M863*$Q863</f>
        <v>0</v>
      </c>
      <c r="O863" s="290">
        <f>C863+E863+G863+I863+K863+M863</f>
        <v>0</v>
      </c>
      <c r="P863" s="153" t="s">
        <v>5</v>
      </c>
      <c r="Q863" s="262"/>
      <c r="R863" s="435"/>
      <c r="S863" s="264"/>
      <c r="T863" s="266"/>
      <c r="U863" s="266">
        <v>0</v>
      </c>
      <c r="W863" s="268">
        <f>T863*$W$3</f>
        <v>0</v>
      </c>
      <c r="X863" s="266">
        <f>U863*$X$3</f>
        <v>0</v>
      </c>
      <c r="Z863" s="268">
        <f>W863</f>
        <v>0</v>
      </c>
      <c r="AA863" s="266">
        <f>U863*$AA$3</f>
        <v>0</v>
      </c>
      <c r="AC863" s="268">
        <f>W863</f>
        <v>0</v>
      </c>
      <c r="AD863" s="266">
        <f>U863*$AD$3</f>
        <v>0</v>
      </c>
      <c r="AF863" s="268">
        <f>W863</f>
        <v>0</v>
      </c>
      <c r="AG863" s="266">
        <f>U863*$AG$3</f>
        <v>0</v>
      </c>
      <c r="AI863" s="268">
        <f>W863</f>
        <v>0</v>
      </c>
      <c r="AJ863" s="266">
        <f>U863*$AJ$3</f>
        <v>0</v>
      </c>
      <c r="AL863" s="268">
        <f>W863</f>
        <v>0</v>
      </c>
      <c r="AM863" s="266">
        <f>U863*$AM$3</f>
        <v>0</v>
      </c>
    </row>
    <row r="864" spans="1:39" s="267" customFormat="1" x14ac:dyDescent="0.2">
      <c r="A864" s="258"/>
      <c r="B864" s="269"/>
      <c r="C864" s="290"/>
      <c r="D864" s="290">
        <f t="shared" si="372"/>
        <v>0</v>
      </c>
      <c r="E864" s="290"/>
      <c r="F864" s="290">
        <f t="shared" si="373"/>
        <v>0</v>
      </c>
      <c r="G864" s="290"/>
      <c r="H864" s="290">
        <f t="shared" si="374"/>
        <v>0</v>
      </c>
      <c r="I864" s="290"/>
      <c r="J864" s="290">
        <f t="shared" si="375"/>
        <v>0</v>
      </c>
      <c r="K864" s="290"/>
      <c r="L864" s="290">
        <f t="shared" si="376"/>
        <v>0</v>
      </c>
      <c r="M864" s="290"/>
      <c r="N864" s="290">
        <f t="shared" si="377"/>
        <v>0</v>
      </c>
      <c r="O864" s="290"/>
      <c r="P864" s="153"/>
      <c r="Q864" s="262"/>
      <c r="R864" s="435"/>
      <c r="S864" s="264"/>
      <c r="T864" s="266"/>
      <c r="U864" s="211"/>
      <c r="W864" s="211"/>
      <c r="X864" s="211"/>
      <c r="Z864" s="211"/>
      <c r="AA864" s="211"/>
      <c r="AC864" s="211"/>
      <c r="AD864" s="211"/>
      <c r="AF864" s="211"/>
      <c r="AG864" s="211"/>
      <c r="AI864" s="211"/>
      <c r="AJ864" s="211"/>
      <c r="AL864" s="211"/>
      <c r="AM864" s="211"/>
    </row>
    <row r="865" spans="1:39" s="267" customFormat="1" ht="28.5" x14ac:dyDescent="0.2">
      <c r="A865" s="258" t="s">
        <v>69</v>
      </c>
      <c r="B865" s="269" t="s">
        <v>164</v>
      </c>
      <c r="C865" s="290">
        <f>(W865+X865)*$C$3</f>
        <v>0</v>
      </c>
      <c r="D865" s="290">
        <f>C865*$Q865</f>
        <v>0</v>
      </c>
      <c r="E865" s="290">
        <f>(Z865+AA865)*$E$3</f>
        <v>0</v>
      </c>
      <c r="F865" s="290">
        <f>E865*$Q865</f>
        <v>0</v>
      </c>
      <c r="G865" s="290">
        <f>(AC865+AD865)*$G$3</f>
        <v>0</v>
      </c>
      <c r="H865" s="290">
        <f>G865*$Q865</f>
        <v>0</v>
      </c>
      <c r="I865" s="290">
        <f>(AF865+AG865)*$I$3</f>
        <v>0</v>
      </c>
      <c r="J865" s="290">
        <f>I865*$Q865</f>
        <v>0</v>
      </c>
      <c r="K865" s="290">
        <f>(AI865+AJ865)*$K$3</f>
        <v>0</v>
      </c>
      <c r="L865" s="290">
        <f>K865*$Q865</f>
        <v>0</v>
      </c>
      <c r="M865" s="290">
        <f>(AL865+AM865)*$M$3</f>
        <v>0</v>
      </c>
      <c r="N865" s="290">
        <f>M865*$Q865</f>
        <v>0</v>
      </c>
      <c r="O865" s="290">
        <f>C865+E865+G865+I865+K865+M865</f>
        <v>0</v>
      </c>
      <c r="P865" s="153" t="s">
        <v>5</v>
      </c>
      <c r="Q865" s="262"/>
      <c r="R865" s="435"/>
      <c r="S865" s="264"/>
      <c r="T865" s="266"/>
      <c r="U865" s="266">
        <v>0</v>
      </c>
      <c r="W865" s="268">
        <f>T865*$W$3</f>
        <v>0</v>
      </c>
      <c r="X865" s="266">
        <f>U865*$X$3</f>
        <v>0</v>
      </c>
      <c r="Z865" s="268">
        <f>W865</f>
        <v>0</v>
      </c>
      <c r="AA865" s="266">
        <f>U865*$AA$3</f>
        <v>0</v>
      </c>
      <c r="AC865" s="268">
        <f>W865</f>
        <v>0</v>
      </c>
      <c r="AD865" s="266">
        <f>U865*$AD$3</f>
        <v>0</v>
      </c>
      <c r="AF865" s="268">
        <f>W865</f>
        <v>0</v>
      </c>
      <c r="AG865" s="266">
        <f>U865*$AG$3</f>
        <v>0</v>
      </c>
      <c r="AI865" s="268">
        <f>W865</f>
        <v>0</v>
      </c>
      <c r="AJ865" s="266">
        <f>U865*$AJ$3</f>
        <v>0</v>
      </c>
      <c r="AL865" s="268">
        <f>W865</f>
        <v>0</v>
      </c>
      <c r="AM865" s="266">
        <f>U865*$AM$3</f>
        <v>0</v>
      </c>
    </row>
    <row r="866" spans="1:39" s="267" customFormat="1" x14ac:dyDescent="0.2">
      <c r="A866" s="258"/>
      <c r="B866" s="269"/>
      <c r="C866" s="290"/>
      <c r="D866" s="290">
        <f t="shared" si="372"/>
        <v>0</v>
      </c>
      <c r="E866" s="290"/>
      <c r="F866" s="290">
        <f t="shared" si="373"/>
        <v>0</v>
      </c>
      <c r="G866" s="290"/>
      <c r="H866" s="290">
        <f t="shared" si="374"/>
        <v>0</v>
      </c>
      <c r="I866" s="290"/>
      <c r="J866" s="290">
        <f t="shared" si="375"/>
        <v>0</v>
      </c>
      <c r="K866" s="290"/>
      <c r="L866" s="290">
        <f t="shared" si="376"/>
        <v>0</v>
      </c>
      <c r="M866" s="290"/>
      <c r="N866" s="290">
        <f t="shared" si="377"/>
        <v>0</v>
      </c>
      <c r="O866" s="290"/>
      <c r="P866" s="153"/>
      <c r="Q866" s="262"/>
      <c r="R866" s="435"/>
      <c r="S866" s="264"/>
      <c r="T866" s="266"/>
      <c r="U866" s="211"/>
      <c r="W866" s="211"/>
      <c r="X866" s="211"/>
      <c r="Z866" s="211"/>
      <c r="AA866" s="211"/>
      <c r="AC866" s="211"/>
      <c r="AD866" s="211"/>
      <c r="AF866" s="211"/>
      <c r="AG866" s="211"/>
      <c r="AI866" s="211"/>
      <c r="AJ866" s="211"/>
      <c r="AL866" s="211"/>
      <c r="AM866" s="211"/>
    </row>
    <row r="867" spans="1:39" s="267" customFormat="1" ht="28.5" x14ac:dyDescent="0.2">
      <c r="A867" s="258" t="s">
        <v>70</v>
      </c>
      <c r="B867" s="269" t="s">
        <v>165</v>
      </c>
      <c r="C867" s="290">
        <f>(W867+X867)*$C$3</f>
        <v>0</v>
      </c>
      <c r="D867" s="290">
        <f>C867*$Q867</f>
        <v>0</v>
      </c>
      <c r="E867" s="290">
        <f>(Z867+AA867)*$E$3</f>
        <v>0</v>
      </c>
      <c r="F867" s="290">
        <f>E867*$Q867</f>
        <v>0</v>
      </c>
      <c r="G867" s="290">
        <f>(AC867+AD867)*$G$3</f>
        <v>0</v>
      </c>
      <c r="H867" s="290">
        <f>G867*$Q867</f>
        <v>0</v>
      </c>
      <c r="I867" s="290">
        <f>(AF867+AG867)*$I$3</f>
        <v>0</v>
      </c>
      <c r="J867" s="290">
        <f>I867*$Q867</f>
        <v>0</v>
      </c>
      <c r="K867" s="290">
        <f>(AI867+AJ867)*$K$3</f>
        <v>0</v>
      </c>
      <c r="L867" s="290">
        <f>K867*$Q867</f>
        <v>0</v>
      </c>
      <c r="M867" s="290">
        <f>(AL867+AM867)*$M$3</f>
        <v>0</v>
      </c>
      <c r="N867" s="290">
        <f>M867*$Q867</f>
        <v>0</v>
      </c>
      <c r="O867" s="290">
        <f>C867+E867+G867+I867+K867+M867</f>
        <v>0</v>
      </c>
      <c r="P867" s="153" t="s">
        <v>5</v>
      </c>
      <c r="Q867" s="262"/>
      <c r="R867" s="435"/>
      <c r="S867" s="264"/>
      <c r="T867" s="266"/>
      <c r="U867" s="266">
        <v>0</v>
      </c>
      <c r="W867" s="268">
        <f>T867*$W$3</f>
        <v>0</v>
      </c>
      <c r="X867" s="266">
        <f>U867*$X$3</f>
        <v>0</v>
      </c>
      <c r="Z867" s="268">
        <f>W867</f>
        <v>0</v>
      </c>
      <c r="AA867" s="266">
        <f>U867*$AA$3</f>
        <v>0</v>
      </c>
      <c r="AC867" s="268">
        <f>W867</f>
        <v>0</v>
      </c>
      <c r="AD867" s="266">
        <f>U867*$AD$3</f>
        <v>0</v>
      </c>
      <c r="AF867" s="268">
        <f>W867</f>
        <v>0</v>
      </c>
      <c r="AG867" s="266">
        <f>U867*$AG$3</f>
        <v>0</v>
      </c>
      <c r="AI867" s="268">
        <f>W867</f>
        <v>0</v>
      </c>
      <c r="AJ867" s="266">
        <f>U867*$AJ$3</f>
        <v>0</v>
      </c>
      <c r="AL867" s="268">
        <f>W867</f>
        <v>0</v>
      </c>
      <c r="AM867" s="266">
        <f>U867*$AM$3</f>
        <v>0</v>
      </c>
    </row>
    <row r="868" spans="1:39" s="267" customFormat="1" x14ac:dyDescent="0.2">
      <c r="A868" s="258"/>
      <c r="B868" s="259"/>
      <c r="C868" s="290"/>
      <c r="D868" s="290">
        <f t="shared" si="372"/>
        <v>0</v>
      </c>
      <c r="E868" s="290"/>
      <c r="F868" s="290">
        <f t="shared" si="373"/>
        <v>0</v>
      </c>
      <c r="G868" s="290"/>
      <c r="H868" s="290">
        <f t="shared" si="374"/>
        <v>0</v>
      </c>
      <c r="I868" s="290"/>
      <c r="J868" s="290">
        <f t="shared" si="375"/>
        <v>0</v>
      </c>
      <c r="K868" s="290"/>
      <c r="L868" s="290">
        <f t="shared" si="376"/>
        <v>0</v>
      </c>
      <c r="M868" s="290"/>
      <c r="N868" s="290">
        <f t="shared" si="377"/>
        <v>0</v>
      </c>
      <c r="O868" s="290"/>
      <c r="P868" s="261"/>
      <c r="Q868" s="262"/>
      <c r="R868" s="435"/>
      <c r="S868" s="264"/>
      <c r="T868" s="266"/>
      <c r="U868" s="211"/>
      <c r="W868" s="211"/>
      <c r="X868" s="211"/>
      <c r="Z868" s="211"/>
      <c r="AA868" s="211"/>
      <c r="AC868" s="211"/>
      <c r="AD868" s="211"/>
      <c r="AF868" s="211"/>
      <c r="AG868" s="211"/>
      <c r="AI868" s="211"/>
      <c r="AJ868" s="211"/>
      <c r="AL868" s="211"/>
      <c r="AM868" s="211"/>
    </row>
    <row r="869" spans="1:39" s="267" customFormat="1" ht="71.25" x14ac:dyDescent="0.2">
      <c r="A869" s="258" t="s">
        <v>71</v>
      </c>
      <c r="B869" s="269" t="s">
        <v>138</v>
      </c>
      <c r="C869" s="290">
        <f>(W869+X869)*$C$3</f>
        <v>0</v>
      </c>
      <c r="D869" s="290">
        <f>C869*$Q869</f>
        <v>0</v>
      </c>
      <c r="E869" s="290">
        <f>(Z869+AA869)*$E$3</f>
        <v>0</v>
      </c>
      <c r="F869" s="290">
        <f>E869*$Q869</f>
        <v>0</v>
      </c>
      <c r="G869" s="290">
        <f>(AC869+AD869)*$G$3</f>
        <v>0</v>
      </c>
      <c r="H869" s="290">
        <f>G869*$Q869</f>
        <v>0</v>
      </c>
      <c r="I869" s="290">
        <f>(AF869+AG869)*$I$3</f>
        <v>0</v>
      </c>
      <c r="J869" s="290">
        <f>I869*$Q869</f>
        <v>0</v>
      </c>
      <c r="K869" s="290">
        <f>(AI869+AJ869)*$K$3</f>
        <v>0</v>
      </c>
      <c r="L869" s="290">
        <f>K869*$Q869</f>
        <v>0</v>
      </c>
      <c r="M869" s="290">
        <f>(AL869+AM869)*$M$3</f>
        <v>0</v>
      </c>
      <c r="N869" s="290">
        <f>M869*$Q869</f>
        <v>0</v>
      </c>
      <c r="O869" s="290">
        <f>C869+E869+G869+I869+K869+M869</f>
        <v>0</v>
      </c>
      <c r="P869" s="153" t="s">
        <v>5</v>
      </c>
      <c r="Q869" s="262"/>
      <c r="R869" s="435"/>
      <c r="S869" s="264"/>
      <c r="T869" s="266"/>
      <c r="U869" s="266">
        <v>0</v>
      </c>
      <c r="W869" s="268">
        <f>T869*$W$3</f>
        <v>0</v>
      </c>
      <c r="X869" s="266">
        <f>U869*$X$3</f>
        <v>0</v>
      </c>
      <c r="Z869" s="268">
        <f>W869</f>
        <v>0</v>
      </c>
      <c r="AA869" s="266">
        <f>U869*$AA$3</f>
        <v>0</v>
      </c>
      <c r="AC869" s="268">
        <f>W869</f>
        <v>0</v>
      </c>
      <c r="AD869" s="266">
        <f>U869*$AD$3</f>
        <v>0</v>
      </c>
      <c r="AF869" s="268">
        <f>W869</f>
        <v>0</v>
      </c>
      <c r="AG869" s="266">
        <f>U869*$AG$3</f>
        <v>0</v>
      </c>
      <c r="AI869" s="268">
        <f>W869</f>
        <v>0</v>
      </c>
      <c r="AJ869" s="266">
        <f>U869*$AJ$3</f>
        <v>0</v>
      </c>
      <c r="AL869" s="268">
        <f>W869</f>
        <v>0</v>
      </c>
      <c r="AM869" s="266">
        <f>U869*$AM$3</f>
        <v>0</v>
      </c>
    </row>
    <row r="870" spans="1:39" s="267" customFormat="1" x14ac:dyDescent="0.2">
      <c r="A870" s="258"/>
      <c r="B870" s="269"/>
      <c r="C870" s="290"/>
      <c r="D870" s="290">
        <f t="shared" si="372"/>
        <v>0</v>
      </c>
      <c r="E870" s="290"/>
      <c r="F870" s="290">
        <f t="shared" si="373"/>
        <v>0</v>
      </c>
      <c r="G870" s="290"/>
      <c r="H870" s="290">
        <f t="shared" si="374"/>
        <v>0</v>
      </c>
      <c r="I870" s="290"/>
      <c r="J870" s="290">
        <f t="shared" si="375"/>
        <v>0</v>
      </c>
      <c r="K870" s="290"/>
      <c r="L870" s="290">
        <f t="shared" si="376"/>
        <v>0</v>
      </c>
      <c r="M870" s="290"/>
      <c r="N870" s="290">
        <f t="shared" si="377"/>
        <v>0</v>
      </c>
      <c r="O870" s="290"/>
      <c r="P870" s="261"/>
      <c r="Q870" s="262"/>
      <c r="R870" s="435"/>
      <c r="S870" s="264"/>
      <c r="T870" s="266"/>
      <c r="U870" s="211"/>
      <c r="W870" s="211"/>
      <c r="X870" s="211"/>
      <c r="Z870" s="211"/>
      <c r="AA870" s="211"/>
      <c r="AC870" s="211"/>
      <c r="AD870" s="211"/>
      <c r="AF870" s="211"/>
      <c r="AG870" s="211"/>
      <c r="AI870" s="211"/>
      <c r="AJ870" s="211"/>
      <c r="AL870" s="211"/>
      <c r="AM870" s="211"/>
    </row>
    <row r="871" spans="1:39" s="267" customFormat="1" ht="42.75" x14ac:dyDescent="0.2">
      <c r="A871" s="258" t="s">
        <v>72</v>
      </c>
      <c r="B871" s="269" t="s">
        <v>166</v>
      </c>
      <c r="C871" s="290">
        <f>(W871+X871)*$C$3</f>
        <v>0</v>
      </c>
      <c r="D871" s="290">
        <f>C871*$Q871</f>
        <v>0</v>
      </c>
      <c r="E871" s="290">
        <f>(Z871+AA871)*$E$3</f>
        <v>0</v>
      </c>
      <c r="F871" s="290">
        <f>E871*$Q871</f>
        <v>0</v>
      </c>
      <c r="G871" s="290">
        <f>(AC871+AD871)*$G$3</f>
        <v>0</v>
      </c>
      <c r="H871" s="290">
        <f>G871*$Q871</f>
        <v>0</v>
      </c>
      <c r="I871" s="290">
        <f>(AF871+AG871)*$I$3</f>
        <v>0</v>
      </c>
      <c r="J871" s="290">
        <f>I871*$Q871</f>
        <v>0</v>
      </c>
      <c r="K871" s="290">
        <f>(AI871+AJ871)*$K$3</f>
        <v>0</v>
      </c>
      <c r="L871" s="290">
        <f>K871*$Q871</f>
        <v>0</v>
      </c>
      <c r="M871" s="290">
        <f>(AL871+AM871)*$M$3</f>
        <v>0</v>
      </c>
      <c r="N871" s="290">
        <f>M871*$Q871</f>
        <v>0</v>
      </c>
      <c r="O871" s="290">
        <f>C871+E871+G871+I871+K871+M871</f>
        <v>0</v>
      </c>
      <c r="P871" s="153" t="s">
        <v>5</v>
      </c>
      <c r="Q871" s="262"/>
      <c r="R871" s="435"/>
      <c r="S871" s="264"/>
      <c r="T871" s="266"/>
      <c r="U871" s="266">
        <v>0</v>
      </c>
      <c r="W871" s="268">
        <f>T871*$W$3</f>
        <v>0</v>
      </c>
      <c r="X871" s="266">
        <f>U871*$X$3</f>
        <v>0</v>
      </c>
      <c r="Z871" s="268">
        <f>W871</f>
        <v>0</v>
      </c>
      <c r="AA871" s="266">
        <f>U871*$AA$3</f>
        <v>0</v>
      </c>
      <c r="AC871" s="268">
        <f>W871</f>
        <v>0</v>
      </c>
      <c r="AD871" s="266">
        <f>U871*$AD$3</f>
        <v>0</v>
      </c>
      <c r="AF871" s="268">
        <f>W871</f>
        <v>0</v>
      </c>
      <c r="AG871" s="266">
        <f>U871*$AG$3</f>
        <v>0</v>
      </c>
      <c r="AI871" s="268">
        <f>W871</f>
        <v>0</v>
      </c>
      <c r="AJ871" s="266">
        <f>U871*$AJ$3</f>
        <v>0</v>
      </c>
      <c r="AL871" s="268">
        <f>W871</f>
        <v>0</v>
      </c>
      <c r="AM871" s="266">
        <f>U871*$AM$3</f>
        <v>0</v>
      </c>
    </row>
    <row r="872" spans="1:39" s="267" customFormat="1" x14ac:dyDescent="0.2">
      <c r="A872" s="258"/>
      <c r="B872" s="269"/>
      <c r="C872" s="290"/>
      <c r="D872" s="290">
        <f t="shared" si="372"/>
        <v>0</v>
      </c>
      <c r="E872" s="290"/>
      <c r="F872" s="290">
        <f t="shared" si="373"/>
        <v>0</v>
      </c>
      <c r="G872" s="290"/>
      <c r="H872" s="290">
        <f t="shared" si="374"/>
        <v>0</v>
      </c>
      <c r="I872" s="290"/>
      <c r="J872" s="290">
        <f t="shared" si="375"/>
        <v>0</v>
      </c>
      <c r="K872" s="290"/>
      <c r="L872" s="290">
        <f t="shared" si="376"/>
        <v>0</v>
      </c>
      <c r="M872" s="290"/>
      <c r="N872" s="290">
        <f t="shared" si="377"/>
        <v>0</v>
      </c>
      <c r="O872" s="290"/>
      <c r="P872" s="261"/>
      <c r="Q872" s="262"/>
      <c r="R872" s="435"/>
      <c r="S872" s="264"/>
      <c r="T872" s="266"/>
      <c r="U872" s="211"/>
      <c r="W872" s="211"/>
      <c r="X872" s="211"/>
      <c r="Z872" s="211"/>
      <c r="AA872" s="211"/>
      <c r="AC872" s="211"/>
      <c r="AD872" s="211"/>
      <c r="AF872" s="211"/>
      <c r="AG872" s="211"/>
      <c r="AI872" s="211"/>
      <c r="AJ872" s="211"/>
      <c r="AL872" s="211"/>
      <c r="AM872" s="211"/>
    </row>
    <row r="873" spans="1:39" s="267" customFormat="1" x14ac:dyDescent="0.2">
      <c r="A873" s="258" t="s">
        <v>73</v>
      </c>
      <c r="B873" s="269" t="s">
        <v>167</v>
      </c>
      <c r="C873" s="290">
        <f>(W873+X873)*$C$3</f>
        <v>0</v>
      </c>
      <c r="D873" s="290">
        <f>C873*$Q873</f>
        <v>0</v>
      </c>
      <c r="E873" s="290">
        <f>(Z873+AA873)*$E$3</f>
        <v>0</v>
      </c>
      <c r="F873" s="290">
        <f>E873*$Q873</f>
        <v>0</v>
      </c>
      <c r="G873" s="290">
        <f>(AC873+AD873)*$G$3</f>
        <v>0</v>
      </c>
      <c r="H873" s="290">
        <f>G873*$Q873</f>
        <v>0</v>
      </c>
      <c r="I873" s="290">
        <f>(AF873+AG873)*$I$3</f>
        <v>0</v>
      </c>
      <c r="J873" s="290">
        <f>I873*$Q873</f>
        <v>0</v>
      </c>
      <c r="K873" s="290">
        <f>(AI873+AJ873)*$K$3</f>
        <v>0</v>
      </c>
      <c r="L873" s="290">
        <f>K873*$Q873</f>
        <v>0</v>
      </c>
      <c r="M873" s="290">
        <f>(AL873+AM873)*$M$3</f>
        <v>0</v>
      </c>
      <c r="N873" s="290">
        <f>M873*$Q873</f>
        <v>0</v>
      </c>
      <c r="O873" s="290">
        <f>C873+E873+G873+I873+K873+M873</f>
        <v>0</v>
      </c>
      <c r="P873" s="153" t="s">
        <v>5</v>
      </c>
      <c r="Q873" s="262"/>
      <c r="R873" s="435"/>
      <c r="S873" s="264"/>
      <c r="T873" s="266"/>
      <c r="U873" s="266">
        <v>0</v>
      </c>
      <c r="W873" s="268">
        <f>T873*$W$3</f>
        <v>0</v>
      </c>
      <c r="X873" s="266">
        <f>U873*$X$3</f>
        <v>0</v>
      </c>
      <c r="Z873" s="268">
        <f>W873</f>
        <v>0</v>
      </c>
      <c r="AA873" s="266">
        <f>U873*$AA$3</f>
        <v>0</v>
      </c>
      <c r="AC873" s="268">
        <f>W873</f>
        <v>0</v>
      </c>
      <c r="AD873" s="266">
        <f>U873*$AD$3</f>
        <v>0</v>
      </c>
      <c r="AF873" s="268">
        <f>W873</f>
        <v>0</v>
      </c>
      <c r="AG873" s="266">
        <f>U873*$AG$3</f>
        <v>0</v>
      </c>
      <c r="AI873" s="268">
        <f>W873</f>
        <v>0</v>
      </c>
      <c r="AJ873" s="266">
        <f>U873*$AJ$3</f>
        <v>0</v>
      </c>
      <c r="AL873" s="268">
        <f>W873</f>
        <v>0</v>
      </c>
      <c r="AM873" s="266">
        <f>U873*$AM$3</f>
        <v>0</v>
      </c>
    </row>
    <row r="874" spans="1:39" s="267" customFormat="1" x14ac:dyDescent="0.2">
      <c r="A874" s="258"/>
      <c r="B874" s="269"/>
      <c r="C874" s="290"/>
      <c r="D874" s="290">
        <f t="shared" si="372"/>
        <v>0</v>
      </c>
      <c r="E874" s="290"/>
      <c r="F874" s="290">
        <f t="shared" si="373"/>
        <v>0</v>
      </c>
      <c r="G874" s="290"/>
      <c r="H874" s="290">
        <f t="shared" si="374"/>
        <v>0</v>
      </c>
      <c r="I874" s="290"/>
      <c r="J874" s="290">
        <f t="shared" si="375"/>
        <v>0</v>
      </c>
      <c r="K874" s="290"/>
      <c r="L874" s="290">
        <f t="shared" si="376"/>
        <v>0</v>
      </c>
      <c r="M874" s="290"/>
      <c r="N874" s="290">
        <f t="shared" si="377"/>
        <v>0</v>
      </c>
      <c r="O874" s="290"/>
      <c r="P874" s="261"/>
      <c r="Q874" s="262"/>
      <c r="R874" s="435"/>
      <c r="S874" s="264"/>
      <c r="T874" s="266"/>
      <c r="U874" s="211"/>
      <c r="W874" s="211"/>
      <c r="X874" s="211"/>
      <c r="Z874" s="211"/>
      <c r="AA874" s="211"/>
      <c r="AC874" s="211"/>
      <c r="AD874" s="211"/>
      <c r="AF874" s="211"/>
      <c r="AG874" s="211"/>
      <c r="AI874" s="211"/>
      <c r="AJ874" s="211"/>
      <c r="AL874" s="211"/>
      <c r="AM874" s="211"/>
    </row>
    <row r="875" spans="1:39" s="267" customFormat="1" ht="42.75" x14ac:dyDescent="0.2">
      <c r="A875" s="258" t="s">
        <v>74</v>
      </c>
      <c r="B875" s="269" t="s">
        <v>141</v>
      </c>
      <c r="C875" s="290">
        <f>(W875+X875)*$C$3</f>
        <v>0</v>
      </c>
      <c r="D875" s="290">
        <f>C875*$Q875</f>
        <v>0</v>
      </c>
      <c r="E875" s="290">
        <f>(Z875+AA875)*$E$3</f>
        <v>0</v>
      </c>
      <c r="F875" s="290">
        <f>E875*$Q875</f>
        <v>0</v>
      </c>
      <c r="G875" s="290">
        <f>(AC875+AD875)*$G$3</f>
        <v>0</v>
      </c>
      <c r="H875" s="290">
        <f>G875*$Q875</f>
        <v>0</v>
      </c>
      <c r="I875" s="290">
        <f>(AF875+AG875)*$I$3</f>
        <v>0</v>
      </c>
      <c r="J875" s="290">
        <f>I875*$Q875</f>
        <v>0</v>
      </c>
      <c r="K875" s="290">
        <f>(AI875+AJ875)*$K$3</f>
        <v>0</v>
      </c>
      <c r="L875" s="290">
        <f>K875*$Q875</f>
        <v>0</v>
      </c>
      <c r="M875" s="290">
        <f>(AL875+AM875)*$M$3</f>
        <v>0</v>
      </c>
      <c r="N875" s="290">
        <f>M875*$Q875</f>
        <v>0</v>
      </c>
      <c r="O875" s="290">
        <f>C875+E875+G875+I875+K875+M875</f>
        <v>0</v>
      </c>
      <c r="P875" s="153" t="s">
        <v>5</v>
      </c>
      <c r="Q875" s="262"/>
      <c r="R875" s="435"/>
      <c r="S875" s="264"/>
      <c r="T875" s="266"/>
      <c r="U875" s="266">
        <v>0</v>
      </c>
      <c r="W875" s="268">
        <f>T875*$W$3</f>
        <v>0</v>
      </c>
      <c r="X875" s="266">
        <f>U875*$X$3</f>
        <v>0</v>
      </c>
      <c r="Z875" s="268">
        <f>W875</f>
        <v>0</v>
      </c>
      <c r="AA875" s="266">
        <f>U875*$AA$3</f>
        <v>0</v>
      </c>
      <c r="AC875" s="268">
        <f>W875</f>
        <v>0</v>
      </c>
      <c r="AD875" s="266">
        <f>U875*$AD$3</f>
        <v>0</v>
      </c>
      <c r="AF875" s="268">
        <f>W875</f>
        <v>0</v>
      </c>
      <c r="AG875" s="266">
        <f>U875*$AG$3</f>
        <v>0</v>
      </c>
      <c r="AI875" s="268">
        <f>W875</f>
        <v>0</v>
      </c>
      <c r="AJ875" s="266">
        <f>U875*$AJ$3</f>
        <v>0</v>
      </c>
      <c r="AL875" s="268">
        <f>W875</f>
        <v>0</v>
      </c>
      <c r="AM875" s="266">
        <f>U875*$AM$3</f>
        <v>0</v>
      </c>
    </row>
    <row r="876" spans="1:39" s="267" customFormat="1" x14ac:dyDescent="0.2">
      <c r="A876" s="258"/>
      <c r="B876" s="206"/>
      <c r="C876" s="290"/>
      <c r="D876" s="290">
        <f t="shared" si="372"/>
        <v>0</v>
      </c>
      <c r="E876" s="290"/>
      <c r="F876" s="290">
        <f t="shared" si="373"/>
        <v>0</v>
      </c>
      <c r="G876" s="290"/>
      <c r="H876" s="290">
        <f t="shared" si="374"/>
        <v>0</v>
      </c>
      <c r="I876" s="290"/>
      <c r="J876" s="290">
        <f t="shared" si="375"/>
        <v>0</v>
      </c>
      <c r="K876" s="290"/>
      <c r="L876" s="290">
        <f t="shared" si="376"/>
        <v>0</v>
      </c>
      <c r="M876" s="290"/>
      <c r="N876" s="290">
        <f t="shared" si="377"/>
        <v>0</v>
      </c>
      <c r="O876" s="290"/>
      <c r="P876" s="261"/>
      <c r="Q876" s="262"/>
      <c r="R876" s="435"/>
      <c r="S876" s="264"/>
      <c r="T876" s="266"/>
      <c r="U876" s="211"/>
      <c r="W876" s="211"/>
      <c r="X876" s="211"/>
      <c r="Z876" s="211"/>
      <c r="AA876" s="211"/>
      <c r="AC876" s="211"/>
      <c r="AD876" s="211"/>
      <c r="AF876" s="211"/>
      <c r="AG876" s="211"/>
      <c r="AI876" s="211"/>
      <c r="AJ876" s="211"/>
      <c r="AL876" s="211"/>
      <c r="AM876" s="211"/>
    </row>
    <row r="877" spans="1:39" s="267" customFormat="1" ht="14.25" customHeight="1" x14ac:dyDescent="0.2">
      <c r="A877" s="258" t="s">
        <v>75</v>
      </c>
      <c r="B877" s="269" t="s">
        <v>168</v>
      </c>
      <c r="C877" s="290">
        <f>(W877+X877)*$C$3</f>
        <v>0</v>
      </c>
      <c r="D877" s="290">
        <f>C877*$Q877</f>
        <v>0</v>
      </c>
      <c r="E877" s="290">
        <f>(Z877+AA877)*$E$3</f>
        <v>0</v>
      </c>
      <c r="F877" s="290">
        <f>E877*$Q877</f>
        <v>0</v>
      </c>
      <c r="G877" s="290">
        <f>(AC877+AD877)*$G$3</f>
        <v>0</v>
      </c>
      <c r="H877" s="290">
        <f>G877*$Q877</f>
        <v>0</v>
      </c>
      <c r="I877" s="290">
        <f>(AF877+AG877)*$I$3</f>
        <v>0</v>
      </c>
      <c r="J877" s="290">
        <f>I877*$Q877</f>
        <v>0</v>
      </c>
      <c r="K877" s="290">
        <f>(AI877+AJ877)*$K$3</f>
        <v>0</v>
      </c>
      <c r="L877" s="290">
        <f>K877*$Q877</f>
        <v>0</v>
      </c>
      <c r="M877" s="290">
        <f>(AL877+AM877)*$M$3</f>
        <v>0</v>
      </c>
      <c r="N877" s="290">
        <f>M877*$Q877</f>
        <v>0</v>
      </c>
      <c r="O877" s="290">
        <f>C877+E877+G877+I877+K877+M877</f>
        <v>0</v>
      </c>
      <c r="P877" s="153" t="s">
        <v>5</v>
      </c>
      <c r="Q877" s="262"/>
      <c r="R877" s="435"/>
      <c r="S877" s="264"/>
      <c r="T877" s="266"/>
      <c r="U877" s="266">
        <v>0</v>
      </c>
      <c r="W877" s="268">
        <f>T877*$W$3</f>
        <v>0</v>
      </c>
      <c r="X877" s="266">
        <f>U877*$X$3</f>
        <v>0</v>
      </c>
      <c r="Z877" s="268">
        <f>W877</f>
        <v>0</v>
      </c>
      <c r="AA877" s="266">
        <f>U877*$AA$3</f>
        <v>0</v>
      </c>
      <c r="AC877" s="268">
        <f>W877</f>
        <v>0</v>
      </c>
      <c r="AD877" s="266">
        <f>U877*$AD$3</f>
        <v>0</v>
      </c>
      <c r="AF877" s="268">
        <f>W877</f>
        <v>0</v>
      </c>
      <c r="AG877" s="266">
        <f>U877*$AG$3</f>
        <v>0</v>
      </c>
      <c r="AI877" s="268">
        <f>W877</f>
        <v>0</v>
      </c>
      <c r="AJ877" s="266">
        <f>U877*$AJ$3</f>
        <v>0</v>
      </c>
      <c r="AL877" s="268">
        <f>W877</f>
        <v>0</v>
      </c>
      <c r="AM877" s="266">
        <f>U877*$AM$3</f>
        <v>0</v>
      </c>
    </row>
    <row r="878" spans="1:39" s="267" customFormat="1" x14ac:dyDescent="0.2">
      <c r="A878" s="258"/>
      <c r="B878" s="259"/>
      <c r="C878" s="290"/>
      <c r="D878" s="290">
        <f t="shared" si="372"/>
        <v>0</v>
      </c>
      <c r="E878" s="290"/>
      <c r="F878" s="290">
        <f t="shared" si="373"/>
        <v>0</v>
      </c>
      <c r="G878" s="290"/>
      <c r="H878" s="290">
        <f t="shared" si="374"/>
        <v>0</v>
      </c>
      <c r="I878" s="290"/>
      <c r="J878" s="290">
        <f t="shared" si="375"/>
        <v>0</v>
      </c>
      <c r="K878" s="290"/>
      <c r="L878" s="290">
        <f t="shared" si="376"/>
        <v>0</v>
      </c>
      <c r="M878" s="290"/>
      <c r="N878" s="290">
        <f t="shared" si="377"/>
        <v>0</v>
      </c>
      <c r="O878" s="290"/>
      <c r="P878" s="261"/>
      <c r="Q878" s="262"/>
      <c r="R878" s="435"/>
      <c r="S878" s="264"/>
      <c r="T878" s="266"/>
      <c r="U878" s="211"/>
      <c r="W878" s="211"/>
      <c r="X878" s="211"/>
      <c r="Z878" s="211"/>
      <c r="AA878" s="211"/>
      <c r="AC878" s="211"/>
      <c r="AD878" s="211"/>
      <c r="AF878" s="211"/>
      <c r="AG878" s="211"/>
      <c r="AI878" s="211"/>
      <c r="AJ878" s="211"/>
      <c r="AL878" s="211"/>
      <c r="AM878" s="211"/>
    </row>
    <row r="879" spans="1:39" s="267" customFormat="1" x14ac:dyDescent="0.2">
      <c r="A879" s="258"/>
      <c r="B879" s="259"/>
      <c r="C879" s="290"/>
      <c r="D879" s="290">
        <f t="shared" si="372"/>
        <v>0</v>
      </c>
      <c r="E879" s="290"/>
      <c r="F879" s="290">
        <f t="shared" si="373"/>
        <v>0</v>
      </c>
      <c r="G879" s="290"/>
      <c r="H879" s="290">
        <f t="shared" si="374"/>
        <v>0</v>
      </c>
      <c r="I879" s="290"/>
      <c r="J879" s="290">
        <f t="shared" si="375"/>
        <v>0</v>
      </c>
      <c r="K879" s="290"/>
      <c r="L879" s="290">
        <f t="shared" si="376"/>
        <v>0</v>
      </c>
      <c r="M879" s="290"/>
      <c r="N879" s="290">
        <f t="shared" si="377"/>
        <v>0</v>
      </c>
      <c r="O879" s="290"/>
      <c r="P879" s="261"/>
      <c r="Q879" s="262"/>
      <c r="R879" s="435"/>
      <c r="S879" s="264"/>
      <c r="T879" s="266"/>
      <c r="U879" s="211"/>
      <c r="W879" s="211"/>
      <c r="X879" s="211"/>
      <c r="Z879" s="211"/>
      <c r="AA879" s="211"/>
      <c r="AC879" s="211"/>
      <c r="AD879" s="211"/>
      <c r="AF879" s="211"/>
      <c r="AG879" s="211"/>
      <c r="AI879" s="211"/>
      <c r="AJ879" s="211"/>
      <c r="AL879" s="211"/>
      <c r="AM879" s="211"/>
    </row>
    <row r="880" spans="1:39" s="267" customFormat="1" x14ac:dyDescent="0.2">
      <c r="A880" s="258"/>
      <c r="B880" s="259"/>
      <c r="C880" s="290"/>
      <c r="D880" s="290"/>
      <c r="E880" s="290"/>
      <c r="F880" s="290"/>
      <c r="G880" s="290"/>
      <c r="H880" s="290"/>
      <c r="I880" s="290"/>
      <c r="J880" s="290"/>
      <c r="K880" s="290"/>
      <c r="L880" s="290"/>
      <c r="M880" s="290"/>
      <c r="N880" s="290"/>
      <c r="O880" s="290"/>
      <c r="P880" s="261"/>
      <c r="Q880" s="262"/>
      <c r="R880" s="435"/>
      <c r="S880" s="264"/>
      <c r="T880" s="266"/>
      <c r="U880" s="211"/>
      <c r="W880" s="211"/>
      <c r="X880" s="211"/>
      <c r="Z880" s="211"/>
      <c r="AA880" s="211"/>
      <c r="AC880" s="211"/>
      <c r="AD880" s="211"/>
      <c r="AF880" s="211"/>
      <c r="AG880" s="211"/>
      <c r="AI880" s="211"/>
      <c r="AJ880" s="211"/>
      <c r="AL880" s="211"/>
      <c r="AM880" s="211"/>
    </row>
    <row r="881" spans="1:39" s="267" customFormat="1" x14ac:dyDescent="0.2">
      <c r="A881" s="258"/>
      <c r="B881" s="259"/>
      <c r="C881" s="290"/>
      <c r="D881" s="290"/>
      <c r="E881" s="290"/>
      <c r="F881" s="290"/>
      <c r="G881" s="290"/>
      <c r="H881" s="290"/>
      <c r="I881" s="290"/>
      <c r="J881" s="290"/>
      <c r="K881" s="290"/>
      <c r="L881" s="290"/>
      <c r="M881" s="290"/>
      <c r="N881" s="290"/>
      <c r="O881" s="290"/>
      <c r="P881" s="261"/>
      <c r="Q881" s="262"/>
      <c r="R881" s="435"/>
      <c r="S881" s="264"/>
      <c r="T881" s="266"/>
      <c r="U881" s="211"/>
      <c r="W881" s="211"/>
      <c r="X881" s="211"/>
      <c r="Z881" s="211"/>
      <c r="AA881" s="211"/>
      <c r="AC881" s="211"/>
      <c r="AD881" s="211"/>
      <c r="AF881" s="211"/>
      <c r="AG881" s="211"/>
      <c r="AI881" s="211"/>
      <c r="AJ881" s="211"/>
      <c r="AL881" s="211"/>
      <c r="AM881" s="211"/>
    </row>
    <row r="882" spans="1:39" s="267" customFormat="1" x14ac:dyDescent="0.2">
      <c r="A882" s="258"/>
      <c r="B882" s="259"/>
      <c r="C882" s="290"/>
      <c r="D882" s="290"/>
      <c r="E882" s="290"/>
      <c r="F882" s="290"/>
      <c r="G882" s="290"/>
      <c r="H882" s="290"/>
      <c r="I882" s="290"/>
      <c r="J882" s="290"/>
      <c r="K882" s="290"/>
      <c r="L882" s="290"/>
      <c r="M882" s="290"/>
      <c r="N882" s="290"/>
      <c r="O882" s="290"/>
      <c r="P882" s="261"/>
      <c r="Q882" s="262"/>
      <c r="R882" s="435"/>
      <c r="S882" s="264"/>
      <c r="T882" s="266"/>
      <c r="U882" s="211"/>
      <c r="W882" s="211"/>
      <c r="X882" s="211"/>
      <c r="Z882" s="211"/>
      <c r="AA882" s="211"/>
      <c r="AC882" s="211"/>
      <c r="AD882" s="211"/>
      <c r="AF882" s="211"/>
      <c r="AG882" s="211"/>
      <c r="AI882" s="211"/>
      <c r="AJ882" s="211"/>
      <c r="AL882" s="211"/>
      <c r="AM882" s="211"/>
    </row>
    <row r="883" spans="1:39" s="267" customFormat="1" x14ac:dyDescent="0.2">
      <c r="A883" s="258"/>
      <c r="B883" s="259"/>
      <c r="C883" s="290"/>
      <c r="D883" s="290"/>
      <c r="E883" s="290"/>
      <c r="F883" s="290"/>
      <c r="G883" s="290"/>
      <c r="H883" s="290"/>
      <c r="I883" s="290"/>
      <c r="J883" s="290"/>
      <c r="K883" s="290"/>
      <c r="L883" s="290"/>
      <c r="M883" s="290"/>
      <c r="N883" s="290"/>
      <c r="O883" s="290"/>
      <c r="P883" s="261"/>
      <c r="Q883" s="262"/>
      <c r="R883" s="435"/>
      <c r="S883" s="264"/>
      <c r="T883" s="266"/>
      <c r="U883" s="211"/>
      <c r="W883" s="211"/>
      <c r="X883" s="211"/>
      <c r="Z883" s="211"/>
      <c r="AA883" s="211"/>
      <c r="AC883" s="211"/>
      <c r="AD883" s="211"/>
      <c r="AF883" s="211"/>
      <c r="AG883" s="211"/>
      <c r="AI883" s="211"/>
      <c r="AJ883" s="211"/>
      <c r="AL883" s="211"/>
      <c r="AM883" s="211"/>
    </row>
    <row r="884" spans="1:39" s="267" customFormat="1" x14ac:dyDescent="0.2">
      <c r="A884" s="258"/>
      <c r="B884" s="259"/>
      <c r="C884" s="290"/>
      <c r="D884" s="290"/>
      <c r="E884" s="290"/>
      <c r="F884" s="290"/>
      <c r="G884" s="290"/>
      <c r="H884" s="290"/>
      <c r="I884" s="290"/>
      <c r="J884" s="290"/>
      <c r="K884" s="290"/>
      <c r="L884" s="290"/>
      <c r="M884" s="290"/>
      <c r="N884" s="290"/>
      <c r="O884" s="290"/>
      <c r="P884" s="261"/>
      <c r="Q884" s="262"/>
      <c r="R884" s="435"/>
      <c r="S884" s="264"/>
      <c r="T884" s="266"/>
      <c r="U884" s="211"/>
      <c r="W884" s="211"/>
      <c r="X884" s="211"/>
      <c r="Z884" s="211"/>
      <c r="AA884" s="211"/>
      <c r="AC884" s="211"/>
      <c r="AD884" s="211"/>
      <c r="AF884" s="211"/>
      <c r="AG884" s="211"/>
      <c r="AI884" s="211"/>
      <c r="AJ884" s="211"/>
      <c r="AL884" s="211"/>
      <c r="AM884" s="211"/>
    </row>
    <row r="885" spans="1:39" s="267" customFormat="1" x14ac:dyDescent="0.2">
      <c r="A885" s="258"/>
      <c r="B885" s="259"/>
      <c r="C885" s="290"/>
      <c r="D885" s="290"/>
      <c r="E885" s="290"/>
      <c r="F885" s="290"/>
      <c r="G885" s="290"/>
      <c r="H885" s="290"/>
      <c r="I885" s="290"/>
      <c r="J885" s="290"/>
      <c r="K885" s="290"/>
      <c r="L885" s="290"/>
      <c r="M885" s="290"/>
      <c r="N885" s="290"/>
      <c r="O885" s="290"/>
      <c r="P885" s="261"/>
      <c r="Q885" s="262"/>
      <c r="R885" s="435"/>
      <c r="S885" s="264"/>
      <c r="T885" s="266"/>
      <c r="U885" s="211"/>
      <c r="W885" s="211"/>
      <c r="X885" s="211"/>
      <c r="Z885" s="211"/>
      <c r="AA885" s="211"/>
      <c r="AC885" s="211"/>
      <c r="AD885" s="211"/>
      <c r="AF885" s="211"/>
      <c r="AG885" s="211"/>
      <c r="AI885" s="211"/>
      <c r="AJ885" s="211"/>
      <c r="AL885" s="211"/>
      <c r="AM885" s="211"/>
    </row>
    <row r="886" spans="1:39" s="267" customFormat="1" x14ac:dyDescent="0.2">
      <c r="A886" s="258"/>
      <c r="B886" s="259"/>
      <c r="C886" s="290"/>
      <c r="D886" s="290">
        <f t="shared" si="372"/>
        <v>0</v>
      </c>
      <c r="E886" s="290"/>
      <c r="F886" s="290">
        <f t="shared" si="373"/>
        <v>0</v>
      </c>
      <c r="G886" s="290"/>
      <c r="H886" s="290">
        <f t="shared" si="374"/>
        <v>0</v>
      </c>
      <c r="I886" s="290"/>
      <c r="J886" s="290">
        <f t="shared" si="375"/>
        <v>0</v>
      </c>
      <c r="K886" s="290"/>
      <c r="L886" s="290">
        <f t="shared" si="376"/>
        <v>0</v>
      </c>
      <c r="M886" s="290"/>
      <c r="N886" s="290">
        <f t="shared" si="377"/>
        <v>0</v>
      </c>
      <c r="O886" s="290"/>
      <c r="P886" s="261"/>
      <c r="Q886" s="262"/>
      <c r="R886" s="435"/>
      <c r="S886" s="264"/>
      <c r="T886" s="266"/>
      <c r="U886" s="211"/>
      <c r="W886" s="211"/>
      <c r="X886" s="211"/>
      <c r="Z886" s="211"/>
      <c r="AA886" s="211"/>
      <c r="AC886" s="211"/>
      <c r="AD886" s="211"/>
      <c r="AF886" s="211"/>
      <c r="AG886" s="211"/>
      <c r="AI886" s="211"/>
      <c r="AJ886" s="211"/>
      <c r="AL886" s="211"/>
      <c r="AM886" s="211"/>
    </row>
    <row r="887" spans="1:39" s="267" customFormat="1" x14ac:dyDescent="0.2">
      <c r="A887" s="258"/>
      <c r="B887" s="259"/>
      <c r="C887" s="290"/>
      <c r="D887" s="290"/>
      <c r="E887" s="290"/>
      <c r="F887" s="290"/>
      <c r="G887" s="290"/>
      <c r="H887" s="290"/>
      <c r="I887" s="290"/>
      <c r="J887" s="290"/>
      <c r="K887" s="290"/>
      <c r="L887" s="290"/>
      <c r="M887" s="290"/>
      <c r="N887" s="290"/>
      <c r="O887" s="290"/>
      <c r="P887" s="261"/>
      <c r="Q887" s="262"/>
      <c r="R887" s="435"/>
      <c r="S887" s="264"/>
      <c r="T887" s="266"/>
      <c r="U887" s="211"/>
      <c r="W887" s="211"/>
      <c r="X887" s="211"/>
      <c r="Z887" s="211"/>
      <c r="AA887" s="211"/>
      <c r="AC887" s="211"/>
      <c r="AD887" s="211"/>
      <c r="AF887" s="211"/>
      <c r="AG887" s="211"/>
      <c r="AI887" s="211"/>
      <c r="AJ887" s="211"/>
      <c r="AL887" s="211"/>
      <c r="AM887" s="211"/>
    </row>
    <row r="888" spans="1:39" s="267" customFormat="1" x14ac:dyDescent="0.2">
      <c r="A888" s="258"/>
      <c r="B888" s="259"/>
      <c r="C888" s="290"/>
      <c r="D888" s="290"/>
      <c r="E888" s="290"/>
      <c r="F888" s="290"/>
      <c r="G888" s="290"/>
      <c r="H888" s="290"/>
      <c r="I888" s="290"/>
      <c r="J888" s="290"/>
      <c r="K888" s="290"/>
      <c r="L888" s="290"/>
      <c r="M888" s="290"/>
      <c r="N888" s="290"/>
      <c r="O888" s="290"/>
      <c r="P888" s="261"/>
      <c r="Q888" s="262"/>
      <c r="R888" s="435"/>
      <c r="S888" s="264"/>
      <c r="T888" s="266"/>
      <c r="U888" s="211"/>
      <c r="W888" s="211"/>
      <c r="X888" s="211"/>
      <c r="Z888" s="211"/>
      <c r="AA888" s="211"/>
      <c r="AC888" s="211"/>
      <c r="AD888" s="211"/>
      <c r="AF888" s="211"/>
      <c r="AG888" s="211"/>
      <c r="AI888" s="211"/>
      <c r="AJ888" s="211"/>
      <c r="AL888" s="211"/>
      <c r="AM888" s="211"/>
    </row>
    <row r="889" spans="1:39" s="267" customFormat="1" x14ac:dyDescent="0.2">
      <c r="A889" s="308"/>
      <c r="B889" s="259"/>
      <c r="C889" s="290"/>
      <c r="D889" s="290">
        <f>C889*$Q889</f>
        <v>0</v>
      </c>
      <c r="E889" s="290"/>
      <c r="F889" s="290">
        <f>E889*$Q889</f>
        <v>0</v>
      </c>
      <c r="G889" s="290"/>
      <c r="H889" s="290">
        <f>G889*$Q889</f>
        <v>0</v>
      </c>
      <c r="I889" s="290"/>
      <c r="J889" s="290">
        <f>I889*$Q889</f>
        <v>0</v>
      </c>
      <c r="K889" s="290"/>
      <c r="L889" s="290">
        <f>K889*$Q889</f>
        <v>0</v>
      </c>
      <c r="M889" s="290"/>
      <c r="N889" s="290">
        <f>M889*$Q889</f>
        <v>0</v>
      </c>
      <c r="O889" s="290"/>
      <c r="P889" s="261"/>
      <c r="Q889" s="262"/>
      <c r="R889" s="435"/>
      <c r="S889" s="264"/>
      <c r="T889" s="266"/>
      <c r="U889" s="211"/>
      <c r="W889" s="211"/>
      <c r="X889" s="211"/>
      <c r="Z889" s="211"/>
      <c r="AA889" s="211"/>
      <c r="AC889" s="211"/>
      <c r="AD889" s="211"/>
      <c r="AF889" s="211"/>
      <c r="AG889" s="211"/>
      <c r="AI889" s="211"/>
      <c r="AJ889" s="211"/>
      <c r="AL889" s="211"/>
      <c r="AM889" s="211"/>
    </row>
    <row r="890" spans="1:39" s="267" customFormat="1" x14ac:dyDescent="0.2">
      <c r="A890" s="375"/>
      <c r="B890" s="376"/>
      <c r="C890" s="377"/>
      <c r="D890" s="377"/>
      <c r="E890" s="377"/>
      <c r="F890" s="377"/>
      <c r="G890" s="377"/>
      <c r="H890" s="377"/>
      <c r="I890" s="377"/>
      <c r="J890" s="377"/>
      <c r="K890" s="377"/>
      <c r="L890" s="377"/>
      <c r="M890" s="377"/>
      <c r="N890" s="377"/>
      <c r="O890" s="377"/>
      <c r="P890" s="377"/>
      <c r="Q890" s="378"/>
      <c r="R890" s="441"/>
      <c r="S890" s="264"/>
      <c r="T890" s="273"/>
      <c r="U890" s="274"/>
      <c r="W890" s="273"/>
      <c r="X890" s="273"/>
      <c r="Z890" s="273"/>
      <c r="AA890" s="273"/>
      <c r="AC890" s="273"/>
      <c r="AD890" s="273"/>
      <c r="AF890" s="273"/>
      <c r="AG890" s="273"/>
      <c r="AI890" s="273"/>
      <c r="AJ890" s="273"/>
      <c r="AL890" s="273"/>
      <c r="AM890" s="273"/>
    </row>
    <row r="891" spans="1:39" s="267" customFormat="1" x14ac:dyDescent="0.2">
      <c r="A891" s="380"/>
      <c r="B891" s="320"/>
      <c r="C891" s="550" t="s">
        <v>1</v>
      </c>
      <c r="D891" s="550"/>
      <c r="E891" s="550"/>
      <c r="F891" s="550"/>
      <c r="G891" s="550"/>
      <c r="H891" s="550"/>
      <c r="I891" s="550"/>
      <c r="J891" s="550"/>
      <c r="K891" s="550"/>
      <c r="L891" s="550"/>
      <c r="M891" s="550"/>
      <c r="N891" s="550"/>
      <c r="O891" s="550"/>
      <c r="P891" s="550"/>
      <c r="Q891" s="381" t="s">
        <v>0</v>
      </c>
      <c r="R891" s="435"/>
      <c r="S891" s="276"/>
      <c r="T891" s="266"/>
      <c r="U891" s="277"/>
      <c r="W891" s="266"/>
      <c r="X891" s="266"/>
      <c r="Z891" s="266"/>
      <c r="AA891" s="266"/>
      <c r="AC891" s="266"/>
      <c r="AD891" s="266"/>
      <c r="AF891" s="266"/>
      <c r="AG891" s="266"/>
      <c r="AI891" s="266"/>
      <c r="AJ891" s="266"/>
      <c r="AL891" s="266"/>
      <c r="AM891" s="266"/>
    </row>
    <row r="892" spans="1:39" s="267" customFormat="1" x14ac:dyDescent="0.2">
      <c r="A892" s="380"/>
      <c r="B892" s="320"/>
      <c r="C892" s="309"/>
      <c r="D892" s="309"/>
      <c r="E892" s="309"/>
      <c r="F892" s="309"/>
      <c r="G892" s="309"/>
      <c r="H892" s="309"/>
      <c r="I892" s="309"/>
      <c r="J892" s="309"/>
      <c r="K892" s="309"/>
      <c r="L892" s="309"/>
      <c r="M892" s="309"/>
      <c r="N892" s="309"/>
      <c r="O892" s="309"/>
      <c r="P892" s="309"/>
      <c r="Q892" s="294"/>
      <c r="R892" s="458"/>
      <c r="S892" s="264"/>
      <c r="T892" s="278"/>
      <c r="U892" s="279"/>
      <c r="W892" s="278"/>
      <c r="X892" s="278"/>
      <c r="Z892" s="278"/>
      <c r="AA892" s="278"/>
      <c r="AC892" s="278"/>
      <c r="AD892" s="278"/>
      <c r="AF892" s="278"/>
      <c r="AG892" s="278"/>
      <c r="AI892" s="278"/>
      <c r="AJ892" s="278"/>
      <c r="AL892" s="278"/>
      <c r="AM892" s="278"/>
    </row>
    <row r="893" spans="1:39" s="267" customFormat="1" x14ac:dyDescent="0.2">
      <c r="A893" s="258"/>
      <c r="B893" s="259"/>
      <c r="C893" s="357"/>
      <c r="D893" s="478"/>
      <c r="E893" s="478"/>
      <c r="F893" s="478"/>
      <c r="G893" s="478"/>
      <c r="H893" s="478"/>
      <c r="I893" s="478"/>
      <c r="J893" s="478"/>
      <c r="K893" s="478"/>
      <c r="L893" s="478"/>
      <c r="M893" s="478"/>
      <c r="N893" s="478"/>
      <c r="O893" s="478"/>
      <c r="P893" s="261"/>
      <c r="Q893" s="262"/>
      <c r="R893" s="435"/>
      <c r="S893" s="264"/>
      <c r="T893" s="266"/>
      <c r="U893" s="211"/>
      <c r="W893" s="211"/>
      <c r="X893" s="211"/>
      <c r="Z893" s="211"/>
      <c r="AA893" s="211"/>
      <c r="AC893" s="211"/>
      <c r="AD893" s="211"/>
      <c r="AF893" s="211"/>
      <c r="AG893" s="211"/>
      <c r="AI893" s="211"/>
      <c r="AJ893" s="211"/>
      <c r="AL893" s="211"/>
      <c r="AM893" s="211"/>
    </row>
    <row r="894" spans="1:39" s="267" customFormat="1" x14ac:dyDescent="0.2">
      <c r="A894" s="359"/>
      <c r="B894" s="265" t="s">
        <v>169</v>
      </c>
      <c r="C894" s="290"/>
      <c r="D894" s="290"/>
      <c r="E894" s="290"/>
      <c r="F894" s="290"/>
      <c r="G894" s="290"/>
      <c r="H894" s="290"/>
      <c r="I894" s="290"/>
      <c r="J894" s="290"/>
      <c r="K894" s="290"/>
      <c r="L894" s="290"/>
      <c r="M894" s="290"/>
      <c r="N894" s="290"/>
      <c r="O894" s="290"/>
      <c r="P894" s="261"/>
      <c r="Q894" s="262"/>
      <c r="R894" s="435"/>
      <c r="S894" s="264"/>
      <c r="T894" s="266"/>
      <c r="U894" s="211"/>
      <c r="W894" s="211"/>
      <c r="X894" s="211"/>
      <c r="Z894" s="211"/>
      <c r="AA894" s="211"/>
      <c r="AC894" s="211"/>
      <c r="AD894" s="211"/>
      <c r="AF894" s="211"/>
      <c r="AG894" s="211"/>
      <c r="AI894" s="211"/>
      <c r="AJ894" s="211"/>
      <c r="AL894" s="211"/>
      <c r="AM894" s="211"/>
    </row>
    <row r="895" spans="1:39" s="267" customFormat="1" x14ac:dyDescent="0.2">
      <c r="A895" s="359"/>
      <c r="B895" s="265"/>
      <c r="C895" s="290"/>
      <c r="D895" s="290">
        <f t="shared" ref="D895:D909" si="378">C895*$Q895</f>
        <v>0</v>
      </c>
      <c r="E895" s="290"/>
      <c r="F895" s="290">
        <f t="shared" ref="F895:F909" si="379">E895*$Q895</f>
        <v>0</v>
      </c>
      <c r="G895" s="290"/>
      <c r="H895" s="290">
        <f t="shared" ref="H895:H909" si="380">G895*$Q895</f>
        <v>0</v>
      </c>
      <c r="I895" s="290"/>
      <c r="J895" s="290">
        <f t="shared" ref="J895:J909" si="381">I895*$Q895</f>
        <v>0</v>
      </c>
      <c r="K895" s="290"/>
      <c r="L895" s="290">
        <f t="shared" ref="L895:L909" si="382">K895*$Q895</f>
        <v>0</v>
      </c>
      <c r="M895" s="290"/>
      <c r="N895" s="290">
        <f t="shared" ref="N895:N909" si="383">M895*$Q895</f>
        <v>0</v>
      </c>
      <c r="O895" s="290"/>
      <c r="P895" s="261"/>
      <c r="Q895" s="262"/>
      <c r="R895" s="435"/>
      <c r="S895" s="264"/>
      <c r="T895" s="266"/>
      <c r="U895" s="211"/>
      <c r="W895" s="211"/>
      <c r="X895" s="211"/>
      <c r="Z895" s="211"/>
      <c r="AA895" s="211"/>
      <c r="AC895" s="211"/>
      <c r="AD895" s="211"/>
      <c r="AF895" s="211"/>
      <c r="AG895" s="211"/>
      <c r="AI895" s="211"/>
      <c r="AJ895" s="211"/>
      <c r="AL895" s="211"/>
      <c r="AM895" s="211"/>
    </row>
    <row r="896" spans="1:39" s="267" customFormat="1" ht="28.5" x14ac:dyDescent="0.2">
      <c r="A896" s="359" t="s">
        <v>66</v>
      </c>
      <c r="B896" s="269" t="s">
        <v>143</v>
      </c>
      <c r="C896" s="290">
        <f>(W896+X896)*$C$3</f>
        <v>0</v>
      </c>
      <c r="D896" s="290">
        <f>C896*$Q896</f>
        <v>0</v>
      </c>
      <c r="E896" s="290">
        <f>(Z896+AA896)*$E$3</f>
        <v>0</v>
      </c>
      <c r="F896" s="290">
        <f>E896*$Q896</f>
        <v>0</v>
      </c>
      <c r="G896" s="290">
        <f>(AC896+AD896)*$G$3</f>
        <v>0</v>
      </c>
      <c r="H896" s="290">
        <f>G896*$Q896</f>
        <v>0</v>
      </c>
      <c r="I896" s="290">
        <f>(AF896+AG896)*$I$3</f>
        <v>0</v>
      </c>
      <c r="J896" s="290">
        <f>I896*$Q896</f>
        <v>0</v>
      </c>
      <c r="K896" s="290">
        <f>(AI896+AJ896)*$K$3</f>
        <v>0</v>
      </c>
      <c r="L896" s="290">
        <f>K896*$Q896</f>
        <v>0</v>
      </c>
      <c r="M896" s="290">
        <f>(AL896+AM896)*$M$3</f>
        <v>0</v>
      </c>
      <c r="N896" s="290">
        <f>M896*$Q896</f>
        <v>0</v>
      </c>
      <c r="O896" s="290">
        <f>C896+E896+G896+I896+K896+M896</f>
        <v>0</v>
      </c>
      <c r="P896" s="153" t="s">
        <v>5</v>
      </c>
      <c r="Q896" s="262"/>
      <c r="R896" s="435"/>
      <c r="S896" s="264"/>
      <c r="T896" s="266"/>
      <c r="U896" s="266">
        <v>0</v>
      </c>
      <c r="W896" s="268">
        <f>T896*$W$3</f>
        <v>0</v>
      </c>
      <c r="X896" s="266">
        <f>U896*$X$3</f>
        <v>0</v>
      </c>
      <c r="Z896" s="268">
        <f>W896</f>
        <v>0</v>
      </c>
      <c r="AA896" s="266">
        <f>U896*$AA$3</f>
        <v>0</v>
      </c>
      <c r="AC896" s="268">
        <f>W896</f>
        <v>0</v>
      </c>
      <c r="AD896" s="266">
        <f>U896*$AD$3</f>
        <v>0</v>
      </c>
      <c r="AF896" s="268">
        <f>W896</f>
        <v>0</v>
      </c>
      <c r="AG896" s="266">
        <f>U896*$AG$3</f>
        <v>0</v>
      </c>
      <c r="AI896" s="268">
        <f>W896</f>
        <v>0</v>
      </c>
      <c r="AJ896" s="266">
        <f>U896*$AJ$3</f>
        <v>0</v>
      </c>
      <c r="AL896" s="268">
        <f>W896</f>
        <v>0</v>
      </c>
      <c r="AM896" s="266">
        <f>U896*$AM$3</f>
        <v>0</v>
      </c>
    </row>
    <row r="897" spans="1:39" s="267" customFormat="1" x14ac:dyDescent="0.2">
      <c r="A897" s="359"/>
      <c r="B897" s="269"/>
      <c r="C897" s="290"/>
      <c r="D897" s="290">
        <f t="shared" si="378"/>
        <v>0</v>
      </c>
      <c r="E897" s="290"/>
      <c r="F897" s="290">
        <f t="shared" si="379"/>
        <v>0</v>
      </c>
      <c r="G897" s="290"/>
      <c r="H897" s="290">
        <f t="shared" si="380"/>
        <v>0</v>
      </c>
      <c r="I897" s="290"/>
      <c r="J897" s="290">
        <f t="shared" si="381"/>
        <v>0</v>
      </c>
      <c r="K897" s="290"/>
      <c r="L897" s="290">
        <f t="shared" si="382"/>
        <v>0</v>
      </c>
      <c r="M897" s="290"/>
      <c r="N897" s="290">
        <f t="shared" si="383"/>
        <v>0</v>
      </c>
      <c r="O897" s="290"/>
      <c r="P897" s="153"/>
      <c r="Q897" s="262"/>
      <c r="R897" s="435"/>
      <c r="S897" s="264"/>
      <c r="T897" s="266"/>
      <c r="U897" s="211"/>
      <c r="W897" s="211"/>
      <c r="X897" s="211"/>
      <c r="Z897" s="211"/>
      <c r="AA897" s="211"/>
      <c r="AC897" s="211"/>
      <c r="AD897" s="211"/>
      <c r="AF897" s="211"/>
      <c r="AG897" s="211"/>
      <c r="AI897" s="211"/>
      <c r="AJ897" s="211"/>
      <c r="AL897" s="211"/>
      <c r="AM897" s="211"/>
    </row>
    <row r="898" spans="1:39" s="267" customFormat="1" ht="28.5" x14ac:dyDescent="0.2">
      <c r="A898" s="359" t="s">
        <v>67</v>
      </c>
      <c r="B898" s="269" t="s">
        <v>144</v>
      </c>
      <c r="C898" s="290">
        <f>(W898+X898)*$C$3</f>
        <v>0</v>
      </c>
      <c r="D898" s="290">
        <f>C898*$Q898</f>
        <v>0</v>
      </c>
      <c r="E898" s="290">
        <f>(Z898+AA898)*$E$3</f>
        <v>0</v>
      </c>
      <c r="F898" s="290">
        <f>E898*$Q898</f>
        <v>0</v>
      </c>
      <c r="G898" s="290">
        <f>(AC898+AD898)*$G$3</f>
        <v>0</v>
      </c>
      <c r="H898" s="290">
        <f>G898*$Q898</f>
        <v>0</v>
      </c>
      <c r="I898" s="290">
        <f>(AF898+AG898)*$I$3</f>
        <v>0</v>
      </c>
      <c r="J898" s="290">
        <f>I898*$Q898</f>
        <v>0</v>
      </c>
      <c r="K898" s="290">
        <f>(AI898+AJ898)*$K$3</f>
        <v>0</v>
      </c>
      <c r="L898" s="290">
        <f>K898*$Q898</f>
        <v>0</v>
      </c>
      <c r="M898" s="290">
        <f>(AL898+AM898)*$M$3</f>
        <v>0</v>
      </c>
      <c r="N898" s="290">
        <f>M898*$Q898</f>
        <v>0</v>
      </c>
      <c r="O898" s="290">
        <f>C898+E898+G898+I898+K898+M898</f>
        <v>0</v>
      </c>
      <c r="P898" s="153" t="s">
        <v>5</v>
      </c>
      <c r="Q898" s="262"/>
      <c r="R898" s="435"/>
      <c r="S898" s="264"/>
      <c r="T898" s="266"/>
      <c r="U898" s="266">
        <v>0</v>
      </c>
      <c r="W898" s="268">
        <f>T898*$W$3</f>
        <v>0</v>
      </c>
      <c r="X898" s="266">
        <f>U898*$X$3</f>
        <v>0</v>
      </c>
      <c r="Z898" s="268">
        <f>W898</f>
        <v>0</v>
      </c>
      <c r="AA898" s="266">
        <f>U898*$AA$3</f>
        <v>0</v>
      </c>
      <c r="AC898" s="268">
        <f>W898</f>
        <v>0</v>
      </c>
      <c r="AD898" s="266">
        <f>U898*$AD$3</f>
        <v>0</v>
      </c>
      <c r="AF898" s="268">
        <f>W898</f>
        <v>0</v>
      </c>
      <c r="AG898" s="266">
        <f>U898*$AG$3</f>
        <v>0</v>
      </c>
      <c r="AI898" s="268">
        <f>W898</f>
        <v>0</v>
      </c>
      <c r="AJ898" s="266">
        <f>U898*$AJ$3</f>
        <v>0</v>
      </c>
      <c r="AL898" s="268">
        <f>W898</f>
        <v>0</v>
      </c>
      <c r="AM898" s="266">
        <f>U898*$AM$3</f>
        <v>0</v>
      </c>
    </row>
    <row r="899" spans="1:39" s="267" customFormat="1" x14ac:dyDescent="0.2">
      <c r="A899" s="359"/>
      <c r="B899" s="269"/>
      <c r="C899" s="290"/>
      <c r="D899" s="290">
        <f t="shared" si="378"/>
        <v>0</v>
      </c>
      <c r="E899" s="290"/>
      <c r="F899" s="290">
        <f t="shared" si="379"/>
        <v>0</v>
      </c>
      <c r="G899" s="290"/>
      <c r="H899" s="290">
        <f t="shared" si="380"/>
        <v>0</v>
      </c>
      <c r="I899" s="290"/>
      <c r="J899" s="290">
        <f t="shared" si="381"/>
        <v>0</v>
      </c>
      <c r="K899" s="290"/>
      <c r="L899" s="290">
        <f t="shared" si="382"/>
        <v>0</v>
      </c>
      <c r="M899" s="290"/>
      <c r="N899" s="290">
        <f t="shared" si="383"/>
        <v>0</v>
      </c>
      <c r="O899" s="290"/>
      <c r="P899" s="153"/>
      <c r="Q899" s="262"/>
      <c r="R899" s="435"/>
      <c r="S899" s="264"/>
      <c r="T899" s="266"/>
      <c r="U899" s="211"/>
      <c r="W899" s="211"/>
      <c r="X899" s="211"/>
      <c r="Z899" s="211"/>
      <c r="AA899" s="211"/>
      <c r="AC899" s="211"/>
      <c r="AD899" s="211"/>
      <c r="AF899" s="211"/>
      <c r="AG899" s="211"/>
      <c r="AI899" s="211"/>
      <c r="AJ899" s="211"/>
      <c r="AL899" s="211"/>
      <c r="AM899" s="211"/>
    </row>
    <row r="900" spans="1:39" s="267" customFormat="1" ht="28.5" x14ac:dyDescent="0.2">
      <c r="A900" s="359" t="s">
        <v>68</v>
      </c>
      <c r="B900" s="269" t="s">
        <v>145</v>
      </c>
      <c r="C900" s="290">
        <f>(W900+X900)*$C$3</f>
        <v>0</v>
      </c>
      <c r="D900" s="290">
        <f>C900*$Q900</f>
        <v>0</v>
      </c>
      <c r="E900" s="290">
        <f>(Z900+AA900)*$E$3</f>
        <v>0</v>
      </c>
      <c r="F900" s="290">
        <f>E900*$Q900</f>
        <v>0</v>
      </c>
      <c r="G900" s="290">
        <f>(AC900+AD900)*$G$3</f>
        <v>0</v>
      </c>
      <c r="H900" s="290">
        <f>G900*$Q900</f>
        <v>0</v>
      </c>
      <c r="I900" s="290">
        <f>(AF900+AG900)*$I$3</f>
        <v>0</v>
      </c>
      <c r="J900" s="290">
        <f>I900*$Q900</f>
        <v>0</v>
      </c>
      <c r="K900" s="290">
        <f>(AI900+AJ900)*$K$3</f>
        <v>0</v>
      </c>
      <c r="L900" s="290">
        <f>K900*$Q900</f>
        <v>0</v>
      </c>
      <c r="M900" s="290">
        <f>(AL900+AM900)*$M$3</f>
        <v>0</v>
      </c>
      <c r="N900" s="290">
        <f>M900*$Q900</f>
        <v>0</v>
      </c>
      <c r="O900" s="290">
        <f>C900+E900+G900+I900+K900+M900</f>
        <v>0</v>
      </c>
      <c r="P900" s="153" t="s">
        <v>5</v>
      </c>
      <c r="Q900" s="262"/>
      <c r="R900" s="435"/>
      <c r="S900" s="264"/>
      <c r="T900" s="266"/>
      <c r="U900" s="266">
        <v>0</v>
      </c>
      <c r="W900" s="268">
        <f>T900*$W$3</f>
        <v>0</v>
      </c>
      <c r="X900" s="266">
        <f>U900*$X$3</f>
        <v>0</v>
      </c>
      <c r="Z900" s="268">
        <f>W900</f>
        <v>0</v>
      </c>
      <c r="AA900" s="266">
        <f>U900*$AA$3</f>
        <v>0</v>
      </c>
      <c r="AC900" s="268">
        <f>W900</f>
        <v>0</v>
      </c>
      <c r="AD900" s="266">
        <f>U900*$AD$3</f>
        <v>0</v>
      </c>
      <c r="AF900" s="268">
        <f>W900</f>
        <v>0</v>
      </c>
      <c r="AG900" s="266">
        <f>U900*$AG$3</f>
        <v>0</v>
      </c>
      <c r="AI900" s="268">
        <f>W900</f>
        <v>0</v>
      </c>
      <c r="AJ900" s="266">
        <f>U900*$AJ$3</f>
        <v>0</v>
      </c>
      <c r="AL900" s="268">
        <f>W900</f>
        <v>0</v>
      </c>
      <c r="AM900" s="266">
        <f>U900*$AM$3</f>
        <v>0</v>
      </c>
    </row>
    <row r="901" spans="1:39" s="267" customFormat="1" x14ac:dyDescent="0.2">
      <c r="A901" s="359"/>
      <c r="B901" s="269"/>
      <c r="C901" s="290"/>
      <c r="D901" s="290">
        <f t="shared" si="378"/>
        <v>0</v>
      </c>
      <c r="E901" s="290"/>
      <c r="F901" s="290">
        <f t="shared" si="379"/>
        <v>0</v>
      </c>
      <c r="G901" s="290"/>
      <c r="H901" s="290">
        <f t="shared" si="380"/>
        <v>0</v>
      </c>
      <c r="I901" s="290"/>
      <c r="J901" s="290">
        <f t="shared" si="381"/>
        <v>0</v>
      </c>
      <c r="K901" s="290"/>
      <c r="L901" s="290">
        <f t="shared" si="382"/>
        <v>0</v>
      </c>
      <c r="M901" s="290"/>
      <c r="N901" s="290">
        <f t="shared" si="383"/>
        <v>0</v>
      </c>
      <c r="O901" s="290"/>
      <c r="P901" s="153"/>
      <c r="Q901" s="262"/>
      <c r="R901" s="435"/>
      <c r="S901" s="264"/>
      <c r="T901" s="266"/>
      <c r="U901" s="211"/>
      <c r="W901" s="211"/>
      <c r="X901" s="211"/>
      <c r="Z901" s="211"/>
      <c r="AA901" s="211"/>
      <c r="AC901" s="211"/>
      <c r="AD901" s="211"/>
      <c r="AF901" s="211"/>
      <c r="AG901" s="211"/>
      <c r="AI901" s="211"/>
      <c r="AJ901" s="211"/>
      <c r="AL901" s="211"/>
      <c r="AM901" s="211"/>
    </row>
    <row r="902" spans="1:39" s="267" customFormat="1" ht="28.5" x14ac:dyDescent="0.2">
      <c r="A902" s="359" t="s">
        <v>69</v>
      </c>
      <c r="B902" s="269" t="s">
        <v>146</v>
      </c>
      <c r="C902" s="290">
        <f>(W902+X902)*$C$3</f>
        <v>0</v>
      </c>
      <c r="D902" s="290">
        <f>C902*$Q902</f>
        <v>0</v>
      </c>
      <c r="E902" s="290">
        <f>(Z902+AA902)*$E$3</f>
        <v>0</v>
      </c>
      <c r="F902" s="290">
        <f>E902*$Q902</f>
        <v>0</v>
      </c>
      <c r="G902" s="290">
        <f>(AC902+AD902)*$G$3</f>
        <v>0</v>
      </c>
      <c r="H902" s="290">
        <f>G902*$Q902</f>
        <v>0</v>
      </c>
      <c r="I902" s="290">
        <f>(AF902+AG902)*$I$3</f>
        <v>0</v>
      </c>
      <c r="J902" s="290">
        <f>I902*$Q902</f>
        <v>0</v>
      </c>
      <c r="K902" s="290">
        <f>(AI902+AJ902)*$K$3</f>
        <v>0</v>
      </c>
      <c r="L902" s="290">
        <f>K902*$Q902</f>
        <v>0</v>
      </c>
      <c r="M902" s="290">
        <f>(AL902+AM902)*$M$3</f>
        <v>0</v>
      </c>
      <c r="N902" s="290">
        <f>M902*$Q902</f>
        <v>0</v>
      </c>
      <c r="O902" s="290">
        <f>C902+E902+G902+I902+K902+M902</f>
        <v>0</v>
      </c>
      <c r="P902" s="153" t="s">
        <v>5</v>
      </c>
      <c r="Q902" s="262"/>
      <c r="R902" s="435"/>
      <c r="S902" s="264"/>
      <c r="T902" s="266"/>
      <c r="U902" s="266">
        <v>0</v>
      </c>
      <c r="W902" s="268">
        <f>T902*$W$3</f>
        <v>0</v>
      </c>
      <c r="X902" s="266">
        <f>U902*$X$3</f>
        <v>0</v>
      </c>
      <c r="Z902" s="268">
        <f>W902</f>
        <v>0</v>
      </c>
      <c r="AA902" s="266">
        <f>U902*$AA$3</f>
        <v>0</v>
      </c>
      <c r="AC902" s="268">
        <f>W902</f>
        <v>0</v>
      </c>
      <c r="AD902" s="266">
        <f>U902*$AD$3</f>
        <v>0</v>
      </c>
      <c r="AF902" s="268">
        <f>W902</f>
        <v>0</v>
      </c>
      <c r="AG902" s="266">
        <f>U902*$AG$3</f>
        <v>0</v>
      </c>
      <c r="AI902" s="268">
        <f>W902</f>
        <v>0</v>
      </c>
      <c r="AJ902" s="266">
        <f>U902*$AJ$3</f>
        <v>0</v>
      </c>
      <c r="AL902" s="268">
        <f>W902</f>
        <v>0</v>
      </c>
      <c r="AM902" s="266">
        <f>U902*$AM$3</f>
        <v>0</v>
      </c>
    </row>
    <row r="903" spans="1:39" s="267" customFormat="1" x14ac:dyDescent="0.2">
      <c r="A903" s="308"/>
      <c r="B903" s="269"/>
      <c r="C903" s="290"/>
      <c r="D903" s="290">
        <f t="shared" si="378"/>
        <v>0</v>
      </c>
      <c r="E903" s="290"/>
      <c r="F903" s="290">
        <f t="shared" si="379"/>
        <v>0</v>
      </c>
      <c r="G903" s="290"/>
      <c r="H903" s="290">
        <f t="shared" si="380"/>
        <v>0</v>
      </c>
      <c r="I903" s="290"/>
      <c r="J903" s="290">
        <f t="shared" si="381"/>
        <v>0</v>
      </c>
      <c r="K903" s="290"/>
      <c r="L903" s="290">
        <f t="shared" si="382"/>
        <v>0</v>
      </c>
      <c r="M903" s="290"/>
      <c r="N903" s="290">
        <f t="shared" si="383"/>
        <v>0</v>
      </c>
      <c r="O903" s="290"/>
      <c r="P903" s="153"/>
      <c r="Q903" s="262"/>
      <c r="R903" s="435"/>
      <c r="S903" s="264"/>
      <c r="T903" s="266"/>
      <c r="U903" s="211"/>
      <c r="W903" s="211"/>
      <c r="X903" s="211"/>
      <c r="Z903" s="211"/>
      <c r="AA903" s="211"/>
      <c r="AC903" s="211"/>
      <c r="AD903" s="211"/>
      <c r="AF903" s="211"/>
      <c r="AG903" s="211"/>
      <c r="AI903" s="211"/>
      <c r="AJ903" s="211"/>
      <c r="AL903" s="211"/>
      <c r="AM903" s="211"/>
    </row>
    <row r="904" spans="1:39" s="267" customFormat="1" ht="28.5" x14ac:dyDescent="0.2">
      <c r="A904" s="308" t="s">
        <v>70</v>
      </c>
      <c r="B904" s="269" t="s">
        <v>147</v>
      </c>
      <c r="C904" s="290">
        <f>(W904+X904)*$C$3</f>
        <v>0</v>
      </c>
      <c r="D904" s="290">
        <f>C904*$Q904</f>
        <v>0</v>
      </c>
      <c r="E904" s="290">
        <f>(Z904+AA904)*$E$3</f>
        <v>0</v>
      </c>
      <c r="F904" s="290">
        <f>E904*$Q904</f>
        <v>0</v>
      </c>
      <c r="G904" s="290">
        <f>(AC904+AD904)*$G$3</f>
        <v>0</v>
      </c>
      <c r="H904" s="290">
        <f>G904*$Q904</f>
        <v>0</v>
      </c>
      <c r="I904" s="290">
        <f>(AF904+AG904)*$I$3</f>
        <v>0</v>
      </c>
      <c r="J904" s="290">
        <f>I904*$Q904</f>
        <v>0</v>
      </c>
      <c r="K904" s="290">
        <f>(AI904+AJ904)*$K$3</f>
        <v>0</v>
      </c>
      <c r="L904" s="290">
        <f>K904*$Q904</f>
        <v>0</v>
      </c>
      <c r="M904" s="290">
        <f>(AL904+AM904)*$M$3</f>
        <v>0</v>
      </c>
      <c r="N904" s="290">
        <f>M904*$Q904</f>
        <v>0</v>
      </c>
      <c r="O904" s="290">
        <f>C904+E904+G904+I904+K904+M904</f>
        <v>0</v>
      </c>
      <c r="P904" s="153" t="s">
        <v>5</v>
      </c>
      <c r="Q904" s="262"/>
      <c r="R904" s="435"/>
      <c r="S904" s="264"/>
      <c r="T904" s="266"/>
      <c r="U904" s="266">
        <v>0</v>
      </c>
      <c r="W904" s="268">
        <f>T904*$W$3</f>
        <v>0</v>
      </c>
      <c r="X904" s="266">
        <f>U904*$X$3</f>
        <v>0</v>
      </c>
      <c r="Z904" s="268">
        <f>W904</f>
        <v>0</v>
      </c>
      <c r="AA904" s="266">
        <f>U904*$AA$3</f>
        <v>0</v>
      </c>
      <c r="AC904" s="268">
        <f>W904</f>
        <v>0</v>
      </c>
      <c r="AD904" s="266">
        <f>U904*$AD$3</f>
        <v>0</v>
      </c>
      <c r="AF904" s="268">
        <f>W904</f>
        <v>0</v>
      </c>
      <c r="AG904" s="266">
        <f>U904*$AG$3</f>
        <v>0</v>
      </c>
      <c r="AI904" s="268">
        <f>W904</f>
        <v>0</v>
      </c>
      <c r="AJ904" s="266">
        <f>U904*$AJ$3</f>
        <v>0</v>
      </c>
      <c r="AL904" s="268">
        <f>W904</f>
        <v>0</v>
      </c>
      <c r="AM904" s="266">
        <f>U904*$AM$3</f>
        <v>0</v>
      </c>
    </row>
    <row r="905" spans="1:39" s="267" customFormat="1" x14ac:dyDescent="0.2">
      <c r="A905" s="308"/>
      <c r="B905" s="269"/>
      <c r="C905" s="290"/>
      <c r="D905" s="290">
        <f t="shared" si="378"/>
        <v>0</v>
      </c>
      <c r="E905" s="290"/>
      <c r="F905" s="290">
        <f t="shared" si="379"/>
        <v>0</v>
      </c>
      <c r="G905" s="290"/>
      <c r="H905" s="290">
        <f t="shared" si="380"/>
        <v>0</v>
      </c>
      <c r="I905" s="290"/>
      <c r="J905" s="290">
        <f t="shared" si="381"/>
        <v>0</v>
      </c>
      <c r="K905" s="290"/>
      <c r="L905" s="290">
        <f t="shared" si="382"/>
        <v>0</v>
      </c>
      <c r="M905" s="290"/>
      <c r="N905" s="290">
        <f t="shared" si="383"/>
        <v>0</v>
      </c>
      <c r="O905" s="290"/>
      <c r="P905" s="153"/>
      <c r="Q905" s="262"/>
      <c r="R905" s="435"/>
      <c r="S905" s="264"/>
      <c r="T905" s="266"/>
      <c r="U905" s="211"/>
      <c r="W905" s="211"/>
      <c r="X905" s="211"/>
      <c r="Z905" s="211"/>
      <c r="AA905" s="211"/>
      <c r="AC905" s="211"/>
      <c r="AD905" s="211"/>
      <c r="AF905" s="211"/>
      <c r="AG905" s="211"/>
      <c r="AI905" s="211"/>
      <c r="AJ905" s="211"/>
      <c r="AL905" s="211"/>
      <c r="AM905" s="211"/>
    </row>
    <row r="906" spans="1:39" s="267" customFormat="1" ht="28.5" x14ac:dyDescent="0.2">
      <c r="A906" s="308" t="s">
        <v>71</v>
      </c>
      <c r="B906" s="269" t="s">
        <v>170</v>
      </c>
      <c r="C906" s="290">
        <f>(W906+X906)*$C$3</f>
        <v>0</v>
      </c>
      <c r="D906" s="290">
        <f>C906*$Q906</f>
        <v>0</v>
      </c>
      <c r="E906" s="290">
        <f>(Z906+AA906)*$E$3</f>
        <v>0</v>
      </c>
      <c r="F906" s="290">
        <f>E906*$Q906</f>
        <v>0</v>
      </c>
      <c r="G906" s="290">
        <f>(AC906+AD906)*$G$3</f>
        <v>0</v>
      </c>
      <c r="H906" s="290">
        <f>G906*$Q906</f>
        <v>0</v>
      </c>
      <c r="I906" s="290">
        <f>(AF906+AG906)*$I$3</f>
        <v>0</v>
      </c>
      <c r="J906" s="290">
        <f>I906*$Q906</f>
        <v>0</v>
      </c>
      <c r="K906" s="290">
        <f>(AI906+AJ906)*$K$3</f>
        <v>0</v>
      </c>
      <c r="L906" s="290">
        <f>K906*$Q906</f>
        <v>0</v>
      </c>
      <c r="M906" s="290">
        <f>(AL906+AM906)*$M$3</f>
        <v>0</v>
      </c>
      <c r="N906" s="290">
        <f>M906*$Q906</f>
        <v>0</v>
      </c>
      <c r="O906" s="290">
        <f>C906+E906+G906+I906+K906+M906</f>
        <v>0</v>
      </c>
      <c r="P906" s="153" t="s">
        <v>5</v>
      </c>
      <c r="Q906" s="262"/>
      <c r="R906" s="435"/>
      <c r="S906" s="264"/>
      <c r="T906" s="266"/>
      <c r="U906" s="266">
        <v>0</v>
      </c>
      <c r="W906" s="268">
        <f>T906*$W$3</f>
        <v>0</v>
      </c>
      <c r="X906" s="266">
        <f>U906*$X$3</f>
        <v>0</v>
      </c>
      <c r="Z906" s="268">
        <f>W906</f>
        <v>0</v>
      </c>
      <c r="AA906" s="266">
        <f>U906*$AA$3</f>
        <v>0</v>
      </c>
      <c r="AC906" s="268">
        <f>W906</f>
        <v>0</v>
      </c>
      <c r="AD906" s="266">
        <f>U906*$AD$3</f>
        <v>0</v>
      </c>
      <c r="AF906" s="268">
        <f>W906</f>
        <v>0</v>
      </c>
      <c r="AG906" s="266">
        <f>U906*$AG$3</f>
        <v>0</v>
      </c>
      <c r="AI906" s="268">
        <f>W906</f>
        <v>0</v>
      </c>
      <c r="AJ906" s="266">
        <f>U906*$AJ$3</f>
        <v>0</v>
      </c>
      <c r="AL906" s="268">
        <f>W906</f>
        <v>0</v>
      </c>
      <c r="AM906" s="266">
        <f>U906*$AM$3</f>
        <v>0</v>
      </c>
    </row>
    <row r="907" spans="1:39" s="267" customFormat="1" x14ac:dyDescent="0.2">
      <c r="A907" s="258"/>
      <c r="B907" s="269"/>
      <c r="C907" s="290"/>
      <c r="D907" s="290">
        <f t="shared" si="378"/>
        <v>0</v>
      </c>
      <c r="E907" s="290"/>
      <c r="F907" s="290">
        <f t="shared" si="379"/>
        <v>0</v>
      </c>
      <c r="G907" s="290"/>
      <c r="H907" s="290">
        <f t="shared" si="380"/>
        <v>0</v>
      </c>
      <c r="I907" s="290"/>
      <c r="J907" s="290">
        <f t="shared" si="381"/>
        <v>0</v>
      </c>
      <c r="K907" s="290"/>
      <c r="L907" s="290">
        <f t="shared" si="382"/>
        <v>0</v>
      </c>
      <c r="M907" s="290"/>
      <c r="N907" s="290">
        <f t="shared" si="383"/>
        <v>0</v>
      </c>
      <c r="O907" s="290"/>
      <c r="P907" s="153"/>
      <c r="Q907" s="262"/>
      <c r="R907" s="435"/>
      <c r="S907" s="264"/>
      <c r="T907" s="266"/>
      <c r="U907" s="211"/>
      <c r="W907" s="211"/>
      <c r="X907" s="211"/>
      <c r="Z907" s="211"/>
      <c r="AA907" s="211"/>
      <c r="AC907" s="211"/>
      <c r="AD907" s="211"/>
      <c r="AF907" s="211"/>
      <c r="AG907" s="211"/>
      <c r="AI907" s="211"/>
      <c r="AJ907" s="211"/>
      <c r="AL907" s="211"/>
      <c r="AM907" s="211"/>
    </row>
    <row r="908" spans="1:39" s="267" customFormat="1" ht="28.5" x14ac:dyDescent="0.2">
      <c r="A908" s="258" t="s">
        <v>72</v>
      </c>
      <c r="B908" s="269" t="s">
        <v>149</v>
      </c>
      <c r="C908" s="290">
        <f>(W908+X908)*$C$3</f>
        <v>0</v>
      </c>
      <c r="D908" s="290">
        <f>C908*$Q908</f>
        <v>0</v>
      </c>
      <c r="E908" s="290">
        <f>(Z908+AA908)*$E$3</f>
        <v>0</v>
      </c>
      <c r="F908" s="290">
        <f>E908*$Q908</f>
        <v>0</v>
      </c>
      <c r="G908" s="290">
        <f>(AC908+AD908)*$G$3</f>
        <v>0</v>
      </c>
      <c r="H908" s="290">
        <f>G908*$Q908</f>
        <v>0</v>
      </c>
      <c r="I908" s="290">
        <f>(AF908+AG908)*$I$3</f>
        <v>0</v>
      </c>
      <c r="J908" s="290">
        <f>I908*$Q908</f>
        <v>0</v>
      </c>
      <c r="K908" s="290">
        <f>(AI908+AJ908)*$K$3</f>
        <v>0</v>
      </c>
      <c r="L908" s="290">
        <f>K908*$Q908</f>
        <v>0</v>
      </c>
      <c r="M908" s="290">
        <f>(AL908+AM908)*$M$3</f>
        <v>0</v>
      </c>
      <c r="N908" s="290">
        <f>M908*$Q908</f>
        <v>0</v>
      </c>
      <c r="O908" s="290">
        <f>C908+E908+G908+I908+K908+M908</f>
        <v>0</v>
      </c>
      <c r="P908" s="153" t="s">
        <v>5</v>
      </c>
      <c r="Q908" s="262"/>
      <c r="R908" s="435"/>
      <c r="S908" s="264"/>
      <c r="T908" s="266"/>
      <c r="U908" s="266">
        <v>0</v>
      </c>
      <c r="W908" s="268">
        <f>T908*$W$3</f>
        <v>0</v>
      </c>
      <c r="X908" s="266">
        <f>U908*$X$3</f>
        <v>0</v>
      </c>
      <c r="Z908" s="268">
        <f>W908</f>
        <v>0</v>
      </c>
      <c r="AA908" s="266">
        <f>U908*$AA$3</f>
        <v>0</v>
      </c>
      <c r="AC908" s="268">
        <f>W908</f>
        <v>0</v>
      </c>
      <c r="AD908" s="266">
        <f>U908*$AD$3</f>
        <v>0</v>
      </c>
      <c r="AF908" s="268">
        <f>W908</f>
        <v>0</v>
      </c>
      <c r="AG908" s="266">
        <f>U908*$AG$3</f>
        <v>0</v>
      </c>
      <c r="AI908" s="268">
        <f>W908</f>
        <v>0</v>
      </c>
      <c r="AJ908" s="266">
        <f>U908*$AJ$3</f>
        <v>0</v>
      </c>
      <c r="AL908" s="268">
        <f>W908</f>
        <v>0</v>
      </c>
      <c r="AM908" s="266">
        <f>U908*$AM$3</f>
        <v>0</v>
      </c>
    </row>
    <row r="909" spans="1:39" s="267" customFormat="1" x14ac:dyDescent="0.2">
      <c r="A909" s="258"/>
      <c r="B909" s="293"/>
      <c r="C909" s="290"/>
      <c r="D909" s="290">
        <f t="shared" si="378"/>
        <v>0</v>
      </c>
      <c r="E909" s="290"/>
      <c r="F909" s="290">
        <f t="shared" si="379"/>
        <v>0</v>
      </c>
      <c r="G909" s="290"/>
      <c r="H909" s="290">
        <f t="shared" si="380"/>
        <v>0</v>
      </c>
      <c r="I909" s="290"/>
      <c r="J909" s="290">
        <f t="shared" si="381"/>
        <v>0</v>
      </c>
      <c r="K909" s="290"/>
      <c r="L909" s="290">
        <f t="shared" si="382"/>
        <v>0</v>
      </c>
      <c r="M909" s="290"/>
      <c r="N909" s="290">
        <f t="shared" si="383"/>
        <v>0</v>
      </c>
      <c r="O909" s="290"/>
      <c r="P909" s="261"/>
      <c r="Q909" s="262"/>
      <c r="R909" s="435"/>
      <c r="S909" s="264"/>
      <c r="T909" s="266"/>
      <c r="U909" s="211"/>
      <c r="W909" s="211"/>
      <c r="X909" s="211"/>
      <c r="Z909" s="211"/>
      <c r="AA909" s="211"/>
      <c r="AC909" s="211"/>
      <c r="AD909" s="211"/>
      <c r="AF909" s="211"/>
      <c r="AG909" s="211"/>
      <c r="AI909" s="211"/>
      <c r="AJ909" s="211"/>
      <c r="AL909" s="211"/>
      <c r="AM909" s="211"/>
    </row>
    <row r="910" spans="1:39" s="267" customFormat="1" ht="28.5" x14ac:dyDescent="0.2">
      <c r="A910" s="258" t="s">
        <v>73</v>
      </c>
      <c r="B910" s="269" t="s">
        <v>232</v>
      </c>
      <c r="C910" s="290">
        <f>(W910+X910)*$C$3</f>
        <v>0</v>
      </c>
      <c r="D910" s="290">
        <f>C910*$Q910</f>
        <v>0</v>
      </c>
      <c r="E910" s="290">
        <f>(Z910+AA910)*$E$3</f>
        <v>0</v>
      </c>
      <c r="F910" s="290">
        <f>E910*$Q910</f>
        <v>0</v>
      </c>
      <c r="G910" s="290">
        <f>(AC910+AD910)*$G$3</f>
        <v>0</v>
      </c>
      <c r="H910" s="290">
        <f>G910*$Q910</f>
        <v>0</v>
      </c>
      <c r="I910" s="290">
        <f>(AF910+AG910)*$I$3</f>
        <v>0</v>
      </c>
      <c r="J910" s="290">
        <f>I910*$Q910</f>
        <v>0</v>
      </c>
      <c r="K910" s="290">
        <f>(AI910+AJ910)*$K$3</f>
        <v>0</v>
      </c>
      <c r="L910" s="290">
        <f>K910*$Q910</f>
        <v>0</v>
      </c>
      <c r="M910" s="290">
        <f>(AL910+AM910)*$M$3</f>
        <v>0</v>
      </c>
      <c r="N910" s="290">
        <f>M910*$Q910</f>
        <v>0</v>
      </c>
      <c r="O910" s="290">
        <f>C910+E910+G910+I910+K910+M910</f>
        <v>0</v>
      </c>
      <c r="P910" s="153" t="s">
        <v>5</v>
      </c>
      <c r="Q910" s="262"/>
      <c r="R910" s="435"/>
      <c r="S910" s="264"/>
      <c r="T910" s="266"/>
      <c r="U910" s="266">
        <v>0</v>
      </c>
      <c r="W910" s="268">
        <f>T910*$W$3</f>
        <v>0</v>
      </c>
      <c r="X910" s="266">
        <f>U910*$X$3</f>
        <v>0</v>
      </c>
      <c r="Z910" s="268">
        <f>W910</f>
        <v>0</v>
      </c>
      <c r="AA910" s="266">
        <f>U910*$AA$3</f>
        <v>0</v>
      </c>
      <c r="AC910" s="268">
        <f>W910</f>
        <v>0</v>
      </c>
      <c r="AD910" s="266">
        <f>U910*$AD$3</f>
        <v>0</v>
      </c>
      <c r="AF910" s="268">
        <f>W910</f>
        <v>0</v>
      </c>
      <c r="AG910" s="266">
        <f>U910*$AG$3</f>
        <v>0</v>
      </c>
      <c r="AI910" s="268">
        <f>W910</f>
        <v>0</v>
      </c>
      <c r="AJ910" s="266">
        <f>U910*$AJ$3</f>
        <v>0</v>
      </c>
      <c r="AL910" s="268">
        <f>W910</f>
        <v>0</v>
      </c>
      <c r="AM910" s="266">
        <f>U910*$AM$3</f>
        <v>0</v>
      </c>
    </row>
    <row r="911" spans="1:39" s="267" customFormat="1" x14ac:dyDescent="0.2">
      <c r="A911" s="258"/>
      <c r="B911" s="293"/>
      <c r="C911" s="290"/>
      <c r="D911" s="290">
        <f t="shared" ref="D911" si="384">C911*$Q911</f>
        <v>0</v>
      </c>
      <c r="E911" s="290"/>
      <c r="F911" s="290">
        <f t="shared" ref="F911" si="385">E911*$Q911</f>
        <v>0</v>
      </c>
      <c r="G911" s="290"/>
      <c r="H911" s="290">
        <f t="shared" ref="H911" si="386">G911*$Q911</f>
        <v>0</v>
      </c>
      <c r="I911" s="290"/>
      <c r="J911" s="290">
        <f t="shared" ref="J911" si="387">I911*$Q911</f>
        <v>0</v>
      </c>
      <c r="K911" s="290"/>
      <c r="L911" s="290">
        <f t="shared" ref="L911" si="388">K911*$Q911</f>
        <v>0</v>
      </c>
      <c r="M911" s="290"/>
      <c r="N911" s="290">
        <f t="shared" ref="N911" si="389">M911*$Q911</f>
        <v>0</v>
      </c>
      <c r="O911" s="290"/>
      <c r="P911" s="153"/>
      <c r="Q911" s="262"/>
      <c r="R911" s="435"/>
      <c r="S911" s="264"/>
      <c r="T911" s="266"/>
      <c r="U911" s="211"/>
      <c r="W911" s="211"/>
      <c r="X911" s="211"/>
      <c r="Z911" s="211"/>
      <c r="AA911" s="211"/>
      <c r="AC911" s="211"/>
      <c r="AD911" s="211"/>
      <c r="AF911" s="211"/>
      <c r="AG911" s="211"/>
      <c r="AI911" s="211"/>
      <c r="AJ911" s="211"/>
      <c r="AL911" s="211"/>
      <c r="AM911" s="211"/>
    </row>
    <row r="912" spans="1:39" s="267" customFormat="1" ht="42.75" x14ac:dyDescent="0.2">
      <c r="A912" s="258" t="s">
        <v>74</v>
      </c>
      <c r="B912" s="360" t="s">
        <v>233</v>
      </c>
      <c r="C912" s="290">
        <f>(W912+X912)*$C$3</f>
        <v>0</v>
      </c>
      <c r="D912" s="290">
        <f>C912*$Q912</f>
        <v>0</v>
      </c>
      <c r="E912" s="290">
        <f>(Z912+AA912)*$E$3</f>
        <v>0</v>
      </c>
      <c r="F912" s="290">
        <f>E912*$Q912</f>
        <v>0</v>
      </c>
      <c r="G912" s="290">
        <f>(AC912+AD912)*$G$3</f>
        <v>0</v>
      </c>
      <c r="H912" s="290">
        <f>G912*$Q912</f>
        <v>0</v>
      </c>
      <c r="I912" s="290">
        <f>(AF912+AG912)*$I$3</f>
        <v>0</v>
      </c>
      <c r="J912" s="290">
        <f>I912*$Q912</f>
        <v>0</v>
      </c>
      <c r="K912" s="290">
        <f>(AI912+AJ912)*$K$3</f>
        <v>0</v>
      </c>
      <c r="L912" s="290">
        <f>K912*$Q912</f>
        <v>0</v>
      </c>
      <c r="M912" s="290">
        <f>(AL912+AM912)*$M$3</f>
        <v>0</v>
      </c>
      <c r="N912" s="290">
        <f>M912*$Q912</f>
        <v>0</v>
      </c>
      <c r="O912" s="290">
        <f>C912+E912+G912+I912+K912+M912</f>
        <v>0</v>
      </c>
      <c r="P912" s="153" t="s">
        <v>5</v>
      </c>
      <c r="Q912" s="262"/>
      <c r="R912" s="435"/>
      <c r="S912" s="264"/>
      <c r="T912" s="266"/>
      <c r="U912" s="266">
        <v>0</v>
      </c>
      <c r="W912" s="268">
        <f>T912*$W$3</f>
        <v>0</v>
      </c>
      <c r="X912" s="266">
        <f>U912*$X$3</f>
        <v>0</v>
      </c>
      <c r="Z912" s="268">
        <f>W912</f>
        <v>0</v>
      </c>
      <c r="AA912" s="266">
        <f>U912*$AA$3</f>
        <v>0</v>
      </c>
      <c r="AC912" s="268">
        <f>W912</f>
        <v>0</v>
      </c>
      <c r="AD912" s="266">
        <f>U912*$AD$3</f>
        <v>0</v>
      </c>
      <c r="AF912" s="268">
        <f>W912</f>
        <v>0</v>
      </c>
      <c r="AG912" s="266">
        <f>U912*$AG$3</f>
        <v>0</v>
      </c>
      <c r="AI912" s="268">
        <f>W912</f>
        <v>0</v>
      </c>
      <c r="AJ912" s="266">
        <f>U912*$AJ$3</f>
        <v>0</v>
      </c>
      <c r="AL912" s="268">
        <f>W912</f>
        <v>0</v>
      </c>
      <c r="AM912" s="266">
        <f>U912*$AM$3</f>
        <v>0</v>
      </c>
    </row>
    <row r="913" spans="1:39" s="267" customFormat="1" x14ac:dyDescent="0.2">
      <c r="A913" s="258"/>
      <c r="B913" s="360"/>
      <c r="C913" s="290"/>
      <c r="D913" s="290">
        <f>C913*$Q913</f>
        <v>0</v>
      </c>
      <c r="E913" s="290"/>
      <c r="F913" s="290">
        <f>E913*$Q913</f>
        <v>0</v>
      </c>
      <c r="G913" s="290"/>
      <c r="H913" s="290">
        <f>G913*$Q913</f>
        <v>0</v>
      </c>
      <c r="I913" s="290"/>
      <c r="J913" s="290">
        <f>I913*$Q913</f>
        <v>0</v>
      </c>
      <c r="K913" s="290"/>
      <c r="L913" s="290">
        <f>K913*$Q913</f>
        <v>0</v>
      </c>
      <c r="M913" s="290"/>
      <c r="N913" s="290">
        <f>M913*$Q913</f>
        <v>0</v>
      </c>
      <c r="O913" s="290"/>
      <c r="P913" s="261"/>
      <c r="Q913" s="262"/>
      <c r="R913" s="435"/>
      <c r="S913" s="264"/>
      <c r="T913" s="266"/>
      <c r="U913" s="211"/>
      <c r="W913" s="211"/>
      <c r="X913" s="211"/>
      <c r="Z913" s="211"/>
      <c r="AA913" s="211"/>
      <c r="AC913" s="211"/>
      <c r="AD913" s="211"/>
      <c r="AF913" s="211"/>
      <c r="AG913" s="211"/>
      <c r="AI913" s="211"/>
      <c r="AJ913" s="211"/>
      <c r="AL913" s="211"/>
      <c r="AM913" s="211"/>
    </row>
    <row r="914" spans="1:39" s="267" customFormat="1" ht="28.5" x14ac:dyDescent="0.2">
      <c r="A914" s="258" t="s">
        <v>75</v>
      </c>
      <c r="B914" s="360" t="s">
        <v>171</v>
      </c>
      <c r="C914" s="290">
        <f>(W914+X914)*$C$3</f>
        <v>0</v>
      </c>
      <c r="D914" s="290">
        <f>C914*$Q914</f>
        <v>0</v>
      </c>
      <c r="E914" s="290">
        <f>(Z914+AA914)*$E$3</f>
        <v>0</v>
      </c>
      <c r="F914" s="290">
        <f>E914*$Q914</f>
        <v>0</v>
      </c>
      <c r="G914" s="290">
        <f>(AC914+AD914)*$G$3</f>
        <v>0</v>
      </c>
      <c r="H914" s="290">
        <f>G914*$Q914</f>
        <v>0</v>
      </c>
      <c r="I914" s="290">
        <f>(AF914+AG914)*$I$3</f>
        <v>0</v>
      </c>
      <c r="J914" s="290">
        <f>I914*$Q914</f>
        <v>0</v>
      </c>
      <c r="K914" s="290">
        <f>(AI914+AJ914)*$K$3</f>
        <v>0</v>
      </c>
      <c r="L914" s="290">
        <f>K914*$Q914</f>
        <v>0</v>
      </c>
      <c r="M914" s="290">
        <f>(AL914+AM914)*$M$3</f>
        <v>0</v>
      </c>
      <c r="N914" s="290">
        <f>M914*$Q914</f>
        <v>0</v>
      </c>
      <c r="O914" s="290">
        <f>C914+E914+G914+I914+K914+M914</f>
        <v>0</v>
      </c>
      <c r="P914" s="153" t="s">
        <v>5</v>
      </c>
      <c r="Q914" s="262"/>
      <c r="R914" s="435"/>
      <c r="S914" s="264"/>
      <c r="T914" s="266"/>
      <c r="U914" s="266">
        <v>0</v>
      </c>
      <c r="W914" s="268">
        <f>T914*$W$3</f>
        <v>0</v>
      </c>
      <c r="X914" s="266">
        <f>U914*$X$3</f>
        <v>0</v>
      </c>
      <c r="Z914" s="268">
        <f>W914</f>
        <v>0</v>
      </c>
      <c r="AA914" s="266">
        <f>U914*$AA$3</f>
        <v>0</v>
      </c>
      <c r="AC914" s="268">
        <f>W914</f>
        <v>0</v>
      </c>
      <c r="AD914" s="266">
        <f>U914*$AD$3</f>
        <v>0</v>
      </c>
      <c r="AF914" s="268">
        <f>W914</f>
        <v>0</v>
      </c>
      <c r="AG914" s="266">
        <f>U914*$AG$3</f>
        <v>0</v>
      </c>
      <c r="AI914" s="268">
        <f>W914</f>
        <v>0</v>
      </c>
      <c r="AJ914" s="266">
        <f>U914*$AJ$3</f>
        <v>0</v>
      </c>
      <c r="AL914" s="268">
        <f>W914</f>
        <v>0</v>
      </c>
      <c r="AM914" s="266">
        <f>U914*$AM$3</f>
        <v>0</v>
      </c>
    </row>
    <row r="915" spans="1:39" s="267" customFormat="1" x14ac:dyDescent="0.2">
      <c r="A915" s="258"/>
      <c r="B915" s="360"/>
      <c r="C915" s="290"/>
      <c r="D915" s="290">
        <f>C915*$Q915</f>
        <v>0</v>
      </c>
      <c r="E915" s="290"/>
      <c r="F915" s="290">
        <f>E915*$Q915</f>
        <v>0</v>
      </c>
      <c r="G915" s="290"/>
      <c r="H915" s="290">
        <f>G915*$Q915</f>
        <v>0</v>
      </c>
      <c r="I915" s="290"/>
      <c r="J915" s="290">
        <f>I915*$Q915</f>
        <v>0</v>
      </c>
      <c r="K915" s="290"/>
      <c r="L915" s="290">
        <f>K915*$Q915</f>
        <v>0</v>
      </c>
      <c r="M915" s="290"/>
      <c r="N915" s="290">
        <f>M915*$Q915</f>
        <v>0</v>
      </c>
      <c r="O915" s="290"/>
      <c r="P915" s="261"/>
      <c r="Q915" s="262"/>
      <c r="R915" s="435"/>
      <c r="S915" s="264"/>
      <c r="T915" s="266"/>
      <c r="U915" s="211"/>
      <c r="W915" s="211"/>
      <c r="X915" s="211"/>
      <c r="Z915" s="211"/>
      <c r="AA915" s="211"/>
      <c r="AC915" s="211"/>
      <c r="AD915" s="211"/>
      <c r="AF915" s="211"/>
      <c r="AG915" s="211"/>
      <c r="AI915" s="211"/>
      <c r="AJ915" s="211"/>
      <c r="AL915" s="211"/>
      <c r="AM915" s="211"/>
    </row>
    <row r="916" spans="1:39" s="267" customFormat="1" ht="28.5" x14ac:dyDescent="0.2">
      <c r="A916" s="258" t="s">
        <v>76</v>
      </c>
      <c r="B916" s="360" t="s">
        <v>172</v>
      </c>
      <c r="C916" s="290">
        <f>(W916+X916)*$C$3</f>
        <v>0</v>
      </c>
      <c r="D916" s="290">
        <f>C916*$Q916</f>
        <v>0</v>
      </c>
      <c r="E916" s="290">
        <f>(Z916+AA916)*$E$3</f>
        <v>0</v>
      </c>
      <c r="F916" s="290">
        <f>E916*$Q916</f>
        <v>0</v>
      </c>
      <c r="G916" s="290">
        <f>(AC916+AD916)*$G$3</f>
        <v>0</v>
      </c>
      <c r="H916" s="290">
        <f>G916*$Q916</f>
        <v>0</v>
      </c>
      <c r="I916" s="290">
        <f>(AF916+AG916)*$I$3</f>
        <v>0</v>
      </c>
      <c r="J916" s="290">
        <f>I916*$Q916</f>
        <v>0</v>
      </c>
      <c r="K916" s="290">
        <f>(AI916+AJ916)*$K$3</f>
        <v>0</v>
      </c>
      <c r="L916" s="290">
        <f>K916*$Q916</f>
        <v>0</v>
      </c>
      <c r="M916" s="290">
        <f>(AL916+AM916)*$M$3</f>
        <v>0</v>
      </c>
      <c r="N916" s="290">
        <f>M916*$Q916</f>
        <v>0</v>
      </c>
      <c r="O916" s="290">
        <f>C916+E916+G916+I916+K916+M916</f>
        <v>0</v>
      </c>
      <c r="P916" s="153" t="s">
        <v>5</v>
      </c>
      <c r="Q916" s="262"/>
      <c r="R916" s="435"/>
      <c r="S916" s="264"/>
      <c r="T916" s="266"/>
      <c r="U916" s="266">
        <v>0</v>
      </c>
      <c r="W916" s="268">
        <f>T916*$W$3</f>
        <v>0</v>
      </c>
      <c r="X916" s="266">
        <f>U916*$X$3</f>
        <v>0</v>
      </c>
      <c r="Z916" s="268">
        <f>W916</f>
        <v>0</v>
      </c>
      <c r="AA916" s="266">
        <f>U916*$AA$3</f>
        <v>0</v>
      </c>
      <c r="AC916" s="268">
        <f>W916</f>
        <v>0</v>
      </c>
      <c r="AD916" s="266">
        <f>U916*$AD$3</f>
        <v>0</v>
      </c>
      <c r="AF916" s="268">
        <f>W916</f>
        <v>0</v>
      </c>
      <c r="AG916" s="266">
        <f>U916*$AG$3</f>
        <v>0</v>
      </c>
      <c r="AI916" s="268">
        <f>W916</f>
        <v>0</v>
      </c>
      <c r="AJ916" s="266">
        <f>U916*$AJ$3</f>
        <v>0</v>
      </c>
      <c r="AL916" s="268">
        <f>W916</f>
        <v>0</v>
      </c>
      <c r="AM916" s="266">
        <f>U916*$AM$3</f>
        <v>0</v>
      </c>
    </row>
    <row r="917" spans="1:39" s="267" customFormat="1" x14ac:dyDescent="0.2">
      <c r="A917" s="258"/>
      <c r="B917" s="360"/>
      <c r="C917" s="290"/>
      <c r="D917" s="290"/>
      <c r="E917" s="290"/>
      <c r="F917" s="290"/>
      <c r="G917" s="290"/>
      <c r="H917" s="290"/>
      <c r="I917" s="290"/>
      <c r="J917" s="290"/>
      <c r="K917" s="290"/>
      <c r="L917" s="290"/>
      <c r="M917" s="290"/>
      <c r="N917" s="290"/>
      <c r="O917" s="290"/>
      <c r="P917" s="153"/>
      <c r="Q917" s="262"/>
      <c r="R917" s="435"/>
      <c r="S917" s="264"/>
      <c r="T917" s="266"/>
      <c r="U917" s="211"/>
      <c r="W917" s="211"/>
      <c r="X917" s="211"/>
      <c r="Z917" s="211"/>
      <c r="AA917" s="211"/>
      <c r="AC917" s="211"/>
      <c r="AD917" s="211"/>
      <c r="AF917" s="211"/>
      <c r="AG917" s="211"/>
      <c r="AI917" s="211"/>
      <c r="AJ917" s="211"/>
      <c r="AL917" s="211"/>
      <c r="AM917" s="211"/>
    </row>
    <row r="918" spans="1:39" s="267" customFormat="1" x14ac:dyDescent="0.2">
      <c r="A918" s="258"/>
      <c r="B918" s="360"/>
      <c r="C918" s="290"/>
      <c r="D918" s="290"/>
      <c r="E918" s="290"/>
      <c r="F918" s="290"/>
      <c r="G918" s="290"/>
      <c r="H918" s="290"/>
      <c r="I918" s="290"/>
      <c r="J918" s="290"/>
      <c r="K918" s="290"/>
      <c r="L918" s="290"/>
      <c r="M918" s="290"/>
      <c r="N918" s="290"/>
      <c r="O918" s="290"/>
      <c r="P918" s="153"/>
      <c r="Q918" s="262"/>
      <c r="R918" s="435"/>
      <c r="S918" s="264"/>
      <c r="T918" s="266"/>
      <c r="U918" s="211"/>
      <c r="W918" s="211"/>
      <c r="X918" s="211"/>
      <c r="Z918" s="211"/>
      <c r="AA918" s="211"/>
      <c r="AC918" s="211"/>
      <c r="AD918" s="211"/>
      <c r="AF918" s="211"/>
      <c r="AG918" s="211"/>
      <c r="AI918" s="211"/>
      <c r="AJ918" s="211"/>
      <c r="AL918" s="211"/>
      <c r="AM918" s="211"/>
    </row>
    <row r="919" spans="1:39" s="267" customFormat="1" x14ac:dyDescent="0.2">
      <c r="A919" s="258"/>
      <c r="B919" s="360"/>
      <c r="C919" s="290"/>
      <c r="D919" s="290"/>
      <c r="E919" s="290"/>
      <c r="F919" s="290"/>
      <c r="G919" s="290"/>
      <c r="H919" s="290"/>
      <c r="I919" s="290"/>
      <c r="J919" s="290"/>
      <c r="K919" s="290"/>
      <c r="L919" s="290"/>
      <c r="M919" s="290"/>
      <c r="N919" s="290"/>
      <c r="O919" s="290"/>
      <c r="P919" s="153"/>
      <c r="Q919" s="262"/>
      <c r="R919" s="435"/>
      <c r="S919" s="264"/>
      <c r="T919" s="266"/>
      <c r="U919" s="211"/>
      <c r="W919" s="211"/>
      <c r="X919" s="211"/>
      <c r="Z919" s="211"/>
      <c r="AA919" s="211"/>
      <c r="AC919" s="211"/>
      <c r="AD919" s="211"/>
      <c r="AF919" s="211"/>
      <c r="AG919" s="211"/>
      <c r="AI919" s="211"/>
      <c r="AJ919" s="211"/>
      <c r="AL919" s="211"/>
      <c r="AM919" s="211"/>
    </row>
    <row r="920" spans="1:39" s="267" customFormat="1" x14ac:dyDescent="0.2">
      <c r="A920" s="258"/>
      <c r="B920" s="360"/>
      <c r="C920" s="290"/>
      <c r="D920" s="290"/>
      <c r="E920" s="290"/>
      <c r="F920" s="290"/>
      <c r="G920" s="290"/>
      <c r="H920" s="290"/>
      <c r="I920" s="290"/>
      <c r="J920" s="290"/>
      <c r="K920" s="290"/>
      <c r="L920" s="290"/>
      <c r="M920" s="290"/>
      <c r="N920" s="290"/>
      <c r="O920" s="290"/>
      <c r="P920" s="153"/>
      <c r="Q920" s="262"/>
      <c r="R920" s="435"/>
      <c r="S920" s="264"/>
      <c r="T920" s="266"/>
      <c r="U920" s="211"/>
      <c r="W920" s="211"/>
      <c r="X920" s="211"/>
      <c r="Z920" s="211"/>
      <c r="AA920" s="211"/>
      <c r="AC920" s="211"/>
      <c r="AD920" s="211"/>
      <c r="AF920" s="211"/>
      <c r="AG920" s="211"/>
      <c r="AI920" s="211"/>
      <c r="AJ920" s="211"/>
      <c r="AL920" s="211"/>
      <c r="AM920" s="211"/>
    </row>
    <row r="921" spans="1:39" s="267" customFormat="1" x14ac:dyDescent="0.2">
      <c r="A921" s="258"/>
      <c r="B921" s="360"/>
      <c r="C921" s="290"/>
      <c r="D921" s="290"/>
      <c r="E921" s="290"/>
      <c r="F921" s="290"/>
      <c r="G921" s="290"/>
      <c r="H921" s="290"/>
      <c r="I921" s="290"/>
      <c r="J921" s="290"/>
      <c r="K921" s="290"/>
      <c r="L921" s="290"/>
      <c r="M921" s="290"/>
      <c r="N921" s="290"/>
      <c r="O921" s="290"/>
      <c r="P921" s="153"/>
      <c r="Q921" s="262"/>
      <c r="R921" s="435"/>
      <c r="S921" s="264"/>
      <c r="T921" s="266"/>
      <c r="U921" s="211"/>
      <c r="W921" s="211"/>
      <c r="X921" s="211"/>
      <c r="Z921" s="211"/>
      <c r="AA921" s="211"/>
      <c r="AC921" s="211"/>
      <c r="AD921" s="211"/>
      <c r="AF921" s="211"/>
      <c r="AG921" s="211"/>
      <c r="AI921" s="211"/>
      <c r="AJ921" s="211"/>
      <c r="AL921" s="211"/>
      <c r="AM921" s="211"/>
    </row>
    <row r="922" spans="1:39" s="267" customFormat="1" x14ac:dyDescent="0.2">
      <c r="A922" s="258"/>
      <c r="B922" s="360"/>
      <c r="C922" s="290"/>
      <c r="D922" s="290"/>
      <c r="E922" s="290"/>
      <c r="F922" s="290"/>
      <c r="G922" s="290"/>
      <c r="H922" s="290"/>
      <c r="I922" s="290"/>
      <c r="J922" s="290"/>
      <c r="K922" s="290"/>
      <c r="L922" s="290"/>
      <c r="M922" s="290"/>
      <c r="N922" s="290"/>
      <c r="O922" s="290"/>
      <c r="P922" s="153"/>
      <c r="Q922" s="262"/>
      <c r="R922" s="435"/>
      <c r="S922" s="264"/>
      <c r="T922" s="266"/>
      <c r="U922" s="211"/>
      <c r="W922" s="211"/>
      <c r="X922" s="211"/>
      <c r="Z922" s="211"/>
      <c r="AA922" s="211"/>
      <c r="AC922" s="211"/>
      <c r="AD922" s="211"/>
      <c r="AF922" s="211"/>
      <c r="AG922" s="211"/>
      <c r="AI922" s="211"/>
      <c r="AJ922" s="211"/>
      <c r="AL922" s="211"/>
      <c r="AM922" s="211"/>
    </row>
    <row r="923" spans="1:39" s="267" customFormat="1" x14ac:dyDescent="0.2">
      <c r="A923" s="258"/>
      <c r="B923" s="360"/>
      <c r="C923" s="290"/>
      <c r="D923" s="290"/>
      <c r="E923" s="290"/>
      <c r="F923" s="290"/>
      <c r="G923" s="290"/>
      <c r="H923" s="290"/>
      <c r="I923" s="290"/>
      <c r="J923" s="290"/>
      <c r="K923" s="290"/>
      <c r="L923" s="290"/>
      <c r="M923" s="290"/>
      <c r="N923" s="290"/>
      <c r="O923" s="290"/>
      <c r="P923" s="153"/>
      <c r="Q923" s="262"/>
      <c r="R923" s="435"/>
      <c r="S923" s="264"/>
      <c r="T923" s="266"/>
      <c r="U923" s="211"/>
      <c r="W923" s="211"/>
      <c r="X923" s="211"/>
      <c r="Z923" s="211"/>
      <c r="AA923" s="211"/>
      <c r="AC923" s="211"/>
      <c r="AD923" s="211"/>
      <c r="AF923" s="211"/>
      <c r="AG923" s="211"/>
      <c r="AI923" s="211"/>
      <c r="AJ923" s="211"/>
      <c r="AL923" s="211"/>
      <c r="AM923" s="211"/>
    </row>
    <row r="924" spans="1:39" s="267" customFormat="1" x14ac:dyDescent="0.2">
      <c r="A924" s="258"/>
      <c r="B924" s="360"/>
      <c r="C924" s="290"/>
      <c r="D924" s="290"/>
      <c r="E924" s="290"/>
      <c r="F924" s="290"/>
      <c r="G924" s="290"/>
      <c r="H924" s="290"/>
      <c r="I924" s="290"/>
      <c r="J924" s="290"/>
      <c r="K924" s="290"/>
      <c r="L924" s="290"/>
      <c r="M924" s="290"/>
      <c r="N924" s="290"/>
      <c r="O924" s="290"/>
      <c r="P924" s="153"/>
      <c r="Q924" s="262"/>
      <c r="R924" s="435"/>
      <c r="S924" s="264"/>
      <c r="T924" s="266"/>
      <c r="U924" s="211"/>
      <c r="W924" s="211"/>
      <c r="X924" s="211"/>
      <c r="Z924" s="211"/>
      <c r="AA924" s="211"/>
      <c r="AC924" s="211"/>
      <c r="AD924" s="211"/>
      <c r="AF924" s="211"/>
      <c r="AG924" s="211"/>
      <c r="AI924" s="211"/>
      <c r="AJ924" s="211"/>
      <c r="AL924" s="211"/>
      <c r="AM924" s="211"/>
    </row>
    <row r="925" spans="1:39" s="267" customFormat="1" x14ac:dyDescent="0.2">
      <c r="A925" s="308"/>
      <c r="B925" s="259"/>
      <c r="C925" s="290"/>
      <c r="D925" s="290"/>
      <c r="E925" s="290"/>
      <c r="F925" s="290"/>
      <c r="G925" s="290"/>
      <c r="H925" s="290"/>
      <c r="I925" s="290"/>
      <c r="J925" s="290"/>
      <c r="K925" s="290"/>
      <c r="L925" s="290"/>
      <c r="M925" s="290"/>
      <c r="N925" s="290"/>
      <c r="O925" s="290"/>
      <c r="P925" s="261"/>
      <c r="Q925" s="262"/>
      <c r="R925" s="435"/>
      <c r="S925" s="264"/>
      <c r="T925" s="266"/>
      <c r="U925" s="211"/>
      <c r="W925" s="211"/>
      <c r="X925" s="211"/>
      <c r="Z925" s="211"/>
      <c r="AA925" s="211"/>
      <c r="AC925" s="211"/>
      <c r="AD925" s="211"/>
      <c r="AF925" s="211"/>
      <c r="AG925" s="211"/>
      <c r="AI925" s="211"/>
      <c r="AJ925" s="211"/>
      <c r="AL925" s="211"/>
      <c r="AM925" s="211"/>
    </row>
    <row r="926" spans="1:39" s="267" customFormat="1" x14ac:dyDescent="0.2">
      <c r="A926" s="308"/>
      <c r="B926" s="259"/>
      <c r="C926" s="290"/>
      <c r="D926" s="290">
        <f>C926*$Q926</f>
        <v>0</v>
      </c>
      <c r="E926" s="290"/>
      <c r="F926" s="290">
        <f>E926*$Q926</f>
        <v>0</v>
      </c>
      <c r="G926" s="290"/>
      <c r="H926" s="290">
        <f>G926*$Q926</f>
        <v>0</v>
      </c>
      <c r="I926" s="290"/>
      <c r="J926" s="290">
        <f>I926*$Q926</f>
        <v>0</v>
      </c>
      <c r="K926" s="290"/>
      <c r="L926" s="290">
        <f>K926*$Q926</f>
        <v>0</v>
      </c>
      <c r="M926" s="290"/>
      <c r="N926" s="290">
        <f>M926*$Q926</f>
        <v>0</v>
      </c>
      <c r="O926" s="290"/>
      <c r="P926" s="261"/>
      <c r="Q926" s="262"/>
      <c r="R926" s="435"/>
      <c r="S926" s="264"/>
      <c r="T926" s="266"/>
      <c r="U926" s="211"/>
      <c r="W926" s="211"/>
      <c r="X926" s="211"/>
      <c r="Z926" s="211"/>
      <c r="AA926" s="211"/>
      <c r="AC926" s="211"/>
      <c r="AD926" s="211"/>
      <c r="AF926" s="211"/>
      <c r="AG926" s="211"/>
      <c r="AI926" s="211"/>
      <c r="AJ926" s="211"/>
      <c r="AL926" s="211"/>
      <c r="AM926" s="211"/>
    </row>
    <row r="927" spans="1:39" s="267" customFormat="1" x14ac:dyDescent="0.2">
      <c r="A927" s="375"/>
      <c r="B927" s="376"/>
      <c r="C927" s="377"/>
      <c r="D927" s="377"/>
      <c r="E927" s="377"/>
      <c r="F927" s="377"/>
      <c r="G927" s="377"/>
      <c r="H927" s="377"/>
      <c r="I927" s="377"/>
      <c r="J927" s="377"/>
      <c r="K927" s="377"/>
      <c r="L927" s="377"/>
      <c r="M927" s="377"/>
      <c r="N927" s="377"/>
      <c r="O927" s="377"/>
      <c r="P927" s="377"/>
      <c r="Q927" s="378"/>
      <c r="R927" s="441"/>
      <c r="S927" s="264"/>
      <c r="T927" s="273"/>
      <c r="U927" s="274"/>
      <c r="W927" s="273"/>
      <c r="X927" s="273"/>
      <c r="Z927" s="273"/>
      <c r="AA927" s="273"/>
      <c r="AC927" s="273"/>
      <c r="AD927" s="273"/>
      <c r="AF927" s="273"/>
      <c r="AG927" s="273"/>
      <c r="AI927" s="273"/>
      <c r="AJ927" s="273"/>
      <c r="AL927" s="273"/>
      <c r="AM927" s="273"/>
    </row>
    <row r="928" spans="1:39" s="267" customFormat="1" x14ac:dyDescent="0.2">
      <c r="A928" s="380"/>
      <c r="B928" s="320"/>
      <c r="C928" s="550"/>
      <c r="D928" s="550"/>
      <c r="E928" s="550"/>
      <c r="F928" s="550"/>
      <c r="G928" s="550"/>
      <c r="H928" s="550"/>
      <c r="I928" s="550"/>
      <c r="J928" s="550"/>
      <c r="K928" s="550"/>
      <c r="L928" s="550"/>
      <c r="M928" s="550"/>
      <c r="N928" s="550"/>
      <c r="O928" s="550"/>
      <c r="P928" s="550"/>
      <c r="Q928" s="381" t="s">
        <v>0</v>
      </c>
      <c r="R928" s="435"/>
      <c r="S928" s="276"/>
      <c r="T928" s="266"/>
      <c r="U928" s="277"/>
      <c r="W928" s="266"/>
      <c r="X928" s="266"/>
      <c r="Z928" s="266"/>
      <c r="AA928" s="266"/>
      <c r="AC928" s="266"/>
      <c r="AD928" s="266"/>
      <c r="AF928" s="266"/>
      <c r="AG928" s="266"/>
      <c r="AI928" s="266"/>
      <c r="AJ928" s="266"/>
      <c r="AL928" s="266"/>
      <c r="AM928" s="266"/>
    </row>
    <row r="929" spans="1:39" s="267" customFormat="1" x14ac:dyDescent="0.2">
      <c r="A929" s="380"/>
      <c r="B929" s="320"/>
      <c r="C929" s="309"/>
      <c r="D929" s="309"/>
      <c r="E929" s="309"/>
      <c r="F929" s="309"/>
      <c r="G929" s="309"/>
      <c r="H929" s="309"/>
      <c r="I929" s="309"/>
      <c r="J929" s="309"/>
      <c r="K929" s="309"/>
      <c r="L929" s="309"/>
      <c r="M929" s="309"/>
      <c r="N929" s="309"/>
      <c r="O929" s="309"/>
      <c r="P929" s="309"/>
      <c r="Q929" s="294"/>
      <c r="R929" s="458"/>
      <c r="S929" s="264"/>
      <c r="T929" s="278"/>
      <c r="U929" s="279"/>
      <c r="W929" s="278"/>
      <c r="X929" s="278"/>
      <c r="Z929" s="278"/>
      <c r="AA929" s="278"/>
      <c r="AC929" s="278"/>
      <c r="AD929" s="278"/>
      <c r="AF929" s="278"/>
      <c r="AG929" s="278"/>
      <c r="AI929" s="278"/>
      <c r="AJ929" s="278"/>
      <c r="AL929" s="278"/>
      <c r="AM929" s="278"/>
    </row>
    <row r="930" spans="1:39" s="267" customFormat="1" x14ac:dyDescent="0.2">
      <c r="A930" s="258"/>
      <c r="B930" s="259"/>
      <c r="C930" s="357"/>
      <c r="D930" s="478"/>
      <c r="E930" s="478"/>
      <c r="F930" s="478"/>
      <c r="G930" s="478"/>
      <c r="H930" s="478"/>
      <c r="I930" s="478"/>
      <c r="J930" s="478"/>
      <c r="K930" s="478"/>
      <c r="L930" s="478"/>
      <c r="M930" s="478"/>
      <c r="N930" s="478"/>
      <c r="O930" s="478"/>
      <c r="P930" s="261"/>
      <c r="Q930" s="262"/>
      <c r="R930" s="435"/>
      <c r="S930" s="264"/>
      <c r="T930" s="266"/>
      <c r="U930" s="211"/>
      <c r="W930" s="211"/>
      <c r="X930" s="211"/>
      <c r="Z930" s="211"/>
      <c r="AA930" s="211"/>
      <c r="AC930" s="211"/>
      <c r="AD930" s="211"/>
      <c r="AF930" s="211"/>
      <c r="AG930" s="211"/>
      <c r="AI930" s="211"/>
      <c r="AJ930" s="211"/>
      <c r="AL930" s="211"/>
      <c r="AM930" s="211"/>
    </row>
    <row r="931" spans="1:39" s="267" customFormat="1" x14ac:dyDescent="0.2">
      <c r="A931" s="308"/>
      <c r="B931" s="265" t="s">
        <v>8</v>
      </c>
      <c r="C931" s="290"/>
      <c r="D931" s="290"/>
      <c r="E931" s="290"/>
      <c r="F931" s="290"/>
      <c r="G931" s="290"/>
      <c r="H931" s="290"/>
      <c r="I931" s="290"/>
      <c r="J931" s="290"/>
      <c r="K931" s="290"/>
      <c r="L931" s="290"/>
      <c r="M931" s="290"/>
      <c r="N931" s="290"/>
      <c r="O931" s="290"/>
      <c r="P931" s="153"/>
      <c r="Q931" s="262"/>
      <c r="R931" s="435"/>
      <c r="S931" s="264"/>
      <c r="T931" s="266"/>
      <c r="U931" s="211"/>
      <c r="W931" s="211"/>
      <c r="X931" s="211"/>
      <c r="Z931" s="211"/>
      <c r="AA931" s="211"/>
      <c r="AC931" s="211"/>
      <c r="AD931" s="211"/>
      <c r="AF931" s="211"/>
      <c r="AG931" s="211"/>
      <c r="AI931" s="211"/>
      <c r="AJ931" s="211"/>
      <c r="AL931" s="211"/>
      <c r="AM931" s="211"/>
    </row>
    <row r="932" spans="1:39" s="267" customFormat="1" x14ac:dyDescent="0.2">
      <c r="A932" s="258"/>
      <c r="B932" s="361"/>
      <c r="C932" s="290"/>
      <c r="D932" s="290">
        <f t="shared" ref="D932:D972" si="390">C932*$Q932</f>
        <v>0</v>
      </c>
      <c r="E932" s="290"/>
      <c r="F932" s="290">
        <f t="shared" ref="F932:F972" si="391">E932*$Q932</f>
        <v>0</v>
      </c>
      <c r="G932" s="290"/>
      <c r="H932" s="290">
        <f t="shared" ref="H932:H972" si="392">G932*$Q932</f>
        <v>0</v>
      </c>
      <c r="I932" s="290"/>
      <c r="J932" s="290">
        <f t="shared" ref="J932:J972" si="393">I932*$Q932</f>
        <v>0</v>
      </c>
      <c r="K932" s="290"/>
      <c r="L932" s="290">
        <f t="shared" ref="L932:L972" si="394">K932*$Q932</f>
        <v>0</v>
      </c>
      <c r="M932" s="290"/>
      <c r="N932" s="290">
        <f t="shared" ref="N932:N972" si="395">M932*$Q932</f>
        <v>0</v>
      </c>
      <c r="O932" s="290"/>
      <c r="P932" s="261"/>
      <c r="Q932" s="262"/>
      <c r="R932" s="435"/>
      <c r="S932" s="264"/>
      <c r="T932" s="266"/>
      <c r="U932" s="211"/>
      <c r="W932" s="211"/>
      <c r="X932" s="211"/>
      <c r="Z932" s="211"/>
      <c r="AA932" s="211"/>
      <c r="AC932" s="211"/>
      <c r="AD932" s="211"/>
      <c r="AF932" s="211"/>
      <c r="AG932" s="211"/>
      <c r="AI932" s="211"/>
      <c r="AJ932" s="211"/>
      <c r="AL932" s="211"/>
      <c r="AM932" s="211"/>
    </row>
    <row r="933" spans="1:39" s="267" customFormat="1" ht="43.5" customHeight="1" x14ac:dyDescent="0.2">
      <c r="A933" s="362" t="s">
        <v>66</v>
      </c>
      <c r="B933" s="269" t="s">
        <v>173</v>
      </c>
      <c r="C933" s="290">
        <f>(W933+X933)*$C$3</f>
        <v>0</v>
      </c>
      <c r="D933" s="290">
        <f>C933*$Q933</f>
        <v>0</v>
      </c>
      <c r="E933" s="290">
        <f>(Z933+AA933)*$E$3</f>
        <v>0</v>
      </c>
      <c r="F933" s="290">
        <f>E933*$Q933</f>
        <v>0</v>
      </c>
      <c r="G933" s="290">
        <f>(AC933+AD933)*$G$3</f>
        <v>0</v>
      </c>
      <c r="H933" s="290">
        <f>G933*$Q933</f>
        <v>0</v>
      </c>
      <c r="I933" s="290">
        <f>(AF933+AG933)*$I$3</f>
        <v>0</v>
      </c>
      <c r="J933" s="290">
        <f>I933*$Q933</f>
        <v>0</v>
      </c>
      <c r="K933" s="290">
        <f>(AI933+AJ933)*$K$3</f>
        <v>0</v>
      </c>
      <c r="L933" s="290">
        <f>K933*$Q933</f>
        <v>0</v>
      </c>
      <c r="M933" s="290">
        <f>(AL933+AM933)*$M$3</f>
        <v>0</v>
      </c>
      <c r="N933" s="290">
        <f>M933*$Q933</f>
        <v>0</v>
      </c>
      <c r="O933" s="290">
        <f>C933+E933+G933+I933+K933+M933</f>
        <v>0</v>
      </c>
      <c r="P933" s="153" t="s">
        <v>5</v>
      </c>
      <c r="Q933" s="262"/>
      <c r="R933" s="435"/>
      <c r="S933" s="264"/>
      <c r="T933" s="266"/>
      <c r="U933" s="266">
        <v>0</v>
      </c>
      <c r="W933" s="268">
        <f>T933*$W$3</f>
        <v>0</v>
      </c>
      <c r="X933" s="266">
        <f>U933*$X$3</f>
        <v>0</v>
      </c>
      <c r="Z933" s="268">
        <f>W933</f>
        <v>0</v>
      </c>
      <c r="AA933" s="266">
        <f>U933*$AA$3</f>
        <v>0</v>
      </c>
      <c r="AC933" s="268">
        <f>W933</f>
        <v>0</v>
      </c>
      <c r="AD933" s="266">
        <f>U933*$AD$3</f>
        <v>0</v>
      </c>
      <c r="AF933" s="268">
        <f>W933</f>
        <v>0</v>
      </c>
      <c r="AG933" s="266">
        <f>U933*$AG$3</f>
        <v>0</v>
      </c>
      <c r="AI933" s="268">
        <f>W933</f>
        <v>0</v>
      </c>
      <c r="AJ933" s="266">
        <f>U933*$AJ$3</f>
        <v>0</v>
      </c>
      <c r="AL933" s="268">
        <f>W933</f>
        <v>0</v>
      </c>
      <c r="AM933" s="266">
        <f>U933*$AM$3</f>
        <v>0</v>
      </c>
    </row>
    <row r="934" spans="1:39" s="267" customFormat="1" x14ac:dyDescent="0.2">
      <c r="A934" s="308"/>
      <c r="B934" s="259"/>
      <c r="C934" s="290"/>
      <c r="D934" s="290">
        <f t="shared" si="390"/>
        <v>0</v>
      </c>
      <c r="E934" s="290"/>
      <c r="F934" s="290">
        <f t="shared" si="391"/>
        <v>0</v>
      </c>
      <c r="G934" s="290"/>
      <c r="H934" s="290">
        <f t="shared" si="392"/>
        <v>0</v>
      </c>
      <c r="I934" s="290"/>
      <c r="J934" s="290">
        <f t="shared" si="393"/>
        <v>0</v>
      </c>
      <c r="K934" s="290"/>
      <c r="L934" s="290">
        <f t="shared" si="394"/>
        <v>0</v>
      </c>
      <c r="M934" s="290"/>
      <c r="N934" s="290">
        <f t="shared" si="395"/>
        <v>0</v>
      </c>
      <c r="O934" s="290"/>
      <c r="P934" s="261"/>
      <c r="Q934" s="262"/>
      <c r="R934" s="435"/>
      <c r="S934" s="264"/>
      <c r="T934" s="266"/>
      <c r="U934" s="211"/>
      <c r="W934" s="211"/>
      <c r="X934" s="211"/>
      <c r="Z934" s="211"/>
      <c r="AA934" s="211"/>
      <c r="AC934" s="211"/>
      <c r="AD934" s="211"/>
      <c r="AF934" s="211"/>
      <c r="AG934" s="211"/>
      <c r="AI934" s="211"/>
      <c r="AJ934" s="211"/>
      <c r="AL934" s="211"/>
      <c r="AM934" s="211"/>
    </row>
    <row r="935" spans="1:39" s="267" customFormat="1" x14ac:dyDescent="0.2">
      <c r="A935" s="308"/>
      <c r="B935" s="259"/>
      <c r="C935" s="290"/>
      <c r="D935" s="290">
        <f t="shared" si="390"/>
        <v>0</v>
      </c>
      <c r="E935" s="290"/>
      <c r="F935" s="290">
        <f t="shared" si="391"/>
        <v>0</v>
      </c>
      <c r="G935" s="290"/>
      <c r="H935" s="290">
        <f t="shared" si="392"/>
        <v>0</v>
      </c>
      <c r="I935" s="290"/>
      <c r="J935" s="290">
        <f t="shared" si="393"/>
        <v>0</v>
      </c>
      <c r="K935" s="290"/>
      <c r="L935" s="290">
        <f t="shared" si="394"/>
        <v>0</v>
      </c>
      <c r="M935" s="290"/>
      <c r="N935" s="290">
        <f t="shared" si="395"/>
        <v>0</v>
      </c>
      <c r="O935" s="290"/>
      <c r="P935" s="153"/>
      <c r="Q935" s="262"/>
      <c r="R935" s="435"/>
      <c r="S935" s="264"/>
      <c r="T935" s="266"/>
      <c r="U935" s="211"/>
      <c r="W935" s="211"/>
      <c r="X935" s="211"/>
      <c r="Z935" s="211"/>
      <c r="AA935" s="211"/>
      <c r="AC935" s="211"/>
      <c r="AD935" s="211"/>
      <c r="AF935" s="211"/>
      <c r="AG935" s="211"/>
      <c r="AI935" s="211"/>
      <c r="AJ935" s="211"/>
      <c r="AL935" s="211"/>
      <c r="AM935" s="211"/>
    </row>
    <row r="936" spans="1:39" s="267" customFormat="1" x14ac:dyDescent="0.2">
      <c r="A936" s="308"/>
      <c r="B936" s="293"/>
      <c r="C936" s="290"/>
      <c r="D936" s="290">
        <f t="shared" si="390"/>
        <v>0</v>
      </c>
      <c r="E936" s="290"/>
      <c r="F936" s="290">
        <f t="shared" si="391"/>
        <v>0</v>
      </c>
      <c r="G936" s="290"/>
      <c r="H936" s="290">
        <f t="shared" si="392"/>
        <v>0</v>
      </c>
      <c r="I936" s="290"/>
      <c r="J936" s="290">
        <f t="shared" si="393"/>
        <v>0</v>
      </c>
      <c r="K936" s="290"/>
      <c r="L936" s="290">
        <f t="shared" si="394"/>
        <v>0</v>
      </c>
      <c r="M936" s="290"/>
      <c r="N936" s="290">
        <f t="shared" si="395"/>
        <v>0</v>
      </c>
      <c r="O936" s="290"/>
      <c r="P936" s="261"/>
      <c r="Q936" s="262"/>
      <c r="R936" s="435"/>
      <c r="S936" s="264"/>
      <c r="T936" s="266"/>
      <c r="U936" s="211"/>
      <c r="W936" s="211"/>
      <c r="X936" s="211"/>
      <c r="Z936" s="211"/>
      <c r="AA936" s="211"/>
      <c r="AC936" s="211"/>
      <c r="AD936" s="211"/>
      <c r="AF936" s="211"/>
      <c r="AG936" s="211"/>
      <c r="AI936" s="211"/>
      <c r="AJ936" s="211"/>
      <c r="AL936" s="211"/>
      <c r="AM936" s="211"/>
    </row>
    <row r="937" spans="1:39" s="267" customFormat="1" x14ac:dyDescent="0.2">
      <c r="A937" s="308"/>
      <c r="B937" s="259"/>
      <c r="C937" s="290"/>
      <c r="D937" s="290">
        <f t="shared" si="390"/>
        <v>0</v>
      </c>
      <c r="E937" s="290"/>
      <c r="F937" s="290">
        <f t="shared" si="391"/>
        <v>0</v>
      </c>
      <c r="G937" s="290"/>
      <c r="H937" s="290">
        <f t="shared" si="392"/>
        <v>0</v>
      </c>
      <c r="I937" s="290"/>
      <c r="J937" s="290">
        <f t="shared" si="393"/>
        <v>0</v>
      </c>
      <c r="K937" s="290"/>
      <c r="L937" s="290">
        <f t="shared" si="394"/>
        <v>0</v>
      </c>
      <c r="M937" s="290"/>
      <c r="N937" s="290">
        <f t="shared" si="395"/>
        <v>0</v>
      </c>
      <c r="O937" s="290"/>
      <c r="P937" s="153"/>
      <c r="Q937" s="262"/>
      <c r="R937" s="435"/>
      <c r="S937" s="264"/>
      <c r="T937" s="266"/>
      <c r="U937" s="211"/>
      <c r="W937" s="211"/>
      <c r="X937" s="211"/>
      <c r="Z937" s="211"/>
      <c r="AA937" s="211"/>
      <c r="AC937" s="211"/>
      <c r="AD937" s="211"/>
      <c r="AF937" s="211"/>
      <c r="AG937" s="211"/>
      <c r="AI937" s="211"/>
      <c r="AJ937" s="211"/>
      <c r="AL937" s="211"/>
      <c r="AM937" s="211"/>
    </row>
    <row r="938" spans="1:39" s="267" customFormat="1" x14ac:dyDescent="0.2">
      <c r="A938" s="308"/>
      <c r="B938" s="293"/>
      <c r="C938" s="290"/>
      <c r="D938" s="290">
        <f t="shared" si="390"/>
        <v>0</v>
      </c>
      <c r="E938" s="290"/>
      <c r="F938" s="290">
        <f t="shared" si="391"/>
        <v>0</v>
      </c>
      <c r="G938" s="290"/>
      <c r="H938" s="290">
        <f t="shared" si="392"/>
        <v>0</v>
      </c>
      <c r="I938" s="290"/>
      <c r="J938" s="290">
        <f t="shared" si="393"/>
        <v>0</v>
      </c>
      <c r="K938" s="290"/>
      <c r="L938" s="290">
        <f t="shared" si="394"/>
        <v>0</v>
      </c>
      <c r="M938" s="290"/>
      <c r="N938" s="290">
        <f t="shared" si="395"/>
        <v>0</v>
      </c>
      <c r="O938" s="290"/>
      <c r="P938" s="261"/>
      <c r="Q938" s="262"/>
      <c r="R938" s="435"/>
      <c r="S938" s="264"/>
      <c r="T938" s="266"/>
      <c r="U938" s="211"/>
      <c r="W938" s="211"/>
      <c r="X938" s="211"/>
      <c r="Z938" s="211"/>
      <c r="AA938" s="211"/>
      <c r="AC938" s="211"/>
      <c r="AD938" s="211"/>
      <c r="AF938" s="211"/>
      <c r="AG938" s="211"/>
      <c r="AI938" s="211"/>
      <c r="AJ938" s="211"/>
      <c r="AL938" s="211"/>
      <c r="AM938" s="211"/>
    </row>
    <row r="939" spans="1:39" s="267" customFormat="1" x14ac:dyDescent="0.2">
      <c r="A939" s="308"/>
      <c r="B939" s="259"/>
      <c r="C939" s="290"/>
      <c r="D939" s="290">
        <f t="shared" si="390"/>
        <v>0</v>
      </c>
      <c r="E939" s="290"/>
      <c r="F939" s="290">
        <f t="shared" si="391"/>
        <v>0</v>
      </c>
      <c r="G939" s="290"/>
      <c r="H939" s="290">
        <f t="shared" si="392"/>
        <v>0</v>
      </c>
      <c r="I939" s="290"/>
      <c r="J939" s="290">
        <f t="shared" si="393"/>
        <v>0</v>
      </c>
      <c r="K939" s="290"/>
      <c r="L939" s="290">
        <f t="shared" si="394"/>
        <v>0</v>
      </c>
      <c r="M939" s="290"/>
      <c r="N939" s="290">
        <f t="shared" si="395"/>
        <v>0</v>
      </c>
      <c r="O939" s="290"/>
      <c r="P939" s="153"/>
      <c r="Q939" s="262"/>
      <c r="R939" s="435"/>
      <c r="S939" s="264"/>
      <c r="T939" s="266"/>
      <c r="U939" s="211"/>
      <c r="W939" s="211"/>
      <c r="X939" s="211"/>
      <c r="Z939" s="211"/>
      <c r="AA939" s="211"/>
      <c r="AC939" s="211"/>
      <c r="AD939" s="211"/>
      <c r="AF939" s="211"/>
      <c r="AG939" s="211"/>
      <c r="AI939" s="211"/>
      <c r="AJ939" s="211"/>
      <c r="AL939" s="211"/>
      <c r="AM939" s="211"/>
    </row>
    <row r="940" spans="1:39" s="267" customFormat="1" x14ac:dyDescent="0.2">
      <c r="A940" s="308"/>
      <c r="B940" s="206"/>
      <c r="C940" s="290"/>
      <c r="D940" s="290">
        <f t="shared" si="390"/>
        <v>0</v>
      </c>
      <c r="E940" s="290"/>
      <c r="F940" s="290">
        <f t="shared" si="391"/>
        <v>0</v>
      </c>
      <c r="G940" s="290"/>
      <c r="H940" s="290">
        <f t="shared" si="392"/>
        <v>0</v>
      </c>
      <c r="I940" s="290"/>
      <c r="J940" s="290">
        <f t="shared" si="393"/>
        <v>0</v>
      </c>
      <c r="K940" s="290"/>
      <c r="L940" s="290">
        <f t="shared" si="394"/>
        <v>0</v>
      </c>
      <c r="M940" s="290"/>
      <c r="N940" s="290">
        <f t="shared" si="395"/>
        <v>0</v>
      </c>
      <c r="O940" s="290"/>
      <c r="P940" s="261"/>
      <c r="Q940" s="262"/>
      <c r="R940" s="435"/>
      <c r="S940" s="264"/>
      <c r="T940" s="266"/>
      <c r="U940" s="211"/>
      <c r="W940" s="211"/>
      <c r="X940" s="211"/>
      <c r="Z940" s="211"/>
      <c r="AA940" s="211"/>
      <c r="AC940" s="211"/>
      <c r="AD940" s="211"/>
      <c r="AF940" s="211"/>
      <c r="AG940" s="211"/>
      <c r="AI940" s="211"/>
      <c r="AJ940" s="211"/>
      <c r="AL940" s="211"/>
      <c r="AM940" s="211"/>
    </row>
    <row r="941" spans="1:39" s="267" customFormat="1" x14ac:dyDescent="0.2">
      <c r="A941" s="308"/>
      <c r="B941" s="259"/>
      <c r="C941" s="290"/>
      <c r="D941" s="290">
        <f t="shared" si="390"/>
        <v>0</v>
      </c>
      <c r="E941" s="290"/>
      <c r="F941" s="290">
        <f t="shared" si="391"/>
        <v>0</v>
      </c>
      <c r="G941" s="290"/>
      <c r="H941" s="290">
        <f t="shared" si="392"/>
        <v>0</v>
      </c>
      <c r="I941" s="290"/>
      <c r="J941" s="290">
        <f t="shared" si="393"/>
        <v>0</v>
      </c>
      <c r="K941" s="290"/>
      <c r="L941" s="290">
        <f t="shared" si="394"/>
        <v>0</v>
      </c>
      <c r="M941" s="290"/>
      <c r="N941" s="290">
        <f t="shared" si="395"/>
        <v>0</v>
      </c>
      <c r="O941" s="290"/>
      <c r="P941" s="153"/>
      <c r="Q941" s="262"/>
      <c r="R941" s="435"/>
      <c r="S941" s="264"/>
      <c r="T941" s="266"/>
      <c r="U941" s="211"/>
      <c r="W941" s="211"/>
      <c r="X941" s="211"/>
      <c r="Z941" s="211"/>
      <c r="AA941" s="211"/>
      <c r="AC941" s="211"/>
      <c r="AD941" s="211"/>
      <c r="AF941" s="211"/>
      <c r="AG941" s="211"/>
      <c r="AI941" s="211"/>
      <c r="AJ941" s="211"/>
      <c r="AL941" s="211"/>
      <c r="AM941" s="211"/>
    </row>
    <row r="942" spans="1:39" s="267" customFormat="1" x14ac:dyDescent="0.2">
      <c r="A942" s="308"/>
      <c r="B942" s="293"/>
      <c r="C942" s="290"/>
      <c r="D942" s="290">
        <f t="shared" si="390"/>
        <v>0</v>
      </c>
      <c r="E942" s="290"/>
      <c r="F942" s="290">
        <f t="shared" si="391"/>
        <v>0</v>
      </c>
      <c r="G942" s="290"/>
      <c r="H942" s="290">
        <f t="shared" si="392"/>
        <v>0</v>
      </c>
      <c r="I942" s="290"/>
      <c r="J942" s="290">
        <f t="shared" si="393"/>
        <v>0</v>
      </c>
      <c r="K942" s="290"/>
      <c r="L942" s="290">
        <f t="shared" si="394"/>
        <v>0</v>
      </c>
      <c r="M942" s="290"/>
      <c r="N942" s="290">
        <f t="shared" si="395"/>
        <v>0</v>
      </c>
      <c r="O942" s="290"/>
      <c r="P942" s="261"/>
      <c r="Q942" s="262"/>
      <c r="R942" s="435"/>
      <c r="S942" s="264"/>
      <c r="T942" s="266"/>
      <c r="U942" s="211"/>
      <c r="W942" s="211"/>
      <c r="X942" s="211"/>
      <c r="Z942" s="211"/>
      <c r="AA942" s="211"/>
      <c r="AC942" s="211"/>
      <c r="AD942" s="211"/>
      <c r="AF942" s="211"/>
      <c r="AG942" s="211"/>
      <c r="AI942" s="211"/>
      <c r="AJ942" s="211"/>
      <c r="AL942" s="211"/>
      <c r="AM942" s="211"/>
    </row>
    <row r="943" spans="1:39" s="267" customFormat="1" x14ac:dyDescent="0.2">
      <c r="A943" s="308"/>
      <c r="B943" s="293"/>
      <c r="C943" s="290"/>
      <c r="D943" s="290"/>
      <c r="E943" s="290"/>
      <c r="F943" s="290"/>
      <c r="G943" s="290"/>
      <c r="H943" s="290"/>
      <c r="I943" s="290"/>
      <c r="J943" s="290"/>
      <c r="K943" s="290"/>
      <c r="L943" s="290"/>
      <c r="M943" s="290"/>
      <c r="N943" s="290"/>
      <c r="O943" s="290"/>
      <c r="P943" s="261"/>
      <c r="Q943" s="262"/>
      <c r="R943" s="435"/>
      <c r="S943" s="264"/>
      <c r="T943" s="266"/>
      <c r="U943" s="211"/>
      <c r="W943" s="211"/>
      <c r="X943" s="211"/>
      <c r="Z943" s="211"/>
      <c r="AA943" s="211"/>
      <c r="AC943" s="211"/>
      <c r="AD943" s="211"/>
      <c r="AF943" s="211"/>
      <c r="AG943" s="211"/>
      <c r="AI943" s="211"/>
      <c r="AJ943" s="211"/>
      <c r="AL943" s="211"/>
      <c r="AM943" s="211"/>
    </row>
    <row r="944" spans="1:39" s="267" customFormat="1" x14ac:dyDescent="0.2">
      <c r="A944" s="308"/>
      <c r="B944" s="293"/>
      <c r="C944" s="290"/>
      <c r="D944" s="290"/>
      <c r="E944" s="290"/>
      <c r="F944" s="290"/>
      <c r="G944" s="290"/>
      <c r="H944" s="290"/>
      <c r="I944" s="290"/>
      <c r="J944" s="290"/>
      <c r="K944" s="290"/>
      <c r="L944" s="290"/>
      <c r="M944" s="290"/>
      <c r="N944" s="290"/>
      <c r="O944" s="290"/>
      <c r="P944" s="261"/>
      <c r="Q944" s="262"/>
      <c r="R944" s="435"/>
      <c r="S944" s="264"/>
      <c r="T944" s="266"/>
      <c r="U944" s="211"/>
      <c r="W944" s="211"/>
      <c r="X944" s="211"/>
      <c r="Z944" s="211"/>
      <c r="AA944" s="211"/>
      <c r="AC944" s="211"/>
      <c r="AD944" s="211"/>
      <c r="AF944" s="211"/>
      <c r="AG944" s="211"/>
      <c r="AI944" s="211"/>
      <c r="AJ944" s="211"/>
      <c r="AL944" s="211"/>
      <c r="AM944" s="211"/>
    </row>
    <row r="945" spans="1:39" s="267" customFormat="1" x14ac:dyDescent="0.2">
      <c r="A945" s="308"/>
      <c r="B945" s="293"/>
      <c r="C945" s="290"/>
      <c r="D945" s="290"/>
      <c r="E945" s="290"/>
      <c r="F945" s="290"/>
      <c r="G945" s="290"/>
      <c r="H945" s="290"/>
      <c r="I945" s="290"/>
      <c r="J945" s="290"/>
      <c r="K945" s="290"/>
      <c r="L945" s="290"/>
      <c r="M945" s="290"/>
      <c r="N945" s="290"/>
      <c r="O945" s="290"/>
      <c r="P945" s="261"/>
      <c r="Q945" s="262"/>
      <c r="R945" s="435"/>
      <c r="S945" s="264"/>
      <c r="T945" s="266"/>
      <c r="U945" s="211"/>
      <c r="W945" s="211"/>
      <c r="X945" s="211"/>
      <c r="Z945" s="211"/>
      <c r="AA945" s="211"/>
      <c r="AC945" s="211"/>
      <c r="AD945" s="211"/>
      <c r="AF945" s="211"/>
      <c r="AG945" s="211"/>
      <c r="AI945" s="211"/>
      <c r="AJ945" s="211"/>
      <c r="AL945" s="211"/>
      <c r="AM945" s="211"/>
    </row>
    <row r="946" spans="1:39" s="267" customFormat="1" x14ac:dyDescent="0.2">
      <c r="A946" s="308"/>
      <c r="B946" s="293"/>
      <c r="C946" s="290"/>
      <c r="D946" s="290"/>
      <c r="E946" s="290"/>
      <c r="F946" s="290"/>
      <c r="G946" s="290"/>
      <c r="H946" s="290"/>
      <c r="I946" s="290"/>
      <c r="J946" s="290"/>
      <c r="K946" s="290"/>
      <c r="L946" s="290"/>
      <c r="M946" s="290"/>
      <c r="N946" s="290"/>
      <c r="O946" s="290"/>
      <c r="P946" s="261"/>
      <c r="Q946" s="262"/>
      <c r="R946" s="435"/>
      <c r="S946" s="264"/>
      <c r="T946" s="266"/>
      <c r="U946" s="211"/>
      <c r="W946" s="211"/>
      <c r="X946" s="211"/>
      <c r="Z946" s="211"/>
      <c r="AA946" s="211"/>
      <c r="AC946" s="211"/>
      <c r="AD946" s="211"/>
      <c r="AF946" s="211"/>
      <c r="AG946" s="211"/>
      <c r="AI946" s="211"/>
      <c r="AJ946" s="211"/>
      <c r="AL946" s="211"/>
      <c r="AM946" s="211"/>
    </row>
    <row r="947" spans="1:39" s="267" customFormat="1" x14ac:dyDescent="0.2">
      <c r="A947" s="308"/>
      <c r="B947" s="293"/>
      <c r="C947" s="290"/>
      <c r="D947" s="290"/>
      <c r="E947" s="290"/>
      <c r="F947" s="290"/>
      <c r="G947" s="290"/>
      <c r="H947" s="290"/>
      <c r="I947" s="290"/>
      <c r="J947" s="290"/>
      <c r="K947" s="290"/>
      <c r="L947" s="290"/>
      <c r="M947" s="290"/>
      <c r="N947" s="290"/>
      <c r="O947" s="290"/>
      <c r="P947" s="261"/>
      <c r="Q947" s="262"/>
      <c r="R947" s="435"/>
      <c r="S947" s="264"/>
      <c r="T947" s="266"/>
      <c r="U947" s="211"/>
      <c r="W947" s="211"/>
      <c r="X947" s="211"/>
      <c r="Z947" s="211"/>
      <c r="AA947" s="211"/>
      <c r="AC947" s="211"/>
      <c r="AD947" s="211"/>
      <c r="AF947" s="211"/>
      <c r="AG947" s="211"/>
      <c r="AI947" s="211"/>
      <c r="AJ947" s="211"/>
      <c r="AL947" s="211"/>
      <c r="AM947" s="211"/>
    </row>
    <row r="948" spans="1:39" s="267" customFormat="1" x14ac:dyDescent="0.2">
      <c r="A948" s="308"/>
      <c r="B948" s="293"/>
      <c r="C948" s="290"/>
      <c r="D948" s="290"/>
      <c r="E948" s="290"/>
      <c r="F948" s="290"/>
      <c r="G948" s="290"/>
      <c r="H948" s="290"/>
      <c r="I948" s="290"/>
      <c r="J948" s="290"/>
      <c r="K948" s="290"/>
      <c r="L948" s="290"/>
      <c r="M948" s="290"/>
      <c r="N948" s="290"/>
      <c r="O948" s="290"/>
      <c r="P948" s="261"/>
      <c r="Q948" s="262"/>
      <c r="R948" s="435"/>
      <c r="S948" s="264"/>
      <c r="T948" s="266"/>
      <c r="U948" s="211"/>
      <c r="W948" s="211"/>
      <c r="X948" s="211"/>
      <c r="Z948" s="211"/>
      <c r="AA948" s="211"/>
      <c r="AC948" s="211"/>
      <c r="AD948" s="211"/>
      <c r="AF948" s="211"/>
      <c r="AG948" s="211"/>
      <c r="AI948" s="211"/>
      <c r="AJ948" s="211"/>
      <c r="AL948" s="211"/>
      <c r="AM948" s="211"/>
    </row>
    <row r="949" spans="1:39" s="267" customFormat="1" x14ac:dyDescent="0.2">
      <c r="A949" s="308"/>
      <c r="B949" s="293"/>
      <c r="C949" s="290"/>
      <c r="D949" s="290"/>
      <c r="E949" s="290"/>
      <c r="F949" s="290"/>
      <c r="G949" s="290"/>
      <c r="H949" s="290"/>
      <c r="I949" s="290"/>
      <c r="J949" s="290"/>
      <c r="K949" s="290"/>
      <c r="L949" s="290"/>
      <c r="M949" s="290"/>
      <c r="N949" s="290"/>
      <c r="O949" s="290"/>
      <c r="P949" s="261"/>
      <c r="Q949" s="262"/>
      <c r="R949" s="435"/>
      <c r="S949" s="264"/>
      <c r="T949" s="266"/>
      <c r="U949" s="211"/>
      <c r="W949" s="211"/>
      <c r="X949" s="211"/>
      <c r="Z949" s="211"/>
      <c r="AA949" s="211"/>
      <c r="AC949" s="211"/>
      <c r="AD949" s="211"/>
      <c r="AF949" s="211"/>
      <c r="AG949" s="211"/>
      <c r="AI949" s="211"/>
      <c r="AJ949" s="211"/>
      <c r="AL949" s="211"/>
      <c r="AM949" s="211"/>
    </row>
    <row r="950" spans="1:39" s="267" customFormat="1" x14ac:dyDescent="0.2">
      <c r="A950" s="308"/>
      <c r="B950" s="293"/>
      <c r="C950" s="290"/>
      <c r="D950" s="290"/>
      <c r="E950" s="290"/>
      <c r="F950" s="290"/>
      <c r="G950" s="290"/>
      <c r="H950" s="290"/>
      <c r="I950" s="290"/>
      <c r="J950" s="290"/>
      <c r="K950" s="290"/>
      <c r="L950" s="290"/>
      <c r="M950" s="290"/>
      <c r="N950" s="290"/>
      <c r="O950" s="290"/>
      <c r="P950" s="261"/>
      <c r="Q950" s="262"/>
      <c r="R950" s="435"/>
      <c r="S950" s="264"/>
      <c r="T950" s="266"/>
      <c r="U950" s="211"/>
      <c r="W950" s="211"/>
      <c r="X950" s="211"/>
      <c r="Z950" s="211"/>
      <c r="AA950" s="211"/>
      <c r="AC950" s="211"/>
      <c r="AD950" s="211"/>
      <c r="AF950" s="211"/>
      <c r="AG950" s="211"/>
      <c r="AI950" s="211"/>
      <c r="AJ950" s="211"/>
      <c r="AL950" s="211"/>
      <c r="AM950" s="211"/>
    </row>
    <row r="951" spans="1:39" s="267" customFormat="1" x14ac:dyDescent="0.2">
      <c r="A951" s="308"/>
      <c r="B951" s="293"/>
      <c r="C951" s="290"/>
      <c r="D951" s="290"/>
      <c r="E951" s="290"/>
      <c r="F951" s="290"/>
      <c r="G951" s="290"/>
      <c r="H951" s="290"/>
      <c r="I951" s="290"/>
      <c r="J951" s="290"/>
      <c r="K951" s="290"/>
      <c r="L951" s="290"/>
      <c r="M951" s="290"/>
      <c r="N951" s="290"/>
      <c r="O951" s="290"/>
      <c r="P951" s="261"/>
      <c r="Q951" s="262"/>
      <c r="R951" s="435"/>
      <c r="S951" s="264"/>
      <c r="T951" s="266"/>
      <c r="U951" s="211"/>
      <c r="W951" s="211"/>
      <c r="X951" s="211"/>
      <c r="Z951" s="211"/>
      <c r="AA951" s="211"/>
      <c r="AC951" s="211"/>
      <c r="AD951" s="211"/>
      <c r="AF951" s="211"/>
      <c r="AG951" s="211"/>
      <c r="AI951" s="211"/>
      <c r="AJ951" s="211"/>
      <c r="AL951" s="211"/>
      <c r="AM951" s="211"/>
    </row>
    <row r="952" spans="1:39" s="267" customFormat="1" x14ac:dyDescent="0.2">
      <c r="A952" s="308"/>
      <c r="B952" s="293"/>
      <c r="C952" s="290"/>
      <c r="D952" s="290"/>
      <c r="E952" s="290"/>
      <c r="F952" s="290"/>
      <c r="G952" s="290"/>
      <c r="H952" s="290"/>
      <c r="I952" s="290"/>
      <c r="J952" s="290"/>
      <c r="K952" s="290"/>
      <c r="L952" s="290"/>
      <c r="M952" s="290"/>
      <c r="N952" s="290"/>
      <c r="O952" s="290"/>
      <c r="P952" s="261"/>
      <c r="Q952" s="262"/>
      <c r="R952" s="435"/>
      <c r="S952" s="264"/>
      <c r="T952" s="266"/>
      <c r="U952" s="211"/>
      <c r="W952" s="211"/>
      <c r="X952" s="211"/>
      <c r="Z952" s="211"/>
      <c r="AA952" s="211"/>
      <c r="AC952" s="211"/>
      <c r="AD952" s="211"/>
      <c r="AF952" s="211"/>
      <c r="AG952" s="211"/>
      <c r="AI952" s="211"/>
      <c r="AJ952" s="211"/>
      <c r="AL952" s="211"/>
      <c r="AM952" s="211"/>
    </row>
    <row r="953" spans="1:39" s="267" customFormat="1" x14ac:dyDescent="0.2">
      <c r="A953" s="308"/>
      <c r="B953" s="293"/>
      <c r="C953" s="290"/>
      <c r="D953" s="290"/>
      <c r="E953" s="290"/>
      <c r="F953" s="290"/>
      <c r="G953" s="290"/>
      <c r="H953" s="290"/>
      <c r="I953" s="290"/>
      <c r="J953" s="290"/>
      <c r="K953" s="290"/>
      <c r="L953" s="290"/>
      <c r="M953" s="290"/>
      <c r="N953" s="290"/>
      <c r="O953" s="290"/>
      <c r="P953" s="261"/>
      <c r="Q953" s="262"/>
      <c r="R953" s="435"/>
      <c r="S953" s="264"/>
      <c r="T953" s="266"/>
      <c r="U953" s="211"/>
      <c r="W953" s="211"/>
      <c r="X953" s="211"/>
      <c r="Z953" s="211"/>
      <c r="AA953" s="211"/>
      <c r="AC953" s="211"/>
      <c r="AD953" s="211"/>
      <c r="AF953" s="211"/>
      <c r="AG953" s="211"/>
      <c r="AI953" s="211"/>
      <c r="AJ953" s="211"/>
      <c r="AL953" s="211"/>
      <c r="AM953" s="211"/>
    </row>
    <row r="954" spans="1:39" s="267" customFormat="1" x14ac:dyDescent="0.2">
      <c r="A954" s="308"/>
      <c r="B954" s="293"/>
      <c r="C954" s="290"/>
      <c r="D954" s="290"/>
      <c r="E954" s="290"/>
      <c r="F954" s="290"/>
      <c r="G954" s="290"/>
      <c r="H954" s="290"/>
      <c r="I954" s="290"/>
      <c r="J954" s="290"/>
      <c r="K954" s="290"/>
      <c r="L954" s="290"/>
      <c r="M954" s="290"/>
      <c r="N954" s="290"/>
      <c r="O954" s="290"/>
      <c r="P954" s="261"/>
      <c r="Q954" s="262"/>
      <c r="R954" s="435"/>
      <c r="S954" s="264"/>
      <c r="T954" s="266"/>
      <c r="U954" s="211"/>
      <c r="W954" s="211"/>
      <c r="X954" s="211"/>
      <c r="Z954" s="211"/>
      <c r="AA954" s="211"/>
      <c r="AC954" s="211"/>
      <c r="AD954" s="211"/>
      <c r="AF954" s="211"/>
      <c r="AG954" s="211"/>
      <c r="AI954" s="211"/>
      <c r="AJ954" s="211"/>
      <c r="AL954" s="211"/>
      <c r="AM954" s="211"/>
    </row>
    <row r="955" spans="1:39" s="267" customFormat="1" x14ac:dyDescent="0.2">
      <c r="A955" s="308"/>
      <c r="B955" s="259"/>
      <c r="C955" s="290"/>
      <c r="D955" s="290">
        <f t="shared" si="390"/>
        <v>0</v>
      </c>
      <c r="E955" s="290"/>
      <c r="F955" s="290">
        <f t="shared" si="391"/>
        <v>0</v>
      </c>
      <c r="G955" s="290"/>
      <c r="H955" s="290">
        <f t="shared" si="392"/>
        <v>0</v>
      </c>
      <c r="I955" s="290"/>
      <c r="J955" s="290">
        <f t="shared" si="393"/>
        <v>0</v>
      </c>
      <c r="K955" s="290"/>
      <c r="L955" s="290">
        <f t="shared" si="394"/>
        <v>0</v>
      </c>
      <c r="M955" s="290"/>
      <c r="N955" s="290">
        <f t="shared" si="395"/>
        <v>0</v>
      </c>
      <c r="O955" s="290"/>
      <c r="P955" s="153"/>
      <c r="Q955" s="262"/>
      <c r="R955" s="435"/>
      <c r="S955" s="264"/>
      <c r="T955" s="266"/>
      <c r="U955" s="211"/>
      <c r="W955" s="211"/>
      <c r="X955" s="211"/>
      <c r="Z955" s="211"/>
      <c r="AA955" s="211"/>
      <c r="AC955" s="211"/>
      <c r="AD955" s="211"/>
      <c r="AF955" s="211"/>
      <c r="AG955" s="211"/>
      <c r="AI955" s="211"/>
      <c r="AJ955" s="211"/>
      <c r="AL955" s="211"/>
      <c r="AM955" s="211"/>
    </row>
    <row r="956" spans="1:39" s="267" customFormat="1" x14ac:dyDescent="0.2">
      <c r="A956" s="308"/>
      <c r="B956" s="259"/>
      <c r="C956" s="290"/>
      <c r="D956" s="290"/>
      <c r="E956" s="290"/>
      <c r="F956" s="290"/>
      <c r="G956" s="290"/>
      <c r="H956" s="290"/>
      <c r="I956" s="290"/>
      <c r="J956" s="290"/>
      <c r="K956" s="290"/>
      <c r="L956" s="290"/>
      <c r="M956" s="290"/>
      <c r="N956" s="290"/>
      <c r="O956" s="290"/>
      <c r="P956" s="153"/>
      <c r="Q956" s="262"/>
      <c r="R956" s="435"/>
      <c r="S956" s="264"/>
      <c r="T956" s="266"/>
      <c r="U956" s="211"/>
      <c r="W956" s="211"/>
      <c r="X956" s="211"/>
      <c r="Z956" s="211"/>
      <c r="AA956" s="211"/>
      <c r="AC956" s="211"/>
      <c r="AD956" s="211"/>
      <c r="AF956" s="211"/>
      <c r="AG956" s="211"/>
      <c r="AI956" s="211"/>
      <c r="AJ956" s="211"/>
      <c r="AL956" s="211"/>
      <c r="AM956" s="211"/>
    </row>
    <row r="957" spans="1:39" s="267" customFormat="1" x14ac:dyDescent="0.2">
      <c r="A957" s="308"/>
      <c r="B957" s="259"/>
      <c r="C957" s="290"/>
      <c r="D957" s="290"/>
      <c r="E957" s="290"/>
      <c r="F957" s="290"/>
      <c r="G957" s="290"/>
      <c r="H957" s="290"/>
      <c r="I957" s="290"/>
      <c r="J957" s="290"/>
      <c r="K957" s="290"/>
      <c r="L957" s="290"/>
      <c r="M957" s="290"/>
      <c r="N957" s="290"/>
      <c r="O957" s="290"/>
      <c r="P957" s="153"/>
      <c r="Q957" s="262"/>
      <c r="R957" s="435"/>
      <c r="S957" s="264"/>
      <c r="T957" s="266"/>
      <c r="U957" s="211"/>
      <c r="W957" s="211"/>
      <c r="X957" s="211"/>
      <c r="Z957" s="211"/>
      <c r="AA957" s="211"/>
      <c r="AC957" s="211"/>
      <c r="AD957" s="211"/>
      <c r="AF957" s="211"/>
      <c r="AG957" s="211"/>
      <c r="AI957" s="211"/>
      <c r="AJ957" s="211"/>
      <c r="AL957" s="211"/>
      <c r="AM957" s="211"/>
    </row>
    <row r="958" spans="1:39" s="267" customFormat="1" x14ac:dyDescent="0.2">
      <c r="A958" s="308"/>
      <c r="B958" s="259"/>
      <c r="C958" s="290"/>
      <c r="D958" s="290"/>
      <c r="E958" s="290"/>
      <c r="F958" s="290"/>
      <c r="G958" s="290"/>
      <c r="H958" s="290"/>
      <c r="I958" s="290"/>
      <c r="J958" s="290"/>
      <c r="K958" s="290"/>
      <c r="L958" s="290"/>
      <c r="M958" s="290"/>
      <c r="N958" s="290"/>
      <c r="O958" s="290"/>
      <c r="P958" s="153"/>
      <c r="Q958" s="262"/>
      <c r="R958" s="435"/>
      <c r="S958" s="264"/>
      <c r="T958" s="266"/>
      <c r="U958" s="211"/>
      <c r="W958" s="211"/>
      <c r="X958" s="211"/>
      <c r="Z958" s="211"/>
      <c r="AA958" s="211"/>
      <c r="AC958" s="211"/>
      <c r="AD958" s="211"/>
      <c r="AF958" s="211"/>
      <c r="AG958" s="211"/>
      <c r="AI958" s="211"/>
      <c r="AJ958" s="211"/>
      <c r="AL958" s="211"/>
      <c r="AM958" s="211"/>
    </row>
    <row r="959" spans="1:39" s="267" customFormat="1" x14ac:dyDescent="0.2">
      <c r="A959" s="308"/>
      <c r="B959" s="259"/>
      <c r="C959" s="290"/>
      <c r="D959" s="290"/>
      <c r="E959" s="290"/>
      <c r="F959" s="290"/>
      <c r="G959" s="290"/>
      <c r="H959" s="290"/>
      <c r="I959" s="290"/>
      <c r="J959" s="290"/>
      <c r="K959" s="290"/>
      <c r="L959" s="290"/>
      <c r="M959" s="290"/>
      <c r="N959" s="290"/>
      <c r="O959" s="290"/>
      <c r="P959" s="153"/>
      <c r="Q959" s="262"/>
      <c r="R959" s="435"/>
      <c r="S959" s="264"/>
      <c r="T959" s="266"/>
      <c r="U959" s="211"/>
      <c r="W959" s="211"/>
      <c r="X959" s="211"/>
      <c r="Z959" s="211"/>
      <c r="AA959" s="211"/>
      <c r="AC959" s="211"/>
      <c r="AD959" s="211"/>
      <c r="AF959" s="211"/>
      <c r="AG959" s="211"/>
      <c r="AI959" s="211"/>
      <c r="AJ959" s="211"/>
      <c r="AL959" s="211"/>
      <c r="AM959" s="211"/>
    </row>
    <row r="960" spans="1:39" s="267" customFormat="1" x14ac:dyDescent="0.2">
      <c r="A960" s="308"/>
      <c r="B960" s="259"/>
      <c r="C960" s="290"/>
      <c r="D960" s="290"/>
      <c r="E960" s="290"/>
      <c r="F960" s="290"/>
      <c r="G960" s="290"/>
      <c r="H960" s="290"/>
      <c r="I960" s="290"/>
      <c r="J960" s="290"/>
      <c r="K960" s="290"/>
      <c r="L960" s="290"/>
      <c r="M960" s="290"/>
      <c r="N960" s="290"/>
      <c r="O960" s="290"/>
      <c r="P960" s="153"/>
      <c r="Q960" s="262"/>
      <c r="R960" s="435"/>
      <c r="S960" s="264"/>
      <c r="T960" s="266"/>
      <c r="U960" s="211"/>
      <c r="W960" s="211"/>
      <c r="X960" s="211"/>
      <c r="Z960" s="211"/>
      <c r="AA960" s="211"/>
      <c r="AC960" s="211"/>
      <c r="AD960" s="211"/>
      <c r="AF960" s="211"/>
      <c r="AG960" s="211"/>
      <c r="AI960" s="211"/>
      <c r="AJ960" s="211"/>
      <c r="AL960" s="211"/>
      <c r="AM960" s="211"/>
    </row>
    <row r="961" spans="1:39" s="267" customFormat="1" x14ac:dyDescent="0.2">
      <c r="A961" s="308"/>
      <c r="B961" s="259"/>
      <c r="C961" s="290"/>
      <c r="D961" s="290"/>
      <c r="E961" s="290"/>
      <c r="F961" s="290"/>
      <c r="G961" s="290"/>
      <c r="H961" s="290"/>
      <c r="I961" s="290"/>
      <c r="J961" s="290"/>
      <c r="K961" s="290"/>
      <c r="L961" s="290"/>
      <c r="M961" s="290"/>
      <c r="N961" s="290"/>
      <c r="O961" s="290"/>
      <c r="P961" s="153"/>
      <c r="Q961" s="262"/>
      <c r="R961" s="435"/>
      <c r="S961" s="264"/>
      <c r="T961" s="266"/>
      <c r="U961" s="211"/>
      <c r="W961" s="211"/>
      <c r="X961" s="211"/>
      <c r="Z961" s="211"/>
      <c r="AA961" s="211"/>
      <c r="AC961" s="211"/>
      <c r="AD961" s="211"/>
      <c r="AF961" s="211"/>
      <c r="AG961" s="211"/>
      <c r="AI961" s="211"/>
      <c r="AJ961" s="211"/>
      <c r="AL961" s="211"/>
      <c r="AM961" s="211"/>
    </row>
    <row r="962" spans="1:39" s="267" customFormat="1" x14ac:dyDescent="0.2">
      <c r="A962" s="308"/>
      <c r="B962" s="259"/>
      <c r="C962" s="290"/>
      <c r="D962" s="290"/>
      <c r="E962" s="290"/>
      <c r="F962" s="290"/>
      <c r="G962" s="290"/>
      <c r="H962" s="290"/>
      <c r="I962" s="290"/>
      <c r="J962" s="290"/>
      <c r="K962" s="290"/>
      <c r="L962" s="290"/>
      <c r="M962" s="290"/>
      <c r="N962" s="290"/>
      <c r="O962" s="290"/>
      <c r="P962" s="153"/>
      <c r="Q962" s="262"/>
      <c r="R962" s="435"/>
      <c r="S962" s="264"/>
      <c r="T962" s="266"/>
      <c r="U962" s="211"/>
      <c r="W962" s="211"/>
      <c r="X962" s="211"/>
      <c r="Z962" s="211"/>
      <c r="AA962" s="211"/>
      <c r="AC962" s="211"/>
      <c r="AD962" s="211"/>
      <c r="AF962" s="211"/>
      <c r="AG962" s="211"/>
      <c r="AI962" s="211"/>
      <c r="AJ962" s="211"/>
      <c r="AL962" s="211"/>
      <c r="AM962" s="211"/>
    </row>
    <row r="963" spans="1:39" s="267" customFormat="1" x14ac:dyDescent="0.2">
      <c r="A963" s="308"/>
      <c r="B963" s="259"/>
      <c r="C963" s="290"/>
      <c r="D963" s="290"/>
      <c r="E963" s="290"/>
      <c r="F963" s="290"/>
      <c r="G963" s="290"/>
      <c r="H963" s="290"/>
      <c r="I963" s="290"/>
      <c r="J963" s="290"/>
      <c r="K963" s="290"/>
      <c r="L963" s="290"/>
      <c r="M963" s="290"/>
      <c r="N963" s="290"/>
      <c r="O963" s="290"/>
      <c r="P963" s="153"/>
      <c r="Q963" s="262"/>
      <c r="R963" s="435"/>
      <c r="S963" s="264"/>
      <c r="T963" s="266"/>
      <c r="U963" s="211"/>
      <c r="W963" s="211"/>
      <c r="X963" s="211"/>
      <c r="Z963" s="211"/>
      <c r="AA963" s="211"/>
      <c r="AC963" s="211"/>
      <c r="AD963" s="211"/>
      <c r="AF963" s="211"/>
      <c r="AG963" s="211"/>
      <c r="AI963" s="211"/>
      <c r="AJ963" s="211"/>
      <c r="AL963" s="211"/>
      <c r="AM963" s="211"/>
    </row>
    <row r="964" spans="1:39" s="267" customFormat="1" x14ac:dyDescent="0.2">
      <c r="A964" s="308"/>
      <c r="B964" s="356"/>
      <c r="C964" s="290"/>
      <c r="D964" s="290">
        <f t="shared" si="390"/>
        <v>0</v>
      </c>
      <c r="E964" s="290"/>
      <c r="F964" s="290">
        <f t="shared" si="391"/>
        <v>0</v>
      </c>
      <c r="G964" s="290"/>
      <c r="H964" s="290">
        <f t="shared" si="392"/>
        <v>0</v>
      </c>
      <c r="I964" s="290"/>
      <c r="J964" s="290">
        <f t="shared" si="393"/>
        <v>0</v>
      </c>
      <c r="K964" s="290"/>
      <c r="L964" s="290">
        <f t="shared" si="394"/>
        <v>0</v>
      </c>
      <c r="M964" s="290"/>
      <c r="N964" s="290">
        <f t="shared" si="395"/>
        <v>0</v>
      </c>
      <c r="O964" s="290"/>
      <c r="P964" s="261"/>
      <c r="Q964" s="262"/>
      <c r="R964" s="435"/>
      <c r="S964" s="264"/>
      <c r="T964" s="266"/>
      <c r="U964" s="211"/>
      <c r="W964" s="211"/>
      <c r="X964" s="211"/>
      <c r="Z964" s="211"/>
      <c r="AA964" s="211"/>
      <c r="AC964" s="211"/>
      <c r="AD964" s="211"/>
      <c r="AF964" s="211"/>
      <c r="AG964" s="211"/>
      <c r="AI964" s="211"/>
      <c r="AJ964" s="211"/>
      <c r="AL964" s="211"/>
      <c r="AM964" s="211"/>
    </row>
    <row r="965" spans="1:39" s="267" customFormat="1" x14ac:dyDescent="0.2">
      <c r="A965" s="308"/>
      <c r="B965" s="259"/>
      <c r="C965" s="290"/>
      <c r="D965" s="290">
        <f t="shared" si="390"/>
        <v>0</v>
      </c>
      <c r="E965" s="290"/>
      <c r="F965" s="290">
        <f t="shared" si="391"/>
        <v>0</v>
      </c>
      <c r="G965" s="290"/>
      <c r="H965" s="290">
        <f t="shared" si="392"/>
        <v>0</v>
      </c>
      <c r="I965" s="290"/>
      <c r="J965" s="290">
        <f t="shared" si="393"/>
        <v>0</v>
      </c>
      <c r="K965" s="290"/>
      <c r="L965" s="290">
        <f t="shared" si="394"/>
        <v>0</v>
      </c>
      <c r="M965" s="290"/>
      <c r="N965" s="290">
        <f t="shared" si="395"/>
        <v>0</v>
      </c>
      <c r="O965" s="290"/>
      <c r="P965" s="153"/>
      <c r="Q965" s="262"/>
      <c r="R965" s="435"/>
      <c r="S965" s="264"/>
      <c r="T965" s="266"/>
      <c r="U965" s="211"/>
      <c r="W965" s="211"/>
      <c r="X965" s="211"/>
      <c r="Z965" s="211"/>
      <c r="AA965" s="211"/>
      <c r="AC965" s="211"/>
      <c r="AD965" s="211"/>
      <c r="AF965" s="211"/>
      <c r="AG965" s="211"/>
      <c r="AI965" s="211"/>
      <c r="AJ965" s="211"/>
      <c r="AL965" s="211"/>
      <c r="AM965" s="211"/>
    </row>
    <row r="966" spans="1:39" s="267" customFormat="1" x14ac:dyDescent="0.2">
      <c r="A966" s="308"/>
      <c r="B966" s="259"/>
      <c r="C966" s="290"/>
      <c r="D966" s="290">
        <f t="shared" si="390"/>
        <v>0</v>
      </c>
      <c r="E966" s="290"/>
      <c r="F966" s="290">
        <f t="shared" si="391"/>
        <v>0</v>
      </c>
      <c r="G966" s="290"/>
      <c r="H966" s="290">
        <f t="shared" si="392"/>
        <v>0</v>
      </c>
      <c r="I966" s="290"/>
      <c r="J966" s="290">
        <f t="shared" si="393"/>
        <v>0</v>
      </c>
      <c r="K966" s="290"/>
      <c r="L966" s="290">
        <f t="shared" si="394"/>
        <v>0</v>
      </c>
      <c r="M966" s="290"/>
      <c r="N966" s="290">
        <f t="shared" si="395"/>
        <v>0</v>
      </c>
      <c r="O966" s="290"/>
      <c r="P966" s="261"/>
      <c r="Q966" s="262"/>
      <c r="R966" s="435"/>
      <c r="S966" s="264"/>
      <c r="T966" s="266"/>
      <c r="U966" s="211"/>
      <c r="W966" s="211"/>
      <c r="X966" s="211"/>
      <c r="Z966" s="211"/>
      <c r="AA966" s="211"/>
      <c r="AC966" s="211"/>
      <c r="AD966" s="211"/>
      <c r="AF966" s="211"/>
      <c r="AG966" s="211"/>
      <c r="AI966" s="211"/>
      <c r="AJ966" s="211"/>
      <c r="AL966" s="211"/>
      <c r="AM966" s="211"/>
    </row>
    <row r="967" spans="1:39" s="267" customFormat="1" x14ac:dyDescent="0.2">
      <c r="A967" s="308"/>
      <c r="B967" s="259"/>
      <c r="C967" s="290"/>
      <c r="D967" s="290">
        <f t="shared" si="390"/>
        <v>0</v>
      </c>
      <c r="E967" s="290"/>
      <c r="F967" s="290">
        <f t="shared" si="391"/>
        <v>0</v>
      </c>
      <c r="G967" s="290"/>
      <c r="H967" s="290">
        <f t="shared" si="392"/>
        <v>0</v>
      </c>
      <c r="I967" s="290"/>
      <c r="J967" s="290">
        <f t="shared" si="393"/>
        <v>0</v>
      </c>
      <c r="K967" s="290"/>
      <c r="L967" s="290">
        <f t="shared" si="394"/>
        <v>0</v>
      </c>
      <c r="M967" s="290"/>
      <c r="N967" s="290">
        <f t="shared" si="395"/>
        <v>0</v>
      </c>
      <c r="O967" s="290"/>
      <c r="P967" s="261"/>
      <c r="Q967" s="262"/>
      <c r="R967" s="435"/>
      <c r="S967" s="264"/>
      <c r="T967" s="266"/>
      <c r="U967" s="211"/>
      <c r="W967" s="211"/>
      <c r="X967" s="211"/>
      <c r="Z967" s="211"/>
      <c r="AA967" s="211"/>
      <c r="AC967" s="211"/>
      <c r="AD967" s="211"/>
      <c r="AF967" s="211"/>
      <c r="AG967" s="211"/>
      <c r="AI967" s="211"/>
      <c r="AJ967" s="211"/>
      <c r="AL967" s="211"/>
      <c r="AM967" s="211"/>
    </row>
    <row r="968" spans="1:39" s="267" customFormat="1" x14ac:dyDescent="0.2">
      <c r="A968" s="308"/>
      <c r="B968" s="259"/>
      <c r="C968" s="290"/>
      <c r="D968" s="290"/>
      <c r="E968" s="290"/>
      <c r="F968" s="290"/>
      <c r="G968" s="290"/>
      <c r="H968" s="290"/>
      <c r="I968" s="290"/>
      <c r="J968" s="290"/>
      <c r="K968" s="290"/>
      <c r="L968" s="290"/>
      <c r="M968" s="290"/>
      <c r="N968" s="290"/>
      <c r="O968" s="290"/>
      <c r="P968" s="261"/>
      <c r="Q968" s="262"/>
      <c r="R968" s="435"/>
      <c r="S968" s="264"/>
      <c r="T968" s="266"/>
      <c r="U968" s="211"/>
      <c r="W968" s="211"/>
      <c r="X968" s="211"/>
      <c r="Z968" s="211"/>
      <c r="AA968" s="211"/>
      <c r="AC968" s="211"/>
      <c r="AD968" s="211"/>
      <c r="AF968" s="211"/>
      <c r="AG968" s="211"/>
      <c r="AI968" s="211"/>
      <c r="AJ968" s="211"/>
      <c r="AL968" s="211"/>
      <c r="AM968" s="211"/>
    </row>
    <row r="969" spans="1:39" s="267" customFormat="1" x14ac:dyDescent="0.2">
      <c r="A969" s="308"/>
      <c r="B969" s="259"/>
      <c r="C969" s="290"/>
      <c r="D969" s="290">
        <f t="shared" si="390"/>
        <v>0</v>
      </c>
      <c r="E969" s="290"/>
      <c r="F969" s="290">
        <f t="shared" si="391"/>
        <v>0</v>
      </c>
      <c r="G969" s="290"/>
      <c r="H969" s="290">
        <f t="shared" si="392"/>
        <v>0</v>
      </c>
      <c r="I969" s="290"/>
      <c r="J969" s="290">
        <f t="shared" si="393"/>
        <v>0</v>
      </c>
      <c r="K969" s="290"/>
      <c r="L969" s="290">
        <f t="shared" si="394"/>
        <v>0</v>
      </c>
      <c r="M969" s="290"/>
      <c r="N969" s="290">
        <f t="shared" si="395"/>
        <v>0</v>
      </c>
      <c r="O969" s="290"/>
      <c r="P969" s="261"/>
      <c r="Q969" s="262"/>
      <c r="R969" s="435"/>
      <c r="S969" s="264"/>
      <c r="T969" s="266"/>
      <c r="U969" s="211"/>
      <c r="W969" s="211"/>
      <c r="X969" s="211"/>
      <c r="Z969" s="211"/>
      <c r="AA969" s="211"/>
      <c r="AC969" s="211"/>
      <c r="AD969" s="211"/>
      <c r="AF969" s="211"/>
      <c r="AG969" s="211"/>
      <c r="AI969" s="211"/>
      <c r="AJ969" s="211"/>
      <c r="AL969" s="211"/>
      <c r="AM969" s="211"/>
    </row>
    <row r="970" spans="1:39" s="267" customFormat="1" x14ac:dyDescent="0.2">
      <c r="A970" s="308"/>
      <c r="B970" s="259"/>
      <c r="C970" s="290"/>
      <c r="D970" s="290">
        <f t="shared" si="390"/>
        <v>0</v>
      </c>
      <c r="E970" s="290"/>
      <c r="F970" s="290">
        <f t="shared" si="391"/>
        <v>0</v>
      </c>
      <c r="G970" s="290"/>
      <c r="H970" s="290">
        <f t="shared" si="392"/>
        <v>0</v>
      </c>
      <c r="I970" s="290"/>
      <c r="J970" s="290">
        <f t="shared" si="393"/>
        <v>0</v>
      </c>
      <c r="K970" s="290"/>
      <c r="L970" s="290">
        <f t="shared" si="394"/>
        <v>0</v>
      </c>
      <c r="M970" s="290"/>
      <c r="N970" s="290">
        <f t="shared" si="395"/>
        <v>0</v>
      </c>
      <c r="O970" s="290"/>
      <c r="P970" s="261"/>
      <c r="Q970" s="262"/>
      <c r="R970" s="435"/>
      <c r="S970" s="264"/>
      <c r="T970" s="266"/>
      <c r="U970" s="211"/>
      <c r="W970" s="211"/>
      <c r="X970" s="211"/>
      <c r="Z970" s="211"/>
      <c r="AA970" s="211"/>
      <c r="AC970" s="211"/>
      <c r="AD970" s="211"/>
      <c r="AF970" s="211"/>
      <c r="AG970" s="211"/>
      <c r="AI970" s="211"/>
      <c r="AJ970" s="211"/>
      <c r="AL970" s="211"/>
      <c r="AM970" s="211"/>
    </row>
    <row r="971" spans="1:39" s="267" customFormat="1" x14ac:dyDescent="0.2">
      <c r="A971" s="308"/>
      <c r="B971" s="259"/>
      <c r="C971" s="290"/>
      <c r="D971" s="290">
        <f t="shared" si="390"/>
        <v>0</v>
      </c>
      <c r="E971" s="290"/>
      <c r="F971" s="290">
        <f t="shared" si="391"/>
        <v>0</v>
      </c>
      <c r="G971" s="290"/>
      <c r="H971" s="290">
        <f t="shared" si="392"/>
        <v>0</v>
      </c>
      <c r="I971" s="290"/>
      <c r="J971" s="290">
        <f t="shared" si="393"/>
        <v>0</v>
      </c>
      <c r="K971" s="290"/>
      <c r="L971" s="290">
        <f t="shared" si="394"/>
        <v>0</v>
      </c>
      <c r="M971" s="290"/>
      <c r="N971" s="290">
        <f t="shared" si="395"/>
        <v>0</v>
      </c>
      <c r="O971" s="290"/>
      <c r="P971" s="261"/>
      <c r="Q971" s="262"/>
      <c r="R971" s="435"/>
      <c r="S971" s="264"/>
      <c r="T971" s="266"/>
      <c r="U971" s="211"/>
      <c r="W971" s="211"/>
      <c r="X971" s="211"/>
      <c r="Z971" s="211"/>
      <c r="AA971" s="211"/>
      <c r="AC971" s="211"/>
      <c r="AD971" s="211"/>
      <c r="AF971" s="211"/>
      <c r="AG971" s="211"/>
      <c r="AI971" s="211"/>
      <c r="AJ971" s="211"/>
      <c r="AL971" s="211"/>
      <c r="AM971" s="211"/>
    </row>
    <row r="972" spans="1:39" s="267" customFormat="1" x14ac:dyDescent="0.2">
      <c r="A972" s="308"/>
      <c r="B972" s="259"/>
      <c r="C972" s="290"/>
      <c r="D972" s="290">
        <f t="shared" si="390"/>
        <v>0</v>
      </c>
      <c r="E972" s="290"/>
      <c r="F972" s="290">
        <f t="shared" si="391"/>
        <v>0</v>
      </c>
      <c r="G972" s="290"/>
      <c r="H972" s="290">
        <f t="shared" si="392"/>
        <v>0</v>
      </c>
      <c r="I972" s="290"/>
      <c r="J972" s="290">
        <f t="shared" si="393"/>
        <v>0</v>
      </c>
      <c r="K972" s="290"/>
      <c r="L972" s="290">
        <f t="shared" si="394"/>
        <v>0</v>
      </c>
      <c r="M972" s="290"/>
      <c r="N972" s="290">
        <f t="shared" si="395"/>
        <v>0</v>
      </c>
      <c r="O972" s="290"/>
      <c r="P972" s="261"/>
      <c r="Q972" s="262"/>
      <c r="R972" s="435"/>
      <c r="S972" s="264"/>
      <c r="T972" s="266"/>
      <c r="U972" s="211"/>
      <c r="W972" s="211"/>
      <c r="X972" s="211"/>
      <c r="Z972" s="211"/>
      <c r="AA972" s="211"/>
      <c r="AC972" s="211"/>
      <c r="AD972" s="211"/>
      <c r="AF972" s="211"/>
      <c r="AG972" s="211"/>
      <c r="AI972" s="211"/>
      <c r="AJ972" s="211"/>
      <c r="AL972" s="211"/>
      <c r="AM972" s="211"/>
    </row>
    <row r="973" spans="1:39" s="267" customFormat="1" x14ac:dyDescent="0.2">
      <c r="A973" s="308"/>
      <c r="B973" s="259"/>
      <c r="C973" s="290"/>
      <c r="D973" s="290">
        <f>C973*$Q973</f>
        <v>0</v>
      </c>
      <c r="E973" s="290"/>
      <c r="F973" s="290">
        <f>E973*$Q973</f>
        <v>0</v>
      </c>
      <c r="G973" s="290"/>
      <c r="H973" s="290">
        <f>G973*$Q973</f>
        <v>0</v>
      </c>
      <c r="I973" s="290"/>
      <c r="J973" s="290">
        <f>I973*$Q973</f>
        <v>0</v>
      </c>
      <c r="K973" s="290"/>
      <c r="L973" s="290">
        <f>K973*$Q973</f>
        <v>0</v>
      </c>
      <c r="M973" s="290"/>
      <c r="N973" s="290">
        <f>M973*$Q973</f>
        <v>0</v>
      </c>
      <c r="O973" s="290"/>
      <c r="P973" s="261"/>
      <c r="Q973" s="262"/>
      <c r="R973" s="435"/>
      <c r="S973" s="264"/>
      <c r="T973" s="266"/>
      <c r="U973" s="211"/>
      <c r="W973" s="211"/>
      <c r="X973" s="211"/>
      <c r="Z973" s="211"/>
      <c r="AA973" s="211"/>
      <c r="AC973" s="211"/>
      <c r="AD973" s="211"/>
      <c r="AF973" s="211"/>
      <c r="AG973" s="211"/>
      <c r="AI973" s="211"/>
      <c r="AJ973" s="211"/>
      <c r="AL973" s="211"/>
      <c r="AM973" s="211"/>
    </row>
    <row r="974" spans="1:39" s="267" customFormat="1" x14ac:dyDescent="0.2">
      <c r="A974" s="375"/>
      <c r="B974" s="376"/>
      <c r="C974" s="377"/>
      <c r="D974" s="377"/>
      <c r="E974" s="377"/>
      <c r="F974" s="377"/>
      <c r="G974" s="377"/>
      <c r="H974" s="377"/>
      <c r="I974" s="377"/>
      <c r="J974" s="377"/>
      <c r="K974" s="377"/>
      <c r="L974" s="377"/>
      <c r="M974" s="377"/>
      <c r="N974" s="377"/>
      <c r="O974" s="377"/>
      <c r="P974" s="377"/>
      <c r="Q974" s="378"/>
      <c r="R974" s="441"/>
      <c r="S974" s="264"/>
      <c r="T974" s="273"/>
      <c r="U974" s="274"/>
      <c r="W974" s="273"/>
      <c r="X974" s="273"/>
      <c r="Z974" s="273"/>
      <c r="AA974" s="273"/>
      <c r="AC974" s="273"/>
      <c r="AD974" s="273"/>
      <c r="AF974" s="273"/>
      <c r="AG974" s="273"/>
      <c r="AI974" s="273"/>
      <c r="AJ974" s="273"/>
      <c r="AL974" s="273"/>
      <c r="AM974" s="273"/>
    </row>
    <row r="975" spans="1:39" s="267" customFormat="1" x14ac:dyDescent="0.2">
      <c r="A975" s="380"/>
      <c r="B975" s="320"/>
      <c r="C975" s="550" t="s">
        <v>1</v>
      </c>
      <c r="D975" s="550"/>
      <c r="E975" s="550"/>
      <c r="F975" s="550"/>
      <c r="G975" s="550"/>
      <c r="H975" s="550"/>
      <c r="I975" s="550"/>
      <c r="J975" s="550"/>
      <c r="K975" s="550"/>
      <c r="L975" s="550"/>
      <c r="M975" s="550"/>
      <c r="N975" s="550"/>
      <c r="O975" s="550"/>
      <c r="P975" s="550"/>
      <c r="Q975" s="381" t="s">
        <v>0</v>
      </c>
      <c r="R975" s="435"/>
      <c r="S975" s="276"/>
      <c r="T975" s="266"/>
      <c r="U975" s="277"/>
      <c r="W975" s="266"/>
      <c r="X975" s="266"/>
      <c r="Z975" s="266"/>
      <c r="AA975" s="266"/>
      <c r="AC975" s="266"/>
      <c r="AD975" s="266"/>
      <c r="AF975" s="266"/>
      <c r="AG975" s="266"/>
      <c r="AI975" s="266"/>
      <c r="AJ975" s="266"/>
      <c r="AL975" s="266"/>
      <c r="AM975" s="266"/>
    </row>
    <row r="976" spans="1:39" s="267" customFormat="1" x14ac:dyDescent="0.2">
      <c r="A976" s="380"/>
      <c r="B976" s="320"/>
      <c r="C976" s="309"/>
      <c r="D976" s="309"/>
      <c r="E976" s="309"/>
      <c r="F976" s="309"/>
      <c r="G976" s="309"/>
      <c r="H976" s="309"/>
      <c r="I976" s="309"/>
      <c r="J976" s="309"/>
      <c r="K976" s="309"/>
      <c r="L976" s="309"/>
      <c r="M976" s="309"/>
      <c r="N976" s="309"/>
      <c r="O976" s="309"/>
      <c r="P976" s="309"/>
      <c r="Q976" s="294"/>
      <c r="R976" s="458"/>
      <c r="S976" s="264"/>
      <c r="T976" s="278"/>
      <c r="U976" s="279"/>
      <c r="W976" s="278"/>
      <c r="X976" s="278"/>
      <c r="Z976" s="278"/>
      <c r="AA976" s="278"/>
      <c r="AC976" s="278"/>
      <c r="AD976" s="278"/>
      <c r="AF976" s="278"/>
      <c r="AG976" s="278"/>
      <c r="AI976" s="278"/>
      <c r="AJ976" s="278"/>
      <c r="AL976" s="278"/>
      <c r="AM976" s="278"/>
    </row>
    <row r="977" spans="1:39" s="267" customFormat="1" x14ac:dyDescent="0.2">
      <c r="A977" s="258"/>
      <c r="B977" s="320"/>
      <c r="C977" s="309"/>
      <c r="D977" s="309"/>
      <c r="E977" s="309"/>
      <c r="F977" s="309"/>
      <c r="G977" s="309"/>
      <c r="H977" s="309"/>
      <c r="I977" s="309"/>
      <c r="J977" s="309"/>
      <c r="K977" s="309"/>
      <c r="L977" s="309"/>
      <c r="M977" s="309"/>
      <c r="N977" s="309"/>
      <c r="O977" s="309"/>
      <c r="P977" s="309"/>
      <c r="Q977" s="294"/>
      <c r="R977" s="441"/>
      <c r="S977" s="264"/>
      <c r="T977" s="211"/>
      <c r="U977" s="211"/>
      <c r="W977" s="211"/>
      <c r="X977" s="211"/>
      <c r="Z977" s="211"/>
      <c r="AA977" s="211"/>
      <c r="AC977" s="211"/>
      <c r="AD977" s="211"/>
      <c r="AF977" s="211"/>
      <c r="AG977" s="211"/>
      <c r="AI977" s="211"/>
      <c r="AJ977" s="211"/>
      <c r="AL977" s="211"/>
      <c r="AM977" s="211"/>
    </row>
    <row r="978" spans="1:39" s="267" customFormat="1" x14ac:dyDescent="0.2">
      <c r="A978" s="258"/>
      <c r="B978" s="320"/>
      <c r="C978" s="309"/>
      <c r="D978" s="309"/>
      <c r="E978" s="309"/>
      <c r="F978" s="309"/>
      <c r="G978" s="309"/>
      <c r="H978" s="309"/>
      <c r="I978" s="309"/>
      <c r="J978" s="309"/>
      <c r="K978" s="309"/>
      <c r="L978" s="309"/>
      <c r="M978" s="309"/>
      <c r="N978" s="309"/>
      <c r="O978" s="309"/>
      <c r="P978" s="309"/>
      <c r="Q978" s="410"/>
      <c r="R978" s="435"/>
      <c r="S978" s="264"/>
      <c r="T978" s="211"/>
      <c r="U978" s="211"/>
      <c r="W978" s="211"/>
      <c r="X978" s="211"/>
      <c r="Z978" s="211"/>
      <c r="AA978" s="211"/>
      <c r="AC978" s="211"/>
      <c r="AD978" s="211"/>
      <c r="AF978" s="211"/>
      <c r="AG978" s="211"/>
      <c r="AI978" s="211"/>
      <c r="AJ978" s="211"/>
      <c r="AL978" s="211"/>
      <c r="AM978" s="211"/>
    </row>
    <row r="979" spans="1:39" s="267" customFormat="1" x14ac:dyDescent="0.2">
      <c r="A979" s="258"/>
      <c r="B979" s="320"/>
      <c r="C979" s="309"/>
      <c r="D979" s="309"/>
      <c r="E979" s="309"/>
      <c r="F979" s="309"/>
      <c r="G979" s="309"/>
      <c r="H979" s="309"/>
      <c r="I979" s="309"/>
      <c r="J979" s="309"/>
      <c r="K979" s="309"/>
      <c r="L979" s="309"/>
      <c r="M979" s="309"/>
      <c r="N979" s="309"/>
      <c r="O979" s="554" t="s">
        <v>17</v>
      </c>
      <c r="P979" s="554"/>
      <c r="Q979" s="410"/>
      <c r="R979" s="435"/>
      <c r="S979" s="264"/>
      <c r="T979" s="211"/>
      <c r="U979" s="211"/>
      <c r="W979" s="211"/>
      <c r="X979" s="211"/>
      <c r="Z979" s="211"/>
      <c r="AA979" s="211"/>
      <c r="AC979" s="211"/>
      <c r="AD979" s="211"/>
      <c r="AF979" s="211"/>
      <c r="AG979" s="211"/>
      <c r="AI979" s="211"/>
      <c r="AJ979" s="211"/>
      <c r="AL979" s="211"/>
      <c r="AM979" s="211"/>
    </row>
    <row r="980" spans="1:39" s="267" customFormat="1" x14ac:dyDescent="0.2">
      <c r="A980" s="258"/>
      <c r="B980" s="320"/>
      <c r="C980" s="309"/>
      <c r="D980" s="309"/>
      <c r="E980" s="309"/>
      <c r="F980" s="309"/>
      <c r="G980" s="309"/>
      <c r="H980" s="309"/>
      <c r="I980" s="309"/>
      <c r="J980" s="309"/>
      <c r="K980" s="309"/>
      <c r="L980" s="309"/>
      <c r="M980" s="309"/>
      <c r="N980" s="309"/>
      <c r="O980" s="309"/>
      <c r="P980" s="309"/>
      <c r="Q980" s="410"/>
      <c r="R980" s="435"/>
      <c r="S980" s="264"/>
      <c r="T980" s="211"/>
      <c r="U980" s="211"/>
      <c r="W980" s="211"/>
      <c r="X980" s="211"/>
      <c r="Z980" s="211"/>
      <c r="AA980" s="211"/>
      <c r="AC980" s="211"/>
      <c r="AD980" s="211"/>
      <c r="AF980" s="211"/>
      <c r="AG980" s="211"/>
      <c r="AI980" s="211"/>
      <c r="AJ980" s="211"/>
      <c r="AL980" s="211"/>
      <c r="AM980" s="211"/>
    </row>
    <row r="981" spans="1:39" s="267" customFormat="1" x14ac:dyDescent="0.2">
      <c r="A981" s="258"/>
      <c r="B981" s="320"/>
      <c r="C981" s="309"/>
      <c r="D981" s="309"/>
      <c r="E981" s="309"/>
      <c r="F981" s="309"/>
      <c r="G981" s="309"/>
      <c r="H981" s="309"/>
      <c r="I981" s="309"/>
      <c r="J981" s="309"/>
      <c r="K981" s="309"/>
      <c r="L981" s="309"/>
      <c r="M981" s="309"/>
      <c r="N981" s="309"/>
      <c r="O981" s="309" t="s">
        <v>813</v>
      </c>
      <c r="P981" s="309" t="s">
        <v>614</v>
      </c>
      <c r="Q981" s="410"/>
      <c r="R981" s="435"/>
      <c r="S981" s="264"/>
      <c r="T981" s="211"/>
      <c r="U981" s="211"/>
      <c r="W981" s="211"/>
      <c r="X981" s="211"/>
      <c r="Z981" s="211"/>
      <c r="AA981" s="211"/>
      <c r="AC981" s="211"/>
      <c r="AD981" s="211"/>
      <c r="AF981" s="211"/>
      <c r="AG981" s="211"/>
      <c r="AI981" s="211"/>
      <c r="AJ981" s="211"/>
      <c r="AL981" s="211"/>
      <c r="AM981" s="211"/>
    </row>
    <row r="982" spans="1:39" s="267" customFormat="1" x14ac:dyDescent="0.2">
      <c r="A982" s="258"/>
      <c r="B982" s="320"/>
      <c r="C982" s="309"/>
      <c r="D982" s="309"/>
      <c r="E982" s="309"/>
      <c r="F982" s="309"/>
      <c r="G982" s="309"/>
      <c r="H982" s="309"/>
      <c r="I982" s="309"/>
      <c r="J982" s="309"/>
      <c r="K982" s="309"/>
      <c r="L982" s="309"/>
      <c r="M982" s="309"/>
      <c r="N982" s="309"/>
      <c r="O982" s="309"/>
      <c r="P982" s="309"/>
      <c r="Q982" s="410"/>
      <c r="R982" s="435"/>
      <c r="S982" s="264"/>
      <c r="T982" s="211"/>
      <c r="U982" s="211"/>
      <c r="W982" s="211"/>
      <c r="X982" s="211"/>
      <c r="Z982" s="211"/>
      <c r="AA982" s="211"/>
      <c r="AC982" s="211"/>
      <c r="AD982" s="211"/>
      <c r="AF982" s="211"/>
      <c r="AG982" s="211"/>
      <c r="AI982" s="211"/>
      <c r="AJ982" s="211"/>
      <c r="AL982" s="211"/>
      <c r="AM982" s="211"/>
    </row>
    <row r="983" spans="1:39" s="267" customFormat="1" x14ac:dyDescent="0.2">
      <c r="A983" s="258"/>
      <c r="B983" s="320"/>
      <c r="C983" s="309"/>
      <c r="D983" s="309"/>
      <c r="E983" s="309"/>
      <c r="F983" s="309"/>
      <c r="G983" s="309"/>
      <c r="H983" s="309"/>
      <c r="I983" s="309"/>
      <c r="J983" s="309"/>
      <c r="K983" s="309"/>
      <c r="L983" s="309"/>
      <c r="M983" s="309"/>
      <c r="N983" s="309"/>
      <c r="O983" s="309" t="s">
        <v>813</v>
      </c>
      <c r="P983" s="309" t="s">
        <v>615</v>
      </c>
      <c r="Q983" s="410"/>
      <c r="R983" s="435"/>
      <c r="S983" s="264"/>
      <c r="T983" s="211"/>
      <c r="U983" s="211"/>
      <c r="W983" s="211"/>
      <c r="X983" s="211"/>
      <c r="Z983" s="211"/>
      <c r="AA983" s="211"/>
      <c r="AC983" s="211"/>
      <c r="AD983" s="211"/>
      <c r="AF983" s="211"/>
      <c r="AG983" s="211"/>
      <c r="AI983" s="211"/>
      <c r="AJ983" s="211"/>
      <c r="AL983" s="211"/>
      <c r="AM983" s="211"/>
    </row>
    <row r="984" spans="1:39" s="267" customFormat="1" x14ac:dyDescent="0.2">
      <c r="A984" s="258"/>
      <c r="B984" s="320"/>
      <c r="C984" s="309"/>
      <c r="D984" s="309"/>
      <c r="E984" s="309"/>
      <c r="F984" s="309"/>
      <c r="G984" s="309"/>
      <c r="H984" s="309"/>
      <c r="I984" s="309"/>
      <c r="J984" s="309"/>
      <c r="K984" s="309"/>
      <c r="L984" s="309"/>
      <c r="M984" s="309"/>
      <c r="N984" s="309"/>
      <c r="O984" s="309"/>
      <c r="P984" s="309"/>
      <c r="Q984" s="410"/>
      <c r="R984" s="435"/>
      <c r="S984" s="264"/>
      <c r="T984" s="211"/>
      <c r="U984" s="211"/>
      <c r="W984" s="211"/>
      <c r="X984" s="211"/>
      <c r="Z984" s="211"/>
      <c r="AA984" s="211"/>
      <c r="AC984" s="211"/>
      <c r="AD984" s="211"/>
      <c r="AF984" s="211"/>
      <c r="AG984" s="211"/>
      <c r="AI984" s="211"/>
      <c r="AJ984" s="211"/>
      <c r="AL984" s="211"/>
      <c r="AM984" s="211"/>
    </row>
    <row r="985" spans="1:39" s="267" customFormat="1" x14ac:dyDescent="0.2">
      <c r="A985" s="258"/>
      <c r="B985" s="320"/>
      <c r="C985" s="309"/>
      <c r="D985" s="309"/>
      <c r="E985" s="309"/>
      <c r="F985" s="309"/>
      <c r="G985" s="309"/>
      <c r="H985" s="309"/>
      <c r="I985" s="309"/>
      <c r="J985" s="309"/>
      <c r="K985" s="309"/>
      <c r="L985" s="309"/>
      <c r="M985" s="309"/>
      <c r="N985" s="309"/>
      <c r="O985" s="309" t="s">
        <v>813</v>
      </c>
      <c r="P985" s="309" t="s">
        <v>616</v>
      </c>
      <c r="Q985" s="410"/>
      <c r="R985" s="435"/>
      <c r="S985" s="264"/>
      <c r="T985" s="211"/>
      <c r="U985" s="211"/>
      <c r="W985" s="211"/>
      <c r="X985" s="211"/>
      <c r="Z985" s="211"/>
      <c r="AA985" s="211"/>
      <c r="AC985" s="211"/>
      <c r="AD985" s="211"/>
      <c r="AF985" s="211"/>
      <c r="AG985" s="211"/>
      <c r="AI985" s="211"/>
      <c r="AJ985" s="211"/>
      <c r="AL985" s="211"/>
      <c r="AM985" s="211"/>
    </row>
    <row r="986" spans="1:39" s="267" customFormat="1" x14ac:dyDescent="0.2">
      <c r="A986" s="258"/>
      <c r="B986" s="320"/>
      <c r="C986" s="309"/>
      <c r="D986" s="309"/>
      <c r="E986" s="309"/>
      <c r="F986" s="309"/>
      <c r="G986" s="309"/>
      <c r="H986" s="309"/>
      <c r="I986" s="309"/>
      <c r="J986" s="309"/>
      <c r="K986" s="309"/>
      <c r="L986" s="309"/>
      <c r="M986" s="309"/>
      <c r="N986" s="309"/>
      <c r="O986" s="309"/>
      <c r="P986" s="309"/>
      <c r="Q986" s="410"/>
      <c r="R986" s="435"/>
      <c r="S986" s="264"/>
      <c r="T986" s="211"/>
      <c r="U986" s="211"/>
      <c r="W986" s="211"/>
      <c r="X986" s="211"/>
      <c r="Z986" s="211"/>
      <c r="AA986" s="211"/>
      <c r="AC986" s="211"/>
      <c r="AD986" s="211"/>
      <c r="AF986" s="211"/>
      <c r="AG986" s="211"/>
      <c r="AI986" s="211"/>
      <c r="AJ986" s="211"/>
      <c r="AL986" s="211"/>
      <c r="AM986" s="211"/>
    </row>
    <row r="987" spans="1:39" s="267" customFormat="1" x14ac:dyDescent="0.2">
      <c r="A987" s="258"/>
      <c r="B987" s="320"/>
      <c r="C987" s="309"/>
      <c r="D987" s="309"/>
      <c r="E987" s="309"/>
      <c r="F987" s="309"/>
      <c r="G987" s="309"/>
      <c r="H987" s="309"/>
      <c r="I987" s="309"/>
      <c r="J987" s="309"/>
      <c r="K987" s="309"/>
      <c r="L987" s="309"/>
      <c r="M987" s="309"/>
      <c r="N987" s="309"/>
      <c r="O987" s="309" t="s">
        <v>813</v>
      </c>
      <c r="P987" s="309" t="s">
        <v>617</v>
      </c>
      <c r="Q987" s="410"/>
      <c r="R987" s="435"/>
      <c r="S987" s="264"/>
      <c r="T987" s="211"/>
      <c r="U987" s="211"/>
      <c r="W987" s="211"/>
      <c r="X987" s="211"/>
      <c r="Z987" s="211"/>
      <c r="AA987" s="211"/>
      <c r="AC987" s="211"/>
      <c r="AD987" s="211"/>
      <c r="AF987" s="211"/>
      <c r="AG987" s="211"/>
      <c r="AI987" s="211"/>
      <c r="AJ987" s="211"/>
      <c r="AL987" s="211"/>
      <c r="AM987" s="211"/>
    </row>
    <row r="988" spans="1:39" s="267" customFormat="1" x14ac:dyDescent="0.2">
      <c r="A988" s="258"/>
      <c r="B988" s="320"/>
      <c r="C988" s="309"/>
      <c r="D988" s="309"/>
      <c r="E988" s="309"/>
      <c r="F988" s="309"/>
      <c r="G988" s="309"/>
      <c r="H988" s="309"/>
      <c r="I988" s="309"/>
      <c r="J988" s="309"/>
      <c r="K988" s="309"/>
      <c r="L988" s="309"/>
      <c r="M988" s="309"/>
      <c r="N988" s="309"/>
      <c r="O988" s="309"/>
      <c r="P988" s="309"/>
      <c r="Q988" s="410"/>
      <c r="R988" s="435"/>
      <c r="S988" s="264"/>
      <c r="T988" s="211"/>
      <c r="U988" s="211"/>
      <c r="W988" s="211"/>
      <c r="X988" s="211"/>
      <c r="Z988" s="211"/>
      <c r="AA988" s="211"/>
      <c r="AC988" s="211"/>
      <c r="AD988" s="211"/>
      <c r="AF988" s="211"/>
      <c r="AG988" s="211"/>
      <c r="AI988" s="211"/>
      <c r="AJ988" s="211"/>
      <c r="AL988" s="211"/>
      <c r="AM988" s="211"/>
    </row>
    <row r="989" spans="1:39" s="267" customFormat="1" x14ac:dyDescent="0.2">
      <c r="A989" s="258"/>
      <c r="B989" s="320"/>
      <c r="C989" s="309"/>
      <c r="D989" s="309"/>
      <c r="E989" s="309"/>
      <c r="F989" s="309"/>
      <c r="G989" s="309"/>
      <c r="H989" s="309"/>
      <c r="I989" s="309"/>
      <c r="J989" s="309"/>
      <c r="K989" s="309"/>
      <c r="L989" s="309"/>
      <c r="M989" s="309"/>
      <c r="N989" s="309"/>
      <c r="O989" s="309" t="s">
        <v>813</v>
      </c>
      <c r="P989" s="309" t="s">
        <v>618</v>
      </c>
      <c r="Q989" s="410"/>
      <c r="R989" s="435"/>
      <c r="S989" s="264"/>
      <c r="T989" s="211"/>
      <c r="U989" s="211"/>
      <c r="W989" s="211"/>
      <c r="X989" s="211"/>
      <c r="Z989" s="211"/>
      <c r="AA989" s="211"/>
      <c r="AC989" s="211"/>
      <c r="AD989" s="211"/>
      <c r="AF989" s="211"/>
      <c r="AG989" s="211"/>
      <c r="AI989" s="211"/>
      <c r="AJ989" s="211"/>
      <c r="AL989" s="211"/>
      <c r="AM989" s="211"/>
    </row>
    <row r="990" spans="1:39" s="267" customFormat="1" x14ac:dyDescent="0.2">
      <c r="A990" s="258"/>
      <c r="B990" s="320"/>
      <c r="C990" s="309"/>
      <c r="D990" s="309"/>
      <c r="E990" s="309"/>
      <c r="F990" s="309"/>
      <c r="G990" s="309"/>
      <c r="H990" s="309"/>
      <c r="I990" s="309"/>
      <c r="J990" s="309"/>
      <c r="K990" s="309"/>
      <c r="L990" s="309"/>
      <c r="M990" s="309"/>
      <c r="N990" s="309"/>
      <c r="O990" s="309"/>
      <c r="P990" s="309"/>
      <c r="Q990" s="410"/>
      <c r="R990" s="435"/>
      <c r="S990" s="264"/>
      <c r="T990" s="211"/>
      <c r="U990" s="211"/>
      <c r="W990" s="211"/>
      <c r="X990" s="211"/>
      <c r="Z990" s="211"/>
      <c r="AA990" s="211"/>
      <c r="AC990" s="211"/>
      <c r="AD990" s="211"/>
      <c r="AF990" s="211"/>
      <c r="AG990" s="211"/>
      <c r="AI990" s="211"/>
      <c r="AJ990" s="211"/>
      <c r="AL990" s="211"/>
      <c r="AM990" s="211"/>
    </row>
    <row r="991" spans="1:39" s="267" customFormat="1" x14ac:dyDescent="0.2">
      <c r="A991" s="258"/>
      <c r="B991" s="320"/>
      <c r="C991" s="309"/>
      <c r="D991" s="309"/>
      <c r="E991" s="309"/>
      <c r="F991" s="309"/>
      <c r="G991" s="309"/>
      <c r="H991" s="309"/>
      <c r="I991" s="309"/>
      <c r="J991" s="309"/>
      <c r="K991" s="309"/>
      <c r="L991" s="309"/>
      <c r="M991" s="309"/>
      <c r="N991" s="309"/>
      <c r="O991" s="309" t="s">
        <v>813</v>
      </c>
      <c r="P991" s="309" t="s">
        <v>619</v>
      </c>
      <c r="Q991" s="410"/>
      <c r="R991" s="435"/>
      <c r="S991" s="264"/>
      <c r="T991" s="211"/>
      <c r="U991" s="211"/>
      <c r="W991" s="211"/>
      <c r="X991" s="211"/>
      <c r="Z991" s="211"/>
      <c r="AA991" s="211"/>
      <c r="AC991" s="211"/>
      <c r="AD991" s="211"/>
      <c r="AF991" s="211"/>
      <c r="AG991" s="211"/>
      <c r="AI991" s="211"/>
      <c r="AJ991" s="211"/>
      <c r="AL991" s="211"/>
      <c r="AM991" s="211"/>
    </row>
    <row r="992" spans="1:39" s="267" customFormat="1" x14ac:dyDescent="0.2">
      <c r="A992" s="258"/>
      <c r="B992" s="320"/>
      <c r="C992" s="309"/>
      <c r="D992" s="309"/>
      <c r="E992" s="309"/>
      <c r="F992" s="309"/>
      <c r="G992" s="309"/>
      <c r="H992" s="309"/>
      <c r="I992" s="309"/>
      <c r="J992" s="309"/>
      <c r="K992" s="309"/>
      <c r="L992" s="309"/>
      <c r="M992" s="309"/>
      <c r="N992" s="309"/>
      <c r="O992" s="309"/>
      <c r="P992" s="309"/>
      <c r="Q992" s="410"/>
      <c r="R992" s="435"/>
      <c r="S992" s="264"/>
      <c r="T992" s="211"/>
      <c r="U992" s="211"/>
      <c r="W992" s="211"/>
      <c r="X992" s="211"/>
      <c r="Z992" s="211"/>
      <c r="AA992" s="211"/>
      <c r="AC992" s="211"/>
      <c r="AD992" s="211"/>
      <c r="AF992" s="211"/>
      <c r="AG992" s="211"/>
      <c r="AI992" s="211"/>
      <c r="AJ992" s="211"/>
      <c r="AL992" s="211"/>
      <c r="AM992" s="211"/>
    </row>
    <row r="993" spans="1:39" s="267" customFormat="1" x14ac:dyDescent="0.2">
      <c r="A993" s="258"/>
      <c r="B993" s="320"/>
      <c r="C993" s="309"/>
      <c r="D993" s="309"/>
      <c r="E993" s="309"/>
      <c r="F993" s="309"/>
      <c r="G993" s="309"/>
      <c r="H993" s="309"/>
      <c r="I993" s="309"/>
      <c r="J993" s="309"/>
      <c r="K993" s="309"/>
      <c r="L993" s="309"/>
      <c r="M993" s="309"/>
      <c r="N993" s="309"/>
      <c r="O993" s="309" t="s">
        <v>813</v>
      </c>
      <c r="P993" s="309" t="s">
        <v>620</v>
      </c>
      <c r="Q993" s="410"/>
      <c r="R993" s="435"/>
      <c r="S993" s="264"/>
      <c r="T993" s="211"/>
      <c r="U993" s="211"/>
      <c r="W993" s="211"/>
      <c r="X993" s="211"/>
      <c r="Z993" s="211"/>
      <c r="AA993" s="211"/>
      <c r="AC993" s="211"/>
      <c r="AD993" s="211"/>
      <c r="AF993" s="211"/>
      <c r="AG993" s="211"/>
      <c r="AI993" s="211"/>
      <c r="AJ993" s="211"/>
      <c r="AL993" s="211"/>
      <c r="AM993" s="211"/>
    </row>
    <row r="994" spans="1:39" s="267" customFormat="1" x14ac:dyDescent="0.2">
      <c r="A994" s="258"/>
      <c r="B994" s="320"/>
      <c r="C994" s="309"/>
      <c r="D994" s="309"/>
      <c r="E994" s="309"/>
      <c r="F994" s="309"/>
      <c r="G994" s="309"/>
      <c r="H994" s="309"/>
      <c r="I994" s="309"/>
      <c r="J994" s="309"/>
      <c r="K994" s="309"/>
      <c r="L994" s="309"/>
      <c r="M994" s="309"/>
      <c r="N994" s="309"/>
      <c r="O994" s="309"/>
      <c r="P994" s="309"/>
      <c r="Q994" s="410"/>
      <c r="R994" s="435"/>
      <c r="S994" s="264"/>
      <c r="T994" s="211"/>
      <c r="U994" s="211"/>
      <c r="W994" s="211"/>
      <c r="X994" s="211"/>
      <c r="Z994" s="211"/>
      <c r="AA994" s="211"/>
      <c r="AC994" s="211"/>
      <c r="AD994" s="211"/>
      <c r="AF994" s="211"/>
      <c r="AG994" s="211"/>
      <c r="AI994" s="211"/>
      <c r="AJ994" s="211"/>
      <c r="AL994" s="211"/>
      <c r="AM994" s="211"/>
    </row>
    <row r="995" spans="1:39" s="267" customFormat="1" x14ac:dyDescent="0.2">
      <c r="A995" s="258"/>
      <c r="B995" s="320"/>
      <c r="C995" s="309"/>
      <c r="D995" s="309"/>
      <c r="E995" s="309"/>
      <c r="F995" s="309"/>
      <c r="G995" s="309"/>
      <c r="H995" s="309"/>
      <c r="I995" s="309"/>
      <c r="J995" s="309"/>
      <c r="K995" s="309"/>
      <c r="L995" s="309"/>
      <c r="M995" s="309"/>
      <c r="N995" s="309"/>
      <c r="O995" s="309" t="s">
        <v>813</v>
      </c>
      <c r="P995" s="309" t="s">
        <v>621</v>
      </c>
      <c r="Q995" s="410"/>
      <c r="R995" s="435"/>
      <c r="S995" s="264"/>
      <c r="T995" s="211"/>
      <c r="U995" s="211"/>
      <c r="W995" s="211"/>
      <c r="X995" s="211"/>
      <c r="Z995" s="211"/>
      <c r="AA995" s="211"/>
      <c r="AC995" s="211"/>
      <c r="AD995" s="211"/>
      <c r="AF995" s="211"/>
      <c r="AG995" s="211"/>
      <c r="AI995" s="211"/>
      <c r="AJ995" s="211"/>
      <c r="AL995" s="211"/>
      <c r="AM995" s="211"/>
    </row>
    <row r="996" spans="1:39" s="267" customFormat="1" x14ac:dyDescent="0.2">
      <c r="A996" s="258"/>
      <c r="B996" s="320"/>
      <c r="C996" s="309"/>
      <c r="D996" s="309"/>
      <c r="E996" s="309"/>
      <c r="F996" s="309"/>
      <c r="G996" s="309"/>
      <c r="H996" s="309"/>
      <c r="I996" s="309"/>
      <c r="J996" s="309"/>
      <c r="K996" s="309"/>
      <c r="L996" s="309"/>
      <c r="M996" s="309"/>
      <c r="N996" s="309"/>
      <c r="O996" s="309"/>
      <c r="P996" s="309"/>
      <c r="Q996" s="410"/>
      <c r="R996" s="435"/>
      <c r="S996" s="264"/>
      <c r="T996" s="211"/>
      <c r="U996" s="211"/>
      <c r="W996" s="211"/>
      <c r="X996" s="211"/>
      <c r="Z996" s="211"/>
      <c r="AA996" s="211"/>
      <c r="AC996" s="211"/>
      <c r="AD996" s="211"/>
      <c r="AF996" s="211"/>
      <c r="AG996" s="211"/>
      <c r="AI996" s="211"/>
      <c r="AJ996" s="211"/>
      <c r="AL996" s="211"/>
      <c r="AM996" s="211"/>
    </row>
    <row r="997" spans="1:39" s="267" customFormat="1" x14ac:dyDescent="0.2">
      <c r="A997" s="258"/>
      <c r="B997" s="320"/>
      <c r="C997" s="309"/>
      <c r="D997" s="309"/>
      <c r="E997" s="309"/>
      <c r="F997" s="309"/>
      <c r="G997" s="309"/>
      <c r="H997" s="309"/>
      <c r="I997" s="309"/>
      <c r="J997" s="309"/>
      <c r="K997" s="309"/>
      <c r="L997" s="309"/>
      <c r="M997" s="309"/>
      <c r="N997" s="309"/>
      <c r="O997" s="309" t="s">
        <v>813</v>
      </c>
      <c r="P997" s="309" t="s">
        <v>622</v>
      </c>
      <c r="Q997" s="410"/>
      <c r="R997" s="435"/>
      <c r="S997" s="264"/>
      <c r="T997" s="211"/>
      <c r="U997" s="211"/>
      <c r="W997" s="211"/>
      <c r="X997" s="211"/>
      <c r="Z997" s="211"/>
      <c r="AA997" s="211"/>
      <c r="AC997" s="211"/>
      <c r="AD997" s="211"/>
      <c r="AF997" s="211"/>
      <c r="AG997" s="211"/>
      <c r="AI997" s="211"/>
      <c r="AJ997" s="211"/>
      <c r="AL997" s="211"/>
      <c r="AM997" s="211"/>
    </row>
    <row r="998" spans="1:39" s="267" customFormat="1" x14ac:dyDescent="0.2">
      <c r="A998" s="258"/>
      <c r="B998" s="320"/>
      <c r="C998" s="309"/>
      <c r="D998" s="309"/>
      <c r="E998" s="309"/>
      <c r="F998" s="309"/>
      <c r="G998" s="309"/>
      <c r="H998" s="309"/>
      <c r="I998" s="309"/>
      <c r="J998" s="309"/>
      <c r="K998" s="309"/>
      <c r="L998" s="309"/>
      <c r="M998" s="309"/>
      <c r="N998" s="309"/>
      <c r="O998" s="309"/>
      <c r="P998" s="309"/>
      <c r="Q998" s="410"/>
      <c r="R998" s="435"/>
      <c r="S998" s="264"/>
      <c r="T998" s="211"/>
      <c r="U998" s="211"/>
      <c r="W998" s="211"/>
      <c r="X998" s="211"/>
      <c r="Z998" s="211"/>
      <c r="AA998" s="211"/>
      <c r="AC998" s="211"/>
      <c r="AD998" s="211"/>
      <c r="AF998" s="211"/>
      <c r="AG998" s="211"/>
      <c r="AI998" s="211"/>
      <c r="AJ998" s="211"/>
      <c r="AL998" s="211"/>
      <c r="AM998" s="211"/>
    </row>
    <row r="999" spans="1:39" s="267" customFormat="1" x14ac:dyDescent="0.2">
      <c r="A999" s="258"/>
      <c r="B999" s="320"/>
      <c r="C999" s="309"/>
      <c r="D999" s="309"/>
      <c r="E999" s="309"/>
      <c r="F999" s="309"/>
      <c r="G999" s="309"/>
      <c r="H999" s="309"/>
      <c r="I999" s="309"/>
      <c r="J999" s="309"/>
      <c r="K999" s="309"/>
      <c r="L999" s="309"/>
      <c r="M999" s="309"/>
      <c r="N999" s="309"/>
      <c r="O999" s="309" t="s">
        <v>813</v>
      </c>
      <c r="P999" s="309" t="s">
        <v>623</v>
      </c>
      <c r="Q999" s="410"/>
      <c r="R999" s="435"/>
      <c r="S999" s="264"/>
      <c r="T999" s="211"/>
      <c r="U999" s="211"/>
      <c r="W999" s="211"/>
      <c r="X999" s="211"/>
      <c r="Z999" s="211"/>
      <c r="AA999" s="211"/>
      <c r="AC999" s="211"/>
      <c r="AD999" s="211"/>
      <c r="AF999" s="211"/>
      <c r="AG999" s="211"/>
      <c r="AI999" s="211"/>
      <c r="AJ999" s="211"/>
      <c r="AL999" s="211"/>
      <c r="AM999" s="211"/>
    </row>
    <row r="1000" spans="1:39" s="267" customFormat="1" x14ac:dyDescent="0.2">
      <c r="A1000" s="258"/>
      <c r="B1000" s="320"/>
      <c r="C1000" s="309"/>
      <c r="D1000" s="309"/>
      <c r="E1000" s="309"/>
      <c r="F1000" s="309"/>
      <c r="G1000" s="309"/>
      <c r="H1000" s="309"/>
      <c r="I1000" s="309"/>
      <c r="J1000" s="309"/>
      <c r="K1000" s="309"/>
      <c r="L1000" s="309"/>
      <c r="M1000" s="309"/>
      <c r="N1000" s="309"/>
      <c r="O1000" s="309"/>
      <c r="P1000" s="309"/>
      <c r="Q1000" s="410"/>
      <c r="R1000" s="435"/>
      <c r="S1000" s="264"/>
      <c r="T1000" s="211"/>
      <c r="U1000" s="211"/>
      <c r="W1000" s="211"/>
      <c r="X1000" s="211"/>
      <c r="Z1000" s="211"/>
      <c r="AA1000" s="211"/>
      <c r="AC1000" s="211"/>
      <c r="AD1000" s="211"/>
      <c r="AF1000" s="211"/>
      <c r="AG1000" s="211"/>
      <c r="AI1000" s="211"/>
      <c r="AJ1000" s="211"/>
      <c r="AL1000" s="211"/>
      <c r="AM1000" s="211"/>
    </row>
    <row r="1001" spans="1:39" s="267" customFormat="1" x14ac:dyDescent="0.2">
      <c r="A1001" s="258"/>
      <c r="B1001" s="320"/>
      <c r="C1001" s="309"/>
      <c r="D1001" s="309"/>
      <c r="E1001" s="309"/>
      <c r="F1001" s="309"/>
      <c r="G1001" s="309"/>
      <c r="H1001" s="309"/>
      <c r="I1001" s="309"/>
      <c r="J1001" s="309"/>
      <c r="K1001" s="309"/>
      <c r="L1001" s="309"/>
      <c r="M1001" s="309"/>
      <c r="N1001" s="309"/>
      <c r="O1001" s="309" t="s">
        <v>813</v>
      </c>
      <c r="P1001" s="309" t="s">
        <v>624</v>
      </c>
      <c r="Q1001" s="410"/>
      <c r="R1001" s="435"/>
      <c r="S1001" s="264"/>
      <c r="T1001" s="211"/>
      <c r="U1001" s="211"/>
      <c r="W1001" s="211"/>
      <c r="X1001" s="211"/>
      <c r="Z1001" s="211"/>
      <c r="AA1001" s="211"/>
      <c r="AC1001" s="211"/>
      <c r="AD1001" s="211"/>
      <c r="AF1001" s="211"/>
      <c r="AG1001" s="211"/>
      <c r="AI1001" s="211"/>
      <c r="AJ1001" s="211"/>
      <c r="AL1001" s="211"/>
      <c r="AM1001" s="211"/>
    </row>
    <row r="1002" spans="1:39" s="267" customFormat="1" x14ac:dyDescent="0.2">
      <c r="A1002" s="258"/>
      <c r="B1002" s="320"/>
      <c r="C1002" s="309"/>
      <c r="D1002" s="309"/>
      <c r="E1002" s="309"/>
      <c r="F1002" s="309"/>
      <c r="G1002" s="309"/>
      <c r="H1002" s="309"/>
      <c r="I1002" s="309"/>
      <c r="J1002" s="309"/>
      <c r="K1002" s="309"/>
      <c r="L1002" s="309"/>
      <c r="M1002" s="309"/>
      <c r="N1002" s="309"/>
      <c r="O1002" s="309"/>
      <c r="P1002" s="309"/>
      <c r="Q1002" s="410"/>
      <c r="R1002" s="435"/>
      <c r="S1002" s="264"/>
      <c r="T1002" s="211"/>
      <c r="U1002" s="211"/>
      <c r="W1002" s="211"/>
      <c r="X1002" s="211"/>
      <c r="Z1002" s="211"/>
      <c r="AA1002" s="211"/>
      <c r="AC1002" s="211"/>
      <c r="AD1002" s="211"/>
      <c r="AF1002" s="211"/>
      <c r="AG1002" s="211"/>
      <c r="AI1002" s="211"/>
      <c r="AJ1002" s="211"/>
      <c r="AL1002" s="211"/>
      <c r="AM1002" s="211"/>
    </row>
    <row r="1003" spans="1:39" s="267" customFormat="1" x14ac:dyDescent="0.2">
      <c r="A1003" s="258"/>
      <c r="B1003" s="320"/>
      <c r="C1003" s="309"/>
      <c r="D1003" s="309"/>
      <c r="E1003" s="309"/>
      <c r="F1003" s="309"/>
      <c r="G1003" s="309"/>
      <c r="H1003" s="309"/>
      <c r="I1003" s="309"/>
      <c r="J1003" s="309"/>
      <c r="K1003" s="309"/>
      <c r="L1003" s="309"/>
      <c r="M1003" s="309"/>
      <c r="N1003" s="309"/>
      <c r="O1003" s="309" t="s">
        <v>813</v>
      </c>
      <c r="P1003" s="309" t="s">
        <v>625</v>
      </c>
      <c r="Q1003" s="410"/>
      <c r="R1003" s="435"/>
      <c r="S1003" s="264"/>
      <c r="T1003" s="211"/>
      <c r="U1003" s="211"/>
      <c r="W1003" s="211"/>
      <c r="X1003" s="211"/>
      <c r="Z1003" s="211"/>
      <c r="AA1003" s="211"/>
      <c r="AC1003" s="211"/>
      <c r="AD1003" s="211"/>
      <c r="AF1003" s="211"/>
      <c r="AG1003" s="211"/>
      <c r="AI1003" s="211"/>
      <c r="AJ1003" s="211"/>
      <c r="AL1003" s="211"/>
      <c r="AM1003" s="211"/>
    </row>
    <row r="1004" spans="1:39" s="267" customFormat="1" x14ac:dyDescent="0.2">
      <c r="A1004" s="258"/>
      <c r="B1004" s="320"/>
      <c r="C1004" s="309"/>
      <c r="D1004" s="309"/>
      <c r="E1004" s="309"/>
      <c r="F1004" s="309"/>
      <c r="G1004" s="309"/>
      <c r="H1004" s="309"/>
      <c r="I1004" s="309"/>
      <c r="J1004" s="309"/>
      <c r="K1004" s="309"/>
      <c r="L1004" s="309"/>
      <c r="M1004" s="309"/>
      <c r="N1004" s="309"/>
      <c r="O1004" s="309"/>
      <c r="P1004" s="309"/>
      <c r="Q1004" s="410"/>
      <c r="R1004" s="435"/>
      <c r="S1004" s="264"/>
      <c r="T1004" s="211"/>
      <c r="U1004" s="211"/>
      <c r="W1004" s="211"/>
      <c r="X1004" s="211"/>
      <c r="Z1004" s="211"/>
      <c r="AA1004" s="211"/>
      <c r="AC1004" s="211"/>
      <c r="AD1004" s="211"/>
      <c r="AF1004" s="211"/>
      <c r="AG1004" s="211"/>
      <c r="AI1004" s="211"/>
      <c r="AJ1004" s="211"/>
      <c r="AL1004" s="211"/>
      <c r="AM1004" s="211"/>
    </row>
    <row r="1005" spans="1:39" s="267" customFormat="1" x14ac:dyDescent="0.2">
      <c r="A1005" s="258"/>
      <c r="B1005" s="320"/>
      <c r="C1005" s="309"/>
      <c r="D1005" s="309"/>
      <c r="E1005" s="309"/>
      <c r="F1005" s="309"/>
      <c r="G1005" s="309"/>
      <c r="H1005" s="309"/>
      <c r="I1005" s="309"/>
      <c r="J1005" s="309"/>
      <c r="K1005" s="309"/>
      <c r="L1005" s="309"/>
      <c r="M1005" s="309"/>
      <c r="N1005" s="309"/>
      <c r="O1005" s="309" t="s">
        <v>813</v>
      </c>
      <c r="P1005" s="309" t="s">
        <v>626</v>
      </c>
      <c r="Q1005" s="410"/>
      <c r="R1005" s="435"/>
      <c r="S1005" s="264"/>
      <c r="T1005" s="211"/>
      <c r="U1005" s="211"/>
      <c r="W1005" s="211"/>
      <c r="X1005" s="211"/>
      <c r="Z1005" s="211"/>
      <c r="AA1005" s="211"/>
      <c r="AC1005" s="211"/>
      <c r="AD1005" s="211"/>
      <c r="AF1005" s="211"/>
      <c r="AG1005" s="211"/>
      <c r="AI1005" s="211"/>
      <c r="AJ1005" s="211"/>
      <c r="AL1005" s="211"/>
      <c r="AM1005" s="211"/>
    </row>
    <row r="1006" spans="1:39" s="267" customFormat="1" x14ac:dyDescent="0.2">
      <c r="A1006" s="258"/>
      <c r="B1006" s="320"/>
      <c r="C1006" s="309"/>
      <c r="D1006" s="309"/>
      <c r="E1006" s="309"/>
      <c r="F1006" s="309"/>
      <c r="G1006" s="309"/>
      <c r="H1006" s="309"/>
      <c r="I1006" s="309"/>
      <c r="J1006" s="309"/>
      <c r="K1006" s="309"/>
      <c r="L1006" s="309"/>
      <c r="M1006" s="309"/>
      <c r="N1006" s="309"/>
      <c r="O1006" s="309"/>
      <c r="P1006" s="309"/>
      <c r="Q1006" s="410"/>
      <c r="R1006" s="435"/>
      <c r="S1006" s="264"/>
      <c r="T1006" s="211"/>
      <c r="U1006" s="211"/>
      <c r="W1006" s="211"/>
      <c r="X1006" s="211"/>
      <c r="Z1006" s="211"/>
      <c r="AA1006" s="211"/>
      <c r="AC1006" s="211"/>
      <c r="AD1006" s="211"/>
      <c r="AF1006" s="211"/>
      <c r="AG1006" s="211"/>
      <c r="AI1006" s="211"/>
      <c r="AJ1006" s="211"/>
      <c r="AL1006" s="211"/>
      <c r="AM1006" s="211"/>
    </row>
    <row r="1007" spans="1:39" s="267" customFormat="1" x14ac:dyDescent="0.2">
      <c r="A1007" s="258"/>
      <c r="B1007" s="320"/>
      <c r="C1007" s="309"/>
      <c r="D1007" s="309"/>
      <c r="E1007" s="309"/>
      <c r="F1007" s="309"/>
      <c r="G1007" s="309"/>
      <c r="H1007" s="309"/>
      <c r="I1007" s="309"/>
      <c r="J1007" s="309"/>
      <c r="K1007" s="309"/>
      <c r="L1007" s="309"/>
      <c r="M1007" s="309"/>
      <c r="N1007" s="309"/>
      <c r="O1007" s="309" t="s">
        <v>813</v>
      </c>
      <c r="P1007" s="309" t="s">
        <v>627</v>
      </c>
      <c r="Q1007" s="410"/>
      <c r="R1007" s="435"/>
      <c r="S1007" s="264"/>
      <c r="T1007" s="211"/>
      <c r="U1007" s="211"/>
      <c r="W1007" s="211"/>
      <c r="X1007" s="211"/>
      <c r="Z1007" s="211"/>
      <c r="AA1007" s="211"/>
      <c r="AC1007" s="211"/>
      <c r="AD1007" s="211"/>
      <c r="AF1007" s="211"/>
      <c r="AG1007" s="211"/>
      <c r="AI1007" s="211"/>
      <c r="AJ1007" s="211"/>
      <c r="AL1007" s="211"/>
      <c r="AM1007" s="211"/>
    </row>
    <row r="1008" spans="1:39" s="267" customFormat="1" x14ac:dyDescent="0.2">
      <c r="A1008" s="258"/>
      <c r="B1008" s="320"/>
      <c r="C1008" s="309"/>
      <c r="D1008" s="309"/>
      <c r="E1008" s="309"/>
      <c r="F1008" s="309"/>
      <c r="G1008" s="309"/>
      <c r="H1008" s="309"/>
      <c r="I1008" s="309"/>
      <c r="J1008" s="309"/>
      <c r="K1008" s="309"/>
      <c r="L1008" s="309"/>
      <c r="M1008" s="309"/>
      <c r="N1008" s="309"/>
      <c r="O1008" s="309"/>
      <c r="P1008" s="309"/>
      <c r="Q1008" s="410"/>
      <c r="R1008" s="435"/>
      <c r="S1008" s="264"/>
      <c r="T1008" s="211"/>
      <c r="U1008" s="211"/>
      <c r="W1008" s="211"/>
      <c r="X1008" s="211"/>
      <c r="Z1008" s="211"/>
      <c r="AA1008" s="211"/>
      <c r="AC1008" s="211"/>
      <c r="AD1008" s="211"/>
      <c r="AF1008" s="211"/>
      <c r="AG1008" s="211"/>
      <c r="AI1008" s="211"/>
      <c r="AJ1008" s="211"/>
      <c r="AL1008" s="211"/>
      <c r="AM1008" s="211"/>
    </row>
    <row r="1009" spans="1:39" s="267" customFormat="1" x14ac:dyDescent="0.2">
      <c r="A1009" s="258"/>
      <c r="B1009" s="320"/>
      <c r="C1009" s="309"/>
      <c r="D1009" s="309"/>
      <c r="E1009" s="309"/>
      <c r="F1009" s="309"/>
      <c r="G1009" s="309"/>
      <c r="H1009" s="309"/>
      <c r="I1009" s="309"/>
      <c r="J1009" s="309"/>
      <c r="K1009" s="309"/>
      <c r="L1009" s="309"/>
      <c r="M1009" s="309"/>
      <c r="N1009" s="309"/>
      <c r="O1009" s="309" t="s">
        <v>813</v>
      </c>
      <c r="P1009" s="309" t="s">
        <v>628</v>
      </c>
      <c r="Q1009" s="410"/>
      <c r="R1009" s="435"/>
      <c r="S1009" s="264"/>
      <c r="T1009" s="211"/>
      <c r="U1009" s="211"/>
      <c r="W1009" s="211"/>
      <c r="X1009" s="211"/>
      <c r="Z1009" s="211"/>
      <c r="AA1009" s="211"/>
      <c r="AC1009" s="211"/>
      <c r="AD1009" s="211"/>
      <c r="AF1009" s="211"/>
      <c r="AG1009" s="211"/>
      <c r="AI1009" s="211"/>
      <c r="AJ1009" s="211"/>
      <c r="AL1009" s="211"/>
      <c r="AM1009" s="211"/>
    </row>
    <row r="1010" spans="1:39" s="267" customFormat="1" x14ac:dyDescent="0.2">
      <c r="A1010" s="258"/>
      <c r="B1010" s="320"/>
      <c r="C1010" s="309"/>
      <c r="D1010" s="309"/>
      <c r="E1010" s="309"/>
      <c r="F1010" s="309"/>
      <c r="G1010" s="309"/>
      <c r="H1010" s="309"/>
      <c r="I1010" s="309"/>
      <c r="J1010" s="309"/>
      <c r="K1010" s="309"/>
      <c r="L1010" s="309"/>
      <c r="M1010" s="309"/>
      <c r="N1010" s="309"/>
      <c r="O1010" s="309"/>
      <c r="P1010" s="309"/>
      <c r="Q1010" s="410"/>
      <c r="R1010" s="435"/>
      <c r="S1010" s="264"/>
      <c r="T1010" s="211"/>
      <c r="U1010" s="211"/>
      <c r="W1010" s="211"/>
      <c r="X1010" s="211"/>
      <c r="Z1010" s="211"/>
      <c r="AA1010" s="211"/>
      <c r="AC1010" s="211"/>
      <c r="AD1010" s="211"/>
      <c r="AF1010" s="211"/>
      <c r="AG1010" s="211"/>
      <c r="AI1010" s="211"/>
      <c r="AJ1010" s="211"/>
      <c r="AL1010" s="211"/>
      <c r="AM1010" s="211"/>
    </row>
    <row r="1011" spans="1:39" s="267" customFormat="1" x14ac:dyDescent="0.2">
      <c r="A1011" s="258"/>
      <c r="B1011" s="320"/>
      <c r="C1011" s="309"/>
      <c r="D1011" s="309"/>
      <c r="E1011" s="309"/>
      <c r="F1011" s="309"/>
      <c r="G1011" s="309"/>
      <c r="H1011" s="309"/>
      <c r="I1011" s="309"/>
      <c r="J1011" s="309"/>
      <c r="K1011" s="309"/>
      <c r="L1011" s="309"/>
      <c r="M1011" s="309"/>
      <c r="N1011" s="309"/>
      <c r="O1011" s="309" t="s">
        <v>813</v>
      </c>
      <c r="P1011" s="309" t="s">
        <v>629</v>
      </c>
      <c r="Q1011" s="410"/>
      <c r="R1011" s="435"/>
      <c r="S1011" s="264"/>
      <c r="T1011" s="211"/>
      <c r="U1011" s="211"/>
      <c r="W1011" s="211"/>
      <c r="X1011" s="211"/>
      <c r="Z1011" s="211"/>
      <c r="AA1011" s="211"/>
      <c r="AC1011" s="211"/>
      <c r="AD1011" s="211"/>
      <c r="AF1011" s="211"/>
      <c r="AG1011" s="211"/>
      <c r="AI1011" s="211"/>
      <c r="AJ1011" s="211"/>
      <c r="AL1011" s="211"/>
      <c r="AM1011" s="211"/>
    </row>
    <row r="1012" spans="1:39" s="267" customFormat="1" x14ac:dyDescent="0.2">
      <c r="A1012" s="258"/>
      <c r="B1012" s="320"/>
      <c r="C1012" s="309"/>
      <c r="D1012" s="309"/>
      <c r="E1012" s="309"/>
      <c r="F1012" s="309"/>
      <c r="G1012" s="309"/>
      <c r="H1012" s="309"/>
      <c r="I1012" s="309"/>
      <c r="J1012" s="309"/>
      <c r="K1012" s="309"/>
      <c r="L1012" s="309"/>
      <c r="M1012" s="309"/>
      <c r="N1012" s="309"/>
      <c r="O1012" s="309"/>
      <c r="P1012" s="309"/>
      <c r="Q1012" s="410"/>
      <c r="R1012" s="435"/>
      <c r="S1012" s="264"/>
      <c r="T1012" s="211"/>
      <c r="U1012" s="211"/>
      <c r="W1012" s="211"/>
      <c r="X1012" s="211"/>
      <c r="Z1012" s="211"/>
      <c r="AA1012" s="211"/>
      <c r="AC1012" s="211"/>
      <c r="AD1012" s="211"/>
      <c r="AF1012" s="211"/>
      <c r="AG1012" s="211"/>
      <c r="AI1012" s="211"/>
      <c r="AJ1012" s="211"/>
      <c r="AL1012" s="211"/>
      <c r="AM1012" s="211"/>
    </row>
    <row r="1013" spans="1:39" s="267" customFormat="1" x14ac:dyDescent="0.2">
      <c r="A1013" s="258"/>
      <c r="B1013" s="320"/>
      <c r="C1013" s="309"/>
      <c r="D1013" s="309"/>
      <c r="E1013" s="309"/>
      <c r="F1013" s="309"/>
      <c r="G1013" s="309"/>
      <c r="H1013" s="309"/>
      <c r="I1013" s="309"/>
      <c r="J1013" s="309"/>
      <c r="K1013" s="309"/>
      <c r="L1013" s="309"/>
      <c r="M1013" s="309"/>
      <c r="N1013" s="309"/>
      <c r="O1013" s="309" t="s">
        <v>813</v>
      </c>
      <c r="P1013" s="309" t="s">
        <v>630</v>
      </c>
      <c r="Q1013" s="410"/>
      <c r="R1013" s="435"/>
      <c r="S1013" s="264"/>
      <c r="T1013" s="211"/>
      <c r="U1013" s="211"/>
      <c r="W1013" s="211"/>
      <c r="X1013" s="211"/>
      <c r="Z1013" s="211"/>
      <c r="AA1013" s="211"/>
      <c r="AC1013" s="211"/>
      <c r="AD1013" s="211"/>
      <c r="AF1013" s="211"/>
      <c r="AG1013" s="211"/>
      <c r="AI1013" s="211"/>
      <c r="AJ1013" s="211"/>
      <c r="AL1013" s="211"/>
      <c r="AM1013" s="211"/>
    </row>
    <row r="1014" spans="1:39" s="267" customFormat="1" x14ac:dyDescent="0.2">
      <c r="A1014" s="258"/>
      <c r="B1014" s="320"/>
      <c r="C1014" s="309"/>
      <c r="D1014" s="309"/>
      <c r="E1014" s="309"/>
      <c r="F1014" s="309"/>
      <c r="G1014" s="309"/>
      <c r="H1014" s="309"/>
      <c r="I1014" s="309"/>
      <c r="J1014" s="309"/>
      <c r="K1014" s="309"/>
      <c r="L1014" s="309"/>
      <c r="M1014" s="309"/>
      <c r="N1014" s="309"/>
      <c r="O1014" s="309"/>
      <c r="P1014" s="309"/>
      <c r="Q1014" s="410"/>
      <c r="R1014" s="435"/>
      <c r="S1014" s="264"/>
      <c r="T1014" s="211"/>
      <c r="U1014" s="211"/>
      <c r="W1014" s="211"/>
      <c r="X1014" s="211"/>
      <c r="Z1014" s="211"/>
      <c r="AA1014" s="211"/>
      <c r="AC1014" s="211"/>
      <c r="AD1014" s="211"/>
      <c r="AF1014" s="211"/>
      <c r="AG1014" s="211"/>
      <c r="AI1014" s="211"/>
      <c r="AJ1014" s="211"/>
      <c r="AL1014" s="211"/>
      <c r="AM1014" s="211"/>
    </row>
    <row r="1015" spans="1:39" s="267" customFormat="1" x14ac:dyDescent="0.2">
      <c r="A1015" s="258"/>
      <c r="B1015" s="320"/>
      <c r="C1015" s="309"/>
      <c r="D1015" s="309"/>
      <c r="E1015" s="309"/>
      <c r="F1015" s="309"/>
      <c r="G1015" s="309"/>
      <c r="H1015" s="309"/>
      <c r="I1015" s="309"/>
      <c r="J1015" s="309"/>
      <c r="K1015" s="309"/>
      <c r="L1015" s="309"/>
      <c r="M1015" s="309"/>
      <c r="N1015" s="309"/>
      <c r="O1015" s="309" t="s">
        <v>813</v>
      </c>
      <c r="P1015" s="309" t="s">
        <v>631</v>
      </c>
      <c r="Q1015" s="410"/>
      <c r="R1015" s="435"/>
      <c r="S1015" s="264"/>
      <c r="T1015" s="211"/>
      <c r="U1015" s="211"/>
      <c r="W1015" s="211"/>
      <c r="X1015" s="211"/>
      <c r="Z1015" s="211"/>
      <c r="AA1015" s="211"/>
      <c r="AC1015" s="211"/>
      <c r="AD1015" s="211"/>
      <c r="AF1015" s="211"/>
      <c r="AG1015" s="211"/>
      <c r="AI1015" s="211"/>
      <c r="AJ1015" s="211"/>
      <c r="AL1015" s="211"/>
      <c r="AM1015" s="211"/>
    </row>
    <row r="1016" spans="1:39" s="267" customFormat="1" x14ac:dyDescent="0.2">
      <c r="A1016" s="258"/>
      <c r="B1016" s="320"/>
      <c r="C1016" s="309"/>
      <c r="D1016" s="309"/>
      <c r="E1016" s="309"/>
      <c r="F1016" s="309"/>
      <c r="G1016" s="309"/>
      <c r="H1016" s="309"/>
      <c r="I1016" s="309"/>
      <c r="J1016" s="309"/>
      <c r="K1016" s="309"/>
      <c r="L1016" s="309"/>
      <c r="M1016" s="309"/>
      <c r="N1016" s="309"/>
      <c r="O1016" s="309"/>
      <c r="P1016" s="309"/>
      <c r="Q1016" s="410"/>
      <c r="R1016" s="435"/>
      <c r="S1016" s="264"/>
      <c r="T1016" s="211"/>
      <c r="U1016" s="211"/>
      <c r="W1016" s="211"/>
      <c r="X1016" s="211"/>
      <c r="Z1016" s="211"/>
      <c r="AA1016" s="211"/>
      <c r="AC1016" s="211"/>
      <c r="AD1016" s="211"/>
      <c r="AF1016" s="211"/>
      <c r="AG1016" s="211"/>
      <c r="AI1016" s="211"/>
      <c r="AJ1016" s="211"/>
      <c r="AL1016" s="211"/>
      <c r="AM1016" s="211"/>
    </row>
    <row r="1017" spans="1:39" s="267" customFormat="1" x14ac:dyDescent="0.2">
      <c r="A1017" s="258"/>
      <c r="B1017" s="320"/>
      <c r="C1017" s="309"/>
      <c r="D1017" s="309"/>
      <c r="E1017" s="309"/>
      <c r="F1017" s="309"/>
      <c r="G1017" s="309"/>
      <c r="H1017" s="309"/>
      <c r="I1017" s="309"/>
      <c r="J1017" s="309"/>
      <c r="K1017" s="309"/>
      <c r="L1017" s="309"/>
      <c r="M1017" s="309"/>
      <c r="N1017" s="309"/>
      <c r="O1017" s="309" t="s">
        <v>813</v>
      </c>
      <c r="P1017" s="309" t="s">
        <v>632</v>
      </c>
      <c r="Q1017" s="410"/>
      <c r="R1017" s="435"/>
      <c r="S1017" s="264"/>
      <c r="T1017" s="211"/>
      <c r="U1017" s="211"/>
      <c r="W1017" s="211"/>
      <c r="X1017" s="211"/>
      <c r="Z1017" s="211"/>
      <c r="AA1017" s="211"/>
      <c r="AC1017" s="211"/>
      <c r="AD1017" s="211"/>
      <c r="AF1017" s="211"/>
      <c r="AG1017" s="211"/>
      <c r="AI1017" s="211"/>
      <c r="AJ1017" s="211"/>
      <c r="AL1017" s="211"/>
      <c r="AM1017" s="211"/>
    </row>
    <row r="1018" spans="1:39" s="267" customFormat="1" x14ac:dyDescent="0.2">
      <c r="A1018" s="258"/>
      <c r="B1018" s="320"/>
      <c r="C1018" s="309"/>
      <c r="D1018" s="309"/>
      <c r="E1018" s="309"/>
      <c r="F1018" s="309"/>
      <c r="G1018" s="309"/>
      <c r="H1018" s="309"/>
      <c r="I1018" s="309"/>
      <c r="J1018" s="309"/>
      <c r="K1018" s="309"/>
      <c r="L1018" s="309"/>
      <c r="M1018" s="309"/>
      <c r="N1018" s="309"/>
      <c r="O1018" s="309"/>
      <c r="P1018" s="309"/>
      <c r="Q1018" s="410"/>
      <c r="R1018" s="435"/>
      <c r="S1018" s="264"/>
      <c r="T1018" s="211"/>
      <c r="U1018" s="211"/>
      <c r="W1018" s="211"/>
      <c r="X1018" s="211"/>
      <c r="Z1018" s="211"/>
      <c r="AA1018" s="211"/>
      <c r="AC1018" s="211"/>
      <c r="AD1018" s="211"/>
      <c r="AF1018" s="211"/>
      <c r="AG1018" s="211"/>
      <c r="AI1018" s="211"/>
      <c r="AJ1018" s="211"/>
      <c r="AL1018" s="211"/>
      <c r="AM1018" s="211"/>
    </row>
    <row r="1019" spans="1:39" s="267" customFormat="1" x14ac:dyDescent="0.2">
      <c r="A1019" s="258"/>
      <c r="B1019" s="320"/>
      <c r="C1019" s="309"/>
      <c r="D1019" s="309"/>
      <c r="E1019" s="309"/>
      <c r="F1019" s="309"/>
      <c r="G1019" s="309"/>
      <c r="H1019" s="309"/>
      <c r="I1019" s="309"/>
      <c r="J1019" s="309"/>
      <c r="K1019" s="309"/>
      <c r="L1019" s="309"/>
      <c r="M1019" s="309"/>
      <c r="N1019" s="309"/>
      <c r="O1019" s="309"/>
      <c r="P1019" s="309"/>
      <c r="Q1019" s="410"/>
      <c r="R1019" s="435"/>
      <c r="S1019" s="264"/>
      <c r="T1019" s="211"/>
      <c r="U1019" s="211"/>
      <c r="W1019" s="211"/>
      <c r="X1019" s="211"/>
      <c r="Z1019" s="211"/>
      <c r="AA1019" s="211"/>
      <c r="AC1019" s="211"/>
      <c r="AD1019" s="211"/>
      <c r="AF1019" s="211"/>
      <c r="AG1019" s="211"/>
      <c r="AI1019" s="211"/>
      <c r="AJ1019" s="211"/>
      <c r="AL1019" s="211"/>
      <c r="AM1019" s="211"/>
    </row>
    <row r="1020" spans="1:39" s="267" customFormat="1" x14ac:dyDescent="0.2">
      <c r="A1020" s="258"/>
      <c r="B1020" s="320"/>
      <c r="C1020" s="309"/>
      <c r="D1020" s="309"/>
      <c r="E1020" s="309"/>
      <c r="F1020" s="309"/>
      <c r="G1020" s="309"/>
      <c r="H1020" s="309"/>
      <c r="I1020" s="309"/>
      <c r="J1020" s="309"/>
      <c r="K1020" s="309"/>
      <c r="L1020" s="309"/>
      <c r="M1020" s="309"/>
      <c r="N1020" s="309"/>
      <c r="O1020" s="309"/>
      <c r="P1020" s="309"/>
      <c r="Q1020" s="410"/>
      <c r="R1020" s="435"/>
      <c r="S1020" s="264"/>
      <c r="T1020" s="211"/>
      <c r="U1020" s="211"/>
      <c r="W1020" s="211"/>
      <c r="X1020" s="211"/>
      <c r="Z1020" s="211"/>
      <c r="AA1020" s="211"/>
      <c r="AC1020" s="211"/>
      <c r="AD1020" s="211"/>
      <c r="AF1020" s="211"/>
      <c r="AG1020" s="211"/>
      <c r="AI1020" s="211"/>
      <c r="AJ1020" s="211"/>
      <c r="AL1020" s="211"/>
      <c r="AM1020" s="211"/>
    </row>
    <row r="1021" spans="1:39" s="267" customFormat="1" x14ac:dyDescent="0.2">
      <c r="A1021" s="258"/>
      <c r="B1021" s="320"/>
      <c r="C1021" s="309"/>
      <c r="D1021" s="309"/>
      <c r="E1021" s="309"/>
      <c r="F1021" s="309"/>
      <c r="G1021" s="309"/>
      <c r="H1021" s="309"/>
      <c r="I1021" s="309"/>
      <c r="J1021" s="309"/>
      <c r="K1021" s="309"/>
      <c r="L1021" s="309"/>
      <c r="M1021" s="309"/>
      <c r="N1021" s="309"/>
      <c r="O1021" s="309"/>
      <c r="P1021" s="309"/>
      <c r="Q1021" s="410"/>
      <c r="R1021" s="435"/>
      <c r="S1021" s="264"/>
      <c r="T1021" s="211"/>
      <c r="U1021" s="211"/>
      <c r="W1021" s="211"/>
      <c r="X1021" s="211"/>
      <c r="Z1021" s="211"/>
      <c r="AA1021" s="211"/>
      <c r="AC1021" s="211"/>
      <c r="AD1021" s="211"/>
      <c r="AF1021" s="211"/>
      <c r="AG1021" s="211"/>
      <c r="AI1021" s="211"/>
      <c r="AJ1021" s="211"/>
      <c r="AL1021" s="211"/>
      <c r="AM1021" s="211"/>
    </row>
    <row r="1022" spans="1:39" s="267" customFormat="1" x14ac:dyDescent="0.2">
      <c r="A1022" s="363"/>
      <c r="B1022" s="364"/>
      <c r="C1022" s="429"/>
      <c r="D1022" s="429"/>
      <c r="E1022" s="429"/>
      <c r="F1022" s="429"/>
      <c r="G1022" s="429"/>
      <c r="H1022" s="429"/>
      <c r="I1022" s="429"/>
      <c r="J1022" s="429"/>
      <c r="K1022" s="429"/>
      <c r="L1022" s="429"/>
      <c r="M1022" s="429"/>
      <c r="N1022" s="429"/>
      <c r="O1022" s="429"/>
      <c r="P1022" s="429"/>
      <c r="Q1022" s="365"/>
      <c r="R1022" s="438"/>
      <c r="S1022" s="264"/>
      <c r="T1022" s="211"/>
      <c r="U1022" s="211"/>
      <c r="W1022" s="211"/>
      <c r="X1022" s="211"/>
      <c r="Z1022" s="211"/>
      <c r="AA1022" s="211"/>
      <c r="AC1022" s="211"/>
      <c r="AD1022" s="211"/>
      <c r="AF1022" s="211"/>
      <c r="AG1022" s="211"/>
      <c r="AI1022" s="211"/>
      <c r="AJ1022" s="211"/>
      <c r="AL1022" s="211"/>
      <c r="AM1022" s="211"/>
    </row>
    <row r="1023" spans="1:39" s="267" customFormat="1" x14ac:dyDescent="0.2">
      <c r="A1023" s="366"/>
      <c r="B1023" s="367"/>
      <c r="C1023" s="368"/>
      <c r="D1023" s="368"/>
      <c r="E1023" s="368"/>
      <c r="F1023" s="368"/>
      <c r="G1023" s="368"/>
      <c r="H1023" s="368"/>
      <c r="I1023" s="368"/>
      <c r="J1023" s="368"/>
      <c r="K1023" s="368"/>
      <c r="L1023" s="368"/>
      <c r="M1023" s="368"/>
      <c r="N1023" s="368"/>
      <c r="O1023" s="368"/>
      <c r="P1023" s="368"/>
      <c r="Q1023" s="369"/>
      <c r="R1023" s="439"/>
      <c r="S1023" s="264"/>
      <c r="T1023" s="211"/>
      <c r="U1023" s="211"/>
      <c r="W1023" s="211"/>
      <c r="X1023" s="211"/>
      <c r="Z1023" s="211"/>
      <c r="AA1023" s="211"/>
      <c r="AC1023" s="211"/>
      <c r="AD1023" s="211"/>
      <c r="AF1023" s="211"/>
      <c r="AG1023" s="211"/>
      <c r="AI1023" s="211"/>
      <c r="AJ1023" s="211"/>
      <c r="AL1023" s="211"/>
      <c r="AM1023" s="211"/>
    </row>
    <row r="1024" spans="1:39" s="267" customFormat="1" x14ac:dyDescent="0.2">
      <c r="A1024" s="370"/>
      <c r="B1024" s="371"/>
      <c r="C1024" s="371"/>
      <c r="D1024" s="371"/>
      <c r="E1024" s="371"/>
      <c r="F1024" s="371"/>
      <c r="G1024" s="371"/>
      <c r="H1024" s="371"/>
      <c r="I1024" s="371"/>
      <c r="J1024" s="371"/>
      <c r="K1024" s="371"/>
      <c r="L1024" s="371"/>
      <c r="M1024" s="371"/>
      <c r="N1024" s="371"/>
      <c r="O1024" s="371"/>
      <c r="P1024" s="372" t="s">
        <v>1</v>
      </c>
      <c r="Q1024" s="373" t="s">
        <v>0</v>
      </c>
      <c r="R1024" s="440">
        <f>SUM(R979:R1023)</f>
        <v>0</v>
      </c>
      <c r="S1024" s="264"/>
      <c r="T1024" s="211"/>
      <c r="U1024" s="211"/>
      <c r="W1024" s="211"/>
      <c r="X1024" s="211"/>
      <c r="Z1024" s="211"/>
      <c r="AA1024" s="211"/>
      <c r="AC1024" s="211"/>
      <c r="AD1024" s="211"/>
      <c r="AF1024" s="211"/>
      <c r="AG1024" s="211"/>
      <c r="AI1024" s="211"/>
      <c r="AJ1024" s="211"/>
      <c r="AL1024" s="211"/>
      <c r="AM1024" s="211"/>
    </row>
    <row r="1025" spans="1:39" s="267" customFormat="1" x14ac:dyDescent="0.2">
      <c r="A1025" s="374"/>
      <c r="B1025" s="364"/>
      <c r="C1025" s="429"/>
      <c r="D1025" s="429"/>
      <c r="E1025" s="429"/>
      <c r="F1025" s="429"/>
      <c r="G1025" s="429"/>
      <c r="H1025" s="429"/>
      <c r="I1025" s="429"/>
      <c r="J1025" s="429"/>
      <c r="K1025" s="429"/>
      <c r="L1025" s="429"/>
      <c r="M1025" s="429"/>
      <c r="N1025" s="429"/>
      <c r="O1025" s="429"/>
      <c r="P1025" s="429"/>
      <c r="Q1025" s="365"/>
      <c r="R1025" s="438"/>
      <c r="S1025" s="264"/>
      <c r="T1025" s="211"/>
      <c r="U1025" s="211"/>
      <c r="W1025" s="211"/>
      <c r="X1025" s="211"/>
      <c r="Z1025" s="211"/>
      <c r="AA1025" s="211"/>
      <c r="AC1025" s="211"/>
      <c r="AD1025" s="211"/>
      <c r="AF1025" s="211"/>
      <c r="AG1025" s="211"/>
      <c r="AI1025" s="211"/>
      <c r="AJ1025" s="211"/>
      <c r="AL1025" s="211"/>
      <c r="AM1025" s="211"/>
    </row>
    <row r="1026" spans="1:39" s="267" customFormat="1" x14ac:dyDescent="0.2">
      <c r="A1026" s="150"/>
      <c r="B1026" s="364"/>
      <c r="C1026" s="429"/>
      <c r="D1026" s="429"/>
      <c r="E1026" s="429"/>
      <c r="F1026" s="429"/>
      <c r="G1026" s="429"/>
      <c r="H1026" s="429"/>
      <c r="I1026" s="429"/>
      <c r="J1026" s="429"/>
      <c r="K1026" s="429"/>
      <c r="L1026" s="429"/>
      <c r="M1026" s="429"/>
      <c r="N1026" s="429"/>
      <c r="O1026" s="429"/>
      <c r="P1026" s="429"/>
      <c r="Q1026" s="365"/>
      <c r="R1026" s="439"/>
      <c r="S1026" s="264"/>
      <c r="T1026" s="211"/>
      <c r="U1026" s="211"/>
      <c r="W1026" s="211"/>
      <c r="X1026" s="211"/>
      <c r="Z1026" s="211"/>
      <c r="AA1026" s="211"/>
      <c r="AC1026" s="211"/>
      <c r="AD1026" s="211"/>
      <c r="AF1026" s="211"/>
      <c r="AG1026" s="211"/>
      <c r="AI1026" s="211"/>
      <c r="AJ1026" s="211"/>
      <c r="AL1026" s="211"/>
      <c r="AM1026" s="211"/>
    </row>
    <row r="1027" spans="1:39" s="267" customFormat="1" x14ac:dyDescent="0.2">
      <c r="A1027" s="150"/>
      <c r="B1027" s="364"/>
      <c r="C1027" s="429"/>
      <c r="D1027" s="429"/>
      <c r="E1027" s="429"/>
      <c r="F1027" s="429"/>
      <c r="G1027" s="429"/>
      <c r="H1027" s="429"/>
      <c r="I1027" s="429"/>
      <c r="J1027" s="429"/>
      <c r="K1027" s="429"/>
      <c r="L1027" s="429"/>
      <c r="M1027" s="429"/>
      <c r="N1027" s="429"/>
      <c r="O1027" s="429"/>
      <c r="P1027" s="429"/>
      <c r="Q1027" s="365"/>
      <c r="R1027" s="440"/>
      <c r="S1027" s="264"/>
      <c r="T1027" s="211"/>
      <c r="U1027" s="211"/>
      <c r="W1027" s="211"/>
      <c r="X1027" s="211"/>
      <c r="Z1027" s="211"/>
      <c r="AA1027" s="211"/>
      <c r="AC1027" s="211"/>
      <c r="AD1027" s="211"/>
      <c r="AF1027" s="211"/>
      <c r="AG1027" s="211"/>
      <c r="AI1027" s="211"/>
      <c r="AJ1027" s="211"/>
      <c r="AL1027" s="211"/>
      <c r="AM1027" s="211"/>
    </row>
    <row r="1028" spans="1:39" s="267" customFormat="1" x14ac:dyDescent="0.2">
      <c r="A1028" s="150"/>
      <c r="B1028" s="364"/>
      <c r="C1028" s="429"/>
      <c r="D1028" s="429"/>
      <c r="E1028" s="429"/>
      <c r="F1028" s="429"/>
      <c r="G1028" s="429"/>
      <c r="H1028" s="429"/>
      <c r="I1028" s="429"/>
      <c r="J1028" s="429"/>
      <c r="K1028" s="429"/>
      <c r="L1028" s="429"/>
      <c r="M1028" s="429"/>
      <c r="N1028" s="429"/>
      <c r="O1028" s="555" t="s">
        <v>17</v>
      </c>
      <c r="P1028" s="555"/>
      <c r="Q1028" s="90"/>
      <c r="R1028" s="440"/>
      <c r="S1028" s="264"/>
      <c r="T1028" s="211"/>
      <c r="U1028" s="211"/>
      <c r="W1028" s="211"/>
      <c r="X1028" s="211"/>
      <c r="Z1028" s="211"/>
      <c r="AA1028" s="211"/>
      <c r="AC1028" s="211"/>
      <c r="AD1028" s="211"/>
      <c r="AF1028" s="211"/>
      <c r="AG1028" s="211"/>
      <c r="AI1028" s="211"/>
      <c r="AJ1028" s="211"/>
      <c r="AL1028" s="211"/>
      <c r="AM1028" s="211"/>
    </row>
    <row r="1029" spans="1:39" s="267" customFormat="1" x14ac:dyDescent="0.2">
      <c r="A1029" s="150"/>
      <c r="B1029" s="364"/>
      <c r="C1029" s="429"/>
      <c r="D1029" s="429"/>
      <c r="E1029" s="429"/>
      <c r="F1029" s="429"/>
      <c r="G1029" s="429"/>
      <c r="H1029" s="429"/>
      <c r="I1029" s="429"/>
      <c r="J1029" s="429"/>
      <c r="K1029" s="429"/>
      <c r="L1029" s="429"/>
      <c r="M1029" s="429"/>
      <c r="N1029" s="429"/>
      <c r="O1029" s="429"/>
      <c r="P1029" s="429"/>
      <c r="Q1029" s="90"/>
      <c r="R1029" s="440"/>
      <c r="S1029" s="264"/>
      <c r="T1029" s="211"/>
      <c r="U1029" s="211"/>
      <c r="W1029" s="211"/>
      <c r="X1029" s="211"/>
      <c r="Z1029" s="211"/>
      <c r="AA1029" s="211"/>
      <c r="AC1029" s="211"/>
      <c r="AD1029" s="211"/>
      <c r="AF1029" s="211"/>
      <c r="AG1029" s="211"/>
      <c r="AI1029" s="211"/>
      <c r="AJ1029" s="211"/>
      <c r="AL1029" s="211"/>
      <c r="AM1029" s="211"/>
    </row>
    <row r="1030" spans="1:39" s="267" customFormat="1" x14ac:dyDescent="0.2">
      <c r="A1030" s="150"/>
      <c r="B1030" s="364"/>
      <c r="C1030" s="429"/>
      <c r="D1030" s="429"/>
      <c r="E1030" s="429"/>
      <c r="F1030" s="429"/>
      <c r="G1030" s="429"/>
      <c r="H1030" s="429"/>
      <c r="I1030" s="429"/>
      <c r="J1030" s="429"/>
      <c r="K1030" s="429"/>
      <c r="L1030" s="429"/>
      <c r="M1030" s="429"/>
      <c r="N1030" s="429"/>
      <c r="O1030" s="553" t="s">
        <v>886</v>
      </c>
      <c r="P1030" s="553"/>
      <c r="Q1030" s="429"/>
      <c r="R1030" s="440">
        <f>R1024</f>
        <v>0</v>
      </c>
      <c r="S1030" s="264"/>
      <c r="T1030" s="211"/>
      <c r="U1030" s="211"/>
      <c r="W1030" s="211"/>
      <c r="X1030" s="211"/>
      <c r="Z1030" s="211"/>
      <c r="AA1030" s="211"/>
      <c r="AC1030" s="211"/>
      <c r="AD1030" s="211"/>
      <c r="AF1030" s="211"/>
      <c r="AG1030" s="211"/>
      <c r="AI1030" s="211"/>
      <c r="AJ1030" s="211"/>
      <c r="AL1030" s="211"/>
      <c r="AM1030" s="211"/>
    </row>
    <row r="1031" spans="1:39" s="267" customFormat="1" x14ac:dyDescent="0.2">
      <c r="A1031" s="258"/>
      <c r="B1031" s="320"/>
      <c r="C1031" s="309"/>
      <c r="D1031" s="309"/>
      <c r="E1031" s="309"/>
      <c r="F1031" s="309"/>
      <c r="G1031" s="309"/>
      <c r="H1031" s="309"/>
      <c r="I1031" s="309"/>
      <c r="J1031" s="309"/>
      <c r="K1031" s="309"/>
      <c r="L1031" s="309"/>
      <c r="M1031" s="309"/>
      <c r="N1031" s="309"/>
      <c r="O1031" s="309"/>
      <c r="P1031" s="309"/>
      <c r="Q1031" s="410"/>
      <c r="R1031" s="435"/>
      <c r="S1031" s="264"/>
      <c r="T1031" s="211"/>
      <c r="U1031" s="211"/>
      <c r="W1031" s="211"/>
      <c r="X1031" s="211"/>
      <c r="Z1031" s="211"/>
      <c r="AA1031" s="211"/>
      <c r="AC1031" s="211"/>
      <c r="AD1031" s="211"/>
      <c r="AF1031" s="211"/>
      <c r="AG1031" s="211"/>
      <c r="AI1031" s="211"/>
      <c r="AJ1031" s="211"/>
      <c r="AL1031" s="211"/>
      <c r="AM1031" s="211"/>
    </row>
    <row r="1032" spans="1:39" s="267" customFormat="1" x14ac:dyDescent="0.2">
      <c r="A1032" s="258"/>
      <c r="B1032" s="320"/>
      <c r="C1032" s="309"/>
      <c r="D1032" s="309"/>
      <c r="E1032" s="309"/>
      <c r="F1032" s="309"/>
      <c r="G1032" s="309"/>
      <c r="H1032" s="309"/>
      <c r="I1032" s="309"/>
      <c r="J1032" s="309"/>
      <c r="K1032" s="309"/>
      <c r="L1032" s="309"/>
      <c r="M1032" s="309"/>
      <c r="N1032" s="309"/>
      <c r="O1032" s="309" t="s">
        <v>813</v>
      </c>
      <c r="P1032" s="309" t="s">
        <v>633</v>
      </c>
      <c r="Q1032" s="410"/>
      <c r="R1032" s="435"/>
      <c r="S1032" s="264"/>
      <c r="T1032" s="211"/>
      <c r="U1032" s="211"/>
      <c r="W1032" s="211"/>
      <c r="X1032" s="211"/>
      <c r="Z1032" s="211"/>
      <c r="AA1032" s="211"/>
      <c r="AC1032" s="211"/>
      <c r="AD1032" s="211"/>
      <c r="AF1032" s="211"/>
      <c r="AG1032" s="211"/>
      <c r="AI1032" s="211"/>
      <c r="AJ1032" s="211"/>
      <c r="AL1032" s="211"/>
      <c r="AM1032" s="211"/>
    </row>
    <row r="1033" spans="1:39" s="267" customFormat="1" x14ac:dyDescent="0.2">
      <c r="A1033" s="258"/>
      <c r="B1033" s="320"/>
      <c r="C1033" s="309"/>
      <c r="D1033" s="309"/>
      <c r="E1033" s="309"/>
      <c r="F1033" s="309"/>
      <c r="G1033" s="309"/>
      <c r="H1033" s="309"/>
      <c r="I1033" s="309"/>
      <c r="J1033" s="309"/>
      <c r="K1033" s="309"/>
      <c r="L1033" s="309"/>
      <c r="M1033" s="309"/>
      <c r="N1033" s="309"/>
      <c r="O1033" s="309"/>
      <c r="P1033" s="309"/>
      <c r="Q1033" s="410"/>
      <c r="R1033" s="435"/>
      <c r="S1033" s="264"/>
      <c r="T1033" s="211"/>
      <c r="U1033" s="211"/>
      <c r="W1033" s="211"/>
      <c r="X1033" s="211"/>
      <c r="Z1033" s="211"/>
      <c r="AA1033" s="211"/>
      <c r="AC1033" s="211"/>
      <c r="AD1033" s="211"/>
      <c r="AF1033" s="211"/>
      <c r="AG1033" s="211"/>
      <c r="AI1033" s="211"/>
      <c r="AJ1033" s="211"/>
      <c r="AL1033" s="211"/>
      <c r="AM1033" s="211"/>
    </row>
    <row r="1034" spans="1:39" s="267" customFormat="1" x14ac:dyDescent="0.2">
      <c r="A1034" s="258"/>
      <c r="B1034" s="320"/>
      <c r="C1034" s="309"/>
      <c r="D1034" s="309"/>
      <c r="E1034" s="309"/>
      <c r="F1034" s="309"/>
      <c r="G1034" s="309"/>
      <c r="H1034" s="309"/>
      <c r="I1034" s="309"/>
      <c r="J1034" s="309"/>
      <c r="K1034" s="309"/>
      <c r="L1034" s="309"/>
      <c r="M1034" s="309"/>
      <c r="N1034" s="309"/>
      <c r="O1034" s="309" t="s">
        <v>813</v>
      </c>
      <c r="P1034" s="309" t="s">
        <v>634</v>
      </c>
      <c r="Q1034" s="410"/>
      <c r="R1034" s="435"/>
      <c r="S1034" s="264"/>
      <c r="T1034" s="211"/>
      <c r="U1034" s="211"/>
      <c r="W1034" s="211"/>
      <c r="X1034" s="211"/>
      <c r="Z1034" s="211"/>
      <c r="AA1034" s="211"/>
      <c r="AC1034" s="211"/>
      <c r="AD1034" s="211"/>
      <c r="AF1034" s="211"/>
      <c r="AG1034" s="211"/>
      <c r="AI1034" s="211"/>
      <c r="AJ1034" s="211"/>
      <c r="AL1034" s="211"/>
      <c r="AM1034" s="211"/>
    </row>
    <row r="1035" spans="1:39" s="267" customFormat="1" x14ac:dyDescent="0.2">
      <c r="A1035" s="258"/>
      <c r="B1035" s="320"/>
      <c r="C1035" s="309"/>
      <c r="D1035" s="309"/>
      <c r="E1035" s="309"/>
      <c r="F1035" s="309"/>
      <c r="G1035" s="309"/>
      <c r="H1035" s="309"/>
      <c r="I1035" s="309"/>
      <c r="J1035" s="309"/>
      <c r="K1035" s="309"/>
      <c r="L1035" s="309"/>
      <c r="M1035" s="309"/>
      <c r="N1035" s="309"/>
      <c r="O1035" s="309"/>
      <c r="P1035" s="309"/>
      <c r="Q1035" s="410"/>
      <c r="R1035" s="435"/>
      <c r="S1035" s="264"/>
      <c r="T1035" s="211"/>
      <c r="U1035" s="211"/>
      <c r="W1035" s="211"/>
      <c r="X1035" s="211"/>
      <c r="Z1035" s="211"/>
      <c r="AA1035" s="211"/>
      <c r="AC1035" s="211"/>
      <c r="AD1035" s="211"/>
      <c r="AF1035" s="211"/>
      <c r="AG1035" s="211"/>
      <c r="AI1035" s="211"/>
      <c r="AJ1035" s="211"/>
      <c r="AL1035" s="211"/>
      <c r="AM1035" s="211"/>
    </row>
    <row r="1036" spans="1:39" s="267" customFormat="1" x14ac:dyDescent="0.2">
      <c r="A1036" s="258"/>
      <c r="B1036" s="320"/>
      <c r="C1036" s="309"/>
      <c r="D1036" s="309"/>
      <c r="E1036" s="309"/>
      <c r="F1036" s="309"/>
      <c r="G1036" s="309"/>
      <c r="H1036" s="309"/>
      <c r="I1036" s="309"/>
      <c r="J1036" s="309"/>
      <c r="K1036" s="309"/>
      <c r="L1036" s="309"/>
      <c r="M1036" s="309"/>
      <c r="N1036" s="309"/>
      <c r="O1036" s="309" t="s">
        <v>813</v>
      </c>
      <c r="P1036" s="309" t="s">
        <v>887</v>
      </c>
      <c r="Q1036" s="410"/>
      <c r="R1036" s="435"/>
      <c r="S1036" s="264"/>
      <c r="T1036" s="211"/>
      <c r="U1036" s="211"/>
      <c r="W1036" s="211"/>
      <c r="X1036" s="211"/>
      <c r="Z1036" s="211"/>
      <c r="AA1036" s="211"/>
      <c r="AC1036" s="211"/>
      <c r="AD1036" s="211"/>
      <c r="AF1036" s="211"/>
      <c r="AG1036" s="211"/>
      <c r="AI1036" s="211"/>
      <c r="AJ1036" s="211"/>
      <c r="AL1036" s="211"/>
      <c r="AM1036" s="211"/>
    </row>
    <row r="1037" spans="1:39" s="267" customFormat="1" x14ac:dyDescent="0.2">
      <c r="A1037" s="258"/>
      <c r="B1037" s="320"/>
      <c r="C1037" s="309"/>
      <c r="D1037" s="309"/>
      <c r="E1037" s="309"/>
      <c r="F1037" s="309"/>
      <c r="G1037" s="309"/>
      <c r="H1037" s="309"/>
      <c r="I1037" s="309"/>
      <c r="J1037" s="309"/>
      <c r="K1037" s="309"/>
      <c r="L1037" s="309"/>
      <c r="M1037" s="309"/>
      <c r="N1037" s="309"/>
      <c r="O1037" s="309"/>
      <c r="P1037" s="309"/>
      <c r="Q1037" s="410"/>
      <c r="R1037" s="435"/>
      <c r="S1037" s="264"/>
      <c r="T1037" s="211"/>
      <c r="U1037" s="211"/>
      <c r="W1037" s="211"/>
      <c r="X1037" s="211"/>
      <c r="Z1037" s="211"/>
      <c r="AA1037" s="211"/>
      <c r="AC1037" s="211"/>
      <c r="AD1037" s="211"/>
      <c r="AF1037" s="211"/>
      <c r="AG1037" s="211"/>
      <c r="AI1037" s="211"/>
      <c r="AJ1037" s="211"/>
      <c r="AL1037" s="211"/>
      <c r="AM1037" s="211"/>
    </row>
    <row r="1038" spans="1:39" s="267" customFormat="1" x14ac:dyDescent="0.2">
      <c r="A1038" s="258"/>
      <c r="B1038" s="320"/>
      <c r="C1038" s="309"/>
      <c r="D1038" s="309"/>
      <c r="E1038" s="309"/>
      <c r="F1038" s="309"/>
      <c r="G1038" s="309"/>
      <c r="H1038" s="309"/>
      <c r="I1038" s="309"/>
      <c r="J1038" s="309"/>
      <c r="K1038" s="309"/>
      <c r="L1038" s="309"/>
      <c r="M1038" s="309"/>
      <c r="N1038" s="309"/>
      <c r="O1038" s="309"/>
      <c r="P1038" s="309"/>
      <c r="Q1038" s="410"/>
      <c r="R1038" s="435"/>
      <c r="S1038" s="264"/>
      <c r="T1038" s="211"/>
      <c r="U1038" s="211"/>
      <c r="W1038" s="211"/>
      <c r="X1038" s="211"/>
      <c r="Z1038" s="211"/>
      <c r="AA1038" s="211"/>
      <c r="AC1038" s="211"/>
      <c r="AD1038" s="211"/>
      <c r="AF1038" s="211"/>
      <c r="AG1038" s="211"/>
      <c r="AI1038" s="211"/>
      <c r="AJ1038" s="211"/>
      <c r="AL1038" s="211"/>
      <c r="AM1038" s="211"/>
    </row>
    <row r="1039" spans="1:39" s="267" customFormat="1" x14ac:dyDescent="0.2">
      <c r="A1039" s="258"/>
      <c r="B1039" s="320"/>
      <c r="C1039" s="309"/>
      <c r="D1039" s="309"/>
      <c r="E1039" s="309"/>
      <c r="F1039" s="309"/>
      <c r="G1039" s="309"/>
      <c r="H1039" s="309"/>
      <c r="I1039" s="309"/>
      <c r="J1039" s="309"/>
      <c r="K1039" s="309"/>
      <c r="L1039" s="309"/>
      <c r="M1039" s="309"/>
      <c r="N1039" s="309"/>
      <c r="O1039" s="309"/>
      <c r="P1039" s="309"/>
      <c r="Q1039" s="410"/>
      <c r="R1039" s="435"/>
      <c r="S1039" s="264"/>
      <c r="T1039" s="211"/>
      <c r="U1039" s="211"/>
      <c r="W1039" s="211"/>
      <c r="X1039" s="211"/>
      <c r="Z1039" s="211"/>
      <c r="AA1039" s="211"/>
      <c r="AC1039" s="211"/>
      <c r="AD1039" s="211"/>
      <c r="AF1039" s="211"/>
      <c r="AG1039" s="211"/>
      <c r="AI1039" s="211"/>
      <c r="AJ1039" s="211"/>
      <c r="AL1039" s="211"/>
      <c r="AM1039" s="211"/>
    </row>
    <row r="1040" spans="1:39" s="267" customFormat="1" x14ac:dyDescent="0.2">
      <c r="A1040" s="258"/>
      <c r="B1040" s="320"/>
      <c r="C1040" s="309"/>
      <c r="D1040" s="309"/>
      <c r="E1040" s="309"/>
      <c r="F1040" s="309"/>
      <c r="G1040" s="309"/>
      <c r="H1040" s="309"/>
      <c r="I1040" s="309"/>
      <c r="J1040" s="309"/>
      <c r="K1040" s="309"/>
      <c r="L1040" s="309"/>
      <c r="M1040" s="309"/>
      <c r="N1040" s="309"/>
      <c r="O1040" s="309"/>
      <c r="P1040" s="309"/>
      <c r="Q1040" s="410"/>
      <c r="R1040" s="435"/>
      <c r="S1040" s="264"/>
      <c r="T1040" s="211"/>
      <c r="U1040" s="211"/>
      <c r="W1040" s="211"/>
      <c r="X1040" s="211"/>
      <c r="Z1040" s="211"/>
      <c r="AA1040" s="211"/>
      <c r="AC1040" s="211"/>
      <c r="AD1040" s="211"/>
      <c r="AF1040" s="211"/>
      <c r="AG1040" s="211"/>
      <c r="AI1040" s="211"/>
      <c r="AJ1040" s="211"/>
      <c r="AL1040" s="211"/>
      <c r="AM1040" s="211"/>
    </row>
    <row r="1041" spans="1:39" s="267" customFormat="1" x14ac:dyDescent="0.2">
      <c r="A1041" s="258"/>
      <c r="B1041" s="320"/>
      <c r="C1041" s="309"/>
      <c r="D1041" s="309"/>
      <c r="E1041" s="309"/>
      <c r="F1041" s="309"/>
      <c r="G1041" s="309"/>
      <c r="H1041" s="309"/>
      <c r="I1041" s="309"/>
      <c r="J1041" s="309"/>
      <c r="K1041" s="309"/>
      <c r="L1041" s="309"/>
      <c r="M1041" s="309"/>
      <c r="N1041" s="309"/>
      <c r="O1041" s="309"/>
      <c r="P1041" s="309"/>
      <c r="Q1041" s="410"/>
      <c r="R1041" s="435"/>
      <c r="S1041" s="264"/>
      <c r="T1041" s="211"/>
      <c r="U1041" s="211"/>
      <c r="W1041" s="211"/>
      <c r="X1041" s="211"/>
      <c r="Z1041" s="211"/>
      <c r="AA1041" s="211"/>
      <c r="AC1041" s="211"/>
      <c r="AD1041" s="211"/>
      <c r="AF1041" s="211"/>
      <c r="AG1041" s="211"/>
      <c r="AI1041" s="211"/>
      <c r="AJ1041" s="211"/>
      <c r="AL1041" s="211"/>
      <c r="AM1041" s="211"/>
    </row>
    <row r="1042" spans="1:39" s="267" customFormat="1" x14ac:dyDescent="0.2">
      <c r="A1042" s="258"/>
      <c r="B1042" s="320"/>
      <c r="C1042" s="309"/>
      <c r="D1042" s="309"/>
      <c r="E1042" s="309"/>
      <c r="F1042" s="309"/>
      <c r="G1042" s="309"/>
      <c r="H1042" s="309"/>
      <c r="I1042" s="309"/>
      <c r="J1042" s="309"/>
      <c r="K1042" s="309"/>
      <c r="L1042" s="309"/>
      <c r="M1042" s="309"/>
      <c r="N1042" s="309"/>
      <c r="O1042" s="309"/>
      <c r="P1042" s="309"/>
      <c r="Q1042" s="410"/>
      <c r="R1042" s="435"/>
      <c r="S1042" s="264"/>
      <c r="T1042" s="211"/>
      <c r="U1042" s="211"/>
      <c r="W1042" s="211"/>
      <c r="X1042" s="211"/>
      <c r="Z1042" s="211"/>
      <c r="AA1042" s="211"/>
      <c r="AC1042" s="211"/>
      <c r="AD1042" s="211"/>
      <c r="AF1042" s="211"/>
      <c r="AG1042" s="211"/>
      <c r="AI1042" s="211"/>
      <c r="AJ1042" s="211"/>
      <c r="AL1042" s="211"/>
      <c r="AM1042" s="211"/>
    </row>
    <row r="1043" spans="1:39" s="267" customFormat="1" x14ac:dyDescent="0.2">
      <c r="A1043" s="258"/>
      <c r="B1043" s="320"/>
      <c r="C1043" s="309"/>
      <c r="D1043" s="309"/>
      <c r="E1043" s="309"/>
      <c r="F1043" s="309"/>
      <c r="G1043" s="309"/>
      <c r="H1043" s="309"/>
      <c r="I1043" s="309"/>
      <c r="J1043" s="309"/>
      <c r="K1043" s="309"/>
      <c r="L1043" s="309"/>
      <c r="M1043" s="309"/>
      <c r="N1043" s="309"/>
      <c r="O1043" s="309"/>
      <c r="P1043" s="309"/>
      <c r="Q1043" s="410"/>
      <c r="R1043" s="435"/>
      <c r="S1043" s="264"/>
      <c r="T1043" s="211"/>
      <c r="U1043" s="211"/>
      <c r="W1043" s="211"/>
      <c r="X1043" s="211"/>
      <c r="Z1043" s="211"/>
      <c r="AA1043" s="211"/>
      <c r="AC1043" s="211"/>
      <c r="AD1043" s="211"/>
      <c r="AF1043" s="211"/>
      <c r="AG1043" s="211"/>
      <c r="AI1043" s="211"/>
      <c r="AJ1043" s="211"/>
      <c r="AL1043" s="211"/>
      <c r="AM1043" s="211"/>
    </row>
    <row r="1044" spans="1:39" s="267" customFormat="1" x14ac:dyDescent="0.2">
      <c r="A1044" s="258"/>
      <c r="B1044" s="320"/>
      <c r="C1044" s="309"/>
      <c r="D1044" s="309"/>
      <c r="E1044" s="309"/>
      <c r="F1044" s="309"/>
      <c r="G1044" s="309"/>
      <c r="H1044" s="309"/>
      <c r="I1044" s="309"/>
      <c r="J1044" s="309"/>
      <c r="K1044" s="309"/>
      <c r="L1044" s="309"/>
      <c r="M1044" s="309"/>
      <c r="N1044" s="309"/>
      <c r="O1044" s="309"/>
      <c r="P1044" s="309"/>
      <c r="Q1044" s="410"/>
      <c r="R1044" s="435"/>
      <c r="S1044" s="264"/>
      <c r="T1044" s="211"/>
      <c r="U1044" s="211"/>
      <c r="W1044" s="211"/>
      <c r="X1044" s="211"/>
      <c r="Z1044" s="211"/>
      <c r="AA1044" s="211"/>
      <c r="AC1044" s="211"/>
      <c r="AD1044" s="211"/>
      <c r="AF1044" s="211"/>
      <c r="AG1044" s="211"/>
      <c r="AI1044" s="211"/>
      <c r="AJ1044" s="211"/>
      <c r="AL1044" s="211"/>
      <c r="AM1044" s="211"/>
    </row>
    <row r="1045" spans="1:39" s="267" customFormat="1" x14ac:dyDescent="0.2">
      <c r="A1045" s="258"/>
      <c r="B1045" s="320"/>
      <c r="C1045" s="309"/>
      <c r="D1045" s="309"/>
      <c r="E1045" s="309"/>
      <c r="F1045" s="309"/>
      <c r="G1045" s="309"/>
      <c r="H1045" s="309"/>
      <c r="I1045" s="309"/>
      <c r="J1045" s="309"/>
      <c r="K1045" s="309"/>
      <c r="L1045" s="309"/>
      <c r="M1045" s="309"/>
      <c r="N1045" s="309"/>
      <c r="O1045" s="309"/>
      <c r="P1045" s="309"/>
      <c r="Q1045" s="410"/>
      <c r="R1045" s="435"/>
      <c r="S1045" s="264"/>
      <c r="T1045" s="211"/>
      <c r="U1045" s="211"/>
      <c r="W1045" s="211"/>
      <c r="X1045" s="211"/>
      <c r="Z1045" s="211"/>
      <c r="AA1045" s="211"/>
      <c r="AC1045" s="211"/>
      <c r="AD1045" s="211"/>
      <c r="AF1045" s="211"/>
      <c r="AG1045" s="211"/>
      <c r="AI1045" s="211"/>
      <c r="AJ1045" s="211"/>
      <c r="AL1045" s="211"/>
      <c r="AM1045" s="211"/>
    </row>
    <row r="1046" spans="1:39" s="267" customFormat="1" x14ac:dyDescent="0.2">
      <c r="A1046" s="258"/>
      <c r="B1046" s="320"/>
      <c r="C1046" s="309"/>
      <c r="D1046" s="309"/>
      <c r="E1046" s="309"/>
      <c r="F1046" s="309"/>
      <c r="G1046" s="309"/>
      <c r="H1046" s="309"/>
      <c r="I1046" s="309"/>
      <c r="J1046" s="309"/>
      <c r="K1046" s="309"/>
      <c r="L1046" s="309"/>
      <c r="M1046" s="309"/>
      <c r="N1046" s="309"/>
      <c r="O1046" s="309"/>
      <c r="P1046" s="309"/>
      <c r="Q1046" s="410"/>
      <c r="R1046" s="435"/>
      <c r="S1046" s="264"/>
      <c r="T1046" s="211"/>
      <c r="U1046" s="211"/>
      <c r="W1046" s="211"/>
      <c r="X1046" s="211"/>
      <c r="Z1046" s="211"/>
      <c r="AA1046" s="211"/>
      <c r="AC1046" s="211"/>
      <c r="AD1046" s="211"/>
      <c r="AF1046" s="211"/>
      <c r="AG1046" s="211"/>
      <c r="AI1046" s="211"/>
      <c r="AJ1046" s="211"/>
      <c r="AL1046" s="211"/>
      <c r="AM1046" s="211"/>
    </row>
    <row r="1047" spans="1:39" s="267" customFormat="1" x14ac:dyDescent="0.2">
      <c r="A1047" s="258"/>
      <c r="B1047" s="320"/>
      <c r="C1047" s="309"/>
      <c r="D1047" s="309"/>
      <c r="E1047" s="309"/>
      <c r="F1047" s="309"/>
      <c r="G1047" s="309"/>
      <c r="H1047" s="309"/>
      <c r="I1047" s="309"/>
      <c r="J1047" s="309"/>
      <c r="K1047" s="309"/>
      <c r="L1047" s="309"/>
      <c r="M1047" s="309"/>
      <c r="N1047" s="309"/>
      <c r="O1047" s="309"/>
      <c r="P1047" s="309"/>
      <c r="Q1047" s="410"/>
      <c r="R1047" s="435"/>
      <c r="S1047" s="264"/>
      <c r="T1047" s="211"/>
      <c r="U1047" s="211"/>
      <c r="W1047" s="211"/>
      <c r="X1047" s="211"/>
      <c r="Z1047" s="211"/>
      <c r="AA1047" s="211"/>
      <c r="AC1047" s="211"/>
      <c r="AD1047" s="211"/>
      <c r="AF1047" s="211"/>
      <c r="AG1047" s="211"/>
      <c r="AI1047" s="211"/>
      <c r="AJ1047" s="211"/>
      <c r="AL1047" s="211"/>
      <c r="AM1047" s="211"/>
    </row>
    <row r="1048" spans="1:39" s="267" customFormat="1" x14ac:dyDescent="0.2">
      <c r="A1048" s="258"/>
      <c r="B1048" s="320"/>
      <c r="C1048" s="309"/>
      <c r="D1048" s="309"/>
      <c r="E1048" s="309"/>
      <c r="F1048" s="309"/>
      <c r="G1048" s="309"/>
      <c r="H1048" s="309"/>
      <c r="I1048" s="309"/>
      <c r="J1048" s="309"/>
      <c r="K1048" s="309"/>
      <c r="L1048" s="309"/>
      <c r="M1048" s="309"/>
      <c r="N1048" s="309"/>
      <c r="O1048" s="309"/>
      <c r="P1048" s="309"/>
      <c r="Q1048" s="410"/>
      <c r="R1048" s="435"/>
      <c r="S1048" s="264"/>
      <c r="T1048" s="211"/>
      <c r="U1048" s="211"/>
      <c r="W1048" s="211"/>
      <c r="X1048" s="211"/>
      <c r="Z1048" s="211"/>
      <c r="AA1048" s="211"/>
      <c r="AC1048" s="211"/>
      <c r="AD1048" s="211"/>
      <c r="AF1048" s="211"/>
      <c r="AG1048" s="211"/>
      <c r="AI1048" s="211"/>
      <c r="AJ1048" s="211"/>
      <c r="AL1048" s="211"/>
      <c r="AM1048" s="211"/>
    </row>
    <row r="1049" spans="1:39" s="267" customFormat="1" x14ac:dyDescent="0.2">
      <c r="A1049" s="258"/>
      <c r="B1049" s="320"/>
      <c r="C1049" s="309"/>
      <c r="D1049" s="309"/>
      <c r="E1049" s="309"/>
      <c r="F1049" s="309"/>
      <c r="G1049" s="309"/>
      <c r="H1049" s="309"/>
      <c r="I1049" s="309"/>
      <c r="J1049" s="309"/>
      <c r="K1049" s="309"/>
      <c r="L1049" s="309"/>
      <c r="M1049" s="309"/>
      <c r="N1049" s="309"/>
      <c r="O1049" s="309"/>
      <c r="P1049" s="309"/>
      <c r="Q1049" s="410"/>
      <c r="R1049" s="435"/>
      <c r="S1049" s="264"/>
      <c r="T1049" s="211"/>
      <c r="U1049" s="211"/>
      <c r="W1049" s="211"/>
      <c r="X1049" s="211"/>
      <c r="Z1049" s="211"/>
      <c r="AA1049" s="211"/>
      <c r="AC1049" s="211"/>
      <c r="AD1049" s="211"/>
      <c r="AF1049" s="211"/>
      <c r="AG1049" s="211"/>
      <c r="AI1049" s="211"/>
      <c r="AJ1049" s="211"/>
      <c r="AL1049" s="211"/>
      <c r="AM1049" s="211"/>
    </row>
    <row r="1050" spans="1:39" s="267" customFormat="1" x14ac:dyDescent="0.2">
      <c r="A1050" s="258"/>
      <c r="B1050" s="320"/>
      <c r="C1050" s="309"/>
      <c r="D1050" s="309"/>
      <c r="E1050" s="309"/>
      <c r="F1050" s="309"/>
      <c r="G1050" s="309"/>
      <c r="H1050" s="309"/>
      <c r="I1050" s="309"/>
      <c r="J1050" s="309"/>
      <c r="K1050" s="309"/>
      <c r="L1050" s="309"/>
      <c r="M1050" s="309"/>
      <c r="N1050" s="309"/>
      <c r="O1050" s="309"/>
      <c r="P1050" s="309"/>
      <c r="Q1050" s="410"/>
      <c r="R1050" s="435"/>
      <c r="S1050" s="264"/>
      <c r="T1050" s="211"/>
      <c r="U1050" s="211"/>
      <c r="W1050" s="211"/>
      <c r="X1050" s="211"/>
      <c r="Z1050" s="211"/>
      <c r="AA1050" s="211"/>
      <c r="AC1050" s="211"/>
      <c r="AD1050" s="211"/>
      <c r="AF1050" s="211"/>
      <c r="AG1050" s="211"/>
      <c r="AI1050" s="211"/>
      <c r="AJ1050" s="211"/>
      <c r="AL1050" s="211"/>
      <c r="AM1050" s="211"/>
    </row>
    <row r="1051" spans="1:39" s="267" customFormat="1" x14ac:dyDescent="0.2">
      <c r="A1051" s="258"/>
      <c r="B1051" s="320"/>
      <c r="C1051" s="309"/>
      <c r="D1051" s="309"/>
      <c r="E1051" s="309"/>
      <c r="F1051" s="309"/>
      <c r="G1051" s="309"/>
      <c r="H1051" s="309"/>
      <c r="I1051" s="309"/>
      <c r="J1051" s="309"/>
      <c r="K1051" s="309"/>
      <c r="L1051" s="309"/>
      <c r="M1051" s="309"/>
      <c r="N1051" s="309"/>
      <c r="O1051" s="309"/>
      <c r="P1051" s="309"/>
      <c r="Q1051" s="410"/>
      <c r="R1051" s="435"/>
      <c r="S1051" s="264"/>
      <c r="T1051" s="211"/>
      <c r="U1051" s="211"/>
      <c r="W1051" s="211"/>
      <c r="X1051" s="211"/>
      <c r="Z1051" s="211"/>
      <c r="AA1051" s="211"/>
      <c r="AC1051" s="211"/>
      <c r="AD1051" s="211"/>
      <c r="AF1051" s="211"/>
      <c r="AG1051" s="211"/>
      <c r="AI1051" s="211"/>
      <c r="AJ1051" s="211"/>
      <c r="AL1051" s="211"/>
      <c r="AM1051" s="211"/>
    </row>
    <row r="1052" spans="1:39" s="267" customFormat="1" x14ac:dyDescent="0.2">
      <c r="A1052" s="258"/>
      <c r="B1052" s="320"/>
      <c r="C1052" s="309"/>
      <c r="D1052" s="309"/>
      <c r="E1052" s="309"/>
      <c r="F1052" s="309"/>
      <c r="G1052" s="309"/>
      <c r="H1052" s="309"/>
      <c r="I1052" s="309"/>
      <c r="J1052" s="309"/>
      <c r="K1052" s="309"/>
      <c r="L1052" s="309"/>
      <c r="M1052" s="309"/>
      <c r="N1052" s="309"/>
      <c r="O1052" s="309"/>
      <c r="P1052" s="309"/>
      <c r="Q1052" s="410"/>
      <c r="R1052" s="435"/>
      <c r="S1052" s="264"/>
      <c r="T1052" s="211"/>
      <c r="U1052" s="211"/>
      <c r="W1052" s="211"/>
      <c r="X1052" s="211"/>
      <c r="Z1052" s="211"/>
      <c r="AA1052" s="211"/>
      <c r="AC1052" s="211"/>
      <c r="AD1052" s="211"/>
      <c r="AF1052" s="211"/>
      <c r="AG1052" s="211"/>
      <c r="AI1052" s="211"/>
      <c r="AJ1052" s="211"/>
      <c r="AL1052" s="211"/>
      <c r="AM1052" s="211"/>
    </row>
    <row r="1053" spans="1:39" s="267" customFormat="1" x14ac:dyDescent="0.2">
      <c r="A1053" s="258"/>
      <c r="B1053" s="320"/>
      <c r="C1053" s="309"/>
      <c r="D1053" s="309"/>
      <c r="E1053" s="309"/>
      <c r="F1053" s="309"/>
      <c r="G1053" s="309"/>
      <c r="H1053" s="309"/>
      <c r="I1053" s="309"/>
      <c r="J1053" s="309"/>
      <c r="K1053" s="309"/>
      <c r="L1053" s="309"/>
      <c r="M1053" s="309"/>
      <c r="N1053" s="309"/>
      <c r="O1053" s="309"/>
      <c r="P1053" s="309"/>
      <c r="Q1053" s="410"/>
      <c r="R1053" s="435"/>
      <c r="S1053" s="264"/>
      <c r="T1053" s="211"/>
      <c r="U1053" s="211"/>
      <c r="W1053" s="211"/>
      <c r="X1053" s="211"/>
      <c r="Z1053" s="211"/>
      <c r="AA1053" s="211"/>
      <c r="AC1053" s="211"/>
      <c r="AD1053" s="211"/>
      <c r="AF1053" s="211"/>
      <c r="AG1053" s="211"/>
      <c r="AI1053" s="211"/>
      <c r="AJ1053" s="211"/>
      <c r="AL1053" s="211"/>
      <c r="AM1053" s="211"/>
    </row>
    <row r="1054" spans="1:39" s="267" customFormat="1" x14ac:dyDescent="0.2">
      <c r="A1054" s="258"/>
      <c r="B1054" s="320"/>
      <c r="C1054" s="309"/>
      <c r="D1054" s="309"/>
      <c r="E1054" s="309"/>
      <c r="F1054" s="309"/>
      <c r="G1054" s="309"/>
      <c r="H1054" s="309"/>
      <c r="I1054" s="309"/>
      <c r="J1054" s="309"/>
      <c r="K1054" s="309"/>
      <c r="L1054" s="309"/>
      <c r="M1054" s="309"/>
      <c r="N1054" s="309"/>
      <c r="O1054" s="309"/>
      <c r="P1054" s="309"/>
      <c r="Q1054" s="410"/>
      <c r="R1054" s="435"/>
      <c r="S1054" s="264"/>
      <c r="T1054" s="211"/>
      <c r="U1054" s="211"/>
      <c r="W1054" s="211"/>
      <c r="X1054" s="211"/>
      <c r="Z1054" s="211"/>
      <c r="AA1054" s="211"/>
      <c r="AC1054" s="211"/>
      <c r="AD1054" s="211"/>
      <c r="AF1054" s="211"/>
      <c r="AG1054" s="211"/>
      <c r="AI1054" s="211"/>
      <c r="AJ1054" s="211"/>
      <c r="AL1054" s="211"/>
      <c r="AM1054" s="211"/>
    </row>
    <row r="1055" spans="1:39" s="267" customFormat="1" x14ac:dyDescent="0.2">
      <c r="A1055" s="258"/>
      <c r="B1055" s="320"/>
      <c r="C1055" s="309"/>
      <c r="D1055" s="309"/>
      <c r="E1055" s="309"/>
      <c r="F1055" s="309"/>
      <c r="G1055" s="309"/>
      <c r="H1055" s="309"/>
      <c r="I1055" s="309"/>
      <c r="J1055" s="309"/>
      <c r="K1055" s="309"/>
      <c r="L1055" s="309"/>
      <c r="M1055" s="309"/>
      <c r="N1055" s="309"/>
      <c r="O1055" s="309"/>
      <c r="P1055" s="309"/>
      <c r="Q1055" s="410"/>
      <c r="R1055" s="435"/>
      <c r="S1055" s="264"/>
      <c r="T1055" s="211"/>
      <c r="U1055" s="211"/>
      <c r="W1055" s="211"/>
      <c r="X1055" s="211"/>
      <c r="Z1055" s="211"/>
      <c r="AA1055" s="211"/>
      <c r="AC1055" s="211"/>
      <c r="AD1055" s="211"/>
      <c r="AF1055" s="211"/>
      <c r="AG1055" s="211"/>
      <c r="AI1055" s="211"/>
      <c r="AJ1055" s="211"/>
      <c r="AL1055" s="211"/>
      <c r="AM1055" s="211"/>
    </row>
    <row r="1056" spans="1:39" s="267" customFormat="1" x14ac:dyDescent="0.2">
      <c r="A1056" s="258"/>
      <c r="B1056" s="320"/>
      <c r="C1056" s="309"/>
      <c r="D1056" s="309"/>
      <c r="E1056" s="309"/>
      <c r="F1056" s="309"/>
      <c r="G1056" s="309"/>
      <c r="H1056" s="309"/>
      <c r="I1056" s="309"/>
      <c r="J1056" s="309"/>
      <c r="K1056" s="309"/>
      <c r="L1056" s="309"/>
      <c r="M1056" s="309"/>
      <c r="N1056" s="309"/>
      <c r="O1056" s="309"/>
      <c r="P1056" s="309"/>
      <c r="Q1056" s="410"/>
      <c r="R1056" s="435"/>
      <c r="S1056" s="264"/>
      <c r="T1056" s="211"/>
      <c r="U1056" s="211"/>
      <c r="W1056" s="211"/>
      <c r="X1056" s="211"/>
      <c r="Z1056" s="211"/>
      <c r="AA1056" s="211"/>
      <c r="AC1056" s="211"/>
      <c r="AD1056" s="211"/>
      <c r="AF1056" s="211"/>
      <c r="AG1056" s="211"/>
      <c r="AI1056" s="211"/>
      <c r="AJ1056" s="211"/>
      <c r="AL1056" s="211"/>
      <c r="AM1056" s="211"/>
    </row>
    <row r="1057" spans="1:39" s="267" customFormat="1" x14ac:dyDescent="0.2">
      <c r="A1057" s="258"/>
      <c r="B1057" s="320"/>
      <c r="C1057" s="309"/>
      <c r="D1057" s="309"/>
      <c r="E1057" s="309"/>
      <c r="F1057" s="309"/>
      <c r="G1057" s="309"/>
      <c r="H1057" s="309"/>
      <c r="I1057" s="309"/>
      <c r="J1057" s="309"/>
      <c r="K1057" s="309"/>
      <c r="L1057" s="309"/>
      <c r="M1057" s="309"/>
      <c r="N1057" s="309"/>
      <c r="O1057" s="309"/>
      <c r="P1057" s="309"/>
      <c r="Q1057" s="410"/>
      <c r="R1057" s="435"/>
      <c r="S1057" s="264"/>
      <c r="T1057" s="211"/>
      <c r="U1057" s="211"/>
      <c r="W1057" s="211"/>
      <c r="X1057" s="211"/>
      <c r="Z1057" s="211"/>
      <c r="AA1057" s="211"/>
      <c r="AC1057" s="211"/>
      <c r="AD1057" s="211"/>
      <c r="AF1057" s="211"/>
      <c r="AG1057" s="211"/>
      <c r="AI1057" s="211"/>
      <c r="AJ1057" s="211"/>
      <c r="AL1057" s="211"/>
      <c r="AM1057" s="211"/>
    </row>
    <row r="1058" spans="1:39" s="267" customFormat="1" x14ac:dyDescent="0.2">
      <c r="A1058" s="258"/>
      <c r="B1058" s="320"/>
      <c r="C1058" s="309"/>
      <c r="D1058" s="309"/>
      <c r="E1058" s="309"/>
      <c r="F1058" s="309"/>
      <c r="G1058" s="309"/>
      <c r="H1058" s="309"/>
      <c r="I1058" s="309"/>
      <c r="J1058" s="309"/>
      <c r="K1058" s="309"/>
      <c r="L1058" s="309"/>
      <c r="M1058" s="309"/>
      <c r="N1058" s="309"/>
      <c r="O1058" s="309"/>
      <c r="P1058" s="309"/>
      <c r="Q1058" s="410"/>
      <c r="R1058" s="435"/>
      <c r="S1058" s="264"/>
      <c r="T1058" s="211"/>
      <c r="U1058" s="211"/>
      <c r="W1058" s="211"/>
      <c r="X1058" s="211"/>
      <c r="Z1058" s="211"/>
      <c r="AA1058" s="211"/>
      <c r="AC1058" s="211"/>
      <c r="AD1058" s="211"/>
      <c r="AF1058" s="211"/>
      <c r="AG1058" s="211"/>
      <c r="AI1058" s="211"/>
      <c r="AJ1058" s="211"/>
      <c r="AL1058" s="211"/>
      <c r="AM1058" s="211"/>
    </row>
    <row r="1059" spans="1:39" s="267" customFormat="1" x14ac:dyDescent="0.2">
      <c r="A1059" s="258"/>
      <c r="B1059" s="320"/>
      <c r="C1059" s="309"/>
      <c r="D1059" s="309"/>
      <c r="E1059" s="309"/>
      <c r="F1059" s="309"/>
      <c r="G1059" s="309"/>
      <c r="H1059" s="309"/>
      <c r="I1059" s="309"/>
      <c r="J1059" s="309"/>
      <c r="K1059" s="309"/>
      <c r="L1059" s="309"/>
      <c r="M1059" s="309"/>
      <c r="N1059" s="309"/>
      <c r="O1059" s="309"/>
      <c r="P1059" s="309"/>
      <c r="Q1059" s="410"/>
      <c r="R1059" s="435"/>
      <c r="S1059" s="264"/>
      <c r="T1059" s="211"/>
      <c r="U1059" s="211"/>
      <c r="W1059" s="211"/>
      <c r="X1059" s="211"/>
      <c r="Z1059" s="211"/>
      <c r="AA1059" s="211"/>
      <c r="AC1059" s="211"/>
      <c r="AD1059" s="211"/>
      <c r="AF1059" s="211"/>
      <c r="AG1059" s="211"/>
      <c r="AI1059" s="211"/>
      <c r="AJ1059" s="211"/>
      <c r="AL1059" s="211"/>
      <c r="AM1059" s="211"/>
    </row>
    <row r="1060" spans="1:39" s="267" customFormat="1" x14ac:dyDescent="0.2">
      <c r="A1060" s="258"/>
      <c r="B1060" s="320"/>
      <c r="C1060" s="309"/>
      <c r="D1060" s="309"/>
      <c r="E1060" s="309"/>
      <c r="F1060" s="309"/>
      <c r="G1060" s="309"/>
      <c r="H1060" s="309"/>
      <c r="I1060" s="309"/>
      <c r="J1060" s="309"/>
      <c r="K1060" s="309"/>
      <c r="L1060" s="309"/>
      <c r="M1060" s="309"/>
      <c r="N1060" s="309"/>
      <c r="O1060" s="309"/>
      <c r="P1060" s="309"/>
      <c r="Q1060" s="410"/>
      <c r="R1060" s="435"/>
      <c r="S1060" s="264"/>
      <c r="T1060" s="211"/>
      <c r="U1060" s="211"/>
      <c r="W1060" s="211"/>
      <c r="X1060" s="211"/>
      <c r="Z1060" s="211"/>
      <c r="AA1060" s="211"/>
      <c r="AC1060" s="211"/>
      <c r="AD1060" s="211"/>
      <c r="AF1060" s="211"/>
      <c r="AG1060" s="211"/>
      <c r="AI1060" s="211"/>
      <c r="AJ1060" s="211"/>
      <c r="AL1060" s="211"/>
      <c r="AM1060" s="211"/>
    </row>
    <row r="1061" spans="1:39" s="267" customFormat="1" x14ac:dyDescent="0.2">
      <c r="A1061" s="258"/>
      <c r="B1061" s="320"/>
      <c r="C1061" s="309"/>
      <c r="D1061" s="309"/>
      <c r="E1061" s="309"/>
      <c r="F1061" s="309"/>
      <c r="G1061" s="309"/>
      <c r="H1061" s="309"/>
      <c r="I1061" s="309"/>
      <c r="J1061" s="309"/>
      <c r="K1061" s="309"/>
      <c r="L1061" s="309"/>
      <c r="M1061" s="309"/>
      <c r="N1061" s="309"/>
      <c r="O1061" s="309"/>
      <c r="P1061" s="309"/>
      <c r="Q1061" s="410"/>
      <c r="R1061" s="435"/>
      <c r="S1061" s="264"/>
      <c r="T1061" s="211"/>
      <c r="U1061" s="211"/>
      <c r="W1061" s="211"/>
      <c r="X1061" s="211"/>
      <c r="Z1061" s="211"/>
      <c r="AA1061" s="211"/>
      <c r="AC1061" s="211"/>
      <c r="AD1061" s="211"/>
      <c r="AF1061" s="211"/>
      <c r="AG1061" s="211"/>
      <c r="AI1061" s="211"/>
      <c r="AJ1061" s="211"/>
      <c r="AL1061" s="211"/>
      <c r="AM1061" s="211"/>
    </row>
    <row r="1062" spans="1:39" s="267" customFormat="1" x14ac:dyDescent="0.2">
      <c r="A1062" s="258"/>
      <c r="B1062" s="320"/>
      <c r="C1062" s="309"/>
      <c r="D1062" s="309"/>
      <c r="E1062" s="309"/>
      <c r="F1062" s="309"/>
      <c r="G1062" s="309"/>
      <c r="H1062" s="309"/>
      <c r="I1062" s="309"/>
      <c r="J1062" s="309"/>
      <c r="K1062" s="309"/>
      <c r="L1062" s="309"/>
      <c r="M1062" s="309"/>
      <c r="N1062" s="309"/>
      <c r="O1062" s="309"/>
      <c r="P1062" s="309"/>
      <c r="Q1062" s="410"/>
      <c r="R1062" s="435"/>
      <c r="S1062" s="264"/>
      <c r="T1062" s="211"/>
      <c r="U1062" s="211"/>
      <c r="W1062" s="211"/>
      <c r="X1062" s="211"/>
      <c r="Z1062" s="211"/>
      <c r="AA1062" s="211"/>
      <c r="AC1062" s="211"/>
      <c r="AD1062" s="211"/>
      <c r="AF1062" s="211"/>
      <c r="AG1062" s="211"/>
      <c r="AI1062" s="211"/>
      <c r="AJ1062" s="211"/>
      <c r="AL1062" s="211"/>
      <c r="AM1062" s="211"/>
    </row>
    <row r="1063" spans="1:39" s="267" customFormat="1" x14ac:dyDescent="0.2">
      <c r="A1063" s="258"/>
      <c r="B1063" s="320"/>
      <c r="C1063" s="309"/>
      <c r="D1063" s="309"/>
      <c r="E1063" s="309"/>
      <c r="F1063" s="309"/>
      <c r="G1063" s="309"/>
      <c r="H1063" s="309"/>
      <c r="I1063" s="309"/>
      <c r="J1063" s="309"/>
      <c r="K1063" s="309"/>
      <c r="L1063" s="309"/>
      <c r="M1063" s="309"/>
      <c r="N1063" s="309"/>
      <c r="O1063" s="309"/>
      <c r="P1063" s="309"/>
      <c r="Q1063" s="410"/>
      <c r="R1063" s="435"/>
      <c r="S1063" s="264"/>
      <c r="T1063" s="211"/>
      <c r="U1063" s="211"/>
      <c r="W1063" s="211"/>
      <c r="X1063" s="211"/>
      <c r="Z1063" s="211"/>
      <c r="AA1063" s="211"/>
      <c r="AC1063" s="211"/>
      <c r="AD1063" s="211"/>
      <c r="AF1063" s="211"/>
      <c r="AG1063" s="211"/>
      <c r="AI1063" s="211"/>
      <c r="AJ1063" s="211"/>
      <c r="AL1063" s="211"/>
      <c r="AM1063" s="211"/>
    </row>
    <row r="1064" spans="1:39" s="267" customFormat="1" x14ac:dyDescent="0.2">
      <c r="A1064" s="258"/>
      <c r="B1064" s="320"/>
      <c r="C1064" s="309"/>
      <c r="D1064" s="309"/>
      <c r="E1064" s="309"/>
      <c r="F1064" s="309"/>
      <c r="G1064" s="309"/>
      <c r="H1064" s="309"/>
      <c r="I1064" s="309"/>
      <c r="J1064" s="309"/>
      <c r="K1064" s="309"/>
      <c r="L1064" s="309"/>
      <c r="M1064" s="309"/>
      <c r="N1064" s="309"/>
      <c r="O1064" s="309"/>
      <c r="P1064" s="309"/>
      <c r="Q1064" s="410"/>
      <c r="R1064" s="435"/>
      <c r="S1064" s="264"/>
      <c r="T1064" s="211"/>
      <c r="U1064" s="211"/>
      <c r="W1064" s="211"/>
      <c r="X1064" s="211"/>
      <c r="Z1064" s="211"/>
      <c r="AA1064" s="211"/>
      <c r="AC1064" s="211"/>
      <c r="AD1064" s="211"/>
      <c r="AF1064" s="211"/>
      <c r="AG1064" s="211"/>
      <c r="AI1064" s="211"/>
      <c r="AJ1064" s="211"/>
      <c r="AL1064" s="211"/>
      <c r="AM1064" s="211"/>
    </row>
    <row r="1065" spans="1:39" s="267" customFormat="1" x14ac:dyDescent="0.2">
      <c r="A1065" s="258"/>
      <c r="B1065" s="320"/>
      <c r="C1065" s="309"/>
      <c r="D1065" s="309"/>
      <c r="E1065" s="309"/>
      <c r="F1065" s="309"/>
      <c r="G1065" s="309"/>
      <c r="H1065" s="309"/>
      <c r="I1065" s="309"/>
      <c r="J1065" s="309"/>
      <c r="K1065" s="309"/>
      <c r="L1065" s="309"/>
      <c r="M1065" s="309"/>
      <c r="N1065" s="309"/>
      <c r="O1065" s="309"/>
      <c r="P1065" s="309"/>
      <c r="Q1065" s="410"/>
      <c r="R1065" s="435"/>
      <c r="S1065" s="264"/>
      <c r="T1065" s="211"/>
      <c r="U1065" s="211"/>
      <c r="W1065" s="211"/>
      <c r="X1065" s="211"/>
      <c r="Z1065" s="211"/>
      <c r="AA1065" s="211"/>
      <c r="AC1065" s="211"/>
      <c r="AD1065" s="211"/>
      <c r="AF1065" s="211"/>
      <c r="AG1065" s="211"/>
      <c r="AI1065" s="211"/>
      <c r="AJ1065" s="211"/>
      <c r="AL1065" s="211"/>
      <c r="AM1065" s="211"/>
    </row>
    <row r="1066" spans="1:39" s="267" customFormat="1" x14ac:dyDescent="0.2">
      <c r="A1066" s="258"/>
      <c r="B1066" s="320"/>
      <c r="C1066" s="309"/>
      <c r="D1066" s="309"/>
      <c r="E1066" s="309"/>
      <c r="F1066" s="309"/>
      <c r="G1066" s="309"/>
      <c r="H1066" s="309"/>
      <c r="I1066" s="309"/>
      <c r="J1066" s="309"/>
      <c r="K1066" s="309"/>
      <c r="L1066" s="309"/>
      <c r="M1066" s="309"/>
      <c r="N1066" s="309"/>
      <c r="O1066" s="309"/>
      <c r="P1066" s="309"/>
      <c r="Q1066" s="410"/>
      <c r="R1066" s="435"/>
      <c r="S1066" s="264"/>
      <c r="T1066" s="211"/>
      <c r="U1066" s="211"/>
      <c r="W1066" s="211"/>
      <c r="X1066" s="211"/>
      <c r="Z1066" s="211"/>
      <c r="AA1066" s="211"/>
      <c r="AC1066" s="211"/>
      <c r="AD1066" s="211"/>
      <c r="AF1066" s="211"/>
      <c r="AG1066" s="211"/>
      <c r="AI1066" s="211"/>
      <c r="AJ1066" s="211"/>
      <c r="AL1066" s="211"/>
      <c r="AM1066" s="211"/>
    </row>
    <row r="1067" spans="1:39" s="267" customFormat="1" x14ac:dyDescent="0.2">
      <c r="A1067" s="258"/>
      <c r="B1067" s="320"/>
      <c r="C1067" s="309"/>
      <c r="D1067" s="309"/>
      <c r="E1067" s="309"/>
      <c r="F1067" s="309"/>
      <c r="G1067" s="309"/>
      <c r="H1067" s="309"/>
      <c r="I1067" s="309"/>
      <c r="J1067" s="309"/>
      <c r="K1067" s="309"/>
      <c r="L1067" s="309"/>
      <c r="M1067" s="309"/>
      <c r="N1067" s="309"/>
      <c r="O1067" s="309"/>
      <c r="P1067" s="309"/>
      <c r="Q1067" s="410"/>
      <c r="R1067" s="435"/>
      <c r="S1067" s="264"/>
      <c r="T1067" s="211"/>
      <c r="U1067" s="211"/>
      <c r="W1067" s="211"/>
      <c r="X1067" s="211"/>
      <c r="Z1067" s="211"/>
      <c r="AA1067" s="211"/>
      <c r="AC1067" s="211"/>
      <c r="AD1067" s="211"/>
      <c r="AF1067" s="211"/>
      <c r="AG1067" s="211"/>
      <c r="AI1067" s="211"/>
      <c r="AJ1067" s="211"/>
      <c r="AL1067" s="211"/>
      <c r="AM1067" s="211"/>
    </row>
    <row r="1068" spans="1:39" s="267" customFormat="1" x14ac:dyDescent="0.2">
      <c r="A1068" s="258"/>
      <c r="B1068" s="320"/>
      <c r="C1068" s="309"/>
      <c r="D1068" s="309"/>
      <c r="E1068" s="309"/>
      <c r="F1068" s="309"/>
      <c r="G1068" s="309"/>
      <c r="H1068" s="309"/>
      <c r="I1068" s="309"/>
      <c r="J1068" s="309"/>
      <c r="K1068" s="309"/>
      <c r="L1068" s="309"/>
      <c r="M1068" s="309"/>
      <c r="N1068" s="309"/>
      <c r="O1068" s="309"/>
      <c r="P1068" s="309"/>
      <c r="Q1068" s="410"/>
      <c r="R1068" s="435"/>
      <c r="S1068" s="264"/>
      <c r="T1068" s="211"/>
      <c r="U1068" s="211"/>
      <c r="W1068" s="211"/>
      <c r="X1068" s="211"/>
      <c r="Z1068" s="211"/>
      <c r="AA1068" s="211"/>
      <c r="AC1068" s="211"/>
      <c r="AD1068" s="211"/>
      <c r="AF1068" s="211"/>
      <c r="AG1068" s="211"/>
      <c r="AI1068" s="211"/>
      <c r="AJ1068" s="211"/>
      <c r="AL1068" s="211"/>
      <c r="AM1068" s="211"/>
    </row>
    <row r="1069" spans="1:39" s="267" customFormat="1" x14ac:dyDescent="0.2">
      <c r="A1069" s="258"/>
      <c r="B1069" s="320"/>
      <c r="C1069" s="309"/>
      <c r="D1069" s="309"/>
      <c r="E1069" s="309"/>
      <c r="F1069" s="309"/>
      <c r="G1069" s="309"/>
      <c r="H1069" s="309"/>
      <c r="I1069" s="309"/>
      <c r="J1069" s="309"/>
      <c r="K1069" s="309"/>
      <c r="L1069" s="309"/>
      <c r="M1069" s="309"/>
      <c r="N1069" s="309"/>
      <c r="O1069" s="309"/>
      <c r="P1069" s="309"/>
      <c r="Q1069" s="410"/>
      <c r="R1069" s="435"/>
      <c r="S1069" s="264"/>
      <c r="T1069" s="211"/>
      <c r="U1069" s="211"/>
      <c r="W1069" s="211"/>
      <c r="X1069" s="211"/>
      <c r="Z1069" s="211"/>
      <c r="AA1069" s="211"/>
      <c r="AC1069" s="211"/>
      <c r="AD1069" s="211"/>
      <c r="AF1069" s="211"/>
      <c r="AG1069" s="211"/>
      <c r="AI1069" s="211"/>
      <c r="AJ1069" s="211"/>
      <c r="AL1069" s="211"/>
      <c r="AM1069" s="211"/>
    </row>
    <row r="1070" spans="1:39" s="267" customFormat="1" x14ac:dyDescent="0.2">
      <c r="A1070" s="258"/>
      <c r="B1070" s="320"/>
      <c r="C1070" s="309"/>
      <c r="D1070" s="309"/>
      <c r="E1070" s="309"/>
      <c r="F1070" s="309"/>
      <c r="G1070" s="309"/>
      <c r="H1070" s="309"/>
      <c r="I1070" s="309"/>
      <c r="J1070" s="309"/>
      <c r="K1070" s="309"/>
      <c r="L1070" s="309"/>
      <c r="M1070" s="309"/>
      <c r="N1070" s="309"/>
      <c r="O1070" s="309"/>
      <c r="P1070" s="309"/>
      <c r="Q1070" s="410"/>
      <c r="R1070" s="435"/>
      <c r="S1070" s="264"/>
      <c r="T1070" s="211"/>
      <c r="U1070" s="211"/>
      <c r="W1070" s="211"/>
      <c r="X1070" s="211"/>
      <c r="Z1070" s="211"/>
      <c r="AA1070" s="211"/>
      <c r="AC1070" s="211"/>
      <c r="AD1070" s="211"/>
      <c r="AF1070" s="211"/>
      <c r="AG1070" s="211"/>
      <c r="AI1070" s="211"/>
      <c r="AJ1070" s="211"/>
      <c r="AL1070" s="211"/>
      <c r="AM1070" s="211"/>
    </row>
    <row r="1071" spans="1:39" s="267" customFormat="1" x14ac:dyDescent="0.2">
      <c r="A1071" s="258"/>
      <c r="B1071" s="320"/>
      <c r="C1071" s="309"/>
      <c r="D1071" s="309"/>
      <c r="E1071" s="309"/>
      <c r="F1071" s="309"/>
      <c r="G1071" s="309"/>
      <c r="H1071" s="309"/>
      <c r="I1071" s="309"/>
      <c r="J1071" s="309"/>
      <c r="K1071" s="309"/>
      <c r="L1071" s="309"/>
      <c r="M1071" s="309"/>
      <c r="N1071" s="309"/>
      <c r="O1071" s="309"/>
      <c r="P1071" s="309"/>
      <c r="Q1071" s="410"/>
      <c r="R1071" s="435"/>
      <c r="S1071" s="264"/>
      <c r="T1071" s="211"/>
      <c r="U1071" s="211"/>
      <c r="W1071" s="211"/>
      <c r="X1071" s="211"/>
      <c r="Z1071" s="211"/>
      <c r="AA1071" s="211"/>
      <c r="AC1071" s="211"/>
      <c r="AD1071" s="211"/>
      <c r="AF1071" s="211"/>
      <c r="AG1071" s="211"/>
      <c r="AI1071" s="211"/>
      <c r="AJ1071" s="211"/>
      <c r="AL1071" s="211"/>
      <c r="AM1071" s="211"/>
    </row>
    <row r="1072" spans="1:39" s="267" customFormat="1" x14ac:dyDescent="0.2">
      <c r="A1072" s="375"/>
      <c r="B1072" s="376" t="s">
        <v>174</v>
      </c>
      <c r="C1072" s="377"/>
      <c r="D1072" s="377"/>
      <c r="E1072" s="377"/>
      <c r="F1072" s="377"/>
      <c r="G1072" s="377"/>
      <c r="H1072" s="377"/>
      <c r="I1072" s="377"/>
      <c r="J1072" s="377"/>
      <c r="K1072" s="377"/>
      <c r="L1072" s="377"/>
      <c r="M1072" s="377"/>
      <c r="N1072" s="377"/>
      <c r="O1072" s="377"/>
      <c r="P1072" s="377"/>
      <c r="Q1072" s="378"/>
      <c r="R1072" s="441"/>
      <c r="S1072" s="264"/>
      <c r="T1072" s="273"/>
      <c r="U1072" s="274"/>
      <c r="W1072" s="273"/>
      <c r="X1072" s="273"/>
      <c r="Z1072" s="273"/>
      <c r="AA1072" s="273"/>
      <c r="AC1072" s="273"/>
      <c r="AD1072" s="273"/>
      <c r="AF1072" s="273"/>
      <c r="AG1072" s="273"/>
      <c r="AI1072" s="273"/>
      <c r="AJ1072" s="273"/>
      <c r="AL1072" s="273"/>
      <c r="AM1072" s="273"/>
    </row>
    <row r="1073" spans="1:39" s="267" customFormat="1" x14ac:dyDescent="0.2">
      <c r="A1073" s="380"/>
      <c r="B1073" s="282"/>
      <c r="C1073" s="550" t="s">
        <v>15</v>
      </c>
      <c r="D1073" s="550"/>
      <c r="E1073" s="550"/>
      <c r="F1073" s="550"/>
      <c r="G1073" s="550"/>
      <c r="H1073" s="550"/>
      <c r="I1073" s="550"/>
      <c r="J1073" s="550"/>
      <c r="K1073" s="550"/>
      <c r="L1073" s="550"/>
      <c r="M1073" s="550"/>
      <c r="N1073" s="550"/>
      <c r="O1073" s="550"/>
      <c r="P1073" s="550"/>
      <c r="Q1073" s="381" t="s">
        <v>0</v>
      </c>
      <c r="R1073" s="435"/>
      <c r="S1073" s="264"/>
      <c r="T1073" s="266"/>
      <c r="U1073" s="277"/>
      <c r="W1073" s="266"/>
      <c r="X1073" s="266"/>
      <c r="Z1073" s="266"/>
      <c r="AA1073" s="266"/>
      <c r="AC1073" s="266"/>
      <c r="AD1073" s="266"/>
      <c r="AF1073" s="266"/>
      <c r="AG1073" s="266"/>
      <c r="AI1073" s="266"/>
      <c r="AJ1073" s="266"/>
      <c r="AL1073" s="266"/>
      <c r="AM1073" s="266"/>
    </row>
    <row r="1074" spans="1:39" s="267" customFormat="1" x14ac:dyDescent="0.2">
      <c r="A1074" s="380"/>
      <c r="B1074" s="320"/>
      <c r="C1074" s="309"/>
      <c r="D1074" s="309"/>
      <c r="E1074" s="309"/>
      <c r="F1074" s="309"/>
      <c r="G1074" s="309"/>
      <c r="H1074" s="309"/>
      <c r="I1074" s="309"/>
      <c r="J1074" s="309"/>
      <c r="K1074" s="309"/>
      <c r="L1074" s="309"/>
      <c r="M1074" s="309"/>
      <c r="N1074" s="309"/>
      <c r="O1074" s="309"/>
      <c r="P1074" s="309"/>
      <c r="Q1074" s="294"/>
      <c r="R1074" s="382"/>
      <c r="T1074" s="278"/>
      <c r="U1074" s="279"/>
      <c r="W1074" s="278"/>
      <c r="X1074" s="278"/>
      <c r="Z1074" s="278"/>
      <c r="AA1074" s="278"/>
      <c r="AC1074" s="278"/>
      <c r="AD1074" s="278"/>
      <c r="AF1074" s="278"/>
      <c r="AG1074" s="278"/>
      <c r="AI1074" s="278"/>
      <c r="AJ1074" s="278"/>
      <c r="AL1074" s="278"/>
      <c r="AM1074" s="278"/>
    </row>
  </sheetData>
  <autoFilter ref="A4:Z1074" xr:uid="{00000000-0009-0000-0000-00000A000000}"/>
  <mergeCells count="30">
    <mergeCell ref="O1030:P1030"/>
    <mergeCell ref="C1073:P1073"/>
    <mergeCell ref="C493:P493"/>
    <mergeCell ref="C891:P891"/>
    <mergeCell ref="C928:P928"/>
    <mergeCell ref="C975:P975"/>
    <mergeCell ref="O979:P979"/>
    <mergeCell ref="O1028:P1028"/>
    <mergeCell ref="C446:P446"/>
    <mergeCell ref="L2:L3"/>
    <mergeCell ref="N2:N3"/>
    <mergeCell ref="O2:O3"/>
    <mergeCell ref="C48:P48"/>
    <mergeCell ref="C136:P136"/>
    <mergeCell ref="C182:P182"/>
    <mergeCell ref="C228:P228"/>
    <mergeCell ref="C274:P274"/>
    <mergeCell ref="C318:P318"/>
    <mergeCell ref="C364:P364"/>
    <mergeCell ref="C404:P404"/>
    <mergeCell ref="A1:A3"/>
    <mergeCell ref="B1:B3"/>
    <mergeCell ref="C1:O1"/>
    <mergeCell ref="P1:P3"/>
    <mergeCell ref="Q1:Q3"/>
    <mergeCell ref="R1:R3"/>
    <mergeCell ref="D2:D3"/>
    <mergeCell ref="F2:F3"/>
    <mergeCell ref="H2:H3"/>
    <mergeCell ref="J2:J3"/>
  </mergeCells>
  <printOptions horizontalCentered="1"/>
  <pageMargins left="0.51181102362204722" right="0.19685039370078741" top="0.98425196850393704" bottom="0.59055118110236227" header="0.31496062992125984" footer="0.31496062992125984"/>
  <pageSetup paperSize="8" orientation="landscape" useFirstPageNumber="1" r:id="rId1"/>
  <headerFooter>
    <oddHeader>&amp;R&amp;UBILL NO. 3: TOWNHOUSE A
  MECHANICAL ENGINEERING INSTALLATIONS</oddHeader>
    <oddFooter>&amp;L&amp;8DMS No. 148110 Package 3 (30 Sept 2021)&amp;C&amp;10 3/Q/&amp;P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A1:AM506"/>
  <sheetViews>
    <sheetView showZeros="0" view="pageBreakPreview" topLeftCell="A370" zoomScale="85" zoomScaleNormal="85" zoomScaleSheetLayoutView="85" workbookViewId="0">
      <selection activeCell="E394" sqref="E394"/>
    </sheetView>
  </sheetViews>
  <sheetFormatPr defaultRowHeight="14.25" x14ac:dyDescent="0.2"/>
  <cols>
    <col min="1" max="1" width="6.125" style="383" customWidth="1"/>
    <col min="2" max="2" width="61.875" style="483" customWidth="1"/>
    <col min="3" max="3" width="11.125" style="384" customWidth="1"/>
    <col min="4" max="4" width="10.625" style="384" hidden="1" customWidth="1"/>
    <col min="5" max="5" width="11.125" style="384" customWidth="1"/>
    <col min="6" max="6" width="10.625" style="384" hidden="1" customWidth="1"/>
    <col min="7" max="7" width="11.125" style="384" customWidth="1"/>
    <col min="8" max="8" width="10.625" style="384" hidden="1" customWidth="1"/>
    <col min="9" max="9" width="11.125" style="384" customWidth="1"/>
    <col min="10" max="10" width="10.625" style="384" hidden="1" customWidth="1"/>
    <col min="11" max="11" width="11.125" style="384" customWidth="1"/>
    <col min="12" max="12" width="10.625" style="384" hidden="1" customWidth="1"/>
    <col min="13" max="13" width="11.125" style="384" customWidth="1"/>
    <col min="14" max="14" width="10.625" style="384" hidden="1" customWidth="1"/>
    <col min="15" max="15" width="12.125" style="384" customWidth="1"/>
    <col min="16" max="16" width="7.125" style="384" customWidth="1"/>
    <col min="17" max="17" width="12.125" style="385" customWidth="1"/>
    <col min="18" max="18" width="16.625" style="385" customWidth="1"/>
    <col min="19" max="19" width="9" style="255"/>
    <col min="20" max="21" width="9.75" style="212" customWidth="1"/>
    <col min="22" max="22" width="2.375" style="255" customWidth="1"/>
    <col min="23" max="24" width="9.75" style="212" customWidth="1"/>
    <col min="25" max="25" width="2.375" style="255" customWidth="1"/>
    <col min="26" max="27" width="9.75" style="212" customWidth="1"/>
    <col min="28" max="28" width="2.375" style="255" customWidth="1"/>
    <col min="29" max="30" width="9.75" style="212" customWidth="1"/>
    <col min="31" max="31" width="2.375" style="255" customWidth="1"/>
    <col min="32" max="33" width="9.75" style="212" customWidth="1"/>
    <col min="34" max="34" width="2.375" style="255" customWidth="1"/>
    <col min="35" max="36" width="9.75" style="212" customWidth="1"/>
    <col min="37" max="37" width="2.375" style="255" customWidth="1"/>
    <col min="38" max="39" width="9.75" style="212" customWidth="1"/>
    <col min="40" max="16384" width="9" style="255"/>
  </cols>
  <sheetData>
    <row r="1" spans="1:39" s="245" customFormat="1" x14ac:dyDescent="0.2">
      <c r="A1" s="540" t="s">
        <v>5</v>
      </c>
      <c r="B1" s="540" t="s">
        <v>4</v>
      </c>
      <c r="C1" s="543" t="s">
        <v>3</v>
      </c>
      <c r="D1" s="543"/>
      <c r="E1" s="543"/>
      <c r="F1" s="543"/>
      <c r="G1" s="543"/>
      <c r="H1" s="543"/>
      <c r="I1" s="543"/>
      <c r="J1" s="543"/>
      <c r="K1" s="543"/>
      <c r="L1" s="543"/>
      <c r="M1" s="543"/>
      <c r="N1" s="543"/>
      <c r="O1" s="543"/>
      <c r="P1" s="544" t="s">
        <v>2</v>
      </c>
      <c r="Q1" s="547" t="s">
        <v>6</v>
      </c>
      <c r="R1" s="535" t="s">
        <v>7</v>
      </c>
      <c r="T1" s="207"/>
      <c r="U1" s="207"/>
      <c r="W1" s="207"/>
      <c r="X1" s="207"/>
      <c r="Z1" s="207"/>
      <c r="AA1" s="207"/>
      <c r="AC1" s="207"/>
      <c r="AD1" s="207"/>
      <c r="AF1" s="207"/>
      <c r="AG1" s="207"/>
      <c r="AI1" s="207"/>
      <c r="AJ1" s="207"/>
      <c r="AL1" s="207"/>
      <c r="AM1" s="207"/>
    </row>
    <row r="2" spans="1:39" s="245" customFormat="1" ht="27" customHeight="1" x14ac:dyDescent="0.2">
      <c r="A2" s="541"/>
      <c r="B2" s="541"/>
      <c r="C2" s="428" t="s">
        <v>439</v>
      </c>
      <c r="D2" s="538" t="s">
        <v>23</v>
      </c>
      <c r="E2" s="428" t="s">
        <v>440</v>
      </c>
      <c r="F2" s="538" t="s">
        <v>23</v>
      </c>
      <c r="G2" s="428" t="s">
        <v>441</v>
      </c>
      <c r="H2" s="538" t="s">
        <v>23</v>
      </c>
      <c r="I2" s="428" t="s">
        <v>442</v>
      </c>
      <c r="J2" s="538" t="s">
        <v>23</v>
      </c>
      <c r="K2" s="428" t="s">
        <v>443</v>
      </c>
      <c r="L2" s="538" t="s">
        <v>23</v>
      </c>
      <c r="M2" s="428" t="s">
        <v>444</v>
      </c>
      <c r="N2" s="538" t="s">
        <v>23</v>
      </c>
      <c r="O2" s="551" t="s">
        <v>22</v>
      </c>
      <c r="P2" s="545"/>
      <c r="Q2" s="548"/>
      <c r="R2" s="536"/>
      <c r="T2" s="208" t="s">
        <v>657</v>
      </c>
      <c r="U2" s="208" t="s">
        <v>446</v>
      </c>
      <c r="W2" s="209" t="s">
        <v>658</v>
      </c>
      <c r="X2" s="209" t="s">
        <v>659</v>
      </c>
      <c r="Z2" s="209" t="s">
        <v>660</v>
      </c>
      <c r="AA2" s="209" t="s">
        <v>661</v>
      </c>
      <c r="AC2" s="209" t="s">
        <v>662</v>
      </c>
      <c r="AD2" s="209" t="s">
        <v>663</v>
      </c>
      <c r="AF2" s="209" t="s">
        <v>664</v>
      </c>
      <c r="AG2" s="209" t="s">
        <v>665</v>
      </c>
      <c r="AI2" s="209" t="s">
        <v>666</v>
      </c>
      <c r="AJ2" s="209" t="s">
        <v>667</v>
      </c>
      <c r="AL2" s="209" t="s">
        <v>668</v>
      </c>
      <c r="AM2" s="209" t="s">
        <v>669</v>
      </c>
    </row>
    <row r="3" spans="1:39" s="245" customFormat="1" x14ac:dyDescent="0.2">
      <c r="A3" s="542"/>
      <c r="B3" s="542"/>
      <c r="C3" s="246">
        <v>1</v>
      </c>
      <c r="D3" s="539"/>
      <c r="E3" s="246">
        <v>1</v>
      </c>
      <c r="F3" s="539"/>
      <c r="G3" s="246">
        <v>5</v>
      </c>
      <c r="H3" s="539"/>
      <c r="I3" s="246">
        <v>1</v>
      </c>
      <c r="J3" s="539"/>
      <c r="K3" s="246">
        <v>3</v>
      </c>
      <c r="L3" s="539"/>
      <c r="M3" s="246">
        <v>1</v>
      </c>
      <c r="N3" s="539"/>
      <c r="O3" s="552"/>
      <c r="P3" s="546"/>
      <c r="Q3" s="549"/>
      <c r="R3" s="537"/>
      <c r="S3" s="247">
        <f>+C3+E3+G3+I3+K3+M3</f>
        <v>12</v>
      </c>
      <c r="T3" s="246"/>
      <c r="U3" s="246"/>
      <c r="W3" s="246">
        <v>2</v>
      </c>
      <c r="X3" s="246">
        <v>2</v>
      </c>
      <c r="Z3" s="246">
        <v>2</v>
      </c>
      <c r="AA3" s="246">
        <v>3</v>
      </c>
      <c r="AC3" s="246">
        <v>2</v>
      </c>
      <c r="AD3" s="246">
        <v>4</v>
      </c>
      <c r="AF3" s="246">
        <v>2</v>
      </c>
      <c r="AG3" s="246">
        <v>5</v>
      </c>
      <c r="AI3" s="246">
        <v>2</v>
      </c>
      <c r="AJ3" s="246">
        <v>6</v>
      </c>
      <c r="AL3" s="246">
        <v>2</v>
      </c>
      <c r="AM3" s="246">
        <v>7</v>
      </c>
    </row>
    <row r="4" spans="1:39" x14ac:dyDescent="0.2">
      <c r="A4" s="248"/>
      <c r="B4" s="249"/>
      <c r="C4" s="250"/>
      <c r="D4" s="251"/>
      <c r="E4" s="251"/>
      <c r="F4" s="251"/>
      <c r="G4" s="251"/>
      <c r="H4" s="251"/>
      <c r="I4" s="251"/>
      <c r="J4" s="251"/>
      <c r="K4" s="251"/>
      <c r="L4" s="251"/>
      <c r="M4" s="251"/>
      <c r="N4" s="251"/>
      <c r="O4" s="251"/>
      <c r="P4" s="252"/>
      <c r="Q4" s="253"/>
      <c r="R4" s="254"/>
      <c r="T4" s="210"/>
      <c r="U4" s="210"/>
      <c r="W4" s="210"/>
      <c r="X4" s="210"/>
      <c r="Z4" s="210"/>
      <c r="AA4" s="210"/>
      <c r="AC4" s="210"/>
      <c r="AD4" s="210"/>
      <c r="AF4" s="210"/>
      <c r="AG4" s="210"/>
      <c r="AI4" s="210"/>
      <c r="AJ4" s="210"/>
      <c r="AL4" s="210"/>
      <c r="AM4" s="210"/>
    </row>
    <row r="5" spans="1:39" s="264" customFormat="1" x14ac:dyDescent="0.2">
      <c r="A5" s="258"/>
      <c r="B5" s="257" t="s">
        <v>29</v>
      </c>
      <c r="C5" s="290"/>
      <c r="D5" s="290">
        <f>C5*$Q5</f>
        <v>0</v>
      </c>
      <c r="E5" s="290"/>
      <c r="F5" s="290">
        <f>E5*$Q5</f>
        <v>0</v>
      </c>
      <c r="G5" s="290"/>
      <c r="H5" s="290">
        <f>G5*$Q5</f>
        <v>0</v>
      </c>
      <c r="I5" s="290"/>
      <c r="J5" s="290">
        <f>I5*$Q5</f>
        <v>0</v>
      </c>
      <c r="K5" s="290"/>
      <c r="L5" s="290">
        <f>K5*$Q5</f>
        <v>0</v>
      </c>
      <c r="M5" s="290"/>
      <c r="N5" s="290">
        <f>M5*$Q5</f>
        <v>0</v>
      </c>
      <c r="O5" s="290"/>
      <c r="P5" s="261"/>
      <c r="Q5" s="262"/>
      <c r="R5" s="263"/>
      <c r="S5" s="386"/>
      <c r="T5" s="357"/>
      <c r="U5" s="357"/>
      <c r="W5" s="387"/>
      <c r="X5" s="357"/>
      <c r="Z5" s="387"/>
      <c r="AA5" s="357"/>
      <c r="AC5" s="387"/>
      <c r="AD5" s="357"/>
      <c r="AF5" s="387"/>
      <c r="AG5" s="357"/>
      <c r="AI5" s="387"/>
      <c r="AJ5" s="357"/>
      <c r="AL5" s="387"/>
      <c r="AM5" s="357"/>
    </row>
    <row r="6" spans="1:39" s="264" customFormat="1" x14ac:dyDescent="0.2">
      <c r="A6" s="258"/>
      <c r="B6" s="259"/>
      <c r="C6" s="290"/>
      <c r="D6" s="290">
        <f>C6*$Q6</f>
        <v>0</v>
      </c>
      <c r="E6" s="290"/>
      <c r="F6" s="290">
        <f>E6*$Q6</f>
        <v>0</v>
      </c>
      <c r="G6" s="290"/>
      <c r="H6" s="290">
        <f>G6*$Q6</f>
        <v>0</v>
      </c>
      <c r="I6" s="290"/>
      <c r="J6" s="290">
        <f>I6*$Q6</f>
        <v>0</v>
      </c>
      <c r="K6" s="290"/>
      <c r="L6" s="290">
        <f>K6*$Q6</f>
        <v>0</v>
      </c>
      <c r="M6" s="290"/>
      <c r="N6" s="290">
        <f>M6*$Q6</f>
        <v>0</v>
      </c>
      <c r="O6" s="290"/>
      <c r="P6" s="261"/>
      <c r="Q6" s="262"/>
      <c r="R6" s="263"/>
      <c r="S6" s="386"/>
      <c r="T6" s="357"/>
      <c r="U6" s="357"/>
      <c r="W6" s="387"/>
      <c r="X6" s="357"/>
      <c r="Z6" s="387"/>
      <c r="AA6" s="357"/>
      <c r="AC6" s="387"/>
      <c r="AD6" s="357"/>
      <c r="AF6" s="387"/>
      <c r="AG6" s="357"/>
      <c r="AI6" s="387"/>
      <c r="AJ6" s="357"/>
      <c r="AL6" s="387"/>
      <c r="AM6" s="357"/>
    </row>
    <row r="7" spans="1:39" s="264" customFormat="1" x14ac:dyDescent="0.2">
      <c r="A7" s="258"/>
      <c r="B7" s="269" t="s">
        <v>198</v>
      </c>
      <c r="C7" s="290"/>
      <c r="D7" s="290"/>
      <c r="E7" s="290"/>
      <c r="F7" s="290"/>
      <c r="G7" s="290"/>
      <c r="H7" s="290"/>
      <c r="I7" s="290"/>
      <c r="J7" s="290"/>
      <c r="K7" s="290"/>
      <c r="L7" s="290"/>
      <c r="M7" s="290"/>
      <c r="N7" s="290"/>
      <c r="O7" s="290"/>
      <c r="P7" s="261"/>
      <c r="Q7" s="262"/>
      <c r="R7" s="263"/>
      <c r="S7" s="386"/>
      <c r="T7" s="357"/>
      <c r="U7" s="357"/>
      <c r="W7" s="387"/>
      <c r="X7" s="357"/>
      <c r="Z7" s="387"/>
      <c r="AA7" s="357"/>
      <c r="AC7" s="387"/>
      <c r="AD7" s="357"/>
      <c r="AF7" s="387"/>
      <c r="AG7" s="357"/>
      <c r="AI7" s="387"/>
      <c r="AJ7" s="357"/>
      <c r="AL7" s="387"/>
      <c r="AM7" s="357"/>
    </row>
    <row r="8" spans="1:39" s="264" customFormat="1" x14ac:dyDescent="0.2">
      <c r="A8" s="258"/>
      <c r="B8" s="206"/>
      <c r="C8" s="290"/>
      <c r="D8" s="290">
        <f t="shared" ref="D8:D18" si="0">C8*$Q8</f>
        <v>0</v>
      </c>
      <c r="E8" s="290"/>
      <c r="F8" s="290">
        <f t="shared" ref="F8:F18" si="1">E8*$Q8</f>
        <v>0</v>
      </c>
      <c r="G8" s="290"/>
      <c r="H8" s="290">
        <f t="shared" ref="H8:H18" si="2">G8*$Q8</f>
        <v>0</v>
      </c>
      <c r="I8" s="290"/>
      <c r="J8" s="290">
        <f t="shared" ref="J8:J18" si="3">I8*$Q8</f>
        <v>0</v>
      </c>
      <c r="K8" s="290"/>
      <c r="L8" s="290">
        <f t="shared" ref="L8:L18" si="4">K8*$Q8</f>
        <v>0</v>
      </c>
      <c r="M8" s="290"/>
      <c r="N8" s="290">
        <f t="shared" ref="N8:N18" si="5">M8*$Q8</f>
        <v>0</v>
      </c>
      <c r="O8" s="290"/>
      <c r="P8" s="261"/>
      <c r="Q8" s="262"/>
      <c r="R8" s="263"/>
      <c r="S8" s="386"/>
      <c r="T8" s="357"/>
      <c r="U8" s="357"/>
      <c r="W8" s="387"/>
      <c r="X8" s="357"/>
      <c r="Z8" s="387"/>
      <c r="AA8" s="357"/>
      <c r="AC8" s="387"/>
      <c r="AD8" s="357"/>
      <c r="AF8" s="387"/>
      <c r="AG8" s="357"/>
      <c r="AI8" s="387"/>
      <c r="AJ8" s="357"/>
      <c r="AL8" s="387"/>
      <c r="AM8" s="357"/>
    </row>
    <row r="9" spans="1:39" s="264" customFormat="1" ht="28.5" customHeight="1" x14ac:dyDescent="0.2">
      <c r="A9" s="258"/>
      <c r="B9" s="206" t="s">
        <v>177</v>
      </c>
      <c r="C9" s="290"/>
      <c r="D9" s="290">
        <f t="shared" si="0"/>
        <v>0</v>
      </c>
      <c r="E9" s="290"/>
      <c r="F9" s="290">
        <f t="shared" si="1"/>
        <v>0</v>
      </c>
      <c r="G9" s="290"/>
      <c r="H9" s="290">
        <f t="shared" si="2"/>
        <v>0</v>
      </c>
      <c r="I9" s="290"/>
      <c r="J9" s="290">
        <f t="shared" si="3"/>
        <v>0</v>
      </c>
      <c r="K9" s="290"/>
      <c r="L9" s="290">
        <f t="shared" si="4"/>
        <v>0</v>
      </c>
      <c r="M9" s="290"/>
      <c r="N9" s="290">
        <f t="shared" si="5"/>
        <v>0</v>
      </c>
      <c r="O9" s="290"/>
      <c r="P9" s="261"/>
      <c r="Q9" s="262"/>
      <c r="R9" s="263"/>
      <c r="S9" s="388"/>
      <c r="T9" s="357"/>
      <c r="U9" s="357"/>
      <c r="W9" s="387"/>
      <c r="X9" s="357"/>
      <c r="Z9" s="387"/>
      <c r="AA9" s="357"/>
      <c r="AC9" s="387"/>
      <c r="AD9" s="357"/>
      <c r="AF9" s="387"/>
      <c r="AG9" s="357"/>
      <c r="AI9" s="387"/>
      <c r="AJ9" s="357"/>
      <c r="AL9" s="387"/>
      <c r="AM9" s="357"/>
    </row>
    <row r="10" spans="1:39" s="264" customFormat="1" x14ac:dyDescent="0.2">
      <c r="A10" s="258"/>
      <c r="B10" s="206"/>
      <c r="C10" s="290"/>
      <c r="D10" s="290">
        <f t="shared" si="0"/>
        <v>0</v>
      </c>
      <c r="E10" s="290"/>
      <c r="F10" s="290">
        <f t="shared" si="1"/>
        <v>0</v>
      </c>
      <c r="G10" s="290"/>
      <c r="H10" s="290">
        <f t="shared" si="2"/>
        <v>0</v>
      </c>
      <c r="I10" s="290"/>
      <c r="J10" s="290">
        <f t="shared" si="3"/>
        <v>0</v>
      </c>
      <c r="K10" s="290"/>
      <c r="L10" s="290">
        <f t="shared" si="4"/>
        <v>0</v>
      </c>
      <c r="M10" s="290"/>
      <c r="N10" s="290">
        <f t="shared" si="5"/>
        <v>0</v>
      </c>
      <c r="O10" s="290"/>
      <c r="P10" s="261"/>
      <c r="Q10" s="262"/>
      <c r="R10" s="263"/>
      <c r="S10" s="388"/>
      <c r="T10" s="357"/>
      <c r="U10" s="357"/>
      <c r="W10" s="387"/>
      <c r="X10" s="357"/>
      <c r="Z10" s="387"/>
      <c r="AA10" s="357"/>
      <c r="AC10" s="387"/>
      <c r="AD10" s="357"/>
      <c r="AF10" s="387"/>
      <c r="AG10" s="357"/>
      <c r="AI10" s="387"/>
      <c r="AJ10" s="357"/>
      <c r="AL10" s="387"/>
      <c r="AM10" s="357"/>
    </row>
    <row r="11" spans="1:39" s="264" customFormat="1" ht="14.45" customHeight="1" x14ac:dyDescent="0.2">
      <c r="A11" s="258"/>
      <c r="B11" s="457" t="s">
        <v>814</v>
      </c>
      <c r="C11" s="290"/>
      <c r="D11" s="290">
        <f t="shared" si="0"/>
        <v>0</v>
      </c>
      <c r="E11" s="290"/>
      <c r="F11" s="290">
        <f t="shared" si="1"/>
        <v>0</v>
      </c>
      <c r="G11" s="290"/>
      <c r="H11" s="290">
        <f t="shared" si="2"/>
        <v>0</v>
      </c>
      <c r="I11" s="290"/>
      <c r="J11" s="290">
        <f t="shared" si="3"/>
        <v>0</v>
      </c>
      <c r="K11" s="290"/>
      <c r="L11" s="290">
        <f t="shared" si="4"/>
        <v>0</v>
      </c>
      <c r="M11" s="290"/>
      <c r="N11" s="290">
        <f t="shared" si="5"/>
        <v>0</v>
      </c>
      <c r="O11" s="290"/>
      <c r="P11" s="261"/>
      <c r="Q11" s="262"/>
      <c r="R11" s="263"/>
      <c r="S11" s="388"/>
      <c r="T11" s="357"/>
      <c r="U11" s="357"/>
      <c r="W11" s="387"/>
      <c r="X11" s="357"/>
      <c r="Z11" s="387"/>
      <c r="AA11" s="357"/>
      <c r="AC11" s="387"/>
      <c r="AD11" s="357"/>
      <c r="AF11" s="387"/>
      <c r="AG11" s="357"/>
      <c r="AI11" s="387"/>
      <c r="AJ11" s="357"/>
      <c r="AL11" s="387"/>
      <c r="AM11" s="357"/>
    </row>
    <row r="12" spans="1:39" s="264" customFormat="1" x14ac:dyDescent="0.2">
      <c r="A12" s="258"/>
      <c r="B12" s="293"/>
      <c r="C12" s="290"/>
      <c r="D12" s="290">
        <f t="shared" si="0"/>
        <v>0</v>
      </c>
      <c r="E12" s="290"/>
      <c r="F12" s="290">
        <f t="shared" si="1"/>
        <v>0</v>
      </c>
      <c r="G12" s="290"/>
      <c r="H12" s="290">
        <f t="shared" si="2"/>
        <v>0</v>
      </c>
      <c r="I12" s="290"/>
      <c r="J12" s="290">
        <f t="shared" si="3"/>
        <v>0</v>
      </c>
      <c r="K12" s="290"/>
      <c r="L12" s="290">
        <f t="shared" si="4"/>
        <v>0</v>
      </c>
      <c r="M12" s="290"/>
      <c r="N12" s="290">
        <f t="shared" si="5"/>
        <v>0</v>
      </c>
      <c r="O12" s="290"/>
      <c r="P12" s="261"/>
      <c r="Q12" s="262"/>
      <c r="R12" s="263"/>
      <c r="S12" s="386"/>
      <c r="T12" s="357"/>
      <c r="U12" s="357"/>
      <c r="W12" s="387"/>
      <c r="X12" s="357"/>
      <c r="Z12" s="387"/>
      <c r="AA12" s="357"/>
      <c r="AC12" s="387"/>
      <c r="AD12" s="357"/>
      <c r="AF12" s="387"/>
      <c r="AG12" s="357"/>
      <c r="AI12" s="387"/>
      <c r="AJ12" s="357"/>
      <c r="AL12" s="387"/>
      <c r="AM12" s="357"/>
    </row>
    <row r="13" spans="1:39" s="264" customFormat="1" x14ac:dyDescent="0.2">
      <c r="A13" s="258"/>
      <c r="B13" s="202" t="s">
        <v>127</v>
      </c>
      <c r="C13" s="290"/>
      <c r="D13" s="290">
        <f t="shared" si="0"/>
        <v>0</v>
      </c>
      <c r="E13" s="290"/>
      <c r="F13" s="290">
        <f t="shared" si="1"/>
        <v>0</v>
      </c>
      <c r="G13" s="290"/>
      <c r="H13" s="290">
        <f t="shared" si="2"/>
        <v>0</v>
      </c>
      <c r="I13" s="290"/>
      <c r="J13" s="290">
        <f t="shared" si="3"/>
        <v>0</v>
      </c>
      <c r="K13" s="290"/>
      <c r="L13" s="290">
        <f t="shared" si="4"/>
        <v>0</v>
      </c>
      <c r="M13" s="290"/>
      <c r="N13" s="290">
        <f t="shared" si="5"/>
        <v>0</v>
      </c>
      <c r="O13" s="290"/>
      <c r="P13" s="261"/>
      <c r="Q13" s="262"/>
      <c r="R13" s="263"/>
      <c r="S13" s="386"/>
      <c r="T13" s="357"/>
      <c r="U13" s="357"/>
      <c r="W13" s="387"/>
      <c r="X13" s="357"/>
      <c r="Z13" s="387"/>
      <c r="AA13" s="357"/>
      <c r="AC13" s="387"/>
      <c r="AD13" s="357"/>
      <c r="AF13" s="387"/>
      <c r="AG13" s="357"/>
      <c r="AI13" s="387"/>
      <c r="AJ13" s="357"/>
      <c r="AL13" s="387"/>
      <c r="AM13" s="357"/>
    </row>
    <row r="14" spans="1:39" s="264" customFormat="1" x14ac:dyDescent="0.2">
      <c r="A14" s="258"/>
      <c r="B14" s="356"/>
      <c r="C14" s="290"/>
      <c r="D14" s="290">
        <f t="shared" si="0"/>
        <v>0</v>
      </c>
      <c r="E14" s="290"/>
      <c r="F14" s="290">
        <f t="shared" si="1"/>
        <v>0</v>
      </c>
      <c r="G14" s="290"/>
      <c r="H14" s="290">
        <f t="shared" si="2"/>
        <v>0</v>
      </c>
      <c r="I14" s="290"/>
      <c r="J14" s="290">
        <f t="shared" si="3"/>
        <v>0</v>
      </c>
      <c r="K14" s="290"/>
      <c r="L14" s="290">
        <f t="shared" si="4"/>
        <v>0</v>
      </c>
      <c r="M14" s="290"/>
      <c r="N14" s="290">
        <f t="shared" si="5"/>
        <v>0</v>
      </c>
      <c r="O14" s="290"/>
      <c r="P14" s="261"/>
      <c r="Q14" s="262"/>
      <c r="R14" s="263"/>
      <c r="S14" s="386"/>
      <c r="T14" s="357"/>
      <c r="U14" s="357"/>
      <c r="W14" s="387"/>
      <c r="X14" s="357"/>
      <c r="Z14" s="387"/>
      <c r="AA14" s="357"/>
      <c r="AC14" s="387"/>
      <c r="AD14" s="357"/>
      <c r="AF14" s="387"/>
      <c r="AG14" s="357"/>
      <c r="AI14" s="387"/>
      <c r="AJ14" s="357"/>
      <c r="AL14" s="387"/>
      <c r="AM14" s="357"/>
    </row>
    <row r="15" spans="1:39" s="264" customFormat="1" ht="28.5" customHeight="1" x14ac:dyDescent="0.2">
      <c r="A15" s="258"/>
      <c r="B15" s="202" t="s">
        <v>815</v>
      </c>
      <c r="C15" s="290"/>
      <c r="D15" s="290">
        <f t="shared" si="0"/>
        <v>0</v>
      </c>
      <c r="E15" s="290"/>
      <c r="F15" s="290">
        <f t="shared" si="1"/>
        <v>0</v>
      </c>
      <c r="G15" s="290"/>
      <c r="H15" s="290">
        <f t="shared" si="2"/>
        <v>0</v>
      </c>
      <c r="I15" s="290"/>
      <c r="J15" s="290">
        <f t="shared" si="3"/>
        <v>0</v>
      </c>
      <c r="K15" s="290"/>
      <c r="L15" s="290">
        <f t="shared" si="4"/>
        <v>0</v>
      </c>
      <c r="M15" s="290"/>
      <c r="N15" s="290">
        <f t="shared" si="5"/>
        <v>0</v>
      </c>
      <c r="O15" s="290"/>
      <c r="P15" s="261"/>
      <c r="Q15" s="262"/>
      <c r="R15" s="263"/>
      <c r="S15" s="388"/>
      <c r="T15" s="357"/>
      <c r="U15" s="357"/>
      <c r="W15" s="387"/>
      <c r="X15" s="357"/>
      <c r="Z15" s="387"/>
      <c r="AA15" s="357"/>
      <c r="AC15" s="387"/>
      <c r="AD15" s="357"/>
      <c r="AF15" s="387"/>
      <c r="AG15" s="357"/>
      <c r="AI15" s="387"/>
      <c r="AJ15" s="357"/>
      <c r="AL15" s="387"/>
      <c r="AM15" s="357"/>
    </row>
    <row r="16" spans="1:39" s="264" customFormat="1" x14ac:dyDescent="0.2">
      <c r="A16" s="258"/>
      <c r="B16" s="202"/>
      <c r="C16" s="290"/>
      <c r="D16" s="290">
        <f t="shared" si="0"/>
        <v>0</v>
      </c>
      <c r="E16" s="290"/>
      <c r="F16" s="290">
        <f t="shared" si="1"/>
        <v>0</v>
      </c>
      <c r="G16" s="290"/>
      <c r="H16" s="290">
        <f t="shared" si="2"/>
        <v>0</v>
      </c>
      <c r="I16" s="290"/>
      <c r="J16" s="290">
        <f t="shared" si="3"/>
        <v>0</v>
      </c>
      <c r="K16" s="290"/>
      <c r="L16" s="290">
        <f t="shared" si="4"/>
        <v>0</v>
      </c>
      <c r="M16" s="290"/>
      <c r="N16" s="290">
        <f t="shared" si="5"/>
        <v>0</v>
      </c>
      <c r="O16" s="290"/>
      <c r="P16" s="261"/>
      <c r="Q16" s="262"/>
      <c r="R16" s="263"/>
      <c r="S16" s="388"/>
      <c r="T16" s="357"/>
      <c r="U16" s="357"/>
      <c r="W16" s="387"/>
      <c r="X16" s="357"/>
      <c r="Z16" s="387"/>
      <c r="AA16" s="357"/>
      <c r="AC16" s="387"/>
      <c r="AD16" s="357"/>
      <c r="AF16" s="387"/>
      <c r="AG16" s="357"/>
      <c r="AI16" s="387"/>
      <c r="AJ16" s="357"/>
      <c r="AL16" s="387"/>
      <c r="AM16" s="357"/>
    </row>
    <row r="17" spans="1:39" s="264" customFormat="1" ht="28.5" x14ac:dyDescent="0.2">
      <c r="A17" s="308"/>
      <c r="B17" s="202" t="s">
        <v>816</v>
      </c>
      <c r="C17" s="290"/>
      <c r="D17" s="290">
        <f t="shared" si="0"/>
        <v>0</v>
      </c>
      <c r="E17" s="290"/>
      <c r="F17" s="290">
        <f t="shared" si="1"/>
        <v>0</v>
      </c>
      <c r="G17" s="290"/>
      <c r="H17" s="290">
        <f t="shared" si="2"/>
        <v>0</v>
      </c>
      <c r="I17" s="290"/>
      <c r="J17" s="290">
        <f t="shared" si="3"/>
        <v>0</v>
      </c>
      <c r="K17" s="290"/>
      <c r="L17" s="290">
        <f t="shared" si="4"/>
        <v>0</v>
      </c>
      <c r="M17" s="290"/>
      <c r="N17" s="290">
        <f t="shared" si="5"/>
        <v>0</v>
      </c>
      <c r="O17" s="290"/>
      <c r="P17" s="261"/>
      <c r="Q17" s="262"/>
      <c r="R17" s="263"/>
      <c r="S17" s="388"/>
      <c r="T17" s="357"/>
      <c r="U17" s="357"/>
      <c r="W17" s="387"/>
      <c r="X17" s="357"/>
      <c r="Z17" s="387"/>
      <c r="AA17" s="357"/>
      <c r="AC17" s="387"/>
      <c r="AD17" s="357"/>
      <c r="AF17" s="387"/>
      <c r="AG17" s="357"/>
      <c r="AI17" s="387"/>
      <c r="AJ17" s="357"/>
      <c r="AL17" s="387"/>
      <c r="AM17" s="357"/>
    </row>
    <row r="18" spans="1:39" s="264" customFormat="1" x14ac:dyDescent="0.2">
      <c r="A18" s="308"/>
      <c r="B18" s="293"/>
      <c r="C18" s="290"/>
      <c r="D18" s="290">
        <f t="shared" si="0"/>
        <v>0</v>
      </c>
      <c r="E18" s="290"/>
      <c r="F18" s="290">
        <f t="shared" si="1"/>
        <v>0</v>
      </c>
      <c r="G18" s="290"/>
      <c r="H18" s="290">
        <f t="shared" si="2"/>
        <v>0</v>
      </c>
      <c r="I18" s="290"/>
      <c r="J18" s="290">
        <f t="shared" si="3"/>
        <v>0</v>
      </c>
      <c r="K18" s="290"/>
      <c r="L18" s="290">
        <f t="shared" si="4"/>
        <v>0</v>
      </c>
      <c r="M18" s="290"/>
      <c r="N18" s="290">
        <f t="shared" si="5"/>
        <v>0</v>
      </c>
      <c r="O18" s="290"/>
      <c r="P18" s="261"/>
      <c r="Q18" s="262"/>
      <c r="R18" s="263"/>
      <c r="S18" s="388"/>
      <c r="T18" s="357"/>
      <c r="U18" s="357"/>
      <c r="W18" s="387"/>
      <c r="X18" s="357"/>
      <c r="Z18" s="387"/>
      <c r="AA18" s="357"/>
      <c r="AC18" s="387"/>
      <c r="AD18" s="357"/>
      <c r="AF18" s="387"/>
      <c r="AG18" s="357"/>
      <c r="AI18" s="387"/>
      <c r="AJ18" s="357"/>
      <c r="AL18" s="387"/>
      <c r="AM18" s="357"/>
    </row>
    <row r="19" spans="1:39" s="264" customFormat="1" x14ac:dyDescent="0.2">
      <c r="A19" s="258" t="s">
        <v>66</v>
      </c>
      <c r="B19" s="259" t="s">
        <v>817</v>
      </c>
      <c r="C19" s="290">
        <f>(W19+X19)*$C$3</f>
        <v>44</v>
      </c>
      <c r="D19" s="290">
        <f>C19*$Q19</f>
        <v>0</v>
      </c>
      <c r="E19" s="290">
        <f>(Z19+AA19)*$E$3</f>
        <v>56</v>
      </c>
      <c r="F19" s="290">
        <f>E19*$Q19</f>
        <v>0</v>
      </c>
      <c r="G19" s="290">
        <f>(AC19+AD19)*$G$3</f>
        <v>340</v>
      </c>
      <c r="H19" s="290">
        <f>G19*$Q19</f>
        <v>0</v>
      </c>
      <c r="I19" s="290">
        <f>(AF19+AG19)*$I$3</f>
        <v>80</v>
      </c>
      <c r="J19" s="290">
        <f>I19*$Q19</f>
        <v>0</v>
      </c>
      <c r="K19" s="290">
        <f>(AI19+AJ19)*$K$3</f>
        <v>276</v>
      </c>
      <c r="L19" s="290">
        <f>K19*$Q19</f>
        <v>0</v>
      </c>
      <c r="M19" s="290">
        <f>(AL19+AM19)*$M$3</f>
        <v>104</v>
      </c>
      <c r="N19" s="290">
        <f>M19*$Q19</f>
        <v>0</v>
      </c>
      <c r="O19" s="290">
        <f>C19+E19+G19+I19+K19+M19</f>
        <v>900</v>
      </c>
      <c r="P19" s="261" t="s">
        <v>12</v>
      </c>
      <c r="Q19" s="262"/>
      <c r="R19" s="263"/>
      <c r="S19" s="389"/>
      <c r="T19" s="339">
        <v>10</v>
      </c>
      <c r="U19" s="266">
        <v>12</v>
      </c>
      <c r="W19" s="268">
        <f>T19*$W$3</f>
        <v>20</v>
      </c>
      <c r="X19" s="266">
        <f>U19*$X$3</f>
        <v>24</v>
      </c>
      <c r="Y19" s="267"/>
      <c r="Z19" s="268">
        <f>W19</f>
        <v>20</v>
      </c>
      <c r="AA19" s="266">
        <f>U19*$AA$3</f>
        <v>36</v>
      </c>
      <c r="AB19" s="267"/>
      <c r="AC19" s="268">
        <f>W19</f>
        <v>20</v>
      </c>
      <c r="AD19" s="266">
        <f>U19*$AD$3</f>
        <v>48</v>
      </c>
      <c r="AE19" s="267"/>
      <c r="AF19" s="268">
        <f>W19</f>
        <v>20</v>
      </c>
      <c r="AG19" s="266">
        <f>U19*$AG$3</f>
        <v>60</v>
      </c>
      <c r="AH19" s="267"/>
      <c r="AI19" s="268">
        <f>W19</f>
        <v>20</v>
      </c>
      <c r="AJ19" s="266">
        <f>U19*$AJ$3</f>
        <v>72</v>
      </c>
      <c r="AK19" s="267"/>
      <c r="AL19" s="268">
        <f>W19</f>
        <v>20</v>
      </c>
      <c r="AM19" s="266">
        <f>U19*$AM$3</f>
        <v>84</v>
      </c>
    </row>
    <row r="20" spans="1:39" s="264" customFormat="1" x14ac:dyDescent="0.2">
      <c r="A20" s="258"/>
      <c r="B20" s="259"/>
      <c r="C20" s="290"/>
      <c r="D20" s="290"/>
      <c r="E20" s="290"/>
      <c r="F20" s="290"/>
      <c r="G20" s="290"/>
      <c r="H20" s="290"/>
      <c r="I20" s="290"/>
      <c r="J20" s="290"/>
      <c r="K20" s="290"/>
      <c r="L20" s="290"/>
      <c r="M20" s="290"/>
      <c r="N20" s="290"/>
      <c r="O20" s="290"/>
      <c r="P20" s="261"/>
      <c r="Q20" s="262"/>
      <c r="R20" s="263"/>
      <c r="S20" s="389"/>
      <c r="T20" s="339"/>
      <c r="U20" s="339"/>
      <c r="W20" s="387"/>
      <c r="X20" s="339"/>
      <c r="Z20" s="387"/>
      <c r="AA20" s="339"/>
      <c r="AC20" s="387"/>
      <c r="AD20" s="339"/>
      <c r="AF20" s="387"/>
      <c r="AG20" s="339"/>
      <c r="AI20" s="387"/>
      <c r="AJ20" s="339"/>
      <c r="AL20" s="387"/>
      <c r="AM20" s="339"/>
    </row>
    <row r="21" spans="1:39" s="264" customFormat="1" x14ac:dyDescent="0.2">
      <c r="A21" s="258" t="s">
        <v>67</v>
      </c>
      <c r="B21" s="341" t="s">
        <v>941</v>
      </c>
      <c r="C21" s="290">
        <f>(W21+X21)*$C$3</f>
        <v>60</v>
      </c>
      <c r="D21" s="290">
        <f>C21*$Q21</f>
        <v>0</v>
      </c>
      <c r="E21" s="290">
        <f>(Z21+AA21)*$E$3</f>
        <v>73</v>
      </c>
      <c r="F21" s="290">
        <f>E21*$Q21</f>
        <v>0</v>
      </c>
      <c r="G21" s="290">
        <f>(AC21+AD21)*$G$3</f>
        <v>430</v>
      </c>
      <c r="H21" s="290">
        <f>G21*$Q21</f>
        <v>0</v>
      </c>
      <c r="I21" s="290">
        <f>(AF21+AG21)*$I$3</f>
        <v>99</v>
      </c>
      <c r="J21" s="290">
        <f>I21*$Q21</f>
        <v>0</v>
      </c>
      <c r="K21" s="290">
        <f>(AI21+AJ21)*$K$3</f>
        <v>336</v>
      </c>
      <c r="L21" s="290">
        <f>K21*$Q21</f>
        <v>0</v>
      </c>
      <c r="M21" s="290">
        <f>(AL21+AM21)*$M$3</f>
        <v>125</v>
      </c>
      <c r="N21" s="290">
        <f>M21*$Q21</f>
        <v>0</v>
      </c>
      <c r="O21" s="290">
        <f>C21+E21+G21+I21+K21+M21</f>
        <v>1123</v>
      </c>
      <c r="P21" s="261" t="s">
        <v>12</v>
      </c>
      <c r="Q21" s="262"/>
      <c r="R21" s="263"/>
      <c r="S21" s="389"/>
      <c r="T21" s="339">
        <v>17</v>
      </c>
      <c r="U21" s="266">
        <v>13</v>
      </c>
      <c r="W21" s="268">
        <f>T21*$W$3</f>
        <v>34</v>
      </c>
      <c r="X21" s="266">
        <f>U21*$X$3</f>
        <v>26</v>
      </c>
      <c r="Y21" s="267"/>
      <c r="Z21" s="268">
        <f>W21</f>
        <v>34</v>
      </c>
      <c r="AA21" s="266">
        <f>U21*$AA$3</f>
        <v>39</v>
      </c>
      <c r="AB21" s="267"/>
      <c r="AC21" s="268">
        <f>W21</f>
        <v>34</v>
      </c>
      <c r="AD21" s="266">
        <f>U21*$AD$3</f>
        <v>52</v>
      </c>
      <c r="AE21" s="267"/>
      <c r="AF21" s="268">
        <f>W21</f>
        <v>34</v>
      </c>
      <c r="AG21" s="266">
        <f>U21*$AG$3</f>
        <v>65</v>
      </c>
      <c r="AH21" s="267"/>
      <c r="AI21" s="268">
        <f>W21</f>
        <v>34</v>
      </c>
      <c r="AJ21" s="266">
        <f>U21*$AJ$3</f>
        <v>78</v>
      </c>
      <c r="AK21" s="267"/>
      <c r="AL21" s="268">
        <f>W21</f>
        <v>34</v>
      </c>
      <c r="AM21" s="266">
        <f>U21*$AM$3</f>
        <v>91</v>
      </c>
    </row>
    <row r="22" spans="1:39" s="264" customFormat="1" x14ac:dyDescent="0.2">
      <c r="A22" s="258"/>
      <c r="B22" s="259"/>
      <c r="C22" s="290"/>
      <c r="D22" s="290"/>
      <c r="E22" s="290"/>
      <c r="F22" s="290"/>
      <c r="G22" s="290"/>
      <c r="H22" s="290"/>
      <c r="I22" s="290"/>
      <c r="J22" s="290"/>
      <c r="K22" s="290"/>
      <c r="L22" s="290"/>
      <c r="M22" s="290"/>
      <c r="N22" s="290"/>
      <c r="O22" s="290"/>
      <c r="P22" s="261"/>
      <c r="Q22" s="262"/>
      <c r="R22" s="263"/>
      <c r="S22" s="388"/>
      <c r="T22" s="390"/>
      <c r="U22" s="390"/>
      <c r="W22" s="387"/>
      <c r="X22" s="339"/>
      <c r="Z22" s="387"/>
      <c r="AA22" s="339"/>
      <c r="AC22" s="387"/>
      <c r="AD22" s="339"/>
      <c r="AF22" s="387"/>
      <c r="AG22" s="339"/>
      <c r="AI22" s="387"/>
      <c r="AJ22" s="339"/>
      <c r="AL22" s="387"/>
      <c r="AM22" s="339"/>
    </row>
    <row r="23" spans="1:39" s="264" customFormat="1" x14ac:dyDescent="0.2">
      <c r="A23" s="258"/>
      <c r="B23" s="293" t="s">
        <v>818</v>
      </c>
      <c r="C23" s="290"/>
      <c r="D23" s="290"/>
      <c r="E23" s="290"/>
      <c r="F23" s="290"/>
      <c r="G23" s="290"/>
      <c r="H23" s="290"/>
      <c r="I23" s="290"/>
      <c r="J23" s="290"/>
      <c r="K23" s="290"/>
      <c r="L23" s="290"/>
      <c r="M23" s="290"/>
      <c r="N23" s="290"/>
      <c r="O23" s="290"/>
      <c r="P23" s="261"/>
      <c r="Q23" s="262"/>
      <c r="R23" s="263"/>
      <c r="S23" s="388"/>
      <c r="T23" s="390"/>
      <c r="U23" s="266"/>
      <c r="W23" s="268"/>
      <c r="X23" s="266"/>
      <c r="Y23" s="267"/>
      <c r="Z23" s="268"/>
      <c r="AA23" s="266"/>
      <c r="AB23" s="267"/>
      <c r="AC23" s="268"/>
      <c r="AD23" s="266"/>
      <c r="AE23" s="267"/>
      <c r="AF23" s="268"/>
      <c r="AG23" s="266"/>
      <c r="AH23" s="267"/>
      <c r="AI23" s="268"/>
      <c r="AJ23" s="266"/>
      <c r="AK23" s="267"/>
      <c r="AL23" s="268"/>
      <c r="AM23" s="266"/>
    </row>
    <row r="24" spans="1:39" s="264" customFormat="1" x14ac:dyDescent="0.2">
      <c r="A24" s="258"/>
      <c r="B24" s="259"/>
      <c r="C24" s="290"/>
      <c r="D24" s="290"/>
      <c r="E24" s="290"/>
      <c r="F24" s="290"/>
      <c r="G24" s="290"/>
      <c r="H24" s="290"/>
      <c r="I24" s="290"/>
      <c r="J24" s="290"/>
      <c r="K24" s="290"/>
      <c r="L24" s="290"/>
      <c r="M24" s="290"/>
      <c r="N24" s="290"/>
      <c r="O24" s="290"/>
      <c r="P24" s="261"/>
      <c r="Q24" s="262"/>
      <c r="R24" s="263"/>
      <c r="S24" s="388"/>
      <c r="T24" s="390"/>
      <c r="U24" s="390"/>
      <c r="W24" s="387"/>
      <c r="X24" s="339"/>
      <c r="Z24" s="387"/>
      <c r="AA24" s="339"/>
      <c r="AC24" s="387"/>
      <c r="AD24" s="339"/>
      <c r="AF24" s="387"/>
      <c r="AG24" s="339"/>
      <c r="AI24" s="387"/>
      <c r="AJ24" s="339"/>
      <c r="AL24" s="387"/>
      <c r="AM24" s="339"/>
    </row>
    <row r="25" spans="1:39" s="264" customFormat="1" x14ac:dyDescent="0.2">
      <c r="A25" s="258" t="s">
        <v>68</v>
      </c>
      <c r="B25" s="341" t="s">
        <v>942</v>
      </c>
      <c r="C25" s="290">
        <f>(W25+X25)*$C$3</f>
        <v>2</v>
      </c>
      <c r="D25" s="290">
        <f>C25*$Q25</f>
        <v>0</v>
      </c>
      <c r="E25" s="290">
        <f>(Z25+AA25)*$E$3</f>
        <v>3</v>
      </c>
      <c r="F25" s="290">
        <f>E25*$Q25</f>
        <v>0</v>
      </c>
      <c r="G25" s="290">
        <f>(AC25+AD25)*$G$3</f>
        <v>20</v>
      </c>
      <c r="H25" s="290">
        <f>G25*$Q25</f>
        <v>0</v>
      </c>
      <c r="I25" s="290">
        <f>(AF25+AG25)*$I$3</f>
        <v>5</v>
      </c>
      <c r="J25" s="290">
        <f>I25*$Q25</f>
        <v>0</v>
      </c>
      <c r="K25" s="290">
        <f>(AI25+AJ25)*$K$3</f>
        <v>18</v>
      </c>
      <c r="L25" s="290">
        <f>K25*$Q25</f>
        <v>0</v>
      </c>
      <c r="M25" s="290">
        <f>(AL25+AM25)*$M$3</f>
        <v>7</v>
      </c>
      <c r="N25" s="290">
        <f>M25*$Q25</f>
        <v>0</v>
      </c>
      <c r="O25" s="290">
        <f>C25+E25+G25+I25+K25+M25</f>
        <v>55</v>
      </c>
      <c r="P25" s="261" t="s">
        <v>269</v>
      </c>
      <c r="Q25" s="262"/>
      <c r="R25" s="263"/>
      <c r="S25" s="388"/>
      <c r="T25" s="390"/>
      <c r="U25" s="266">
        <v>1</v>
      </c>
      <c r="W25" s="268">
        <f>T25*$W$3</f>
        <v>0</v>
      </c>
      <c r="X25" s="266">
        <f>U25*$X$3</f>
        <v>2</v>
      </c>
      <c r="Y25" s="267"/>
      <c r="Z25" s="268">
        <f>W25</f>
        <v>0</v>
      </c>
      <c r="AA25" s="266">
        <f>U25*$AA$3</f>
        <v>3</v>
      </c>
      <c r="AB25" s="267"/>
      <c r="AC25" s="268">
        <f>W25</f>
        <v>0</v>
      </c>
      <c r="AD25" s="266">
        <f>U25*$AD$3</f>
        <v>4</v>
      </c>
      <c r="AE25" s="267"/>
      <c r="AF25" s="268">
        <f>W25</f>
        <v>0</v>
      </c>
      <c r="AG25" s="266">
        <f>U25*$AG$3</f>
        <v>5</v>
      </c>
      <c r="AH25" s="267"/>
      <c r="AI25" s="268">
        <f>W25</f>
        <v>0</v>
      </c>
      <c r="AJ25" s="266">
        <f>U25*$AJ$3</f>
        <v>6</v>
      </c>
      <c r="AK25" s="267"/>
      <c r="AL25" s="268">
        <f>W25</f>
        <v>0</v>
      </c>
      <c r="AM25" s="266">
        <f>U25*$AM$3</f>
        <v>7</v>
      </c>
    </row>
    <row r="26" spans="1:39" s="264" customFormat="1" x14ac:dyDescent="0.2">
      <c r="A26" s="258"/>
      <c r="B26" s="259"/>
      <c r="C26" s="290"/>
      <c r="D26" s="290"/>
      <c r="E26" s="290"/>
      <c r="F26" s="290"/>
      <c r="G26" s="290"/>
      <c r="H26" s="290"/>
      <c r="I26" s="290"/>
      <c r="J26" s="290"/>
      <c r="K26" s="290"/>
      <c r="L26" s="290"/>
      <c r="M26" s="290"/>
      <c r="N26" s="290"/>
      <c r="O26" s="290"/>
      <c r="P26" s="261"/>
      <c r="Q26" s="262"/>
      <c r="R26" s="263"/>
      <c r="S26" s="388"/>
      <c r="T26" s="390"/>
      <c r="U26" s="390"/>
      <c r="W26" s="387"/>
      <c r="X26" s="339"/>
      <c r="Z26" s="387"/>
      <c r="AA26" s="339"/>
      <c r="AC26" s="387"/>
      <c r="AD26" s="339"/>
      <c r="AF26" s="387"/>
      <c r="AG26" s="339"/>
      <c r="AI26" s="387"/>
      <c r="AJ26" s="339"/>
      <c r="AL26" s="387"/>
      <c r="AM26" s="339"/>
    </row>
    <row r="27" spans="1:39" s="264" customFormat="1" x14ac:dyDescent="0.2">
      <c r="A27" s="258" t="s">
        <v>69</v>
      </c>
      <c r="B27" s="341" t="s">
        <v>943</v>
      </c>
      <c r="C27" s="290">
        <f>(W27+X27)*$C$3</f>
        <v>2</v>
      </c>
      <c r="D27" s="290">
        <f>C27*$Q27</f>
        <v>0</v>
      </c>
      <c r="E27" s="290">
        <f>(Z27+AA27)*$E$3</f>
        <v>3</v>
      </c>
      <c r="F27" s="290">
        <f>E27*$Q27</f>
        <v>0</v>
      </c>
      <c r="G27" s="290">
        <f>(AC27+AD27)*$G$3</f>
        <v>20</v>
      </c>
      <c r="H27" s="290">
        <f>G27*$Q27</f>
        <v>0</v>
      </c>
      <c r="I27" s="290">
        <f>(AF27+AG27)*$I$3</f>
        <v>5</v>
      </c>
      <c r="J27" s="290">
        <f>I27*$Q27</f>
        <v>0</v>
      </c>
      <c r="K27" s="290">
        <f>(AI27+AJ27)*$K$3</f>
        <v>18</v>
      </c>
      <c r="L27" s="290">
        <f>K27*$Q27</f>
        <v>0</v>
      </c>
      <c r="M27" s="290">
        <f>(AL27+AM27)*$M$3</f>
        <v>7</v>
      </c>
      <c r="N27" s="290">
        <f>M27*$Q27</f>
        <v>0</v>
      </c>
      <c r="O27" s="290">
        <f>C27+E27+G27+I27+K27+M27</f>
        <v>55</v>
      </c>
      <c r="P27" s="261" t="s">
        <v>269</v>
      </c>
      <c r="Q27" s="262"/>
      <c r="R27" s="263"/>
      <c r="S27" s="388"/>
      <c r="T27" s="390"/>
      <c r="U27" s="266">
        <v>1</v>
      </c>
      <c r="W27" s="268">
        <f>T27*$W$3</f>
        <v>0</v>
      </c>
      <c r="X27" s="266">
        <f>U27*$X$3</f>
        <v>2</v>
      </c>
      <c r="Y27" s="267"/>
      <c r="Z27" s="268">
        <f>W27</f>
        <v>0</v>
      </c>
      <c r="AA27" s="266">
        <f>U27*$AA$3</f>
        <v>3</v>
      </c>
      <c r="AB27" s="267"/>
      <c r="AC27" s="268">
        <f>W27</f>
        <v>0</v>
      </c>
      <c r="AD27" s="266">
        <f>U27*$AD$3</f>
        <v>4</v>
      </c>
      <c r="AE27" s="267"/>
      <c r="AF27" s="268">
        <f>W27</f>
        <v>0</v>
      </c>
      <c r="AG27" s="266">
        <f>U27*$AG$3</f>
        <v>5</v>
      </c>
      <c r="AH27" s="267"/>
      <c r="AI27" s="268">
        <f>W27</f>
        <v>0</v>
      </c>
      <c r="AJ27" s="266">
        <f>U27*$AJ$3</f>
        <v>6</v>
      </c>
      <c r="AK27" s="267"/>
      <c r="AL27" s="268">
        <f>W27</f>
        <v>0</v>
      </c>
      <c r="AM27" s="266">
        <f>U27*$AM$3</f>
        <v>7</v>
      </c>
    </row>
    <row r="28" spans="1:39" s="264" customFormat="1" x14ac:dyDescent="0.2">
      <c r="A28" s="258"/>
      <c r="B28" s="259"/>
      <c r="C28" s="290"/>
      <c r="D28" s="290"/>
      <c r="E28" s="290"/>
      <c r="F28" s="290"/>
      <c r="G28" s="290"/>
      <c r="H28" s="290"/>
      <c r="I28" s="290"/>
      <c r="J28" s="290"/>
      <c r="K28" s="290"/>
      <c r="L28" s="290"/>
      <c r="M28" s="290"/>
      <c r="N28" s="290"/>
      <c r="O28" s="290"/>
      <c r="P28" s="261"/>
      <c r="Q28" s="262"/>
      <c r="R28" s="263"/>
      <c r="S28" s="388"/>
      <c r="T28" s="390"/>
      <c r="U28" s="390"/>
      <c r="W28" s="387"/>
      <c r="X28" s="339"/>
      <c r="Z28" s="387"/>
      <c r="AA28" s="339"/>
      <c r="AC28" s="387"/>
      <c r="AD28" s="339"/>
      <c r="AF28" s="387"/>
      <c r="AG28" s="339"/>
      <c r="AI28" s="387"/>
      <c r="AJ28" s="339"/>
      <c r="AL28" s="387"/>
      <c r="AM28" s="339"/>
    </row>
    <row r="29" spans="1:39" s="264" customFormat="1" x14ac:dyDescent="0.2">
      <c r="A29" s="258" t="s">
        <v>70</v>
      </c>
      <c r="B29" s="341" t="s">
        <v>944</v>
      </c>
      <c r="C29" s="290">
        <f>(W29+X29)*$C$3</f>
        <v>2</v>
      </c>
      <c r="D29" s="290">
        <f>C29*$Q29</f>
        <v>0</v>
      </c>
      <c r="E29" s="290">
        <f>(Z29+AA29)*$E$3</f>
        <v>2</v>
      </c>
      <c r="F29" s="290">
        <f>E29*$Q29</f>
        <v>0</v>
      </c>
      <c r="G29" s="290">
        <f>(AC29+AD29)*$G$3</f>
        <v>10</v>
      </c>
      <c r="H29" s="290">
        <f>G29*$Q29</f>
        <v>0</v>
      </c>
      <c r="I29" s="290">
        <f>(AF29+AG29)*$I$3</f>
        <v>2</v>
      </c>
      <c r="J29" s="290">
        <f>I29*$Q29</f>
        <v>0</v>
      </c>
      <c r="K29" s="290">
        <f>(AI29+AJ29)*$K$3</f>
        <v>6</v>
      </c>
      <c r="L29" s="290">
        <f>K29*$Q29</f>
        <v>0</v>
      </c>
      <c r="M29" s="290">
        <f>(AL29+AM29)*$M$3</f>
        <v>2</v>
      </c>
      <c r="N29" s="290">
        <f>M29*$Q29</f>
        <v>0</v>
      </c>
      <c r="O29" s="290">
        <f>C29+E29+G29+I29+K29+M29</f>
        <v>24</v>
      </c>
      <c r="P29" s="261" t="s">
        <v>269</v>
      </c>
      <c r="Q29" s="262"/>
      <c r="R29" s="263"/>
      <c r="S29" s="388"/>
      <c r="T29" s="357">
        <v>1</v>
      </c>
      <c r="U29" s="266"/>
      <c r="W29" s="268">
        <f>T29*$W$3</f>
        <v>2</v>
      </c>
      <c r="X29" s="266">
        <f>U29*$X$3</f>
        <v>0</v>
      </c>
      <c r="Y29" s="267"/>
      <c r="Z29" s="268">
        <f>W29</f>
        <v>2</v>
      </c>
      <c r="AA29" s="266">
        <f>U29*$AA$3</f>
        <v>0</v>
      </c>
      <c r="AB29" s="267"/>
      <c r="AC29" s="268">
        <f>W29</f>
        <v>2</v>
      </c>
      <c r="AD29" s="266">
        <f>U29*$AD$3</f>
        <v>0</v>
      </c>
      <c r="AE29" s="267"/>
      <c r="AF29" s="268">
        <f>W29</f>
        <v>2</v>
      </c>
      <c r="AG29" s="266">
        <f>U29*$AG$3</f>
        <v>0</v>
      </c>
      <c r="AH29" s="267"/>
      <c r="AI29" s="268">
        <f>W29</f>
        <v>2</v>
      </c>
      <c r="AJ29" s="266">
        <f>U29*$AJ$3</f>
        <v>0</v>
      </c>
      <c r="AK29" s="267"/>
      <c r="AL29" s="268">
        <f>W29</f>
        <v>2</v>
      </c>
      <c r="AM29" s="266">
        <f>U29*$AM$3</f>
        <v>0</v>
      </c>
    </row>
    <row r="30" spans="1:39" s="264" customFormat="1" x14ac:dyDescent="0.2">
      <c r="A30" s="258"/>
      <c r="B30" s="259"/>
      <c r="C30" s="290"/>
      <c r="D30" s="290"/>
      <c r="E30" s="290"/>
      <c r="F30" s="290"/>
      <c r="G30" s="290"/>
      <c r="H30" s="290"/>
      <c r="I30" s="290"/>
      <c r="J30" s="290"/>
      <c r="K30" s="290"/>
      <c r="L30" s="290"/>
      <c r="M30" s="290"/>
      <c r="N30" s="290"/>
      <c r="O30" s="290"/>
      <c r="P30" s="261"/>
      <c r="Q30" s="262"/>
      <c r="R30" s="263"/>
      <c r="S30" s="388"/>
      <c r="T30" s="357"/>
      <c r="U30" s="390"/>
      <c r="W30" s="387"/>
      <c r="X30" s="339"/>
      <c r="Z30" s="387"/>
      <c r="AA30" s="339"/>
      <c r="AC30" s="387"/>
      <c r="AD30" s="339"/>
      <c r="AF30" s="387"/>
      <c r="AG30" s="339"/>
      <c r="AI30" s="387"/>
      <c r="AJ30" s="339"/>
      <c r="AL30" s="387"/>
      <c r="AM30" s="339"/>
    </row>
    <row r="31" spans="1:39" s="264" customFormat="1" x14ac:dyDescent="0.2">
      <c r="A31" s="258" t="s">
        <v>71</v>
      </c>
      <c r="B31" s="341" t="s">
        <v>945</v>
      </c>
      <c r="C31" s="290">
        <f>(W31+X31)*$C$3</f>
        <v>2</v>
      </c>
      <c r="D31" s="290">
        <f>C31*$Q31</f>
        <v>0</v>
      </c>
      <c r="E31" s="290">
        <f>(Z31+AA31)*$E$3</f>
        <v>2</v>
      </c>
      <c r="F31" s="290">
        <f>E31*$Q31</f>
        <v>0</v>
      </c>
      <c r="G31" s="290">
        <f>(AC31+AD31)*$G$3</f>
        <v>10</v>
      </c>
      <c r="H31" s="290">
        <f>G31*$Q31</f>
        <v>0</v>
      </c>
      <c r="I31" s="290">
        <f>(AF31+AG31)*$I$3</f>
        <v>2</v>
      </c>
      <c r="J31" s="290">
        <f>I31*$Q31</f>
        <v>0</v>
      </c>
      <c r="K31" s="290">
        <f>(AI31+AJ31)*$K$3</f>
        <v>6</v>
      </c>
      <c r="L31" s="290">
        <f>K31*$Q31</f>
        <v>0</v>
      </c>
      <c r="M31" s="290">
        <f>(AL31+AM31)*$M$3</f>
        <v>2</v>
      </c>
      <c r="N31" s="290">
        <f>M31*$Q31</f>
        <v>0</v>
      </c>
      <c r="O31" s="290">
        <f>C31+E31+G31+I31+K31+M31</f>
        <v>24</v>
      </c>
      <c r="P31" s="261" t="s">
        <v>269</v>
      </c>
      <c r="Q31" s="262"/>
      <c r="R31" s="263"/>
      <c r="S31" s="388"/>
      <c r="T31" s="357">
        <v>1</v>
      </c>
      <c r="U31" s="266"/>
      <c r="W31" s="268">
        <f>T31*$W$3</f>
        <v>2</v>
      </c>
      <c r="X31" s="266">
        <f>U31*$X$3</f>
        <v>0</v>
      </c>
      <c r="Y31" s="267"/>
      <c r="Z31" s="268">
        <f>W31</f>
        <v>2</v>
      </c>
      <c r="AA31" s="266">
        <f>U31*$AA$3</f>
        <v>0</v>
      </c>
      <c r="AB31" s="267"/>
      <c r="AC31" s="268">
        <f>W31</f>
        <v>2</v>
      </c>
      <c r="AD31" s="266">
        <f>U31*$AD$3</f>
        <v>0</v>
      </c>
      <c r="AE31" s="267"/>
      <c r="AF31" s="268">
        <f>W31</f>
        <v>2</v>
      </c>
      <c r="AG31" s="266">
        <f>U31*$AG$3</f>
        <v>0</v>
      </c>
      <c r="AH31" s="267"/>
      <c r="AI31" s="268">
        <f>W31</f>
        <v>2</v>
      </c>
      <c r="AJ31" s="266">
        <f>U31*$AJ$3</f>
        <v>0</v>
      </c>
      <c r="AK31" s="267"/>
      <c r="AL31" s="268">
        <f>W31</f>
        <v>2</v>
      </c>
      <c r="AM31" s="266">
        <f>U31*$AM$3</f>
        <v>0</v>
      </c>
    </row>
    <row r="32" spans="1:39" s="264" customFormat="1" x14ac:dyDescent="0.2">
      <c r="A32" s="258"/>
      <c r="B32" s="259"/>
      <c r="C32" s="290"/>
      <c r="D32" s="290"/>
      <c r="E32" s="290"/>
      <c r="F32" s="290"/>
      <c r="G32" s="290"/>
      <c r="H32" s="290"/>
      <c r="I32" s="290"/>
      <c r="J32" s="290"/>
      <c r="K32" s="290"/>
      <c r="L32" s="290"/>
      <c r="M32" s="290"/>
      <c r="N32" s="290"/>
      <c r="O32" s="290"/>
      <c r="P32" s="261"/>
      <c r="Q32" s="262"/>
      <c r="R32" s="263"/>
      <c r="S32" s="388"/>
      <c r="T32" s="357"/>
      <c r="U32" s="390"/>
      <c r="W32" s="387"/>
      <c r="X32" s="339"/>
      <c r="Z32" s="387"/>
      <c r="AA32" s="339"/>
      <c r="AC32" s="387"/>
      <c r="AD32" s="339"/>
      <c r="AF32" s="387"/>
      <c r="AG32" s="339"/>
      <c r="AI32" s="387"/>
      <c r="AJ32" s="339"/>
      <c r="AL32" s="387"/>
      <c r="AM32" s="339"/>
    </row>
    <row r="33" spans="1:39" s="264" customFormat="1" x14ac:dyDescent="0.2">
      <c r="A33" s="258"/>
      <c r="B33" s="293" t="s">
        <v>819</v>
      </c>
      <c r="C33" s="290"/>
      <c r="D33" s="290"/>
      <c r="E33" s="290"/>
      <c r="F33" s="290"/>
      <c r="G33" s="290"/>
      <c r="H33" s="290"/>
      <c r="I33" s="290"/>
      <c r="J33" s="290"/>
      <c r="K33" s="290"/>
      <c r="L33" s="290"/>
      <c r="M33" s="290"/>
      <c r="N33" s="290"/>
      <c r="O33" s="290"/>
      <c r="P33" s="261"/>
      <c r="Q33" s="262"/>
      <c r="R33" s="263"/>
      <c r="S33" s="388"/>
      <c r="T33" s="357"/>
      <c r="U33" s="266"/>
      <c r="W33" s="268"/>
      <c r="X33" s="266"/>
      <c r="Y33" s="267"/>
      <c r="Z33" s="268"/>
      <c r="AA33" s="266"/>
      <c r="AB33" s="267"/>
      <c r="AC33" s="268"/>
      <c r="AD33" s="266"/>
      <c r="AE33" s="267"/>
      <c r="AF33" s="268"/>
      <c r="AG33" s="266"/>
      <c r="AH33" s="267"/>
      <c r="AI33" s="268"/>
      <c r="AJ33" s="266"/>
      <c r="AK33" s="267"/>
      <c r="AL33" s="268"/>
      <c r="AM33" s="266"/>
    </row>
    <row r="34" spans="1:39" s="264" customFormat="1" x14ac:dyDescent="0.2">
      <c r="A34" s="258"/>
      <c r="B34" s="259"/>
      <c r="C34" s="290"/>
      <c r="D34" s="290"/>
      <c r="E34" s="290"/>
      <c r="F34" s="290"/>
      <c r="G34" s="290"/>
      <c r="H34" s="290"/>
      <c r="I34" s="290"/>
      <c r="J34" s="290"/>
      <c r="K34" s="290"/>
      <c r="L34" s="290"/>
      <c r="M34" s="290"/>
      <c r="N34" s="290"/>
      <c r="O34" s="290"/>
      <c r="P34" s="261"/>
      <c r="Q34" s="262"/>
      <c r="R34" s="263"/>
      <c r="S34" s="388"/>
      <c r="T34" s="357"/>
      <c r="U34" s="390"/>
      <c r="W34" s="387"/>
      <c r="X34" s="339"/>
      <c r="Z34" s="387"/>
      <c r="AA34" s="339"/>
      <c r="AC34" s="387"/>
      <c r="AD34" s="339"/>
      <c r="AF34" s="387"/>
      <c r="AG34" s="339"/>
      <c r="AI34" s="387"/>
      <c r="AJ34" s="339"/>
      <c r="AL34" s="387"/>
      <c r="AM34" s="339"/>
    </row>
    <row r="35" spans="1:39" s="264" customFormat="1" ht="28.5" x14ac:dyDescent="0.2">
      <c r="A35" s="258" t="s">
        <v>72</v>
      </c>
      <c r="B35" s="259" t="s">
        <v>820</v>
      </c>
      <c r="C35" s="290">
        <f>(W35+X35)*$C$3</f>
        <v>4</v>
      </c>
      <c r="D35" s="290">
        <f>C35*$Q35</f>
        <v>0</v>
      </c>
      <c r="E35" s="290">
        <f>(Z35+AA35)*$E$3</f>
        <v>5</v>
      </c>
      <c r="F35" s="290">
        <f>E35*$Q35</f>
        <v>0</v>
      </c>
      <c r="G35" s="290">
        <f>(AC35+AD35)*$G$3</f>
        <v>30</v>
      </c>
      <c r="H35" s="290">
        <f>G35*$Q35</f>
        <v>0</v>
      </c>
      <c r="I35" s="290">
        <f>(AF35+AG35)*$I$3</f>
        <v>7</v>
      </c>
      <c r="J35" s="290">
        <f>I35*$Q35</f>
        <v>0</v>
      </c>
      <c r="K35" s="290">
        <f>(AI35+AJ35)*$K$3</f>
        <v>24</v>
      </c>
      <c r="L35" s="290">
        <f>K35*$Q35</f>
        <v>0</v>
      </c>
      <c r="M35" s="290">
        <f>(AL35+AM35)*$M$3</f>
        <v>9</v>
      </c>
      <c r="N35" s="290">
        <f>M35*$Q35</f>
        <v>0</v>
      </c>
      <c r="O35" s="290">
        <f>C35+E35+G35+I35+K35+M35</f>
        <v>79</v>
      </c>
      <c r="P35" s="261" t="s">
        <v>269</v>
      </c>
      <c r="Q35" s="262"/>
      <c r="R35" s="263"/>
      <c r="S35" s="388"/>
      <c r="T35" s="357">
        <v>1</v>
      </c>
      <c r="U35" s="266">
        <v>1</v>
      </c>
      <c r="W35" s="268">
        <f>T35*$W$3</f>
        <v>2</v>
      </c>
      <c r="X35" s="266">
        <f>U35*$X$3</f>
        <v>2</v>
      </c>
      <c r="Y35" s="267"/>
      <c r="Z35" s="268">
        <f>W35</f>
        <v>2</v>
      </c>
      <c r="AA35" s="266">
        <f>U35*$AA$3</f>
        <v>3</v>
      </c>
      <c r="AB35" s="267"/>
      <c r="AC35" s="268">
        <f>W35</f>
        <v>2</v>
      </c>
      <c r="AD35" s="266">
        <f>U35*$AD$3</f>
        <v>4</v>
      </c>
      <c r="AE35" s="267"/>
      <c r="AF35" s="268">
        <f>W35</f>
        <v>2</v>
      </c>
      <c r="AG35" s="266">
        <f>U35*$AG$3</f>
        <v>5</v>
      </c>
      <c r="AH35" s="267"/>
      <c r="AI35" s="268">
        <f>W35</f>
        <v>2</v>
      </c>
      <c r="AJ35" s="266">
        <f>U35*$AJ$3</f>
        <v>6</v>
      </c>
      <c r="AK35" s="267"/>
      <c r="AL35" s="268">
        <f>W35</f>
        <v>2</v>
      </c>
      <c r="AM35" s="266">
        <f>U35*$AM$3</f>
        <v>7</v>
      </c>
    </row>
    <row r="36" spans="1:39" s="264" customFormat="1" x14ac:dyDescent="0.2">
      <c r="A36" s="258"/>
      <c r="B36" s="259"/>
      <c r="C36" s="290"/>
      <c r="D36" s="290"/>
      <c r="E36" s="290"/>
      <c r="F36" s="290"/>
      <c r="G36" s="290"/>
      <c r="H36" s="290"/>
      <c r="I36" s="290"/>
      <c r="J36" s="290"/>
      <c r="K36" s="290"/>
      <c r="L36" s="290"/>
      <c r="M36" s="290"/>
      <c r="N36" s="290"/>
      <c r="O36" s="290"/>
      <c r="P36" s="261"/>
      <c r="Q36" s="262"/>
      <c r="R36" s="263"/>
      <c r="S36" s="388"/>
      <c r="T36" s="390"/>
      <c r="U36" s="390"/>
      <c r="W36" s="387"/>
      <c r="X36" s="339"/>
      <c r="Z36" s="387"/>
      <c r="AA36" s="339"/>
      <c r="AC36" s="387"/>
      <c r="AD36" s="339"/>
      <c r="AF36" s="387"/>
      <c r="AG36" s="339"/>
      <c r="AI36" s="387"/>
      <c r="AJ36" s="339"/>
      <c r="AL36" s="387"/>
      <c r="AM36" s="339"/>
    </row>
    <row r="37" spans="1:39" s="264" customFormat="1" x14ac:dyDescent="0.2">
      <c r="A37" s="258"/>
      <c r="B37" s="259"/>
      <c r="C37" s="290"/>
      <c r="D37" s="290"/>
      <c r="E37" s="290"/>
      <c r="F37" s="290"/>
      <c r="G37" s="290"/>
      <c r="H37" s="290"/>
      <c r="I37" s="290"/>
      <c r="J37" s="290"/>
      <c r="K37" s="290"/>
      <c r="L37" s="290"/>
      <c r="M37" s="290"/>
      <c r="N37" s="290"/>
      <c r="O37" s="290"/>
      <c r="P37" s="261"/>
      <c r="Q37" s="262"/>
      <c r="R37" s="263"/>
      <c r="S37" s="388"/>
      <c r="T37" s="390"/>
      <c r="U37" s="390"/>
      <c r="W37" s="387"/>
      <c r="X37" s="339"/>
      <c r="Z37" s="387"/>
      <c r="AA37" s="339"/>
      <c r="AC37" s="387"/>
      <c r="AD37" s="339"/>
      <c r="AF37" s="387"/>
      <c r="AG37" s="339"/>
      <c r="AI37" s="387"/>
      <c r="AJ37" s="339"/>
      <c r="AL37" s="387"/>
      <c r="AM37" s="339"/>
    </row>
    <row r="38" spans="1:39" s="264" customFormat="1" x14ac:dyDescent="0.2">
      <c r="A38" s="258"/>
      <c r="B38" s="259"/>
      <c r="C38" s="290"/>
      <c r="D38" s="290"/>
      <c r="E38" s="290"/>
      <c r="F38" s="290"/>
      <c r="G38" s="290"/>
      <c r="H38" s="290"/>
      <c r="I38" s="290"/>
      <c r="J38" s="290"/>
      <c r="K38" s="290"/>
      <c r="L38" s="290"/>
      <c r="M38" s="290"/>
      <c r="N38" s="290"/>
      <c r="O38" s="290"/>
      <c r="P38" s="261"/>
      <c r="Q38" s="262"/>
      <c r="R38" s="263"/>
      <c r="S38" s="388"/>
      <c r="T38" s="390"/>
      <c r="U38" s="390"/>
      <c r="W38" s="387"/>
      <c r="X38" s="339"/>
      <c r="Z38" s="387"/>
      <c r="AA38" s="339"/>
      <c r="AC38" s="387"/>
      <c r="AD38" s="339"/>
      <c r="AF38" s="387"/>
      <c r="AG38" s="339"/>
      <c r="AI38" s="387"/>
      <c r="AJ38" s="339"/>
      <c r="AL38" s="387"/>
      <c r="AM38" s="339"/>
    </row>
    <row r="39" spans="1:39" s="264" customFormat="1" x14ac:dyDescent="0.2">
      <c r="A39" s="258"/>
      <c r="B39" s="259"/>
      <c r="C39" s="290"/>
      <c r="D39" s="290"/>
      <c r="E39" s="290"/>
      <c r="F39" s="290"/>
      <c r="G39" s="290"/>
      <c r="H39" s="290"/>
      <c r="I39" s="290"/>
      <c r="J39" s="290"/>
      <c r="K39" s="290"/>
      <c r="L39" s="290"/>
      <c r="M39" s="290"/>
      <c r="N39" s="290"/>
      <c r="O39" s="290"/>
      <c r="P39" s="261"/>
      <c r="Q39" s="262"/>
      <c r="R39" s="263"/>
      <c r="S39" s="388"/>
      <c r="T39" s="390"/>
      <c r="U39" s="390"/>
      <c r="W39" s="387"/>
      <c r="X39" s="339"/>
      <c r="Z39" s="387"/>
      <c r="AA39" s="339"/>
      <c r="AC39" s="387"/>
      <c r="AD39" s="339"/>
      <c r="AF39" s="387"/>
      <c r="AG39" s="339"/>
      <c r="AI39" s="387"/>
      <c r="AJ39" s="339"/>
      <c r="AL39" s="387"/>
      <c r="AM39" s="339"/>
    </row>
    <row r="40" spans="1:39" s="264" customFormat="1" x14ac:dyDescent="0.2">
      <c r="A40" s="258"/>
      <c r="B40" s="259"/>
      <c r="C40" s="290"/>
      <c r="D40" s="290"/>
      <c r="E40" s="290"/>
      <c r="F40" s="290"/>
      <c r="G40" s="290"/>
      <c r="H40" s="290"/>
      <c r="I40" s="290"/>
      <c r="J40" s="290"/>
      <c r="K40" s="290"/>
      <c r="L40" s="290"/>
      <c r="M40" s="290"/>
      <c r="N40" s="290"/>
      <c r="O40" s="290"/>
      <c r="P40" s="261"/>
      <c r="Q40" s="262"/>
      <c r="R40" s="263"/>
      <c r="S40" s="388"/>
      <c r="T40" s="390"/>
      <c r="U40" s="390"/>
      <c r="W40" s="387"/>
      <c r="X40" s="339"/>
      <c r="Z40" s="387"/>
      <c r="AA40" s="339"/>
      <c r="AC40" s="387"/>
      <c r="AD40" s="339"/>
      <c r="AF40" s="387"/>
      <c r="AG40" s="339"/>
      <c r="AI40" s="387"/>
      <c r="AJ40" s="339"/>
      <c r="AL40" s="387"/>
      <c r="AM40" s="339"/>
    </row>
    <row r="41" spans="1:39" s="264" customFormat="1" x14ac:dyDescent="0.2">
      <c r="A41" s="258"/>
      <c r="B41" s="259"/>
      <c r="C41" s="290"/>
      <c r="D41" s="290"/>
      <c r="E41" s="290"/>
      <c r="F41" s="290"/>
      <c r="G41" s="290"/>
      <c r="H41" s="290"/>
      <c r="I41" s="290"/>
      <c r="J41" s="290"/>
      <c r="K41" s="290"/>
      <c r="L41" s="290"/>
      <c r="M41" s="290"/>
      <c r="N41" s="290"/>
      <c r="O41" s="290"/>
      <c r="P41" s="261"/>
      <c r="Q41" s="262"/>
      <c r="R41" s="263"/>
      <c r="S41" s="388"/>
      <c r="T41" s="390"/>
      <c r="U41" s="390"/>
      <c r="W41" s="387"/>
      <c r="X41" s="339"/>
      <c r="Z41" s="387"/>
      <c r="AA41" s="339"/>
      <c r="AC41" s="387"/>
      <c r="AD41" s="339"/>
      <c r="AF41" s="387"/>
      <c r="AG41" s="339"/>
      <c r="AI41" s="387"/>
      <c r="AJ41" s="339"/>
      <c r="AL41" s="387"/>
      <c r="AM41" s="339"/>
    </row>
    <row r="42" spans="1:39" s="264" customFormat="1" x14ac:dyDescent="0.2">
      <c r="A42" s="258"/>
      <c r="B42" s="259"/>
      <c r="C42" s="290"/>
      <c r="D42" s="290"/>
      <c r="E42" s="290"/>
      <c r="F42" s="290"/>
      <c r="G42" s="290"/>
      <c r="H42" s="290"/>
      <c r="I42" s="290"/>
      <c r="J42" s="290"/>
      <c r="K42" s="290"/>
      <c r="L42" s="290"/>
      <c r="M42" s="290"/>
      <c r="N42" s="290"/>
      <c r="O42" s="290"/>
      <c r="P42" s="261"/>
      <c r="Q42" s="262"/>
      <c r="R42" s="263"/>
      <c r="S42" s="388"/>
      <c r="T42" s="390"/>
      <c r="U42" s="390"/>
      <c r="W42" s="387"/>
      <c r="X42" s="339"/>
      <c r="Z42" s="387"/>
      <c r="AA42" s="339"/>
      <c r="AC42" s="387"/>
      <c r="AD42" s="339"/>
      <c r="AF42" s="387"/>
      <c r="AG42" s="339"/>
      <c r="AI42" s="387"/>
      <c r="AJ42" s="339"/>
      <c r="AL42" s="387"/>
      <c r="AM42" s="339"/>
    </row>
    <row r="43" spans="1:39" s="264" customFormat="1" x14ac:dyDescent="0.2">
      <c r="A43" s="258"/>
      <c r="B43" s="259"/>
      <c r="C43" s="290"/>
      <c r="D43" s="290"/>
      <c r="E43" s="290"/>
      <c r="F43" s="290"/>
      <c r="G43" s="290"/>
      <c r="H43" s="290"/>
      <c r="I43" s="290"/>
      <c r="J43" s="290"/>
      <c r="K43" s="290"/>
      <c r="L43" s="290"/>
      <c r="M43" s="290"/>
      <c r="N43" s="290"/>
      <c r="O43" s="290"/>
      <c r="P43" s="261"/>
      <c r="Q43" s="262"/>
      <c r="R43" s="263"/>
      <c r="S43" s="388"/>
      <c r="T43" s="390"/>
      <c r="U43" s="390"/>
      <c r="W43" s="387"/>
      <c r="X43" s="339"/>
      <c r="Z43" s="387"/>
      <c r="AA43" s="339"/>
      <c r="AC43" s="387"/>
      <c r="AD43" s="339"/>
      <c r="AF43" s="387"/>
      <c r="AG43" s="339"/>
      <c r="AI43" s="387"/>
      <c r="AJ43" s="339"/>
      <c r="AL43" s="387"/>
      <c r="AM43" s="339"/>
    </row>
    <row r="44" spans="1:39" s="264" customFormat="1" x14ac:dyDescent="0.2">
      <c r="A44" s="258"/>
      <c r="B44" s="259"/>
      <c r="C44" s="290"/>
      <c r="D44" s="290"/>
      <c r="E44" s="290"/>
      <c r="F44" s="290"/>
      <c r="G44" s="290"/>
      <c r="H44" s="290"/>
      <c r="I44" s="290"/>
      <c r="J44" s="290"/>
      <c r="K44" s="290"/>
      <c r="L44" s="290"/>
      <c r="M44" s="290"/>
      <c r="N44" s="290"/>
      <c r="O44" s="290"/>
      <c r="P44" s="261"/>
      <c r="Q44" s="262"/>
      <c r="R44" s="263"/>
      <c r="S44" s="388"/>
      <c r="T44" s="390"/>
      <c r="U44" s="390"/>
      <c r="W44" s="387"/>
      <c r="X44" s="339"/>
      <c r="Z44" s="387"/>
      <c r="AA44" s="339"/>
      <c r="AC44" s="387"/>
      <c r="AD44" s="339"/>
      <c r="AF44" s="387"/>
      <c r="AG44" s="339"/>
      <c r="AI44" s="387"/>
      <c r="AJ44" s="339"/>
      <c r="AL44" s="387"/>
      <c r="AM44" s="339"/>
    </row>
    <row r="45" spans="1:39" s="264" customFormat="1" x14ac:dyDescent="0.2">
      <c r="A45" s="308"/>
      <c r="B45" s="259"/>
      <c r="C45" s="290"/>
      <c r="D45" s="290"/>
      <c r="E45" s="290"/>
      <c r="F45" s="290"/>
      <c r="G45" s="290"/>
      <c r="H45" s="290"/>
      <c r="I45" s="290"/>
      <c r="J45" s="290"/>
      <c r="K45" s="290"/>
      <c r="L45" s="290"/>
      <c r="M45" s="290"/>
      <c r="N45" s="290"/>
      <c r="O45" s="290"/>
      <c r="P45" s="261"/>
      <c r="Q45" s="262"/>
      <c r="R45" s="263"/>
      <c r="S45" s="386"/>
      <c r="T45" s="357"/>
      <c r="U45" s="357"/>
      <c r="W45" s="387"/>
      <c r="X45" s="357"/>
      <c r="Z45" s="387"/>
      <c r="AA45" s="357"/>
      <c r="AC45" s="387"/>
      <c r="AD45" s="357"/>
      <c r="AF45" s="387"/>
      <c r="AG45" s="357"/>
      <c r="AI45" s="387"/>
      <c r="AJ45" s="357"/>
      <c r="AL45" s="387"/>
      <c r="AM45" s="357"/>
    </row>
    <row r="46" spans="1:39" s="264" customFormat="1" x14ac:dyDescent="0.2">
      <c r="A46" s="391"/>
      <c r="B46" s="392"/>
      <c r="C46" s="377"/>
      <c r="D46" s="377"/>
      <c r="E46" s="377"/>
      <c r="F46" s="377"/>
      <c r="G46" s="377"/>
      <c r="H46" s="377"/>
      <c r="I46" s="377"/>
      <c r="J46" s="377"/>
      <c r="K46" s="377"/>
      <c r="L46" s="377"/>
      <c r="M46" s="377"/>
      <c r="N46" s="377"/>
      <c r="O46" s="377"/>
      <c r="P46" s="377"/>
      <c r="Q46" s="378"/>
      <c r="R46" s="379"/>
      <c r="S46" s="386"/>
      <c r="T46" s="393"/>
      <c r="U46" s="393"/>
      <c r="W46" s="394"/>
      <c r="X46" s="393"/>
      <c r="Z46" s="394"/>
      <c r="AA46" s="393"/>
      <c r="AC46" s="394"/>
      <c r="AD46" s="393"/>
      <c r="AF46" s="394"/>
      <c r="AG46" s="393"/>
      <c r="AI46" s="394"/>
      <c r="AJ46" s="393"/>
      <c r="AL46" s="394"/>
      <c r="AM46" s="393"/>
    </row>
    <row r="47" spans="1:39" s="264" customFormat="1" x14ac:dyDescent="0.2">
      <c r="A47" s="395"/>
      <c r="B47" s="396"/>
      <c r="C47" s="550" t="s">
        <v>1</v>
      </c>
      <c r="D47" s="550"/>
      <c r="E47" s="550"/>
      <c r="F47" s="550"/>
      <c r="G47" s="550"/>
      <c r="H47" s="550"/>
      <c r="I47" s="550"/>
      <c r="J47" s="550"/>
      <c r="K47" s="550"/>
      <c r="L47" s="550"/>
      <c r="M47" s="550"/>
      <c r="N47" s="550"/>
      <c r="O47" s="550"/>
      <c r="P47" s="550"/>
      <c r="Q47" s="381" t="s">
        <v>0</v>
      </c>
      <c r="R47" s="263"/>
      <c r="S47" s="386"/>
      <c r="T47" s="397"/>
      <c r="U47" s="397"/>
      <c r="W47" s="398"/>
      <c r="X47" s="397"/>
      <c r="Z47" s="398"/>
      <c r="AA47" s="397"/>
      <c r="AC47" s="398"/>
      <c r="AD47" s="397"/>
      <c r="AF47" s="398"/>
      <c r="AG47" s="397"/>
      <c r="AI47" s="398"/>
      <c r="AJ47" s="397"/>
      <c r="AL47" s="398"/>
      <c r="AM47" s="397"/>
    </row>
    <row r="48" spans="1:39" s="264" customFormat="1" x14ac:dyDescent="0.2">
      <c r="A48" s="395"/>
      <c r="B48" s="396"/>
      <c r="C48" s="309"/>
      <c r="D48" s="309"/>
      <c r="E48" s="309"/>
      <c r="F48" s="309"/>
      <c r="G48" s="309"/>
      <c r="H48" s="309"/>
      <c r="I48" s="309"/>
      <c r="J48" s="309"/>
      <c r="K48" s="309"/>
      <c r="L48" s="309"/>
      <c r="M48" s="309"/>
      <c r="N48" s="309"/>
      <c r="O48" s="309"/>
      <c r="P48" s="309"/>
      <c r="Q48" s="294"/>
      <c r="R48" s="382"/>
      <c r="S48" s="386"/>
      <c r="T48" s="399"/>
      <c r="U48" s="399"/>
      <c r="W48" s="400"/>
      <c r="X48" s="399"/>
      <c r="Z48" s="400"/>
      <c r="AA48" s="399"/>
      <c r="AC48" s="400"/>
      <c r="AD48" s="399"/>
      <c r="AF48" s="400"/>
      <c r="AG48" s="399"/>
      <c r="AI48" s="400"/>
      <c r="AJ48" s="399"/>
      <c r="AL48" s="400"/>
      <c r="AM48" s="399"/>
    </row>
    <row r="49" spans="1:39" s="264" customFormat="1" x14ac:dyDescent="0.2">
      <c r="A49" s="258"/>
      <c r="B49" s="259"/>
      <c r="C49" s="290"/>
      <c r="D49" s="290"/>
      <c r="E49" s="290"/>
      <c r="F49" s="290"/>
      <c r="G49" s="290"/>
      <c r="H49" s="290"/>
      <c r="I49" s="290"/>
      <c r="J49" s="290"/>
      <c r="K49" s="290"/>
      <c r="L49" s="290"/>
      <c r="M49" s="290"/>
      <c r="N49" s="290"/>
      <c r="O49" s="290"/>
      <c r="P49" s="261"/>
      <c r="Q49" s="262"/>
      <c r="R49" s="263"/>
      <c r="S49" s="388"/>
      <c r="T49" s="390"/>
      <c r="U49" s="390"/>
      <c r="W49" s="387"/>
      <c r="X49" s="339"/>
      <c r="Z49" s="387"/>
      <c r="AA49" s="339"/>
      <c r="AC49" s="387"/>
      <c r="AD49" s="339"/>
      <c r="AF49" s="387"/>
      <c r="AG49" s="339"/>
      <c r="AI49" s="387"/>
      <c r="AJ49" s="339"/>
      <c r="AL49" s="387"/>
      <c r="AM49" s="339"/>
    </row>
    <row r="50" spans="1:39" s="264" customFormat="1" x14ac:dyDescent="0.2">
      <c r="A50" s="258"/>
      <c r="B50" s="202" t="s">
        <v>234</v>
      </c>
      <c r="C50" s="290"/>
      <c r="D50" s="290"/>
      <c r="E50" s="290"/>
      <c r="F50" s="290"/>
      <c r="G50" s="290"/>
      <c r="H50" s="290"/>
      <c r="I50" s="290"/>
      <c r="J50" s="290"/>
      <c r="K50" s="290"/>
      <c r="L50" s="290"/>
      <c r="M50" s="290"/>
      <c r="N50" s="290"/>
      <c r="O50" s="290"/>
      <c r="P50" s="261"/>
      <c r="Q50" s="262"/>
      <c r="R50" s="263"/>
      <c r="S50" s="388"/>
      <c r="T50" s="390"/>
      <c r="U50" s="390"/>
      <c r="W50" s="387"/>
      <c r="X50" s="339"/>
      <c r="Z50" s="387"/>
      <c r="AA50" s="339"/>
      <c r="AC50" s="387"/>
      <c r="AD50" s="339"/>
      <c r="AF50" s="387"/>
      <c r="AG50" s="339"/>
      <c r="AI50" s="387"/>
      <c r="AJ50" s="339"/>
      <c r="AL50" s="387"/>
      <c r="AM50" s="339"/>
    </row>
    <row r="51" spans="1:39" s="264" customFormat="1" x14ac:dyDescent="0.2">
      <c r="A51" s="258"/>
      <c r="B51" s="259"/>
      <c r="C51" s="290"/>
      <c r="D51" s="290"/>
      <c r="E51" s="290"/>
      <c r="F51" s="290"/>
      <c r="G51" s="290"/>
      <c r="H51" s="290"/>
      <c r="I51" s="290"/>
      <c r="J51" s="290"/>
      <c r="K51" s="290"/>
      <c r="L51" s="290"/>
      <c r="M51" s="290"/>
      <c r="N51" s="290"/>
      <c r="O51" s="290"/>
      <c r="P51" s="261"/>
      <c r="Q51" s="262"/>
      <c r="R51" s="263"/>
      <c r="S51" s="388"/>
      <c r="T51" s="390"/>
      <c r="U51" s="390"/>
      <c r="W51" s="387"/>
      <c r="X51" s="339"/>
      <c r="Z51" s="387"/>
      <c r="AA51" s="339"/>
      <c r="AC51" s="387"/>
      <c r="AD51" s="339"/>
      <c r="AF51" s="387"/>
      <c r="AG51" s="339"/>
      <c r="AI51" s="387"/>
      <c r="AJ51" s="339"/>
      <c r="AL51" s="387"/>
      <c r="AM51" s="339"/>
    </row>
    <row r="52" spans="1:39" s="264" customFormat="1" x14ac:dyDescent="0.2">
      <c r="A52" s="258"/>
      <c r="B52" s="293" t="s">
        <v>821</v>
      </c>
      <c r="C52" s="290"/>
      <c r="D52" s="290"/>
      <c r="E52" s="290"/>
      <c r="F52" s="290"/>
      <c r="G52" s="290"/>
      <c r="H52" s="290"/>
      <c r="I52" s="290"/>
      <c r="J52" s="290"/>
      <c r="K52" s="290"/>
      <c r="L52" s="290"/>
      <c r="M52" s="290"/>
      <c r="N52" s="290"/>
      <c r="O52" s="290"/>
      <c r="P52" s="261"/>
      <c r="Q52" s="262"/>
      <c r="R52" s="263"/>
      <c r="S52" s="388"/>
      <c r="T52" s="390"/>
      <c r="U52" s="266"/>
      <c r="W52" s="268"/>
      <c r="X52" s="266"/>
      <c r="Y52" s="267"/>
      <c r="Z52" s="268"/>
      <c r="AA52" s="266"/>
      <c r="AB52" s="267"/>
      <c r="AC52" s="268"/>
      <c r="AD52" s="266"/>
      <c r="AE52" s="267"/>
      <c r="AF52" s="268"/>
      <c r="AG52" s="266"/>
      <c r="AH52" s="267"/>
      <c r="AI52" s="268"/>
      <c r="AJ52" s="266"/>
      <c r="AK52" s="267"/>
      <c r="AL52" s="268"/>
      <c r="AM52" s="266"/>
    </row>
    <row r="53" spans="1:39" s="264" customFormat="1" x14ac:dyDescent="0.2">
      <c r="A53" s="258"/>
      <c r="B53" s="259"/>
      <c r="C53" s="290"/>
      <c r="D53" s="290"/>
      <c r="E53" s="290"/>
      <c r="F53" s="290"/>
      <c r="G53" s="290"/>
      <c r="H53" s="290"/>
      <c r="I53" s="290"/>
      <c r="J53" s="290"/>
      <c r="K53" s="290"/>
      <c r="L53" s="290"/>
      <c r="M53" s="290"/>
      <c r="N53" s="290"/>
      <c r="O53" s="290"/>
      <c r="P53" s="261"/>
      <c r="Q53" s="262"/>
      <c r="R53" s="263"/>
      <c r="S53" s="388"/>
      <c r="T53" s="357"/>
      <c r="U53" s="357"/>
      <c r="W53" s="387"/>
      <c r="X53" s="339"/>
      <c r="Z53" s="387"/>
      <c r="AA53" s="339"/>
      <c r="AC53" s="387"/>
      <c r="AD53" s="339"/>
      <c r="AF53" s="387"/>
      <c r="AG53" s="339"/>
      <c r="AI53" s="387"/>
      <c r="AJ53" s="339"/>
      <c r="AL53" s="387"/>
      <c r="AM53" s="339"/>
    </row>
    <row r="54" spans="1:39" s="264" customFormat="1" x14ac:dyDescent="0.2">
      <c r="A54" s="258" t="s">
        <v>66</v>
      </c>
      <c r="B54" s="259" t="s">
        <v>822</v>
      </c>
      <c r="C54" s="290">
        <f>(W54+X54)*$C$3</f>
        <v>44</v>
      </c>
      <c r="D54" s="290">
        <f>C54*$Q54</f>
        <v>0</v>
      </c>
      <c r="E54" s="290">
        <f>(Z54+AA54)*$E$3</f>
        <v>53</v>
      </c>
      <c r="F54" s="290">
        <f>E54*$Q54</f>
        <v>0</v>
      </c>
      <c r="G54" s="290">
        <f>(AC54+AD54)*$G$3</f>
        <v>310</v>
      </c>
      <c r="H54" s="290">
        <f>G54*$Q54</f>
        <v>0</v>
      </c>
      <c r="I54" s="290">
        <f>(AF54+AG54)*$I$3</f>
        <v>71</v>
      </c>
      <c r="J54" s="290">
        <f>I54*$Q54</f>
        <v>0</v>
      </c>
      <c r="K54" s="290">
        <f>(AI54+AJ54)*$K$3</f>
        <v>240</v>
      </c>
      <c r="L54" s="290">
        <f>K54*$Q54</f>
        <v>0</v>
      </c>
      <c r="M54" s="290">
        <f>(AL54+AM54)*$M$3</f>
        <v>89</v>
      </c>
      <c r="N54" s="290">
        <f>M54*$Q54</f>
        <v>0</v>
      </c>
      <c r="O54" s="290">
        <f>C54+E54+G54+I54+K54+M54</f>
        <v>807</v>
      </c>
      <c r="P54" s="261" t="s">
        <v>12</v>
      </c>
      <c r="Q54" s="262"/>
      <c r="R54" s="263"/>
      <c r="S54" s="388"/>
      <c r="T54" s="357">
        <v>13</v>
      </c>
      <c r="U54" s="266">
        <v>9</v>
      </c>
      <c r="W54" s="268">
        <f>T54*$W$3</f>
        <v>26</v>
      </c>
      <c r="X54" s="266">
        <f>U54*$X$3</f>
        <v>18</v>
      </c>
      <c r="Y54" s="267"/>
      <c r="Z54" s="268">
        <f>W54</f>
        <v>26</v>
      </c>
      <c r="AA54" s="266">
        <f>U54*$AA$3</f>
        <v>27</v>
      </c>
      <c r="AB54" s="267"/>
      <c r="AC54" s="268">
        <f>W54</f>
        <v>26</v>
      </c>
      <c r="AD54" s="266">
        <f>U54*$AD$3</f>
        <v>36</v>
      </c>
      <c r="AE54" s="267"/>
      <c r="AF54" s="268">
        <f>W54</f>
        <v>26</v>
      </c>
      <c r="AG54" s="266">
        <f>U54*$AG$3</f>
        <v>45</v>
      </c>
      <c r="AH54" s="267"/>
      <c r="AI54" s="268">
        <f>W54</f>
        <v>26</v>
      </c>
      <c r="AJ54" s="266">
        <f>U54*$AJ$3</f>
        <v>54</v>
      </c>
      <c r="AK54" s="267"/>
      <c r="AL54" s="268">
        <f>W54</f>
        <v>26</v>
      </c>
      <c r="AM54" s="266">
        <f>U54*$AM$3</f>
        <v>63</v>
      </c>
    </row>
    <row r="55" spans="1:39" s="264" customFormat="1" x14ac:dyDescent="0.2">
      <c r="A55" s="258"/>
      <c r="B55" s="259"/>
      <c r="C55" s="290"/>
      <c r="D55" s="290"/>
      <c r="E55" s="290"/>
      <c r="F55" s="290"/>
      <c r="G55" s="290"/>
      <c r="H55" s="290"/>
      <c r="I55" s="290"/>
      <c r="J55" s="290"/>
      <c r="K55" s="290"/>
      <c r="L55" s="290"/>
      <c r="M55" s="290"/>
      <c r="N55" s="290"/>
      <c r="O55" s="290"/>
      <c r="P55" s="261"/>
      <c r="Q55" s="262"/>
      <c r="R55" s="263"/>
      <c r="S55" s="388"/>
      <c r="T55" s="357"/>
      <c r="U55" s="357"/>
      <c r="W55" s="387"/>
      <c r="X55" s="339"/>
      <c r="Z55" s="387"/>
      <c r="AA55" s="339"/>
      <c r="AC55" s="387"/>
      <c r="AD55" s="339"/>
      <c r="AF55" s="387"/>
      <c r="AG55" s="339"/>
      <c r="AI55" s="387"/>
      <c r="AJ55" s="339"/>
      <c r="AL55" s="387"/>
      <c r="AM55" s="339"/>
    </row>
    <row r="56" spans="1:39" s="264" customFormat="1" x14ac:dyDescent="0.2">
      <c r="A56" s="258"/>
      <c r="B56" s="336" t="s">
        <v>823</v>
      </c>
      <c r="C56" s="290"/>
      <c r="D56" s="290"/>
      <c r="E56" s="290"/>
      <c r="F56" s="290"/>
      <c r="G56" s="290"/>
      <c r="H56" s="290"/>
      <c r="I56" s="290"/>
      <c r="J56" s="290"/>
      <c r="K56" s="290"/>
      <c r="L56" s="290"/>
      <c r="M56" s="290"/>
      <c r="N56" s="290"/>
      <c r="O56" s="290"/>
      <c r="P56" s="261"/>
      <c r="Q56" s="262"/>
      <c r="R56" s="263"/>
      <c r="S56" s="388"/>
      <c r="T56" s="357"/>
      <c r="U56" s="266"/>
      <c r="W56" s="268"/>
      <c r="X56" s="266"/>
      <c r="Y56" s="267"/>
      <c r="Z56" s="268"/>
      <c r="AA56" s="266"/>
      <c r="AB56" s="267"/>
      <c r="AC56" s="268"/>
      <c r="AD56" s="266"/>
      <c r="AE56" s="267"/>
      <c r="AF56" s="268"/>
      <c r="AG56" s="266"/>
      <c r="AH56" s="267"/>
      <c r="AI56" s="268"/>
      <c r="AJ56" s="266"/>
      <c r="AK56" s="267"/>
      <c r="AL56" s="268"/>
      <c r="AM56" s="266"/>
    </row>
    <row r="57" spans="1:39" s="264" customFormat="1" x14ac:dyDescent="0.2">
      <c r="A57" s="258"/>
      <c r="B57" s="293"/>
      <c r="C57" s="290"/>
      <c r="D57" s="290"/>
      <c r="E57" s="290"/>
      <c r="F57" s="290"/>
      <c r="G57" s="290"/>
      <c r="H57" s="290"/>
      <c r="I57" s="290"/>
      <c r="J57" s="290"/>
      <c r="K57" s="290"/>
      <c r="L57" s="290"/>
      <c r="M57" s="290"/>
      <c r="N57" s="290"/>
      <c r="O57" s="290"/>
      <c r="P57" s="261"/>
      <c r="Q57" s="262"/>
      <c r="R57" s="263"/>
      <c r="S57" s="388"/>
      <c r="T57" s="357"/>
      <c r="U57" s="357"/>
      <c r="W57" s="387"/>
      <c r="X57" s="339"/>
      <c r="Z57" s="387"/>
      <c r="AA57" s="339"/>
      <c r="AC57" s="387"/>
      <c r="AD57" s="339"/>
      <c r="AF57" s="387"/>
      <c r="AG57" s="339"/>
      <c r="AI57" s="387"/>
      <c r="AJ57" s="339"/>
      <c r="AL57" s="387"/>
      <c r="AM57" s="339"/>
    </row>
    <row r="58" spans="1:39" s="264" customFormat="1" ht="28.5" x14ac:dyDescent="0.2">
      <c r="A58" s="258"/>
      <c r="B58" s="293" t="s">
        <v>824</v>
      </c>
      <c r="C58" s="290"/>
      <c r="D58" s="290"/>
      <c r="E58" s="290"/>
      <c r="F58" s="290"/>
      <c r="G58" s="290"/>
      <c r="H58" s="290"/>
      <c r="I58" s="290"/>
      <c r="J58" s="290"/>
      <c r="K58" s="290"/>
      <c r="L58" s="290"/>
      <c r="M58" s="290"/>
      <c r="N58" s="290"/>
      <c r="O58" s="290"/>
      <c r="P58" s="261"/>
      <c r="Q58" s="262"/>
      <c r="R58" s="263"/>
      <c r="S58" s="388"/>
      <c r="T58" s="357"/>
      <c r="U58" s="357"/>
      <c r="W58" s="387"/>
      <c r="X58" s="390"/>
      <c r="Z58" s="387"/>
      <c r="AA58" s="390"/>
      <c r="AC58" s="387"/>
      <c r="AD58" s="390"/>
      <c r="AF58" s="387"/>
      <c r="AG58" s="390"/>
      <c r="AI58" s="387"/>
      <c r="AJ58" s="390"/>
      <c r="AL58" s="387"/>
      <c r="AM58" s="390"/>
    </row>
    <row r="59" spans="1:39" s="264" customFormat="1" x14ac:dyDescent="0.2">
      <c r="A59" s="258"/>
      <c r="B59" s="259"/>
      <c r="C59" s="290"/>
      <c r="D59" s="290"/>
      <c r="E59" s="290"/>
      <c r="F59" s="290"/>
      <c r="G59" s="290"/>
      <c r="H59" s="290"/>
      <c r="I59" s="290"/>
      <c r="J59" s="290"/>
      <c r="K59" s="290"/>
      <c r="L59" s="290"/>
      <c r="M59" s="290"/>
      <c r="N59" s="290"/>
      <c r="O59" s="290"/>
      <c r="P59" s="261"/>
      <c r="Q59" s="262"/>
      <c r="R59" s="263"/>
      <c r="S59" s="388"/>
      <c r="T59" s="357"/>
      <c r="U59" s="357"/>
      <c r="W59" s="387"/>
      <c r="X59" s="390"/>
      <c r="Z59" s="387"/>
      <c r="AA59" s="390"/>
      <c r="AC59" s="387"/>
      <c r="AD59" s="390"/>
      <c r="AF59" s="387"/>
      <c r="AG59" s="390"/>
      <c r="AI59" s="387"/>
      <c r="AJ59" s="390"/>
      <c r="AL59" s="387"/>
      <c r="AM59" s="390"/>
    </row>
    <row r="60" spans="1:39" s="264" customFormat="1" x14ac:dyDescent="0.2">
      <c r="A60" s="258" t="s">
        <v>67</v>
      </c>
      <c r="B60" s="259" t="s">
        <v>825</v>
      </c>
      <c r="C60" s="338">
        <f>(W60+X60)*$C$3</f>
        <v>4</v>
      </c>
      <c r="D60" s="338">
        <f>C60*$Q60</f>
        <v>0</v>
      </c>
      <c r="E60" s="338">
        <f>(Z60+AA60)*$E$3</f>
        <v>5</v>
      </c>
      <c r="F60" s="338">
        <f>E60*$Q60</f>
        <v>0</v>
      </c>
      <c r="G60" s="338">
        <f>(AC60+AD60)*$G$3</f>
        <v>30</v>
      </c>
      <c r="H60" s="338">
        <f>G60*$Q60</f>
        <v>0</v>
      </c>
      <c r="I60" s="338">
        <f>(AF60+AG60)*$I$3</f>
        <v>7</v>
      </c>
      <c r="J60" s="338">
        <f>I60*$Q60</f>
        <v>0</v>
      </c>
      <c r="K60" s="338">
        <f>(AI60+AJ60)*$K$3</f>
        <v>24</v>
      </c>
      <c r="L60" s="338">
        <f>K60*$Q60</f>
        <v>0</v>
      </c>
      <c r="M60" s="338">
        <f>(AL60+AM60)*$M$3</f>
        <v>9</v>
      </c>
      <c r="N60" s="338">
        <f>M60*$Q60</f>
        <v>0</v>
      </c>
      <c r="O60" s="338">
        <f>C60+E60+G60+I60+K60+M60</f>
        <v>79</v>
      </c>
      <c r="P60" s="261" t="s">
        <v>269</v>
      </c>
      <c r="Q60" s="262"/>
      <c r="R60" s="263"/>
      <c r="S60" s="388"/>
      <c r="T60" s="357">
        <v>1</v>
      </c>
      <c r="U60" s="357">
        <v>1</v>
      </c>
      <c r="W60" s="268">
        <f>T60*$W$3</f>
        <v>2</v>
      </c>
      <c r="X60" s="266">
        <f>U60*$X$3</f>
        <v>2</v>
      </c>
      <c r="Y60" s="267"/>
      <c r="Z60" s="268">
        <f>W60</f>
        <v>2</v>
      </c>
      <c r="AA60" s="266">
        <f>U60*$AA$3</f>
        <v>3</v>
      </c>
      <c r="AB60" s="267"/>
      <c r="AC60" s="268">
        <f>W60</f>
        <v>2</v>
      </c>
      <c r="AD60" s="266">
        <f>U60*$AD$3</f>
        <v>4</v>
      </c>
      <c r="AE60" s="267"/>
      <c r="AF60" s="268">
        <f>W60</f>
        <v>2</v>
      </c>
      <c r="AG60" s="266">
        <f>U60*$AG$3</f>
        <v>5</v>
      </c>
      <c r="AH60" s="267"/>
      <c r="AI60" s="268">
        <f>W60</f>
        <v>2</v>
      </c>
      <c r="AJ60" s="266">
        <f>U60*$AJ$3</f>
        <v>6</v>
      </c>
      <c r="AK60" s="267"/>
      <c r="AL60" s="268">
        <f>W60</f>
        <v>2</v>
      </c>
      <c r="AM60" s="266">
        <f>U60*$AM$3</f>
        <v>7</v>
      </c>
    </row>
    <row r="61" spans="1:39" s="264" customFormat="1" x14ac:dyDescent="0.2">
      <c r="A61" s="258"/>
      <c r="B61" s="259"/>
      <c r="C61" s="290"/>
      <c r="D61" s="290"/>
      <c r="E61" s="290"/>
      <c r="F61" s="290"/>
      <c r="G61" s="290"/>
      <c r="H61" s="290"/>
      <c r="I61" s="290"/>
      <c r="J61" s="290"/>
      <c r="K61" s="290"/>
      <c r="L61" s="290"/>
      <c r="M61" s="290"/>
      <c r="N61" s="290"/>
      <c r="O61" s="290"/>
      <c r="P61" s="261"/>
      <c r="Q61" s="262"/>
      <c r="R61" s="263"/>
      <c r="S61" s="388"/>
      <c r="T61" s="357"/>
      <c r="U61" s="357"/>
      <c r="W61" s="387"/>
      <c r="X61" s="390"/>
      <c r="Z61" s="387"/>
      <c r="AA61" s="390"/>
      <c r="AC61" s="387"/>
      <c r="AD61" s="390"/>
      <c r="AF61" s="387"/>
      <c r="AG61" s="390"/>
      <c r="AI61" s="387"/>
      <c r="AJ61" s="390"/>
      <c r="AL61" s="387"/>
      <c r="AM61" s="390"/>
    </row>
    <row r="62" spans="1:39" s="264" customFormat="1" x14ac:dyDescent="0.2">
      <c r="A62" s="258"/>
      <c r="B62" s="259"/>
      <c r="C62" s="290"/>
      <c r="D62" s="290"/>
      <c r="E62" s="290"/>
      <c r="F62" s="290"/>
      <c r="G62" s="290"/>
      <c r="H62" s="290"/>
      <c r="I62" s="290"/>
      <c r="J62" s="290"/>
      <c r="K62" s="290"/>
      <c r="L62" s="290"/>
      <c r="M62" s="290"/>
      <c r="N62" s="290"/>
      <c r="O62" s="290"/>
      <c r="P62" s="261"/>
      <c r="Q62" s="262"/>
      <c r="R62" s="263"/>
      <c r="S62" s="388"/>
      <c r="T62" s="390"/>
      <c r="U62" s="390"/>
      <c r="W62" s="387"/>
      <c r="X62" s="390"/>
      <c r="Z62" s="387"/>
      <c r="AA62" s="390"/>
      <c r="AC62" s="387"/>
      <c r="AD62" s="390"/>
      <c r="AF62" s="387"/>
      <c r="AG62" s="390"/>
      <c r="AI62" s="387"/>
      <c r="AJ62" s="390"/>
      <c r="AL62" s="387"/>
      <c r="AM62" s="390"/>
    </row>
    <row r="63" spans="1:39" s="264" customFormat="1" x14ac:dyDescent="0.2">
      <c r="A63" s="258"/>
      <c r="B63" s="259"/>
      <c r="C63" s="290"/>
      <c r="D63" s="290"/>
      <c r="E63" s="290"/>
      <c r="F63" s="290"/>
      <c r="G63" s="290"/>
      <c r="H63" s="290"/>
      <c r="I63" s="290"/>
      <c r="J63" s="290"/>
      <c r="K63" s="290"/>
      <c r="L63" s="290"/>
      <c r="M63" s="290"/>
      <c r="N63" s="290"/>
      <c r="O63" s="290"/>
      <c r="P63" s="261"/>
      <c r="Q63" s="262"/>
      <c r="R63" s="263"/>
      <c r="S63" s="388"/>
      <c r="T63" s="390"/>
      <c r="U63" s="390"/>
      <c r="W63" s="387"/>
      <c r="X63" s="390"/>
      <c r="Z63" s="387"/>
      <c r="AA63" s="390"/>
      <c r="AC63" s="387"/>
      <c r="AD63" s="390"/>
      <c r="AF63" s="387"/>
      <c r="AG63" s="390"/>
      <c r="AI63" s="387"/>
      <c r="AJ63" s="390"/>
      <c r="AL63" s="387"/>
      <c r="AM63" s="390"/>
    </row>
    <row r="64" spans="1:39" s="264" customFormat="1" x14ac:dyDescent="0.2">
      <c r="A64" s="258"/>
      <c r="B64" s="259"/>
      <c r="C64" s="290"/>
      <c r="D64" s="290"/>
      <c r="E64" s="290"/>
      <c r="F64" s="290"/>
      <c r="G64" s="290"/>
      <c r="H64" s="290"/>
      <c r="I64" s="290"/>
      <c r="J64" s="290"/>
      <c r="K64" s="290"/>
      <c r="L64" s="290"/>
      <c r="M64" s="290"/>
      <c r="N64" s="290"/>
      <c r="O64" s="290"/>
      <c r="P64" s="261"/>
      <c r="Q64" s="262"/>
      <c r="R64" s="263"/>
      <c r="S64" s="388"/>
      <c r="T64" s="390"/>
      <c r="U64" s="390"/>
      <c r="W64" s="387"/>
      <c r="X64" s="390"/>
      <c r="Z64" s="387"/>
      <c r="AA64" s="390"/>
      <c r="AC64" s="387"/>
      <c r="AD64" s="390"/>
      <c r="AF64" s="387"/>
      <c r="AG64" s="390"/>
      <c r="AI64" s="387"/>
      <c r="AJ64" s="390"/>
      <c r="AL64" s="387"/>
      <c r="AM64" s="390"/>
    </row>
    <row r="65" spans="1:39" s="264" customFormat="1" x14ac:dyDescent="0.2">
      <c r="A65" s="258"/>
      <c r="B65" s="259"/>
      <c r="C65" s="290"/>
      <c r="D65" s="290"/>
      <c r="E65" s="290"/>
      <c r="F65" s="290"/>
      <c r="G65" s="290"/>
      <c r="H65" s="290"/>
      <c r="I65" s="290"/>
      <c r="J65" s="290"/>
      <c r="K65" s="290"/>
      <c r="L65" s="290"/>
      <c r="M65" s="290"/>
      <c r="N65" s="290"/>
      <c r="O65" s="290"/>
      <c r="P65" s="261"/>
      <c r="Q65" s="262"/>
      <c r="R65" s="263"/>
      <c r="S65" s="388"/>
      <c r="T65" s="390"/>
      <c r="U65" s="390"/>
      <c r="W65" s="387"/>
      <c r="X65" s="390"/>
      <c r="Z65" s="387"/>
      <c r="AA65" s="390"/>
      <c r="AC65" s="387"/>
      <c r="AD65" s="390"/>
      <c r="AF65" s="387"/>
      <c r="AG65" s="390"/>
      <c r="AI65" s="387"/>
      <c r="AJ65" s="390"/>
      <c r="AL65" s="387"/>
      <c r="AM65" s="390"/>
    </row>
    <row r="66" spans="1:39" s="264" customFormat="1" x14ac:dyDescent="0.2">
      <c r="A66" s="258"/>
      <c r="B66" s="259"/>
      <c r="C66" s="290"/>
      <c r="D66" s="290"/>
      <c r="E66" s="290"/>
      <c r="F66" s="290"/>
      <c r="G66" s="290"/>
      <c r="H66" s="290"/>
      <c r="I66" s="290"/>
      <c r="J66" s="290"/>
      <c r="K66" s="290"/>
      <c r="L66" s="290"/>
      <c r="M66" s="290"/>
      <c r="N66" s="290"/>
      <c r="O66" s="290"/>
      <c r="P66" s="261"/>
      <c r="Q66" s="262"/>
      <c r="R66" s="263"/>
      <c r="S66" s="388"/>
      <c r="T66" s="390"/>
      <c r="U66" s="390"/>
      <c r="W66" s="387"/>
      <c r="X66" s="390"/>
      <c r="Z66" s="387"/>
      <c r="AA66" s="390"/>
      <c r="AC66" s="387"/>
      <c r="AD66" s="390"/>
      <c r="AF66" s="387"/>
      <c r="AG66" s="390"/>
      <c r="AI66" s="387"/>
      <c r="AJ66" s="390"/>
      <c r="AL66" s="387"/>
      <c r="AM66" s="390"/>
    </row>
    <row r="67" spans="1:39" s="264" customFormat="1" x14ac:dyDescent="0.2">
      <c r="A67" s="258"/>
      <c r="B67" s="259"/>
      <c r="C67" s="290"/>
      <c r="D67" s="290"/>
      <c r="E67" s="290"/>
      <c r="F67" s="290"/>
      <c r="G67" s="290"/>
      <c r="H67" s="290"/>
      <c r="I67" s="290"/>
      <c r="J67" s="290"/>
      <c r="K67" s="290"/>
      <c r="L67" s="290"/>
      <c r="M67" s="290"/>
      <c r="N67" s="290"/>
      <c r="O67" s="290"/>
      <c r="P67" s="261"/>
      <c r="Q67" s="262"/>
      <c r="R67" s="263"/>
      <c r="S67" s="388"/>
      <c r="T67" s="390"/>
      <c r="U67" s="390"/>
      <c r="W67" s="387"/>
      <c r="X67" s="390"/>
      <c r="Z67" s="387"/>
      <c r="AA67" s="390"/>
      <c r="AC67" s="387"/>
      <c r="AD67" s="390"/>
      <c r="AF67" s="387"/>
      <c r="AG67" s="390"/>
      <c r="AI67" s="387"/>
      <c r="AJ67" s="390"/>
      <c r="AL67" s="387"/>
      <c r="AM67" s="390"/>
    </row>
    <row r="68" spans="1:39" s="264" customFormat="1" x14ac:dyDescent="0.2">
      <c r="A68" s="258"/>
      <c r="B68" s="259"/>
      <c r="C68" s="290"/>
      <c r="D68" s="290"/>
      <c r="E68" s="290"/>
      <c r="F68" s="290"/>
      <c r="G68" s="290"/>
      <c r="H68" s="290"/>
      <c r="I68" s="290"/>
      <c r="J68" s="290"/>
      <c r="K68" s="290"/>
      <c r="L68" s="290"/>
      <c r="M68" s="290"/>
      <c r="N68" s="290"/>
      <c r="O68" s="290"/>
      <c r="P68" s="261"/>
      <c r="Q68" s="262"/>
      <c r="R68" s="263"/>
      <c r="S68" s="388"/>
      <c r="T68" s="390"/>
      <c r="U68" s="390"/>
      <c r="W68" s="387"/>
      <c r="X68" s="390"/>
      <c r="Z68" s="387"/>
      <c r="AA68" s="390"/>
      <c r="AC68" s="387"/>
      <c r="AD68" s="390"/>
      <c r="AF68" s="387"/>
      <c r="AG68" s="390"/>
      <c r="AI68" s="387"/>
      <c r="AJ68" s="390"/>
      <c r="AL68" s="387"/>
      <c r="AM68" s="390"/>
    </row>
    <row r="69" spans="1:39" s="264" customFormat="1" x14ac:dyDescent="0.2">
      <c r="A69" s="258"/>
      <c r="B69" s="259"/>
      <c r="C69" s="290"/>
      <c r="D69" s="290"/>
      <c r="E69" s="290"/>
      <c r="F69" s="290"/>
      <c r="G69" s="290"/>
      <c r="H69" s="290"/>
      <c r="I69" s="290"/>
      <c r="J69" s="290"/>
      <c r="K69" s="290"/>
      <c r="L69" s="290"/>
      <c r="M69" s="290"/>
      <c r="N69" s="290"/>
      <c r="O69" s="290"/>
      <c r="P69" s="261"/>
      <c r="Q69" s="262"/>
      <c r="R69" s="263"/>
      <c r="S69" s="388"/>
      <c r="T69" s="390"/>
      <c r="U69" s="390"/>
      <c r="W69" s="387"/>
      <c r="X69" s="390"/>
      <c r="Z69" s="387"/>
      <c r="AA69" s="390"/>
      <c r="AC69" s="387"/>
      <c r="AD69" s="390"/>
      <c r="AF69" s="387"/>
      <c r="AG69" s="390"/>
      <c r="AI69" s="387"/>
      <c r="AJ69" s="390"/>
      <c r="AL69" s="387"/>
      <c r="AM69" s="390"/>
    </row>
    <row r="70" spans="1:39" s="264" customFormat="1" x14ac:dyDescent="0.2">
      <c r="A70" s="258"/>
      <c r="B70" s="259"/>
      <c r="C70" s="290"/>
      <c r="D70" s="290"/>
      <c r="E70" s="290"/>
      <c r="F70" s="290"/>
      <c r="G70" s="290"/>
      <c r="H70" s="290"/>
      <c r="I70" s="290"/>
      <c r="J70" s="290"/>
      <c r="K70" s="290"/>
      <c r="L70" s="290"/>
      <c r="M70" s="290"/>
      <c r="N70" s="290"/>
      <c r="O70" s="290"/>
      <c r="P70" s="261"/>
      <c r="Q70" s="262"/>
      <c r="R70" s="263"/>
      <c r="S70" s="388"/>
      <c r="T70" s="390"/>
      <c r="U70" s="390"/>
      <c r="W70" s="387"/>
      <c r="X70" s="390"/>
      <c r="Z70" s="387"/>
      <c r="AA70" s="390"/>
      <c r="AC70" s="387"/>
      <c r="AD70" s="390"/>
      <c r="AF70" s="387"/>
      <c r="AG70" s="390"/>
      <c r="AI70" s="387"/>
      <c r="AJ70" s="390"/>
      <c r="AL70" s="387"/>
      <c r="AM70" s="390"/>
    </row>
    <row r="71" spans="1:39" s="264" customFormat="1" x14ac:dyDescent="0.2">
      <c r="A71" s="258"/>
      <c r="B71" s="259"/>
      <c r="C71" s="290"/>
      <c r="D71" s="290"/>
      <c r="E71" s="290"/>
      <c r="F71" s="290"/>
      <c r="G71" s="290"/>
      <c r="H71" s="290"/>
      <c r="I71" s="290"/>
      <c r="J71" s="290"/>
      <c r="K71" s="290"/>
      <c r="L71" s="290"/>
      <c r="M71" s="290"/>
      <c r="N71" s="290"/>
      <c r="O71" s="290"/>
      <c r="P71" s="261"/>
      <c r="Q71" s="262"/>
      <c r="R71" s="263"/>
      <c r="S71" s="388"/>
      <c r="T71" s="390"/>
      <c r="U71" s="390"/>
      <c r="W71" s="387"/>
      <c r="X71" s="390"/>
      <c r="Z71" s="387"/>
      <c r="AA71" s="390"/>
      <c r="AC71" s="387"/>
      <c r="AD71" s="390"/>
      <c r="AF71" s="387"/>
      <c r="AG71" s="390"/>
      <c r="AI71" s="387"/>
      <c r="AJ71" s="390"/>
      <c r="AL71" s="387"/>
      <c r="AM71" s="390"/>
    </row>
    <row r="72" spans="1:39" s="264" customFormat="1" x14ac:dyDescent="0.2">
      <c r="A72" s="258"/>
      <c r="B72" s="259"/>
      <c r="C72" s="290"/>
      <c r="D72" s="290"/>
      <c r="E72" s="290"/>
      <c r="F72" s="290"/>
      <c r="G72" s="290"/>
      <c r="H72" s="290"/>
      <c r="I72" s="290"/>
      <c r="J72" s="290"/>
      <c r="K72" s="290"/>
      <c r="L72" s="290"/>
      <c r="M72" s="290"/>
      <c r="N72" s="290"/>
      <c r="O72" s="290"/>
      <c r="P72" s="261"/>
      <c r="Q72" s="262"/>
      <c r="R72" s="263"/>
      <c r="S72" s="388"/>
      <c r="T72" s="390"/>
      <c r="U72" s="390"/>
      <c r="W72" s="387"/>
      <c r="X72" s="390"/>
      <c r="Z72" s="387"/>
      <c r="AA72" s="390"/>
      <c r="AC72" s="387"/>
      <c r="AD72" s="390"/>
      <c r="AF72" s="387"/>
      <c r="AG72" s="390"/>
      <c r="AI72" s="387"/>
      <c r="AJ72" s="390"/>
      <c r="AL72" s="387"/>
      <c r="AM72" s="390"/>
    </row>
    <row r="73" spans="1:39" s="264" customFormat="1" x14ac:dyDescent="0.2">
      <c r="A73" s="258"/>
      <c r="B73" s="259"/>
      <c r="C73" s="290"/>
      <c r="D73" s="290"/>
      <c r="E73" s="290"/>
      <c r="F73" s="290"/>
      <c r="G73" s="290"/>
      <c r="H73" s="290"/>
      <c r="I73" s="290"/>
      <c r="J73" s="290"/>
      <c r="K73" s="290"/>
      <c r="L73" s="290"/>
      <c r="M73" s="290"/>
      <c r="N73" s="290"/>
      <c r="O73" s="290"/>
      <c r="P73" s="261"/>
      <c r="Q73" s="262"/>
      <c r="R73" s="263"/>
      <c r="S73" s="388"/>
      <c r="T73" s="390"/>
      <c r="U73" s="390"/>
      <c r="W73" s="387"/>
      <c r="X73" s="390"/>
      <c r="Z73" s="387"/>
      <c r="AA73" s="390"/>
      <c r="AC73" s="387"/>
      <c r="AD73" s="390"/>
      <c r="AF73" s="387"/>
      <c r="AG73" s="390"/>
      <c r="AI73" s="387"/>
      <c r="AJ73" s="390"/>
      <c r="AL73" s="387"/>
      <c r="AM73" s="390"/>
    </row>
    <row r="74" spans="1:39" s="264" customFormat="1" x14ac:dyDescent="0.2">
      <c r="A74" s="258"/>
      <c r="B74" s="259"/>
      <c r="C74" s="290"/>
      <c r="D74" s="290"/>
      <c r="E74" s="290"/>
      <c r="F74" s="290"/>
      <c r="G74" s="290"/>
      <c r="H74" s="290"/>
      <c r="I74" s="290"/>
      <c r="J74" s="290"/>
      <c r="K74" s="290"/>
      <c r="L74" s="290"/>
      <c r="M74" s="290"/>
      <c r="N74" s="290"/>
      <c r="O74" s="290"/>
      <c r="P74" s="261"/>
      <c r="Q74" s="262"/>
      <c r="R74" s="263"/>
      <c r="S74" s="388"/>
      <c r="T74" s="390"/>
      <c r="U74" s="390"/>
      <c r="W74" s="387"/>
      <c r="X74" s="390"/>
      <c r="Z74" s="387"/>
      <c r="AA74" s="390"/>
      <c r="AC74" s="387"/>
      <c r="AD74" s="390"/>
      <c r="AF74" s="387"/>
      <c r="AG74" s="390"/>
      <c r="AI74" s="387"/>
      <c r="AJ74" s="390"/>
      <c r="AL74" s="387"/>
      <c r="AM74" s="390"/>
    </row>
    <row r="75" spans="1:39" s="264" customFormat="1" x14ac:dyDescent="0.2">
      <c r="A75" s="258"/>
      <c r="B75" s="259"/>
      <c r="C75" s="290"/>
      <c r="D75" s="290"/>
      <c r="E75" s="290"/>
      <c r="F75" s="290"/>
      <c r="G75" s="290"/>
      <c r="H75" s="290"/>
      <c r="I75" s="290"/>
      <c r="J75" s="290"/>
      <c r="K75" s="290"/>
      <c r="L75" s="290"/>
      <c r="M75" s="290"/>
      <c r="N75" s="290"/>
      <c r="O75" s="290"/>
      <c r="P75" s="261"/>
      <c r="Q75" s="262"/>
      <c r="R75" s="263"/>
      <c r="S75" s="388"/>
      <c r="T75" s="390"/>
      <c r="U75" s="390"/>
      <c r="W75" s="387"/>
      <c r="X75" s="390"/>
      <c r="Z75" s="387"/>
      <c r="AA75" s="390"/>
      <c r="AC75" s="387"/>
      <c r="AD75" s="390"/>
      <c r="AF75" s="387"/>
      <c r="AG75" s="390"/>
      <c r="AI75" s="387"/>
      <c r="AJ75" s="390"/>
      <c r="AL75" s="387"/>
      <c r="AM75" s="390"/>
    </row>
    <row r="76" spans="1:39" s="264" customFormat="1" x14ac:dyDescent="0.2">
      <c r="A76" s="258"/>
      <c r="B76" s="259"/>
      <c r="C76" s="290"/>
      <c r="D76" s="290"/>
      <c r="E76" s="290"/>
      <c r="F76" s="290"/>
      <c r="G76" s="290"/>
      <c r="H76" s="290"/>
      <c r="I76" s="290"/>
      <c r="J76" s="290"/>
      <c r="K76" s="290"/>
      <c r="L76" s="290"/>
      <c r="M76" s="290"/>
      <c r="N76" s="290"/>
      <c r="O76" s="290"/>
      <c r="P76" s="261"/>
      <c r="Q76" s="262"/>
      <c r="R76" s="263"/>
      <c r="S76" s="388"/>
      <c r="T76" s="390"/>
      <c r="U76" s="390"/>
      <c r="W76" s="387"/>
      <c r="X76" s="390"/>
      <c r="Z76" s="387"/>
      <c r="AA76" s="390"/>
      <c r="AC76" s="387"/>
      <c r="AD76" s="390"/>
      <c r="AF76" s="387"/>
      <c r="AG76" s="390"/>
      <c r="AI76" s="387"/>
      <c r="AJ76" s="390"/>
      <c r="AL76" s="387"/>
      <c r="AM76" s="390"/>
    </row>
    <row r="77" spans="1:39" s="264" customFormat="1" x14ac:dyDescent="0.2">
      <c r="A77" s="258"/>
      <c r="B77" s="259"/>
      <c r="C77" s="290"/>
      <c r="D77" s="290"/>
      <c r="E77" s="290"/>
      <c r="F77" s="290"/>
      <c r="G77" s="290"/>
      <c r="H77" s="290"/>
      <c r="I77" s="290"/>
      <c r="J77" s="290"/>
      <c r="K77" s="290"/>
      <c r="L77" s="290"/>
      <c r="M77" s="290"/>
      <c r="N77" s="290"/>
      <c r="O77" s="290"/>
      <c r="P77" s="261"/>
      <c r="Q77" s="262"/>
      <c r="R77" s="263"/>
      <c r="S77" s="388"/>
      <c r="T77" s="390"/>
      <c r="U77" s="390"/>
      <c r="W77" s="387"/>
      <c r="X77" s="390"/>
      <c r="Z77" s="387"/>
      <c r="AA77" s="390"/>
      <c r="AC77" s="387"/>
      <c r="AD77" s="390"/>
      <c r="AF77" s="387"/>
      <c r="AG77" s="390"/>
      <c r="AI77" s="387"/>
      <c r="AJ77" s="390"/>
      <c r="AL77" s="387"/>
      <c r="AM77" s="390"/>
    </row>
    <row r="78" spans="1:39" s="264" customFormat="1" x14ac:dyDescent="0.2">
      <c r="A78" s="258"/>
      <c r="B78" s="259"/>
      <c r="C78" s="290"/>
      <c r="D78" s="290"/>
      <c r="E78" s="290"/>
      <c r="F78" s="290"/>
      <c r="G78" s="290"/>
      <c r="H78" s="290"/>
      <c r="I78" s="290"/>
      <c r="J78" s="290"/>
      <c r="K78" s="290"/>
      <c r="L78" s="290"/>
      <c r="M78" s="290"/>
      <c r="N78" s="290"/>
      <c r="O78" s="290"/>
      <c r="P78" s="261"/>
      <c r="Q78" s="262"/>
      <c r="R78" s="263"/>
      <c r="S78" s="388"/>
      <c r="T78" s="390"/>
      <c r="U78" s="390"/>
      <c r="W78" s="387"/>
      <c r="X78" s="390"/>
      <c r="Z78" s="387"/>
      <c r="AA78" s="390"/>
      <c r="AC78" s="387"/>
      <c r="AD78" s="390"/>
      <c r="AF78" s="387"/>
      <c r="AG78" s="390"/>
      <c r="AI78" s="387"/>
      <c r="AJ78" s="390"/>
      <c r="AL78" s="387"/>
      <c r="AM78" s="390"/>
    </row>
    <row r="79" spans="1:39" s="264" customFormat="1" x14ac:dyDescent="0.2">
      <c r="A79" s="258"/>
      <c r="B79" s="259"/>
      <c r="C79" s="290"/>
      <c r="D79" s="290"/>
      <c r="E79" s="290"/>
      <c r="F79" s="290"/>
      <c r="G79" s="290"/>
      <c r="H79" s="290"/>
      <c r="I79" s="290"/>
      <c r="J79" s="290"/>
      <c r="K79" s="290"/>
      <c r="L79" s="290"/>
      <c r="M79" s="290"/>
      <c r="N79" s="290"/>
      <c r="O79" s="290"/>
      <c r="P79" s="261"/>
      <c r="Q79" s="262"/>
      <c r="R79" s="263"/>
      <c r="S79" s="388"/>
      <c r="T79" s="390"/>
      <c r="U79" s="390"/>
      <c r="W79" s="387"/>
      <c r="X79" s="390"/>
      <c r="Z79" s="387"/>
      <c r="AA79" s="390"/>
      <c r="AC79" s="387"/>
      <c r="AD79" s="390"/>
      <c r="AF79" s="387"/>
      <c r="AG79" s="390"/>
      <c r="AI79" s="387"/>
      <c r="AJ79" s="390"/>
      <c r="AL79" s="387"/>
      <c r="AM79" s="390"/>
    </row>
    <row r="80" spans="1:39" s="264" customFormat="1" x14ac:dyDescent="0.2">
      <c r="A80" s="258"/>
      <c r="B80" s="259"/>
      <c r="C80" s="290"/>
      <c r="D80" s="290"/>
      <c r="E80" s="290"/>
      <c r="F80" s="290"/>
      <c r="G80" s="290"/>
      <c r="H80" s="290"/>
      <c r="I80" s="290"/>
      <c r="J80" s="290"/>
      <c r="K80" s="290"/>
      <c r="L80" s="290"/>
      <c r="M80" s="290"/>
      <c r="N80" s="290"/>
      <c r="O80" s="290"/>
      <c r="P80" s="261"/>
      <c r="Q80" s="262"/>
      <c r="R80" s="263"/>
      <c r="S80" s="388"/>
      <c r="T80" s="390"/>
      <c r="U80" s="390"/>
      <c r="W80" s="387"/>
      <c r="X80" s="390"/>
      <c r="Z80" s="387"/>
      <c r="AA80" s="390"/>
      <c r="AC80" s="387"/>
      <c r="AD80" s="390"/>
      <c r="AF80" s="387"/>
      <c r="AG80" s="390"/>
      <c r="AI80" s="387"/>
      <c r="AJ80" s="390"/>
      <c r="AL80" s="387"/>
      <c r="AM80" s="390"/>
    </row>
    <row r="81" spans="1:39" s="264" customFormat="1" x14ac:dyDescent="0.2">
      <c r="A81" s="258"/>
      <c r="B81" s="259"/>
      <c r="C81" s="290"/>
      <c r="D81" s="290"/>
      <c r="E81" s="290"/>
      <c r="F81" s="290"/>
      <c r="G81" s="290"/>
      <c r="H81" s="290"/>
      <c r="I81" s="290"/>
      <c r="J81" s="290"/>
      <c r="K81" s="290"/>
      <c r="L81" s="290"/>
      <c r="M81" s="290"/>
      <c r="N81" s="290"/>
      <c r="O81" s="290"/>
      <c r="P81" s="261"/>
      <c r="Q81" s="262"/>
      <c r="R81" s="263"/>
      <c r="S81" s="388"/>
      <c r="T81" s="390"/>
      <c r="U81" s="390"/>
      <c r="W81" s="387"/>
      <c r="X81" s="390"/>
      <c r="Z81" s="387"/>
      <c r="AA81" s="390"/>
      <c r="AC81" s="387"/>
      <c r="AD81" s="390"/>
      <c r="AF81" s="387"/>
      <c r="AG81" s="390"/>
      <c r="AI81" s="387"/>
      <c r="AJ81" s="390"/>
      <c r="AL81" s="387"/>
      <c r="AM81" s="390"/>
    </row>
    <row r="82" spans="1:39" s="264" customFormat="1" x14ac:dyDescent="0.2">
      <c r="A82" s="258"/>
      <c r="B82" s="259"/>
      <c r="C82" s="290"/>
      <c r="D82" s="290"/>
      <c r="E82" s="290"/>
      <c r="F82" s="290"/>
      <c r="G82" s="290"/>
      <c r="H82" s="290"/>
      <c r="I82" s="290"/>
      <c r="J82" s="290"/>
      <c r="K82" s="290"/>
      <c r="L82" s="290"/>
      <c r="M82" s="290"/>
      <c r="N82" s="290"/>
      <c r="O82" s="290"/>
      <c r="P82" s="261"/>
      <c r="Q82" s="262"/>
      <c r="R82" s="263"/>
      <c r="S82" s="388"/>
      <c r="T82" s="390"/>
      <c r="U82" s="390"/>
      <c r="W82" s="387"/>
      <c r="X82" s="390"/>
      <c r="Z82" s="387"/>
      <c r="AA82" s="390"/>
      <c r="AC82" s="387"/>
      <c r="AD82" s="390"/>
      <c r="AF82" s="387"/>
      <c r="AG82" s="390"/>
      <c r="AI82" s="387"/>
      <c r="AJ82" s="390"/>
      <c r="AL82" s="387"/>
      <c r="AM82" s="390"/>
    </row>
    <row r="83" spans="1:39" s="264" customFormat="1" x14ac:dyDescent="0.2">
      <c r="A83" s="258"/>
      <c r="B83" s="259"/>
      <c r="C83" s="290"/>
      <c r="D83" s="290"/>
      <c r="E83" s="290"/>
      <c r="F83" s="290"/>
      <c r="G83" s="290"/>
      <c r="H83" s="290"/>
      <c r="I83" s="290"/>
      <c r="J83" s="290"/>
      <c r="K83" s="290"/>
      <c r="L83" s="290"/>
      <c r="M83" s="290"/>
      <c r="N83" s="290"/>
      <c r="O83" s="290"/>
      <c r="P83" s="261"/>
      <c r="Q83" s="262"/>
      <c r="R83" s="263"/>
      <c r="S83" s="388"/>
      <c r="T83" s="390"/>
      <c r="U83" s="390"/>
      <c r="W83" s="387"/>
      <c r="X83" s="390"/>
      <c r="Z83" s="387"/>
      <c r="AA83" s="390"/>
      <c r="AC83" s="387"/>
      <c r="AD83" s="390"/>
      <c r="AF83" s="387"/>
      <c r="AG83" s="390"/>
      <c r="AI83" s="387"/>
      <c r="AJ83" s="390"/>
      <c r="AL83" s="387"/>
      <c r="AM83" s="390"/>
    </row>
    <row r="84" spans="1:39" s="264" customFormat="1" x14ac:dyDescent="0.2">
      <c r="A84" s="258"/>
      <c r="B84" s="259"/>
      <c r="C84" s="290"/>
      <c r="D84" s="290"/>
      <c r="E84" s="290"/>
      <c r="F84" s="290"/>
      <c r="G84" s="290"/>
      <c r="H84" s="290"/>
      <c r="I84" s="290"/>
      <c r="J84" s="290"/>
      <c r="K84" s="290"/>
      <c r="L84" s="290"/>
      <c r="M84" s="290"/>
      <c r="N84" s="290"/>
      <c r="O84" s="290"/>
      <c r="P84" s="261"/>
      <c r="Q84" s="262"/>
      <c r="R84" s="263"/>
      <c r="S84" s="388"/>
      <c r="T84" s="390"/>
      <c r="U84" s="390"/>
      <c r="W84" s="387"/>
      <c r="X84" s="390"/>
      <c r="Z84" s="387"/>
      <c r="AA84" s="390"/>
      <c r="AC84" s="387"/>
      <c r="AD84" s="390"/>
      <c r="AF84" s="387"/>
      <c r="AG84" s="390"/>
      <c r="AI84" s="387"/>
      <c r="AJ84" s="390"/>
      <c r="AL84" s="387"/>
      <c r="AM84" s="390"/>
    </row>
    <row r="85" spans="1:39" s="264" customFormat="1" x14ac:dyDescent="0.2">
      <c r="A85" s="258"/>
      <c r="B85" s="259"/>
      <c r="C85" s="290"/>
      <c r="D85" s="290"/>
      <c r="E85" s="290"/>
      <c r="F85" s="290"/>
      <c r="G85" s="290"/>
      <c r="H85" s="290"/>
      <c r="I85" s="290"/>
      <c r="J85" s="290"/>
      <c r="K85" s="290"/>
      <c r="L85" s="290"/>
      <c r="M85" s="290"/>
      <c r="N85" s="290"/>
      <c r="O85" s="290"/>
      <c r="P85" s="261"/>
      <c r="Q85" s="262"/>
      <c r="R85" s="263"/>
      <c r="S85" s="388"/>
      <c r="T85" s="390"/>
      <c r="U85" s="390"/>
      <c r="W85" s="387"/>
      <c r="X85" s="390"/>
      <c r="Z85" s="387"/>
      <c r="AA85" s="390"/>
      <c r="AC85" s="387"/>
      <c r="AD85" s="390"/>
      <c r="AF85" s="387"/>
      <c r="AG85" s="390"/>
      <c r="AI85" s="387"/>
      <c r="AJ85" s="390"/>
      <c r="AL85" s="387"/>
      <c r="AM85" s="390"/>
    </row>
    <row r="86" spans="1:39" s="264" customFormat="1" x14ac:dyDescent="0.2">
      <c r="A86" s="258"/>
      <c r="B86" s="259"/>
      <c r="C86" s="290"/>
      <c r="D86" s="290"/>
      <c r="E86" s="290"/>
      <c r="F86" s="290"/>
      <c r="G86" s="290"/>
      <c r="H86" s="290"/>
      <c r="I86" s="290"/>
      <c r="J86" s="290"/>
      <c r="K86" s="290"/>
      <c r="L86" s="290"/>
      <c r="M86" s="290"/>
      <c r="N86" s="290"/>
      <c r="O86" s="290"/>
      <c r="P86" s="261"/>
      <c r="Q86" s="262"/>
      <c r="R86" s="263"/>
      <c r="S86" s="388"/>
      <c r="T86" s="390"/>
      <c r="U86" s="390"/>
      <c r="W86" s="387"/>
      <c r="X86" s="390"/>
      <c r="Z86" s="387"/>
      <c r="AA86" s="390"/>
      <c r="AC86" s="387"/>
      <c r="AD86" s="390"/>
      <c r="AF86" s="387"/>
      <c r="AG86" s="390"/>
      <c r="AI86" s="387"/>
      <c r="AJ86" s="390"/>
      <c r="AL86" s="387"/>
      <c r="AM86" s="390"/>
    </row>
    <row r="87" spans="1:39" s="264" customFormat="1" x14ac:dyDescent="0.2">
      <c r="A87" s="258"/>
      <c r="B87" s="259"/>
      <c r="C87" s="290"/>
      <c r="D87" s="290"/>
      <c r="E87" s="290"/>
      <c r="F87" s="290"/>
      <c r="G87" s="290"/>
      <c r="H87" s="290"/>
      <c r="I87" s="290"/>
      <c r="J87" s="290"/>
      <c r="K87" s="290"/>
      <c r="L87" s="290"/>
      <c r="M87" s="290"/>
      <c r="N87" s="290"/>
      <c r="O87" s="290"/>
      <c r="P87" s="261"/>
      <c r="Q87" s="262"/>
      <c r="R87" s="263"/>
      <c r="S87" s="388"/>
      <c r="T87" s="390"/>
      <c r="U87" s="390"/>
      <c r="W87" s="387"/>
      <c r="X87" s="390"/>
      <c r="Z87" s="387"/>
      <c r="AA87" s="390"/>
      <c r="AC87" s="387"/>
      <c r="AD87" s="390"/>
      <c r="AF87" s="387"/>
      <c r="AG87" s="390"/>
      <c r="AI87" s="387"/>
      <c r="AJ87" s="390"/>
      <c r="AL87" s="387"/>
      <c r="AM87" s="390"/>
    </row>
    <row r="88" spans="1:39" s="264" customFormat="1" x14ac:dyDescent="0.2">
      <c r="A88" s="258"/>
      <c r="B88" s="259"/>
      <c r="C88" s="290"/>
      <c r="D88" s="290"/>
      <c r="E88" s="290"/>
      <c r="F88" s="290"/>
      <c r="G88" s="290"/>
      <c r="H88" s="290"/>
      <c r="I88" s="290"/>
      <c r="J88" s="290"/>
      <c r="K88" s="290"/>
      <c r="L88" s="290"/>
      <c r="M88" s="290"/>
      <c r="N88" s="290"/>
      <c r="O88" s="290"/>
      <c r="P88" s="261"/>
      <c r="Q88" s="262"/>
      <c r="R88" s="263"/>
      <c r="S88" s="388"/>
      <c r="T88" s="390"/>
      <c r="U88" s="390"/>
      <c r="W88" s="387"/>
      <c r="X88" s="390"/>
      <c r="Z88" s="387"/>
      <c r="AA88" s="390"/>
      <c r="AC88" s="387"/>
      <c r="AD88" s="390"/>
      <c r="AF88" s="387"/>
      <c r="AG88" s="390"/>
      <c r="AI88" s="387"/>
      <c r="AJ88" s="390"/>
      <c r="AL88" s="387"/>
      <c r="AM88" s="390"/>
    </row>
    <row r="89" spans="1:39" s="264" customFormat="1" x14ac:dyDescent="0.2">
      <c r="A89" s="258"/>
      <c r="B89" s="259"/>
      <c r="C89" s="290"/>
      <c r="D89" s="290"/>
      <c r="E89" s="290"/>
      <c r="F89" s="290"/>
      <c r="G89" s="290"/>
      <c r="H89" s="290"/>
      <c r="I89" s="290"/>
      <c r="J89" s="290"/>
      <c r="K89" s="290"/>
      <c r="L89" s="290"/>
      <c r="M89" s="290"/>
      <c r="N89" s="290"/>
      <c r="O89" s="290"/>
      <c r="P89" s="261"/>
      <c r="Q89" s="262"/>
      <c r="R89" s="263"/>
      <c r="S89" s="388"/>
      <c r="T89" s="390"/>
      <c r="U89" s="390"/>
      <c r="W89" s="387"/>
      <c r="X89" s="390"/>
      <c r="Z89" s="387"/>
      <c r="AA89" s="390"/>
      <c r="AC89" s="387"/>
      <c r="AD89" s="390"/>
      <c r="AF89" s="387"/>
      <c r="AG89" s="390"/>
      <c r="AI89" s="387"/>
      <c r="AJ89" s="390"/>
      <c r="AL89" s="387"/>
      <c r="AM89" s="390"/>
    </row>
    <row r="90" spans="1:39" s="264" customFormat="1" x14ac:dyDescent="0.2">
      <c r="A90" s="258"/>
      <c r="B90" s="259"/>
      <c r="C90" s="290"/>
      <c r="D90" s="290"/>
      <c r="E90" s="290"/>
      <c r="F90" s="290"/>
      <c r="G90" s="290"/>
      <c r="H90" s="290"/>
      <c r="I90" s="290"/>
      <c r="J90" s="290"/>
      <c r="K90" s="290"/>
      <c r="L90" s="290"/>
      <c r="M90" s="290"/>
      <c r="N90" s="290"/>
      <c r="O90" s="290"/>
      <c r="P90" s="261"/>
      <c r="Q90" s="262"/>
      <c r="R90" s="263"/>
      <c r="S90" s="388"/>
      <c r="T90" s="390"/>
      <c r="U90" s="390"/>
      <c r="W90" s="387"/>
      <c r="X90" s="390"/>
      <c r="Z90" s="387"/>
      <c r="AA90" s="390"/>
      <c r="AC90" s="387"/>
      <c r="AD90" s="390"/>
      <c r="AF90" s="387"/>
      <c r="AG90" s="390"/>
      <c r="AI90" s="387"/>
      <c r="AJ90" s="390"/>
      <c r="AL90" s="387"/>
      <c r="AM90" s="390"/>
    </row>
    <row r="91" spans="1:39" s="264" customFormat="1" x14ac:dyDescent="0.2">
      <c r="A91" s="258"/>
      <c r="B91" s="259"/>
      <c r="C91" s="290"/>
      <c r="D91" s="290"/>
      <c r="E91" s="290"/>
      <c r="F91" s="290"/>
      <c r="G91" s="290"/>
      <c r="H91" s="290"/>
      <c r="I91" s="290"/>
      <c r="J91" s="290"/>
      <c r="K91" s="290"/>
      <c r="L91" s="290"/>
      <c r="M91" s="290"/>
      <c r="N91" s="290"/>
      <c r="O91" s="290"/>
      <c r="P91" s="261"/>
      <c r="Q91" s="262"/>
      <c r="R91" s="263"/>
      <c r="S91" s="388"/>
      <c r="T91" s="390"/>
      <c r="U91" s="390"/>
      <c r="W91" s="387"/>
      <c r="X91" s="390"/>
      <c r="Z91" s="387"/>
      <c r="AA91" s="390"/>
      <c r="AC91" s="387"/>
      <c r="AD91" s="390"/>
      <c r="AF91" s="387"/>
      <c r="AG91" s="390"/>
      <c r="AI91" s="387"/>
      <c r="AJ91" s="390"/>
      <c r="AL91" s="387"/>
      <c r="AM91" s="390"/>
    </row>
    <row r="92" spans="1:39" s="264" customFormat="1" x14ac:dyDescent="0.2">
      <c r="A92" s="258"/>
      <c r="B92" s="259"/>
      <c r="C92" s="290"/>
      <c r="D92" s="290"/>
      <c r="E92" s="290"/>
      <c r="F92" s="290"/>
      <c r="G92" s="290"/>
      <c r="H92" s="290"/>
      <c r="I92" s="290"/>
      <c r="J92" s="290"/>
      <c r="K92" s="290"/>
      <c r="L92" s="290"/>
      <c r="M92" s="290"/>
      <c r="N92" s="290"/>
      <c r="O92" s="290"/>
      <c r="P92" s="261"/>
      <c r="Q92" s="262"/>
      <c r="R92" s="263"/>
      <c r="S92" s="388"/>
      <c r="T92" s="390"/>
      <c r="U92" s="390"/>
      <c r="W92" s="387"/>
      <c r="X92" s="390"/>
      <c r="Z92" s="387"/>
      <c r="AA92" s="390"/>
      <c r="AC92" s="387"/>
      <c r="AD92" s="390"/>
      <c r="AF92" s="387"/>
      <c r="AG92" s="390"/>
      <c r="AI92" s="387"/>
      <c r="AJ92" s="390"/>
      <c r="AL92" s="387"/>
      <c r="AM92" s="390"/>
    </row>
    <row r="93" spans="1:39" s="264" customFormat="1" x14ac:dyDescent="0.2">
      <c r="A93" s="308"/>
      <c r="B93" s="259"/>
      <c r="C93" s="290"/>
      <c r="D93" s="290"/>
      <c r="E93" s="290"/>
      <c r="F93" s="290"/>
      <c r="G93" s="290"/>
      <c r="H93" s="290"/>
      <c r="I93" s="290"/>
      <c r="J93" s="290"/>
      <c r="K93" s="290"/>
      <c r="L93" s="290"/>
      <c r="M93" s="290"/>
      <c r="N93" s="290"/>
      <c r="O93" s="290"/>
      <c r="P93" s="261"/>
      <c r="Q93" s="262"/>
      <c r="R93" s="263"/>
      <c r="S93" s="386"/>
      <c r="T93" s="357"/>
      <c r="U93" s="357"/>
      <c r="W93" s="387"/>
      <c r="X93" s="357"/>
      <c r="Z93" s="387"/>
      <c r="AA93" s="357"/>
      <c r="AC93" s="387"/>
      <c r="AD93" s="357"/>
      <c r="AF93" s="387"/>
      <c r="AG93" s="357"/>
      <c r="AI93" s="387"/>
      <c r="AJ93" s="357"/>
      <c r="AL93" s="387"/>
      <c r="AM93" s="357"/>
    </row>
    <row r="94" spans="1:39" s="264" customFormat="1" x14ac:dyDescent="0.2">
      <c r="A94" s="391"/>
      <c r="B94" s="392"/>
      <c r="C94" s="377"/>
      <c r="D94" s="377"/>
      <c r="E94" s="377"/>
      <c r="F94" s="377"/>
      <c r="G94" s="377"/>
      <c r="H94" s="377"/>
      <c r="I94" s="377"/>
      <c r="J94" s="377"/>
      <c r="K94" s="377"/>
      <c r="L94" s="377"/>
      <c r="M94" s="377"/>
      <c r="N94" s="377"/>
      <c r="O94" s="377"/>
      <c r="P94" s="377"/>
      <c r="Q94" s="378"/>
      <c r="R94" s="379"/>
      <c r="S94" s="386"/>
      <c r="T94" s="393"/>
      <c r="U94" s="393"/>
      <c r="W94" s="394"/>
      <c r="X94" s="393"/>
      <c r="Z94" s="394"/>
      <c r="AA94" s="393"/>
      <c r="AC94" s="394"/>
      <c r="AD94" s="393"/>
      <c r="AF94" s="394"/>
      <c r="AG94" s="393"/>
      <c r="AI94" s="394"/>
      <c r="AJ94" s="393"/>
      <c r="AL94" s="394"/>
      <c r="AM94" s="393"/>
    </row>
    <row r="95" spans="1:39" s="264" customFormat="1" x14ac:dyDescent="0.2">
      <c r="A95" s="395"/>
      <c r="B95" s="396"/>
      <c r="C95" s="550" t="s">
        <v>1</v>
      </c>
      <c r="D95" s="550"/>
      <c r="E95" s="550"/>
      <c r="F95" s="550"/>
      <c r="G95" s="550"/>
      <c r="H95" s="550"/>
      <c r="I95" s="550"/>
      <c r="J95" s="550"/>
      <c r="K95" s="550"/>
      <c r="L95" s="550"/>
      <c r="M95" s="550"/>
      <c r="N95" s="550"/>
      <c r="O95" s="550"/>
      <c r="P95" s="550"/>
      <c r="Q95" s="381" t="s">
        <v>0</v>
      </c>
      <c r="R95" s="263"/>
      <c r="S95" s="386"/>
      <c r="T95" s="397"/>
      <c r="U95" s="397"/>
      <c r="W95" s="398"/>
      <c r="X95" s="397"/>
      <c r="Z95" s="398"/>
      <c r="AA95" s="397"/>
      <c r="AC95" s="398"/>
      <c r="AD95" s="397"/>
      <c r="AF95" s="398"/>
      <c r="AG95" s="397"/>
      <c r="AI95" s="398"/>
      <c r="AJ95" s="397"/>
      <c r="AL95" s="398"/>
      <c r="AM95" s="397"/>
    </row>
    <row r="96" spans="1:39" s="264" customFormat="1" x14ac:dyDescent="0.2">
      <c r="A96" s="395"/>
      <c r="B96" s="396"/>
      <c r="C96" s="309"/>
      <c r="D96" s="309"/>
      <c r="E96" s="309"/>
      <c r="F96" s="309"/>
      <c r="G96" s="309"/>
      <c r="H96" s="309"/>
      <c r="I96" s="309"/>
      <c r="J96" s="309"/>
      <c r="K96" s="309"/>
      <c r="L96" s="309"/>
      <c r="M96" s="309"/>
      <c r="N96" s="309"/>
      <c r="O96" s="309"/>
      <c r="P96" s="309"/>
      <c r="Q96" s="294"/>
      <c r="R96" s="382"/>
      <c r="S96" s="386"/>
      <c r="T96" s="399"/>
      <c r="U96" s="399"/>
      <c r="W96" s="400"/>
      <c r="X96" s="399"/>
      <c r="Z96" s="400"/>
      <c r="AA96" s="399"/>
      <c r="AC96" s="400"/>
      <c r="AD96" s="399"/>
      <c r="AF96" s="400"/>
      <c r="AG96" s="399"/>
      <c r="AI96" s="400"/>
      <c r="AJ96" s="399"/>
      <c r="AL96" s="400"/>
      <c r="AM96" s="399"/>
    </row>
    <row r="97" spans="1:39" s="264" customFormat="1" x14ac:dyDescent="0.2">
      <c r="A97" s="258"/>
      <c r="B97" s="259"/>
      <c r="C97" s="290"/>
      <c r="D97" s="290"/>
      <c r="E97" s="290"/>
      <c r="F97" s="290"/>
      <c r="G97" s="290"/>
      <c r="H97" s="290"/>
      <c r="I97" s="290"/>
      <c r="J97" s="290"/>
      <c r="K97" s="290"/>
      <c r="L97" s="290"/>
      <c r="M97" s="290"/>
      <c r="N97" s="290"/>
      <c r="O97" s="290"/>
      <c r="P97" s="261"/>
      <c r="Q97" s="262"/>
      <c r="R97" s="263"/>
      <c r="S97" s="388"/>
      <c r="T97" s="390"/>
      <c r="U97" s="390"/>
      <c r="W97" s="387"/>
      <c r="X97" s="390"/>
      <c r="Z97" s="387"/>
      <c r="AA97" s="390"/>
      <c r="AC97" s="387"/>
      <c r="AD97" s="390"/>
      <c r="AF97" s="387"/>
      <c r="AG97" s="390"/>
      <c r="AI97" s="387"/>
      <c r="AJ97" s="390"/>
      <c r="AL97" s="387"/>
      <c r="AM97" s="390"/>
    </row>
    <row r="98" spans="1:39" s="264" customFormat="1" x14ac:dyDescent="0.2">
      <c r="A98" s="308"/>
      <c r="B98" s="293" t="s">
        <v>128</v>
      </c>
      <c r="C98" s="290"/>
      <c r="D98" s="290"/>
      <c r="E98" s="290"/>
      <c r="F98" s="290"/>
      <c r="G98" s="290"/>
      <c r="H98" s="290"/>
      <c r="I98" s="290"/>
      <c r="J98" s="290"/>
      <c r="K98" s="290"/>
      <c r="L98" s="290"/>
      <c r="M98" s="290"/>
      <c r="N98" s="290"/>
      <c r="O98" s="290"/>
      <c r="P98" s="261"/>
      <c r="Q98" s="262"/>
      <c r="R98" s="263"/>
      <c r="S98" s="386"/>
      <c r="T98" s="357"/>
      <c r="U98" s="357"/>
      <c r="W98" s="387"/>
      <c r="X98" s="357"/>
      <c r="Z98" s="387"/>
      <c r="AA98" s="357"/>
      <c r="AC98" s="387"/>
      <c r="AD98" s="357"/>
      <c r="AF98" s="387"/>
      <c r="AG98" s="357"/>
      <c r="AI98" s="387"/>
      <c r="AJ98" s="357"/>
      <c r="AL98" s="387"/>
      <c r="AM98" s="357"/>
    </row>
    <row r="99" spans="1:39" s="264" customFormat="1" x14ac:dyDescent="0.2">
      <c r="A99" s="308"/>
      <c r="B99" s="259"/>
      <c r="C99" s="290">
        <f>(W99+X99)*$C$3</f>
        <v>0</v>
      </c>
      <c r="D99" s="290">
        <f>C99*$Q99</f>
        <v>0</v>
      </c>
      <c r="E99" s="290">
        <f>(Z99+AA99)*$E$3</f>
        <v>0</v>
      </c>
      <c r="F99" s="290">
        <f>E99*$Q99</f>
        <v>0</v>
      </c>
      <c r="G99" s="290">
        <f>(AC99+AD99)*$G$3</f>
        <v>0</v>
      </c>
      <c r="H99" s="290">
        <f>G99*$Q99</f>
        <v>0</v>
      </c>
      <c r="I99" s="290">
        <f>(AF99+AG99)*$I$3</f>
        <v>0</v>
      </c>
      <c r="J99" s="290">
        <f>I99*$Q99</f>
        <v>0</v>
      </c>
      <c r="K99" s="290">
        <f>(AI99+AJ99)*$K$3</f>
        <v>0</v>
      </c>
      <c r="L99" s="290">
        <f>K99*$Q99</f>
        <v>0</v>
      </c>
      <c r="M99" s="290">
        <f>(AL99+AM99)*$M$3</f>
        <v>0</v>
      </c>
      <c r="N99" s="290">
        <f>M99*$Q99</f>
        <v>0</v>
      </c>
      <c r="O99" s="290">
        <f>C99+E99+G99+I99+K99+M99</f>
        <v>0</v>
      </c>
      <c r="P99" s="261"/>
      <c r="Q99" s="262"/>
      <c r="R99" s="263"/>
      <c r="S99" s="386"/>
      <c r="T99" s="339"/>
      <c r="U99" s="266">
        <v>0</v>
      </c>
      <c r="W99" s="268">
        <f>T99*$W$3</f>
        <v>0</v>
      </c>
      <c r="X99" s="266">
        <f>U99*$X$3</f>
        <v>0</v>
      </c>
      <c r="Y99" s="267"/>
      <c r="Z99" s="268">
        <f>W99</f>
        <v>0</v>
      </c>
      <c r="AA99" s="266">
        <f>U99*$AA$3</f>
        <v>0</v>
      </c>
      <c r="AB99" s="267"/>
      <c r="AC99" s="268">
        <f>W99</f>
        <v>0</v>
      </c>
      <c r="AD99" s="266">
        <f>U99*$AD$3</f>
        <v>0</v>
      </c>
      <c r="AE99" s="267"/>
      <c r="AF99" s="268">
        <f>W99</f>
        <v>0</v>
      </c>
      <c r="AG99" s="266">
        <f>U99*$AG$3</f>
        <v>0</v>
      </c>
      <c r="AH99" s="267"/>
      <c r="AI99" s="268">
        <f>W99</f>
        <v>0</v>
      </c>
      <c r="AJ99" s="266">
        <f>U99*$AJ$3</f>
        <v>0</v>
      </c>
      <c r="AK99" s="267"/>
      <c r="AL99" s="268">
        <f>W99</f>
        <v>0</v>
      </c>
      <c r="AM99" s="266">
        <f>U99*$AM$3</f>
        <v>0</v>
      </c>
    </row>
    <row r="100" spans="1:39" s="264" customFormat="1" ht="28.5" x14ac:dyDescent="0.2">
      <c r="A100" s="308"/>
      <c r="B100" s="259" t="s">
        <v>826</v>
      </c>
      <c r="C100" s="290"/>
      <c r="D100" s="290"/>
      <c r="E100" s="290"/>
      <c r="F100" s="290"/>
      <c r="G100" s="290"/>
      <c r="H100" s="290"/>
      <c r="I100" s="290"/>
      <c r="J100" s="290"/>
      <c r="K100" s="290"/>
      <c r="L100" s="290"/>
      <c r="M100" s="290"/>
      <c r="N100" s="290"/>
      <c r="O100" s="290"/>
      <c r="P100" s="261"/>
      <c r="Q100" s="262"/>
      <c r="R100" s="263"/>
      <c r="S100" s="386"/>
      <c r="T100" s="357"/>
      <c r="U100" s="357"/>
      <c r="W100" s="387"/>
      <c r="X100" s="357"/>
      <c r="Z100" s="387"/>
      <c r="AA100" s="357"/>
      <c r="AC100" s="387"/>
      <c r="AD100" s="357"/>
      <c r="AF100" s="387"/>
      <c r="AG100" s="357"/>
      <c r="AI100" s="387"/>
      <c r="AJ100" s="357"/>
      <c r="AL100" s="387"/>
      <c r="AM100" s="357"/>
    </row>
    <row r="101" spans="1:39" s="264" customFormat="1" x14ac:dyDescent="0.2">
      <c r="A101" s="308"/>
      <c r="B101" s="259"/>
      <c r="C101" s="290">
        <f>(W101+X101)*$C$3</f>
        <v>0</v>
      </c>
      <c r="D101" s="290">
        <f>C101*$Q101</f>
        <v>0</v>
      </c>
      <c r="E101" s="290">
        <f>(Z101+AA101)*$E$3</f>
        <v>0</v>
      </c>
      <c r="F101" s="290">
        <f>E101*$Q101</f>
        <v>0</v>
      </c>
      <c r="G101" s="290">
        <f>(AC101+AD101)*$G$3</f>
        <v>0</v>
      </c>
      <c r="H101" s="290">
        <f>G101*$Q101</f>
        <v>0</v>
      </c>
      <c r="I101" s="290">
        <f>(AF101+AG101)*$I$3</f>
        <v>0</v>
      </c>
      <c r="J101" s="290">
        <f>I101*$Q101</f>
        <v>0</v>
      </c>
      <c r="K101" s="290">
        <f>(AI101+AJ101)*$K$3</f>
        <v>0</v>
      </c>
      <c r="L101" s="290">
        <f>K101*$Q101</f>
        <v>0</v>
      </c>
      <c r="M101" s="290">
        <f>(AL101+AM101)*$M$3</f>
        <v>0</v>
      </c>
      <c r="N101" s="290">
        <f>M101*$Q101</f>
        <v>0</v>
      </c>
      <c r="O101" s="290">
        <f>C101+E101+G101+I101+K101+M101</f>
        <v>0</v>
      </c>
      <c r="P101" s="261"/>
      <c r="Q101" s="262"/>
      <c r="R101" s="263"/>
      <c r="S101" s="386"/>
      <c r="T101" s="339"/>
      <c r="U101" s="266">
        <v>0</v>
      </c>
      <c r="W101" s="268">
        <f>T101*$W$3</f>
        <v>0</v>
      </c>
      <c r="X101" s="266">
        <f>U101*$X$3</f>
        <v>0</v>
      </c>
      <c r="Y101" s="267"/>
      <c r="Z101" s="268">
        <f>W101</f>
        <v>0</v>
      </c>
      <c r="AA101" s="266">
        <f>U101*$AA$3</f>
        <v>0</v>
      </c>
      <c r="AB101" s="267"/>
      <c r="AC101" s="268">
        <f>W101</f>
        <v>0</v>
      </c>
      <c r="AD101" s="266">
        <f>U101*$AD$3</f>
        <v>0</v>
      </c>
      <c r="AE101" s="267"/>
      <c r="AF101" s="268">
        <f>W101</f>
        <v>0</v>
      </c>
      <c r="AG101" s="266">
        <f>U101*$AG$3</f>
        <v>0</v>
      </c>
      <c r="AH101" s="267"/>
      <c r="AI101" s="268">
        <f>W101</f>
        <v>0</v>
      </c>
      <c r="AJ101" s="266">
        <f>U101*$AJ$3</f>
        <v>0</v>
      </c>
      <c r="AK101" s="267"/>
      <c r="AL101" s="268">
        <f>W101</f>
        <v>0</v>
      </c>
      <c r="AM101" s="266">
        <f>U101*$AM$3</f>
        <v>0</v>
      </c>
    </row>
    <row r="102" spans="1:39" s="264" customFormat="1" x14ac:dyDescent="0.2">
      <c r="A102" s="258"/>
      <c r="B102" s="293" t="s">
        <v>827</v>
      </c>
      <c r="C102" s="290"/>
      <c r="D102" s="290"/>
      <c r="E102" s="290"/>
      <c r="F102" s="290"/>
      <c r="G102" s="290"/>
      <c r="H102" s="290"/>
      <c r="I102" s="290"/>
      <c r="J102" s="290"/>
      <c r="K102" s="290"/>
      <c r="L102" s="290"/>
      <c r="M102" s="290"/>
      <c r="N102" s="290"/>
      <c r="O102" s="290"/>
      <c r="P102" s="261"/>
      <c r="Q102" s="262"/>
      <c r="R102" s="263"/>
      <c r="S102" s="386"/>
      <c r="T102" s="390"/>
      <c r="U102" s="390"/>
      <c r="W102" s="387"/>
      <c r="X102" s="390"/>
      <c r="Z102" s="387"/>
      <c r="AA102" s="390"/>
      <c r="AC102" s="387"/>
      <c r="AD102" s="390"/>
      <c r="AF102" s="387"/>
      <c r="AG102" s="390"/>
      <c r="AI102" s="387"/>
      <c r="AJ102" s="390"/>
      <c r="AL102" s="387"/>
      <c r="AM102" s="390"/>
    </row>
    <row r="103" spans="1:39" s="264" customFormat="1" x14ac:dyDescent="0.2">
      <c r="A103" s="308"/>
      <c r="B103" s="202"/>
      <c r="C103" s="290"/>
      <c r="D103" s="290"/>
      <c r="E103" s="290"/>
      <c r="F103" s="290"/>
      <c r="G103" s="290"/>
      <c r="H103" s="290"/>
      <c r="I103" s="290"/>
      <c r="J103" s="290"/>
      <c r="K103" s="290"/>
      <c r="L103" s="290"/>
      <c r="M103" s="290"/>
      <c r="N103" s="290"/>
      <c r="O103" s="290"/>
      <c r="P103" s="261"/>
      <c r="Q103" s="262"/>
      <c r="R103" s="263"/>
      <c r="S103" s="386"/>
      <c r="T103" s="357"/>
      <c r="U103" s="357"/>
      <c r="W103" s="387"/>
      <c r="X103" s="357"/>
      <c r="Z103" s="387"/>
      <c r="AA103" s="357"/>
      <c r="AC103" s="387"/>
      <c r="AD103" s="357"/>
      <c r="AF103" s="387"/>
      <c r="AG103" s="357"/>
      <c r="AI103" s="387"/>
      <c r="AJ103" s="357"/>
      <c r="AL103" s="387"/>
      <c r="AM103" s="357"/>
    </row>
    <row r="104" spans="1:39" s="264" customFormat="1" x14ac:dyDescent="0.2">
      <c r="A104" s="308" t="s">
        <v>66</v>
      </c>
      <c r="B104" s="259" t="s">
        <v>828</v>
      </c>
      <c r="C104" s="290">
        <f t="shared" ref="C104:C116" si="6">(W104+X104)*$C$3</f>
        <v>26</v>
      </c>
      <c r="D104" s="290">
        <f t="shared" ref="D104:D120" si="7">C104*$Q104</f>
        <v>0</v>
      </c>
      <c r="E104" s="290">
        <f t="shared" ref="E104:E116" si="8">(Z104+AA104)*$E$3</f>
        <v>32</v>
      </c>
      <c r="F104" s="290">
        <f t="shared" ref="F104:F120" si="9">E104*$Q104</f>
        <v>0</v>
      </c>
      <c r="G104" s="290">
        <f t="shared" ref="G104:G116" si="10">(AC104+AD104)*$G$3</f>
        <v>190</v>
      </c>
      <c r="H104" s="290">
        <f t="shared" ref="H104:H120" si="11">G104*$Q104</f>
        <v>0</v>
      </c>
      <c r="I104" s="290">
        <f t="shared" ref="I104:I116" si="12">(AF104+AG104)*$I$3</f>
        <v>44</v>
      </c>
      <c r="J104" s="290">
        <f t="shared" ref="J104:J120" si="13">I104*$Q104</f>
        <v>0</v>
      </c>
      <c r="K104" s="290">
        <f t="shared" ref="K104:K116" si="14">(AI104+AJ104)*$K$3</f>
        <v>150</v>
      </c>
      <c r="L104" s="290">
        <f t="shared" ref="L104:L120" si="15">K104*$Q104</f>
        <v>0</v>
      </c>
      <c r="M104" s="290">
        <f t="shared" ref="M104:M116" si="16">(AL104+AM104)*$M$3</f>
        <v>56</v>
      </c>
      <c r="N104" s="290">
        <f t="shared" ref="N104:N120" si="17">M104*$Q104</f>
        <v>0</v>
      </c>
      <c r="O104" s="290">
        <f t="shared" ref="O104:O116" si="18">C104+E104+G104+I104+K104+M104</f>
        <v>498</v>
      </c>
      <c r="P104" s="261" t="s">
        <v>269</v>
      </c>
      <c r="Q104" s="262"/>
      <c r="R104" s="263"/>
      <c r="S104" s="386"/>
      <c r="T104" s="357">
        <v>7</v>
      </c>
      <c r="U104" s="357">
        <v>6</v>
      </c>
      <c r="W104" s="268">
        <f t="shared" ref="W104:W116" si="19">T104*$W$3</f>
        <v>14</v>
      </c>
      <c r="X104" s="266">
        <f t="shared" ref="X104:X116" si="20">U104*$X$3</f>
        <v>12</v>
      </c>
      <c r="Y104" s="267"/>
      <c r="Z104" s="268">
        <f t="shared" ref="Z104:Z116" si="21">W104</f>
        <v>14</v>
      </c>
      <c r="AA104" s="266">
        <f t="shared" ref="AA104:AA116" si="22">U104*$AA$3</f>
        <v>18</v>
      </c>
      <c r="AB104" s="267"/>
      <c r="AC104" s="268">
        <f t="shared" ref="AC104:AC116" si="23">W104</f>
        <v>14</v>
      </c>
      <c r="AD104" s="266">
        <f t="shared" ref="AD104:AD116" si="24">U104*$AD$3</f>
        <v>24</v>
      </c>
      <c r="AE104" s="267"/>
      <c r="AF104" s="268">
        <f t="shared" ref="AF104:AF116" si="25">W104</f>
        <v>14</v>
      </c>
      <c r="AG104" s="266">
        <f t="shared" ref="AG104:AG116" si="26">U104*$AG$3</f>
        <v>30</v>
      </c>
      <c r="AH104" s="267"/>
      <c r="AI104" s="268">
        <f t="shared" ref="AI104:AI116" si="27">W104</f>
        <v>14</v>
      </c>
      <c r="AJ104" s="266">
        <f t="shared" ref="AJ104:AJ116" si="28">U104*$AJ$3</f>
        <v>36</v>
      </c>
      <c r="AK104" s="267"/>
      <c r="AL104" s="268">
        <f t="shared" ref="AL104:AL116" si="29">W104</f>
        <v>14</v>
      </c>
      <c r="AM104" s="266">
        <f t="shared" ref="AM104:AM116" si="30">U104*$AM$3</f>
        <v>42</v>
      </c>
    </row>
    <row r="105" spans="1:39" s="264" customFormat="1" x14ac:dyDescent="0.2">
      <c r="A105" s="258"/>
      <c r="B105" s="259"/>
      <c r="C105" s="290">
        <f t="shared" si="6"/>
        <v>0</v>
      </c>
      <c r="D105" s="290">
        <f t="shared" si="7"/>
        <v>0</v>
      </c>
      <c r="E105" s="290">
        <f t="shared" si="8"/>
        <v>0</v>
      </c>
      <c r="F105" s="290">
        <f t="shared" si="9"/>
        <v>0</v>
      </c>
      <c r="G105" s="290">
        <f t="shared" si="10"/>
        <v>0</v>
      </c>
      <c r="H105" s="290">
        <f t="shared" si="11"/>
        <v>0</v>
      </c>
      <c r="I105" s="290">
        <f t="shared" si="12"/>
        <v>0</v>
      </c>
      <c r="J105" s="290">
        <f t="shared" si="13"/>
        <v>0</v>
      </c>
      <c r="K105" s="290">
        <f t="shared" si="14"/>
        <v>0</v>
      </c>
      <c r="L105" s="290">
        <f t="shared" si="15"/>
        <v>0</v>
      </c>
      <c r="M105" s="290">
        <f t="shared" si="16"/>
        <v>0</v>
      </c>
      <c r="N105" s="290">
        <f t="shared" si="17"/>
        <v>0</v>
      </c>
      <c r="O105" s="290">
        <f t="shared" si="18"/>
        <v>0</v>
      </c>
      <c r="P105" s="153"/>
      <c r="Q105" s="262"/>
      <c r="R105" s="263"/>
      <c r="S105" s="386"/>
      <c r="T105" s="339"/>
      <c r="U105" s="266"/>
      <c r="W105" s="268">
        <f t="shared" si="19"/>
        <v>0</v>
      </c>
      <c r="X105" s="266">
        <f t="shared" si="20"/>
        <v>0</v>
      </c>
      <c r="Y105" s="267"/>
      <c r="Z105" s="268">
        <f t="shared" si="21"/>
        <v>0</v>
      </c>
      <c r="AA105" s="266">
        <f t="shared" si="22"/>
        <v>0</v>
      </c>
      <c r="AB105" s="267"/>
      <c r="AC105" s="268">
        <f t="shared" si="23"/>
        <v>0</v>
      </c>
      <c r="AD105" s="266">
        <f t="shared" si="24"/>
        <v>0</v>
      </c>
      <c r="AE105" s="267"/>
      <c r="AF105" s="268">
        <f t="shared" si="25"/>
        <v>0</v>
      </c>
      <c r="AG105" s="266">
        <f t="shared" si="26"/>
        <v>0</v>
      </c>
      <c r="AH105" s="267"/>
      <c r="AI105" s="268">
        <f t="shared" si="27"/>
        <v>0</v>
      </c>
      <c r="AJ105" s="266">
        <f t="shared" si="28"/>
        <v>0</v>
      </c>
      <c r="AK105" s="267"/>
      <c r="AL105" s="268">
        <f t="shared" si="29"/>
        <v>0</v>
      </c>
      <c r="AM105" s="266">
        <f t="shared" si="30"/>
        <v>0</v>
      </c>
    </row>
    <row r="106" spans="1:39" s="264" customFormat="1" x14ac:dyDescent="0.2">
      <c r="A106" s="258" t="s">
        <v>67</v>
      </c>
      <c r="B106" s="259" t="s">
        <v>829</v>
      </c>
      <c r="C106" s="290">
        <f t="shared" si="6"/>
        <v>38</v>
      </c>
      <c r="D106" s="290">
        <f t="shared" si="7"/>
        <v>0</v>
      </c>
      <c r="E106" s="290">
        <f t="shared" si="8"/>
        <v>47</v>
      </c>
      <c r="F106" s="290">
        <f t="shared" si="9"/>
        <v>0</v>
      </c>
      <c r="G106" s="290">
        <f t="shared" si="10"/>
        <v>280</v>
      </c>
      <c r="H106" s="290">
        <f t="shared" si="11"/>
        <v>0</v>
      </c>
      <c r="I106" s="290">
        <f t="shared" si="12"/>
        <v>65</v>
      </c>
      <c r="J106" s="290">
        <f t="shared" si="13"/>
        <v>0</v>
      </c>
      <c r="K106" s="290">
        <f t="shared" si="14"/>
        <v>222</v>
      </c>
      <c r="L106" s="290">
        <f t="shared" si="15"/>
        <v>0</v>
      </c>
      <c r="M106" s="290">
        <f t="shared" si="16"/>
        <v>83</v>
      </c>
      <c r="N106" s="290">
        <f t="shared" si="17"/>
        <v>0</v>
      </c>
      <c r="O106" s="290">
        <f t="shared" si="18"/>
        <v>735</v>
      </c>
      <c r="P106" s="261" t="s">
        <v>269</v>
      </c>
      <c r="Q106" s="262"/>
      <c r="R106" s="263"/>
      <c r="S106" s="386"/>
      <c r="T106" s="357">
        <v>10</v>
      </c>
      <c r="U106" s="357">
        <v>9</v>
      </c>
      <c r="W106" s="268">
        <f t="shared" si="19"/>
        <v>20</v>
      </c>
      <c r="X106" s="266">
        <f t="shared" si="20"/>
        <v>18</v>
      </c>
      <c r="Y106" s="267"/>
      <c r="Z106" s="268">
        <f t="shared" si="21"/>
        <v>20</v>
      </c>
      <c r="AA106" s="266">
        <f t="shared" si="22"/>
        <v>27</v>
      </c>
      <c r="AB106" s="267"/>
      <c r="AC106" s="268">
        <f t="shared" si="23"/>
        <v>20</v>
      </c>
      <c r="AD106" s="266">
        <f t="shared" si="24"/>
        <v>36</v>
      </c>
      <c r="AE106" s="267"/>
      <c r="AF106" s="268">
        <f t="shared" si="25"/>
        <v>20</v>
      </c>
      <c r="AG106" s="266">
        <f t="shared" si="26"/>
        <v>45</v>
      </c>
      <c r="AH106" s="267"/>
      <c r="AI106" s="268">
        <f t="shared" si="27"/>
        <v>20</v>
      </c>
      <c r="AJ106" s="266">
        <f t="shared" si="28"/>
        <v>54</v>
      </c>
      <c r="AK106" s="267"/>
      <c r="AL106" s="268">
        <f t="shared" si="29"/>
        <v>20</v>
      </c>
      <c r="AM106" s="266">
        <f t="shared" si="30"/>
        <v>63</v>
      </c>
    </row>
    <row r="107" spans="1:39" s="264" customFormat="1" x14ac:dyDescent="0.2">
      <c r="A107" s="258"/>
      <c r="B107" s="259"/>
      <c r="C107" s="290">
        <f t="shared" si="6"/>
        <v>0</v>
      </c>
      <c r="D107" s="290">
        <f t="shared" si="7"/>
        <v>0</v>
      </c>
      <c r="E107" s="290">
        <f t="shared" si="8"/>
        <v>0</v>
      </c>
      <c r="F107" s="290">
        <f t="shared" si="9"/>
        <v>0</v>
      </c>
      <c r="G107" s="290">
        <f t="shared" si="10"/>
        <v>0</v>
      </c>
      <c r="H107" s="290">
        <f t="shared" si="11"/>
        <v>0</v>
      </c>
      <c r="I107" s="290">
        <f t="shared" si="12"/>
        <v>0</v>
      </c>
      <c r="J107" s="290">
        <f t="shared" si="13"/>
        <v>0</v>
      </c>
      <c r="K107" s="290">
        <f t="shared" si="14"/>
        <v>0</v>
      </c>
      <c r="L107" s="290">
        <f t="shared" si="15"/>
        <v>0</v>
      </c>
      <c r="M107" s="290">
        <f t="shared" si="16"/>
        <v>0</v>
      </c>
      <c r="N107" s="290">
        <f t="shared" si="17"/>
        <v>0</v>
      </c>
      <c r="O107" s="290">
        <f t="shared" si="18"/>
        <v>0</v>
      </c>
      <c r="P107" s="153"/>
      <c r="Q107" s="262"/>
      <c r="R107" s="263"/>
      <c r="S107" s="386"/>
      <c r="T107" s="339"/>
      <c r="U107" s="266"/>
      <c r="W107" s="268">
        <f t="shared" si="19"/>
        <v>0</v>
      </c>
      <c r="X107" s="266">
        <f t="shared" si="20"/>
        <v>0</v>
      </c>
      <c r="Y107" s="267"/>
      <c r="Z107" s="268">
        <f t="shared" si="21"/>
        <v>0</v>
      </c>
      <c r="AA107" s="266">
        <f t="shared" si="22"/>
        <v>0</v>
      </c>
      <c r="AB107" s="267"/>
      <c r="AC107" s="268">
        <f t="shared" si="23"/>
        <v>0</v>
      </c>
      <c r="AD107" s="266">
        <f t="shared" si="24"/>
        <v>0</v>
      </c>
      <c r="AE107" s="267"/>
      <c r="AF107" s="268">
        <f t="shared" si="25"/>
        <v>0</v>
      </c>
      <c r="AG107" s="266">
        <f t="shared" si="26"/>
        <v>0</v>
      </c>
      <c r="AH107" s="267"/>
      <c r="AI107" s="268">
        <f t="shared" si="27"/>
        <v>0</v>
      </c>
      <c r="AJ107" s="266">
        <f t="shared" si="28"/>
        <v>0</v>
      </c>
      <c r="AK107" s="267"/>
      <c r="AL107" s="268">
        <f t="shared" si="29"/>
        <v>0</v>
      </c>
      <c r="AM107" s="266">
        <f t="shared" si="30"/>
        <v>0</v>
      </c>
    </row>
    <row r="108" spans="1:39" s="264" customFormat="1" x14ac:dyDescent="0.2">
      <c r="A108" s="258" t="s">
        <v>68</v>
      </c>
      <c r="B108" s="259" t="s">
        <v>830</v>
      </c>
      <c r="C108" s="290">
        <f t="shared" si="6"/>
        <v>8</v>
      </c>
      <c r="D108" s="290">
        <f t="shared" si="7"/>
        <v>0</v>
      </c>
      <c r="E108" s="290">
        <f t="shared" si="8"/>
        <v>10</v>
      </c>
      <c r="F108" s="290">
        <f t="shared" si="9"/>
        <v>0</v>
      </c>
      <c r="G108" s="290">
        <f t="shared" si="10"/>
        <v>60</v>
      </c>
      <c r="H108" s="290">
        <f t="shared" si="11"/>
        <v>0</v>
      </c>
      <c r="I108" s="290">
        <f t="shared" si="12"/>
        <v>14</v>
      </c>
      <c r="J108" s="290">
        <f t="shared" si="13"/>
        <v>0</v>
      </c>
      <c r="K108" s="290">
        <f t="shared" si="14"/>
        <v>48</v>
      </c>
      <c r="L108" s="290">
        <f t="shared" si="15"/>
        <v>0</v>
      </c>
      <c r="M108" s="290">
        <f t="shared" si="16"/>
        <v>18</v>
      </c>
      <c r="N108" s="290">
        <f t="shared" si="17"/>
        <v>0</v>
      </c>
      <c r="O108" s="290">
        <f t="shared" si="18"/>
        <v>158</v>
      </c>
      <c r="P108" s="261" t="s">
        <v>269</v>
      </c>
      <c r="Q108" s="262"/>
      <c r="R108" s="263"/>
      <c r="S108" s="386"/>
      <c r="T108" s="357">
        <v>2</v>
      </c>
      <c r="U108" s="357">
        <v>2</v>
      </c>
      <c r="W108" s="268">
        <f t="shared" si="19"/>
        <v>4</v>
      </c>
      <c r="X108" s="266">
        <f t="shared" si="20"/>
        <v>4</v>
      </c>
      <c r="Y108" s="267"/>
      <c r="Z108" s="268">
        <f t="shared" si="21"/>
        <v>4</v>
      </c>
      <c r="AA108" s="266">
        <f t="shared" si="22"/>
        <v>6</v>
      </c>
      <c r="AB108" s="267"/>
      <c r="AC108" s="268">
        <f t="shared" si="23"/>
        <v>4</v>
      </c>
      <c r="AD108" s="266">
        <f t="shared" si="24"/>
        <v>8</v>
      </c>
      <c r="AE108" s="267"/>
      <c r="AF108" s="268">
        <f t="shared" si="25"/>
        <v>4</v>
      </c>
      <c r="AG108" s="266">
        <f t="shared" si="26"/>
        <v>10</v>
      </c>
      <c r="AH108" s="267"/>
      <c r="AI108" s="268">
        <f t="shared" si="27"/>
        <v>4</v>
      </c>
      <c r="AJ108" s="266">
        <f t="shared" si="28"/>
        <v>12</v>
      </c>
      <c r="AK108" s="267"/>
      <c r="AL108" s="268">
        <f t="shared" si="29"/>
        <v>4</v>
      </c>
      <c r="AM108" s="266">
        <f t="shared" si="30"/>
        <v>14</v>
      </c>
    </row>
    <row r="109" spans="1:39" s="264" customFormat="1" x14ac:dyDescent="0.2">
      <c r="A109" s="258"/>
      <c r="B109" s="259"/>
      <c r="C109" s="290">
        <f t="shared" si="6"/>
        <v>0</v>
      </c>
      <c r="D109" s="290">
        <f t="shared" si="7"/>
        <v>0</v>
      </c>
      <c r="E109" s="290">
        <f t="shared" si="8"/>
        <v>0</v>
      </c>
      <c r="F109" s="290">
        <f t="shared" si="9"/>
        <v>0</v>
      </c>
      <c r="G109" s="290">
        <f t="shared" si="10"/>
        <v>0</v>
      </c>
      <c r="H109" s="290">
        <f t="shared" si="11"/>
        <v>0</v>
      </c>
      <c r="I109" s="290">
        <f t="shared" si="12"/>
        <v>0</v>
      </c>
      <c r="J109" s="290">
        <f t="shared" si="13"/>
        <v>0</v>
      </c>
      <c r="K109" s="290">
        <f t="shared" si="14"/>
        <v>0</v>
      </c>
      <c r="L109" s="290">
        <f t="shared" si="15"/>
        <v>0</v>
      </c>
      <c r="M109" s="290">
        <f t="shared" si="16"/>
        <v>0</v>
      </c>
      <c r="N109" s="290">
        <f t="shared" si="17"/>
        <v>0</v>
      </c>
      <c r="O109" s="290">
        <f t="shared" si="18"/>
        <v>0</v>
      </c>
      <c r="P109" s="153"/>
      <c r="Q109" s="262"/>
      <c r="R109" s="263"/>
      <c r="S109" s="386"/>
      <c r="T109" s="339"/>
      <c r="U109" s="266"/>
      <c r="W109" s="268">
        <f t="shared" si="19"/>
        <v>0</v>
      </c>
      <c r="X109" s="266">
        <f t="shared" si="20"/>
        <v>0</v>
      </c>
      <c r="Y109" s="267"/>
      <c r="Z109" s="268">
        <f t="shared" si="21"/>
        <v>0</v>
      </c>
      <c r="AA109" s="266">
        <f t="shared" si="22"/>
        <v>0</v>
      </c>
      <c r="AB109" s="267"/>
      <c r="AC109" s="268">
        <f t="shared" si="23"/>
        <v>0</v>
      </c>
      <c r="AD109" s="266">
        <f t="shared" si="24"/>
        <v>0</v>
      </c>
      <c r="AE109" s="267"/>
      <c r="AF109" s="268">
        <f t="shared" si="25"/>
        <v>0</v>
      </c>
      <c r="AG109" s="266">
        <f t="shared" si="26"/>
        <v>0</v>
      </c>
      <c r="AH109" s="267"/>
      <c r="AI109" s="268">
        <f t="shared" si="27"/>
        <v>0</v>
      </c>
      <c r="AJ109" s="266">
        <f t="shared" si="28"/>
        <v>0</v>
      </c>
      <c r="AK109" s="267"/>
      <c r="AL109" s="268">
        <f t="shared" si="29"/>
        <v>0</v>
      </c>
      <c r="AM109" s="266">
        <f t="shared" si="30"/>
        <v>0</v>
      </c>
    </row>
    <row r="110" spans="1:39" s="264" customFormat="1" x14ac:dyDescent="0.2">
      <c r="A110" s="258" t="s">
        <v>69</v>
      </c>
      <c r="B110" s="259" t="s">
        <v>831</v>
      </c>
      <c r="C110" s="290">
        <f t="shared" si="6"/>
        <v>36</v>
      </c>
      <c r="D110" s="290">
        <f t="shared" si="7"/>
        <v>0</v>
      </c>
      <c r="E110" s="290">
        <f t="shared" si="8"/>
        <v>44</v>
      </c>
      <c r="F110" s="290">
        <f t="shared" si="9"/>
        <v>0</v>
      </c>
      <c r="G110" s="290">
        <f t="shared" si="10"/>
        <v>260</v>
      </c>
      <c r="H110" s="290">
        <f t="shared" si="11"/>
        <v>0</v>
      </c>
      <c r="I110" s="290">
        <f t="shared" si="12"/>
        <v>60</v>
      </c>
      <c r="J110" s="290">
        <f t="shared" si="13"/>
        <v>0</v>
      </c>
      <c r="K110" s="290">
        <f t="shared" si="14"/>
        <v>204</v>
      </c>
      <c r="L110" s="290">
        <f t="shared" si="15"/>
        <v>0</v>
      </c>
      <c r="M110" s="290">
        <f t="shared" si="16"/>
        <v>76</v>
      </c>
      <c r="N110" s="290">
        <f t="shared" si="17"/>
        <v>0</v>
      </c>
      <c r="O110" s="290">
        <f t="shared" si="18"/>
        <v>680</v>
      </c>
      <c r="P110" s="261" t="s">
        <v>269</v>
      </c>
      <c r="Q110" s="262"/>
      <c r="R110" s="263"/>
      <c r="S110" s="386"/>
      <c r="T110" s="357">
        <v>10</v>
      </c>
      <c r="U110" s="357">
        <v>8</v>
      </c>
      <c r="W110" s="268">
        <f t="shared" si="19"/>
        <v>20</v>
      </c>
      <c r="X110" s="266">
        <f t="shared" si="20"/>
        <v>16</v>
      </c>
      <c r="Y110" s="267"/>
      <c r="Z110" s="268">
        <f t="shared" si="21"/>
        <v>20</v>
      </c>
      <c r="AA110" s="266">
        <f t="shared" si="22"/>
        <v>24</v>
      </c>
      <c r="AB110" s="267"/>
      <c r="AC110" s="268">
        <f t="shared" si="23"/>
        <v>20</v>
      </c>
      <c r="AD110" s="266">
        <f t="shared" si="24"/>
        <v>32</v>
      </c>
      <c r="AE110" s="267"/>
      <c r="AF110" s="268">
        <f t="shared" si="25"/>
        <v>20</v>
      </c>
      <c r="AG110" s="266">
        <f t="shared" si="26"/>
        <v>40</v>
      </c>
      <c r="AH110" s="267"/>
      <c r="AI110" s="268">
        <f t="shared" si="27"/>
        <v>20</v>
      </c>
      <c r="AJ110" s="266">
        <f t="shared" si="28"/>
        <v>48</v>
      </c>
      <c r="AK110" s="267"/>
      <c r="AL110" s="268">
        <f t="shared" si="29"/>
        <v>20</v>
      </c>
      <c r="AM110" s="266">
        <f t="shared" si="30"/>
        <v>56</v>
      </c>
    </row>
    <row r="111" spans="1:39" s="264" customFormat="1" x14ac:dyDescent="0.2">
      <c r="A111" s="258"/>
      <c r="B111" s="259"/>
      <c r="C111" s="290">
        <f t="shared" si="6"/>
        <v>0</v>
      </c>
      <c r="D111" s="290">
        <f t="shared" si="7"/>
        <v>0</v>
      </c>
      <c r="E111" s="290">
        <f t="shared" si="8"/>
        <v>0</v>
      </c>
      <c r="F111" s="290">
        <f t="shared" si="9"/>
        <v>0</v>
      </c>
      <c r="G111" s="290">
        <f t="shared" si="10"/>
        <v>0</v>
      </c>
      <c r="H111" s="290">
        <f t="shared" si="11"/>
        <v>0</v>
      </c>
      <c r="I111" s="290">
        <f t="shared" si="12"/>
        <v>0</v>
      </c>
      <c r="J111" s="290">
        <f t="shared" si="13"/>
        <v>0</v>
      </c>
      <c r="K111" s="290">
        <f t="shared" si="14"/>
        <v>0</v>
      </c>
      <c r="L111" s="290">
        <f t="shared" si="15"/>
        <v>0</v>
      </c>
      <c r="M111" s="290">
        <f t="shared" si="16"/>
        <v>0</v>
      </c>
      <c r="N111" s="290">
        <f t="shared" si="17"/>
        <v>0</v>
      </c>
      <c r="O111" s="290">
        <f t="shared" si="18"/>
        <v>0</v>
      </c>
      <c r="P111" s="153"/>
      <c r="Q111" s="262"/>
      <c r="R111" s="263"/>
      <c r="S111" s="386"/>
      <c r="T111" s="339"/>
      <c r="U111" s="266"/>
      <c r="W111" s="268">
        <f t="shared" si="19"/>
        <v>0</v>
      </c>
      <c r="X111" s="266">
        <f t="shared" si="20"/>
        <v>0</v>
      </c>
      <c r="Y111" s="267"/>
      <c r="Z111" s="268">
        <f t="shared" si="21"/>
        <v>0</v>
      </c>
      <c r="AA111" s="266">
        <f t="shared" si="22"/>
        <v>0</v>
      </c>
      <c r="AB111" s="267"/>
      <c r="AC111" s="268">
        <f t="shared" si="23"/>
        <v>0</v>
      </c>
      <c r="AD111" s="266">
        <f t="shared" si="24"/>
        <v>0</v>
      </c>
      <c r="AE111" s="267"/>
      <c r="AF111" s="268">
        <f t="shared" si="25"/>
        <v>0</v>
      </c>
      <c r="AG111" s="266">
        <f t="shared" si="26"/>
        <v>0</v>
      </c>
      <c r="AH111" s="267"/>
      <c r="AI111" s="268">
        <f t="shared" si="27"/>
        <v>0</v>
      </c>
      <c r="AJ111" s="266">
        <f t="shared" si="28"/>
        <v>0</v>
      </c>
      <c r="AK111" s="267"/>
      <c r="AL111" s="268">
        <f t="shared" si="29"/>
        <v>0</v>
      </c>
      <c r="AM111" s="266">
        <f t="shared" si="30"/>
        <v>0</v>
      </c>
    </row>
    <row r="112" spans="1:39" s="264" customFormat="1" x14ac:dyDescent="0.2">
      <c r="A112" s="258" t="s">
        <v>70</v>
      </c>
      <c r="B112" s="259" t="s">
        <v>832</v>
      </c>
      <c r="C112" s="290">
        <f t="shared" si="6"/>
        <v>12</v>
      </c>
      <c r="D112" s="290">
        <f t="shared" si="7"/>
        <v>0</v>
      </c>
      <c r="E112" s="290">
        <f t="shared" si="8"/>
        <v>15</v>
      </c>
      <c r="F112" s="290">
        <f t="shared" si="9"/>
        <v>0</v>
      </c>
      <c r="G112" s="290">
        <f t="shared" si="10"/>
        <v>90</v>
      </c>
      <c r="H112" s="290">
        <f t="shared" si="11"/>
        <v>0</v>
      </c>
      <c r="I112" s="290">
        <f t="shared" si="12"/>
        <v>21</v>
      </c>
      <c r="J112" s="290">
        <f t="shared" si="13"/>
        <v>0</v>
      </c>
      <c r="K112" s="290">
        <f t="shared" si="14"/>
        <v>72</v>
      </c>
      <c r="L112" s="290">
        <f t="shared" si="15"/>
        <v>0</v>
      </c>
      <c r="M112" s="290">
        <f t="shared" si="16"/>
        <v>27</v>
      </c>
      <c r="N112" s="290">
        <f t="shared" si="17"/>
        <v>0</v>
      </c>
      <c r="O112" s="290">
        <f t="shared" si="18"/>
        <v>237</v>
      </c>
      <c r="P112" s="261" t="s">
        <v>269</v>
      </c>
      <c r="Q112" s="262"/>
      <c r="R112" s="263"/>
      <c r="S112" s="386"/>
      <c r="T112" s="357">
        <v>3</v>
      </c>
      <c r="U112" s="357">
        <v>3</v>
      </c>
      <c r="W112" s="268">
        <f t="shared" si="19"/>
        <v>6</v>
      </c>
      <c r="X112" s="266">
        <f t="shared" si="20"/>
        <v>6</v>
      </c>
      <c r="Y112" s="267"/>
      <c r="Z112" s="268">
        <f t="shared" si="21"/>
        <v>6</v>
      </c>
      <c r="AA112" s="266">
        <f t="shared" si="22"/>
        <v>9</v>
      </c>
      <c r="AB112" s="267"/>
      <c r="AC112" s="268">
        <f t="shared" si="23"/>
        <v>6</v>
      </c>
      <c r="AD112" s="266">
        <f t="shared" si="24"/>
        <v>12</v>
      </c>
      <c r="AE112" s="267"/>
      <c r="AF112" s="268">
        <f t="shared" si="25"/>
        <v>6</v>
      </c>
      <c r="AG112" s="266">
        <f t="shared" si="26"/>
        <v>15</v>
      </c>
      <c r="AH112" s="267"/>
      <c r="AI112" s="268">
        <f t="shared" si="27"/>
        <v>6</v>
      </c>
      <c r="AJ112" s="266">
        <f t="shared" si="28"/>
        <v>18</v>
      </c>
      <c r="AK112" s="267"/>
      <c r="AL112" s="268">
        <f t="shared" si="29"/>
        <v>6</v>
      </c>
      <c r="AM112" s="266">
        <f t="shared" si="30"/>
        <v>21</v>
      </c>
    </row>
    <row r="113" spans="1:39" s="264" customFormat="1" x14ac:dyDescent="0.2">
      <c r="A113" s="258"/>
      <c r="B113" s="259"/>
      <c r="C113" s="290">
        <f t="shared" si="6"/>
        <v>0</v>
      </c>
      <c r="D113" s="290">
        <f t="shared" si="7"/>
        <v>0</v>
      </c>
      <c r="E113" s="290">
        <f t="shared" si="8"/>
        <v>0</v>
      </c>
      <c r="F113" s="290">
        <f t="shared" si="9"/>
        <v>0</v>
      </c>
      <c r="G113" s="290">
        <f t="shared" si="10"/>
        <v>0</v>
      </c>
      <c r="H113" s="290">
        <f t="shared" si="11"/>
        <v>0</v>
      </c>
      <c r="I113" s="290">
        <f t="shared" si="12"/>
        <v>0</v>
      </c>
      <c r="J113" s="290">
        <f t="shared" si="13"/>
        <v>0</v>
      </c>
      <c r="K113" s="290">
        <f t="shared" si="14"/>
        <v>0</v>
      </c>
      <c r="L113" s="290">
        <f t="shared" si="15"/>
        <v>0</v>
      </c>
      <c r="M113" s="290">
        <f t="shared" si="16"/>
        <v>0</v>
      </c>
      <c r="N113" s="290">
        <f t="shared" si="17"/>
        <v>0</v>
      </c>
      <c r="O113" s="290">
        <f t="shared" si="18"/>
        <v>0</v>
      </c>
      <c r="P113" s="153"/>
      <c r="Q113" s="262"/>
      <c r="R113" s="263"/>
      <c r="S113" s="386"/>
      <c r="T113" s="339"/>
      <c r="U113" s="266"/>
      <c r="W113" s="268">
        <f t="shared" si="19"/>
        <v>0</v>
      </c>
      <c r="X113" s="266">
        <f t="shared" si="20"/>
        <v>0</v>
      </c>
      <c r="Y113" s="267"/>
      <c r="Z113" s="268">
        <f t="shared" si="21"/>
        <v>0</v>
      </c>
      <c r="AA113" s="266">
        <f t="shared" si="22"/>
        <v>0</v>
      </c>
      <c r="AB113" s="267"/>
      <c r="AC113" s="268">
        <f t="shared" si="23"/>
        <v>0</v>
      </c>
      <c r="AD113" s="266">
        <f t="shared" si="24"/>
        <v>0</v>
      </c>
      <c r="AE113" s="267"/>
      <c r="AF113" s="268">
        <f t="shared" si="25"/>
        <v>0</v>
      </c>
      <c r="AG113" s="266">
        <f t="shared" si="26"/>
        <v>0</v>
      </c>
      <c r="AH113" s="267"/>
      <c r="AI113" s="268">
        <f t="shared" si="27"/>
        <v>0</v>
      </c>
      <c r="AJ113" s="266">
        <f t="shared" si="28"/>
        <v>0</v>
      </c>
      <c r="AK113" s="267"/>
      <c r="AL113" s="268">
        <f t="shared" si="29"/>
        <v>0</v>
      </c>
      <c r="AM113" s="266">
        <f t="shared" si="30"/>
        <v>0</v>
      </c>
    </row>
    <row r="114" spans="1:39" s="264" customFormat="1" x14ac:dyDescent="0.2">
      <c r="A114" s="258" t="s">
        <v>71</v>
      </c>
      <c r="B114" s="259" t="s">
        <v>833</v>
      </c>
      <c r="C114" s="290">
        <f t="shared" si="6"/>
        <v>34</v>
      </c>
      <c r="D114" s="290">
        <f t="shared" si="7"/>
        <v>0</v>
      </c>
      <c r="E114" s="290">
        <f t="shared" si="8"/>
        <v>42</v>
      </c>
      <c r="F114" s="290">
        <f t="shared" si="9"/>
        <v>0</v>
      </c>
      <c r="G114" s="290">
        <f t="shared" si="10"/>
        <v>250</v>
      </c>
      <c r="H114" s="290">
        <f t="shared" si="11"/>
        <v>0</v>
      </c>
      <c r="I114" s="290">
        <f t="shared" si="12"/>
        <v>58</v>
      </c>
      <c r="J114" s="290">
        <f t="shared" si="13"/>
        <v>0</v>
      </c>
      <c r="K114" s="290">
        <f t="shared" si="14"/>
        <v>198</v>
      </c>
      <c r="L114" s="290">
        <f t="shared" si="15"/>
        <v>0</v>
      </c>
      <c r="M114" s="290">
        <f t="shared" si="16"/>
        <v>74</v>
      </c>
      <c r="N114" s="290">
        <f t="shared" si="17"/>
        <v>0</v>
      </c>
      <c r="O114" s="290">
        <f t="shared" si="18"/>
        <v>656</v>
      </c>
      <c r="P114" s="261" t="s">
        <v>269</v>
      </c>
      <c r="Q114" s="262"/>
      <c r="R114" s="263"/>
      <c r="S114" s="386"/>
      <c r="T114" s="357">
        <v>9</v>
      </c>
      <c r="U114" s="357">
        <v>8</v>
      </c>
      <c r="W114" s="268">
        <f t="shared" si="19"/>
        <v>18</v>
      </c>
      <c r="X114" s="266">
        <f t="shared" si="20"/>
        <v>16</v>
      </c>
      <c r="Y114" s="267"/>
      <c r="Z114" s="268">
        <f t="shared" si="21"/>
        <v>18</v>
      </c>
      <c r="AA114" s="266">
        <f t="shared" si="22"/>
        <v>24</v>
      </c>
      <c r="AB114" s="267"/>
      <c r="AC114" s="268">
        <f t="shared" si="23"/>
        <v>18</v>
      </c>
      <c r="AD114" s="266">
        <f t="shared" si="24"/>
        <v>32</v>
      </c>
      <c r="AE114" s="267"/>
      <c r="AF114" s="268">
        <f t="shared" si="25"/>
        <v>18</v>
      </c>
      <c r="AG114" s="266">
        <f t="shared" si="26"/>
        <v>40</v>
      </c>
      <c r="AH114" s="267"/>
      <c r="AI114" s="268">
        <f t="shared" si="27"/>
        <v>18</v>
      </c>
      <c r="AJ114" s="266">
        <f t="shared" si="28"/>
        <v>48</v>
      </c>
      <c r="AK114" s="267"/>
      <c r="AL114" s="268">
        <f t="shared" si="29"/>
        <v>18</v>
      </c>
      <c r="AM114" s="266">
        <f t="shared" si="30"/>
        <v>56</v>
      </c>
    </row>
    <row r="115" spans="1:39" s="264" customFormat="1" x14ac:dyDescent="0.2">
      <c r="A115" s="258"/>
      <c r="B115" s="259"/>
      <c r="C115" s="290">
        <f t="shared" si="6"/>
        <v>0</v>
      </c>
      <c r="D115" s="290">
        <f t="shared" si="7"/>
        <v>0</v>
      </c>
      <c r="E115" s="290">
        <f t="shared" si="8"/>
        <v>0</v>
      </c>
      <c r="F115" s="290">
        <f t="shared" si="9"/>
        <v>0</v>
      </c>
      <c r="G115" s="290">
        <f t="shared" si="10"/>
        <v>0</v>
      </c>
      <c r="H115" s="290">
        <f t="shared" si="11"/>
        <v>0</v>
      </c>
      <c r="I115" s="290">
        <f t="shared" si="12"/>
        <v>0</v>
      </c>
      <c r="J115" s="290">
        <f t="shared" si="13"/>
        <v>0</v>
      </c>
      <c r="K115" s="290">
        <f t="shared" si="14"/>
        <v>0</v>
      </c>
      <c r="L115" s="290">
        <f t="shared" si="15"/>
        <v>0</v>
      </c>
      <c r="M115" s="290">
        <f t="shared" si="16"/>
        <v>0</v>
      </c>
      <c r="N115" s="290">
        <f t="shared" si="17"/>
        <v>0</v>
      </c>
      <c r="O115" s="290">
        <f t="shared" si="18"/>
        <v>0</v>
      </c>
      <c r="P115" s="153"/>
      <c r="Q115" s="262"/>
      <c r="R115" s="263"/>
      <c r="S115" s="386"/>
      <c r="T115" s="357"/>
      <c r="U115" s="266"/>
      <c r="W115" s="268">
        <f t="shared" si="19"/>
        <v>0</v>
      </c>
      <c r="X115" s="266">
        <f t="shared" si="20"/>
        <v>0</v>
      </c>
      <c r="Y115" s="267"/>
      <c r="Z115" s="268">
        <f t="shared" si="21"/>
        <v>0</v>
      </c>
      <c r="AA115" s="266">
        <f t="shared" si="22"/>
        <v>0</v>
      </c>
      <c r="AB115" s="267"/>
      <c r="AC115" s="268">
        <f t="shared" si="23"/>
        <v>0</v>
      </c>
      <c r="AD115" s="266">
        <f t="shared" si="24"/>
        <v>0</v>
      </c>
      <c r="AE115" s="267"/>
      <c r="AF115" s="268">
        <f t="shared" si="25"/>
        <v>0</v>
      </c>
      <c r="AG115" s="266">
        <f t="shared" si="26"/>
        <v>0</v>
      </c>
      <c r="AH115" s="267"/>
      <c r="AI115" s="268">
        <f t="shared" si="27"/>
        <v>0</v>
      </c>
      <c r="AJ115" s="266">
        <f t="shared" si="28"/>
        <v>0</v>
      </c>
      <c r="AK115" s="267"/>
      <c r="AL115" s="268">
        <f t="shared" si="29"/>
        <v>0</v>
      </c>
      <c r="AM115" s="266">
        <f t="shared" si="30"/>
        <v>0</v>
      </c>
    </row>
    <row r="116" spans="1:39" s="264" customFormat="1" ht="14.25" customHeight="1" x14ac:dyDescent="0.2">
      <c r="A116" s="258" t="s">
        <v>72</v>
      </c>
      <c r="B116" s="259" t="s">
        <v>834</v>
      </c>
      <c r="C116" s="290">
        <f t="shared" si="6"/>
        <v>4</v>
      </c>
      <c r="D116" s="290">
        <f t="shared" si="7"/>
        <v>0</v>
      </c>
      <c r="E116" s="290">
        <f t="shared" si="8"/>
        <v>5</v>
      </c>
      <c r="F116" s="290">
        <f t="shared" si="9"/>
        <v>0</v>
      </c>
      <c r="G116" s="290">
        <f t="shared" si="10"/>
        <v>30</v>
      </c>
      <c r="H116" s="290">
        <f t="shared" si="11"/>
        <v>0</v>
      </c>
      <c r="I116" s="290">
        <f t="shared" si="12"/>
        <v>7</v>
      </c>
      <c r="J116" s="290">
        <f t="shared" si="13"/>
        <v>0</v>
      </c>
      <c r="K116" s="290">
        <f t="shared" si="14"/>
        <v>24</v>
      </c>
      <c r="L116" s="290">
        <f t="shared" si="15"/>
        <v>0</v>
      </c>
      <c r="M116" s="290">
        <f t="shared" si="16"/>
        <v>9</v>
      </c>
      <c r="N116" s="290">
        <f t="shared" si="17"/>
        <v>0</v>
      </c>
      <c r="O116" s="290">
        <f t="shared" si="18"/>
        <v>79</v>
      </c>
      <c r="P116" s="261" t="s">
        <v>269</v>
      </c>
      <c r="Q116" s="262"/>
      <c r="R116" s="263"/>
      <c r="S116" s="386"/>
      <c r="T116" s="357">
        <v>1</v>
      </c>
      <c r="U116" s="357">
        <v>1</v>
      </c>
      <c r="W116" s="268">
        <f t="shared" si="19"/>
        <v>2</v>
      </c>
      <c r="X116" s="266">
        <f t="shared" si="20"/>
        <v>2</v>
      </c>
      <c r="Y116" s="267"/>
      <c r="Z116" s="268">
        <f t="shared" si="21"/>
        <v>2</v>
      </c>
      <c r="AA116" s="266">
        <f t="shared" si="22"/>
        <v>3</v>
      </c>
      <c r="AB116" s="267"/>
      <c r="AC116" s="268">
        <f t="shared" si="23"/>
        <v>2</v>
      </c>
      <c r="AD116" s="266">
        <f t="shared" si="24"/>
        <v>4</v>
      </c>
      <c r="AE116" s="267"/>
      <c r="AF116" s="268">
        <f t="shared" si="25"/>
        <v>2</v>
      </c>
      <c r="AG116" s="266">
        <f t="shared" si="26"/>
        <v>5</v>
      </c>
      <c r="AH116" s="267"/>
      <c r="AI116" s="268">
        <f t="shared" si="27"/>
        <v>2</v>
      </c>
      <c r="AJ116" s="266">
        <f t="shared" si="28"/>
        <v>6</v>
      </c>
      <c r="AK116" s="267"/>
      <c r="AL116" s="268">
        <f t="shared" si="29"/>
        <v>2</v>
      </c>
      <c r="AM116" s="266">
        <f t="shared" si="30"/>
        <v>7</v>
      </c>
    </row>
    <row r="117" spans="1:39" s="264" customFormat="1" ht="14.25" customHeight="1" x14ac:dyDescent="0.2">
      <c r="A117" s="308"/>
      <c r="B117" s="401"/>
      <c r="C117" s="290"/>
      <c r="D117" s="290">
        <f t="shared" si="7"/>
        <v>0</v>
      </c>
      <c r="E117" s="290"/>
      <c r="F117" s="290">
        <f t="shared" si="9"/>
        <v>0</v>
      </c>
      <c r="G117" s="290"/>
      <c r="H117" s="290">
        <f t="shared" si="11"/>
        <v>0</v>
      </c>
      <c r="I117" s="290"/>
      <c r="J117" s="290">
        <f t="shared" si="13"/>
        <v>0</v>
      </c>
      <c r="K117" s="290"/>
      <c r="L117" s="290">
        <f t="shared" si="15"/>
        <v>0</v>
      </c>
      <c r="M117" s="290"/>
      <c r="N117" s="290">
        <f t="shared" si="17"/>
        <v>0</v>
      </c>
      <c r="O117" s="290"/>
      <c r="P117" s="261"/>
      <c r="Q117" s="262"/>
      <c r="R117" s="263"/>
      <c r="S117" s="386"/>
      <c r="T117" s="357"/>
      <c r="U117" s="357"/>
      <c r="W117" s="387"/>
      <c r="X117" s="357"/>
      <c r="Z117" s="387"/>
      <c r="AA117" s="357"/>
      <c r="AC117" s="387"/>
      <c r="AD117" s="357"/>
      <c r="AF117" s="387"/>
      <c r="AG117" s="357"/>
      <c r="AI117" s="387"/>
      <c r="AJ117" s="357"/>
      <c r="AL117" s="387"/>
      <c r="AM117" s="357"/>
    </row>
    <row r="118" spans="1:39" s="264" customFormat="1" x14ac:dyDescent="0.2">
      <c r="A118" s="308" t="s">
        <v>73</v>
      </c>
      <c r="B118" s="402" t="s">
        <v>835</v>
      </c>
      <c r="C118" s="290">
        <f>(W118+X118)*$C$3</f>
        <v>12</v>
      </c>
      <c r="D118" s="290">
        <f t="shared" si="7"/>
        <v>0</v>
      </c>
      <c r="E118" s="290">
        <f>(Z118+AA118)*$E$3</f>
        <v>15</v>
      </c>
      <c r="F118" s="290">
        <f t="shared" si="9"/>
        <v>0</v>
      </c>
      <c r="G118" s="290">
        <f>(AC118+AD118)*$G$3</f>
        <v>90</v>
      </c>
      <c r="H118" s="290">
        <f t="shared" si="11"/>
        <v>0</v>
      </c>
      <c r="I118" s="290">
        <f>(AF118+AG118)*$I$3</f>
        <v>21</v>
      </c>
      <c r="J118" s="290">
        <f t="shared" si="13"/>
        <v>0</v>
      </c>
      <c r="K118" s="290">
        <f>(AI118+AJ118)*$K$3</f>
        <v>72</v>
      </c>
      <c r="L118" s="290">
        <f t="shared" si="15"/>
        <v>0</v>
      </c>
      <c r="M118" s="290">
        <f>(AL118+AM118)*$M$3</f>
        <v>27</v>
      </c>
      <c r="N118" s="290">
        <f t="shared" si="17"/>
        <v>0</v>
      </c>
      <c r="O118" s="290">
        <f>C118+E118+G118+I118+K118+M118</f>
        <v>237</v>
      </c>
      <c r="P118" s="261" t="s">
        <v>269</v>
      </c>
      <c r="Q118" s="262"/>
      <c r="R118" s="263"/>
      <c r="S118" s="386"/>
      <c r="T118" s="357">
        <v>3</v>
      </c>
      <c r="U118" s="357">
        <v>3</v>
      </c>
      <c r="W118" s="268">
        <f>T118*$W$3</f>
        <v>6</v>
      </c>
      <c r="X118" s="266">
        <f>U118*$X$3</f>
        <v>6</v>
      </c>
      <c r="Y118" s="267"/>
      <c r="Z118" s="268">
        <f>W118</f>
        <v>6</v>
      </c>
      <c r="AA118" s="266">
        <f>U118*$AA$3</f>
        <v>9</v>
      </c>
      <c r="AB118" s="267"/>
      <c r="AC118" s="268">
        <f>W118</f>
        <v>6</v>
      </c>
      <c r="AD118" s="266">
        <f>U118*$AD$3</f>
        <v>12</v>
      </c>
      <c r="AE118" s="267"/>
      <c r="AF118" s="268">
        <f>W118</f>
        <v>6</v>
      </c>
      <c r="AG118" s="266">
        <f>U118*$AG$3</f>
        <v>15</v>
      </c>
      <c r="AH118" s="267"/>
      <c r="AI118" s="268">
        <f>W118</f>
        <v>6</v>
      </c>
      <c r="AJ118" s="266">
        <f>U118*$AJ$3</f>
        <v>18</v>
      </c>
      <c r="AK118" s="267"/>
      <c r="AL118" s="268">
        <f>W118</f>
        <v>6</v>
      </c>
      <c r="AM118" s="266">
        <f>U118*$AM$3</f>
        <v>21</v>
      </c>
    </row>
    <row r="119" spans="1:39" s="264" customFormat="1" x14ac:dyDescent="0.2">
      <c r="A119" s="308"/>
      <c r="B119" s="259"/>
      <c r="C119" s="290">
        <f>(W119+X119)*$C$3</f>
        <v>0</v>
      </c>
      <c r="D119" s="290">
        <f t="shared" si="7"/>
        <v>0</v>
      </c>
      <c r="E119" s="290">
        <f>(Z119+AA119)*$E$3</f>
        <v>0</v>
      </c>
      <c r="F119" s="290">
        <f t="shared" si="9"/>
        <v>0</v>
      </c>
      <c r="G119" s="290">
        <f>(AC119+AD119)*$G$3</f>
        <v>0</v>
      </c>
      <c r="H119" s="290">
        <f t="shared" si="11"/>
        <v>0</v>
      </c>
      <c r="I119" s="290">
        <f>(AF119+AG119)*$I$3</f>
        <v>0</v>
      </c>
      <c r="J119" s="290">
        <f t="shared" si="13"/>
        <v>0</v>
      </c>
      <c r="K119" s="290">
        <f>(AI119+AJ119)*$K$3</f>
        <v>0</v>
      </c>
      <c r="L119" s="290">
        <f t="shared" si="15"/>
        <v>0</v>
      </c>
      <c r="M119" s="290">
        <f>(AL119+AM119)*$M$3</f>
        <v>0</v>
      </c>
      <c r="N119" s="290">
        <f t="shared" si="17"/>
        <v>0</v>
      </c>
      <c r="O119" s="290">
        <f>C119+E119+G119+I119+K119+M119</f>
        <v>0</v>
      </c>
      <c r="P119" s="403"/>
      <c r="Q119" s="262"/>
      <c r="R119" s="263"/>
      <c r="S119" s="386"/>
      <c r="T119" s="357"/>
      <c r="U119" s="266"/>
      <c r="W119" s="268">
        <f>T119*$W$3</f>
        <v>0</v>
      </c>
      <c r="X119" s="266">
        <f>U119*$X$3</f>
        <v>0</v>
      </c>
      <c r="Y119" s="267"/>
      <c r="Z119" s="268">
        <f>W119</f>
        <v>0</v>
      </c>
      <c r="AA119" s="266">
        <f>U119*$AA$3</f>
        <v>0</v>
      </c>
      <c r="AB119" s="267"/>
      <c r="AC119" s="268">
        <f>W119</f>
        <v>0</v>
      </c>
      <c r="AD119" s="266">
        <f>U119*$AD$3</f>
        <v>0</v>
      </c>
      <c r="AE119" s="267"/>
      <c r="AF119" s="268">
        <f>W119</f>
        <v>0</v>
      </c>
      <c r="AG119" s="266">
        <f>U119*$AG$3</f>
        <v>0</v>
      </c>
      <c r="AH119" s="267"/>
      <c r="AI119" s="268">
        <f>W119</f>
        <v>0</v>
      </c>
      <c r="AJ119" s="266">
        <f>U119*$AJ$3</f>
        <v>0</v>
      </c>
      <c r="AK119" s="267"/>
      <c r="AL119" s="268">
        <f>W119</f>
        <v>0</v>
      </c>
      <c r="AM119" s="266">
        <f>U119*$AM$3</f>
        <v>0</v>
      </c>
    </row>
    <row r="120" spans="1:39" s="264" customFormat="1" x14ac:dyDescent="0.2">
      <c r="A120" s="258" t="s">
        <v>74</v>
      </c>
      <c r="B120" s="259" t="s">
        <v>836</v>
      </c>
      <c r="C120" s="290">
        <f>(W120+X120)*$C$3</f>
        <v>12</v>
      </c>
      <c r="D120" s="290">
        <f t="shared" si="7"/>
        <v>0</v>
      </c>
      <c r="E120" s="290">
        <f>(Z120+AA120)*$E$3</f>
        <v>15</v>
      </c>
      <c r="F120" s="290">
        <f t="shared" si="9"/>
        <v>0</v>
      </c>
      <c r="G120" s="290">
        <f>(AC120+AD120)*$G$3</f>
        <v>90</v>
      </c>
      <c r="H120" s="290">
        <f t="shared" si="11"/>
        <v>0</v>
      </c>
      <c r="I120" s="290">
        <f>(AF120+AG120)*$I$3</f>
        <v>21</v>
      </c>
      <c r="J120" s="290">
        <f t="shared" si="13"/>
        <v>0</v>
      </c>
      <c r="K120" s="290">
        <f>(AI120+AJ120)*$K$3</f>
        <v>72</v>
      </c>
      <c r="L120" s="290">
        <f t="shared" si="15"/>
        <v>0</v>
      </c>
      <c r="M120" s="290">
        <f>(AL120+AM120)*$M$3</f>
        <v>27</v>
      </c>
      <c r="N120" s="290">
        <f t="shared" si="17"/>
        <v>0</v>
      </c>
      <c r="O120" s="290">
        <f>C120+E120+G120+I120+K120+M120</f>
        <v>237</v>
      </c>
      <c r="P120" s="261" t="s">
        <v>269</v>
      </c>
      <c r="Q120" s="262"/>
      <c r="R120" s="263"/>
      <c r="S120" s="386"/>
      <c r="T120" s="357">
        <v>3</v>
      </c>
      <c r="U120" s="357">
        <v>3</v>
      </c>
      <c r="W120" s="268">
        <f>T120*$W$3</f>
        <v>6</v>
      </c>
      <c r="X120" s="266">
        <f>U120*$X$3</f>
        <v>6</v>
      </c>
      <c r="Y120" s="267"/>
      <c r="Z120" s="268">
        <f>W120</f>
        <v>6</v>
      </c>
      <c r="AA120" s="266">
        <f>U120*$AA$3</f>
        <v>9</v>
      </c>
      <c r="AB120" s="267"/>
      <c r="AC120" s="268">
        <f>W120</f>
        <v>6</v>
      </c>
      <c r="AD120" s="266">
        <f>U120*$AD$3</f>
        <v>12</v>
      </c>
      <c r="AE120" s="267"/>
      <c r="AF120" s="268">
        <f>W120</f>
        <v>6</v>
      </c>
      <c r="AG120" s="266">
        <f>U120*$AG$3</f>
        <v>15</v>
      </c>
      <c r="AH120" s="267"/>
      <c r="AI120" s="268">
        <f>W120</f>
        <v>6</v>
      </c>
      <c r="AJ120" s="266">
        <f>U120*$AJ$3</f>
        <v>18</v>
      </c>
      <c r="AK120" s="267"/>
      <c r="AL120" s="268">
        <f>W120</f>
        <v>6</v>
      </c>
      <c r="AM120" s="266">
        <f>U120*$AM$3</f>
        <v>21</v>
      </c>
    </row>
    <row r="121" spans="1:39" s="264" customFormat="1" x14ac:dyDescent="0.2">
      <c r="A121" s="258"/>
      <c r="B121" s="202"/>
      <c r="C121" s="290"/>
      <c r="D121" s="290"/>
      <c r="E121" s="290"/>
      <c r="F121" s="290"/>
      <c r="G121" s="290"/>
      <c r="H121" s="290"/>
      <c r="I121" s="290"/>
      <c r="J121" s="290"/>
      <c r="K121" s="290"/>
      <c r="L121" s="290"/>
      <c r="M121" s="290"/>
      <c r="N121" s="290"/>
      <c r="O121" s="290"/>
      <c r="P121" s="261"/>
      <c r="Q121" s="262"/>
      <c r="R121" s="263"/>
      <c r="S121" s="386"/>
      <c r="T121" s="357"/>
      <c r="U121" s="357"/>
      <c r="W121" s="387"/>
      <c r="X121" s="390"/>
      <c r="Z121" s="387"/>
      <c r="AA121" s="390"/>
      <c r="AC121" s="387"/>
      <c r="AD121" s="390"/>
      <c r="AF121" s="387"/>
      <c r="AG121" s="390"/>
      <c r="AI121" s="387"/>
      <c r="AJ121" s="390"/>
      <c r="AL121" s="387"/>
      <c r="AM121" s="390"/>
    </row>
    <row r="122" spans="1:39" s="264" customFormat="1" x14ac:dyDescent="0.2">
      <c r="A122" s="258" t="s">
        <v>75</v>
      </c>
      <c r="B122" s="259" t="s">
        <v>837</v>
      </c>
      <c r="C122" s="290">
        <f>(W122+X122)*$C$3</f>
        <v>4</v>
      </c>
      <c r="D122" s="290">
        <f>C122*$Q122</f>
        <v>0</v>
      </c>
      <c r="E122" s="290">
        <f>(Z122+AA122)*$E$3</f>
        <v>5</v>
      </c>
      <c r="F122" s="290">
        <f>E122*$Q122</f>
        <v>0</v>
      </c>
      <c r="G122" s="290">
        <f>(AC122+AD122)*$G$3</f>
        <v>30</v>
      </c>
      <c r="H122" s="290">
        <f>G122*$Q122</f>
        <v>0</v>
      </c>
      <c r="I122" s="290">
        <f>(AF122+AG122)*$I$3</f>
        <v>7</v>
      </c>
      <c r="J122" s="290">
        <f>I122*$Q122</f>
        <v>0</v>
      </c>
      <c r="K122" s="290">
        <f>(AI122+AJ122)*$K$3</f>
        <v>24</v>
      </c>
      <c r="L122" s="290">
        <f>K122*$Q122</f>
        <v>0</v>
      </c>
      <c r="M122" s="290">
        <f>(AL122+AM122)*$M$3</f>
        <v>9</v>
      </c>
      <c r="N122" s="290">
        <f>M122*$Q122</f>
        <v>0</v>
      </c>
      <c r="O122" s="290">
        <f>C122+E122+G122+I122+K122+M122</f>
        <v>79</v>
      </c>
      <c r="P122" s="261" t="s">
        <v>269</v>
      </c>
      <c r="Q122" s="262"/>
      <c r="R122" s="263"/>
      <c r="S122" s="386"/>
      <c r="T122" s="357">
        <v>1</v>
      </c>
      <c r="U122" s="357">
        <v>1</v>
      </c>
      <c r="W122" s="268">
        <f>T122*$W$3</f>
        <v>2</v>
      </c>
      <c r="X122" s="266">
        <f>U122*$X$3</f>
        <v>2</v>
      </c>
      <c r="Y122" s="267"/>
      <c r="Z122" s="268">
        <f>W122</f>
        <v>2</v>
      </c>
      <c r="AA122" s="266">
        <f>U122*$AA$3</f>
        <v>3</v>
      </c>
      <c r="AB122" s="267"/>
      <c r="AC122" s="268">
        <f>W122</f>
        <v>2</v>
      </c>
      <c r="AD122" s="266">
        <f>U122*$AD$3</f>
        <v>4</v>
      </c>
      <c r="AE122" s="267"/>
      <c r="AF122" s="268">
        <f>W122</f>
        <v>2</v>
      </c>
      <c r="AG122" s="266">
        <f>U122*$AG$3</f>
        <v>5</v>
      </c>
      <c r="AH122" s="267"/>
      <c r="AI122" s="268">
        <f>W122</f>
        <v>2</v>
      </c>
      <c r="AJ122" s="266">
        <f>U122*$AJ$3</f>
        <v>6</v>
      </c>
      <c r="AK122" s="267"/>
      <c r="AL122" s="268">
        <f>W122</f>
        <v>2</v>
      </c>
      <c r="AM122" s="266">
        <f>U122*$AM$3</f>
        <v>7</v>
      </c>
    </row>
    <row r="123" spans="1:39" s="264" customFormat="1" x14ac:dyDescent="0.2">
      <c r="A123" s="258"/>
      <c r="B123" s="293"/>
      <c r="C123" s="290"/>
      <c r="D123" s="290"/>
      <c r="E123" s="290"/>
      <c r="F123" s="290"/>
      <c r="G123" s="290"/>
      <c r="H123" s="290"/>
      <c r="I123" s="290"/>
      <c r="J123" s="290"/>
      <c r="K123" s="290"/>
      <c r="L123" s="290"/>
      <c r="M123" s="290"/>
      <c r="N123" s="290"/>
      <c r="O123" s="290"/>
      <c r="P123" s="261"/>
      <c r="Q123" s="262"/>
      <c r="R123" s="263"/>
      <c r="S123" s="386"/>
      <c r="T123" s="357"/>
      <c r="U123" s="266"/>
      <c r="W123" s="268"/>
      <c r="X123" s="266"/>
      <c r="Y123" s="267"/>
      <c r="Z123" s="268"/>
      <c r="AA123" s="266"/>
      <c r="AB123" s="267"/>
      <c r="AC123" s="268"/>
      <c r="AD123" s="266"/>
      <c r="AE123" s="267"/>
      <c r="AF123" s="268"/>
      <c r="AG123" s="266"/>
      <c r="AH123" s="267"/>
      <c r="AI123" s="268"/>
      <c r="AJ123" s="266"/>
      <c r="AK123" s="267"/>
      <c r="AL123" s="268"/>
      <c r="AM123" s="266"/>
    </row>
    <row r="124" spans="1:39" s="264" customFormat="1" x14ac:dyDescent="0.2">
      <c r="A124" s="258" t="s">
        <v>76</v>
      </c>
      <c r="B124" s="259" t="s">
        <v>838</v>
      </c>
      <c r="C124" s="290">
        <f>(W124+X124)*$C$3</f>
        <v>16</v>
      </c>
      <c r="D124" s="290">
        <f>C124*$Q124</f>
        <v>0</v>
      </c>
      <c r="E124" s="290">
        <f>(Z124+AA124)*$E$3</f>
        <v>20</v>
      </c>
      <c r="F124" s="290">
        <f>E124*$Q124</f>
        <v>0</v>
      </c>
      <c r="G124" s="290">
        <f>(AC124+AD124)*$G$3</f>
        <v>120</v>
      </c>
      <c r="H124" s="290">
        <f>G124*$Q124</f>
        <v>0</v>
      </c>
      <c r="I124" s="290">
        <f>(AF124+AG124)*$I$3</f>
        <v>28</v>
      </c>
      <c r="J124" s="290">
        <f>I124*$Q124</f>
        <v>0</v>
      </c>
      <c r="K124" s="290">
        <f>(AI124+AJ124)*$K$3</f>
        <v>96</v>
      </c>
      <c r="L124" s="290">
        <f>K124*$Q124</f>
        <v>0</v>
      </c>
      <c r="M124" s="290">
        <f>(AL124+AM124)*$M$3</f>
        <v>36</v>
      </c>
      <c r="N124" s="290">
        <f>M124*$Q124</f>
        <v>0</v>
      </c>
      <c r="O124" s="290">
        <f>C124+E124+G124+I124+K124+M124</f>
        <v>316</v>
      </c>
      <c r="P124" s="261" t="s">
        <v>269</v>
      </c>
      <c r="Q124" s="262"/>
      <c r="R124" s="263"/>
      <c r="S124" s="386"/>
      <c r="T124" s="357">
        <v>4</v>
      </c>
      <c r="U124" s="357">
        <v>4</v>
      </c>
      <c r="W124" s="268">
        <f>T124*$W$3</f>
        <v>8</v>
      </c>
      <c r="X124" s="266">
        <f>U124*$X$3</f>
        <v>8</v>
      </c>
      <c r="Y124" s="267"/>
      <c r="Z124" s="268">
        <f>W124</f>
        <v>8</v>
      </c>
      <c r="AA124" s="266">
        <f>U124*$AA$3</f>
        <v>12</v>
      </c>
      <c r="AB124" s="267"/>
      <c r="AC124" s="268">
        <f>W124</f>
        <v>8</v>
      </c>
      <c r="AD124" s="266">
        <f>U124*$AD$3</f>
        <v>16</v>
      </c>
      <c r="AE124" s="267"/>
      <c r="AF124" s="268">
        <f>W124</f>
        <v>8</v>
      </c>
      <c r="AG124" s="266">
        <f>U124*$AG$3</f>
        <v>20</v>
      </c>
      <c r="AH124" s="267"/>
      <c r="AI124" s="268">
        <f>W124</f>
        <v>8</v>
      </c>
      <c r="AJ124" s="266">
        <f>U124*$AJ$3</f>
        <v>24</v>
      </c>
      <c r="AK124" s="267"/>
      <c r="AL124" s="268">
        <f>W124</f>
        <v>8</v>
      </c>
      <c r="AM124" s="266">
        <f>U124*$AM$3</f>
        <v>28</v>
      </c>
    </row>
    <row r="125" spans="1:39" s="264" customFormat="1" x14ac:dyDescent="0.2">
      <c r="A125" s="258"/>
      <c r="B125" s="259"/>
      <c r="C125" s="290"/>
      <c r="D125" s="290"/>
      <c r="E125" s="290"/>
      <c r="F125" s="290"/>
      <c r="G125" s="290"/>
      <c r="H125" s="290"/>
      <c r="I125" s="290"/>
      <c r="J125" s="290"/>
      <c r="K125" s="290"/>
      <c r="L125" s="290"/>
      <c r="M125" s="290"/>
      <c r="N125" s="290"/>
      <c r="O125" s="290"/>
      <c r="P125" s="261"/>
      <c r="Q125" s="262"/>
      <c r="R125" s="263"/>
      <c r="S125" s="386"/>
      <c r="T125" s="357"/>
      <c r="U125" s="357"/>
      <c r="W125" s="387"/>
      <c r="X125" s="387"/>
      <c r="Z125" s="387"/>
      <c r="AA125" s="387"/>
      <c r="AC125" s="387"/>
      <c r="AD125" s="387"/>
      <c r="AF125" s="387"/>
      <c r="AG125" s="387"/>
      <c r="AI125" s="387"/>
      <c r="AJ125" s="387"/>
      <c r="AL125" s="387"/>
      <c r="AM125" s="387"/>
    </row>
    <row r="126" spans="1:39" s="264" customFormat="1" x14ac:dyDescent="0.2">
      <c r="A126" s="258" t="s">
        <v>77</v>
      </c>
      <c r="B126" s="259" t="s">
        <v>839</v>
      </c>
      <c r="C126" s="290">
        <f>(W126+X126)*$C$3</f>
        <v>4</v>
      </c>
      <c r="D126" s="290">
        <f>C126*$Q126</f>
        <v>0</v>
      </c>
      <c r="E126" s="290">
        <f>(Z126+AA126)*$E$3</f>
        <v>5</v>
      </c>
      <c r="F126" s="290">
        <f>E126*$Q126</f>
        <v>0</v>
      </c>
      <c r="G126" s="290">
        <f>(AC126+AD126)*$G$3</f>
        <v>30</v>
      </c>
      <c r="H126" s="290">
        <f>G126*$Q126</f>
        <v>0</v>
      </c>
      <c r="I126" s="290">
        <f>(AF126+AG126)*$I$3</f>
        <v>7</v>
      </c>
      <c r="J126" s="290">
        <f>I126*$Q126</f>
        <v>0</v>
      </c>
      <c r="K126" s="290">
        <f>(AI126+AJ126)*$K$3</f>
        <v>24</v>
      </c>
      <c r="L126" s="290">
        <f>K126*$Q126</f>
        <v>0</v>
      </c>
      <c r="M126" s="290">
        <f>(AL126+AM126)*$M$3</f>
        <v>9</v>
      </c>
      <c r="N126" s="290">
        <f>M126*$Q126</f>
        <v>0</v>
      </c>
      <c r="O126" s="290">
        <f>C126+E126+G126+I126+K126+M126</f>
        <v>79</v>
      </c>
      <c r="P126" s="261" t="s">
        <v>269</v>
      </c>
      <c r="Q126" s="262"/>
      <c r="R126" s="263"/>
      <c r="S126" s="386"/>
      <c r="T126" s="357">
        <v>1</v>
      </c>
      <c r="U126" s="357">
        <v>1</v>
      </c>
      <c r="W126" s="268">
        <f>T126*$W$3</f>
        <v>2</v>
      </c>
      <c r="X126" s="266">
        <f>U126*$X$3</f>
        <v>2</v>
      </c>
      <c r="Y126" s="267"/>
      <c r="Z126" s="268">
        <f>W126</f>
        <v>2</v>
      </c>
      <c r="AA126" s="266">
        <f>U126*$AA$3</f>
        <v>3</v>
      </c>
      <c r="AB126" s="267"/>
      <c r="AC126" s="268">
        <f>W126</f>
        <v>2</v>
      </c>
      <c r="AD126" s="266">
        <f>U126*$AD$3</f>
        <v>4</v>
      </c>
      <c r="AE126" s="267"/>
      <c r="AF126" s="268">
        <f>W126</f>
        <v>2</v>
      </c>
      <c r="AG126" s="266">
        <f>U126*$AG$3</f>
        <v>5</v>
      </c>
      <c r="AH126" s="267"/>
      <c r="AI126" s="268">
        <f>W126</f>
        <v>2</v>
      </c>
      <c r="AJ126" s="266">
        <f>U126*$AJ$3</f>
        <v>6</v>
      </c>
      <c r="AK126" s="267"/>
      <c r="AL126" s="268">
        <f>W126</f>
        <v>2</v>
      </c>
      <c r="AM126" s="266">
        <f>U126*$AM$3</f>
        <v>7</v>
      </c>
    </row>
    <row r="127" spans="1:39" s="264" customFormat="1" x14ac:dyDescent="0.2">
      <c r="A127" s="258"/>
      <c r="B127" s="259"/>
      <c r="C127" s="290"/>
      <c r="D127" s="290"/>
      <c r="E127" s="290"/>
      <c r="F127" s="290"/>
      <c r="G127" s="290"/>
      <c r="H127" s="290"/>
      <c r="I127" s="290"/>
      <c r="J127" s="290"/>
      <c r="K127" s="290"/>
      <c r="L127" s="290"/>
      <c r="M127" s="290"/>
      <c r="N127" s="290"/>
      <c r="O127" s="290"/>
      <c r="P127" s="261"/>
      <c r="Q127" s="262"/>
      <c r="R127" s="263"/>
      <c r="S127" s="386"/>
      <c r="T127" s="339"/>
      <c r="U127" s="339"/>
      <c r="W127" s="387"/>
      <c r="X127" s="387"/>
      <c r="Z127" s="387"/>
      <c r="AA127" s="387"/>
      <c r="AC127" s="387"/>
      <c r="AD127" s="387"/>
      <c r="AF127" s="387"/>
      <c r="AG127" s="387"/>
      <c r="AI127" s="387"/>
      <c r="AJ127" s="387"/>
      <c r="AL127" s="387"/>
      <c r="AM127" s="387"/>
    </row>
    <row r="128" spans="1:39" s="264" customFormat="1" x14ac:dyDescent="0.2">
      <c r="A128" s="258" t="s">
        <v>79</v>
      </c>
      <c r="B128" s="259" t="s">
        <v>840</v>
      </c>
      <c r="C128" s="290">
        <f>(W128+X128)*$C$3</f>
        <v>44</v>
      </c>
      <c r="D128" s="290">
        <f>C128*$Q128</f>
        <v>0</v>
      </c>
      <c r="E128" s="290">
        <f>(Z128+AA128)*$E$3</f>
        <v>54</v>
      </c>
      <c r="F128" s="290">
        <f>E128*$Q128</f>
        <v>0</v>
      </c>
      <c r="G128" s="290">
        <f>(AC128+AD128)*$G$3</f>
        <v>320</v>
      </c>
      <c r="H128" s="290">
        <f>G128*$Q128</f>
        <v>0</v>
      </c>
      <c r="I128" s="290">
        <f>(AF128+AG128)*$I$3</f>
        <v>74</v>
      </c>
      <c r="J128" s="290">
        <f>I128*$Q128</f>
        <v>0</v>
      </c>
      <c r="K128" s="290">
        <f>(AI128+AJ128)*$K$3</f>
        <v>252</v>
      </c>
      <c r="L128" s="290">
        <f>K128*$Q128</f>
        <v>0</v>
      </c>
      <c r="M128" s="290">
        <f>(AL128+AM128)*$M$3</f>
        <v>94</v>
      </c>
      <c r="N128" s="290">
        <f>M128*$Q128</f>
        <v>0</v>
      </c>
      <c r="O128" s="290">
        <f>C128+E128+G128+I128+K128+M128</f>
        <v>838</v>
      </c>
      <c r="P128" s="261" t="s">
        <v>269</v>
      </c>
      <c r="Q128" s="262"/>
      <c r="R128" s="263"/>
      <c r="S128" s="386"/>
      <c r="T128" s="339">
        <v>12</v>
      </c>
      <c r="U128" s="339">
        <v>10</v>
      </c>
      <c r="W128" s="268">
        <f>T128*$W$3</f>
        <v>24</v>
      </c>
      <c r="X128" s="266">
        <f>U128*$X$3</f>
        <v>20</v>
      </c>
      <c r="Y128" s="267"/>
      <c r="Z128" s="268">
        <f>W128</f>
        <v>24</v>
      </c>
      <c r="AA128" s="266">
        <f>U128*$AA$3</f>
        <v>30</v>
      </c>
      <c r="AB128" s="267"/>
      <c r="AC128" s="268">
        <f>W128</f>
        <v>24</v>
      </c>
      <c r="AD128" s="266">
        <f>U128*$AD$3</f>
        <v>40</v>
      </c>
      <c r="AE128" s="267"/>
      <c r="AF128" s="268">
        <f>W128</f>
        <v>24</v>
      </c>
      <c r="AG128" s="266">
        <f>U128*$AG$3</f>
        <v>50</v>
      </c>
      <c r="AH128" s="267"/>
      <c r="AI128" s="268">
        <f>W128</f>
        <v>24</v>
      </c>
      <c r="AJ128" s="266">
        <f>U128*$AJ$3</f>
        <v>60</v>
      </c>
      <c r="AK128" s="267"/>
      <c r="AL128" s="268">
        <f>W128</f>
        <v>24</v>
      </c>
      <c r="AM128" s="266">
        <f>U128*$AM$3</f>
        <v>70</v>
      </c>
    </row>
    <row r="129" spans="1:39" s="264" customFormat="1" x14ac:dyDescent="0.2">
      <c r="A129" s="258"/>
      <c r="B129" s="259"/>
      <c r="C129" s="290"/>
      <c r="D129" s="290"/>
      <c r="E129" s="290"/>
      <c r="F129" s="290"/>
      <c r="G129" s="290"/>
      <c r="H129" s="290"/>
      <c r="I129" s="290"/>
      <c r="J129" s="290"/>
      <c r="K129" s="290"/>
      <c r="L129" s="290"/>
      <c r="M129" s="290"/>
      <c r="N129" s="290"/>
      <c r="O129" s="290"/>
      <c r="P129" s="261"/>
      <c r="Q129" s="262"/>
      <c r="R129" s="263"/>
      <c r="S129" s="386"/>
      <c r="T129" s="339"/>
      <c r="U129" s="339"/>
      <c r="W129" s="387"/>
      <c r="X129" s="387"/>
      <c r="Z129" s="387"/>
      <c r="AA129" s="387"/>
      <c r="AC129" s="387"/>
      <c r="AD129" s="387"/>
      <c r="AF129" s="387"/>
      <c r="AG129" s="387"/>
      <c r="AI129" s="387"/>
      <c r="AJ129" s="387"/>
      <c r="AL129" s="387"/>
      <c r="AM129" s="387"/>
    </row>
    <row r="130" spans="1:39" s="264" customFormat="1" x14ac:dyDescent="0.2">
      <c r="A130" s="258" t="s">
        <v>80</v>
      </c>
      <c r="B130" s="259" t="s">
        <v>841</v>
      </c>
      <c r="C130" s="290">
        <f>(W130+X130)*$C$3</f>
        <v>4</v>
      </c>
      <c r="D130" s="290">
        <f>C130*$Q130</f>
        <v>0</v>
      </c>
      <c r="E130" s="290">
        <f>(Z130+AA130)*$E$3</f>
        <v>5</v>
      </c>
      <c r="F130" s="290">
        <f>E130*$Q130</f>
        <v>0</v>
      </c>
      <c r="G130" s="290">
        <f>(AC130+AD130)*$G$3</f>
        <v>30</v>
      </c>
      <c r="H130" s="290">
        <f>G130*$Q130</f>
        <v>0</v>
      </c>
      <c r="I130" s="290">
        <f>(AF130+AG130)*$I$3</f>
        <v>7</v>
      </c>
      <c r="J130" s="290">
        <f>I130*$Q130</f>
        <v>0</v>
      </c>
      <c r="K130" s="290">
        <f>(AI130+AJ130)*$K$3</f>
        <v>24</v>
      </c>
      <c r="L130" s="290">
        <f>K130*$Q130</f>
        <v>0</v>
      </c>
      <c r="M130" s="290">
        <f>(AL130+AM130)*$M$3</f>
        <v>9</v>
      </c>
      <c r="N130" s="290">
        <f>M130*$Q130</f>
        <v>0</v>
      </c>
      <c r="O130" s="290">
        <f>C130+E130+G130+I130+K130+M130</f>
        <v>79</v>
      </c>
      <c r="P130" s="261" t="s">
        <v>269</v>
      </c>
      <c r="Q130" s="262"/>
      <c r="R130" s="263"/>
      <c r="S130" s="386"/>
      <c r="T130" s="339">
        <v>1</v>
      </c>
      <c r="U130" s="339">
        <v>1</v>
      </c>
      <c r="W130" s="268">
        <f>T130*$W$3</f>
        <v>2</v>
      </c>
      <c r="X130" s="266">
        <f>U130*$X$3</f>
        <v>2</v>
      </c>
      <c r="Y130" s="267"/>
      <c r="Z130" s="268">
        <f>W130</f>
        <v>2</v>
      </c>
      <c r="AA130" s="266">
        <f>U130*$AA$3</f>
        <v>3</v>
      </c>
      <c r="AB130" s="267"/>
      <c r="AC130" s="268">
        <f>W130</f>
        <v>2</v>
      </c>
      <c r="AD130" s="266">
        <f>U130*$AD$3</f>
        <v>4</v>
      </c>
      <c r="AE130" s="267"/>
      <c r="AF130" s="268">
        <f>W130</f>
        <v>2</v>
      </c>
      <c r="AG130" s="266">
        <f>U130*$AG$3</f>
        <v>5</v>
      </c>
      <c r="AH130" s="267"/>
      <c r="AI130" s="268">
        <f>W130</f>
        <v>2</v>
      </c>
      <c r="AJ130" s="266">
        <f>U130*$AJ$3</f>
        <v>6</v>
      </c>
      <c r="AK130" s="267"/>
      <c r="AL130" s="268">
        <f>W130</f>
        <v>2</v>
      </c>
      <c r="AM130" s="266">
        <f>U130*$AM$3</f>
        <v>7</v>
      </c>
    </row>
    <row r="131" spans="1:39" s="264" customFormat="1" x14ac:dyDescent="0.2">
      <c r="A131" s="258"/>
      <c r="B131" s="259"/>
      <c r="C131" s="290"/>
      <c r="D131" s="290"/>
      <c r="E131" s="290"/>
      <c r="F131" s="290"/>
      <c r="G131" s="290"/>
      <c r="H131" s="290"/>
      <c r="I131" s="290"/>
      <c r="J131" s="290"/>
      <c r="K131" s="290"/>
      <c r="L131" s="290"/>
      <c r="M131" s="290"/>
      <c r="N131" s="290"/>
      <c r="O131" s="290"/>
      <c r="P131" s="261"/>
      <c r="Q131" s="262"/>
      <c r="R131" s="263"/>
      <c r="S131" s="386"/>
      <c r="T131" s="339"/>
      <c r="U131" s="339"/>
      <c r="W131" s="387"/>
      <c r="X131" s="387"/>
      <c r="Z131" s="387"/>
      <c r="AA131" s="387"/>
      <c r="AC131" s="387"/>
      <c r="AD131" s="387"/>
      <c r="AF131" s="387"/>
      <c r="AG131" s="387"/>
      <c r="AI131" s="387"/>
      <c r="AJ131" s="387"/>
      <c r="AL131" s="387"/>
      <c r="AM131" s="387"/>
    </row>
    <row r="132" spans="1:39" s="264" customFormat="1" x14ac:dyDescent="0.2">
      <c r="A132" s="258" t="s">
        <v>81</v>
      </c>
      <c r="B132" s="259" t="s">
        <v>842</v>
      </c>
      <c r="C132" s="290">
        <f>(W132+X132)*$C$3</f>
        <v>4</v>
      </c>
      <c r="D132" s="290">
        <f>C132*$Q132</f>
        <v>0</v>
      </c>
      <c r="E132" s="290">
        <f>(Z132+AA132)*$E$3</f>
        <v>5</v>
      </c>
      <c r="F132" s="290">
        <f>E132*$Q132</f>
        <v>0</v>
      </c>
      <c r="G132" s="290">
        <f>(AC132+AD132)*$G$3</f>
        <v>30</v>
      </c>
      <c r="H132" s="290">
        <f>G132*$Q132</f>
        <v>0</v>
      </c>
      <c r="I132" s="290">
        <f>(AF132+AG132)*$I$3</f>
        <v>7</v>
      </c>
      <c r="J132" s="290">
        <f>I132*$Q132</f>
        <v>0</v>
      </c>
      <c r="K132" s="290">
        <f>(AI132+AJ132)*$K$3</f>
        <v>24</v>
      </c>
      <c r="L132" s="290">
        <f>K132*$Q132</f>
        <v>0</v>
      </c>
      <c r="M132" s="290">
        <f>(AL132+AM132)*$M$3</f>
        <v>9</v>
      </c>
      <c r="N132" s="290">
        <f>M132*$Q132</f>
        <v>0</v>
      </c>
      <c r="O132" s="290">
        <f>C132+E132+G132+I132+K132+M132</f>
        <v>79</v>
      </c>
      <c r="P132" s="261" t="s">
        <v>269</v>
      </c>
      <c r="Q132" s="431"/>
      <c r="R132" s="433"/>
      <c r="S132" s="386"/>
      <c r="T132" s="339">
        <v>1</v>
      </c>
      <c r="U132" s="339">
        <v>1</v>
      </c>
      <c r="W132" s="268">
        <f>T132*$W$3</f>
        <v>2</v>
      </c>
      <c r="X132" s="266">
        <f>U132*$X$3</f>
        <v>2</v>
      </c>
      <c r="Y132" s="267"/>
      <c r="Z132" s="268">
        <f>W132</f>
        <v>2</v>
      </c>
      <c r="AA132" s="266">
        <f>U132*$AA$3</f>
        <v>3</v>
      </c>
      <c r="AB132" s="267"/>
      <c r="AC132" s="268">
        <f>W132</f>
        <v>2</v>
      </c>
      <c r="AD132" s="266">
        <f>U132*$AD$3</f>
        <v>4</v>
      </c>
      <c r="AE132" s="267"/>
      <c r="AF132" s="268">
        <f>W132</f>
        <v>2</v>
      </c>
      <c r="AG132" s="266">
        <f>U132*$AG$3</f>
        <v>5</v>
      </c>
      <c r="AH132" s="267"/>
      <c r="AI132" s="268">
        <f>W132</f>
        <v>2</v>
      </c>
      <c r="AJ132" s="266">
        <f>U132*$AJ$3</f>
        <v>6</v>
      </c>
      <c r="AK132" s="267"/>
      <c r="AL132" s="268">
        <f>W132</f>
        <v>2</v>
      </c>
      <c r="AM132" s="266">
        <f>U132*$AM$3</f>
        <v>7</v>
      </c>
    </row>
    <row r="133" spans="1:39" s="264" customFormat="1" x14ac:dyDescent="0.2">
      <c r="A133" s="258"/>
      <c r="B133" s="259"/>
      <c r="C133" s="290"/>
      <c r="D133" s="290"/>
      <c r="E133" s="290"/>
      <c r="F133" s="290"/>
      <c r="G133" s="290"/>
      <c r="H133" s="290"/>
      <c r="I133" s="290"/>
      <c r="J133" s="290"/>
      <c r="K133" s="290"/>
      <c r="L133" s="290"/>
      <c r="M133" s="290"/>
      <c r="N133" s="290"/>
      <c r="O133" s="290"/>
      <c r="P133" s="261"/>
      <c r="Q133" s="431"/>
      <c r="R133" s="433"/>
      <c r="S133" s="386"/>
      <c r="T133" s="339"/>
      <c r="U133" s="339"/>
      <c r="W133" s="387"/>
      <c r="X133" s="387"/>
      <c r="Z133" s="387"/>
      <c r="AA133" s="387"/>
      <c r="AC133" s="387"/>
      <c r="AD133" s="387"/>
      <c r="AF133" s="387"/>
      <c r="AG133" s="387"/>
      <c r="AI133" s="387"/>
      <c r="AJ133" s="387"/>
      <c r="AL133" s="387"/>
      <c r="AM133" s="387"/>
    </row>
    <row r="134" spans="1:39" s="342" customFormat="1" x14ac:dyDescent="0.2">
      <c r="A134" s="340" t="s">
        <v>80</v>
      </c>
      <c r="B134" s="341" t="s">
        <v>946</v>
      </c>
      <c r="C134" s="338">
        <f>(W134+X134)*$C$3</f>
        <v>4</v>
      </c>
      <c r="D134" s="338">
        <f>C134*$Q134</f>
        <v>0</v>
      </c>
      <c r="E134" s="338">
        <f>(Z134+AA134)*$E$3</f>
        <v>5</v>
      </c>
      <c r="F134" s="338">
        <f>E134*$Q134</f>
        <v>0</v>
      </c>
      <c r="G134" s="338">
        <f>(AC134+AD134)*$G$3</f>
        <v>30</v>
      </c>
      <c r="H134" s="338">
        <f>G134*$Q134</f>
        <v>0</v>
      </c>
      <c r="I134" s="338">
        <f>(AF134+AG134)*$I$3</f>
        <v>7</v>
      </c>
      <c r="J134" s="338">
        <f>I134*$Q134</f>
        <v>0</v>
      </c>
      <c r="K134" s="338">
        <f>(AI134+AJ134)*$K$3</f>
        <v>24</v>
      </c>
      <c r="L134" s="338">
        <f>K134*$Q134</f>
        <v>0</v>
      </c>
      <c r="M134" s="338">
        <f>(AL134+AM134)*$M$3</f>
        <v>9</v>
      </c>
      <c r="N134" s="338">
        <f>M134*$Q134</f>
        <v>0</v>
      </c>
      <c r="O134" s="338">
        <f>C134+E134+G134+I134+K134+M134</f>
        <v>79</v>
      </c>
      <c r="P134" s="404" t="s">
        <v>269</v>
      </c>
      <c r="Q134" s="431"/>
      <c r="R134" s="433"/>
      <c r="S134" s="405"/>
      <c r="T134" s="406">
        <v>1</v>
      </c>
      <c r="U134" s="406">
        <v>1</v>
      </c>
      <c r="W134" s="343">
        <f>T134*$W$3</f>
        <v>2</v>
      </c>
      <c r="X134" s="343">
        <f>U134*$X$3</f>
        <v>2</v>
      </c>
      <c r="Z134" s="343">
        <f>W134</f>
        <v>2</v>
      </c>
      <c r="AA134" s="343">
        <f>U134*$AA$3</f>
        <v>3</v>
      </c>
      <c r="AC134" s="343">
        <f>W134</f>
        <v>2</v>
      </c>
      <c r="AD134" s="343">
        <f>U134*$AD$3</f>
        <v>4</v>
      </c>
      <c r="AF134" s="343">
        <f>W134</f>
        <v>2</v>
      </c>
      <c r="AG134" s="343">
        <f>U134*$AG$3</f>
        <v>5</v>
      </c>
      <c r="AI134" s="343">
        <f>W134</f>
        <v>2</v>
      </c>
      <c r="AJ134" s="343">
        <f>U134*$AJ$3</f>
        <v>6</v>
      </c>
      <c r="AL134" s="343">
        <f>W134</f>
        <v>2</v>
      </c>
      <c r="AM134" s="343">
        <f>U134*$AM$3</f>
        <v>7</v>
      </c>
    </row>
    <row r="135" spans="1:39" s="264" customFormat="1" x14ac:dyDescent="0.2">
      <c r="A135" s="258"/>
      <c r="B135" s="293"/>
      <c r="C135" s="290"/>
      <c r="D135" s="290"/>
      <c r="E135" s="290"/>
      <c r="F135" s="290"/>
      <c r="G135" s="290"/>
      <c r="H135" s="290"/>
      <c r="I135" s="290"/>
      <c r="J135" s="290"/>
      <c r="K135" s="290"/>
      <c r="L135" s="290"/>
      <c r="M135" s="290"/>
      <c r="N135" s="290"/>
      <c r="O135" s="290"/>
      <c r="P135" s="261"/>
      <c r="Q135" s="431"/>
      <c r="R135" s="433"/>
      <c r="S135" s="386"/>
      <c r="T135" s="339"/>
      <c r="U135" s="339"/>
      <c r="W135" s="387"/>
      <c r="X135" s="387"/>
      <c r="Z135" s="387"/>
      <c r="AA135" s="387"/>
      <c r="AC135" s="387"/>
      <c r="AD135" s="387"/>
      <c r="AF135" s="387"/>
      <c r="AG135" s="387"/>
      <c r="AI135" s="387"/>
      <c r="AJ135" s="387"/>
      <c r="AL135" s="387"/>
      <c r="AM135" s="387"/>
    </row>
    <row r="136" spans="1:39" s="264" customFormat="1" x14ac:dyDescent="0.2">
      <c r="A136" s="258"/>
      <c r="B136" s="293"/>
      <c r="C136" s="290"/>
      <c r="D136" s="290"/>
      <c r="E136" s="290"/>
      <c r="F136" s="290"/>
      <c r="G136" s="290"/>
      <c r="H136" s="290"/>
      <c r="I136" s="290"/>
      <c r="J136" s="290"/>
      <c r="K136" s="290"/>
      <c r="L136" s="290"/>
      <c r="M136" s="290"/>
      <c r="N136" s="290"/>
      <c r="O136" s="290"/>
      <c r="P136" s="261"/>
      <c r="Q136" s="431"/>
      <c r="R136" s="433"/>
      <c r="S136" s="386"/>
      <c r="T136" s="339"/>
      <c r="U136" s="339"/>
      <c r="W136" s="387"/>
      <c r="X136" s="387"/>
      <c r="Z136" s="387"/>
      <c r="AA136" s="387"/>
      <c r="AC136" s="387"/>
      <c r="AD136" s="387"/>
      <c r="AF136" s="387"/>
      <c r="AG136" s="387"/>
      <c r="AI136" s="387"/>
      <c r="AJ136" s="387"/>
      <c r="AL136" s="387"/>
      <c r="AM136" s="387"/>
    </row>
    <row r="137" spans="1:39" s="264" customFormat="1" x14ac:dyDescent="0.2">
      <c r="A137" s="258"/>
      <c r="B137" s="259"/>
      <c r="C137" s="290"/>
      <c r="D137" s="290"/>
      <c r="E137" s="290"/>
      <c r="F137" s="290"/>
      <c r="G137" s="290"/>
      <c r="H137" s="290"/>
      <c r="I137" s="290"/>
      <c r="J137" s="290"/>
      <c r="K137" s="290"/>
      <c r="L137" s="290"/>
      <c r="M137" s="290"/>
      <c r="N137" s="290"/>
      <c r="O137" s="290"/>
      <c r="P137" s="261"/>
      <c r="Q137" s="262"/>
      <c r="R137" s="263"/>
      <c r="S137" s="386"/>
      <c r="T137" s="339"/>
      <c r="U137" s="266"/>
      <c r="W137" s="268"/>
      <c r="X137" s="266"/>
      <c r="Y137" s="267"/>
      <c r="Z137" s="268"/>
      <c r="AA137" s="266"/>
      <c r="AB137" s="267"/>
      <c r="AC137" s="268"/>
      <c r="AD137" s="266"/>
      <c r="AE137" s="267"/>
      <c r="AF137" s="268"/>
      <c r="AG137" s="266"/>
      <c r="AH137" s="267"/>
      <c r="AI137" s="268"/>
      <c r="AJ137" s="266"/>
      <c r="AK137" s="267"/>
      <c r="AL137" s="268"/>
      <c r="AM137" s="266"/>
    </row>
    <row r="138" spans="1:39" s="264" customFormat="1" x14ac:dyDescent="0.2">
      <c r="A138" s="258"/>
      <c r="B138" s="259"/>
      <c r="C138" s="290"/>
      <c r="D138" s="290"/>
      <c r="E138" s="290"/>
      <c r="F138" s="290"/>
      <c r="G138" s="290"/>
      <c r="H138" s="290"/>
      <c r="I138" s="290"/>
      <c r="J138" s="290"/>
      <c r="K138" s="290"/>
      <c r="L138" s="290"/>
      <c r="M138" s="290"/>
      <c r="N138" s="290"/>
      <c r="O138" s="290"/>
      <c r="P138" s="261"/>
      <c r="Q138" s="262"/>
      <c r="R138" s="263"/>
      <c r="S138" s="386"/>
      <c r="T138" s="390"/>
      <c r="U138" s="390"/>
      <c r="W138" s="387"/>
      <c r="X138" s="390"/>
      <c r="Z138" s="387"/>
      <c r="AA138" s="390"/>
      <c r="AC138" s="387"/>
      <c r="AD138" s="390"/>
      <c r="AF138" s="387"/>
      <c r="AG138" s="390"/>
      <c r="AI138" s="387"/>
      <c r="AJ138" s="390"/>
      <c r="AL138" s="387"/>
      <c r="AM138" s="390"/>
    </row>
    <row r="139" spans="1:39" s="264" customFormat="1" x14ac:dyDescent="0.2">
      <c r="A139" s="258"/>
      <c r="B139" s="259"/>
      <c r="C139" s="290"/>
      <c r="D139" s="290"/>
      <c r="E139" s="290"/>
      <c r="F139" s="290"/>
      <c r="G139" s="290"/>
      <c r="H139" s="290"/>
      <c r="I139" s="290"/>
      <c r="J139" s="290"/>
      <c r="K139" s="290"/>
      <c r="L139" s="290"/>
      <c r="M139" s="290"/>
      <c r="N139" s="290"/>
      <c r="O139" s="290"/>
      <c r="P139" s="261"/>
      <c r="Q139" s="262"/>
      <c r="R139" s="263"/>
      <c r="S139" s="386"/>
      <c r="T139" s="390"/>
      <c r="U139" s="390"/>
      <c r="W139" s="387"/>
      <c r="X139" s="390"/>
      <c r="Z139" s="387"/>
      <c r="AA139" s="390"/>
      <c r="AC139" s="387"/>
      <c r="AD139" s="390"/>
      <c r="AF139" s="387"/>
      <c r="AG139" s="390"/>
      <c r="AI139" s="387"/>
      <c r="AJ139" s="390"/>
      <c r="AL139" s="387"/>
      <c r="AM139" s="390"/>
    </row>
    <row r="140" spans="1:39" s="264" customFormat="1" x14ac:dyDescent="0.2">
      <c r="A140" s="308"/>
      <c r="B140" s="293"/>
      <c r="C140" s="290"/>
      <c r="D140" s="290"/>
      <c r="E140" s="290"/>
      <c r="F140" s="290"/>
      <c r="G140" s="290"/>
      <c r="H140" s="290"/>
      <c r="I140" s="290"/>
      <c r="J140" s="290"/>
      <c r="K140" s="290"/>
      <c r="L140" s="290"/>
      <c r="M140" s="290"/>
      <c r="N140" s="290"/>
      <c r="O140" s="290"/>
      <c r="P140" s="261"/>
      <c r="Q140" s="262"/>
      <c r="R140" s="263"/>
      <c r="S140" s="386"/>
      <c r="T140" s="390"/>
      <c r="U140" s="390"/>
      <c r="W140" s="387"/>
      <c r="X140" s="390"/>
      <c r="Z140" s="387"/>
      <c r="AA140" s="390"/>
      <c r="AC140" s="387"/>
      <c r="AD140" s="390"/>
      <c r="AF140" s="387"/>
      <c r="AG140" s="390"/>
      <c r="AI140" s="387"/>
      <c r="AJ140" s="390"/>
      <c r="AL140" s="387"/>
      <c r="AM140" s="390"/>
    </row>
    <row r="141" spans="1:39" s="264" customFormat="1" x14ac:dyDescent="0.2">
      <c r="A141" s="308"/>
      <c r="B141" s="259"/>
      <c r="C141" s="290"/>
      <c r="D141" s="290"/>
      <c r="E141" s="290"/>
      <c r="F141" s="290"/>
      <c r="G141" s="290"/>
      <c r="H141" s="290"/>
      <c r="I141" s="290"/>
      <c r="J141" s="290"/>
      <c r="K141" s="290"/>
      <c r="L141" s="290"/>
      <c r="M141" s="290"/>
      <c r="N141" s="290"/>
      <c r="O141" s="290"/>
      <c r="P141" s="261"/>
      <c r="Q141" s="262"/>
      <c r="R141" s="263"/>
      <c r="S141" s="386"/>
      <c r="T141" s="357"/>
      <c r="U141" s="357"/>
      <c r="W141" s="387"/>
      <c r="X141" s="357"/>
      <c r="Z141" s="387"/>
      <c r="AA141" s="357"/>
      <c r="AC141" s="387"/>
      <c r="AD141" s="357"/>
      <c r="AF141" s="387"/>
      <c r="AG141" s="357"/>
      <c r="AI141" s="387"/>
      <c r="AJ141" s="357"/>
      <c r="AL141" s="387"/>
      <c r="AM141" s="357"/>
    </row>
    <row r="142" spans="1:39" s="264" customFormat="1" x14ac:dyDescent="0.2">
      <c r="A142" s="391"/>
      <c r="B142" s="392"/>
      <c r="C142" s="377"/>
      <c r="D142" s="377"/>
      <c r="E142" s="377"/>
      <c r="F142" s="377"/>
      <c r="G142" s="377"/>
      <c r="H142" s="377"/>
      <c r="I142" s="377"/>
      <c r="J142" s="377"/>
      <c r="K142" s="377"/>
      <c r="L142" s="377"/>
      <c r="M142" s="377"/>
      <c r="N142" s="377"/>
      <c r="O142" s="377"/>
      <c r="P142" s="377"/>
      <c r="Q142" s="378"/>
      <c r="R142" s="379"/>
      <c r="S142" s="386"/>
      <c r="T142" s="393"/>
      <c r="U142" s="393"/>
      <c r="W142" s="394"/>
      <c r="X142" s="393"/>
      <c r="Z142" s="394"/>
      <c r="AA142" s="393"/>
      <c r="AC142" s="394"/>
      <c r="AD142" s="393"/>
      <c r="AF142" s="394"/>
      <c r="AG142" s="393"/>
      <c r="AI142" s="394"/>
      <c r="AJ142" s="393"/>
      <c r="AL142" s="394"/>
      <c r="AM142" s="393"/>
    </row>
    <row r="143" spans="1:39" s="264" customFormat="1" x14ac:dyDescent="0.2">
      <c r="A143" s="395"/>
      <c r="B143" s="396"/>
      <c r="C143" s="550" t="s">
        <v>1</v>
      </c>
      <c r="D143" s="550"/>
      <c r="E143" s="550"/>
      <c r="F143" s="550"/>
      <c r="G143" s="550"/>
      <c r="H143" s="550"/>
      <c r="I143" s="550"/>
      <c r="J143" s="550"/>
      <c r="K143" s="550"/>
      <c r="L143" s="550"/>
      <c r="M143" s="550"/>
      <c r="N143" s="550"/>
      <c r="O143" s="550"/>
      <c r="P143" s="550"/>
      <c r="Q143" s="381" t="s">
        <v>0</v>
      </c>
      <c r="R143" s="263"/>
      <c r="S143" s="386"/>
      <c r="T143" s="397"/>
      <c r="U143" s="397"/>
      <c r="W143" s="398"/>
      <c r="X143" s="397"/>
      <c r="Z143" s="398"/>
      <c r="AA143" s="397"/>
      <c r="AC143" s="398"/>
      <c r="AD143" s="397"/>
      <c r="AF143" s="398"/>
      <c r="AG143" s="397"/>
      <c r="AI143" s="398"/>
      <c r="AJ143" s="397"/>
      <c r="AL143" s="398"/>
      <c r="AM143" s="397"/>
    </row>
    <row r="144" spans="1:39" s="264" customFormat="1" x14ac:dyDescent="0.2">
      <c r="A144" s="395"/>
      <c r="B144" s="396"/>
      <c r="C144" s="309"/>
      <c r="D144" s="309"/>
      <c r="E144" s="309"/>
      <c r="F144" s="309"/>
      <c r="G144" s="309"/>
      <c r="H144" s="309"/>
      <c r="I144" s="309"/>
      <c r="J144" s="309"/>
      <c r="K144" s="309"/>
      <c r="L144" s="309"/>
      <c r="M144" s="309"/>
      <c r="N144" s="309"/>
      <c r="O144" s="309"/>
      <c r="P144" s="309"/>
      <c r="Q144" s="294"/>
      <c r="R144" s="382"/>
      <c r="S144" s="386"/>
      <c r="T144" s="399"/>
      <c r="U144" s="399"/>
      <c r="W144" s="400"/>
      <c r="X144" s="399"/>
      <c r="Z144" s="400"/>
      <c r="AA144" s="399"/>
      <c r="AC144" s="400"/>
      <c r="AD144" s="399"/>
      <c r="AF144" s="400"/>
      <c r="AG144" s="399"/>
      <c r="AI144" s="400"/>
      <c r="AJ144" s="399"/>
      <c r="AL144" s="400"/>
      <c r="AM144" s="399"/>
    </row>
    <row r="145" spans="1:39" s="264" customFormat="1" x14ac:dyDescent="0.2">
      <c r="A145" s="308"/>
      <c r="B145" s="259"/>
      <c r="C145" s="407"/>
      <c r="D145" s="407"/>
      <c r="E145" s="407"/>
      <c r="F145" s="407"/>
      <c r="G145" s="407"/>
      <c r="H145" s="407"/>
      <c r="I145" s="407"/>
      <c r="J145" s="407"/>
      <c r="K145" s="407"/>
      <c r="L145" s="407"/>
      <c r="M145" s="407"/>
      <c r="N145" s="407"/>
      <c r="O145" s="407"/>
      <c r="P145" s="403"/>
      <c r="Q145" s="262"/>
      <c r="R145" s="263"/>
      <c r="S145" s="386"/>
      <c r="T145" s="357"/>
      <c r="U145" s="357"/>
      <c r="W145" s="387"/>
      <c r="X145" s="357"/>
      <c r="Z145" s="387"/>
      <c r="AA145" s="357"/>
      <c r="AC145" s="387"/>
      <c r="AD145" s="357"/>
      <c r="AF145" s="387"/>
      <c r="AG145" s="357"/>
      <c r="AI145" s="387"/>
      <c r="AJ145" s="357"/>
      <c r="AL145" s="387"/>
      <c r="AM145" s="357"/>
    </row>
    <row r="146" spans="1:39" s="264" customFormat="1" x14ac:dyDescent="0.2">
      <c r="A146" s="258"/>
      <c r="B146" s="202" t="s">
        <v>129</v>
      </c>
      <c r="C146" s="290"/>
      <c r="D146" s="290">
        <f t="shared" ref="D146:D147" si="31">C146*$Q146</f>
        <v>0</v>
      </c>
      <c r="E146" s="290"/>
      <c r="F146" s="290">
        <f t="shared" ref="F146:F147" si="32">E146*$Q146</f>
        <v>0</v>
      </c>
      <c r="G146" s="290"/>
      <c r="H146" s="290">
        <f t="shared" ref="H146:H147" si="33">G146*$Q146</f>
        <v>0</v>
      </c>
      <c r="I146" s="290"/>
      <c r="J146" s="290">
        <f t="shared" ref="J146:J147" si="34">I146*$Q146</f>
        <v>0</v>
      </c>
      <c r="K146" s="290"/>
      <c r="L146" s="290">
        <f t="shared" ref="L146:L147" si="35">K146*$Q146</f>
        <v>0</v>
      </c>
      <c r="M146" s="290"/>
      <c r="N146" s="290">
        <f t="shared" ref="N146:N147" si="36">M146*$Q146</f>
        <v>0</v>
      </c>
      <c r="O146" s="290"/>
      <c r="P146" s="261"/>
      <c r="Q146" s="262"/>
      <c r="R146" s="263"/>
      <c r="S146" s="386"/>
      <c r="T146" s="357"/>
      <c r="U146" s="357"/>
      <c r="W146" s="387"/>
      <c r="X146" s="357"/>
      <c r="Z146" s="387"/>
      <c r="AA146" s="357"/>
      <c r="AC146" s="387"/>
      <c r="AD146" s="357"/>
      <c r="AF146" s="387"/>
      <c r="AG146" s="357"/>
      <c r="AI146" s="387"/>
      <c r="AJ146" s="357"/>
      <c r="AL146" s="387"/>
      <c r="AM146" s="357"/>
    </row>
    <row r="147" spans="1:39" s="264" customFormat="1" x14ac:dyDescent="0.2">
      <c r="A147" s="258"/>
      <c r="B147" s="356"/>
      <c r="C147" s="290"/>
      <c r="D147" s="290">
        <f t="shared" si="31"/>
        <v>0</v>
      </c>
      <c r="E147" s="290"/>
      <c r="F147" s="290">
        <f t="shared" si="32"/>
        <v>0</v>
      </c>
      <c r="G147" s="290"/>
      <c r="H147" s="290">
        <f t="shared" si="33"/>
        <v>0</v>
      </c>
      <c r="I147" s="290"/>
      <c r="J147" s="290">
        <f t="shared" si="34"/>
        <v>0</v>
      </c>
      <c r="K147" s="290"/>
      <c r="L147" s="290">
        <f t="shared" si="35"/>
        <v>0</v>
      </c>
      <c r="M147" s="290"/>
      <c r="N147" s="290">
        <f t="shared" si="36"/>
        <v>0</v>
      </c>
      <c r="O147" s="290"/>
      <c r="P147" s="261"/>
      <c r="Q147" s="262"/>
      <c r="R147" s="263"/>
      <c r="S147" s="386"/>
      <c r="T147" s="357"/>
      <c r="U147" s="357"/>
      <c r="W147" s="387"/>
      <c r="X147" s="357"/>
      <c r="Z147" s="387"/>
      <c r="AA147" s="357"/>
      <c r="AC147" s="387"/>
      <c r="AD147" s="357"/>
      <c r="AF147" s="387"/>
      <c r="AG147" s="357"/>
      <c r="AI147" s="387"/>
      <c r="AJ147" s="357"/>
      <c r="AL147" s="387"/>
      <c r="AM147" s="357"/>
    </row>
    <row r="148" spans="1:39" s="264" customFormat="1" ht="28.5" x14ac:dyDescent="0.2">
      <c r="A148" s="258"/>
      <c r="B148" s="202" t="s">
        <v>843</v>
      </c>
      <c r="C148" s="290"/>
      <c r="D148" s="290"/>
      <c r="E148" s="290"/>
      <c r="F148" s="290"/>
      <c r="G148" s="290"/>
      <c r="H148" s="290"/>
      <c r="I148" s="290"/>
      <c r="J148" s="290"/>
      <c r="K148" s="290"/>
      <c r="L148" s="290"/>
      <c r="M148" s="290"/>
      <c r="N148" s="290"/>
      <c r="O148" s="290"/>
      <c r="P148" s="261"/>
      <c r="Q148" s="262"/>
      <c r="R148" s="263"/>
      <c r="S148" s="386"/>
      <c r="T148" s="357"/>
      <c r="U148" s="357"/>
      <c r="W148" s="387"/>
      <c r="X148" s="357"/>
      <c r="Z148" s="387"/>
      <c r="AA148" s="357"/>
      <c r="AC148" s="387"/>
      <c r="AD148" s="357"/>
      <c r="AF148" s="387"/>
      <c r="AG148" s="357"/>
      <c r="AI148" s="387"/>
      <c r="AJ148" s="357"/>
      <c r="AL148" s="387"/>
      <c r="AM148" s="357"/>
    </row>
    <row r="149" spans="1:39" s="264" customFormat="1" x14ac:dyDescent="0.2">
      <c r="A149" s="258"/>
      <c r="B149" s="356"/>
      <c r="C149" s="290"/>
      <c r="D149" s="290"/>
      <c r="E149" s="290"/>
      <c r="F149" s="290"/>
      <c r="G149" s="290"/>
      <c r="H149" s="290"/>
      <c r="I149" s="290"/>
      <c r="J149" s="290"/>
      <c r="K149" s="290"/>
      <c r="L149" s="290"/>
      <c r="M149" s="290"/>
      <c r="N149" s="290"/>
      <c r="O149" s="290"/>
      <c r="P149" s="261"/>
      <c r="Q149" s="262"/>
      <c r="R149" s="263"/>
      <c r="S149" s="386"/>
      <c r="T149" s="357"/>
      <c r="U149" s="357"/>
      <c r="W149" s="387"/>
      <c r="X149" s="357"/>
      <c r="Z149" s="387"/>
      <c r="AA149" s="357"/>
      <c r="AC149" s="387"/>
      <c r="AD149" s="357"/>
      <c r="AF149" s="387"/>
      <c r="AG149" s="357"/>
      <c r="AI149" s="387"/>
      <c r="AJ149" s="357"/>
      <c r="AL149" s="387"/>
      <c r="AM149" s="357"/>
    </row>
    <row r="150" spans="1:39" s="264" customFormat="1" x14ac:dyDescent="0.2">
      <c r="A150" s="308" t="s">
        <v>66</v>
      </c>
      <c r="B150" s="206" t="s">
        <v>828</v>
      </c>
      <c r="C150" s="290">
        <f>(W150+X150)*$C$3</f>
        <v>26</v>
      </c>
      <c r="D150" s="290">
        <f>C150*$Q150</f>
        <v>0</v>
      </c>
      <c r="E150" s="290">
        <f>(Z150+AA150)*$E$3</f>
        <v>32</v>
      </c>
      <c r="F150" s="290">
        <f>E150*$Q150</f>
        <v>0</v>
      </c>
      <c r="G150" s="290">
        <f>(AC150+AD150)*$G$3</f>
        <v>190</v>
      </c>
      <c r="H150" s="290">
        <f>G150*$Q150</f>
        <v>0</v>
      </c>
      <c r="I150" s="290">
        <f>(AF150+AG150)*$I$3</f>
        <v>44</v>
      </c>
      <c r="J150" s="290">
        <f>I150*$Q150</f>
        <v>0</v>
      </c>
      <c r="K150" s="290">
        <f>(AI150+AJ150)*$K$3</f>
        <v>150</v>
      </c>
      <c r="L150" s="290">
        <f>K150*$Q150</f>
        <v>0</v>
      </c>
      <c r="M150" s="290">
        <f>(AL150+AM150)*$M$3</f>
        <v>56</v>
      </c>
      <c r="N150" s="290">
        <f>M150*$Q150</f>
        <v>0</v>
      </c>
      <c r="O150" s="290">
        <f>C150+E150+G150+I150+K150+M150</f>
        <v>498</v>
      </c>
      <c r="P150" s="261" t="s">
        <v>269</v>
      </c>
      <c r="Q150" s="262"/>
      <c r="R150" s="263"/>
      <c r="S150" s="386"/>
      <c r="T150" s="357">
        <v>7</v>
      </c>
      <c r="U150" s="357">
        <v>6</v>
      </c>
      <c r="W150" s="268">
        <f>T150*$W$3</f>
        <v>14</v>
      </c>
      <c r="X150" s="266">
        <f>U150*$X$3</f>
        <v>12</v>
      </c>
      <c r="Y150" s="267"/>
      <c r="Z150" s="268">
        <f>W150</f>
        <v>14</v>
      </c>
      <c r="AA150" s="266">
        <f>U150*$AA$3</f>
        <v>18</v>
      </c>
      <c r="AB150" s="267"/>
      <c r="AC150" s="268">
        <f>W150</f>
        <v>14</v>
      </c>
      <c r="AD150" s="266">
        <f>U150*$AD$3</f>
        <v>24</v>
      </c>
      <c r="AE150" s="267"/>
      <c r="AF150" s="268">
        <f>W150</f>
        <v>14</v>
      </c>
      <c r="AG150" s="266">
        <f>U150*$AG$3</f>
        <v>30</v>
      </c>
      <c r="AH150" s="267"/>
      <c r="AI150" s="268">
        <f>W150</f>
        <v>14</v>
      </c>
      <c r="AJ150" s="266">
        <f>U150*$AJ$3</f>
        <v>36</v>
      </c>
      <c r="AK150" s="267"/>
      <c r="AL150" s="268">
        <f>W150</f>
        <v>14</v>
      </c>
      <c r="AM150" s="266">
        <f>U150*$AM$3</f>
        <v>42</v>
      </c>
    </row>
    <row r="151" spans="1:39" s="264" customFormat="1" x14ac:dyDescent="0.2">
      <c r="A151" s="258"/>
      <c r="B151" s="293"/>
      <c r="C151" s="290"/>
      <c r="D151" s="290"/>
      <c r="E151" s="290"/>
      <c r="F151" s="290"/>
      <c r="G151" s="290"/>
      <c r="H151" s="290"/>
      <c r="I151" s="290"/>
      <c r="J151" s="290"/>
      <c r="K151" s="290"/>
      <c r="L151" s="290"/>
      <c r="M151" s="290"/>
      <c r="N151" s="290"/>
      <c r="O151" s="290"/>
      <c r="P151" s="153"/>
      <c r="Q151" s="262"/>
      <c r="R151" s="263"/>
      <c r="S151" s="386"/>
      <c r="T151" s="357"/>
      <c r="U151" s="357"/>
      <c r="W151" s="387"/>
      <c r="X151" s="357"/>
      <c r="Z151" s="387"/>
      <c r="AA151" s="357"/>
      <c r="AC151" s="387"/>
      <c r="AD151" s="357"/>
      <c r="AF151" s="387"/>
      <c r="AG151" s="357"/>
      <c r="AI151" s="387"/>
      <c r="AJ151" s="357"/>
      <c r="AL151" s="387"/>
      <c r="AM151" s="357"/>
    </row>
    <row r="152" spans="1:39" s="264" customFormat="1" x14ac:dyDescent="0.2">
      <c r="A152" s="258" t="s">
        <v>67</v>
      </c>
      <c r="B152" s="408" t="s">
        <v>829</v>
      </c>
      <c r="C152" s="290">
        <f>(W152+X152)*$C$3</f>
        <v>38</v>
      </c>
      <c r="D152" s="290">
        <f>C152*$Q152</f>
        <v>0</v>
      </c>
      <c r="E152" s="290">
        <f>(Z152+AA152)*$E$3</f>
        <v>47</v>
      </c>
      <c r="F152" s="290">
        <f>E152*$Q152</f>
        <v>0</v>
      </c>
      <c r="G152" s="290">
        <f>(AC152+AD152)*$G$3</f>
        <v>280</v>
      </c>
      <c r="H152" s="290">
        <f>G152*$Q152</f>
        <v>0</v>
      </c>
      <c r="I152" s="290">
        <f>(AF152+AG152)*$I$3</f>
        <v>65</v>
      </c>
      <c r="J152" s="290">
        <f>I152*$Q152</f>
        <v>0</v>
      </c>
      <c r="K152" s="290">
        <f>(AI152+AJ152)*$K$3</f>
        <v>222</v>
      </c>
      <c r="L152" s="290">
        <f>K152*$Q152</f>
        <v>0</v>
      </c>
      <c r="M152" s="290">
        <f>(AL152+AM152)*$M$3</f>
        <v>83</v>
      </c>
      <c r="N152" s="290">
        <f>M152*$Q152</f>
        <v>0</v>
      </c>
      <c r="O152" s="290">
        <f>C152+E152+G152+I152+K152+M152</f>
        <v>735</v>
      </c>
      <c r="P152" s="261" t="s">
        <v>269</v>
      </c>
      <c r="Q152" s="262"/>
      <c r="R152" s="263"/>
      <c r="S152" s="386"/>
      <c r="T152" s="339">
        <v>10</v>
      </c>
      <c r="U152" s="266">
        <v>9</v>
      </c>
      <c r="W152" s="268">
        <f>T152*$W$3</f>
        <v>20</v>
      </c>
      <c r="X152" s="266">
        <f>U152*$X$3</f>
        <v>18</v>
      </c>
      <c r="Y152" s="267"/>
      <c r="Z152" s="268">
        <f>W152</f>
        <v>20</v>
      </c>
      <c r="AA152" s="266">
        <f>U152*$AA$3</f>
        <v>27</v>
      </c>
      <c r="AB152" s="267"/>
      <c r="AC152" s="268">
        <f>W152</f>
        <v>20</v>
      </c>
      <c r="AD152" s="266">
        <f>U152*$AD$3</f>
        <v>36</v>
      </c>
      <c r="AE152" s="267"/>
      <c r="AF152" s="268">
        <f>W152</f>
        <v>20</v>
      </c>
      <c r="AG152" s="266">
        <f>U152*$AG$3</f>
        <v>45</v>
      </c>
      <c r="AH152" s="267"/>
      <c r="AI152" s="268">
        <f>W152</f>
        <v>20</v>
      </c>
      <c r="AJ152" s="266">
        <f>U152*$AJ$3</f>
        <v>54</v>
      </c>
      <c r="AK152" s="267"/>
      <c r="AL152" s="268">
        <f>W152</f>
        <v>20</v>
      </c>
      <c r="AM152" s="266">
        <f>U152*$AM$3</f>
        <v>63</v>
      </c>
    </row>
    <row r="153" spans="1:39" s="264" customFormat="1" x14ac:dyDescent="0.2">
      <c r="A153" s="258"/>
      <c r="B153" s="408"/>
      <c r="C153" s="290"/>
      <c r="D153" s="290"/>
      <c r="E153" s="290"/>
      <c r="F153" s="290"/>
      <c r="G153" s="290"/>
      <c r="H153" s="290"/>
      <c r="I153" s="290"/>
      <c r="J153" s="290"/>
      <c r="K153" s="290"/>
      <c r="L153" s="290"/>
      <c r="M153" s="290"/>
      <c r="N153" s="290"/>
      <c r="O153" s="290"/>
      <c r="P153" s="153"/>
      <c r="Q153" s="262"/>
      <c r="R153" s="263"/>
      <c r="S153" s="386"/>
      <c r="T153" s="339"/>
      <c r="U153" s="339"/>
      <c r="W153" s="387"/>
      <c r="X153" s="339"/>
      <c r="Z153" s="387"/>
      <c r="AA153" s="339"/>
      <c r="AC153" s="387"/>
      <c r="AD153" s="339"/>
      <c r="AF153" s="387"/>
      <c r="AG153" s="339"/>
      <c r="AI153" s="387"/>
      <c r="AJ153" s="339"/>
      <c r="AL153" s="387"/>
      <c r="AM153" s="339"/>
    </row>
    <row r="154" spans="1:39" s="264" customFormat="1" x14ac:dyDescent="0.2">
      <c r="A154" s="258" t="s">
        <v>68</v>
      </c>
      <c r="B154" s="259" t="s">
        <v>830</v>
      </c>
      <c r="C154" s="290">
        <f>(W154+X154)*$C$3</f>
        <v>8</v>
      </c>
      <c r="D154" s="290">
        <f>C154*$Q154</f>
        <v>0</v>
      </c>
      <c r="E154" s="290">
        <f>(Z154+AA154)*$E$3</f>
        <v>10</v>
      </c>
      <c r="F154" s="290">
        <f>E154*$Q154</f>
        <v>0</v>
      </c>
      <c r="G154" s="290">
        <f>(AC154+AD154)*$G$3</f>
        <v>60</v>
      </c>
      <c r="H154" s="290">
        <f>G154*$Q154</f>
        <v>0</v>
      </c>
      <c r="I154" s="290">
        <f>(AF154+AG154)*$I$3</f>
        <v>14</v>
      </c>
      <c r="J154" s="290">
        <f>I154*$Q154</f>
        <v>0</v>
      </c>
      <c r="K154" s="290">
        <f>(AI154+AJ154)*$K$3</f>
        <v>48</v>
      </c>
      <c r="L154" s="290">
        <f>K154*$Q154</f>
        <v>0</v>
      </c>
      <c r="M154" s="290">
        <f>(AL154+AM154)*$M$3</f>
        <v>18</v>
      </c>
      <c r="N154" s="290">
        <f>M154*$Q154</f>
        <v>0</v>
      </c>
      <c r="O154" s="290">
        <f>C154+E154+G154+I154+K154+M154</f>
        <v>158</v>
      </c>
      <c r="P154" s="261" t="s">
        <v>269</v>
      </c>
      <c r="Q154" s="262"/>
      <c r="R154" s="263"/>
      <c r="S154" s="386"/>
      <c r="T154" s="357">
        <v>2</v>
      </c>
      <c r="U154" s="266">
        <v>2</v>
      </c>
      <c r="W154" s="268">
        <f>T154*$W$3</f>
        <v>4</v>
      </c>
      <c r="X154" s="266">
        <f>U154*$X$3</f>
        <v>4</v>
      </c>
      <c r="Y154" s="267"/>
      <c r="Z154" s="268">
        <f>W154</f>
        <v>4</v>
      </c>
      <c r="AA154" s="266">
        <f>U154*$AA$3</f>
        <v>6</v>
      </c>
      <c r="AB154" s="267"/>
      <c r="AC154" s="268">
        <f>W154</f>
        <v>4</v>
      </c>
      <c r="AD154" s="266">
        <f>U154*$AD$3</f>
        <v>8</v>
      </c>
      <c r="AE154" s="267"/>
      <c r="AF154" s="268">
        <f>W154</f>
        <v>4</v>
      </c>
      <c r="AG154" s="266">
        <f>U154*$AG$3</f>
        <v>10</v>
      </c>
      <c r="AH154" s="267"/>
      <c r="AI154" s="268">
        <f>W154</f>
        <v>4</v>
      </c>
      <c r="AJ154" s="266">
        <f>U154*$AJ$3</f>
        <v>12</v>
      </c>
      <c r="AK154" s="267"/>
      <c r="AL154" s="268">
        <f>W154</f>
        <v>4</v>
      </c>
      <c r="AM154" s="266">
        <f>U154*$AM$3</f>
        <v>14</v>
      </c>
    </row>
    <row r="155" spans="1:39" s="264" customFormat="1" x14ac:dyDescent="0.2">
      <c r="A155" s="258"/>
      <c r="B155" s="259"/>
      <c r="C155" s="290"/>
      <c r="D155" s="290"/>
      <c r="E155" s="290"/>
      <c r="F155" s="290"/>
      <c r="G155" s="290"/>
      <c r="H155" s="290"/>
      <c r="I155" s="290"/>
      <c r="J155" s="290"/>
      <c r="K155" s="290"/>
      <c r="L155" s="290"/>
      <c r="M155" s="290"/>
      <c r="N155" s="290"/>
      <c r="O155" s="290"/>
      <c r="P155" s="153"/>
      <c r="Q155" s="262"/>
      <c r="R155" s="263"/>
      <c r="S155" s="386"/>
      <c r="T155" s="357"/>
      <c r="U155" s="357"/>
      <c r="W155" s="387"/>
      <c r="X155" s="409"/>
      <c r="Z155" s="387"/>
      <c r="AA155" s="409"/>
      <c r="AC155" s="387"/>
      <c r="AD155" s="409"/>
      <c r="AF155" s="387"/>
      <c r="AG155" s="409"/>
      <c r="AI155" s="387"/>
      <c r="AJ155" s="409"/>
      <c r="AL155" s="387"/>
      <c r="AM155" s="409"/>
    </row>
    <row r="156" spans="1:39" s="264" customFormat="1" x14ac:dyDescent="0.2">
      <c r="A156" s="258" t="s">
        <v>69</v>
      </c>
      <c r="B156" s="259" t="s">
        <v>831</v>
      </c>
      <c r="C156" s="290">
        <f>(W156+X156)*$C$3</f>
        <v>36</v>
      </c>
      <c r="D156" s="290">
        <f>C156*$Q156</f>
        <v>0</v>
      </c>
      <c r="E156" s="290">
        <f>(Z156+AA156)*$E$3</f>
        <v>44</v>
      </c>
      <c r="F156" s="290">
        <f>E156*$Q156</f>
        <v>0</v>
      </c>
      <c r="G156" s="290">
        <f>(AC156+AD156)*$G$3</f>
        <v>260</v>
      </c>
      <c r="H156" s="290">
        <f>G156*$Q156</f>
        <v>0</v>
      </c>
      <c r="I156" s="290">
        <f>(AF156+AG156)*$I$3</f>
        <v>60</v>
      </c>
      <c r="J156" s="290">
        <f>I156*$Q156</f>
        <v>0</v>
      </c>
      <c r="K156" s="290">
        <f>(AI156+AJ156)*$K$3</f>
        <v>204</v>
      </c>
      <c r="L156" s="290">
        <f>K156*$Q156</f>
        <v>0</v>
      </c>
      <c r="M156" s="290">
        <f>(AL156+AM156)*$M$3</f>
        <v>76</v>
      </c>
      <c r="N156" s="290">
        <f>M156*$Q156</f>
        <v>0</v>
      </c>
      <c r="O156" s="290">
        <f>C156+E156+G156+I156+K156+M156</f>
        <v>680</v>
      </c>
      <c r="P156" s="261" t="s">
        <v>269</v>
      </c>
      <c r="Q156" s="262"/>
      <c r="R156" s="263"/>
      <c r="S156" s="386"/>
      <c r="T156" s="339">
        <v>10</v>
      </c>
      <c r="U156" s="266">
        <v>8</v>
      </c>
      <c r="W156" s="268">
        <f>T156*$W$3</f>
        <v>20</v>
      </c>
      <c r="X156" s="266">
        <f>U156*$X$3</f>
        <v>16</v>
      </c>
      <c r="Y156" s="267"/>
      <c r="Z156" s="268">
        <f>W156</f>
        <v>20</v>
      </c>
      <c r="AA156" s="266">
        <f>U156*$AA$3</f>
        <v>24</v>
      </c>
      <c r="AB156" s="267"/>
      <c r="AC156" s="268">
        <f>W156</f>
        <v>20</v>
      </c>
      <c r="AD156" s="266">
        <f>U156*$AD$3</f>
        <v>32</v>
      </c>
      <c r="AE156" s="267"/>
      <c r="AF156" s="268">
        <f>W156</f>
        <v>20</v>
      </c>
      <c r="AG156" s="266">
        <f>U156*$AG$3</f>
        <v>40</v>
      </c>
      <c r="AH156" s="267"/>
      <c r="AI156" s="268">
        <f>W156</f>
        <v>20</v>
      </c>
      <c r="AJ156" s="266">
        <f>U156*$AJ$3</f>
        <v>48</v>
      </c>
      <c r="AK156" s="267"/>
      <c r="AL156" s="268">
        <f>W156</f>
        <v>20</v>
      </c>
      <c r="AM156" s="266">
        <f>U156*$AM$3</f>
        <v>56</v>
      </c>
    </row>
    <row r="157" spans="1:39" s="264" customFormat="1" x14ac:dyDescent="0.2">
      <c r="A157" s="258"/>
      <c r="B157" s="259"/>
      <c r="C157" s="290"/>
      <c r="D157" s="290"/>
      <c r="E157" s="290"/>
      <c r="F157" s="290"/>
      <c r="G157" s="290"/>
      <c r="H157" s="290"/>
      <c r="I157" s="290"/>
      <c r="J157" s="290"/>
      <c r="K157" s="290"/>
      <c r="L157" s="290"/>
      <c r="M157" s="290"/>
      <c r="N157" s="290"/>
      <c r="O157" s="290"/>
      <c r="P157" s="153"/>
      <c r="Q157" s="262"/>
      <c r="R157" s="263"/>
      <c r="S157" s="386"/>
      <c r="T157" s="339"/>
      <c r="U157" s="339"/>
      <c r="W157" s="387"/>
      <c r="X157" s="339"/>
      <c r="Z157" s="387"/>
      <c r="AA157" s="339"/>
      <c r="AC157" s="387"/>
      <c r="AD157" s="339"/>
      <c r="AF157" s="387"/>
      <c r="AG157" s="339"/>
      <c r="AI157" s="387"/>
      <c r="AJ157" s="339"/>
      <c r="AL157" s="387"/>
      <c r="AM157" s="339"/>
    </row>
    <row r="158" spans="1:39" s="264" customFormat="1" x14ac:dyDescent="0.2">
      <c r="A158" s="258" t="s">
        <v>70</v>
      </c>
      <c r="B158" s="259" t="s">
        <v>832</v>
      </c>
      <c r="C158" s="290">
        <f>(W158+X158)*$C$3</f>
        <v>12</v>
      </c>
      <c r="D158" s="290">
        <f>C158*$Q158</f>
        <v>0</v>
      </c>
      <c r="E158" s="290">
        <f>(Z158+AA158)*$E$3</f>
        <v>15</v>
      </c>
      <c r="F158" s="290">
        <f>E158*$Q158</f>
        <v>0</v>
      </c>
      <c r="G158" s="290">
        <f>(AC158+AD158)*$G$3</f>
        <v>90</v>
      </c>
      <c r="H158" s="290">
        <f>G158*$Q158</f>
        <v>0</v>
      </c>
      <c r="I158" s="290">
        <f>(AF158+AG158)*$I$3</f>
        <v>21</v>
      </c>
      <c r="J158" s="290">
        <f>I158*$Q158</f>
        <v>0</v>
      </c>
      <c r="K158" s="290">
        <f>(AI158+AJ158)*$K$3</f>
        <v>72</v>
      </c>
      <c r="L158" s="290">
        <f>K158*$Q158</f>
        <v>0</v>
      </c>
      <c r="M158" s="290">
        <f>(AL158+AM158)*$M$3</f>
        <v>27</v>
      </c>
      <c r="N158" s="290">
        <f>M158*$Q158</f>
        <v>0</v>
      </c>
      <c r="O158" s="290">
        <f>C158+E158+G158+I158+K158+M158</f>
        <v>237</v>
      </c>
      <c r="P158" s="261" t="s">
        <v>269</v>
      </c>
      <c r="Q158" s="262"/>
      <c r="R158" s="263"/>
      <c r="S158" s="386"/>
      <c r="T158" s="357">
        <v>3</v>
      </c>
      <c r="U158" s="266">
        <v>3</v>
      </c>
      <c r="W158" s="268">
        <f>T158*$W$3</f>
        <v>6</v>
      </c>
      <c r="X158" s="266">
        <f>U158*$X$3</f>
        <v>6</v>
      </c>
      <c r="Y158" s="267"/>
      <c r="Z158" s="268">
        <f>W158</f>
        <v>6</v>
      </c>
      <c r="AA158" s="266">
        <f>U158*$AA$3</f>
        <v>9</v>
      </c>
      <c r="AB158" s="267"/>
      <c r="AC158" s="268">
        <f>W158</f>
        <v>6</v>
      </c>
      <c r="AD158" s="266">
        <f>U158*$AD$3</f>
        <v>12</v>
      </c>
      <c r="AE158" s="267"/>
      <c r="AF158" s="268">
        <f>W158</f>
        <v>6</v>
      </c>
      <c r="AG158" s="266">
        <f>U158*$AG$3</f>
        <v>15</v>
      </c>
      <c r="AH158" s="267"/>
      <c r="AI158" s="268">
        <f>W158</f>
        <v>6</v>
      </c>
      <c r="AJ158" s="266">
        <f>U158*$AJ$3</f>
        <v>18</v>
      </c>
      <c r="AK158" s="267"/>
      <c r="AL158" s="268">
        <f>W158</f>
        <v>6</v>
      </c>
      <c r="AM158" s="266">
        <f>U158*$AM$3</f>
        <v>21</v>
      </c>
    </row>
    <row r="159" spans="1:39" s="264" customFormat="1" x14ac:dyDescent="0.2">
      <c r="A159" s="258"/>
      <c r="B159" s="259"/>
      <c r="C159" s="290"/>
      <c r="D159" s="290"/>
      <c r="E159" s="290"/>
      <c r="F159" s="290"/>
      <c r="G159" s="290"/>
      <c r="H159" s="290"/>
      <c r="I159" s="290"/>
      <c r="J159" s="290"/>
      <c r="K159" s="290"/>
      <c r="L159" s="290"/>
      <c r="M159" s="290"/>
      <c r="N159" s="290"/>
      <c r="O159" s="290"/>
      <c r="P159" s="153"/>
      <c r="Q159" s="262"/>
      <c r="R159" s="263"/>
      <c r="S159" s="386"/>
      <c r="T159" s="357"/>
      <c r="U159" s="357"/>
      <c r="W159" s="387"/>
      <c r="X159" s="409"/>
      <c r="Z159" s="387"/>
      <c r="AA159" s="409"/>
      <c r="AC159" s="387"/>
      <c r="AD159" s="409"/>
      <c r="AF159" s="387"/>
      <c r="AG159" s="409"/>
      <c r="AI159" s="387"/>
      <c r="AJ159" s="409"/>
      <c r="AL159" s="387"/>
      <c r="AM159" s="409"/>
    </row>
    <row r="160" spans="1:39" s="264" customFormat="1" x14ac:dyDescent="0.2">
      <c r="A160" s="258" t="s">
        <v>71</v>
      </c>
      <c r="B160" s="259" t="s">
        <v>833</v>
      </c>
      <c r="C160" s="290">
        <f>(W160+X160)*$C$3</f>
        <v>34</v>
      </c>
      <c r="D160" s="290">
        <f>C160*$Q160</f>
        <v>0</v>
      </c>
      <c r="E160" s="290">
        <f>(Z160+AA160)*$E$3</f>
        <v>42</v>
      </c>
      <c r="F160" s="290">
        <f>E160*$Q160</f>
        <v>0</v>
      </c>
      <c r="G160" s="290">
        <f>(AC160+AD160)*$G$3</f>
        <v>250</v>
      </c>
      <c r="H160" s="290">
        <f>G160*$Q160</f>
        <v>0</v>
      </c>
      <c r="I160" s="290">
        <f>(AF160+AG160)*$I$3</f>
        <v>58</v>
      </c>
      <c r="J160" s="290">
        <f>I160*$Q160</f>
        <v>0</v>
      </c>
      <c r="K160" s="290">
        <f>(AI160+AJ160)*$K$3</f>
        <v>198</v>
      </c>
      <c r="L160" s="290">
        <f>K160*$Q160</f>
        <v>0</v>
      </c>
      <c r="M160" s="290">
        <f>(AL160+AM160)*$M$3</f>
        <v>74</v>
      </c>
      <c r="N160" s="290">
        <f>M160*$Q160</f>
        <v>0</v>
      </c>
      <c r="O160" s="290">
        <f>C160+E160+G160+I160+K160+M160</f>
        <v>656</v>
      </c>
      <c r="P160" s="261" t="s">
        <v>269</v>
      </c>
      <c r="Q160" s="262"/>
      <c r="R160" s="263"/>
      <c r="S160" s="386"/>
      <c r="T160" s="339">
        <v>9</v>
      </c>
      <c r="U160" s="266">
        <v>8</v>
      </c>
      <c r="W160" s="268">
        <f>T160*$W$3</f>
        <v>18</v>
      </c>
      <c r="X160" s="266">
        <f>U160*$X$3</f>
        <v>16</v>
      </c>
      <c r="Y160" s="267"/>
      <c r="Z160" s="268">
        <f>W160</f>
        <v>18</v>
      </c>
      <c r="AA160" s="266">
        <f>U160*$AA$3</f>
        <v>24</v>
      </c>
      <c r="AB160" s="267"/>
      <c r="AC160" s="268">
        <f>W160</f>
        <v>18</v>
      </c>
      <c r="AD160" s="266">
        <f>U160*$AD$3</f>
        <v>32</v>
      </c>
      <c r="AE160" s="267"/>
      <c r="AF160" s="268">
        <f>W160</f>
        <v>18</v>
      </c>
      <c r="AG160" s="266">
        <f>U160*$AG$3</f>
        <v>40</v>
      </c>
      <c r="AH160" s="267"/>
      <c r="AI160" s="268">
        <f>W160</f>
        <v>18</v>
      </c>
      <c r="AJ160" s="266">
        <f>U160*$AJ$3</f>
        <v>48</v>
      </c>
      <c r="AK160" s="267"/>
      <c r="AL160" s="268">
        <f>W160</f>
        <v>18</v>
      </c>
      <c r="AM160" s="266">
        <f>U160*$AM$3</f>
        <v>56</v>
      </c>
    </row>
    <row r="161" spans="1:39" s="264" customFormat="1" x14ac:dyDescent="0.2">
      <c r="A161" s="258"/>
      <c r="B161" s="259"/>
      <c r="C161" s="290"/>
      <c r="D161" s="290"/>
      <c r="E161" s="290"/>
      <c r="F161" s="290"/>
      <c r="G161" s="290"/>
      <c r="H161" s="290"/>
      <c r="I161" s="290"/>
      <c r="J161" s="290"/>
      <c r="K161" s="290"/>
      <c r="L161" s="290"/>
      <c r="M161" s="290"/>
      <c r="N161" s="290"/>
      <c r="O161" s="290"/>
      <c r="P161" s="153"/>
      <c r="Q161" s="262"/>
      <c r="R161" s="263"/>
      <c r="S161" s="386"/>
      <c r="T161" s="339"/>
      <c r="U161" s="339"/>
      <c r="W161" s="387"/>
      <c r="X161" s="339"/>
      <c r="Z161" s="387"/>
      <c r="AA161" s="339"/>
      <c r="AC161" s="387"/>
      <c r="AD161" s="339"/>
      <c r="AF161" s="387"/>
      <c r="AG161" s="339"/>
      <c r="AI161" s="387"/>
      <c r="AJ161" s="339"/>
      <c r="AL161" s="387"/>
      <c r="AM161" s="339"/>
    </row>
    <row r="162" spans="1:39" s="264" customFormat="1" ht="14.25" customHeight="1" x14ac:dyDescent="0.2">
      <c r="A162" s="258" t="s">
        <v>72</v>
      </c>
      <c r="B162" s="513" t="s">
        <v>834</v>
      </c>
      <c r="C162" s="290">
        <f>(W162+X162)*$C$3</f>
        <v>4</v>
      </c>
      <c r="D162" s="290">
        <f>C162*$Q162</f>
        <v>0</v>
      </c>
      <c r="E162" s="290">
        <f>(Z162+AA162)*$E$3</f>
        <v>5</v>
      </c>
      <c r="F162" s="290">
        <f>E162*$Q162</f>
        <v>0</v>
      </c>
      <c r="G162" s="290">
        <f>(AC162+AD162)*$G$3</f>
        <v>30</v>
      </c>
      <c r="H162" s="290">
        <f>G162*$Q162</f>
        <v>0</v>
      </c>
      <c r="I162" s="290">
        <f>(AF162+AG162)*$I$3</f>
        <v>7</v>
      </c>
      <c r="J162" s="290">
        <f>I162*$Q162</f>
        <v>0</v>
      </c>
      <c r="K162" s="290">
        <f>(AI162+AJ162)*$K$3</f>
        <v>24</v>
      </c>
      <c r="L162" s="290">
        <f>K162*$Q162</f>
        <v>0</v>
      </c>
      <c r="M162" s="290">
        <f>(AL162+AM162)*$M$3</f>
        <v>9</v>
      </c>
      <c r="N162" s="290">
        <f>M162*$Q162</f>
        <v>0</v>
      </c>
      <c r="O162" s="290">
        <f>C162+E162+G162+I162+K162+M162</f>
        <v>79</v>
      </c>
      <c r="P162" s="261" t="s">
        <v>269</v>
      </c>
      <c r="Q162" s="262"/>
      <c r="R162" s="263"/>
      <c r="S162" s="386"/>
      <c r="T162" s="357">
        <v>1</v>
      </c>
      <c r="U162" s="266">
        <v>1</v>
      </c>
      <c r="W162" s="268">
        <f>T162*$W$3</f>
        <v>2</v>
      </c>
      <c r="X162" s="266">
        <f>U162*$X$3</f>
        <v>2</v>
      </c>
      <c r="Y162" s="267"/>
      <c r="Z162" s="268">
        <f>W162</f>
        <v>2</v>
      </c>
      <c r="AA162" s="266">
        <f>U162*$AA$3</f>
        <v>3</v>
      </c>
      <c r="AB162" s="267"/>
      <c r="AC162" s="268">
        <f>W162</f>
        <v>2</v>
      </c>
      <c r="AD162" s="266">
        <f>U162*$AD$3</f>
        <v>4</v>
      </c>
      <c r="AE162" s="267"/>
      <c r="AF162" s="268">
        <f>W162</f>
        <v>2</v>
      </c>
      <c r="AG162" s="266">
        <f>U162*$AG$3</f>
        <v>5</v>
      </c>
      <c r="AH162" s="267"/>
      <c r="AI162" s="268">
        <f>W162</f>
        <v>2</v>
      </c>
      <c r="AJ162" s="266">
        <f>U162*$AJ$3</f>
        <v>6</v>
      </c>
      <c r="AK162" s="267"/>
      <c r="AL162" s="268">
        <f>W162</f>
        <v>2</v>
      </c>
      <c r="AM162" s="266">
        <f>U162*$AM$3</f>
        <v>7</v>
      </c>
    </row>
    <row r="163" spans="1:39" s="264" customFormat="1" x14ac:dyDescent="0.2">
      <c r="A163" s="308"/>
      <c r="B163" s="356"/>
      <c r="C163" s="290"/>
      <c r="D163" s="290"/>
      <c r="E163" s="290"/>
      <c r="F163" s="290"/>
      <c r="G163" s="290"/>
      <c r="H163" s="290"/>
      <c r="I163" s="290"/>
      <c r="J163" s="290"/>
      <c r="K163" s="290"/>
      <c r="L163" s="290"/>
      <c r="M163" s="290"/>
      <c r="N163" s="290"/>
      <c r="O163" s="290"/>
      <c r="P163" s="261"/>
      <c r="Q163" s="262"/>
      <c r="R163" s="263"/>
      <c r="S163" s="386"/>
      <c r="T163" s="357"/>
      <c r="U163" s="357"/>
      <c r="W163" s="387"/>
      <c r="X163" s="357"/>
      <c r="Z163" s="387"/>
      <c r="AA163" s="357"/>
      <c r="AC163" s="387"/>
      <c r="AD163" s="357"/>
      <c r="AF163" s="387"/>
      <c r="AG163" s="357"/>
      <c r="AI163" s="387"/>
      <c r="AJ163" s="357"/>
      <c r="AL163" s="387"/>
      <c r="AM163" s="357"/>
    </row>
    <row r="164" spans="1:39" s="264" customFormat="1" x14ac:dyDescent="0.2">
      <c r="A164" s="308" t="s">
        <v>73</v>
      </c>
      <c r="B164" s="259" t="s">
        <v>835</v>
      </c>
      <c r="C164" s="290">
        <f>(W164+X164)*$C$3</f>
        <v>12</v>
      </c>
      <c r="D164" s="290">
        <f>C164*$Q164</f>
        <v>0</v>
      </c>
      <c r="E164" s="290">
        <f>(Z164+AA164)*$E$3</f>
        <v>15</v>
      </c>
      <c r="F164" s="290">
        <f>E164*$Q164</f>
        <v>0</v>
      </c>
      <c r="G164" s="290">
        <f>(AC164+AD164)*$G$3</f>
        <v>90</v>
      </c>
      <c r="H164" s="290">
        <f>G164*$Q164</f>
        <v>0</v>
      </c>
      <c r="I164" s="290">
        <f>(AF164+AG164)*$I$3</f>
        <v>21</v>
      </c>
      <c r="J164" s="290">
        <f>I164*$Q164</f>
        <v>0</v>
      </c>
      <c r="K164" s="290">
        <f>(AI164+AJ164)*$K$3</f>
        <v>72</v>
      </c>
      <c r="L164" s="290">
        <f>K164*$Q164</f>
        <v>0</v>
      </c>
      <c r="M164" s="290">
        <f>(AL164+AM164)*$M$3</f>
        <v>27</v>
      </c>
      <c r="N164" s="290">
        <f>M164*$Q164</f>
        <v>0</v>
      </c>
      <c r="O164" s="290">
        <f>C164+E164+G164+I164+K164+M164</f>
        <v>237</v>
      </c>
      <c r="P164" s="261" t="s">
        <v>269</v>
      </c>
      <c r="Q164" s="262"/>
      <c r="R164" s="263"/>
      <c r="S164" s="386"/>
      <c r="T164" s="339">
        <v>3</v>
      </c>
      <c r="U164" s="266">
        <v>3</v>
      </c>
      <c r="W164" s="268">
        <f>T164*$W$3</f>
        <v>6</v>
      </c>
      <c r="X164" s="266">
        <f>U164*$X$3</f>
        <v>6</v>
      </c>
      <c r="Y164" s="267"/>
      <c r="Z164" s="268">
        <f>W164</f>
        <v>6</v>
      </c>
      <c r="AA164" s="266">
        <f>U164*$AA$3</f>
        <v>9</v>
      </c>
      <c r="AB164" s="267"/>
      <c r="AC164" s="268">
        <f>W164</f>
        <v>6</v>
      </c>
      <c r="AD164" s="266">
        <f>U164*$AD$3</f>
        <v>12</v>
      </c>
      <c r="AE164" s="267"/>
      <c r="AF164" s="268">
        <f>W164</f>
        <v>6</v>
      </c>
      <c r="AG164" s="266">
        <f>U164*$AG$3</f>
        <v>15</v>
      </c>
      <c r="AH164" s="267"/>
      <c r="AI164" s="268">
        <f>W164</f>
        <v>6</v>
      </c>
      <c r="AJ164" s="266">
        <f>U164*$AJ$3</f>
        <v>18</v>
      </c>
      <c r="AK164" s="267"/>
      <c r="AL164" s="268">
        <f>W164</f>
        <v>6</v>
      </c>
      <c r="AM164" s="266">
        <f>U164*$AM$3</f>
        <v>21</v>
      </c>
    </row>
    <row r="165" spans="1:39" s="264" customFormat="1" x14ac:dyDescent="0.2">
      <c r="A165" s="308"/>
      <c r="B165" s="259"/>
      <c r="C165" s="290"/>
      <c r="D165" s="290"/>
      <c r="E165" s="290"/>
      <c r="F165" s="290"/>
      <c r="G165" s="290"/>
      <c r="H165" s="290"/>
      <c r="I165" s="290"/>
      <c r="J165" s="290"/>
      <c r="K165" s="290"/>
      <c r="L165" s="290"/>
      <c r="M165" s="290"/>
      <c r="N165" s="290"/>
      <c r="O165" s="290"/>
      <c r="P165" s="403"/>
      <c r="Q165" s="262"/>
      <c r="R165" s="263"/>
      <c r="S165" s="386"/>
      <c r="T165" s="339"/>
      <c r="U165" s="339"/>
      <c r="W165" s="387"/>
      <c r="X165" s="339"/>
      <c r="Z165" s="387"/>
      <c r="AA165" s="339"/>
      <c r="AC165" s="387"/>
      <c r="AD165" s="339"/>
      <c r="AF165" s="387"/>
      <c r="AG165" s="339"/>
      <c r="AI165" s="387"/>
      <c r="AJ165" s="339"/>
      <c r="AL165" s="387"/>
      <c r="AM165" s="339"/>
    </row>
    <row r="166" spans="1:39" s="264" customFormat="1" x14ac:dyDescent="0.2">
      <c r="A166" s="258" t="s">
        <v>74</v>
      </c>
      <c r="B166" s="259" t="s">
        <v>836</v>
      </c>
      <c r="C166" s="290">
        <f>(W166+X166)*$C$3</f>
        <v>12</v>
      </c>
      <c r="D166" s="290">
        <f>C166*$Q166</f>
        <v>0</v>
      </c>
      <c r="E166" s="290">
        <f>(Z166+AA166)*$E$3</f>
        <v>15</v>
      </c>
      <c r="F166" s="290">
        <f>E166*$Q166</f>
        <v>0</v>
      </c>
      <c r="G166" s="290">
        <f>(AC166+AD166)*$G$3</f>
        <v>90</v>
      </c>
      <c r="H166" s="290">
        <f>G166*$Q166</f>
        <v>0</v>
      </c>
      <c r="I166" s="290">
        <f>(AF166+AG166)*$I$3</f>
        <v>21</v>
      </c>
      <c r="J166" s="290">
        <f>I166*$Q166</f>
        <v>0</v>
      </c>
      <c r="K166" s="290">
        <f>(AI166+AJ166)*$K$3</f>
        <v>72</v>
      </c>
      <c r="L166" s="290">
        <f>K166*$Q166</f>
        <v>0</v>
      </c>
      <c r="M166" s="290">
        <f>(AL166+AM166)*$M$3</f>
        <v>27</v>
      </c>
      <c r="N166" s="290">
        <f>M166*$Q166</f>
        <v>0</v>
      </c>
      <c r="O166" s="290">
        <f>C166+E166+G166+I166+K166+M166</f>
        <v>237</v>
      </c>
      <c r="P166" s="261" t="s">
        <v>269</v>
      </c>
      <c r="Q166" s="262"/>
      <c r="R166" s="263"/>
      <c r="S166" s="386"/>
      <c r="T166" s="357">
        <v>3</v>
      </c>
      <c r="U166" s="266">
        <v>3</v>
      </c>
      <c r="W166" s="268">
        <f>T166*$W$3</f>
        <v>6</v>
      </c>
      <c r="X166" s="266">
        <f>U166*$X$3</f>
        <v>6</v>
      </c>
      <c r="Y166" s="267"/>
      <c r="Z166" s="268">
        <f>W166</f>
        <v>6</v>
      </c>
      <c r="AA166" s="266">
        <f>U166*$AA$3</f>
        <v>9</v>
      </c>
      <c r="AB166" s="267"/>
      <c r="AC166" s="268">
        <f>W166</f>
        <v>6</v>
      </c>
      <c r="AD166" s="266">
        <f>U166*$AD$3</f>
        <v>12</v>
      </c>
      <c r="AE166" s="267"/>
      <c r="AF166" s="268">
        <f>W166</f>
        <v>6</v>
      </c>
      <c r="AG166" s="266">
        <f>U166*$AG$3</f>
        <v>15</v>
      </c>
      <c r="AH166" s="267"/>
      <c r="AI166" s="268">
        <f>W166</f>
        <v>6</v>
      </c>
      <c r="AJ166" s="266">
        <f>U166*$AJ$3</f>
        <v>18</v>
      </c>
      <c r="AK166" s="267"/>
      <c r="AL166" s="268">
        <f>W166</f>
        <v>6</v>
      </c>
      <c r="AM166" s="266">
        <f>U166*$AM$3</f>
        <v>21</v>
      </c>
    </row>
    <row r="167" spans="1:39" s="264" customFormat="1" x14ac:dyDescent="0.2">
      <c r="A167" s="258"/>
      <c r="B167" s="259"/>
      <c r="C167" s="290"/>
      <c r="D167" s="290"/>
      <c r="E167" s="290"/>
      <c r="F167" s="290"/>
      <c r="G167" s="290"/>
      <c r="H167" s="290"/>
      <c r="I167" s="290"/>
      <c r="J167" s="290"/>
      <c r="K167" s="290"/>
      <c r="L167" s="290"/>
      <c r="M167" s="290"/>
      <c r="N167" s="290"/>
      <c r="O167" s="290"/>
      <c r="P167" s="261"/>
      <c r="Q167" s="262"/>
      <c r="R167" s="263"/>
      <c r="S167" s="386"/>
      <c r="T167" s="357"/>
      <c r="U167" s="357"/>
      <c r="W167" s="387"/>
      <c r="X167" s="339"/>
      <c r="Z167" s="387"/>
      <c r="AA167" s="339"/>
      <c r="AC167" s="387"/>
      <c r="AD167" s="339"/>
      <c r="AF167" s="387"/>
      <c r="AG167" s="339"/>
      <c r="AI167" s="387"/>
      <c r="AJ167" s="339"/>
      <c r="AL167" s="387"/>
      <c r="AM167" s="339"/>
    </row>
    <row r="168" spans="1:39" s="264" customFormat="1" x14ac:dyDescent="0.2">
      <c r="A168" s="258" t="s">
        <v>75</v>
      </c>
      <c r="B168" s="259" t="s">
        <v>837</v>
      </c>
      <c r="C168" s="290">
        <f>(W168+X168)*$C$3</f>
        <v>4</v>
      </c>
      <c r="D168" s="290">
        <f>C168*$Q168</f>
        <v>0</v>
      </c>
      <c r="E168" s="290">
        <f>(Z168+AA168)*$E$3</f>
        <v>5</v>
      </c>
      <c r="F168" s="290">
        <f>E168*$Q168</f>
        <v>0</v>
      </c>
      <c r="G168" s="290">
        <f>(AC168+AD168)*$G$3</f>
        <v>30</v>
      </c>
      <c r="H168" s="290">
        <f>G168*$Q168</f>
        <v>0</v>
      </c>
      <c r="I168" s="290">
        <f>(AF168+AG168)*$I$3</f>
        <v>7</v>
      </c>
      <c r="J168" s="290">
        <f>I168*$Q168</f>
        <v>0</v>
      </c>
      <c r="K168" s="290">
        <f>(AI168+AJ168)*$K$3</f>
        <v>24</v>
      </c>
      <c r="L168" s="290">
        <f>K168*$Q168</f>
        <v>0</v>
      </c>
      <c r="M168" s="290">
        <f>(AL168+AM168)*$M$3</f>
        <v>9</v>
      </c>
      <c r="N168" s="290">
        <f>M168*$Q168</f>
        <v>0</v>
      </c>
      <c r="O168" s="290">
        <f>C168+E168+G168+I168+K168+M168</f>
        <v>79</v>
      </c>
      <c r="P168" s="261" t="s">
        <v>269</v>
      </c>
      <c r="Q168" s="262"/>
      <c r="R168" s="263"/>
      <c r="S168" s="386"/>
      <c r="T168" s="339">
        <v>1</v>
      </c>
      <c r="U168" s="266">
        <v>1</v>
      </c>
      <c r="W168" s="268">
        <f>T168*$W$3</f>
        <v>2</v>
      </c>
      <c r="X168" s="266">
        <f>U168*$X$3</f>
        <v>2</v>
      </c>
      <c r="Y168" s="267"/>
      <c r="Z168" s="268">
        <f>W168</f>
        <v>2</v>
      </c>
      <c r="AA168" s="266">
        <f>U168*$AA$3</f>
        <v>3</v>
      </c>
      <c r="AB168" s="267"/>
      <c r="AC168" s="268">
        <f>W168</f>
        <v>2</v>
      </c>
      <c r="AD168" s="266">
        <f>U168*$AD$3</f>
        <v>4</v>
      </c>
      <c r="AE168" s="267"/>
      <c r="AF168" s="268">
        <f>W168</f>
        <v>2</v>
      </c>
      <c r="AG168" s="266">
        <f>U168*$AG$3</f>
        <v>5</v>
      </c>
      <c r="AH168" s="267"/>
      <c r="AI168" s="268">
        <f>W168</f>
        <v>2</v>
      </c>
      <c r="AJ168" s="266">
        <f>U168*$AJ$3</f>
        <v>6</v>
      </c>
      <c r="AK168" s="267"/>
      <c r="AL168" s="268">
        <f>W168</f>
        <v>2</v>
      </c>
      <c r="AM168" s="266">
        <f>U168*$AM$3</f>
        <v>7</v>
      </c>
    </row>
    <row r="169" spans="1:39" s="264" customFormat="1" x14ac:dyDescent="0.2">
      <c r="A169" s="258"/>
      <c r="B169" s="259"/>
      <c r="C169" s="290"/>
      <c r="D169" s="290"/>
      <c r="E169" s="290"/>
      <c r="F169" s="290"/>
      <c r="G169" s="290"/>
      <c r="H169" s="290"/>
      <c r="I169" s="290"/>
      <c r="J169" s="290"/>
      <c r="K169" s="290"/>
      <c r="L169" s="290"/>
      <c r="M169" s="290"/>
      <c r="N169" s="290"/>
      <c r="O169" s="290"/>
      <c r="P169" s="261"/>
      <c r="Q169" s="262"/>
      <c r="R169" s="263"/>
      <c r="S169" s="386"/>
      <c r="T169" s="339"/>
      <c r="U169" s="339"/>
      <c r="W169" s="387"/>
      <c r="X169" s="339"/>
      <c r="Z169" s="387"/>
      <c r="AA169" s="339"/>
      <c r="AC169" s="387"/>
      <c r="AD169" s="339"/>
      <c r="AF169" s="387"/>
      <c r="AG169" s="339"/>
      <c r="AI169" s="387"/>
      <c r="AJ169" s="339"/>
      <c r="AL169" s="387"/>
      <c r="AM169" s="339"/>
    </row>
    <row r="170" spans="1:39" s="264" customFormat="1" x14ac:dyDescent="0.2">
      <c r="A170" s="258" t="s">
        <v>76</v>
      </c>
      <c r="B170" s="259" t="s">
        <v>838</v>
      </c>
      <c r="C170" s="290">
        <f>(W170+X170)*$C$3</f>
        <v>16</v>
      </c>
      <c r="D170" s="290">
        <f>C170*$Q170</f>
        <v>0</v>
      </c>
      <c r="E170" s="290">
        <f>(Z170+AA170)*$E$3</f>
        <v>20</v>
      </c>
      <c r="F170" s="290">
        <f>E170*$Q170</f>
        <v>0</v>
      </c>
      <c r="G170" s="290">
        <f>(AC170+AD170)*$G$3</f>
        <v>120</v>
      </c>
      <c r="H170" s="290">
        <f>G170*$Q170</f>
        <v>0</v>
      </c>
      <c r="I170" s="290">
        <f>(AF170+AG170)*$I$3</f>
        <v>28</v>
      </c>
      <c r="J170" s="290">
        <f>I170*$Q170</f>
        <v>0</v>
      </c>
      <c r="K170" s="290">
        <f>(AI170+AJ170)*$K$3</f>
        <v>96</v>
      </c>
      <c r="L170" s="290">
        <f>K170*$Q170</f>
        <v>0</v>
      </c>
      <c r="M170" s="290">
        <f>(AL170+AM170)*$M$3</f>
        <v>36</v>
      </c>
      <c r="N170" s="290">
        <f>M170*$Q170</f>
        <v>0</v>
      </c>
      <c r="O170" s="290">
        <f>C170+E170+G170+I170+K170+M170</f>
        <v>316</v>
      </c>
      <c r="P170" s="261" t="s">
        <v>269</v>
      </c>
      <c r="Q170" s="262"/>
      <c r="R170" s="263"/>
      <c r="S170" s="386"/>
      <c r="T170" s="357">
        <v>4</v>
      </c>
      <c r="U170" s="266">
        <v>4</v>
      </c>
      <c r="W170" s="268">
        <f>T170*$W$3</f>
        <v>8</v>
      </c>
      <c r="X170" s="266">
        <f>U170*$X$3</f>
        <v>8</v>
      </c>
      <c r="Y170" s="267"/>
      <c r="Z170" s="268">
        <f>W170</f>
        <v>8</v>
      </c>
      <c r="AA170" s="266">
        <f>U170*$AA$3</f>
        <v>12</v>
      </c>
      <c r="AB170" s="267"/>
      <c r="AC170" s="268">
        <f>W170</f>
        <v>8</v>
      </c>
      <c r="AD170" s="266">
        <f>U170*$AD$3</f>
        <v>16</v>
      </c>
      <c r="AE170" s="267"/>
      <c r="AF170" s="268">
        <f>W170</f>
        <v>8</v>
      </c>
      <c r="AG170" s="266">
        <f>U170*$AG$3</f>
        <v>20</v>
      </c>
      <c r="AH170" s="267"/>
      <c r="AI170" s="268">
        <f>W170</f>
        <v>8</v>
      </c>
      <c r="AJ170" s="266">
        <f>U170*$AJ$3</f>
        <v>24</v>
      </c>
      <c r="AK170" s="267"/>
      <c r="AL170" s="268">
        <f>W170</f>
        <v>8</v>
      </c>
      <c r="AM170" s="266">
        <f>U170*$AM$3</f>
        <v>28</v>
      </c>
    </row>
    <row r="171" spans="1:39" s="264" customFormat="1" x14ac:dyDescent="0.2">
      <c r="A171" s="258"/>
      <c r="B171" s="259"/>
      <c r="C171" s="290"/>
      <c r="D171" s="290"/>
      <c r="E171" s="290"/>
      <c r="F171" s="290"/>
      <c r="G171" s="290"/>
      <c r="H171" s="290"/>
      <c r="I171" s="290"/>
      <c r="J171" s="290"/>
      <c r="K171" s="290"/>
      <c r="L171" s="290"/>
      <c r="M171" s="290"/>
      <c r="N171" s="290"/>
      <c r="O171" s="290"/>
      <c r="P171" s="261"/>
      <c r="Q171" s="262"/>
      <c r="R171" s="263"/>
      <c r="S171" s="386"/>
      <c r="T171" s="357"/>
      <c r="U171" s="357"/>
      <c r="W171" s="387"/>
      <c r="X171" s="339"/>
      <c r="Z171" s="387"/>
      <c r="AA171" s="339"/>
      <c r="AC171" s="387"/>
      <c r="AD171" s="339"/>
      <c r="AF171" s="387"/>
      <c r="AG171" s="339"/>
      <c r="AI171" s="387"/>
      <c r="AJ171" s="339"/>
      <c r="AL171" s="387"/>
      <c r="AM171" s="339"/>
    </row>
    <row r="172" spans="1:39" s="264" customFormat="1" x14ac:dyDescent="0.2">
      <c r="A172" s="258" t="s">
        <v>77</v>
      </c>
      <c r="B172" s="259" t="s">
        <v>839</v>
      </c>
      <c r="C172" s="290">
        <f>(W172+X172)*$C$3</f>
        <v>4</v>
      </c>
      <c r="D172" s="290">
        <f>C172*$Q172</f>
        <v>0</v>
      </c>
      <c r="E172" s="290">
        <f>(Z172+AA172)*$E$3</f>
        <v>5</v>
      </c>
      <c r="F172" s="290">
        <f>E172*$Q172</f>
        <v>0</v>
      </c>
      <c r="G172" s="290">
        <f>(AC172+AD172)*$G$3</f>
        <v>30</v>
      </c>
      <c r="H172" s="290">
        <f>G172*$Q172</f>
        <v>0</v>
      </c>
      <c r="I172" s="290">
        <f>(AF172+AG172)*$I$3</f>
        <v>7</v>
      </c>
      <c r="J172" s="290">
        <f>I172*$Q172</f>
        <v>0</v>
      </c>
      <c r="K172" s="290">
        <f>(AI172+AJ172)*$K$3</f>
        <v>24</v>
      </c>
      <c r="L172" s="290">
        <f>K172*$Q172</f>
        <v>0</v>
      </c>
      <c r="M172" s="290">
        <f>(AL172+AM172)*$M$3</f>
        <v>9</v>
      </c>
      <c r="N172" s="290">
        <f>M172*$Q172</f>
        <v>0</v>
      </c>
      <c r="O172" s="290">
        <f>C172+E172+G172+I172+K172+M172</f>
        <v>79</v>
      </c>
      <c r="P172" s="261" t="s">
        <v>269</v>
      </c>
      <c r="Q172" s="262"/>
      <c r="R172" s="263"/>
      <c r="S172" s="386"/>
      <c r="T172" s="339">
        <v>1</v>
      </c>
      <c r="U172" s="266">
        <v>1</v>
      </c>
      <c r="W172" s="268">
        <f>T172*$W$3</f>
        <v>2</v>
      </c>
      <c r="X172" s="266">
        <f>U172*$X$3</f>
        <v>2</v>
      </c>
      <c r="Y172" s="267"/>
      <c r="Z172" s="268">
        <f>W172</f>
        <v>2</v>
      </c>
      <c r="AA172" s="266">
        <f>U172*$AA$3</f>
        <v>3</v>
      </c>
      <c r="AB172" s="267"/>
      <c r="AC172" s="268">
        <f>W172</f>
        <v>2</v>
      </c>
      <c r="AD172" s="266">
        <f>U172*$AD$3</f>
        <v>4</v>
      </c>
      <c r="AE172" s="267"/>
      <c r="AF172" s="268">
        <f>W172</f>
        <v>2</v>
      </c>
      <c r="AG172" s="266">
        <f>U172*$AG$3</f>
        <v>5</v>
      </c>
      <c r="AH172" s="267"/>
      <c r="AI172" s="268">
        <f>W172</f>
        <v>2</v>
      </c>
      <c r="AJ172" s="266">
        <f>U172*$AJ$3</f>
        <v>6</v>
      </c>
      <c r="AK172" s="267"/>
      <c r="AL172" s="268">
        <f>W172</f>
        <v>2</v>
      </c>
      <c r="AM172" s="266">
        <f>U172*$AM$3</f>
        <v>7</v>
      </c>
    </row>
    <row r="173" spans="1:39" s="264" customFormat="1" x14ac:dyDescent="0.2">
      <c r="A173" s="258"/>
      <c r="B173" s="259"/>
      <c r="C173" s="290"/>
      <c r="D173" s="290"/>
      <c r="E173" s="290"/>
      <c r="F173" s="290"/>
      <c r="G173" s="290"/>
      <c r="H173" s="290"/>
      <c r="I173" s="290"/>
      <c r="J173" s="290"/>
      <c r="K173" s="290"/>
      <c r="L173" s="290"/>
      <c r="M173" s="290"/>
      <c r="N173" s="290"/>
      <c r="O173" s="290"/>
      <c r="P173" s="261"/>
      <c r="Q173" s="262"/>
      <c r="R173" s="263"/>
      <c r="S173" s="386"/>
      <c r="T173" s="339"/>
      <c r="U173" s="339"/>
      <c r="W173" s="387"/>
      <c r="X173" s="339"/>
      <c r="Z173" s="387"/>
      <c r="AA173" s="339"/>
      <c r="AC173" s="387"/>
      <c r="AD173" s="339"/>
      <c r="AF173" s="387"/>
      <c r="AG173" s="339"/>
      <c r="AI173" s="387"/>
      <c r="AJ173" s="339"/>
      <c r="AL173" s="387"/>
      <c r="AM173" s="339"/>
    </row>
    <row r="174" spans="1:39" s="264" customFormat="1" x14ac:dyDescent="0.2">
      <c r="A174" s="258" t="s">
        <v>79</v>
      </c>
      <c r="B174" s="259" t="s">
        <v>840</v>
      </c>
      <c r="C174" s="290">
        <f>(W174+X174)*$C$3</f>
        <v>44</v>
      </c>
      <c r="D174" s="290">
        <f>C174*$Q174</f>
        <v>0</v>
      </c>
      <c r="E174" s="290">
        <f>(Z174+AA174)*$E$3</f>
        <v>54</v>
      </c>
      <c r="F174" s="290">
        <f>E174*$Q174</f>
        <v>0</v>
      </c>
      <c r="G174" s="290">
        <f>(AC174+AD174)*$G$3</f>
        <v>320</v>
      </c>
      <c r="H174" s="290">
        <f>G174*$Q174</f>
        <v>0</v>
      </c>
      <c r="I174" s="290">
        <f>(AF174+AG174)*$I$3</f>
        <v>74</v>
      </c>
      <c r="J174" s="290">
        <f>I174*$Q174</f>
        <v>0</v>
      </c>
      <c r="K174" s="290">
        <f>(AI174+AJ174)*$K$3</f>
        <v>252</v>
      </c>
      <c r="L174" s="290">
        <f>K174*$Q174</f>
        <v>0</v>
      </c>
      <c r="M174" s="290">
        <f>(AL174+AM174)*$M$3</f>
        <v>94</v>
      </c>
      <c r="N174" s="290">
        <f>M174*$Q174</f>
        <v>0</v>
      </c>
      <c r="O174" s="290">
        <f>C174+E174+G174+I174+K174+M174</f>
        <v>838</v>
      </c>
      <c r="P174" s="261" t="s">
        <v>269</v>
      </c>
      <c r="Q174" s="262"/>
      <c r="R174" s="263"/>
      <c r="S174" s="386"/>
      <c r="T174" s="357">
        <v>12</v>
      </c>
      <c r="U174" s="266">
        <v>10</v>
      </c>
      <c r="W174" s="268">
        <f>T174*$W$3</f>
        <v>24</v>
      </c>
      <c r="X174" s="266">
        <f>U174*$X$3</f>
        <v>20</v>
      </c>
      <c r="Y174" s="267"/>
      <c r="Z174" s="268">
        <f>W174</f>
        <v>24</v>
      </c>
      <c r="AA174" s="266">
        <f>U174*$AA$3</f>
        <v>30</v>
      </c>
      <c r="AB174" s="267"/>
      <c r="AC174" s="268">
        <f>W174</f>
        <v>24</v>
      </c>
      <c r="AD174" s="266">
        <f>U174*$AD$3</f>
        <v>40</v>
      </c>
      <c r="AE174" s="267"/>
      <c r="AF174" s="268">
        <f>W174</f>
        <v>24</v>
      </c>
      <c r="AG174" s="266">
        <f>U174*$AG$3</f>
        <v>50</v>
      </c>
      <c r="AH174" s="267"/>
      <c r="AI174" s="268">
        <f>W174</f>
        <v>24</v>
      </c>
      <c r="AJ174" s="266">
        <f>U174*$AJ$3</f>
        <v>60</v>
      </c>
      <c r="AK174" s="267"/>
      <c r="AL174" s="268">
        <f>W174</f>
        <v>24</v>
      </c>
      <c r="AM174" s="266">
        <f>U174*$AM$3</f>
        <v>70</v>
      </c>
    </row>
    <row r="175" spans="1:39" s="264" customFormat="1" x14ac:dyDescent="0.2">
      <c r="A175" s="258"/>
      <c r="B175" s="259"/>
      <c r="C175" s="290"/>
      <c r="D175" s="290"/>
      <c r="E175" s="290"/>
      <c r="F175" s="290"/>
      <c r="G175" s="290"/>
      <c r="H175" s="290"/>
      <c r="I175" s="290"/>
      <c r="J175" s="290"/>
      <c r="K175" s="290"/>
      <c r="L175" s="290"/>
      <c r="M175" s="290"/>
      <c r="N175" s="290"/>
      <c r="O175" s="290"/>
      <c r="P175" s="261"/>
      <c r="Q175" s="262"/>
      <c r="R175" s="263"/>
      <c r="S175" s="386"/>
      <c r="T175" s="357"/>
      <c r="U175" s="357"/>
      <c r="W175" s="387"/>
      <c r="X175" s="339"/>
      <c r="Z175" s="387"/>
      <c r="AA175" s="339"/>
      <c r="AC175" s="387"/>
      <c r="AD175" s="339"/>
      <c r="AF175" s="387"/>
      <c r="AG175" s="339"/>
      <c r="AI175" s="387"/>
      <c r="AJ175" s="339"/>
      <c r="AL175" s="387"/>
      <c r="AM175" s="339"/>
    </row>
    <row r="176" spans="1:39" s="264" customFormat="1" x14ac:dyDescent="0.2">
      <c r="A176" s="258" t="s">
        <v>80</v>
      </c>
      <c r="B176" s="259" t="s">
        <v>841</v>
      </c>
      <c r="C176" s="290">
        <f>(W176+X176)*$C$3</f>
        <v>4</v>
      </c>
      <c r="D176" s="290">
        <f>C176*$Q176</f>
        <v>0</v>
      </c>
      <c r="E176" s="290">
        <f>(Z176+AA176)*$E$3</f>
        <v>5</v>
      </c>
      <c r="F176" s="290">
        <f>E176*$Q176</f>
        <v>0</v>
      </c>
      <c r="G176" s="290">
        <f>(AC176+AD176)*$G$3</f>
        <v>30</v>
      </c>
      <c r="H176" s="290">
        <f>G176*$Q176</f>
        <v>0</v>
      </c>
      <c r="I176" s="290">
        <f>(AF176+AG176)*$I$3</f>
        <v>7</v>
      </c>
      <c r="J176" s="290">
        <f>I176*$Q176</f>
        <v>0</v>
      </c>
      <c r="K176" s="290">
        <f>(AI176+AJ176)*$K$3</f>
        <v>24</v>
      </c>
      <c r="L176" s="290">
        <f>K176*$Q176</f>
        <v>0</v>
      </c>
      <c r="M176" s="290">
        <f>(AL176+AM176)*$M$3</f>
        <v>9</v>
      </c>
      <c r="N176" s="290">
        <f>M176*$Q176</f>
        <v>0</v>
      </c>
      <c r="O176" s="290">
        <f>C176+E176+G176+I176+K176+M176</f>
        <v>79</v>
      </c>
      <c r="P176" s="261" t="s">
        <v>269</v>
      </c>
      <c r="Q176" s="262"/>
      <c r="R176" s="263"/>
      <c r="S176" s="386"/>
      <c r="T176" s="339">
        <v>1</v>
      </c>
      <c r="U176" s="266">
        <v>1</v>
      </c>
      <c r="W176" s="268">
        <f>T176*$W$3</f>
        <v>2</v>
      </c>
      <c r="X176" s="266">
        <f>U176*$X$3</f>
        <v>2</v>
      </c>
      <c r="Y176" s="267"/>
      <c r="Z176" s="268">
        <f>W176</f>
        <v>2</v>
      </c>
      <c r="AA176" s="266">
        <f>U176*$AA$3</f>
        <v>3</v>
      </c>
      <c r="AB176" s="267"/>
      <c r="AC176" s="268">
        <f>W176</f>
        <v>2</v>
      </c>
      <c r="AD176" s="266">
        <f>U176*$AD$3</f>
        <v>4</v>
      </c>
      <c r="AE176" s="267"/>
      <c r="AF176" s="268">
        <f>W176</f>
        <v>2</v>
      </c>
      <c r="AG176" s="266">
        <f>U176*$AG$3</f>
        <v>5</v>
      </c>
      <c r="AH176" s="267"/>
      <c r="AI176" s="268">
        <f>W176</f>
        <v>2</v>
      </c>
      <c r="AJ176" s="266">
        <f>U176*$AJ$3</f>
        <v>6</v>
      </c>
      <c r="AK176" s="267"/>
      <c r="AL176" s="268">
        <f>W176</f>
        <v>2</v>
      </c>
      <c r="AM176" s="266">
        <f>U176*$AM$3</f>
        <v>7</v>
      </c>
    </row>
    <row r="177" spans="1:39" s="264" customFormat="1" x14ac:dyDescent="0.2">
      <c r="A177" s="258"/>
      <c r="B177" s="259"/>
      <c r="C177" s="290"/>
      <c r="D177" s="290"/>
      <c r="E177" s="290"/>
      <c r="F177" s="290"/>
      <c r="G177" s="290"/>
      <c r="H177" s="290"/>
      <c r="I177" s="290"/>
      <c r="J177" s="290"/>
      <c r="K177" s="290"/>
      <c r="L177" s="290"/>
      <c r="M177" s="290"/>
      <c r="N177" s="290"/>
      <c r="O177" s="290"/>
      <c r="P177" s="261"/>
      <c r="Q177" s="431"/>
      <c r="R177" s="433"/>
      <c r="S177" s="386"/>
      <c r="T177" s="339"/>
      <c r="U177" s="339"/>
      <c r="W177" s="387"/>
      <c r="X177" s="339"/>
      <c r="Z177" s="387"/>
      <c r="AA177" s="339"/>
      <c r="AC177" s="387"/>
      <c r="AD177" s="339"/>
      <c r="AF177" s="387"/>
      <c r="AG177" s="339"/>
      <c r="AI177" s="387"/>
      <c r="AJ177" s="339"/>
      <c r="AL177" s="387"/>
      <c r="AM177" s="339"/>
    </row>
    <row r="178" spans="1:39" s="264" customFormat="1" x14ac:dyDescent="0.2">
      <c r="A178" s="258" t="s">
        <v>81</v>
      </c>
      <c r="B178" s="259" t="s">
        <v>842</v>
      </c>
      <c r="C178" s="290">
        <f>(W178+X178)*$C$3</f>
        <v>4</v>
      </c>
      <c r="D178" s="290">
        <f>C178*$Q178</f>
        <v>0</v>
      </c>
      <c r="E178" s="290">
        <f>(Z178+AA178)*$E$3</f>
        <v>5</v>
      </c>
      <c r="F178" s="290">
        <f>E178*$Q178</f>
        <v>0</v>
      </c>
      <c r="G178" s="290">
        <f>(AC178+AD178)*$G$3</f>
        <v>30</v>
      </c>
      <c r="H178" s="290">
        <f>G178*$Q178</f>
        <v>0</v>
      </c>
      <c r="I178" s="290">
        <f>(AF178+AG178)*$I$3</f>
        <v>7</v>
      </c>
      <c r="J178" s="290">
        <f>I178*$Q178</f>
        <v>0</v>
      </c>
      <c r="K178" s="290">
        <f>(AI178+AJ178)*$K$3</f>
        <v>24</v>
      </c>
      <c r="L178" s="290">
        <f>K178*$Q178</f>
        <v>0</v>
      </c>
      <c r="M178" s="290">
        <f>(AL178+AM178)*$M$3</f>
        <v>9</v>
      </c>
      <c r="N178" s="290">
        <f>M178*$Q178</f>
        <v>0</v>
      </c>
      <c r="O178" s="290">
        <f>C178+E178+G178+I178+K178+M178</f>
        <v>79</v>
      </c>
      <c r="P178" s="261" t="s">
        <v>269</v>
      </c>
      <c r="Q178" s="431"/>
      <c r="R178" s="433"/>
      <c r="S178" s="386"/>
      <c r="T178" s="357">
        <v>1</v>
      </c>
      <c r="U178" s="266">
        <v>1</v>
      </c>
      <c r="W178" s="268">
        <f>T178*$W$3</f>
        <v>2</v>
      </c>
      <c r="X178" s="266">
        <f>U178*$X$3</f>
        <v>2</v>
      </c>
      <c r="Y178" s="267"/>
      <c r="Z178" s="268">
        <f>W178</f>
        <v>2</v>
      </c>
      <c r="AA178" s="266">
        <f>U178*$AA$3</f>
        <v>3</v>
      </c>
      <c r="AB178" s="267"/>
      <c r="AC178" s="268">
        <f>W178</f>
        <v>2</v>
      </c>
      <c r="AD178" s="266">
        <f>U178*$AD$3</f>
        <v>4</v>
      </c>
      <c r="AE178" s="267"/>
      <c r="AF178" s="268">
        <f>W178</f>
        <v>2</v>
      </c>
      <c r="AG178" s="266">
        <f>U178*$AG$3</f>
        <v>5</v>
      </c>
      <c r="AH178" s="267"/>
      <c r="AI178" s="268">
        <f>W178</f>
        <v>2</v>
      </c>
      <c r="AJ178" s="266">
        <f>U178*$AJ$3</f>
        <v>6</v>
      </c>
      <c r="AK178" s="267"/>
      <c r="AL178" s="268">
        <f>W178</f>
        <v>2</v>
      </c>
      <c r="AM178" s="266">
        <f>U178*$AM$3</f>
        <v>7</v>
      </c>
    </row>
    <row r="179" spans="1:39" s="264" customFormat="1" x14ac:dyDescent="0.2">
      <c r="A179" s="258"/>
      <c r="B179" s="259"/>
      <c r="C179" s="290"/>
      <c r="D179" s="290"/>
      <c r="E179" s="290"/>
      <c r="F179" s="290"/>
      <c r="G179" s="290"/>
      <c r="H179" s="290"/>
      <c r="I179" s="290"/>
      <c r="J179" s="290"/>
      <c r="K179" s="290"/>
      <c r="L179" s="290"/>
      <c r="M179" s="290"/>
      <c r="N179" s="290"/>
      <c r="O179" s="290"/>
      <c r="P179" s="261"/>
      <c r="Q179" s="431"/>
      <c r="R179" s="433"/>
      <c r="S179" s="386"/>
      <c r="T179" s="357"/>
      <c r="U179" s="357"/>
      <c r="W179" s="387"/>
      <c r="X179" s="339"/>
      <c r="Z179" s="387"/>
      <c r="AA179" s="339"/>
      <c r="AC179" s="387"/>
      <c r="AD179" s="339"/>
      <c r="AF179" s="387"/>
      <c r="AG179" s="339"/>
      <c r="AI179" s="387"/>
      <c r="AJ179" s="339"/>
      <c r="AL179" s="387"/>
      <c r="AM179" s="339"/>
    </row>
    <row r="180" spans="1:39" s="342" customFormat="1" x14ac:dyDescent="0.2">
      <c r="A180" s="340" t="s">
        <v>80</v>
      </c>
      <c r="B180" s="341" t="s">
        <v>946</v>
      </c>
      <c r="C180" s="338">
        <f>(W180+X180)*$C$3</f>
        <v>4</v>
      </c>
      <c r="D180" s="338">
        <f>C180*$Q180</f>
        <v>0</v>
      </c>
      <c r="E180" s="338">
        <f>(Z180+AA180)*$E$3</f>
        <v>5</v>
      </c>
      <c r="F180" s="338">
        <f>E180*$Q180</f>
        <v>0</v>
      </c>
      <c r="G180" s="338">
        <f>(AC180+AD180)*$G$3</f>
        <v>30</v>
      </c>
      <c r="H180" s="338">
        <f>G180*$Q180</f>
        <v>0</v>
      </c>
      <c r="I180" s="338">
        <f>(AF180+AG180)*$I$3</f>
        <v>7</v>
      </c>
      <c r="J180" s="338">
        <f>I180*$Q180</f>
        <v>0</v>
      </c>
      <c r="K180" s="338">
        <f>(AI180+AJ180)*$K$3</f>
        <v>24</v>
      </c>
      <c r="L180" s="338">
        <f>K180*$Q180</f>
        <v>0</v>
      </c>
      <c r="M180" s="338">
        <f>(AL180+AM180)*$M$3</f>
        <v>9</v>
      </c>
      <c r="N180" s="338">
        <f>M180*$Q180</f>
        <v>0</v>
      </c>
      <c r="O180" s="338">
        <f>C180+E180+G180+I180+K180+M180</f>
        <v>79</v>
      </c>
      <c r="P180" s="404" t="s">
        <v>269</v>
      </c>
      <c r="Q180" s="431"/>
      <c r="R180" s="433"/>
      <c r="S180" s="405"/>
      <c r="T180" s="406">
        <v>1</v>
      </c>
      <c r="U180" s="406">
        <v>1</v>
      </c>
      <c r="W180" s="343">
        <f>T180*$W$3</f>
        <v>2</v>
      </c>
      <c r="X180" s="343">
        <f>U180*$X$3</f>
        <v>2</v>
      </c>
      <c r="Z180" s="343">
        <f>W180</f>
        <v>2</v>
      </c>
      <c r="AA180" s="343">
        <f>U180*$AA$3</f>
        <v>3</v>
      </c>
      <c r="AC180" s="343">
        <f>W180</f>
        <v>2</v>
      </c>
      <c r="AD180" s="343">
        <f>U180*$AD$3</f>
        <v>4</v>
      </c>
      <c r="AF180" s="343">
        <f>W180</f>
        <v>2</v>
      </c>
      <c r="AG180" s="343">
        <f>U180*$AG$3</f>
        <v>5</v>
      </c>
      <c r="AI180" s="343">
        <f>W180</f>
        <v>2</v>
      </c>
      <c r="AJ180" s="343">
        <f>U180*$AJ$3</f>
        <v>6</v>
      </c>
      <c r="AL180" s="343">
        <f>W180</f>
        <v>2</v>
      </c>
      <c r="AM180" s="343">
        <f>U180*$AM$3</f>
        <v>7</v>
      </c>
    </row>
    <row r="181" spans="1:39" s="264" customFormat="1" x14ac:dyDescent="0.2">
      <c r="A181" s="258"/>
      <c r="B181" s="259"/>
      <c r="C181" s="290"/>
      <c r="D181" s="290"/>
      <c r="E181" s="290"/>
      <c r="F181" s="290"/>
      <c r="G181" s="290"/>
      <c r="H181" s="290"/>
      <c r="I181" s="290"/>
      <c r="J181" s="290"/>
      <c r="K181" s="290"/>
      <c r="L181" s="290"/>
      <c r="M181" s="290"/>
      <c r="N181" s="290"/>
      <c r="O181" s="290"/>
      <c r="P181" s="261"/>
      <c r="Q181" s="446"/>
      <c r="R181" s="433"/>
      <c r="S181" s="386"/>
      <c r="T181" s="357"/>
      <c r="U181" s="357"/>
      <c r="W181" s="387"/>
      <c r="X181" s="339"/>
      <c r="Z181" s="387"/>
      <c r="AA181" s="339"/>
      <c r="AC181" s="387"/>
      <c r="AD181" s="339"/>
      <c r="AF181" s="387"/>
      <c r="AG181" s="339"/>
      <c r="AI181" s="387"/>
      <c r="AJ181" s="339"/>
      <c r="AL181" s="387"/>
      <c r="AM181" s="339"/>
    </row>
    <row r="182" spans="1:39" s="264" customFormat="1" x14ac:dyDescent="0.2">
      <c r="A182" s="258"/>
      <c r="B182" s="259"/>
      <c r="C182" s="290"/>
      <c r="D182" s="290"/>
      <c r="E182" s="290"/>
      <c r="F182" s="290"/>
      <c r="G182" s="290"/>
      <c r="H182" s="290"/>
      <c r="I182" s="290"/>
      <c r="J182" s="290"/>
      <c r="K182" s="290"/>
      <c r="L182" s="290"/>
      <c r="M182" s="290"/>
      <c r="N182" s="290"/>
      <c r="O182" s="290"/>
      <c r="P182" s="261"/>
      <c r="Q182" s="446"/>
      <c r="R182" s="433"/>
      <c r="S182" s="386"/>
      <c r="T182" s="357"/>
      <c r="U182" s="357"/>
      <c r="W182" s="387"/>
      <c r="X182" s="339"/>
      <c r="Z182" s="387"/>
      <c r="AA182" s="339"/>
      <c r="AC182" s="387"/>
      <c r="AD182" s="339"/>
      <c r="AF182" s="387"/>
      <c r="AG182" s="339"/>
      <c r="AI182" s="387"/>
      <c r="AJ182" s="339"/>
      <c r="AL182" s="387"/>
      <c r="AM182" s="339"/>
    </row>
    <row r="183" spans="1:39" s="264" customFormat="1" x14ac:dyDescent="0.2">
      <c r="A183" s="258"/>
      <c r="B183" s="259"/>
      <c r="C183" s="290"/>
      <c r="D183" s="290"/>
      <c r="E183" s="290"/>
      <c r="F183" s="290"/>
      <c r="G183" s="290"/>
      <c r="H183" s="290"/>
      <c r="I183" s="290"/>
      <c r="J183" s="290"/>
      <c r="K183" s="290"/>
      <c r="L183" s="290"/>
      <c r="M183" s="290"/>
      <c r="N183" s="290"/>
      <c r="O183" s="290"/>
      <c r="P183" s="261"/>
      <c r="Q183" s="446"/>
      <c r="R183" s="433"/>
      <c r="S183" s="386"/>
      <c r="T183" s="357"/>
      <c r="U183" s="357"/>
      <c r="W183" s="387"/>
      <c r="X183" s="339"/>
      <c r="Z183" s="387"/>
      <c r="AA183" s="339"/>
      <c r="AC183" s="387"/>
      <c r="AD183" s="339"/>
      <c r="AF183" s="387"/>
      <c r="AG183" s="339"/>
      <c r="AI183" s="387"/>
      <c r="AJ183" s="339"/>
      <c r="AL183" s="387"/>
      <c r="AM183" s="339"/>
    </row>
    <row r="184" spans="1:39" s="264" customFormat="1" x14ac:dyDescent="0.2">
      <c r="A184" s="258"/>
      <c r="B184" s="259"/>
      <c r="C184" s="290"/>
      <c r="D184" s="290"/>
      <c r="E184" s="290"/>
      <c r="F184" s="290"/>
      <c r="G184" s="290"/>
      <c r="H184" s="290"/>
      <c r="I184" s="290"/>
      <c r="J184" s="290"/>
      <c r="K184" s="290"/>
      <c r="L184" s="290"/>
      <c r="M184" s="290"/>
      <c r="N184" s="290"/>
      <c r="O184" s="290"/>
      <c r="P184" s="261"/>
      <c r="Q184" s="410"/>
      <c r="R184" s="263"/>
      <c r="S184" s="386"/>
      <c r="T184" s="357"/>
      <c r="U184" s="357"/>
      <c r="W184" s="387"/>
      <c r="X184" s="339"/>
      <c r="Z184" s="387"/>
      <c r="AA184" s="339"/>
      <c r="AC184" s="387"/>
      <c r="AD184" s="339"/>
      <c r="AF184" s="387"/>
      <c r="AG184" s="339"/>
      <c r="AI184" s="387"/>
      <c r="AJ184" s="339"/>
      <c r="AL184" s="387"/>
      <c r="AM184" s="339"/>
    </row>
    <row r="185" spans="1:39" s="264" customFormat="1" x14ac:dyDescent="0.2">
      <c r="A185" s="258"/>
      <c r="B185" s="259"/>
      <c r="C185" s="290"/>
      <c r="D185" s="290"/>
      <c r="E185" s="290"/>
      <c r="F185" s="290"/>
      <c r="G185" s="290"/>
      <c r="H185" s="290"/>
      <c r="I185" s="290"/>
      <c r="J185" s="290"/>
      <c r="K185" s="290"/>
      <c r="L185" s="290"/>
      <c r="M185" s="290"/>
      <c r="N185" s="290"/>
      <c r="O185" s="290"/>
      <c r="P185" s="261"/>
      <c r="Q185" s="410"/>
      <c r="R185" s="263"/>
      <c r="S185" s="386"/>
      <c r="T185" s="357"/>
      <c r="U185" s="357"/>
      <c r="W185" s="387"/>
      <c r="X185" s="339"/>
      <c r="Z185" s="387"/>
      <c r="AA185" s="339"/>
      <c r="AC185" s="387"/>
      <c r="AD185" s="339"/>
      <c r="AF185" s="387"/>
      <c r="AG185" s="339"/>
      <c r="AI185" s="387"/>
      <c r="AJ185" s="339"/>
      <c r="AL185" s="387"/>
      <c r="AM185" s="339"/>
    </row>
    <row r="186" spans="1:39" s="264" customFormat="1" x14ac:dyDescent="0.2">
      <c r="A186" s="258"/>
      <c r="B186" s="402"/>
      <c r="C186" s="407"/>
      <c r="D186" s="357"/>
      <c r="E186" s="407"/>
      <c r="F186" s="357"/>
      <c r="G186" s="407"/>
      <c r="H186" s="357"/>
      <c r="I186" s="407"/>
      <c r="J186" s="357"/>
      <c r="K186" s="407"/>
      <c r="L186" s="357"/>
      <c r="M186" s="407"/>
      <c r="N186" s="357"/>
      <c r="O186" s="407"/>
      <c r="P186" s="403"/>
      <c r="Q186" s="484"/>
      <c r="R186" s="263"/>
      <c r="S186" s="411"/>
      <c r="T186" s="339"/>
      <c r="U186" s="339"/>
      <c r="W186" s="412"/>
      <c r="X186" s="339"/>
      <c r="Z186" s="412"/>
      <c r="AA186" s="339"/>
      <c r="AC186" s="412"/>
      <c r="AD186" s="339"/>
      <c r="AF186" s="412"/>
      <c r="AG186" s="339"/>
      <c r="AI186" s="412"/>
      <c r="AJ186" s="339"/>
      <c r="AL186" s="412"/>
      <c r="AM186" s="339"/>
    </row>
    <row r="187" spans="1:39" s="264" customFormat="1" x14ac:dyDescent="0.2">
      <c r="A187" s="258"/>
      <c r="B187" s="402"/>
      <c r="C187" s="407"/>
      <c r="D187" s="357"/>
      <c r="E187" s="407"/>
      <c r="F187" s="357"/>
      <c r="G187" s="407"/>
      <c r="H187" s="357"/>
      <c r="I187" s="407"/>
      <c r="J187" s="357"/>
      <c r="K187" s="407"/>
      <c r="L187" s="357"/>
      <c r="M187" s="407"/>
      <c r="N187" s="357"/>
      <c r="O187" s="407"/>
      <c r="P187" s="403"/>
      <c r="Q187" s="484"/>
      <c r="R187" s="263"/>
      <c r="S187" s="411"/>
      <c r="T187" s="339"/>
      <c r="U187" s="339"/>
      <c r="W187" s="412"/>
      <c r="X187" s="339"/>
      <c r="Z187" s="412"/>
      <c r="AA187" s="339"/>
      <c r="AC187" s="412"/>
      <c r="AD187" s="339"/>
      <c r="AF187" s="412"/>
      <c r="AG187" s="339"/>
      <c r="AI187" s="412"/>
      <c r="AJ187" s="339"/>
      <c r="AL187" s="412"/>
      <c r="AM187" s="339"/>
    </row>
    <row r="188" spans="1:39" s="264" customFormat="1" x14ac:dyDescent="0.2">
      <c r="A188" s="258"/>
      <c r="B188" s="402"/>
      <c r="C188" s="407"/>
      <c r="D188" s="357"/>
      <c r="E188" s="407"/>
      <c r="F188" s="357"/>
      <c r="G188" s="407"/>
      <c r="H188" s="357"/>
      <c r="I188" s="407"/>
      <c r="J188" s="357"/>
      <c r="K188" s="407"/>
      <c r="L188" s="357"/>
      <c r="M188" s="407"/>
      <c r="N188" s="357"/>
      <c r="O188" s="407"/>
      <c r="P188" s="403"/>
      <c r="Q188" s="484"/>
      <c r="R188" s="263"/>
      <c r="S188" s="411"/>
      <c r="T188" s="339"/>
      <c r="U188" s="339"/>
      <c r="W188" s="412"/>
      <c r="X188" s="339"/>
      <c r="Z188" s="412"/>
      <c r="AA188" s="339"/>
      <c r="AC188" s="412"/>
      <c r="AD188" s="339"/>
      <c r="AF188" s="412"/>
      <c r="AG188" s="339"/>
      <c r="AI188" s="412"/>
      <c r="AJ188" s="339"/>
      <c r="AL188" s="412"/>
      <c r="AM188" s="339"/>
    </row>
    <row r="189" spans="1:39" s="264" customFormat="1" x14ac:dyDescent="0.2">
      <c r="A189" s="258"/>
      <c r="B189" s="402"/>
      <c r="C189" s="407"/>
      <c r="D189" s="357"/>
      <c r="E189" s="407"/>
      <c r="F189" s="357"/>
      <c r="G189" s="407"/>
      <c r="H189" s="357"/>
      <c r="I189" s="407"/>
      <c r="J189" s="357"/>
      <c r="K189" s="407"/>
      <c r="L189" s="357"/>
      <c r="M189" s="407"/>
      <c r="N189" s="357"/>
      <c r="O189" s="407"/>
      <c r="P189" s="403"/>
      <c r="Q189" s="484"/>
      <c r="R189" s="263"/>
      <c r="S189" s="411"/>
      <c r="T189" s="339"/>
      <c r="U189" s="339"/>
      <c r="W189" s="412"/>
      <c r="X189" s="339"/>
      <c r="Z189" s="412"/>
      <c r="AA189" s="339"/>
      <c r="AC189" s="412"/>
      <c r="AD189" s="339"/>
      <c r="AF189" s="412"/>
      <c r="AG189" s="339"/>
      <c r="AI189" s="412"/>
      <c r="AJ189" s="339"/>
      <c r="AL189" s="412"/>
      <c r="AM189" s="339"/>
    </row>
    <row r="190" spans="1:39" s="264" customFormat="1" x14ac:dyDescent="0.2">
      <c r="A190" s="375"/>
      <c r="B190" s="376"/>
      <c r="C190" s="377"/>
      <c r="D190" s="377"/>
      <c r="E190" s="377"/>
      <c r="F190" s="377"/>
      <c r="G190" s="377"/>
      <c r="H190" s="377"/>
      <c r="I190" s="377"/>
      <c r="J190" s="377"/>
      <c r="K190" s="377"/>
      <c r="L190" s="377"/>
      <c r="M190" s="377"/>
      <c r="N190" s="377"/>
      <c r="O190" s="377"/>
      <c r="P190" s="377"/>
      <c r="Q190" s="378"/>
      <c r="R190" s="379"/>
      <c r="S190" s="386"/>
      <c r="T190" s="393"/>
      <c r="U190" s="393"/>
      <c r="W190" s="394"/>
      <c r="X190" s="393"/>
      <c r="Z190" s="394"/>
      <c r="AA190" s="393"/>
      <c r="AC190" s="394"/>
      <c r="AD190" s="393"/>
      <c r="AF190" s="394"/>
      <c r="AG190" s="393"/>
      <c r="AI190" s="394"/>
      <c r="AJ190" s="393"/>
      <c r="AL190" s="394"/>
      <c r="AM190" s="393"/>
    </row>
    <row r="191" spans="1:39" s="264" customFormat="1" x14ac:dyDescent="0.2">
      <c r="A191" s="380"/>
      <c r="B191" s="320"/>
      <c r="C191" s="550" t="s">
        <v>1</v>
      </c>
      <c r="D191" s="550"/>
      <c r="E191" s="550"/>
      <c r="F191" s="550"/>
      <c r="G191" s="550"/>
      <c r="H191" s="550"/>
      <c r="I191" s="550"/>
      <c r="J191" s="550"/>
      <c r="K191" s="550"/>
      <c r="L191" s="550"/>
      <c r="M191" s="550"/>
      <c r="N191" s="550"/>
      <c r="O191" s="550"/>
      <c r="P191" s="550"/>
      <c r="Q191" s="381" t="s">
        <v>0</v>
      </c>
      <c r="R191" s="263"/>
      <c r="S191" s="386"/>
      <c r="T191" s="397"/>
      <c r="U191" s="397"/>
      <c r="W191" s="398"/>
      <c r="X191" s="397"/>
      <c r="Z191" s="398"/>
      <c r="AA191" s="397"/>
      <c r="AC191" s="398"/>
      <c r="AD191" s="397"/>
      <c r="AF191" s="398"/>
      <c r="AG191" s="397"/>
      <c r="AI191" s="398"/>
      <c r="AJ191" s="397"/>
      <c r="AL191" s="398"/>
      <c r="AM191" s="397"/>
    </row>
    <row r="192" spans="1:39" s="264" customFormat="1" x14ac:dyDescent="0.2">
      <c r="A192" s="380"/>
      <c r="B192" s="320"/>
      <c r="C192" s="309"/>
      <c r="D192" s="309"/>
      <c r="E192" s="309"/>
      <c r="F192" s="309"/>
      <c r="G192" s="309"/>
      <c r="H192" s="309"/>
      <c r="I192" s="309"/>
      <c r="J192" s="309"/>
      <c r="K192" s="309"/>
      <c r="L192" s="309"/>
      <c r="M192" s="309"/>
      <c r="N192" s="309"/>
      <c r="O192" s="309"/>
      <c r="P192" s="309"/>
      <c r="Q192" s="294"/>
      <c r="R192" s="382"/>
      <c r="S192" s="386"/>
      <c r="T192" s="399"/>
      <c r="U192" s="399"/>
      <c r="W192" s="400"/>
      <c r="X192" s="399"/>
      <c r="Z192" s="400"/>
      <c r="AA192" s="399"/>
      <c r="AC192" s="400"/>
      <c r="AD192" s="399"/>
      <c r="AF192" s="400"/>
      <c r="AG192" s="399"/>
      <c r="AI192" s="400"/>
      <c r="AJ192" s="399"/>
      <c r="AL192" s="400"/>
      <c r="AM192" s="399"/>
    </row>
    <row r="193" spans="1:39" s="264" customFormat="1" x14ac:dyDescent="0.2">
      <c r="A193" s="258"/>
      <c r="B193" s="259"/>
      <c r="C193" s="290"/>
      <c r="D193" s="290">
        <f t="shared" ref="D193:D205" si="37">C193*$Q193</f>
        <v>0</v>
      </c>
      <c r="E193" s="290"/>
      <c r="F193" s="290">
        <f t="shared" ref="F193:F205" si="38">E193*$Q193</f>
        <v>0</v>
      </c>
      <c r="G193" s="290"/>
      <c r="H193" s="290">
        <f t="shared" ref="H193:H205" si="39">G193*$Q193</f>
        <v>0</v>
      </c>
      <c r="I193" s="290"/>
      <c r="J193" s="290">
        <f t="shared" ref="J193:J205" si="40">I193*$Q193</f>
        <v>0</v>
      </c>
      <c r="K193" s="290"/>
      <c r="L193" s="290">
        <f t="shared" ref="L193:L205" si="41">K193*$Q193</f>
        <v>0</v>
      </c>
      <c r="M193" s="290"/>
      <c r="N193" s="290">
        <f t="shared" ref="N193:N205" si="42">M193*$Q193</f>
        <v>0</v>
      </c>
      <c r="O193" s="290"/>
      <c r="P193" s="261"/>
      <c r="Q193" s="262"/>
      <c r="R193" s="263"/>
      <c r="S193" s="386"/>
      <c r="T193" s="393"/>
      <c r="U193" s="393"/>
      <c r="W193" s="394"/>
      <c r="X193" s="393"/>
      <c r="Z193" s="394"/>
      <c r="AA193" s="393"/>
      <c r="AC193" s="394"/>
      <c r="AD193" s="393"/>
      <c r="AF193" s="394"/>
      <c r="AG193" s="393"/>
      <c r="AI193" s="394"/>
      <c r="AJ193" s="393"/>
      <c r="AL193" s="394"/>
      <c r="AM193" s="393"/>
    </row>
    <row r="194" spans="1:39" s="264" customFormat="1" x14ac:dyDescent="0.2">
      <c r="A194" s="258"/>
      <c r="B194" s="202" t="s">
        <v>130</v>
      </c>
      <c r="C194" s="290"/>
      <c r="D194" s="290">
        <f t="shared" si="37"/>
        <v>0</v>
      </c>
      <c r="E194" s="290"/>
      <c r="F194" s="290">
        <f t="shared" si="38"/>
        <v>0</v>
      </c>
      <c r="G194" s="290"/>
      <c r="H194" s="290">
        <f t="shared" si="39"/>
        <v>0</v>
      </c>
      <c r="I194" s="290"/>
      <c r="J194" s="290">
        <f t="shared" si="40"/>
        <v>0</v>
      </c>
      <c r="K194" s="290"/>
      <c r="L194" s="290">
        <f t="shared" si="41"/>
        <v>0</v>
      </c>
      <c r="M194" s="290"/>
      <c r="N194" s="290">
        <f t="shared" si="42"/>
        <v>0</v>
      </c>
      <c r="O194" s="290"/>
      <c r="P194" s="261"/>
      <c r="Q194" s="262"/>
      <c r="R194" s="263"/>
      <c r="S194" s="386"/>
      <c r="T194" s="357"/>
      <c r="U194" s="357"/>
      <c r="W194" s="387"/>
      <c r="X194" s="357"/>
      <c r="Z194" s="387"/>
      <c r="AA194" s="357"/>
      <c r="AC194" s="387"/>
      <c r="AD194" s="357"/>
      <c r="AF194" s="387"/>
      <c r="AG194" s="357"/>
      <c r="AI194" s="387"/>
      <c r="AJ194" s="357"/>
      <c r="AL194" s="387"/>
      <c r="AM194" s="357"/>
    </row>
    <row r="195" spans="1:39" s="264" customFormat="1" x14ac:dyDescent="0.2">
      <c r="A195" s="258"/>
      <c r="B195" s="356"/>
      <c r="C195" s="290"/>
      <c r="D195" s="290">
        <f t="shared" si="37"/>
        <v>0</v>
      </c>
      <c r="E195" s="290"/>
      <c r="F195" s="290">
        <f t="shared" si="38"/>
        <v>0</v>
      </c>
      <c r="G195" s="290"/>
      <c r="H195" s="290">
        <f t="shared" si="39"/>
        <v>0</v>
      </c>
      <c r="I195" s="290"/>
      <c r="J195" s="290">
        <f t="shared" si="40"/>
        <v>0</v>
      </c>
      <c r="K195" s="290"/>
      <c r="L195" s="290">
        <f t="shared" si="41"/>
        <v>0</v>
      </c>
      <c r="M195" s="290"/>
      <c r="N195" s="290">
        <f t="shared" si="42"/>
        <v>0</v>
      </c>
      <c r="O195" s="290"/>
      <c r="P195" s="261"/>
      <c r="Q195" s="262"/>
      <c r="R195" s="263"/>
      <c r="S195" s="386"/>
      <c r="T195" s="357"/>
      <c r="U195" s="357"/>
      <c r="W195" s="387"/>
      <c r="X195" s="357"/>
      <c r="Z195" s="387"/>
      <c r="AA195" s="357"/>
      <c r="AC195" s="387"/>
      <c r="AD195" s="357"/>
      <c r="AF195" s="387"/>
      <c r="AG195" s="357"/>
      <c r="AI195" s="387"/>
      <c r="AJ195" s="357"/>
      <c r="AL195" s="387"/>
      <c r="AM195" s="357"/>
    </row>
    <row r="196" spans="1:39" s="264" customFormat="1" ht="28.5" x14ac:dyDescent="0.2">
      <c r="A196" s="258"/>
      <c r="B196" s="202" t="s">
        <v>844</v>
      </c>
      <c r="C196" s="290"/>
      <c r="D196" s="290">
        <f t="shared" si="37"/>
        <v>0</v>
      </c>
      <c r="E196" s="290"/>
      <c r="F196" s="290">
        <f t="shared" si="38"/>
        <v>0</v>
      </c>
      <c r="G196" s="290"/>
      <c r="H196" s="290">
        <f t="shared" si="39"/>
        <v>0</v>
      </c>
      <c r="I196" s="290"/>
      <c r="J196" s="290">
        <f t="shared" si="40"/>
        <v>0</v>
      </c>
      <c r="K196" s="290"/>
      <c r="L196" s="290">
        <f t="shared" si="41"/>
        <v>0</v>
      </c>
      <c r="M196" s="290"/>
      <c r="N196" s="290">
        <f t="shared" si="42"/>
        <v>0</v>
      </c>
      <c r="O196" s="290"/>
      <c r="P196" s="261"/>
      <c r="Q196" s="262"/>
      <c r="R196" s="263"/>
      <c r="S196" s="386"/>
      <c r="T196" s="357"/>
      <c r="U196" s="357"/>
      <c r="W196" s="387"/>
      <c r="X196" s="357"/>
      <c r="Z196" s="387"/>
      <c r="AA196" s="357"/>
      <c r="AC196" s="387"/>
      <c r="AD196" s="357"/>
      <c r="AF196" s="387"/>
      <c r="AG196" s="357"/>
      <c r="AI196" s="387"/>
      <c r="AJ196" s="357"/>
      <c r="AL196" s="387"/>
      <c r="AM196" s="357"/>
    </row>
    <row r="197" spans="1:39" s="264" customFormat="1" x14ac:dyDescent="0.2">
      <c r="A197" s="258"/>
      <c r="B197" s="356"/>
      <c r="C197" s="290"/>
      <c r="D197" s="290">
        <f t="shared" si="37"/>
        <v>0</v>
      </c>
      <c r="E197" s="290"/>
      <c r="F197" s="290">
        <f t="shared" si="38"/>
        <v>0</v>
      </c>
      <c r="G197" s="290"/>
      <c r="H197" s="290">
        <f t="shared" si="39"/>
        <v>0</v>
      </c>
      <c r="I197" s="290"/>
      <c r="J197" s="290">
        <f t="shared" si="40"/>
        <v>0</v>
      </c>
      <c r="K197" s="290"/>
      <c r="L197" s="290">
        <f t="shared" si="41"/>
        <v>0</v>
      </c>
      <c r="M197" s="290"/>
      <c r="N197" s="290">
        <f t="shared" si="42"/>
        <v>0</v>
      </c>
      <c r="O197" s="290"/>
      <c r="P197" s="261"/>
      <c r="Q197" s="262"/>
      <c r="R197" s="263"/>
      <c r="S197" s="386"/>
      <c r="T197" s="357"/>
      <c r="U197" s="357"/>
      <c r="W197" s="387"/>
      <c r="X197" s="357"/>
      <c r="Z197" s="387"/>
      <c r="AA197" s="357"/>
      <c r="AC197" s="387"/>
      <c r="AD197" s="357"/>
      <c r="AF197" s="387"/>
      <c r="AG197" s="357"/>
      <c r="AI197" s="387"/>
      <c r="AJ197" s="357"/>
      <c r="AL197" s="387"/>
      <c r="AM197" s="357"/>
    </row>
    <row r="198" spans="1:39" s="264" customFormat="1" x14ac:dyDescent="0.2">
      <c r="A198" s="258"/>
      <c r="B198" s="202" t="s">
        <v>235</v>
      </c>
      <c r="C198" s="290"/>
      <c r="D198" s="290">
        <f t="shared" si="37"/>
        <v>0</v>
      </c>
      <c r="E198" s="290"/>
      <c r="F198" s="290">
        <f t="shared" si="38"/>
        <v>0</v>
      </c>
      <c r="G198" s="290"/>
      <c r="H198" s="290">
        <f t="shared" si="39"/>
        <v>0</v>
      </c>
      <c r="I198" s="290"/>
      <c r="J198" s="290">
        <f t="shared" si="40"/>
        <v>0</v>
      </c>
      <c r="K198" s="290"/>
      <c r="L198" s="290">
        <f t="shared" si="41"/>
        <v>0</v>
      </c>
      <c r="M198" s="290"/>
      <c r="N198" s="290">
        <f t="shared" si="42"/>
        <v>0</v>
      </c>
      <c r="O198" s="290"/>
      <c r="P198" s="261"/>
      <c r="Q198" s="262"/>
      <c r="R198" s="263"/>
      <c r="S198" s="386"/>
      <c r="T198" s="357"/>
      <c r="U198" s="357"/>
      <c r="W198" s="387"/>
      <c r="X198" s="357"/>
      <c r="Z198" s="387"/>
      <c r="AA198" s="357"/>
      <c r="AC198" s="387"/>
      <c r="AD198" s="357"/>
      <c r="AF198" s="387"/>
      <c r="AG198" s="357"/>
      <c r="AI198" s="387"/>
      <c r="AJ198" s="357"/>
      <c r="AL198" s="387"/>
      <c r="AM198" s="357"/>
    </row>
    <row r="199" spans="1:39" s="264" customFormat="1" x14ac:dyDescent="0.2">
      <c r="A199" s="258"/>
      <c r="B199" s="293"/>
      <c r="C199" s="290"/>
      <c r="D199" s="290">
        <f t="shared" si="37"/>
        <v>0</v>
      </c>
      <c r="E199" s="290"/>
      <c r="F199" s="290">
        <f t="shared" si="38"/>
        <v>0</v>
      </c>
      <c r="G199" s="290"/>
      <c r="H199" s="290">
        <f t="shared" si="39"/>
        <v>0</v>
      </c>
      <c r="I199" s="290"/>
      <c r="J199" s="290">
        <f t="shared" si="40"/>
        <v>0</v>
      </c>
      <c r="K199" s="290"/>
      <c r="L199" s="290">
        <f t="shared" si="41"/>
        <v>0</v>
      </c>
      <c r="M199" s="290"/>
      <c r="N199" s="290">
        <f t="shared" si="42"/>
        <v>0</v>
      </c>
      <c r="O199" s="290"/>
      <c r="P199" s="261"/>
      <c r="Q199" s="262"/>
      <c r="R199" s="263"/>
      <c r="S199" s="386"/>
      <c r="T199" s="357"/>
      <c r="U199" s="357"/>
      <c r="W199" s="387"/>
      <c r="X199" s="339"/>
      <c r="Z199" s="387"/>
      <c r="AA199" s="339"/>
      <c r="AC199" s="387"/>
      <c r="AD199" s="339"/>
      <c r="AF199" s="387"/>
      <c r="AG199" s="339"/>
      <c r="AI199" s="387"/>
      <c r="AJ199" s="339"/>
      <c r="AL199" s="387"/>
      <c r="AM199" s="339"/>
    </row>
    <row r="200" spans="1:39" s="264" customFormat="1" x14ac:dyDescent="0.2">
      <c r="A200" s="258" t="s">
        <v>66</v>
      </c>
      <c r="B200" s="206" t="s">
        <v>132</v>
      </c>
      <c r="C200" s="290">
        <f>(W200+X200)*$C$3</f>
        <v>182</v>
      </c>
      <c r="D200" s="290">
        <f>C200*$Q200</f>
        <v>0</v>
      </c>
      <c r="E200" s="290">
        <f>(Z200+AA200)*$E$3</f>
        <v>229</v>
      </c>
      <c r="F200" s="290">
        <f>E200*$Q200</f>
        <v>0</v>
      </c>
      <c r="G200" s="290">
        <f>(AC200+AD200)*$G$3</f>
        <v>1380</v>
      </c>
      <c r="H200" s="290">
        <f>G200*$Q200</f>
        <v>0</v>
      </c>
      <c r="I200" s="290">
        <f>(AF200+AG200)*$I$3</f>
        <v>323</v>
      </c>
      <c r="J200" s="290">
        <f>I200*$Q200</f>
        <v>0</v>
      </c>
      <c r="K200" s="290">
        <f>(AI200+AJ200)*$K$3</f>
        <v>1110</v>
      </c>
      <c r="L200" s="290">
        <f>K200*$Q200</f>
        <v>0</v>
      </c>
      <c r="M200" s="290">
        <f>(AL200+AM200)*$M$3</f>
        <v>417</v>
      </c>
      <c r="N200" s="290">
        <f>M200*$Q200</f>
        <v>0</v>
      </c>
      <c r="O200" s="290">
        <f>C200+E200+G200+I200+K200+M200</f>
        <v>3641</v>
      </c>
      <c r="P200" s="153" t="s">
        <v>269</v>
      </c>
      <c r="Q200" s="262"/>
      <c r="R200" s="263"/>
      <c r="S200" s="386"/>
      <c r="T200" s="339">
        <v>44</v>
      </c>
      <c r="U200" s="266">
        <v>47</v>
      </c>
      <c r="W200" s="268">
        <f>T200*$W$3</f>
        <v>88</v>
      </c>
      <c r="X200" s="266">
        <f>U200*$X$3</f>
        <v>94</v>
      </c>
      <c r="Y200" s="267"/>
      <c r="Z200" s="268">
        <f>W200</f>
        <v>88</v>
      </c>
      <c r="AA200" s="266">
        <f>U200*$AA$3</f>
        <v>141</v>
      </c>
      <c r="AB200" s="267"/>
      <c r="AC200" s="268">
        <f>W200</f>
        <v>88</v>
      </c>
      <c r="AD200" s="266">
        <f>U200*$AD$3</f>
        <v>188</v>
      </c>
      <c r="AE200" s="267"/>
      <c r="AF200" s="268">
        <f>W200</f>
        <v>88</v>
      </c>
      <c r="AG200" s="266">
        <f>U200*$AG$3</f>
        <v>235</v>
      </c>
      <c r="AH200" s="267"/>
      <c r="AI200" s="268">
        <f>W200</f>
        <v>88</v>
      </c>
      <c r="AJ200" s="266">
        <f>U200*$AJ$3</f>
        <v>282</v>
      </c>
      <c r="AK200" s="267"/>
      <c r="AL200" s="268">
        <f>W200</f>
        <v>88</v>
      </c>
      <c r="AM200" s="266">
        <f>U200*$AM$3</f>
        <v>329</v>
      </c>
    </row>
    <row r="201" spans="1:39" s="264" customFormat="1" x14ac:dyDescent="0.2">
      <c r="A201" s="258"/>
      <c r="B201" s="356"/>
      <c r="C201" s="290"/>
      <c r="D201" s="290">
        <f t="shared" si="37"/>
        <v>0</v>
      </c>
      <c r="E201" s="290"/>
      <c r="F201" s="290">
        <f t="shared" si="38"/>
        <v>0</v>
      </c>
      <c r="G201" s="290"/>
      <c r="H201" s="290">
        <f t="shared" si="39"/>
        <v>0</v>
      </c>
      <c r="I201" s="290"/>
      <c r="J201" s="290">
        <f t="shared" si="40"/>
        <v>0</v>
      </c>
      <c r="K201" s="290"/>
      <c r="L201" s="290">
        <f t="shared" si="41"/>
        <v>0</v>
      </c>
      <c r="M201" s="290"/>
      <c r="N201" s="290">
        <f t="shared" si="42"/>
        <v>0</v>
      </c>
      <c r="O201" s="290"/>
      <c r="P201" s="261"/>
      <c r="Q201" s="262"/>
      <c r="R201" s="263"/>
      <c r="S201" s="386"/>
      <c r="T201" s="357"/>
      <c r="U201" s="357"/>
      <c r="W201" s="387"/>
      <c r="X201" s="339"/>
      <c r="Z201" s="387"/>
      <c r="AA201" s="339"/>
      <c r="AC201" s="387"/>
      <c r="AD201" s="339"/>
      <c r="AF201" s="387"/>
      <c r="AG201" s="339"/>
      <c r="AI201" s="387"/>
      <c r="AJ201" s="339"/>
      <c r="AL201" s="387"/>
      <c r="AM201" s="339"/>
    </row>
    <row r="202" spans="1:39" s="264" customFormat="1" x14ac:dyDescent="0.2">
      <c r="A202" s="258" t="s">
        <v>67</v>
      </c>
      <c r="B202" s="206" t="s">
        <v>260</v>
      </c>
      <c r="C202" s="290">
        <f>(W202+X202)*$C$3</f>
        <v>64</v>
      </c>
      <c r="D202" s="290">
        <f>C202*$Q202</f>
        <v>0</v>
      </c>
      <c r="E202" s="290">
        <f>(Z202+AA202)*$E$3</f>
        <v>80</v>
      </c>
      <c r="F202" s="290">
        <f>E202*$Q202</f>
        <v>0</v>
      </c>
      <c r="G202" s="290">
        <f>(AC202+AD202)*$G$3</f>
        <v>480</v>
      </c>
      <c r="H202" s="290">
        <f>G202*$Q202</f>
        <v>0</v>
      </c>
      <c r="I202" s="290">
        <f>(AF202+AG202)*$I$3</f>
        <v>112</v>
      </c>
      <c r="J202" s="290">
        <f>I202*$Q202</f>
        <v>0</v>
      </c>
      <c r="K202" s="290">
        <f>(AI202+AJ202)*$K$3</f>
        <v>384</v>
      </c>
      <c r="L202" s="290">
        <f>K202*$Q202</f>
        <v>0</v>
      </c>
      <c r="M202" s="290">
        <f>(AL202+AM202)*$M$3</f>
        <v>144</v>
      </c>
      <c r="N202" s="290">
        <f>M202*$Q202</f>
        <v>0</v>
      </c>
      <c r="O202" s="290">
        <f>C202+E202+G202+I202+K202+M202</f>
        <v>1264</v>
      </c>
      <c r="P202" s="153" t="s">
        <v>269</v>
      </c>
      <c r="Q202" s="262"/>
      <c r="R202" s="263"/>
      <c r="S202" s="386"/>
      <c r="T202" s="266">
        <f>T224</f>
        <v>16</v>
      </c>
      <c r="U202" s="266">
        <f>U224</f>
        <v>16</v>
      </c>
      <c r="W202" s="268">
        <f>T202*$W$3</f>
        <v>32</v>
      </c>
      <c r="X202" s="266">
        <f>U202*$X$3</f>
        <v>32</v>
      </c>
      <c r="Y202" s="267"/>
      <c r="Z202" s="268">
        <f>W202</f>
        <v>32</v>
      </c>
      <c r="AA202" s="266">
        <f>U202*$AA$3</f>
        <v>48</v>
      </c>
      <c r="AB202" s="267"/>
      <c r="AC202" s="268">
        <f>W202</f>
        <v>32</v>
      </c>
      <c r="AD202" s="266">
        <f>U202*$AD$3</f>
        <v>64</v>
      </c>
      <c r="AE202" s="267"/>
      <c r="AF202" s="268">
        <f>W202</f>
        <v>32</v>
      </c>
      <c r="AG202" s="266">
        <f>U202*$AG$3</f>
        <v>80</v>
      </c>
      <c r="AH202" s="267"/>
      <c r="AI202" s="268">
        <f>W202</f>
        <v>32</v>
      </c>
      <c r="AJ202" s="266">
        <f>U202*$AJ$3</f>
        <v>96</v>
      </c>
      <c r="AK202" s="267"/>
      <c r="AL202" s="268">
        <f>W202</f>
        <v>32</v>
      </c>
      <c r="AM202" s="266">
        <f>U202*$AM$3</f>
        <v>112</v>
      </c>
    </row>
    <row r="203" spans="1:39" s="264" customFormat="1" x14ac:dyDescent="0.2">
      <c r="A203" s="258"/>
      <c r="B203" s="356"/>
      <c r="C203" s="290"/>
      <c r="D203" s="290">
        <f t="shared" si="37"/>
        <v>0</v>
      </c>
      <c r="E203" s="290"/>
      <c r="F203" s="290">
        <f t="shared" si="38"/>
        <v>0</v>
      </c>
      <c r="G203" s="290"/>
      <c r="H203" s="290">
        <f t="shared" si="39"/>
        <v>0</v>
      </c>
      <c r="I203" s="290"/>
      <c r="J203" s="290">
        <f t="shared" si="40"/>
        <v>0</v>
      </c>
      <c r="K203" s="290"/>
      <c r="L203" s="290">
        <f t="shared" si="41"/>
        <v>0</v>
      </c>
      <c r="M203" s="290"/>
      <c r="N203" s="290">
        <f t="shared" si="42"/>
        <v>0</v>
      </c>
      <c r="O203" s="290"/>
      <c r="P203" s="261"/>
      <c r="Q203" s="262"/>
      <c r="R203" s="263"/>
      <c r="S203" s="386"/>
      <c r="T203" s="357"/>
      <c r="U203" s="357"/>
      <c r="W203" s="387"/>
      <c r="X203" s="339"/>
      <c r="Z203" s="387"/>
      <c r="AA203" s="339"/>
      <c r="AC203" s="387"/>
      <c r="AD203" s="339"/>
      <c r="AF203" s="387"/>
      <c r="AG203" s="339"/>
      <c r="AI203" s="387"/>
      <c r="AJ203" s="339"/>
      <c r="AL203" s="387"/>
      <c r="AM203" s="339"/>
    </row>
    <row r="204" spans="1:39" s="264" customFormat="1" x14ac:dyDescent="0.2">
      <c r="A204" s="258" t="s">
        <v>68</v>
      </c>
      <c r="B204" s="206" t="s">
        <v>131</v>
      </c>
      <c r="C204" s="290">
        <f>(W204+X204)*$C$3</f>
        <v>118</v>
      </c>
      <c r="D204" s="290">
        <f>C204*$Q204</f>
        <v>0</v>
      </c>
      <c r="E204" s="290">
        <f>(Z204+AA204)*$E$3</f>
        <v>146</v>
      </c>
      <c r="F204" s="290">
        <f>E204*$Q204</f>
        <v>0</v>
      </c>
      <c r="G204" s="290">
        <f>(AC204+AD204)*$G$3</f>
        <v>870</v>
      </c>
      <c r="H204" s="290">
        <f>G204*$Q204</f>
        <v>0</v>
      </c>
      <c r="I204" s="290">
        <f>(AF204+AG204)*$I$3</f>
        <v>202</v>
      </c>
      <c r="J204" s="290">
        <f>I204*$Q204</f>
        <v>0</v>
      </c>
      <c r="K204" s="290">
        <f>(AI204+AJ204)*$K$3</f>
        <v>690</v>
      </c>
      <c r="L204" s="290">
        <f>K204*$Q204</f>
        <v>0</v>
      </c>
      <c r="M204" s="290">
        <f>(AL204+AM204)*$M$3</f>
        <v>258</v>
      </c>
      <c r="N204" s="290">
        <f>M204*$Q204</f>
        <v>0</v>
      </c>
      <c r="O204" s="290">
        <f>C204+E204+G204+I204+K204+M204</f>
        <v>2284</v>
      </c>
      <c r="P204" s="153" t="s">
        <v>269</v>
      </c>
      <c r="Q204" s="262"/>
      <c r="R204" s="263"/>
      <c r="S204" s="386"/>
      <c r="T204" s="339">
        <v>31</v>
      </c>
      <c r="U204" s="266">
        <v>28</v>
      </c>
      <c r="W204" s="268">
        <f>T204*$W$3</f>
        <v>62</v>
      </c>
      <c r="X204" s="266">
        <f>U204*$X$3</f>
        <v>56</v>
      </c>
      <c r="Y204" s="267"/>
      <c r="Z204" s="268">
        <f>W204</f>
        <v>62</v>
      </c>
      <c r="AA204" s="266">
        <f>U204*$AA$3</f>
        <v>84</v>
      </c>
      <c r="AB204" s="267"/>
      <c r="AC204" s="268">
        <f>W204</f>
        <v>62</v>
      </c>
      <c r="AD204" s="266">
        <f>U204*$AD$3</f>
        <v>112</v>
      </c>
      <c r="AE204" s="267"/>
      <c r="AF204" s="268">
        <f>W204</f>
        <v>62</v>
      </c>
      <c r="AG204" s="266">
        <f>U204*$AG$3</f>
        <v>140</v>
      </c>
      <c r="AH204" s="267"/>
      <c r="AI204" s="268">
        <f>W204</f>
        <v>62</v>
      </c>
      <c r="AJ204" s="266">
        <f>U204*$AJ$3</f>
        <v>168</v>
      </c>
      <c r="AK204" s="267"/>
      <c r="AL204" s="268">
        <f>W204</f>
        <v>62</v>
      </c>
      <c r="AM204" s="266">
        <f>U204*$AM$3</f>
        <v>196</v>
      </c>
    </row>
    <row r="205" spans="1:39" s="264" customFormat="1" x14ac:dyDescent="0.2">
      <c r="A205" s="258"/>
      <c r="B205" s="356"/>
      <c r="C205" s="290"/>
      <c r="D205" s="290">
        <f t="shared" si="37"/>
        <v>0</v>
      </c>
      <c r="E205" s="290"/>
      <c r="F205" s="290">
        <f t="shared" si="38"/>
        <v>0</v>
      </c>
      <c r="G205" s="290"/>
      <c r="H205" s="290">
        <f t="shared" si="39"/>
        <v>0</v>
      </c>
      <c r="I205" s="290"/>
      <c r="J205" s="290">
        <f t="shared" si="40"/>
        <v>0</v>
      </c>
      <c r="K205" s="290"/>
      <c r="L205" s="290">
        <f t="shared" si="41"/>
        <v>0</v>
      </c>
      <c r="M205" s="290"/>
      <c r="N205" s="290">
        <f t="shared" si="42"/>
        <v>0</v>
      </c>
      <c r="O205" s="290"/>
      <c r="P205" s="261"/>
      <c r="Q205" s="262"/>
      <c r="R205" s="263"/>
      <c r="S205" s="386"/>
      <c r="T205" s="357"/>
      <c r="U205" s="357"/>
      <c r="W205" s="387"/>
      <c r="X205" s="339"/>
      <c r="Z205" s="387"/>
      <c r="AA205" s="339"/>
      <c r="AC205" s="387"/>
      <c r="AD205" s="339"/>
      <c r="AF205" s="387"/>
      <c r="AG205" s="339"/>
      <c r="AI205" s="387"/>
      <c r="AJ205" s="339"/>
      <c r="AL205" s="387"/>
      <c r="AM205" s="339"/>
    </row>
    <row r="206" spans="1:39" s="264" customFormat="1" ht="28.5" x14ac:dyDescent="0.2">
      <c r="A206" s="258"/>
      <c r="B206" s="413" t="s">
        <v>845</v>
      </c>
      <c r="C206" s="290"/>
      <c r="D206" s="290"/>
      <c r="E206" s="290"/>
      <c r="F206" s="290"/>
      <c r="G206" s="290"/>
      <c r="H206" s="290"/>
      <c r="I206" s="290"/>
      <c r="J206" s="290"/>
      <c r="K206" s="290"/>
      <c r="L206" s="290"/>
      <c r="M206" s="290"/>
      <c r="N206" s="290"/>
      <c r="O206" s="290"/>
      <c r="P206" s="153"/>
      <c r="Q206" s="262"/>
      <c r="R206" s="263"/>
      <c r="S206" s="386"/>
      <c r="T206" s="339"/>
      <c r="U206" s="266"/>
      <c r="W206" s="268"/>
      <c r="X206" s="266"/>
      <c r="Y206" s="267"/>
      <c r="Z206" s="268"/>
      <c r="AA206" s="266"/>
      <c r="AB206" s="267"/>
      <c r="AC206" s="268"/>
      <c r="AD206" s="266"/>
      <c r="AE206" s="267"/>
      <c r="AF206" s="268"/>
      <c r="AG206" s="266"/>
      <c r="AH206" s="267"/>
      <c r="AI206" s="268"/>
      <c r="AJ206" s="266"/>
      <c r="AK206" s="267"/>
      <c r="AL206" s="268"/>
      <c r="AM206" s="266"/>
    </row>
    <row r="207" spans="1:39" s="264" customFormat="1" x14ac:dyDescent="0.2">
      <c r="A207" s="258"/>
      <c r="B207" s="356"/>
      <c r="C207" s="290"/>
      <c r="D207" s="290"/>
      <c r="E207" s="290"/>
      <c r="F207" s="290"/>
      <c r="G207" s="290"/>
      <c r="H207" s="290"/>
      <c r="I207" s="290"/>
      <c r="J207" s="290"/>
      <c r="K207" s="290"/>
      <c r="L207" s="290"/>
      <c r="M207" s="290"/>
      <c r="N207" s="290"/>
      <c r="O207" s="290"/>
      <c r="P207" s="261"/>
      <c r="Q207" s="262"/>
      <c r="R207" s="263"/>
      <c r="S207" s="386"/>
      <c r="T207" s="414"/>
      <c r="U207" s="414"/>
      <c r="W207" s="387"/>
      <c r="X207" s="339"/>
      <c r="Z207" s="387"/>
      <c r="AA207" s="339"/>
      <c r="AC207" s="387"/>
      <c r="AD207" s="339"/>
      <c r="AF207" s="387"/>
      <c r="AG207" s="339"/>
      <c r="AI207" s="387"/>
      <c r="AJ207" s="339"/>
      <c r="AL207" s="387"/>
      <c r="AM207" s="339"/>
    </row>
    <row r="208" spans="1:39" s="264" customFormat="1" ht="14.25" customHeight="1" x14ac:dyDescent="0.2">
      <c r="A208" s="258" t="s">
        <v>69</v>
      </c>
      <c r="B208" s="356" t="s">
        <v>846</v>
      </c>
      <c r="C208" s="290">
        <f>(W208+X208)*$C$3</f>
        <v>8</v>
      </c>
      <c r="D208" s="290">
        <f>C208*$Q208</f>
        <v>0</v>
      </c>
      <c r="E208" s="290">
        <f>(Z208+AA208)*$E$3</f>
        <v>10</v>
      </c>
      <c r="F208" s="290">
        <f>E208*$Q208</f>
        <v>0</v>
      </c>
      <c r="G208" s="290">
        <f>(AC208+AD208)*$G$3</f>
        <v>60</v>
      </c>
      <c r="H208" s="290">
        <f>G208*$Q208</f>
        <v>0</v>
      </c>
      <c r="I208" s="290">
        <f>(AF208+AG208)*$I$3</f>
        <v>14</v>
      </c>
      <c r="J208" s="290">
        <f>I208*$Q208</f>
        <v>0</v>
      </c>
      <c r="K208" s="290">
        <f>(AI208+AJ208)*$K$3</f>
        <v>48</v>
      </c>
      <c r="L208" s="290">
        <f>K208*$Q208</f>
        <v>0</v>
      </c>
      <c r="M208" s="290">
        <f>(AL208+AM208)*$M$3</f>
        <v>18</v>
      </c>
      <c r="N208" s="290">
        <f>M208*$Q208</f>
        <v>0</v>
      </c>
      <c r="O208" s="290">
        <f>C208+E208+G208+I208+K208+M208</f>
        <v>158</v>
      </c>
      <c r="P208" s="153" t="s">
        <v>269</v>
      </c>
      <c r="Q208" s="262"/>
      <c r="R208" s="263"/>
      <c r="S208" s="386"/>
      <c r="T208" s="339">
        <v>2</v>
      </c>
      <c r="U208" s="266">
        <v>2</v>
      </c>
      <c r="W208" s="268">
        <f>T208*$W$3</f>
        <v>4</v>
      </c>
      <c r="X208" s="266">
        <f>U208*$X$3</f>
        <v>4</v>
      </c>
      <c r="Y208" s="267"/>
      <c r="Z208" s="268">
        <f>W208</f>
        <v>4</v>
      </c>
      <c r="AA208" s="266">
        <f>U208*$AA$3</f>
        <v>6</v>
      </c>
      <c r="AB208" s="267"/>
      <c r="AC208" s="268">
        <f>W208</f>
        <v>4</v>
      </c>
      <c r="AD208" s="266">
        <f>U208*$AD$3</f>
        <v>8</v>
      </c>
      <c r="AE208" s="267"/>
      <c r="AF208" s="268">
        <f>W208</f>
        <v>4</v>
      </c>
      <c r="AG208" s="266">
        <f>U208*$AG$3</f>
        <v>10</v>
      </c>
      <c r="AH208" s="267"/>
      <c r="AI208" s="268">
        <f>W208</f>
        <v>4</v>
      </c>
      <c r="AJ208" s="266">
        <f>U208*$AJ$3</f>
        <v>12</v>
      </c>
      <c r="AK208" s="267"/>
      <c r="AL208" s="268">
        <f>W208</f>
        <v>4</v>
      </c>
      <c r="AM208" s="266">
        <f>U208*$AM$3</f>
        <v>14</v>
      </c>
    </row>
    <row r="209" spans="1:39" s="264" customFormat="1" ht="14.25" customHeight="1" x14ac:dyDescent="0.2">
      <c r="A209" s="258"/>
      <c r="B209" s="356"/>
      <c r="C209" s="290"/>
      <c r="D209" s="290"/>
      <c r="E209" s="290"/>
      <c r="F209" s="290"/>
      <c r="G209" s="290"/>
      <c r="H209" s="290"/>
      <c r="I209" s="290"/>
      <c r="J209" s="290"/>
      <c r="K209" s="290"/>
      <c r="L209" s="290"/>
      <c r="M209" s="290"/>
      <c r="N209" s="290"/>
      <c r="O209" s="290"/>
      <c r="P209" s="261"/>
      <c r="Q209" s="262"/>
      <c r="R209" s="263"/>
      <c r="S209" s="386"/>
      <c r="T209" s="414"/>
      <c r="U209" s="414"/>
      <c r="W209" s="387"/>
      <c r="X209" s="339"/>
      <c r="Z209" s="387"/>
      <c r="AA209" s="339"/>
      <c r="AC209" s="387"/>
      <c r="AD209" s="339"/>
      <c r="AF209" s="387"/>
      <c r="AG209" s="339"/>
      <c r="AI209" s="387"/>
      <c r="AJ209" s="339"/>
      <c r="AL209" s="387"/>
      <c r="AM209" s="339"/>
    </row>
    <row r="210" spans="1:39" s="264" customFormat="1" ht="14.25" customHeight="1" x14ac:dyDescent="0.2">
      <c r="A210" s="258" t="s">
        <v>70</v>
      </c>
      <c r="B210" s="356" t="s">
        <v>847</v>
      </c>
      <c r="C210" s="290">
        <f>(W210+X210)*$C$3</f>
        <v>4</v>
      </c>
      <c r="D210" s="290">
        <f>C210*$Q210</f>
        <v>0</v>
      </c>
      <c r="E210" s="290">
        <f>(Z210+AA210)*$E$3</f>
        <v>5</v>
      </c>
      <c r="F210" s="290">
        <f>E210*$Q210</f>
        <v>0</v>
      </c>
      <c r="G210" s="290">
        <f>(AC210+AD210)*$G$3</f>
        <v>30</v>
      </c>
      <c r="H210" s="290">
        <f>G210*$Q210</f>
        <v>0</v>
      </c>
      <c r="I210" s="290">
        <f>(AF210+AG210)*$I$3</f>
        <v>7</v>
      </c>
      <c r="J210" s="290">
        <f>I210*$Q210</f>
        <v>0</v>
      </c>
      <c r="K210" s="290">
        <f>(AI210+AJ210)*$K$3</f>
        <v>24</v>
      </c>
      <c r="L210" s="290">
        <f>K210*$Q210</f>
        <v>0</v>
      </c>
      <c r="M210" s="290">
        <f>(AL210+AM210)*$M$3</f>
        <v>9</v>
      </c>
      <c r="N210" s="290">
        <f>M210*$Q210</f>
        <v>0</v>
      </c>
      <c r="O210" s="290">
        <f>C210+E210+G210+I210+K210+M210</f>
        <v>79</v>
      </c>
      <c r="P210" s="153" t="s">
        <v>269</v>
      </c>
      <c r="Q210" s="262"/>
      <c r="R210" s="263"/>
      <c r="S210" s="386"/>
      <c r="T210" s="339">
        <v>1</v>
      </c>
      <c r="U210" s="266">
        <v>1</v>
      </c>
      <c r="W210" s="268">
        <f>T210*$W$3</f>
        <v>2</v>
      </c>
      <c r="X210" s="266">
        <f>U210*$X$3</f>
        <v>2</v>
      </c>
      <c r="Y210" s="267"/>
      <c r="Z210" s="268">
        <f>W210</f>
        <v>2</v>
      </c>
      <c r="AA210" s="266">
        <f>U210*$AA$3</f>
        <v>3</v>
      </c>
      <c r="AB210" s="267"/>
      <c r="AC210" s="268">
        <f>W210</f>
        <v>2</v>
      </c>
      <c r="AD210" s="266">
        <f>U210*$AD$3</f>
        <v>4</v>
      </c>
      <c r="AE210" s="267"/>
      <c r="AF210" s="268">
        <f>W210</f>
        <v>2</v>
      </c>
      <c r="AG210" s="266">
        <f>U210*$AG$3</f>
        <v>5</v>
      </c>
      <c r="AH210" s="267"/>
      <c r="AI210" s="268">
        <f>W210</f>
        <v>2</v>
      </c>
      <c r="AJ210" s="266">
        <f>U210*$AJ$3</f>
        <v>6</v>
      </c>
      <c r="AK210" s="267"/>
      <c r="AL210" s="268">
        <f>W210</f>
        <v>2</v>
      </c>
      <c r="AM210" s="266">
        <f>U210*$AM$3</f>
        <v>7</v>
      </c>
    </row>
    <row r="211" spans="1:39" s="264" customFormat="1" ht="14.25" customHeight="1" x14ac:dyDescent="0.2">
      <c r="A211" s="258"/>
      <c r="B211" s="356"/>
      <c r="C211" s="290"/>
      <c r="D211" s="290"/>
      <c r="E211" s="290"/>
      <c r="F211" s="290"/>
      <c r="G211" s="290"/>
      <c r="H211" s="290"/>
      <c r="I211" s="290"/>
      <c r="J211" s="290"/>
      <c r="K211" s="290"/>
      <c r="L211" s="290"/>
      <c r="M211" s="290"/>
      <c r="N211" s="290"/>
      <c r="O211" s="290"/>
      <c r="P211" s="261"/>
      <c r="Q211" s="262"/>
      <c r="R211" s="263"/>
      <c r="S211" s="386"/>
      <c r="T211" s="357"/>
      <c r="U211" s="357"/>
      <c r="W211" s="387"/>
      <c r="X211" s="339"/>
      <c r="Z211" s="387"/>
      <c r="AA211" s="339"/>
      <c r="AC211" s="387"/>
      <c r="AD211" s="339"/>
      <c r="AF211" s="387"/>
      <c r="AG211" s="339"/>
      <c r="AI211" s="387"/>
      <c r="AJ211" s="339"/>
      <c r="AL211" s="387"/>
      <c r="AM211" s="339"/>
    </row>
    <row r="212" spans="1:39" s="264" customFormat="1" ht="14.25" customHeight="1" x14ac:dyDescent="0.2">
      <c r="A212" s="258" t="s">
        <v>71</v>
      </c>
      <c r="B212" s="356" t="s">
        <v>848</v>
      </c>
      <c r="C212" s="290">
        <f>(W212+X212)*$C$3</f>
        <v>18</v>
      </c>
      <c r="D212" s="290">
        <f>C212*$Q212</f>
        <v>0</v>
      </c>
      <c r="E212" s="290">
        <f>(Z212+AA212)*$E$3</f>
        <v>22</v>
      </c>
      <c r="F212" s="290">
        <f>E212*$Q212</f>
        <v>0</v>
      </c>
      <c r="G212" s="290">
        <f>(AC212+AD212)*$G$3</f>
        <v>130</v>
      </c>
      <c r="H212" s="290">
        <f>G212*$Q212</f>
        <v>0</v>
      </c>
      <c r="I212" s="290">
        <f>(AF212+AG212)*$I$3</f>
        <v>30</v>
      </c>
      <c r="J212" s="290">
        <f>I212*$Q212</f>
        <v>0</v>
      </c>
      <c r="K212" s="290">
        <f>(AI212+AJ212)*$K$3</f>
        <v>102</v>
      </c>
      <c r="L212" s="290">
        <f>K212*$Q212</f>
        <v>0</v>
      </c>
      <c r="M212" s="290">
        <f>(AL212+AM212)*$M$3</f>
        <v>38</v>
      </c>
      <c r="N212" s="290">
        <f>M212*$Q212</f>
        <v>0</v>
      </c>
      <c r="O212" s="290">
        <f>C212+E212+G212+I212+K212+M212</f>
        <v>340</v>
      </c>
      <c r="P212" s="153" t="s">
        <v>269</v>
      </c>
      <c r="Q212" s="262"/>
      <c r="R212" s="263"/>
      <c r="S212" s="386"/>
      <c r="T212" s="339">
        <v>5</v>
      </c>
      <c r="U212" s="266">
        <v>4</v>
      </c>
      <c r="W212" s="268">
        <f>T212*$W$3</f>
        <v>10</v>
      </c>
      <c r="X212" s="266">
        <f>U212*$X$3</f>
        <v>8</v>
      </c>
      <c r="Y212" s="267"/>
      <c r="Z212" s="268">
        <f>W212</f>
        <v>10</v>
      </c>
      <c r="AA212" s="266">
        <f>U212*$AA$3</f>
        <v>12</v>
      </c>
      <c r="AB212" s="267"/>
      <c r="AC212" s="268">
        <f>W212</f>
        <v>10</v>
      </c>
      <c r="AD212" s="266">
        <f>U212*$AD$3</f>
        <v>16</v>
      </c>
      <c r="AE212" s="267"/>
      <c r="AF212" s="268">
        <f>W212</f>
        <v>10</v>
      </c>
      <c r="AG212" s="266">
        <f>U212*$AG$3</f>
        <v>20</v>
      </c>
      <c r="AH212" s="267"/>
      <c r="AI212" s="268">
        <f>W212</f>
        <v>10</v>
      </c>
      <c r="AJ212" s="266">
        <f>U212*$AJ$3</f>
        <v>24</v>
      </c>
      <c r="AK212" s="267"/>
      <c r="AL212" s="268">
        <f>W212</f>
        <v>10</v>
      </c>
      <c r="AM212" s="266">
        <f>U212*$AM$3</f>
        <v>28</v>
      </c>
    </row>
    <row r="213" spans="1:39" s="264" customFormat="1" x14ac:dyDescent="0.2">
      <c r="A213" s="258"/>
      <c r="B213" s="356"/>
      <c r="C213" s="290"/>
      <c r="D213" s="290"/>
      <c r="E213" s="290"/>
      <c r="F213" s="290"/>
      <c r="G213" s="290"/>
      <c r="H213" s="290"/>
      <c r="I213" s="290"/>
      <c r="J213" s="290"/>
      <c r="K213" s="290"/>
      <c r="L213" s="290"/>
      <c r="M213" s="290"/>
      <c r="N213" s="290"/>
      <c r="O213" s="290"/>
      <c r="P213" s="261"/>
      <c r="Q213" s="262"/>
      <c r="R213" s="263"/>
      <c r="S213" s="386"/>
      <c r="T213" s="414"/>
      <c r="U213" s="414"/>
      <c r="W213" s="387"/>
      <c r="X213" s="339"/>
      <c r="Z213" s="387"/>
      <c r="AA213" s="339"/>
      <c r="AC213" s="387"/>
      <c r="AD213" s="339"/>
      <c r="AF213" s="387"/>
      <c r="AG213" s="339"/>
      <c r="AI213" s="387"/>
      <c r="AJ213" s="339"/>
      <c r="AL213" s="387"/>
      <c r="AM213" s="339"/>
    </row>
    <row r="214" spans="1:39" s="264" customFormat="1" x14ac:dyDescent="0.2">
      <c r="A214" s="258" t="s">
        <v>72</v>
      </c>
      <c r="B214" s="356" t="s">
        <v>849</v>
      </c>
      <c r="C214" s="290">
        <f>(W214+X214)*$C$3</f>
        <v>4</v>
      </c>
      <c r="D214" s="290">
        <f>C214*$Q214</f>
        <v>0</v>
      </c>
      <c r="E214" s="290">
        <f>(Z214+AA214)*$E$3</f>
        <v>5</v>
      </c>
      <c r="F214" s="290">
        <f>E214*$Q214</f>
        <v>0</v>
      </c>
      <c r="G214" s="290">
        <f>(AC214+AD214)*$G$3</f>
        <v>30</v>
      </c>
      <c r="H214" s="290">
        <f>G214*$Q214</f>
        <v>0</v>
      </c>
      <c r="I214" s="290">
        <f>(AF214+AG214)*$I$3</f>
        <v>7</v>
      </c>
      <c r="J214" s="290">
        <f>I214*$Q214</f>
        <v>0</v>
      </c>
      <c r="K214" s="290">
        <f>(AI214+AJ214)*$K$3</f>
        <v>24</v>
      </c>
      <c r="L214" s="290">
        <f>K214*$Q214</f>
        <v>0</v>
      </c>
      <c r="M214" s="290">
        <f>(AL214+AM214)*$M$3</f>
        <v>9</v>
      </c>
      <c r="N214" s="290">
        <f>M214*$Q214</f>
        <v>0</v>
      </c>
      <c r="O214" s="290">
        <f>C214+E214+G214+I214+K214+M214</f>
        <v>79</v>
      </c>
      <c r="P214" s="153" t="s">
        <v>269</v>
      </c>
      <c r="Q214" s="262"/>
      <c r="R214" s="263"/>
      <c r="S214" s="386"/>
      <c r="T214" s="339">
        <v>1</v>
      </c>
      <c r="U214" s="266">
        <v>1</v>
      </c>
      <c r="W214" s="268">
        <f>T214*$W$3</f>
        <v>2</v>
      </c>
      <c r="X214" s="266">
        <f>U214*$X$3</f>
        <v>2</v>
      </c>
      <c r="Y214" s="267"/>
      <c r="Z214" s="268">
        <f>W214</f>
        <v>2</v>
      </c>
      <c r="AA214" s="266">
        <f>U214*$AA$3</f>
        <v>3</v>
      </c>
      <c r="AB214" s="267"/>
      <c r="AC214" s="268">
        <f>W214</f>
        <v>2</v>
      </c>
      <c r="AD214" s="266">
        <f>U214*$AD$3</f>
        <v>4</v>
      </c>
      <c r="AE214" s="267"/>
      <c r="AF214" s="268">
        <f>W214</f>
        <v>2</v>
      </c>
      <c r="AG214" s="266">
        <f>U214*$AG$3</f>
        <v>5</v>
      </c>
      <c r="AH214" s="267"/>
      <c r="AI214" s="268">
        <f>W214</f>
        <v>2</v>
      </c>
      <c r="AJ214" s="266">
        <f>U214*$AJ$3</f>
        <v>6</v>
      </c>
      <c r="AK214" s="267"/>
      <c r="AL214" s="268">
        <f>W214</f>
        <v>2</v>
      </c>
      <c r="AM214" s="266">
        <f>U214*$AM$3</f>
        <v>7</v>
      </c>
    </row>
    <row r="215" spans="1:39" s="264" customFormat="1" x14ac:dyDescent="0.2">
      <c r="A215" s="308"/>
      <c r="B215" s="356"/>
      <c r="C215" s="290"/>
      <c r="D215" s="290"/>
      <c r="E215" s="290"/>
      <c r="F215" s="290"/>
      <c r="G215" s="290"/>
      <c r="H215" s="290"/>
      <c r="I215" s="290"/>
      <c r="J215" s="290"/>
      <c r="K215" s="290"/>
      <c r="L215" s="290"/>
      <c r="M215" s="290"/>
      <c r="N215" s="290"/>
      <c r="O215" s="290"/>
      <c r="P215" s="261"/>
      <c r="Q215" s="262"/>
      <c r="R215" s="263"/>
      <c r="S215" s="386"/>
      <c r="T215" s="357"/>
      <c r="U215" s="357"/>
      <c r="W215" s="387"/>
      <c r="X215" s="339"/>
      <c r="Z215" s="387"/>
      <c r="AA215" s="339"/>
      <c r="AC215" s="387"/>
      <c r="AD215" s="339"/>
      <c r="AF215" s="387"/>
      <c r="AG215" s="339"/>
      <c r="AI215" s="387"/>
      <c r="AJ215" s="339"/>
      <c r="AL215" s="387"/>
      <c r="AM215" s="339"/>
    </row>
    <row r="216" spans="1:39" s="264" customFormat="1" x14ac:dyDescent="0.2">
      <c r="A216" s="308" t="s">
        <v>73</v>
      </c>
      <c r="B216" s="206" t="s">
        <v>850</v>
      </c>
      <c r="C216" s="290">
        <f>(W216+X216)*$C$3</f>
        <v>4</v>
      </c>
      <c r="D216" s="290">
        <f>C216*$Q216</f>
        <v>0</v>
      </c>
      <c r="E216" s="290">
        <f>(Z216+AA216)*$E$3</f>
        <v>5</v>
      </c>
      <c r="F216" s="290">
        <f>E216*$Q216</f>
        <v>0</v>
      </c>
      <c r="G216" s="290">
        <f>(AC216+AD216)*$G$3</f>
        <v>30</v>
      </c>
      <c r="H216" s="290">
        <f>G216*$Q216</f>
        <v>0</v>
      </c>
      <c r="I216" s="290">
        <f>(AF216+AG216)*$I$3</f>
        <v>7</v>
      </c>
      <c r="J216" s="290">
        <f>I216*$Q216</f>
        <v>0</v>
      </c>
      <c r="K216" s="290">
        <f>(AI216+AJ216)*$K$3</f>
        <v>24</v>
      </c>
      <c r="L216" s="290">
        <f>K216*$Q216</f>
        <v>0</v>
      </c>
      <c r="M216" s="290">
        <f>(AL216+AM216)*$M$3</f>
        <v>9</v>
      </c>
      <c r="N216" s="290">
        <f>M216*$Q216</f>
        <v>0</v>
      </c>
      <c r="O216" s="290">
        <f>C216+E216+G216+I216+K216+M216</f>
        <v>79</v>
      </c>
      <c r="P216" s="153" t="s">
        <v>269</v>
      </c>
      <c r="Q216" s="262"/>
      <c r="R216" s="263"/>
      <c r="S216" s="386"/>
      <c r="T216" s="357">
        <v>1</v>
      </c>
      <c r="U216" s="357">
        <v>1</v>
      </c>
      <c r="W216" s="268">
        <f>T216*$W$3</f>
        <v>2</v>
      </c>
      <c r="X216" s="266">
        <f>U216*$X$3</f>
        <v>2</v>
      </c>
      <c r="Y216" s="267"/>
      <c r="Z216" s="268">
        <f>W216</f>
        <v>2</v>
      </c>
      <c r="AA216" s="266">
        <f>U216*$AA$3</f>
        <v>3</v>
      </c>
      <c r="AB216" s="267"/>
      <c r="AC216" s="268">
        <f>W216</f>
        <v>2</v>
      </c>
      <c r="AD216" s="266">
        <f>U216*$AD$3</f>
        <v>4</v>
      </c>
      <c r="AE216" s="267"/>
      <c r="AF216" s="268">
        <f>W216</f>
        <v>2</v>
      </c>
      <c r="AG216" s="266">
        <f>U216*$AG$3</f>
        <v>5</v>
      </c>
      <c r="AH216" s="267"/>
      <c r="AI216" s="268">
        <f>W216</f>
        <v>2</v>
      </c>
      <c r="AJ216" s="266">
        <f>U216*$AJ$3</f>
        <v>6</v>
      </c>
      <c r="AK216" s="267"/>
      <c r="AL216" s="268">
        <f>W216</f>
        <v>2</v>
      </c>
      <c r="AM216" s="266">
        <f>U216*$AM$3</f>
        <v>7</v>
      </c>
    </row>
    <row r="217" spans="1:39" s="264" customFormat="1" x14ac:dyDescent="0.2">
      <c r="A217" s="308"/>
      <c r="B217" s="259"/>
      <c r="C217" s="290"/>
      <c r="D217" s="290"/>
      <c r="E217" s="290"/>
      <c r="F217" s="290"/>
      <c r="G217" s="290"/>
      <c r="H217" s="290"/>
      <c r="I217" s="290"/>
      <c r="J217" s="290"/>
      <c r="K217" s="290"/>
      <c r="L217" s="290"/>
      <c r="M217" s="290"/>
      <c r="N217" s="290"/>
      <c r="O217" s="290"/>
      <c r="P217" s="261"/>
      <c r="Q217" s="262"/>
      <c r="R217" s="263"/>
      <c r="S217" s="386"/>
      <c r="T217" s="357"/>
      <c r="U217" s="357"/>
      <c r="W217" s="387"/>
      <c r="X217" s="339"/>
      <c r="Z217" s="387"/>
      <c r="AA217" s="339"/>
      <c r="AC217" s="387"/>
      <c r="AD217" s="339"/>
      <c r="AF217" s="387"/>
      <c r="AG217" s="339"/>
      <c r="AI217" s="387"/>
      <c r="AJ217" s="339"/>
      <c r="AL217" s="387"/>
      <c r="AM217" s="339"/>
    </row>
    <row r="218" spans="1:39" s="264" customFormat="1" x14ac:dyDescent="0.2">
      <c r="A218" s="258" t="s">
        <v>74</v>
      </c>
      <c r="B218" s="206" t="s">
        <v>851</v>
      </c>
      <c r="C218" s="290">
        <f>(W218+X218)*$C$3</f>
        <v>78</v>
      </c>
      <c r="D218" s="290">
        <f>C218*$Q218</f>
        <v>0</v>
      </c>
      <c r="E218" s="290">
        <f>(Z218+AA218)*$E$3</f>
        <v>100</v>
      </c>
      <c r="F218" s="290">
        <f>E218*$Q218</f>
        <v>0</v>
      </c>
      <c r="G218" s="290">
        <f>(AC218+AD218)*$G$3</f>
        <v>610</v>
      </c>
      <c r="H218" s="290">
        <f>G218*$Q218</f>
        <v>0</v>
      </c>
      <c r="I218" s="290">
        <f>(AF218+AG218)*$I$3</f>
        <v>144</v>
      </c>
      <c r="J218" s="290">
        <f>I218*$Q218</f>
        <v>0</v>
      </c>
      <c r="K218" s="290">
        <f>(AI218+AJ218)*$K$3</f>
        <v>498</v>
      </c>
      <c r="L218" s="290">
        <f>K218*$Q218</f>
        <v>0</v>
      </c>
      <c r="M218" s="290">
        <f>(AL218+AM218)*$M$3</f>
        <v>188</v>
      </c>
      <c r="N218" s="290">
        <f>M218*$Q218</f>
        <v>0</v>
      </c>
      <c r="O218" s="290">
        <f>C218+E218+G218+I218+K218+M218</f>
        <v>1618</v>
      </c>
      <c r="P218" s="153" t="s">
        <v>269</v>
      </c>
      <c r="Q218" s="262"/>
      <c r="R218" s="263"/>
      <c r="S218" s="386"/>
      <c r="T218" s="339">
        <v>17</v>
      </c>
      <c r="U218" s="266">
        <v>22</v>
      </c>
      <c r="W218" s="268">
        <f>T218*$W$3</f>
        <v>34</v>
      </c>
      <c r="X218" s="266">
        <f>U218*$X$3</f>
        <v>44</v>
      </c>
      <c r="Y218" s="267"/>
      <c r="Z218" s="268">
        <f>W218</f>
        <v>34</v>
      </c>
      <c r="AA218" s="266">
        <f>U218*$AA$3</f>
        <v>66</v>
      </c>
      <c r="AB218" s="267"/>
      <c r="AC218" s="268">
        <f>W218</f>
        <v>34</v>
      </c>
      <c r="AD218" s="266">
        <f>U218*$AD$3</f>
        <v>88</v>
      </c>
      <c r="AE218" s="267"/>
      <c r="AF218" s="268">
        <f>W218</f>
        <v>34</v>
      </c>
      <c r="AG218" s="266">
        <f>U218*$AG$3</f>
        <v>110</v>
      </c>
      <c r="AH218" s="267"/>
      <c r="AI218" s="268">
        <f>W218</f>
        <v>34</v>
      </c>
      <c r="AJ218" s="266">
        <f>U218*$AJ$3</f>
        <v>132</v>
      </c>
      <c r="AK218" s="267"/>
      <c r="AL218" s="268">
        <f>W218</f>
        <v>34</v>
      </c>
      <c r="AM218" s="266">
        <f>U218*$AM$3</f>
        <v>154</v>
      </c>
    </row>
    <row r="219" spans="1:39" s="264" customFormat="1" ht="15" x14ac:dyDescent="0.25">
      <c r="A219" s="258"/>
      <c r="B219" s="293"/>
      <c r="C219" s="290"/>
      <c r="D219" s="290"/>
      <c r="E219" s="290"/>
      <c r="F219" s="290"/>
      <c r="G219" s="290"/>
      <c r="H219" s="290"/>
      <c r="I219" s="290"/>
      <c r="J219" s="290"/>
      <c r="K219" s="290"/>
      <c r="L219" s="290"/>
      <c r="M219" s="290"/>
      <c r="N219" s="290"/>
      <c r="O219" s="290"/>
      <c r="P219" s="261"/>
      <c r="Q219" s="262"/>
      <c r="R219" s="263"/>
      <c r="S219" s="386"/>
      <c r="T219" s="414"/>
      <c r="U219" s="415"/>
      <c r="W219" s="387"/>
      <c r="X219" s="339"/>
      <c r="Z219" s="387"/>
      <c r="AA219" s="339"/>
      <c r="AC219" s="387"/>
      <c r="AD219" s="339"/>
      <c r="AF219" s="387"/>
      <c r="AG219" s="339"/>
      <c r="AI219" s="387"/>
      <c r="AJ219" s="339"/>
      <c r="AL219" s="387"/>
      <c r="AM219" s="339"/>
    </row>
    <row r="220" spans="1:39" s="264" customFormat="1" x14ac:dyDescent="0.2">
      <c r="A220" s="308" t="s">
        <v>75</v>
      </c>
      <c r="B220" s="356" t="s">
        <v>852</v>
      </c>
      <c r="C220" s="290">
        <f>(W220+X220)*$C$3</f>
        <v>32</v>
      </c>
      <c r="D220" s="290">
        <f>C220*$Q220</f>
        <v>0</v>
      </c>
      <c r="E220" s="290">
        <f>(Z220+AA220)*$E$3</f>
        <v>40</v>
      </c>
      <c r="F220" s="290">
        <f>E220*$Q220</f>
        <v>0</v>
      </c>
      <c r="G220" s="290">
        <f>(AC220+AD220)*$G$3</f>
        <v>240</v>
      </c>
      <c r="H220" s="290">
        <f>G220*$Q220</f>
        <v>0</v>
      </c>
      <c r="I220" s="290">
        <f>(AF220+AG220)*$I$3</f>
        <v>56</v>
      </c>
      <c r="J220" s="290">
        <f>I220*$Q220</f>
        <v>0</v>
      </c>
      <c r="K220" s="290">
        <f>(AI220+AJ220)*$K$3</f>
        <v>192</v>
      </c>
      <c r="L220" s="290">
        <f>K220*$Q220</f>
        <v>0</v>
      </c>
      <c r="M220" s="290">
        <f>(AL220+AM220)*$M$3</f>
        <v>72</v>
      </c>
      <c r="N220" s="290">
        <f>M220*$Q220</f>
        <v>0</v>
      </c>
      <c r="O220" s="290">
        <f>C220+E220+G220+I220+K220+M220</f>
        <v>632</v>
      </c>
      <c r="P220" s="153" t="s">
        <v>269</v>
      </c>
      <c r="Q220" s="262"/>
      <c r="R220" s="263"/>
      <c r="S220" s="416"/>
      <c r="T220" s="339">
        <v>8</v>
      </c>
      <c r="U220" s="266">
        <v>8</v>
      </c>
      <c r="W220" s="268">
        <f>T220*$W$3</f>
        <v>16</v>
      </c>
      <c r="X220" s="266">
        <f>U220*$X$3</f>
        <v>16</v>
      </c>
      <c r="Y220" s="267"/>
      <c r="Z220" s="268">
        <f>W220</f>
        <v>16</v>
      </c>
      <c r="AA220" s="266">
        <f>U220*$AA$3</f>
        <v>24</v>
      </c>
      <c r="AB220" s="267"/>
      <c r="AC220" s="268">
        <f>W220</f>
        <v>16</v>
      </c>
      <c r="AD220" s="266">
        <f>U220*$AD$3</f>
        <v>32</v>
      </c>
      <c r="AE220" s="267"/>
      <c r="AF220" s="268">
        <f>W220</f>
        <v>16</v>
      </c>
      <c r="AG220" s="266">
        <f>U220*$AG$3</f>
        <v>40</v>
      </c>
      <c r="AH220" s="267"/>
      <c r="AI220" s="268">
        <f>W220</f>
        <v>16</v>
      </c>
      <c r="AJ220" s="266">
        <f>U220*$AJ$3</f>
        <v>48</v>
      </c>
      <c r="AK220" s="267"/>
      <c r="AL220" s="268">
        <f>W220</f>
        <v>16</v>
      </c>
      <c r="AM220" s="266">
        <f>U220*$AM$3</f>
        <v>56</v>
      </c>
    </row>
    <row r="221" spans="1:39" s="264" customFormat="1" x14ac:dyDescent="0.2">
      <c r="A221" s="258"/>
      <c r="B221" s="356"/>
      <c r="C221" s="290"/>
      <c r="D221" s="290"/>
      <c r="E221" s="290"/>
      <c r="F221" s="290"/>
      <c r="G221" s="290"/>
      <c r="H221" s="290"/>
      <c r="I221" s="290"/>
      <c r="J221" s="290"/>
      <c r="K221" s="290"/>
      <c r="L221" s="290"/>
      <c r="M221" s="290"/>
      <c r="N221" s="290"/>
      <c r="O221" s="290"/>
      <c r="P221" s="403"/>
      <c r="Q221" s="262"/>
      <c r="R221" s="263"/>
      <c r="S221" s="416"/>
      <c r="T221" s="339"/>
      <c r="U221" s="339"/>
      <c r="W221" s="387"/>
      <c r="X221" s="339"/>
      <c r="Z221" s="387"/>
      <c r="AA221" s="339"/>
      <c r="AC221" s="387"/>
      <c r="AD221" s="339"/>
      <c r="AF221" s="387"/>
      <c r="AG221" s="339"/>
      <c r="AI221" s="387"/>
      <c r="AJ221" s="339"/>
      <c r="AL221" s="387"/>
      <c r="AM221" s="339"/>
    </row>
    <row r="222" spans="1:39" s="264" customFormat="1" x14ac:dyDescent="0.2">
      <c r="A222" s="258" t="s">
        <v>76</v>
      </c>
      <c r="B222" s="206" t="s">
        <v>853</v>
      </c>
      <c r="C222" s="290">
        <f>(W222+X222)*$C$3</f>
        <v>2</v>
      </c>
      <c r="D222" s="290">
        <f>C222*$Q222</f>
        <v>0</v>
      </c>
      <c r="E222" s="290">
        <f>(Z222+AA222)*$E$3</f>
        <v>2</v>
      </c>
      <c r="F222" s="290">
        <f>E222*$Q222</f>
        <v>0</v>
      </c>
      <c r="G222" s="290">
        <f>(AC222+AD222)*$G$3</f>
        <v>10</v>
      </c>
      <c r="H222" s="290">
        <f>G222*$Q222</f>
        <v>0</v>
      </c>
      <c r="I222" s="290">
        <f>(AF222+AG222)*$I$3</f>
        <v>2</v>
      </c>
      <c r="J222" s="290">
        <f>I222*$Q222</f>
        <v>0</v>
      </c>
      <c r="K222" s="290">
        <f>(AI222+AJ222)*$K$3</f>
        <v>6</v>
      </c>
      <c r="L222" s="290">
        <f>K222*$Q222</f>
        <v>0</v>
      </c>
      <c r="M222" s="290">
        <f>(AL222+AM222)*$M$3</f>
        <v>2</v>
      </c>
      <c r="N222" s="290">
        <f>M222*$Q222</f>
        <v>0</v>
      </c>
      <c r="O222" s="290">
        <f>C222+E222+G222+I222+K222+M222</f>
        <v>24</v>
      </c>
      <c r="P222" s="153" t="s">
        <v>269</v>
      </c>
      <c r="Q222" s="262"/>
      <c r="R222" s="263"/>
      <c r="S222" s="386"/>
      <c r="T222" s="339">
        <v>1</v>
      </c>
      <c r="U222" s="266">
        <v>0</v>
      </c>
      <c r="W222" s="268">
        <f>T222*$W$3</f>
        <v>2</v>
      </c>
      <c r="X222" s="266">
        <f>U222*$X$3</f>
        <v>0</v>
      </c>
      <c r="Y222" s="267"/>
      <c r="Z222" s="268">
        <f>W222</f>
        <v>2</v>
      </c>
      <c r="AA222" s="266">
        <f>U222*$AA$3</f>
        <v>0</v>
      </c>
      <c r="AB222" s="267"/>
      <c r="AC222" s="268">
        <f>W222</f>
        <v>2</v>
      </c>
      <c r="AD222" s="266">
        <f>U222*$AD$3</f>
        <v>0</v>
      </c>
      <c r="AE222" s="267"/>
      <c r="AF222" s="268">
        <f>W222</f>
        <v>2</v>
      </c>
      <c r="AG222" s="266">
        <f>U222*$AG$3</f>
        <v>0</v>
      </c>
      <c r="AH222" s="267"/>
      <c r="AI222" s="268">
        <f>W222</f>
        <v>2</v>
      </c>
      <c r="AJ222" s="266">
        <f>U222*$AJ$3</f>
        <v>0</v>
      </c>
      <c r="AK222" s="267"/>
      <c r="AL222" s="268">
        <f>W222</f>
        <v>2</v>
      </c>
      <c r="AM222" s="266">
        <f>U222*$AM$3</f>
        <v>0</v>
      </c>
    </row>
    <row r="223" spans="1:39" s="264" customFormat="1" ht="15" x14ac:dyDescent="0.25">
      <c r="A223" s="308"/>
      <c r="B223" s="293"/>
      <c r="C223" s="290"/>
      <c r="D223" s="290"/>
      <c r="E223" s="290"/>
      <c r="F223" s="290"/>
      <c r="G223" s="290"/>
      <c r="H223" s="290"/>
      <c r="I223" s="290"/>
      <c r="J223" s="290"/>
      <c r="K223" s="290"/>
      <c r="L223" s="290"/>
      <c r="M223" s="290"/>
      <c r="N223" s="290"/>
      <c r="O223" s="290"/>
      <c r="P223" s="261"/>
      <c r="Q223" s="262"/>
      <c r="R223" s="263"/>
      <c r="S223" s="386"/>
      <c r="T223" s="414"/>
      <c r="U223" s="415"/>
      <c r="W223" s="387"/>
      <c r="X223" s="339"/>
      <c r="Z223" s="387"/>
      <c r="AA223" s="339"/>
      <c r="AC223" s="387"/>
      <c r="AD223" s="339"/>
      <c r="AF223" s="387"/>
      <c r="AG223" s="339"/>
      <c r="AI223" s="387"/>
      <c r="AJ223" s="339"/>
      <c r="AL223" s="387"/>
      <c r="AM223" s="339"/>
    </row>
    <row r="224" spans="1:39" s="264" customFormat="1" x14ac:dyDescent="0.2">
      <c r="A224" s="258" t="s">
        <v>77</v>
      </c>
      <c r="B224" s="206" t="s">
        <v>854</v>
      </c>
      <c r="C224" s="290">
        <f>(W224+X224)*$C$3</f>
        <v>64</v>
      </c>
      <c r="D224" s="290">
        <f>C224*$Q224</f>
        <v>0</v>
      </c>
      <c r="E224" s="290">
        <f>(Z224+AA224)*$E$3</f>
        <v>80</v>
      </c>
      <c r="F224" s="290">
        <f>E224*$Q224</f>
        <v>0</v>
      </c>
      <c r="G224" s="290">
        <f>(AC224+AD224)*$G$3</f>
        <v>480</v>
      </c>
      <c r="H224" s="290">
        <f>G224*$Q224</f>
        <v>0</v>
      </c>
      <c r="I224" s="290">
        <f>(AF224+AG224)*$I$3</f>
        <v>112</v>
      </c>
      <c r="J224" s="290">
        <f>I224*$Q224</f>
        <v>0</v>
      </c>
      <c r="K224" s="290">
        <f>(AI224+AJ224)*$K$3</f>
        <v>384</v>
      </c>
      <c r="L224" s="290">
        <f>K224*$Q224</f>
        <v>0</v>
      </c>
      <c r="M224" s="290">
        <f>(AL224+AM224)*$M$3</f>
        <v>144</v>
      </c>
      <c r="N224" s="290">
        <f>M224*$Q224</f>
        <v>0</v>
      </c>
      <c r="O224" s="290">
        <f>C224+E224+G224+I224+K224+M224</f>
        <v>1264</v>
      </c>
      <c r="P224" s="153" t="s">
        <v>12</v>
      </c>
      <c r="Q224" s="262"/>
      <c r="R224" s="263"/>
      <c r="S224" s="386"/>
      <c r="T224" s="339">
        <v>16</v>
      </c>
      <c r="U224" s="266">
        <v>16</v>
      </c>
      <c r="W224" s="268">
        <f>T224*$W$3</f>
        <v>32</v>
      </c>
      <c r="X224" s="266">
        <f>U224*$X$3</f>
        <v>32</v>
      </c>
      <c r="Y224" s="267"/>
      <c r="Z224" s="268">
        <f>W224</f>
        <v>32</v>
      </c>
      <c r="AA224" s="266">
        <f>U224*$AA$3</f>
        <v>48</v>
      </c>
      <c r="AB224" s="267"/>
      <c r="AC224" s="268">
        <f>W224</f>
        <v>32</v>
      </c>
      <c r="AD224" s="266">
        <f>U224*$AD$3</f>
        <v>64</v>
      </c>
      <c r="AE224" s="267"/>
      <c r="AF224" s="268">
        <f>W224</f>
        <v>32</v>
      </c>
      <c r="AG224" s="266">
        <f>U224*$AG$3</f>
        <v>80</v>
      </c>
      <c r="AH224" s="267"/>
      <c r="AI224" s="268">
        <f>W224</f>
        <v>32</v>
      </c>
      <c r="AJ224" s="266">
        <f>U224*$AJ$3</f>
        <v>96</v>
      </c>
      <c r="AK224" s="267"/>
      <c r="AL224" s="268">
        <f>W224</f>
        <v>32</v>
      </c>
      <c r="AM224" s="266">
        <f>U224*$AM$3</f>
        <v>112</v>
      </c>
    </row>
    <row r="225" spans="1:39" s="264" customFormat="1" x14ac:dyDescent="0.2">
      <c r="A225" s="308"/>
      <c r="B225" s="293"/>
      <c r="C225" s="290"/>
      <c r="D225" s="290"/>
      <c r="E225" s="290"/>
      <c r="F225" s="290"/>
      <c r="G225" s="290"/>
      <c r="H225" s="290"/>
      <c r="I225" s="290"/>
      <c r="J225" s="290"/>
      <c r="K225" s="290"/>
      <c r="L225" s="290"/>
      <c r="M225" s="290"/>
      <c r="N225" s="290"/>
      <c r="O225" s="290"/>
      <c r="P225" s="261"/>
      <c r="Q225" s="262"/>
      <c r="R225" s="263"/>
      <c r="S225" s="386"/>
      <c r="T225" s="414"/>
      <c r="U225" s="414"/>
      <c r="W225" s="387"/>
      <c r="X225" s="339"/>
      <c r="Z225" s="387"/>
      <c r="AA225" s="339"/>
      <c r="AC225" s="387"/>
      <c r="AD225" s="339"/>
      <c r="AF225" s="387"/>
      <c r="AG225" s="339"/>
      <c r="AI225" s="387"/>
      <c r="AJ225" s="339"/>
      <c r="AL225" s="387"/>
      <c r="AM225" s="339"/>
    </row>
    <row r="226" spans="1:39" s="264" customFormat="1" x14ac:dyDescent="0.2">
      <c r="A226" s="258" t="s">
        <v>79</v>
      </c>
      <c r="B226" s="206" t="s">
        <v>855</v>
      </c>
      <c r="C226" s="290">
        <f>(W226+X226)*$C$3</f>
        <v>24</v>
      </c>
      <c r="D226" s="290">
        <f>C226*$Q226</f>
        <v>0</v>
      </c>
      <c r="E226" s="290">
        <f>(Z226+AA226)*$E$3</f>
        <v>29</v>
      </c>
      <c r="F226" s="290">
        <f>E226*$Q226</f>
        <v>0</v>
      </c>
      <c r="G226" s="290">
        <f>(AC226+AD226)*$G$3</f>
        <v>170</v>
      </c>
      <c r="H226" s="290">
        <f>G226*$Q226</f>
        <v>0</v>
      </c>
      <c r="I226" s="290">
        <f>(AF226+AG226)*$I$3</f>
        <v>39</v>
      </c>
      <c r="J226" s="290">
        <f>I226*$Q226</f>
        <v>0</v>
      </c>
      <c r="K226" s="290">
        <f>(AI226+AJ226)*$K$3</f>
        <v>132</v>
      </c>
      <c r="L226" s="290">
        <f>K226*$Q226</f>
        <v>0</v>
      </c>
      <c r="M226" s="290">
        <f>(AL226+AM226)*$M$3</f>
        <v>49</v>
      </c>
      <c r="N226" s="290">
        <f>M226*$Q226</f>
        <v>0</v>
      </c>
      <c r="O226" s="290">
        <f>C226+E226+G226+I226+K226+M226</f>
        <v>443</v>
      </c>
      <c r="P226" s="153" t="s">
        <v>269</v>
      </c>
      <c r="Q226" s="262"/>
      <c r="R226" s="263"/>
      <c r="S226" s="386"/>
      <c r="T226" s="339">
        <v>7</v>
      </c>
      <c r="U226" s="266">
        <v>5</v>
      </c>
      <c r="W226" s="268">
        <f>T226*$W$3</f>
        <v>14</v>
      </c>
      <c r="X226" s="266">
        <f>U226*$X$3</f>
        <v>10</v>
      </c>
      <c r="Y226" s="267"/>
      <c r="Z226" s="268">
        <f>W226</f>
        <v>14</v>
      </c>
      <c r="AA226" s="266">
        <f>U226*$AA$3</f>
        <v>15</v>
      </c>
      <c r="AB226" s="267"/>
      <c r="AC226" s="268">
        <f>W226</f>
        <v>14</v>
      </c>
      <c r="AD226" s="266">
        <f>U226*$AD$3</f>
        <v>20</v>
      </c>
      <c r="AE226" s="267"/>
      <c r="AF226" s="268">
        <f>W226</f>
        <v>14</v>
      </c>
      <c r="AG226" s="266">
        <f>U226*$AG$3</f>
        <v>25</v>
      </c>
      <c r="AH226" s="267"/>
      <c r="AI226" s="268">
        <f>W226</f>
        <v>14</v>
      </c>
      <c r="AJ226" s="266">
        <f>U226*$AJ$3</f>
        <v>30</v>
      </c>
      <c r="AK226" s="267"/>
      <c r="AL226" s="268">
        <f>W226</f>
        <v>14</v>
      </c>
      <c r="AM226" s="266">
        <f>U226*$AM$3</f>
        <v>35</v>
      </c>
    </row>
    <row r="227" spans="1:39" s="264" customFormat="1" x14ac:dyDescent="0.2">
      <c r="A227" s="308"/>
      <c r="B227" s="206"/>
      <c r="C227" s="290"/>
      <c r="D227" s="290"/>
      <c r="E227" s="290"/>
      <c r="F227" s="290"/>
      <c r="G227" s="290"/>
      <c r="H227" s="290"/>
      <c r="I227" s="290"/>
      <c r="J227" s="290"/>
      <c r="K227" s="290"/>
      <c r="L227" s="290"/>
      <c r="M227" s="290"/>
      <c r="N227" s="290"/>
      <c r="O227" s="290"/>
      <c r="P227" s="261"/>
      <c r="Q227" s="262"/>
      <c r="R227" s="263"/>
      <c r="S227" s="386"/>
      <c r="T227" s="414"/>
      <c r="U227" s="414"/>
      <c r="W227" s="387"/>
      <c r="X227" s="339"/>
      <c r="Z227" s="387"/>
      <c r="AA227" s="339"/>
      <c r="AC227" s="387"/>
      <c r="AD227" s="339"/>
      <c r="AF227" s="387"/>
      <c r="AG227" s="339"/>
      <c r="AI227" s="387"/>
      <c r="AJ227" s="339"/>
      <c r="AL227" s="387"/>
      <c r="AM227" s="339"/>
    </row>
    <row r="228" spans="1:39" s="264" customFormat="1" x14ac:dyDescent="0.2">
      <c r="A228" s="258" t="s">
        <v>80</v>
      </c>
      <c r="B228" s="397" t="s">
        <v>856</v>
      </c>
      <c r="C228" s="290">
        <f>(W228+X228)*$C$3</f>
        <v>4</v>
      </c>
      <c r="D228" s="290">
        <f>C228*$Q228</f>
        <v>0</v>
      </c>
      <c r="E228" s="290">
        <f>(Z228+AA228)*$E$3</f>
        <v>5</v>
      </c>
      <c r="F228" s="290">
        <f>E228*$Q228</f>
        <v>0</v>
      </c>
      <c r="G228" s="290">
        <f>(AC228+AD228)*$G$3</f>
        <v>30</v>
      </c>
      <c r="H228" s="290">
        <f>G228*$Q228</f>
        <v>0</v>
      </c>
      <c r="I228" s="290">
        <f>(AF228+AG228)*$I$3</f>
        <v>7</v>
      </c>
      <c r="J228" s="290">
        <f>I228*$Q228</f>
        <v>0</v>
      </c>
      <c r="K228" s="290">
        <f>(AI228+AJ228)*$K$3</f>
        <v>24</v>
      </c>
      <c r="L228" s="290">
        <f>K228*$Q228</f>
        <v>0</v>
      </c>
      <c r="M228" s="290">
        <f>(AL228+AM228)*$M$3</f>
        <v>9</v>
      </c>
      <c r="N228" s="290">
        <f>M228*$Q228</f>
        <v>0</v>
      </c>
      <c r="O228" s="290">
        <f>C228+E228+G228+I228+K228+M228</f>
        <v>79</v>
      </c>
      <c r="P228" s="153" t="s">
        <v>269</v>
      </c>
      <c r="Q228" s="262"/>
      <c r="R228" s="263"/>
      <c r="S228" s="386"/>
      <c r="T228" s="339">
        <v>1</v>
      </c>
      <c r="U228" s="266">
        <v>1</v>
      </c>
      <c r="W228" s="268">
        <f>T228*$W$3</f>
        <v>2</v>
      </c>
      <c r="X228" s="266">
        <f>U228*$X$3</f>
        <v>2</v>
      </c>
      <c r="Y228" s="267"/>
      <c r="Z228" s="268">
        <f>W228</f>
        <v>2</v>
      </c>
      <c r="AA228" s="266">
        <f>U228*$AA$3</f>
        <v>3</v>
      </c>
      <c r="AB228" s="267"/>
      <c r="AC228" s="268">
        <f>W228</f>
        <v>2</v>
      </c>
      <c r="AD228" s="266">
        <f>U228*$AD$3</f>
        <v>4</v>
      </c>
      <c r="AE228" s="267"/>
      <c r="AF228" s="268">
        <f>W228</f>
        <v>2</v>
      </c>
      <c r="AG228" s="266">
        <f>U228*$AG$3</f>
        <v>5</v>
      </c>
      <c r="AH228" s="267"/>
      <c r="AI228" s="268">
        <f>W228</f>
        <v>2</v>
      </c>
      <c r="AJ228" s="266">
        <f>U228*$AJ$3</f>
        <v>6</v>
      </c>
      <c r="AK228" s="267"/>
      <c r="AL228" s="268">
        <f>W228</f>
        <v>2</v>
      </c>
      <c r="AM228" s="266">
        <f>U228*$AM$3</f>
        <v>7</v>
      </c>
    </row>
    <row r="229" spans="1:39" s="264" customFormat="1" x14ac:dyDescent="0.2">
      <c r="A229" s="308"/>
      <c r="B229" s="206"/>
      <c r="C229" s="290"/>
      <c r="D229" s="290"/>
      <c r="E229" s="290"/>
      <c r="F229" s="290"/>
      <c r="G229" s="290"/>
      <c r="H229" s="290"/>
      <c r="I229" s="290"/>
      <c r="J229" s="290"/>
      <c r="K229" s="290"/>
      <c r="L229" s="290"/>
      <c r="M229" s="290"/>
      <c r="N229" s="290"/>
      <c r="O229" s="290"/>
      <c r="P229" s="261"/>
      <c r="Q229" s="262"/>
      <c r="R229" s="263"/>
      <c r="S229" s="386"/>
      <c r="T229" s="414"/>
      <c r="U229" s="414"/>
      <c r="W229" s="387"/>
      <c r="X229" s="339"/>
      <c r="Z229" s="387"/>
      <c r="AA229" s="339"/>
      <c r="AC229" s="387"/>
      <c r="AD229" s="339"/>
      <c r="AF229" s="387"/>
      <c r="AG229" s="339"/>
      <c r="AI229" s="387"/>
      <c r="AJ229" s="339"/>
      <c r="AL229" s="387"/>
      <c r="AM229" s="339"/>
    </row>
    <row r="230" spans="1:39" s="264" customFormat="1" x14ac:dyDescent="0.2">
      <c r="A230" s="308"/>
      <c r="C230" s="290"/>
      <c r="D230" s="290"/>
      <c r="E230" s="290"/>
      <c r="F230" s="290"/>
      <c r="G230" s="290"/>
      <c r="H230" s="290"/>
      <c r="I230" s="290"/>
      <c r="J230" s="290"/>
      <c r="K230" s="290"/>
      <c r="L230" s="290"/>
      <c r="M230" s="290"/>
      <c r="N230" s="290"/>
      <c r="O230" s="290"/>
      <c r="P230" s="403"/>
      <c r="Q230" s="262"/>
      <c r="R230" s="263"/>
      <c r="S230" s="386"/>
      <c r="T230" s="339"/>
      <c r="U230" s="266"/>
      <c r="W230" s="268"/>
      <c r="X230" s="266"/>
      <c r="Y230" s="267"/>
      <c r="Z230" s="268"/>
      <c r="AA230" s="266"/>
      <c r="AB230" s="267"/>
      <c r="AC230" s="268"/>
      <c r="AD230" s="266"/>
      <c r="AE230" s="267"/>
      <c r="AF230" s="268"/>
      <c r="AG230" s="266"/>
      <c r="AH230" s="267"/>
      <c r="AI230" s="268"/>
      <c r="AJ230" s="266"/>
      <c r="AK230" s="267"/>
      <c r="AL230" s="268"/>
      <c r="AM230" s="266"/>
    </row>
    <row r="231" spans="1:39" s="264" customFormat="1" x14ac:dyDescent="0.2">
      <c r="A231" s="308"/>
      <c r="B231" s="206"/>
      <c r="C231" s="290"/>
      <c r="D231" s="290"/>
      <c r="E231" s="290"/>
      <c r="F231" s="290"/>
      <c r="G231" s="290"/>
      <c r="H231" s="290"/>
      <c r="I231" s="290"/>
      <c r="J231" s="290"/>
      <c r="K231" s="290"/>
      <c r="L231" s="290"/>
      <c r="M231" s="290"/>
      <c r="N231" s="290"/>
      <c r="O231" s="290"/>
      <c r="P231" s="261"/>
      <c r="Q231" s="262"/>
      <c r="R231" s="263"/>
      <c r="S231" s="386"/>
      <c r="T231" s="414"/>
      <c r="U231" s="414"/>
      <c r="W231" s="387"/>
      <c r="X231" s="339"/>
      <c r="Z231" s="387"/>
      <c r="AA231" s="339"/>
      <c r="AC231" s="387"/>
      <c r="AD231" s="339"/>
      <c r="AF231" s="387"/>
      <c r="AG231" s="339"/>
      <c r="AI231" s="387"/>
      <c r="AJ231" s="339"/>
      <c r="AL231" s="387"/>
      <c r="AM231" s="339"/>
    </row>
    <row r="232" spans="1:39" s="264" customFormat="1" x14ac:dyDescent="0.2">
      <c r="A232" s="308"/>
      <c r="B232" s="206"/>
      <c r="C232" s="290"/>
      <c r="D232" s="290"/>
      <c r="E232" s="290"/>
      <c r="F232" s="290"/>
      <c r="G232" s="290"/>
      <c r="H232" s="290"/>
      <c r="I232" s="290"/>
      <c r="J232" s="290"/>
      <c r="K232" s="290"/>
      <c r="L232" s="290"/>
      <c r="M232" s="290"/>
      <c r="N232" s="290"/>
      <c r="O232" s="290"/>
      <c r="P232" s="261"/>
      <c r="Q232" s="262"/>
      <c r="R232" s="263"/>
      <c r="S232" s="386"/>
      <c r="T232" s="414"/>
      <c r="U232" s="414"/>
      <c r="W232" s="387"/>
      <c r="X232" s="339"/>
      <c r="Z232" s="387"/>
      <c r="AA232" s="339"/>
      <c r="AC232" s="387"/>
      <c r="AD232" s="339"/>
      <c r="AF232" s="387"/>
      <c r="AG232" s="339"/>
      <c r="AI232" s="387"/>
      <c r="AJ232" s="339"/>
      <c r="AL232" s="387"/>
      <c r="AM232" s="339"/>
    </row>
    <row r="233" spans="1:39" s="264" customFormat="1" x14ac:dyDescent="0.2">
      <c r="A233" s="308"/>
      <c r="B233" s="206"/>
      <c r="C233" s="290"/>
      <c r="D233" s="290"/>
      <c r="E233" s="290"/>
      <c r="F233" s="290"/>
      <c r="G233" s="290"/>
      <c r="H233" s="290"/>
      <c r="I233" s="290"/>
      <c r="J233" s="290"/>
      <c r="K233" s="290"/>
      <c r="L233" s="290"/>
      <c r="M233" s="290"/>
      <c r="N233" s="290"/>
      <c r="O233" s="290"/>
      <c r="P233" s="261"/>
      <c r="Q233" s="262"/>
      <c r="R233" s="263"/>
      <c r="S233" s="386"/>
      <c r="T233" s="414"/>
      <c r="U233" s="414"/>
      <c r="W233" s="387"/>
      <c r="X233" s="339"/>
      <c r="Z233" s="387"/>
      <c r="AA233" s="339"/>
      <c r="AC233" s="387"/>
      <c r="AD233" s="339"/>
      <c r="AF233" s="387"/>
      <c r="AG233" s="339"/>
      <c r="AI233" s="387"/>
      <c r="AJ233" s="339"/>
      <c r="AL233" s="387"/>
      <c r="AM233" s="339"/>
    </row>
    <row r="234" spans="1:39" s="264" customFormat="1" x14ac:dyDescent="0.2">
      <c r="A234" s="308"/>
      <c r="B234" s="206"/>
      <c r="C234" s="290"/>
      <c r="D234" s="290"/>
      <c r="E234" s="290"/>
      <c r="F234" s="290"/>
      <c r="G234" s="290"/>
      <c r="H234" s="290"/>
      <c r="I234" s="290"/>
      <c r="J234" s="290"/>
      <c r="K234" s="290"/>
      <c r="L234" s="290"/>
      <c r="M234" s="290"/>
      <c r="N234" s="290"/>
      <c r="O234" s="290"/>
      <c r="P234" s="261"/>
      <c r="Q234" s="262"/>
      <c r="R234" s="263"/>
      <c r="S234" s="386"/>
      <c r="T234" s="414"/>
      <c r="U234" s="414"/>
      <c r="W234" s="387"/>
      <c r="X234" s="339"/>
      <c r="Z234" s="387"/>
      <c r="AA234" s="339"/>
      <c r="AC234" s="387"/>
      <c r="AD234" s="339"/>
      <c r="AF234" s="387"/>
      <c r="AG234" s="339"/>
      <c r="AI234" s="387"/>
      <c r="AJ234" s="339"/>
      <c r="AL234" s="387"/>
      <c r="AM234" s="339"/>
    </row>
    <row r="235" spans="1:39" s="264" customFormat="1" x14ac:dyDescent="0.2">
      <c r="A235" s="308"/>
      <c r="B235" s="356"/>
      <c r="C235" s="290"/>
      <c r="D235" s="290"/>
      <c r="E235" s="290"/>
      <c r="F235" s="290"/>
      <c r="G235" s="290"/>
      <c r="H235" s="290"/>
      <c r="I235" s="290"/>
      <c r="J235" s="290"/>
      <c r="K235" s="290"/>
      <c r="L235" s="290"/>
      <c r="M235" s="290"/>
      <c r="N235" s="290"/>
      <c r="O235" s="290"/>
      <c r="P235" s="403"/>
      <c r="Q235" s="262"/>
      <c r="R235" s="263"/>
      <c r="S235" s="386"/>
      <c r="T235" s="414"/>
      <c r="U235" s="414"/>
      <c r="W235" s="387"/>
      <c r="X235" s="339"/>
      <c r="Z235" s="387"/>
      <c r="AA235" s="339"/>
      <c r="AC235" s="387"/>
      <c r="AD235" s="339"/>
      <c r="AF235" s="387"/>
      <c r="AG235" s="339"/>
      <c r="AI235" s="387"/>
      <c r="AJ235" s="339"/>
      <c r="AL235" s="387"/>
      <c r="AM235" s="339"/>
    </row>
    <row r="236" spans="1:39" s="264" customFormat="1" x14ac:dyDescent="0.2">
      <c r="A236" s="308"/>
      <c r="B236" s="259"/>
      <c r="C236" s="290"/>
      <c r="D236" s="290"/>
      <c r="E236" s="290"/>
      <c r="F236" s="290"/>
      <c r="G236" s="290"/>
      <c r="H236" s="290"/>
      <c r="I236" s="290"/>
      <c r="J236" s="290"/>
      <c r="K236" s="290"/>
      <c r="L236" s="290"/>
      <c r="M236" s="290"/>
      <c r="N236" s="290"/>
      <c r="O236" s="290"/>
      <c r="P236" s="261"/>
      <c r="Q236" s="262"/>
      <c r="R236" s="263"/>
      <c r="S236" s="386"/>
      <c r="T236" s="357"/>
      <c r="U236" s="357"/>
      <c r="W236" s="387"/>
      <c r="X236" s="357"/>
      <c r="Z236" s="387"/>
      <c r="AA236" s="357"/>
      <c r="AC236" s="387"/>
      <c r="AD236" s="357"/>
      <c r="AF236" s="387"/>
      <c r="AG236" s="357"/>
      <c r="AI236" s="387"/>
      <c r="AJ236" s="357"/>
      <c r="AL236" s="387"/>
      <c r="AM236" s="357"/>
    </row>
    <row r="237" spans="1:39" s="264" customFormat="1" x14ac:dyDescent="0.2">
      <c r="A237" s="391"/>
      <c r="B237" s="392"/>
      <c r="C237" s="377"/>
      <c r="D237" s="377"/>
      <c r="E237" s="377"/>
      <c r="F237" s="377"/>
      <c r="G237" s="377"/>
      <c r="H237" s="377"/>
      <c r="I237" s="377"/>
      <c r="J237" s="377"/>
      <c r="K237" s="377"/>
      <c r="L237" s="377"/>
      <c r="M237" s="377"/>
      <c r="N237" s="377"/>
      <c r="O237" s="377"/>
      <c r="P237" s="377"/>
      <c r="Q237" s="378"/>
      <c r="R237" s="379"/>
      <c r="S237" s="386"/>
      <c r="T237" s="393"/>
      <c r="U237" s="393"/>
      <c r="W237" s="394"/>
      <c r="X237" s="393"/>
      <c r="Z237" s="394"/>
      <c r="AA237" s="393"/>
      <c r="AC237" s="394"/>
      <c r="AD237" s="393"/>
      <c r="AF237" s="394"/>
      <c r="AG237" s="393"/>
      <c r="AI237" s="394"/>
      <c r="AJ237" s="393"/>
      <c r="AL237" s="394"/>
      <c r="AM237" s="393"/>
    </row>
    <row r="238" spans="1:39" s="264" customFormat="1" x14ac:dyDescent="0.2">
      <c r="A238" s="395"/>
      <c r="B238" s="396"/>
      <c r="C238" s="550" t="s">
        <v>1</v>
      </c>
      <c r="D238" s="550"/>
      <c r="E238" s="550"/>
      <c r="F238" s="550"/>
      <c r="G238" s="550"/>
      <c r="H238" s="550"/>
      <c r="I238" s="550"/>
      <c r="J238" s="550"/>
      <c r="K238" s="550"/>
      <c r="L238" s="550"/>
      <c r="M238" s="550"/>
      <c r="N238" s="550"/>
      <c r="O238" s="550"/>
      <c r="P238" s="550"/>
      <c r="Q238" s="381" t="s">
        <v>0</v>
      </c>
      <c r="R238" s="263"/>
      <c r="S238" s="386"/>
      <c r="T238" s="397"/>
      <c r="U238" s="397"/>
      <c r="W238" s="398"/>
      <c r="X238" s="397"/>
      <c r="Z238" s="398"/>
      <c r="AA238" s="397"/>
      <c r="AC238" s="398"/>
      <c r="AD238" s="397"/>
      <c r="AF238" s="398"/>
      <c r="AG238" s="397"/>
      <c r="AI238" s="398"/>
      <c r="AJ238" s="397"/>
      <c r="AL238" s="398"/>
      <c r="AM238" s="397"/>
    </row>
    <row r="239" spans="1:39" s="264" customFormat="1" x14ac:dyDescent="0.2">
      <c r="A239" s="395"/>
      <c r="B239" s="396"/>
      <c r="C239" s="309"/>
      <c r="D239" s="309"/>
      <c r="E239" s="309"/>
      <c r="F239" s="309"/>
      <c r="G239" s="309"/>
      <c r="H239" s="309"/>
      <c r="I239" s="309"/>
      <c r="J239" s="309"/>
      <c r="K239" s="309"/>
      <c r="L239" s="309"/>
      <c r="M239" s="309"/>
      <c r="N239" s="309"/>
      <c r="O239" s="309"/>
      <c r="P239" s="309"/>
      <c r="Q239" s="294"/>
      <c r="R239" s="382"/>
      <c r="S239" s="386"/>
      <c r="T239" s="357"/>
      <c r="U239" s="357"/>
      <c r="W239" s="387"/>
      <c r="X239" s="357"/>
      <c r="Z239" s="387"/>
      <c r="AA239" s="357"/>
      <c r="AC239" s="387"/>
      <c r="AD239" s="357"/>
      <c r="AF239" s="387"/>
      <c r="AG239" s="357"/>
      <c r="AI239" s="387"/>
      <c r="AJ239" s="357"/>
      <c r="AL239" s="387"/>
      <c r="AM239" s="357"/>
    </row>
    <row r="240" spans="1:39" s="264" customFormat="1" x14ac:dyDescent="0.2">
      <c r="A240" s="258"/>
      <c r="B240" s="259"/>
      <c r="C240" s="290"/>
      <c r="D240" s="290">
        <f t="shared" ref="D240" si="43">C240*$Q240</f>
        <v>0</v>
      </c>
      <c r="E240" s="290"/>
      <c r="F240" s="290">
        <f t="shared" ref="F240" si="44">E240*$Q240</f>
        <v>0</v>
      </c>
      <c r="G240" s="290"/>
      <c r="H240" s="290">
        <f t="shared" ref="H240" si="45">G240*$Q240</f>
        <v>0</v>
      </c>
      <c r="I240" s="290"/>
      <c r="J240" s="290">
        <f t="shared" ref="J240" si="46">I240*$Q240</f>
        <v>0</v>
      </c>
      <c r="K240" s="290"/>
      <c r="L240" s="290">
        <f t="shared" ref="L240" si="47">K240*$Q240</f>
        <v>0</v>
      </c>
      <c r="M240" s="290"/>
      <c r="N240" s="290">
        <f t="shared" ref="N240" si="48">M240*$Q240</f>
        <v>0</v>
      </c>
      <c r="O240" s="290"/>
      <c r="P240" s="261"/>
      <c r="Q240" s="262"/>
      <c r="R240" s="263"/>
      <c r="S240" s="386"/>
      <c r="T240" s="393"/>
      <c r="U240" s="393"/>
      <c r="W240" s="394"/>
      <c r="X240" s="393"/>
      <c r="Z240" s="394"/>
      <c r="AA240" s="393"/>
      <c r="AC240" s="394"/>
      <c r="AD240" s="393"/>
      <c r="AF240" s="394"/>
      <c r="AG240" s="393"/>
      <c r="AI240" s="394"/>
      <c r="AJ240" s="393"/>
      <c r="AL240" s="394"/>
      <c r="AM240" s="393"/>
    </row>
    <row r="241" spans="1:39" s="264" customFormat="1" x14ac:dyDescent="0.2">
      <c r="A241" s="258"/>
      <c r="B241" s="202" t="s">
        <v>236</v>
      </c>
      <c r="C241" s="290"/>
      <c r="D241" s="290">
        <f>C241*$Q241</f>
        <v>0</v>
      </c>
      <c r="E241" s="290"/>
      <c r="F241" s="290">
        <f>E241*$Q241</f>
        <v>0</v>
      </c>
      <c r="G241" s="290"/>
      <c r="H241" s="290">
        <f>G241*$Q241</f>
        <v>0</v>
      </c>
      <c r="I241" s="290"/>
      <c r="J241" s="290">
        <f>I241*$Q241</f>
        <v>0</v>
      </c>
      <c r="K241" s="290"/>
      <c r="L241" s="290">
        <f>K241*$Q241</f>
        <v>0</v>
      </c>
      <c r="M241" s="290"/>
      <c r="N241" s="290">
        <f>M241*$Q241</f>
        <v>0</v>
      </c>
      <c r="O241" s="290"/>
      <c r="P241" s="261"/>
      <c r="Q241" s="262"/>
      <c r="R241" s="263"/>
      <c r="S241" s="386"/>
      <c r="T241" s="357"/>
      <c r="U241" s="357"/>
      <c r="W241" s="387"/>
      <c r="X241" s="357"/>
      <c r="Z241" s="387"/>
      <c r="AA241" s="357"/>
      <c r="AC241" s="387"/>
      <c r="AD241" s="357"/>
      <c r="AF241" s="387"/>
      <c r="AG241" s="357"/>
      <c r="AI241" s="387"/>
      <c r="AJ241" s="357"/>
      <c r="AL241" s="387"/>
      <c r="AM241" s="357"/>
    </row>
    <row r="242" spans="1:39" s="264" customFormat="1" x14ac:dyDescent="0.2">
      <c r="A242" s="308"/>
      <c r="B242" s="259"/>
      <c r="C242" s="290"/>
      <c r="D242" s="290"/>
      <c r="E242" s="290"/>
      <c r="F242" s="290"/>
      <c r="G242" s="290"/>
      <c r="H242" s="290"/>
      <c r="I242" s="290"/>
      <c r="J242" s="290"/>
      <c r="K242" s="290"/>
      <c r="L242" s="290"/>
      <c r="M242" s="290"/>
      <c r="N242" s="290"/>
      <c r="O242" s="290"/>
      <c r="P242" s="261"/>
      <c r="Q242" s="262"/>
      <c r="R242" s="263"/>
      <c r="S242" s="386"/>
      <c r="T242" s="357"/>
      <c r="U242" s="357"/>
      <c r="W242" s="387"/>
      <c r="X242" s="357"/>
      <c r="Z242" s="387"/>
      <c r="AA242" s="357"/>
      <c r="AC242" s="387"/>
      <c r="AD242" s="357"/>
      <c r="AF242" s="387"/>
      <c r="AG242" s="357"/>
      <c r="AI242" s="387"/>
      <c r="AJ242" s="357"/>
      <c r="AL242" s="387"/>
      <c r="AM242" s="357"/>
    </row>
    <row r="243" spans="1:39" s="264" customFormat="1" ht="28.5" x14ac:dyDescent="0.2">
      <c r="A243" s="308"/>
      <c r="B243" s="202" t="s">
        <v>857</v>
      </c>
      <c r="C243" s="290"/>
      <c r="D243" s="290"/>
      <c r="E243" s="290"/>
      <c r="F243" s="290"/>
      <c r="G243" s="290"/>
      <c r="H243" s="290"/>
      <c r="I243" s="290"/>
      <c r="J243" s="290"/>
      <c r="K243" s="290"/>
      <c r="L243" s="290"/>
      <c r="M243" s="290"/>
      <c r="N243" s="290"/>
      <c r="O243" s="290"/>
      <c r="P243" s="261"/>
      <c r="Q243" s="262"/>
      <c r="R243" s="263"/>
      <c r="S243" s="386"/>
      <c r="T243" s="357"/>
      <c r="U243" s="357"/>
      <c r="W243" s="387"/>
      <c r="X243" s="357"/>
      <c r="Z243" s="387"/>
      <c r="AA243" s="357"/>
      <c r="AC243" s="387"/>
      <c r="AD243" s="357"/>
      <c r="AF243" s="387"/>
      <c r="AG243" s="357"/>
      <c r="AI243" s="387"/>
      <c r="AJ243" s="357"/>
      <c r="AL243" s="387"/>
      <c r="AM243" s="357"/>
    </row>
    <row r="244" spans="1:39" s="264" customFormat="1" x14ac:dyDescent="0.2">
      <c r="A244" s="308"/>
      <c r="B244" s="293"/>
      <c r="C244" s="290"/>
      <c r="D244" s="290"/>
      <c r="E244" s="290"/>
      <c r="F244" s="290"/>
      <c r="G244" s="290"/>
      <c r="H244" s="290"/>
      <c r="I244" s="290"/>
      <c r="J244" s="290"/>
      <c r="K244" s="290"/>
      <c r="L244" s="290"/>
      <c r="M244" s="290"/>
      <c r="N244" s="290"/>
      <c r="O244" s="290"/>
      <c r="P244" s="261"/>
      <c r="Q244" s="262"/>
      <c r="R244" s="263"/>
      <c r="S244" s="386"/>
      <c r="T244" s="417"/>
      <c r="U244" s="417"/>
      <c r="W244" s="387"/>
      <c r="X244" s="339"/>
      <c r="Z244" s="387"/>
      <c r="AA244" s="339"/>
      <c r="AC244" s="387"/>
      <c r="AD244" s="339"/>
      <c r="AF244" s="387"/>
      <c r="AG244" s="339"/>
      <c r="AI244" s="387"/>
      <c r="AJ244" s="339"/>
      <c r="AL244" s="387"/>
      <c r="AM244" s="339"/>
    </row>
    <row r="245" spans="1:39" s="264" customFormat="1" x14ac:dyDescent="0.2">
      <c r="A245" s="308" t="s">
        <v>66</v>
      </c>
      <c r="B245" s="356" t="s">
        <v>858</v>
      </c>
      <c r="C245" s="290">
        <f>(W245+X245)*$C$3</f>
        <v>38</v>
      </c>
      <c r="D245" s="290">
        <f>C245*$Q245</f>
        <v>0</v>
      </c>
      <c r="E245" s="290">
        <f>(Z245+AA245)*$E$3</f>
        <v>46</v>
      </c>
      <c r="F245" s="290">
        <f>E245*$Q245</f>
        <v>0</v>
      </c>
      <c r="G245" s="290">
        <f>(AC245+AD245)*$G$3</f>
        <v>270</v>
      </c>
      <c r="H245" s="290">
        <f>G245*$Q245</f>
        <v>0</v>
      </c>
      <c r="I245" s="290">
        <f>(AF245+AG245)*$I$3</f>
        <v>62</v>
      </c>
      <c r="J245" s="290">
        <f>I245*$Q245</f>
        <v>0</v>
      </c>
      <c r="K245" s="290">
        <f>(AI245+AJ245)*$K$3</f>
        <v>210</v>
      </c>
      <c r="L245" s="290">
        <f>K245*$Q245</f>
        <v>0</v>
      </c>
      <c r="M245" s="290">
        <f>(AL245+AM245)*$M$3</f>
        <v>78</v>
      </c>
      <c r="N245" s="290">
        <f>M245*$Q245</f>
        <v>0</v>
      </c>
      <c r="O245" s="290">
        <f>C245+E245+G245+I245+K245+M245</f>
        <v>704</v>
      </c>
      <c r="P245" s="153" t="s">
        <v>269</v>
      </c>
      <c r="Q245" s="262"/>
      <c r="R245" s="263"/>
      <c r="S245" s="386"/>
      <c r="T245" s="339">
        <v>11</v>
      </c>
      <c r="U245" s="266">
        <v>8</v>
      </c>
      <c r="W245" s="268">
        <f>T245*$W$3</f>
        <v>22</v>
      </c>
      <c r="X245" s="266">
        <f>U245*$X$3</f>
        <v>16</v>
      </c>
      <c r="Y245" s="267"/>
      <c r="Z245" s="268">
        <f>W245</f>
        <v>22</v>
      </c>
      <c r="AA245" s="266">
        <f>U245*$AA$3</f>
        <v>24</v>
      </c>
      <c r="AB245" s="267"/>
      <c r="AC245" s="268">
        <f>W245</f>
        <v>22</v>
      </c>
      <c r="AD245" s="266">
        <f>U245*$AD$3</f>
        <v>32</v>
      </c>
      <c r="AE245" s="267"/>
      <c r="AF245" s="268">
        <f>W245</f>
        <v>22</v>
      </c>
      <c r="AG245" s="266">
        <f>U245*$AG$3</f>
        <v>40</v>
      </c>
      <c r="AH245" s="267"/>
      <c r="AI245" s="268">
        <f>W245</f>
        <v>22</v>
      </c>
      <c r="AJ245" s="266">
        <f>U245*$AJ$3</f>
        <v>48</v>
      </c>
      <c r="AK245" s="267"/>
      <c r="AL245" s="268">
        <f>W245</f>
        <v>22</v>
      </c>
      <c r="AM245" s="266">
        <f>U245*$AM$3</f>
        <v>56</v>
      </c>
    </row>
    <row r="246" spans="1:39" s="264" customFormat="1" x14ac:dyDescent="0.2">
      <c r="A246" s="308"/>
      <c r="B246" s="206"/>
      <c r="C246" s="290"/>
      <c r="D246" s="290"/>
      <c r="E246" s="290"/>
      <c r="F246" s="290"/>
      <c r="G246" s="290"/>
      <c r="H246" s="290"/>
      <c r="I246" s="290"/>
      <c r="J246" s="290"/>
      <c r="K246" s="290"/>
      <c r="L246" s="290"/>
      <c r="M246" s="290"/>
      <c r="N246" s="290"/>
      <c r="O246" s="290"/>
      <c r="P246" s="261"/>
      <c r="Q246" s="262"/>
      <c r="R246" s="263"/>
      <c r="S246" s="386"/>
      <c r="T246" s="414"/>
      <c r="U246" s="414"/>
      <c r="W246" s="387"/>
      <c r="X246" s="339"/>
      <c r="Z246" s="387"/>
      <c r="AA246" s="339"/>
      <c r="AC246" s="387"/>
      <c r="AD246" s="339"/>
      <c r="AF246" s="387"/>
      <c r="AG246" s="339"/>
      <c r="AI246" s="387"/>
      <c r="AJ246" s="339"/>
      <c r="AL246" s="387"/>
      <c r="AM246" s="339"/>
    </row>
    <row r="247" spans="1:39" s="264" customFormat="1" x14ac:dyDescent="0.2">
      <c r="A247" s="308" t="s">
        <v>67</v>
      </c>
      <c r="B247" s="356" t="s">
        <v>859</v>
      </c>
      <c r="C247" s="290">
        <f>(W247+X247)*$C$3</f>
        <v>2</v>
      </c>
      <c r="D247" s="290">
        <f>C247*$Q247</f>
        <v>0</v>
      </c>
      <c r="E247" s="290">
        <f>(Z247+AA247)*$E$3</f>
        <v>3</v>
      </c>
      <c r="F247" s="290">
        <f>E247*$Q247</f>
        <v>0</v>
      </c>
      <c r="G247" s="290">
        <f>(AC247+AD247)*$G$3</f>
        <v>20</v>
      </c>
      <c r="H247" s="290">
        <f>G247*$Q247</f>
        <v>0</v>
      </c>
      <c r="I247" s="290">
        <f>(AF247+AG247)*$I$3</f>
        <v>5</v>
      </c>
      <c r="J247" s="290">
        <f>I247*$Q247</f>
        <v>0</v>
      </c>
      <c r="K247" s="290">
        <f>(AI247+AJ247)*$K$3</f>
        <v>18</v>
      </c>
      <c r="L247" s="290">
        <f>K247*$Q247</f>
        <v>0</v>
      </c>
      <c r="M247" s="290">
        <f>(AL247+AM247)*$M$3</f>
        <v>7</v>
      </c>
      <c r="N247" s="290">
        <f>M247*$Q247</f>
        <v>0</v>
      </c>
      <c r="O247" s="290">
        <f>C247+E247+G247+I247+K247+M247</f>
        <v>55</v>
      </c>
      <c r="P247" s="153" t="s">
        <v>269</v>
      </c>
      <c r="Q247" s="262"/>
      <c r="R247" s="263"/>
      <c r="S247" s="386"/>
      <c r="T247" s="339">
        <v>0</v>
      </c>
      <c r="U247" s="266">
        <v>1</v>
      </c>
      <c r="W247" s="268">
        <f>T247*$W$3</f>
        <v>0</v>
      </c>
      <c r="X247" s="266">
        <f>U247*$X$3</f>
        <v>2</v>
      </c>
      <c r="Y247" s="267"/>
      <c r="Z247" s="268">
        <f>W247</f>
        <v>0</v>
      </c>
      <c r="AA247" s="266">
        <f>U247*$AA$3</f>
        <v>3</v>
      </c>
      <c r="AB247" s="267"/>
      <c r="AC247" s="268">
        <f>W247</f>
        <v>0</v>
      </c>
      <c r="AD247" s="266">
        <f>U247*$AD$3</f>
        <v>4</v>
      </c>
      <c r="AE247" s="267"/>
      <c r="AF247" s="268">
        <f>W247</f>
        <v>0</v>
      </c>
      <c r="AG247" s="266">
        <f>U247*$AG$3</f>
        <v>5</v>
      </c>
      <c r="AH247" s="267"/>
      <c r="AI247" s="268">
        <f>W247</f>
        <v>0</v>
      </c>
      <c r="AJ247" s="266">
        <f>U247*$AJ$3</f>
        <v>6</v>
      </c>
      <c r="AK247" s="267"/>
      <c r="AL247" s="268">
        <f>W247</f>
        <v>0</v>
      </c>
      <c r="AM247" s="266">
        <f>U247*$AM$3</f>
        <v>7</v>
      </c>
    </row>
    <row r="248" spans="1:39" s="264" customFormat="1" x14ac:dyDescent="0.2">
      <c r="A248" s="308"/>
      <c r="B248" s="206"/>
      <c r="C248" s="290"/>
      <c r="D248" s="290"/>
      <c r="E248" s="290"/>
      <c r="F248" s="290"/>
      <c r="G248" s="290"/>
      <c r="H248" s="290"/>
      <c r="I248" s="290"/>
      <c r="J248" s="290"/>
      <c r="K248" s="290"/>
      <c r="L248" s="290"/>
      <c r="M248" s="290"/>
      <c r="N248" s="290"/>
      <c r="O248" s="290"/>
      <c r="P248" s="261"/>
      <c r="Q248" s="262"/>
      <c r="R248" s="263"/>
      <c r="S248" s="386"/>
      <c r="T248" s="414"/>
      <c r="U248" s="414"/>
      <c r="W248" s="387"/>
      <c r="X248" s="339"/>
      <c r="Z248" s="387"/>
      <c r="AA248" s="339"/>
      <c r="AC248" s="387"/>
      <c r="AD248" s="339"/>
      <c r="AF248" s="387"/>
      <c r="AG248" s="339"/>
      <c r="AI248" s="387"/>
      <c r="AJ248" s="339"/>
      <c r="AL248" s="387"/>
      <c r="AM248" s="339"/>
    </row>
    <row r="249" spans="1:39" s="264" customFormat="1" x14ac:dyDescent="0.2">
      <c r="A249" s="308" t="s">
        <v>68</v>
      </c>
      <c r="B249" s="356" t="s">
        <v>860</v>
      </c>
      <c r="C249" s="290">
        <f>(W249+X249)*$C$3</f>
        <v>20</v>
      </c>
      <c r="D249" s="290">
        <f>C249*$Q249</f>
        <v>0</v>
      </c>
      <c r="E249" s="290">
        <f>(Z249+AA249)*$E$3</f>
        <v>25</v>
      </c>
      <c r="F249" s="290">
        <f>E249*$Q249</f>
        <v>0</v>
      </c>
      <c r="G249" s="290">
        <f>(AC249+AD249)*$G$3</f>
        <v>150</v>
      </c>
      <c r="H249" s="290">
        <f>G249*$Q249</f>
        <v>0</v>
      </c>
      <c r="I249" s="290">
        <f>(AF249+AG249)*$I$3</f>
        <v>35</v>
      </c>
      <c r="J249" s="290">
        <f>I249*$Q249</f>
        <v>0</v>
      </c>
      <c r="K249" s="290">
        <f>(AI249+AJ249)*$K$3</f>
        <v>120</v>
      </c>
      <c r="L249" s="290">
        <f>K249*$Q249</f>
        <v>0</v>
      </c>
      <c r="M249" s="290">
        <f>(AL249+AM249)*$M$3</f>
        <v>45</v>
      </c>
      <c r="N249" s="290">
        <f>M249*$Q249</f>
        <v>0</v>
      </c>
      <c r="O249" s="290">
        <f>C249+E249+G249+I249+K249+M249</f>
        <v>395</v>
      </c>
      <c r="P249" s="153" t="s">
        <v>269</v>
      </c>
      <c r="Q249" s="262"/>
      <c r="R249" s="263"/>
      <c r="S249" s="386"/>
      <c r="T249" s="339">
        <v>5</v>
      </c>
      <c r="U249" s="266">
        <v>5</v>
      </c>
      <c r="W249" s="268">
        <f>T249*$W$3</f>
        <v>10</v>
      </c>
      <c r="X249" s="266">
        <f>U249*$X$3</f>
        <v>10</v>
      </c>
      <c r="Y249" s="267"/>
      <c r="Z249" s="268">
        <f>W249</f>
        <v>10</v>
      </c>
      <c r="AA249" s="266">
        <f>U249*$AA$3</f>
        <v>15</v>
      </c>
      <c r="AB249" s="267"/>
      <c r="AC249" s="268">
        <f>W249</f>
        <v>10</v>
      </c>
      <c r="AD249" s="266">
        <f>U249*$AD$3</f>
        <v>20</v>
      </c>
      <c r="AE249" s="267"/>
      <c r="AF249" s="268">
        <f>W249</f>
        <v>10</v>
      </c>
      <c r="AG249" s="266">
        <f>U249*$AG$3</f>
        <v>25</v>
      </c>
      <c r="AH249" s="267"/>
      <c r="AI249" s="268">
        <f>W249</f>
        <v>10</v>
      </c>
      <c r="AJ249" s="266">
        <f>U249*$AJ$3</f>
        <v>30</v>
      </c>
      <c r="AK249" s="267"/>
      <c r="AL249" s="268">
        <f>W249</f>
        <v>10</v>
      </c>
      <c r="AM249" s="266">
        <f>U249*$AM$3</f>
        <v>35</v>
      </c>
    </row>
    <row r="250" spans="1:39" s="264" customFormat="1" x14ac:dyDescent="0.2">
      <c r="A250" s="308"/>
      <c r="B250" s="356"/>
      <c r="C250" s="290"/>
      <c r="D250" s="290"/>
      <c r="E250" s="290"/>
      <c r="F250" s="290"/>
      <c r="G250" s="290"/>
      <c r="H250" s="290"/>
      <c r="I250" s="290"/>
      <c r="J250" s="290"/>
      <c r="K250" s="290"/>
      <c r="L250" s="290"/>
      <c r="M250" s="290"/>
      <c r="N250" s="290"/>
      <c r="O250" s="290"/>
      <c r="P250" s="403"/>
      <c r="Q250" s="262"/>
      <c r="R250" s="263"/>
      <c r="S250" s="386"/>
      <c r="T250" s="414"/>
      <c r="U250" s="414"/>
      <c r="W250" s="387"/>
      <c r="X250" s="339"/>
      <c r="Z250" s="387"/>
      <c r="AA250" s="339"/>
      <c r="AC250" s="387"/>
      <c r="AD250" s="339"/>
      <c r="AF250" s="387"/>
      <c r="AG250" s="339"/>
      <c r="AI250" s="387"/>
      <c r="AJ250" s="339"/>
      <c r="AL250" s="387"/>
      <c r="AM250" s="339"/>
    </row>
    <row r="251" spans="1:39" s="264" customFormat="1" x14ac:dyDescent="0.2">
      <c r="A251" s="308" t="s">
        <v>69</v>
      </c>
      <c r="B251" s="356" t="s">
        <v>861</v>
      </c>
      <c r="C251" s="290">
        <f>(W251+X251)*$C$3</f>
        <v>4</v>
      </c>
      <c r="D251" s="290">
        <f>C251*$Q251</f>
        <v>0</v>
      </c>
      <c r="E251" s="290">
        <f>(Z251+AA251)*$E$3</f>
        <v>5</v>
      </c>
      <c r="F251" s="290">
        <f>E251*$Q251</f>
        <v>0</v>
      </c>
      <c r="G251" s="290">
        <f>(AC251+AD251)*$G$3</f>
        <v>30</v>
      </c>
      <c r="H251" s="290">
        <f>G251*$Q251</f>
        <v>0</v>
      </c>
      <c r="I251" s="290">
        <f>(AF251+AG251)*$I$3</f>
        <v>7</v>
      </c>
      <c r="J251" s="290">
        <f>I251*$Q251</f>
        <v>0</v>
      </c>
      <c r="K251" s="290">
        <f>(AI251+AJ251)*$K$3</f>
        <v>24</v>
      </c>
      <c r="L251" s="290">
        <f>K251*$Q251</f>
        <v>0</v>
      </c>
      <c r="M251" s="290">
        <f>(AL251+AM251)*$M$3</f>
        <v>9</v>
      </c>
      <c r="N251" s="290">
        <f>M251*$Q251</f>
        <v>0</v>
      </c>
      <c r="O251" s="290">
        <f>C251+E251+G251+I251+K251+M251</f>
        <v>79</v>
      </c>
      <c r="P251" s="153" t="s">
        <v>269</v>
      </c>
      <c r="Q251" s="262"/>
      <c r="R251" s="263"/>
      <c r="S251" s="386"/>
      <c r="T251" s="339">
        <v>1</v>
      </c>
      <c r="U251" s="266">
        <v>1</v>
      </c>
      <c r="W251" s="268">
        <f>T251*$W$3</f>
        <v>2</v>
      </c>
      <c r="X251" s="266">
        <f>U251*$X$3</f>
        <v>2</v>
      </c>
      <c r="Y251" s="267"/>
      <c r="Z251" s="268">
        <f>W251</f>
        <v>2</v>
      </c>
      <c r="AA251" s="266">
        <f>U251*$AA$3</f>
        <v>3</v>
      </c>
      <c r="AB251" s="267"/>
      <c r="AC251" s="268">
        <f>W251</f>
        <v>2</v>
      </c>
      <c r="AD251" s="266">
        <f>U251*$AD$3</f>
        <v>4</v>
      </c>
      <c r="AE251" s="267"/>
      <c r="AF251" s="268">
        <f>W251</f>
        <v>2</v>
      </c>
      <c r="AG251" s="266">
        <f>U251*$AG$3</f>
        <v>5</v>
      </c>
      <c r="AH251" s="267"/>
      <c r="AI251" s="268">
        <f>W251</f>
        <v>2</v>
      </c>
      <c r="AJ251" s="266">
        <f>U251*$AJ$3</f>
        <v>6</v>
      </c>
      <c r="AK251" s="267"/>
      <c r="AL251" s="268">
        <f>W251</f>
        <v>2</v>
      </c>
      <c r="AM251" s="266">
        <f>U251*$AM$3</f>
        <v>7</v>
      </c>
    </row>
    <row r="252" spans="1:39" s="264" customFormat="1" x14ac:dyDescent="0.2">
      <c r="A252" s="308"/>
      <c r="B252" s="356"/>
      <c r="C252" s="290"/>
      <c r="D252" s="290"/>
      <c r="E252" s="290"/>
      <c r="F252" s="290"/>
      <c r="G252" s="290"/>
      <c r="H252" s="290"/>
      <c r="I252" s="290"/>
      <c r="J252" s="290"/>
      <c r="K252" s="290"/>
      <c r="L252" s="290"/>
      <c r="M252" s="290"/>
      <c r="N252" s="290"/>
      <c r="O252" s="290"/>
      <c r="P252" s="403"/>
      <c r="Q252" s="262"/>
      <c r="R252" s="263"/>
      <c r="S252" s="386"/>
      <c r="T252" s="414"/>
      <c r="U252" s="414"/>
      <c r="W252" s="387"/>
      <c r="X252" s="339"/>
      <c r="Z252" s="387"/>
      <c r="AA252" s="339"/>
      <c r="AC252" s="387"/>
      <c r="AD252" s="339"/>
      <c r="AF252" s="387"/>
      <c r="AG252" s="339"/>
      <c r="AI252" s="387"/>
      <c r="AJ252" s="339"/>
      <c r="AL252" s="387"/>
      <c r="AM252" s="339"/>
    </row>
    <row r="253" spans="1:39" s="264" customFormat="1" x14ac:dyDescent="0.2">
      <c r="A253" s="308" t="s">
        <v>70</v>
      </c>
      <c r="B253" s="356" t="s">
        <v>862</v>
      </c>
      <c r="C253" s="290">
        <f>(W253+X253)*$C$3</f>
        <v>34</v>
      </c>
      <c r="D253" s="290">
        <f>C253*$Q253</f>
        <v>0</v>
      </c>
      <c r="E253" s="290">
        <f>(Z253+AA253)*$E$3</f>
        <v>42</v>
      </c>
      <c r="F253" s="290">
        <f>E253*$Q253</f>
        <v>0</v>
      </c>
      <c r="G253" s="290">
        <f>(AC253+AD253)*$G$3</f>
        <v>250</v>
      </c>
      <c r="H253" s="290">
        <f>G253*$Q253</f>
        <v>0</v>
      </c>
      <c r="I253" s="290">
        <f>(AF253+AG253)*$I$3</f>
        <v>58</v>
      </c>
      <c r="J253" s="290">
        <f>I253*$Q253</f>
        <v>0</v>
      </c>
      <c r="K253" s="290">
        <f>(AI253+AJ253)*$K$3</f>
        <v>198</v>
      </c>
      <c r="L253" s="290">
        <f>K253*$Q253</f>
        <v>0</v>
      </c>
      <c r="M253" s="290">
        <f>(AL253+AM253)*$M$3</f>
        <v>74</v>
      </c>
      <c r="N253" s="290">
        <f>M253*$Q253</f>
        <v>0</v>
      </c>
      <c r="O253" s="290">
        <f>C253+E253+G253+I253+K253+M253</f>
        <v>656</v>
      </c>
      <c r="P253" s="153" t="s">
        <v>269</v>
      </c>
      <c r="Q253" s="262"/>
      <c r="R253" s="263"/>
      <c r="S253" s="386"/>
      <c r="T253" s="339">
        <v>9</v>
      </c>
      <c r="U253" s="266">
        <v>8</v>
      </c>
      <c r="W253" s="268">
        <f>T253*$W$3</f>
        <v>18</v>
      </c>
      <c r="X253" s="266">
        <f>U253*$X$3</f>
        <v>16</v>
      </c>
      <c r="Y253" s="267"/>
      <c r="Z253" s="268">
        <f>W253</f>
        <v>18</v>
      </c>
      <c r="AA253" s="266">
        <f>U253*$AA$3</f>
        <v>24</v>
      </c>
      <c r="AB253" s="267"/>
      <c r="AC253" s="268">
        <f>W253</f>
        <v>18</v>
      </c>
      <c r="AD253" s="266">
        <f>U253*$AD$3</f>
        <v>32</v>
      </c>
      <c r="AE253" s="267"/>
      <c r="AF253" s="268">
        <f>W253</f>
        <v>18</v>
      </c>
      <c r="AG253" s="266">
        <f>U253*$AG$3</f>
        <v>40</v>
      </c>
      <c r="AH253" s="267"/>
      <c r="AI253" s="268">
        <f>W253</f>
        <v>18</v>
      </c>
      <c r="AJ253" s="266">
        <f>U253*$AJ$3</f>
        <v>48</v>
      </c>
      <c r="AK253" s="267"/>
      <c r="AL253" s="268">
        <f>W253</f>
        <v>18</v>
      </c>
      <c r="AM253" s="266">
        <f>U253*$AM$3</f>
        <v>56</v>
      </c>
    </row>
    <row r="254" spans="1:39" s="264" customFormat="1" x14ac:dyDescent="0.2">
      <c r="A254" s="308"/>
      <c r="B254" s="356"/>
      <c r="C254" s="290"/>
      <c r="D254" s="290"/>
      <c r="E254" s="290"/>
      <c r="F254" s="290"/>
      <c r="G254" s="290"/>
      <c r="H254" s="290"/>
      <c r="I254" s="290"/>
      <c r="J254" s="290"/>
      <c r="K254" s="290"/>
      <c r="L254" s="290"/>
      <c r="M254" s="290"/>
      <c r="N254" s="290"/>
      <c r="O254" s="290"/>
      <c r="P254" s="403"/>
      <c r="Q254" s="262"/>
      <c r="R254" s="263"/>
      <c r="S254" s="386"/>
      <c r="T254" s="414"/>
      <c r="U254" s="414"/>
      <c r="W254" s="387"/>
      <c r="X254" s="339"/>
      <c r="Z254" s="387"/>
      <c r="AA254" s="339"/>
      <c r="AC254" s="387"/>
      <c r="AD254" s="339"/>
      <c r="AF254" s="387"/>
      <c r="AG254" s="339"/>
      <c r="AI254" s="387"/>
      <c r="AJ254" s="339"/>
      <c r="AL254" s="387"/>
      <c r="AM254" s="339"/>
    </row>
    <row r="255" spans="1:39" s="264" customFormat="1" x14ac:dyDescent="0.2">
      <c r="A255" s="308" t="s">
        <v>71</v>
      </c>
      <c r="B255" s="206" t="s">
        <v>863</v>
      </c>
      <c r="C255" s="290">
        <f>(W255+X255)*$C$3</f>
        <v>16</v>
      </c>
      <c r="D255" s="290">
        <f>C255*$Q255</f>
        <v>0</v>
      </c>
      <c r="E255" s="290">
        <f>(Z255+AA255)*$E$3</f>
        <v>20</v>
      </c>
      <c r="F255" s="290">
        <f>E255*$Q255</f>
        <v>0</v>
      </c>
      <c r="G255" s="290">
        <f>(AC255+AD255)*$G$3</f>
        <v>120</v>
      </c>
      <c r="H255" s="290">
        <f>G255*$Q255</f>
        <v>0</v>
      </c>
      <c r="I255" s="290">
        <f>(AF255+AG255)*$I$3</f>
        <v>28</v>
      </c>
      <c r="J255" s="290">
        <f>I255*$Q255</f>
        <v>0</v>
      </c>
      <c r="K255" s="290">
        <f>(AI255+AJ255)*$K$3</f>
        <v>96</v>
      </c>
      <c r="L255" s="290">
        <f>K255*$Q255</f>
        <v>0</v>
      </c>
      <c r="M255" s="290">
        <f>(AL255+AM255)*$M$3</f>
        <v>36</v>
      </c>
      <c r="N255" s="290">
        <f>M255*$Q255</f>
        <v>0</v>
      </c>
      <c r="O255" s="290">
        <f>C255+E255+G255+I255+K255+M255</f>
        <v>316</v>
      </c>
      <c r="P255" s="153" t="s">
        <v>269</v>
      </c>
      <c r="Q255" s="262"/>
      <c r="R255" s="263"/>
      <c r="S255" s="386"/>
      <c r="T255" s="357">
        <v>4</v>
      </c>
      <c r="U255" s="357">
        <v>4</v>
      </c>
      <c r="W255" s="268">
        <f>T255*$W$3</f>
        <v>8</v>
      </c>
      <c r="X255" s="266">
        <f>U255*$X$3</f>
        <v>8</v>
      </c>
      <c r="Y255" s="267"/>
      <c r="Z255" s="268">
        <f>W255</f>
        <v>8</v>
      </c>
      <c r="AA255" s="266">
        <f>U255*$AA$3</f>
        <v>12</v>
      </c>
      <c r="AB255" s="267"/>
      <c r="AC255" s="268">
        <f>W255</f>
        <v>8</v>
      </c>
      <c r="AD255" s="266">
        <f>U255*$AD$3</f>
        <v>16</v>
      </c>
      <c r="AE255" s="267"/>
      <c r="AF255" s="268">
        <f>W255</f>
        <v>8</v>
      </c>
      <c r="AG255" s="266">
        <f>U255*$AG$3</f>
        <v>20</v>
      </c>
      <c r="AH255" s="267"/>
      <c r="AI255" s="268">
        <f>W255</f>
        <v>8</v>
      </c>
      <c r="AJ255" s="266">
        <f>U255*$AJ$3</f>
        <v>24</v>
      </c>
      <c r="AK255" s="267"/>
      <c r="AL255" s="268">
        <f>W255</f>
        <v>8</v>
      </c>
      <c r="AM255" s="266">
        <f>U255*$AM$3</f>
        <v>28</v>
      </c>
    </row>
    <row r="256" spans="1:39" s="264" customFormat="1" x14ac:dyDescent="0.2">
      <c r="A256" s="308"/>
      <c r="B256" s="293"/>
      <c r="C256" s="290"/>
      <c r="D256" s="290"/>
      <c r="E256" s="290"/>
      <c r="F256" s="290"/>
      <c r="G256" s="290"/>
      <c r="H256" s="290"/>
      <c r="I256" s="290"/>
      <c r="J256" s="290"/>
      <c r="K256" s="290"/>
      <c r="L256" s="290"/>
      <c r="M256" s="290"/>
      <c r="N256" s="290"/>
      <c r="O256" s="290"/>
      <c r="P256" s="261"/>
      <c r="Q256" s="262"/>
      <c r="R256" s="263"/>
      <c r="S256" s="386"/>
      <c r="T256" s="417"/>
      <c r="U256" s="417"/>
      <c r="W256" s="387"/>
      <c r="X256" s="339"/>
      <c r="Z256" s="387"/>
      <c r="AA256" s="339"/>
      <c r="AC256" s="387"/>
      <c r="AD256" s="339"/>
      <c r="AF256" s="387"/>
      <c r="AG256" s="339"/>
      <c r="AI256" s="387"/>
      <c r="AJ256" s="339"/>
      <c r="AL256" s="387"/>
      <c r="AM256" s="339"/>
    </row>
    <row r="257" spans="1:39" s="264" customFormat="1" x14ac:dyDescent="0.2">
      <c r="A257" s="308" t="s">
        <v>72</v>
      </c>
      <c r="B257" s="259" t="s">
        <v>864</v>
      </c>
      <c r="C257" s="290">
        <f>(W257+X257)*$C$3</f>
        <v>2</v>
      </c>
      <c r="D257" s="290">
        <f>C257*$Q257</f>
        <v>0</v>
      </c>
      <c r="E257" s="290">
        <f>(Z257+AA257)*$E$3</f>
        <v>3</v>
      </c>
      <c r="F257" s="290">
        <f>E257*$Q257</f>
        <v>0</v>
      </c>
      <c r="G257" s="290">
        <f>(AC257+AD257)*$G$3</f>
        <v>20</v>
      </c>
      <c r="H257" s="290">
        <f>G257*$Q257</f>
        <v>0</v>
      </c>
      <c r="I257" s="290">
        <f>(AF257+AG257)*$I$3</f>
        <v>5</v>
      </c>
      <c r="J257" s="290">
        <f>I257*$Q257</f>
        <v>0</v>
      </c>
      <c r="K257" s="290">
        <f>(AI257+AJ257)*$K$3</f>
        <v>18</v>
      </c>
      <c r="L257" s="290">
        <f>K257*$Q257</f>
        <v>0</v>
      </c>
      <c r="M257" s="290">
        <f>(AL257+AM257)*$M$3</f>
        <v>7</v>
      </c>
      <c r="N257" s="290">
        <f>M257*$Q257</f>
        <v>0</v>
      </c>
      <c r="O257" s="290">
        <f>C257+E257+G257+I257+K257+M257</f>
        <v>55</v>
      </c>
      <c r="P257" s="153" t="s">
        <v>269</v>
      </c>
      <c r="Q257" s="262"/>
      <c r="R257" s="263"/>
      <c r="S257" s="386"/>
      <c r="T257" s="339">
        <v>0</v>
      </c>
      <c r="U257" s="266">
        <v>1</v>
      </c>
      <c r="W257" s="268">
        <f>T257*$W$3</f>
        <v>0</v>
      </c>
      <c r="X257" s="266">
        <f>U257*$X$3</f>
        <v>2</v>
      </c>
      <c r="Y257" s="267"/>
      <c r="Z257" s="268">
        <f>W257</f>
        <v>0</v>
      </c>
      <c r="AA257" s="266">
        <f>U257*$AA$3</f>
        <v>3</v>
      </c>
      <c r="AB257" s="267"/>
      <c r="AC257" s="268">
        <f>W257</f>
        <v>0</v>
      </c>
      <c r="AD257" s="266">
        <f>U257*$AD$3</f>
        <v>4</v>
      </c>
      <c r="AE257" s="267"/>
      <c r="AF257" s="268">
        <f>W257</f>
        <v>0</v>
      </c>
      <c r="AG257" s="266">
        <f>U257*$AG$3</f>
        <v>5</v>
      </c>
      <c r="AH257" s="267"/>
      <c r="AI257" s="268">
        <f>W257</f>
        <v>0</v>
      </c>
      <c r="AJ257" s="266">
        <f>U257*$AJ$3</f>
        <v>6</v>
      </c>
      <c r="AK257" s="267"/>
      <c r="AL257" s="268">
        <f>W257</f>
        <v>0</v>
      </c>
      <c r="AM257" s="266">
        <f>U257*$AM$3</f>
        <v>7</v>
      </c>
    </row>
    <row r="258" spans="1:39" s="264" customFormat="1" x14ac:dyDescent="0.2">
      <c r="A258" s="308"/>
      <c r="B258" s="259"/>
      <c r="C258" s="290"/>
      <c r="D258" s="290"/>
      <c r="E258" s="290"/>
      <c r="F258" s="290"/>
      <c r="G258" s="290"/>
      <c r="H258" s="290"/>
      <c r="I258" s="290"/>
      <c r="J258" s="290"/>
      <c r="K258" s="290"/>
      <c r="L258" s="290"/>
      <c r="M258" s="290"/>
      <c r="N258" s="290"/>
      <c r="O258" s="290"/>
      <c r="P258" s="403"/>
      <c r="Q258" s="262"/>
      <c r="R258" s="263"/>
      <c r="S258" s="386"/>
      <c r="T258" s="339"/>
      <c r="U258" s="339"/>
      <c r="W258" s="387"/>
      <c r="X258" s="339"/>
      <c r="Z258" s="387"/>
      <c r="AA258" s="339"/>
      <c r="AC258" s="387"/>
      <c r="AD258" s="339"/>
      <c r="AF258" s="387"/>
      <c r="AG258" s="339"/>
      <c r="AI258" s="387"/>
      <c r="AJ258" s="339"/>
      <c r="AL258" s="387"/>
      <c r="AM258" s="339"/>
    </row>
    <row r="259" spans="1:39" s="264" customFormat="1" x14ac:dyDescent="0.2">
      <c r="A259" s="308" t="s">
        <v>73</v>
      </c>
      <c r="B259" s="259" t="s">
        <v>865</v>
      </c>
      <c r="C259" s="290">
        <f>(W259+X259)*$C$3</f>
        <v>2</v>
      </c>
      <c r="D259" s="290">
        <f>C259*$Q259</f>
        <v>0</v>
      </c>
      <c r="E259" s="290">
        <f>(Z259+AA259)*$E$3</f>
        <v>2</v>
      </c>
      <c r="F259" s="290">
        <f>E259*$Q259</f>
        <v>0</v>
      </c>
      <c r="G259" s="290">
        <f>(AC259+AD259)*$G$3</f>
        <v>10</v>
      </c>
      <c r="H259" s="290">
        <f>G259*$Q259</f>
        <v>0</v>
      </c>
      <c r="I259" s="290">
        <f>(AF259+AG259)*$I$3</f>
        <v>2</v>
      </c>
      <c r="J259" s="290">
        <f>I259*$Q259</f>
        <v>0</v>
      </c>
      <c r="K259" s="290">
        <f>(AI259+AJ259)*$K$3</f>
        <v>6</v>
      </c>
      <c r="L259" s="290">
        <f>K259*$Q259</f>
        <v>0</v>
      </c>
      <c r="M259" s="290">
        <f>(AL259+AM259)*$M$3</f>
        <v>2</v>
      </c>
      <c r="N259" s="290">
        <f>M259*$Q259</f>
        <v>0</v>
      </c>
      <c r="O259" s="290">
        <f>C259+E259+G259+I259+K259+M259</f>
        <v>24</v>
      </c>
      <c r="P259" s="153" t="s">
        <v>269</v>
      </c>
      <c r="Q259" s="262"/>
      <c r="R259" s="263"/>
      <c r="S259" s="386"/>
      <c r="T259" s="339">
        <v>1</v>
      </c>
      <c r="U259" s="266">
        <v>0</v>
      </c>
      <c r="W259" s="268">
        <f>T259*$W$3</f>
        <v>2</v>
      </c>
      <c r="X259" s="266">
        <f>U259*$X$3</f>
        <v>0</v>
      </c>
      <c r="Y259" s="267"/>
      <c r="Z259" s="268">
        <f>W259</f>
        <v>2</v>
      </c>
      <c r="AA259" s="266">
        <f>U259*$AA$3</f>
        <v>0</v>
      </c>
      <c r="AB259" s="267"/>
      <c r="AC259" s="268">
        <f>W259</f>
        <v>2</v>
      </c>
      <c r="AD259" s="266">
        <f>U259*$AD$3</f>
        <v>0</v>
      </c>
      <c r="AE259" s="267"/>
      <c r="AF259" s="268">
        <f>W259</f>
        <v>2</v>
      </c>
      <c r="AG259" s="266">
        <f>U259*$AG$3</f>
        <v>0</v>
      </c>
      <c r="AH259" s="267"/>
      <c r="AI259" s="268">
        <f>W259</f>
        <v>2</v>
      </c>
      <c r="AJ259" s="266">
        <f>U259*$AJ$3</f>
        <v>0</v>
      </c>
      <c r="AK259" s="267"/>
      <c r="AL259" s="268">
        <f>W259</f>
        <v>2</v>
      </c>
      <c r="AM259" s="266">
        <f>U259*$AM$3</f>
        <v>0</v>
      </c>
    </row>
    <row r="260" spans="1:39" s="264" customFormat="1" x14ac:dyDescent="0.2">
      <c r="A260" s="308"/>
      <c r="B260" s="259"/>
      <c r="C260" s="290"/>
      <c r="D260" s="290"/>
      <c r="E260" s="290"/>
      <c r="F260" s="290"/>
      <c r="G260" s="290"/>
      <c r="H260" s="290"/>
      <c r="I260" s="290"/>
      <c r="J260" s="290"/>
      <c r="K260" s="290"/>
      <c r="L260" s="290"/>
      <c r="M260" s="290"/>
      <c r="N260" s="290"/>
      <c r="O260" s="290"/>
      <c r="P260" s="403"/>
      <c r="Q260" s="262"/>
      <c r="R260" s="263"/>
      <c r="S260" s="386"/>
      <c r="T260" s="339"/>
      <c r="U260" s="339"/>
      <c r="W260" s="387"/>
      <c r="X260" s="339"/>
      <c r="Z260" s="387"/>
      <c r="AA260" s="339"/>
      <c r="AC260" s="387"/>
      <c r="AD260" s="339"/>
      <c r="AF260" s="387"/>
      <c r="AG260" s="339"/>
      <c r="AI260" s="387"/>
      <c r="AJ260" s="339"/>
      <c r="AL260" s="387"/>
      <c r="AM260" s="339"/>
    </row>
    <row r="261" spans="1:39" s="264" customFormat="1" x14ac:dyDescent="0.2">
      <c r="A261" s="308"/>
      <c r="B261" s="259"/>
      <c r="C261" s="290"/>
      <c r="D261" s="290"/>
      <c r="E261" s="290"/>
      <c r="F261" s="290"/>
      <c r="G261" s="290"/>
      <c r="H261" s="290"/>
      <c r="I261" s="290"/>
      <c r="J261" s="290"/>
      <c r="K261" s="290"/>
      <c r="L261" s="290"/>
      <c r="M261" s="290"/>
      <c r="N261" s="290"/>
      <c r="O261" s="290"/>
      <c r="P261" s="403"/>
      <c r="Q261" s="262"/>
      <c r="R261" s="263"/>
      <c r="S261" s="386"/>
      <c r="T261" s="339"/>
      <c r="U261" s="266"/>
      <c r="W261" s="268"/>
      <c r="X261" s="266"/>
      <c r="Y261" s="267"/>
      <c r="Z261" s="268"/>
      <c r="AA261" s="266"/>
      <c r="AB261" s="267"/>
      <c r="AC261" s="268"/>
      <c r="AD261" s="266"/>
      <c r="AE261" s="267"/>
      <c r="AF261" s="268"/>
      <c r="AG261" s="266"/>
      <c r="AH261" s="267"/>
      <c r="AI261" s="268"/>
      <c r="AJ261" s="266"/>
      <c r="AK261" s="267"/>
      <c r="AL261" s="268"/>
      <c r="AM261" s="266"/>
    </row>
    <row r="262" spans="1:39" s="264" customFormat="1" x14ac:dyDescent="0.2">
      <c r="A262" s="308"/>
      <c r="B262" s="259"/>
      <c r="C262" s="290"/>
      <c r="D262" s="290"/>
      <c r="E262" s="290"/>
      <c r="F262" s="290"/>
      <c r="G262" s="290"/>
      <c r="H262" s="290"/>
      <c r="I262" s="290"/>
      <c r="J262" s="290"/>
      <c r="K262" s="290"/>
      <c r="L262" s="290"/>
      <c r="M262" s="290"/>
      <c r="N262" s="290"/>
      <c r="O262" s="290"/>
      <c r="P262" s="403"/>
      <c r="Q262" s="262"/>
      <c r="R262" s="263"/>
      <c r="S262" s="386"/>
      <c r="T262" s="339"/>
      <c r="U262" s="339"/>
      <c r="W262" s="387"/>
      <c r="X262" s="339"/>
      <c r="Z262" s="387"/>
      <c r="AA262" s="339"/>
      <c r="AC262" s="387"/>
      <c r="AD262" s="339"/>
      <c r="AF262" s="387"/>
      <c r="AG262" s="339"/>
      <c r="AI262" s="387"/>
      <c r="AJ262" s="339"/>
      <c r="AL262" s="387"/>
      <c r="AM262" s="339"/>
    </row>
    <row r="263" spans="1:39" s="264" customFormat="1" x14ac:dyDescent="0.2">
      <c r="A263" s="308"/>
      <c r="B263" s="259"/>
      <c r="C263" s="290"/>
      <c r="D263" s="290"/>
      <c r="E263" s="290"/>
      <c r="F263" s="290"/>
      <c r="G263" s="290"/>
      <c r="H263" s="290"/>
      <c r="I263" s="290"/>
      <c r="J263" s="290"/>
      <c r="K263" s="290"/>
      <c r="L263" s="290"/>
      <c r="M263" s="290"/>
      <c r="N263" s="290"/>
      <c r="O263" s="290"/>
      <c r="P263" s="403"/>
      <c r="Q263" s="262"/>
      <c r="R263" s="263"/>
      <c r="S263" s="386"/>
      <c r="T263" s="339"/>
      <c r="U263" s="266"/>
      <c r="W263" s="268"/>
      <c r="X263" s="266"/>
      <c r="Y263" s="267"/>
      <c r="Z263" s="268"/>
      <c r="AA263" s="266"/>
      <c r="AB263" s="267"/>
      <c r="AC263" s="268"/>
      <c r="AD263" s="266"/>
      <c r="AE263" s="267"/>
      <c r="AF263" s="268"/>
      <c r="AG263" s="266"/>
      <c r="AH263" s="267"/>
      <c r="AI263" s="268"/>
      <c r="AJ263" s="266"/>
      <c r="AK263" s="267"/>
      <c r="AL263" s="268"/>
      <c r="AM263" s="266"/>
    </row>
    <row r="264" spans="1:39" s="264" customFormat="1" x14ac:dyDescent="0.2">
      <c r="A264" s="308"/>
      <c r="B264" s="259"/>
      <c r="C264" s="290"/>
      <c r="D264" s="290"/>
      <c r="E264" s="290"/>
      <c r="F264" s="290"/>
      <c r="G264" s="290"/>
      <c r="H264" s="290"/>
      <c r="I264" s="290"/>
      <c r="J264" s="290"/>
      <c r="K264" s="290"/>
      <c r="L264" s="290"/>
      <c r="M264" s="290"/>
      <c r="N264" s="290"/>
      <c r="O264" s="290"/>
      <c r="P264" s="403"/>
      <c r="Q264" s="262"/>
      <c r="R264" s="263"/>
      <c r="S264" s="386"/>
      <c r="T264" s="339"/>
      <c r="U264" s="339"/>
      <c r="W264" s="387"/>
      <c r="X264" s="339"/>
      <c r="Z264" s="387"/>
      <c r="AA264" s="339"/>
      <c r="AC264" s="387"/>
      <c r="AD264" s="339"/>
      <c r="AF264" s="387"/>
      <c r="AG264" s="339"/>
      <c r="AI264" s="387"/>
      <c r="AJ264" s="339"/>
      <c r="AL264" s="387"/>
      <c r="AM264" s="339"/>
    </row>
    <row r="265" spans="1:39" s="264" customFormat="1" x14ac:dyDescent="0.2">
      <c r="A265" s="308"/>
      <c r="B265" s="259"/>
      <c r="C265" s="290"/>
      <c r="D265" s="290"/>
      <c r="E265" s="290"/>
      <c r="F265" s="290"/>
      <c r="G265" s="290"/>
      <c r="H265" s="290"/>
      <c r="I265" s="290"/>
      <c r="J265" s="290"/>
      <c r="K265" s="290"/>
      <c r="L265" s="290"/>
      <c r="M265" s="290"/>
      <c r="N265" s="290"/>
      <c r="O265" s="290"/>
      <c r="P265" s="403"/>
      <c r="Q265" s="262"/>
      <c r="R265" s="263"/>
      <c r="S265" s="386"/>
      <c r="T265" s="339"/>
      <c r="U265" s="339"/>
      <c r="W265" s="387"/>
      <c r="X265" s="339"/>
      <c r="Z265" s="387"/>
      <c r="AA265" s="339"/>
      <c r="AC265" s="387"/>
      <c r="AD265" s="339"/>
      <c r="AF265" s="387"/>
      <c r="AG265" s="339"/>
      <c r="AI265" s="387"/>
      <c r="AJ265" s="339"/>
      <c r="AL265" s="387"/>
      <c r="AM265" s="339"/>
    </row>
    <row r="266" spans="1:39" s="264" customFormat="1" x14ac:dyDescent="0.2">
      <c r="A266" s="308"/>
      <c r="B266" s="259"/>
      <c r="C266" s="290"/>
      <c r="D266" s="290"/>
      <c r="E266" s="290"/>
      <c r="F266" s="290"/>
      <c r="G266" s="290"/>
      <c r="H266" s="290"/>
      <c r="I266" s="290"/>
      <c r="J266" s="290"/>
      <c r="K266" s="290"/>
      <c r="L266" s="290"/>
      <c r="M266" s="290"/>
      <c r="N266" s="290"/>
      <c r="O266" s="290"/>
      <c r="P266" s="403"/>
      <c r="Q266" s="262"/>
      <c r="R266" s="263"/>
      <c r="S266" s="386"/>
      <c r="T266" s="339"/>
      <c r="U266" s="339"/>
      <c r="W266" s="387"/>
      <c r="X266" s="339"/>
      <c r="Z266" s="387"/>
      <c r="AA266" s="339"/>
      <c r="AC266" s="387"/>
      <c r="AD266" s="339"/>
      <c r="AF266" s="387"/>
      <c r="AG266" s="339"/>
      <c r="AI266" s="387"/>
      <c r="AJ266" s="339"/>
      <c r="AL266" s="387"/>
      <c r="AM266" s="339"/>
    </row>
    <row r="267" spans="1:39" s="264" customFormat="1" x14ac:dyDescent="0.2">
      <c r="A267" s="308"/>
      <c r="B267" s="259"/>
      <c r="C267" s="290"/>
      <c r="D267" s="290"/>
      <c r="E267" s="290"/>
      <c r="F267" s="290"/>
      <c r="G267" s="290"/>
      <c r="H267" s="290"/>
      <c r="I267" s="290"/>
      <c r="J267" s="290"/>
      <c r="K267" s="290"/>
      <c r="L267" s="290"/>
      <c r="M267" s="290"/>
      <c r="N267" s="290"/>
      <c r="O267" s="290"/>
      <c r="P267" s="403"/>
      <c r="Q267" s="262"/>
      <c r="R267" s="263"/>
      <c r="S267" s="386"/>
      <c r="T267" s="339"/>
      <c r="U267" s="339"/>
      <c r="W267" s="387"/>
      <c r="X267" s="339"/>
      <c r="Z267" s="387"/>
      <c r="AA267" s="339"/>
      <c r="AC267" s="387"/>
      <c r="AD267" s="339"/>
      <c r="AF267" s="387"/>
      <c r="AG267" s="339"/>
      <c r="AI267" s="387"/>
      <c r="AJ267" s="339"/>
      <c r="AL267" s="387"/>
      <c r="AM267" s="339"/>
    </row>
    <row r="268" spans="1:39" s="264" customFormat="1" x14ac:dyDescent="0.2">
      <c r="A268" s="308"/>
      <c r="B268" s="259"/>
      <c r="C268" s="290"/>
      <c r="D268" s="290"/>
      <c r="E268" s="290"/>
      <c r="F268" s="290"/>
      <c r="G268" s="290"/>
      <c r="H268" s="290"/>
      <c r="I268" s="290"/>
      <c r="J268" s="290"/>
      <c r="K268" s="290"/>
      <c r="L268" s="290"/>
      <c r="M268" s="290"/>
      <c r="N268" s="290"/>
      <c r="O268" s="290"/>
      <c r="P268" s="403"/>
      <c r="Q268" s="262"/>
      <c r="R268" s="263"/>
      <c r="S268" s="386"/>
      <c r="T268" s="339"/>
      <c r="U268" s="339"/>
      <c r="W268" s="387"/>
      <c r="X268" s="339"/>
      <c r="Z268" s="387"/>
      <c r="AA268" s="339"/>
      <c r="AC268" s="387"/>
      <c r="AD268" s="339"/>
      <c r="AF268" s="387"/>
      <c r="AG268" s="339"/>
      <c r="AI268" s="387"/>
      <c r="AJ268" s="339"/>
      <c r="AL268" s="387"/>
      <c r="AM268" s="339"/>
    </row>
    <row r="269" spans="1:39" s="264" customFormat="1" x14ac:dyDescent="0.2">
      <c r="A269" s="308"/>
      <c r="B269" s="259"/>
      <c r="C269" s="290"/>
      <c r="D269" s="290"/>
      <c r="E269" s="290"/>
      <c r="F269" s="290"/>
      <c r="G269" s="290"/>
      <c r="H269" s="290"/>
      <c r="I269" s="290"/>
      <c r="J269" s="290"/>
      <c r="K269" s="290"/>
      <c r="L269" s="290"/>
      <c r="M269" s="290"/>
      <c r="N269" s="290"/>
      <c r="O269" s="290"/>
      <c r="P269" s="403"/>
      <c r="Q269" s="262"/>
      <c r="R269" s="263"/>
      <c r="S269" s="386"/>
      <c r="T269" s="339"/>
      <c r="U269" s="339"/>
      <c r="W269" s="387"/>
      <c r="X269" s="339"/>
      <c r="Z269" s="387"/>
      <c r="AA269" s="339"/>
      <c r="AC269" s="387"/>
      <c r="AD269" s="339"/>
      <c r="AF269" s="387"/>
      <c r="AG269" s="339"/>
      <c r="AI269" s="387"/>
      <c r="AJ269" s="339"/>
      <c r="AL269" s="387"/>
      <c r="AM269" s="339"/>
    </row>
    <row r="270" spans="1:39" s="264" customFormat="1" x14ac:dyDescent="0.2">
      <c r="A270" s="308"/>
      <c r="B270" s="259"/>
      <c r="C270" s="290"/>
      <c r="D270" s="290"/>
      <c r="E270" s="290"/>
      <c r="F270" s="290"/>
      <c r="G270" s="290"/>
      <c r="H270" s="290"/>
      <c r="I270" s="290"/>
      <c r="J270" s="290"/>
      <c r="K270" s="290"/>
      <c r="L270" s="290"/>
      <c r="M270" s="290"/>
      <c r="N270" s="290"/>
      <c r="O270" s="290"/>
      <c r="P270" s="403"/>
      <c r="Q270" s="262"/>
      <c r="R270" s="263"/>
      <c r="S270" s="386"/>
      <c r="T270" s="339"/>
      <c r="U270" s="339"/>
      <c r="W270" s="387"/>
      <c r="X270" s="339"/>
      <c r="Z270" s="387"/>
      <c r="AA270" s="339"/>
      <c r="AC270" s="387"/>
      <c r="AD270" s="339"/>
      <c r="AF270" s="387"/>
      <c r="AG270" s="339"/>
      <c r="AI270" s="387"/>
      <c r="AJ270" s="339"/>
      <c r="AL270" s="387"/>
      <c r="AM270" s="339"/>
    </row>
    <row r="271" spans="1:39" s="264" customFormat="1" x14ac:dyDescent="0.2">
      <c r="A271" s="308"/>
      <c r="B271" s="259"/>
      <c r="C271" s="290"/>
      <c r="D271" s="290"/>
      <c r="E271" s="290"/>
      <c r="F271" s="290"/>
      <c r="G271" s="290"/>
      <c r="H271" s="290"/>
      <c r="I271" s="290"/>
      <c r="J271" s="290"/>
      <c r="K271" s="290"/>
      <c r="L271" s="290"/>
      <c r="M271" s="290"/>
      <c r="N271" s="290"/>
      <c r="O271" s="290"/>
      <c r="P271" s="403"/>
      <c r="Q271" s="262"/>
      <c r="R271" s="263"/>
      <c r="S271" s="386"/>
      <c r="T271" s="339"/>
      <c r="U271" s="339"/>
      <c r="W271" s="387"/>
      <c r="X271" s="339"/>
      <c r="Z271" s="387"/>
      <c r="AA271" s="339"/>
      <c r="AC271" s="387"/>
      <c r="AD271" s="339"/>
      <c r="AF271" s="387"/>
      <c r="AG271" s="339"/>
      <c r="AI271" s="387"/>
      <c r="AJ271" s="339"/>
      <c r="AL271" s="387"/>
      <c r="AM271" s="339"/>
    </row>
    <row r="272" spans="1:39" s="264" customFormat="1" x14ac:dyDescent="0.2">
      <c r="A272" s="308"/>
      <c r="B272" s="259"/>
      <c r="C272" s="290"/>
      <c r="D272" s="290"/>
      <c r="E272" s="290"/>
      <c r="F272" s="290"/>
      <c r="G272" s="290"/>
      <c r="H272" s="290"/>
      <c r="I272" s="290"/>
      <c r="J272" s="290"/>
      <c r="K272" s="290"/>
      <c r="L272" s="290"/>
      <c r="M272" s="290"/>
      <c r="N272" s="290"/>
      <c r="O272" s="290"/>
      <c r="P272" s="403"/>
      <c r="Q272" s="262"/>
      <c r="R272" s="263"/>
      <c r="S272" s="386"/>
      <c r="T272" s="339"/>
      <c r="U272" s="339"/>
      <c r="W272" s="387"/>
      <c r="X272" s="339"/>
      <c r="Z272" s="387"/>
      <c r="AA272" s="339"/>
      <c r="AC272" s="387"/>
      <c r="AD272" s="339"/>
      <c r="AF272" s="387"/>
      <c r="AG272" s="339"/>
      <c r="AI272" s="387"/>
      <c r="AJ272" s="339"/>
      <c r="AL272" s="387"/>
      <c r="AM272" s="339"/>
    </row>
    <row r="273" spans="1:39" s="264" customFormat="1" x14ac:dyDescent="0.2">
      <c r="A273" s="308"/>
      <c r="B273" s="259"/>
      <c r="C273" s="290"/>
      <c r="D273" s="290"/>
      <c r="E273" s="290"/>
      <c r="F273" s="290"/>
      <c r="G273" s="290"/>
      <c r="H273" s="290"/>
      <c r="I273" s="290"/>
      <c r="J273" s="290"/>
      <c r="K273" s="290"/>
      <c r="L273" s="290"/>
      <c r="M273" s="290"/>
      <c r="N273" s="290"/>
      <c r="O273" s="290"/>
      <c r="P273" s="403"/>
      <c r="Q273" s="262"/>
      <c r="R273" s="263"/>
      <c r="S273" s="386"/>
      <c r="T273" s="339"/>
      <c r="U273" s="339"/>
      <c r="W273" s="387"/>
      <c r="X273" s="339"/>
      <c r="Z273" s="387"/>
      <c r="AA273" s="339"/>
      <c r="AC273" s="387"/>
      <c r="AD273" s="339"/>
      <c r="AF273" s="387"/>
      <c r="AG273" s="339"/>
      <c r="AI273" s="387"/>
      <c r="AJ273" s="339"/>
      <c r="AL273" s="387"/>
      <c r="AM273" s="339"/>
    </row>
    <row r="274" spans="1:39" s="264" customFormat="1" x14ac:dyDescent="0.2">
      <c r="A274" s="308"/>
      <c r="B274" s="259"/>
      <c r="C274" s="290"/>
      <c r="D274" s="290"/>
      <c r="E274" s="290"/>
      <c r="F274" s="290"/>
      <c r="G274" s="290"/>
      <c r="H274" s="290"/>
      <c r="I274" s="290"/>
      <c r="J274" s="290"/>
      <c r="K274" s="290"/>
      <c r="L274" s="290"/>
      <c r="M274" s="290"/>
      <c r="N274" s="290"/>
      <c r="O274" s="290"/>
      <c r="P274" s="403"/>
      <c r="Q274" s="262"/>
      <c r="R274" s="263"/>
      <c r="S274" s="386"/>
      <c r="T274" s="339"/>
      <c r="U274" s="339"/>
      <c r="W274" s="387"/>
      <c r="X274" s="339"/>
      <c r="Z274" s="387"/>
      <c r="AA274" s="339"/>
      <c r="AC274" s="387"/>
      <c r="AD274" s="339"/>
      <c r="AF274" s="387"/>
      <c r="AG274" s="339"/>
      <c r="AI274" s="387"/>
      <c r="AJ274" s="339"/>
      <c r="AL274" s="387"/>
      <c r="AM274" s="339"/>
    </row>
    <row r="275" spans="1:39" s="264" customFormat="1" x14ac:dyDescent="0.2">
      <c r="A275" s="308"/>
      <c r="B275" s="259"/>
      <c r="C275" s="290"/>
      <c r="D275" s="290"/>
      <c r="E275" s="290"/>
      <c r="F275" s="290"/>
      <c r="G275" s="290"/>
      <c r="H275" s="290"/>
      <c r="I275" s="290"/>
      <c r="J275" s="290"/>
      <c r="K275" s="290"/>
      <c r="L275" s="290"/>
      <c r="M275" s="290"/>
      <c r="N275" s="290"/>
      <c r="O275" s="290"/>
      <c r="P275" s="403"/>
      <c r="Q275" s="262"/>
      <c r="R275" s="263"/>
      <c r="S275" s="386"/>
      <c r="T275" s="339"/>
      <c r="U275" s="266"/>
      <c r="W275" s="268"/>
      <c r="X275" s="266"/>
      <c r="Y275" s="267"/>
      <c r="Z275" s="268"/>
      <c r="AA275" s="266"/>
      <c r="AB275" s="267"/>
      <c r="AC275" s="268"/>
      <c r="AD275" s="266"/>
      <c r="AE275" s="267"/>
      <c r="AF275" s="268"/>
      <c r="AG275" s="266"/>
      <c r="AH275" s="267"/>
      <c r="AI275" s="268"/>
      <c r="AJ275" s="266"/>
      <c r="AK275" s="267"/>
      <c r="AL275" s="268"/>
      <c r="AM275" s="266"/>
    </row>
    <row r="276" spans="1:39" s="264" customFormat="1" x14ac:dyDescent="0.2">
      <c r="A276" s="308"/>
      <c r="B276" s="259"/>
      <c r="C276" s="290"/>
      <c r="D276" s="290"/>
      <c r="E276" s="290"/>
      <c r="F276" s="290"/>
      <c r="G276" s="290"/>
      <c r="H276" s="290"/>
      <c r="I276" s="290"/>
      <c r="J276" s="290"/>
      <c r="K276" s="290"/>
      <c r="L276" s="290"/>
      <c r="M276" s="290"/>
      <c r="N276" s="290"/>
      <c r="O276" s="290"/>
      <c r="P276" s="403"/>
      <c r="Q276" s="262"/>
      <c r="R276" s="263"/>
      <c r="S276" s="386"/>
      <c r="T276" s="339"/>
      <c r="U276" s="339"/>
      <c r="W276" s="387"/>
      <c r="X276" s="339"/>
      <c r="Z276" s="387"/>
      <c r="AA276" s="339"/>
      <c r="AC276" s="387"/>
      <c r="AD276" s="339"/>
      <c r="AF276" s="387"/>
      <c r="AG276" s="339"/>
      <c r="AI276" s="387"/>
      <c r="AJ276" s="339"/>
      <c r="AL276" s="387"/>
      <c r="AM276" s="339"/>
    </row>
    <row r="277" spans="1:39" s="264" customFormat="1" x14ac:dyDescent="0.2">
      <c r="A277" s="308"/>
      <c r="B277" s="259"/>
      <c r="C277" s="290"/>
      <c r="D277" s="290"/>
      <c r="E277" s="290"/>
      <c r="F277" s="290"/>
      <c r="G277" s="290"/>
      <c r="H277" s="290"/>
      <c r="I277" s="290"/>
      <c r="J277" s="290"/>
      <c r="K277" s="290"/>
      <c r="L277" s="290"/>
      <c r="M277" s="290"/>
      <c r="N277" s="290"/>
      <c r="O277" s="290"/>
      <c r="P277" s="403"/>
      <c r="Q277" s="262"/>
      <c r="R277" s="263"/>
      <c r="S277" s="386"/>
      <c r="T277" s="339"/>
      <c r="U277" s="266"/>
      <c r="W277" s="268"/>
      <c r="X277" s="266"/>
      <c r="Y277" s="267"/>
      <c r="Z277" s="268"/>
      <c r="AA277" s="266"/>
      <c r="AB277" s="267"/>
      <c r="AC277" s="268"/>
      <c r="AD277" s="266"/>
      <c r="AE277" s="267"/>
      <c r="AF277" s="268"/>
      <c r="AG277" s="266"/>
      <c r="AH277" s="267"/>
      <c r="AI277" s="268"/>
      <c r="AJ277" s="266"/>
      <c r="AK277" s="267"/>
      <c r="AL277" s="268"/>
      <c r="AM277" s="266"/>
    </row>
    <row r="278" spans="1:39" s="264" customFormat="1" x14ac:dyDescent="0.2">
      <c r="A278" s="308"/>
      <c r="B278" s="259"/>
      <c r="C278" s="290"/>
      <c r="D278" s="290"/>
      <c r="E278" s="290"/>
      <c r="F278" s="290"/>
      <c r="G278" s="290"/>
      <c r="H278" s="290"/>
      <c r="I278" s="290"/>
      <c r="J278" s="290"/>
      <c r="K278" s="290"/>
      <c r="L278" s="290"/>
      <c r="M278" s="290"/>
      <c r="N278" s="290"/>
      <c r="O278" s="290"/>
      <c r="P278" s="403"/>
      <c r="Q278" s="262"/>
      <c r="R278" s="263"/>
      <c r="S278" s="386"/>
      <c r="T278" s="339"/>
      <c r="U278" s="339"/>
      <c r="W278" s="387"/>
      <c r="X278" s="339"/>
      <c r="Z278" s="387"/>
      <c r="AA278" s="339"/>
      <c r="AC278" s="387"/>
      <c r="AD278" s="339"/>
      <c r="AF278" s="387"/>
      <c r="AG278" s="339"/>
      <c r="AI278" s="387"/>
      <c r="AJ278" s="339"/>
      <c r="AL278" s="387"/>
      <c r="AM278" s="339"/>
    </row>
    <row r="279" spans="1:39" s="264" customFormat="1" x14ac:dyDescent="0.2">
      <c r="A279" s="308"/>
      <c r="B279" s="259"/>
      <c r="C279" s="290"/>
      <c r="D279" s="290"/>
      <c r="E279" s="290"/>
      <c r="F279" s="290"/>
      <c r="G279" s="290"/>
      <c r="H279" s="290"/>
      <c r="I279" s="290"/>
      <c r="J279" s="290"/>
      <c r="K279" s="290"/>
      <c r="L279" s="290"/>
      <c r="M279" s="290"/>
      <c r="N279" s="290"/>
      <c r="O279" s="290"/>
      <c r="P279" s="403"/>
      <c r="Q279" s="262"/>
      <c r="R279" s="263"/>
      <c r="S279" s="386"/>
      <c r="T279" s="339"/>
      <c r="U279" s="266"/>
      <c r="W279" s="268"/>
      <c r="X279" s="266"/>
      <c r="Y279" s="267"/>
      <c r="Z279" s="268"/>
      <c r="AA279" s="266"/>
      <c r="AB279" s="267"/>
      <c r="AC279" s="268"/>
      <c r="AD279" s="266"/>
      <c r="AE279" s="267"/>
      <c r="AF279" s="268"/>
      <c r="AG279" s="266"/>
      <c r="AH279" s="267"/>
      <c r="AI279" s="268"/>
      <c r="AJ279" s="266"/>
      <c r="AK279" s="267"/>
      <c r="AL279" s="268"/>
      <c r="AM279" s="266"/>
    </row>
    <row r="280" spans="1:39" s="264" customFormat="1" x14ac:dyDescent="0.2">
      <c r="A280" s="308"/>
      <c r="B280" s="259"/>
      <c r="C280" s="290"/>
      <c r="D280" s="290"/>
      <c r="E280" s="290"/>
      <c r="F280" s="290"/>
      <c r="G280" s="290"/>
      <c r="H280" s="290"/>
      <c r="I280" s="290"/>
      <c r="J280" s="290"/>
      <c r="K280" s="290"/>
      <c r="L280" s="290"/>
      <c r="M280" s="290"/>
      <c r="N280" s="290"/>
      <c r="O280" s="290"/>
      <c r="P280" s="403"/>
      <c r="Q280" s="262"/>
      <c r="R280" s="263"/>
      <c r="S280" s="386"/>
      <c r="T280" s="339"/>
      <c r="U280" s="339"/>
      <c r="W280" s="387"/>
      <c r="X280" s="339"/>
      <c r="Z280" s="387"/>
      <c r="AA280" s="339"/>
      <c r="AC280" s="387"/>
      <c r="AD280" s="339"/>
      <c r="AF280" s="387"/>
      <c r="AG280" s="339"/>
      <c r="AI280" s="387"/>
      <c r="AJ280" s="339"/>
      <c r="AL280" s="387"/>
      <c r="AM280" s="339"/>
    </row>
    <row r="281" spans="1:39" s="264" customFormat="1" x14ac:dyDescent="0.2">
      <c r="A281" s="308"/>
      <c r="B281" s="259"/>
      <c r="C281" s="290"/>
      <c r="D281" s="290"/>
      <c r="E281" s="290"/>
      <c r="F281" s="290"/>
      <c r="G281" s="290"/>
      <c r="H281" s="290"/>
      <c r="I281" s="290"/>
      <c r="J281" s="290"/>
      <c r="K281" s="290"/>
      <c r="L281" s="290"/>
      <c r="M281" s="290"/>
      <c r="N281" s="290"/>
      <c r="O281" s="290"/>
      <c r="P281" s="403"/>
      <c r="Q281" s="262"/>
      <c r="R281" s="263"/>
      <c r="S281" s="386"/>
      <c r="T281" s="339"/>
      <c r="U281" s="266"/>
      <c r="W281" s="268"/>
      <c r="X281" s="266"/>
      <c r="Y281" s="267"/>
      <c r="Z281" s="268"/>
      <c r="AA281" s="266"/>
      <c r="AB281" s="267"/>
      <c r="AC281" s="268"/>
      <c r="AD281" s="266"/>
      <c r="AE281" s="267"/>
      <c r="AF281" s="268"/>
      <c r="AG281" s="266"/>
      <c r="AH281" s="267"/>
      <c r="AI281" s="268"/>
      <c r="AJ281" s="266"/>
      <c r="AK281" s="267"/>
      <c r="AL281" s="268"/>
      <c r="AM281" s="266"/>
    </row>
    <row r="282" spans="1:39" s="264" customFormat="1" x14ac:dyDescent="0.2">
      <c r="A282" s="308"/>
      <c r="B282" s="320"/>
      <c r="C282" s="290"/>
      <c r="D282" s="290"/>
      <c r="E282" s="290"/>
      <c r="F282" s="290"/>
      <c r="G282" s="290"/>
      <c r="H282" s="290"/>
      <c r="I282" s="290"/>
      <c r="J282" s="290"/>
      <c r="K282" s="290"/>
      <c r="L282" s="290"/>
      <c r="M282" s="290"/>
      <c r="N282" s="290"/>
      <c r="O282" s="290"/>
      <c r="P282" s="403"/>
      <c r="Q282" s="262"/>
      <c r="R282" s="263"/>
      <c r="S282" s="386"/>
      <c r="T282" s="339"/>
      <c r="U282" s="339"/>
      <c r="W282" s="387"/>
      <c r="X282" s="339"/>
      <c r="Z282" s="387"/>
      <c r="AA282" s="339"/>
      <c r="AC282" s="387"/>
      <c r="AD282" s="339"/>
      <c r="AF282" s="387"/>
      <c r="AG282" s="339"/>
      <c r="AI282" s="387"/>
      <c r="AJ282" s="339"/>
      <c r="AL282" s="387"/>
      <c r="AM282" s="339"/>
    </row>
    <row r="283" spans="1:39" s="264" customFormat="1" x14ac:dyDescent="0.2">
      <c r="A283" s="308"/>
      <c r="B283" s="320"/>
      <c r="C283" s="290"/>
      <c r="D283" s="290"/>
      <c r="E283" s="290"/>
      <c r="F283" s="290"/>
      <c r="G283" s="290"/>
      <c r="H283" s="290"/>
      <c r="I283" s="290"/>
      <c r="J283" s="290"/>
      <c r="K283" s="290"/>
      <c r="L283" s="290"/>
      <c r="M283" s="290"/>
      <c r="N283" s="290"/>
      <c r="O283" s="290"/>
      <c r="P283" s="153"/>
      <c r="Q283" s="262"/>
      <c r="R283" s="263"/>
      <c r="S283" s="386"/>
      <c r="T283" s="357"/>
      <c r="U283" s="357"/>
      <c r="W283" s="387"/>
      <c r="X283" s="357"/>
      <c r="Z283" s="387"/>
      <c r="AA283" s="357"/>
      <c r="AC283" s="387"/>
      <c r="AD283" s="357"/>
      <c r="AF283" s="387"/>
      <c r="AG283" s="357"/>
      <c r="AI283" s="387"/>
      <c r="AJ283" s="357"/>
      <c r="AL283" s="387"/>
      <c r="AM283" s="357"/>
    </row>
    <row r="284" spans="1:39" s="264" customFormat="1" x14ac:dyDescent="0.2">
      <c r="A284" s="308"/>
      <c r="B284" s="271"/>
      <c r="C284" s="290"/>
      <c r="D284" s="290"/>
      <c r="E284" s="290"/>
      <c r="F284" s="290"/>
      <c r="G284" s="290"/>
      <c r="H284" s="290"/>
      <c r="I284" s="290"/>
      <c r="J284" s="290"/>
      <c r="K284" s="290"/>
      <c r="L284" s="290"/>
      <c r="M284" s="290"/>
      <c r="N284" s="290"/>
      <c r="O284" s="290"/>
      <c r="P284" s="261"/>
      <c r="Q284" s="262"/>
      <c r="R284" s="263"/>
      <c r="S284" s="386"/>
      <c r="T284" s="357"/>
      <c r="U284" s="357"/>
      <c r="W284" s="387"/>
      <c r="X284" s="357"/>
      <c r="Z284" s="387"/>
      <c r="AA284" s="357"/>
      <c r="AC284" s="387"/>
      <c r="AD284" s="357"/>
      <c r="AF284" s="387"/>
      <c r="AG284" s="357"/>
      <c r="AI284" s="387"/>
      <c r="AJ284" s="357"/>
      <c r="AL284" s="387"/>
      <c r="AM284" s="357"/>
    </row>
    <row r="285" spans="1:39" s="264" customFormat="1" x14ac:dyDescent="0.2">
      <c r="A285" s="375"/>
      <c r="B285" s="376"/>
      <c r="C285" s="377"/>
      <c r="D285" s="377"/>
      <c r="E285" s="377"/>
      <c r="F285" s="377"/>
      <c r="G285" s="377"/>
      <c r="H285" s="377"/>
      <c r="I285" s="377"/>
      <c r="J285" s="377"/>
      <c r="K285" s="377"/>
      <c r="L285" s="377"/>
      <c r="M285" s="377"/>
      <c r="N285" s="377"/>
      <c r="O285" s="377"/>
      <c r="P285" s="377"/>
      <c r="Q285" s="378"/>
      <c r="R285" s="379"/>
      <c r="S285" s="386"/>
      <c r="T285" s="393"/>
      <c r="U285" s="393"/>
      <c r="W285" s="394"/>
      <c r="X285" s="393"/>
      <c r="Z285" s="394"/>
      <c r="AA285" s="393"/>
      <c r="AC285" s="394"/>
      <c r="AD285" s="393"/>
      <c r="AF285" s="394"/>
      <c r="AG285" s="393"/>
      <c r="AI285" s="394"/>
      <c r="AJ285" s="393"/>
      <c r="AL285" s="394"/>
      <c r="AM285" s="393"/>
    </row>
    <row r="286" spans="1:39" s="264" customFormat="1" x14ac:dyDescent="0.2">
      <c r="A286" s="380"/>
      <c r="B286" s="320"/>
      <c r="C286" s="550" t="s">
        <v>1</v>
      </c>
      <c r="D286" s="550"/>
      <c r="E286" s="550"/>
      <c r="F286" s="550"/>
      <c r="G286" s="550"/>
      <c r="H286" s="550"/>
      <c r="I286" s="550"/>
      <c r="J286" s="550"/>
      <c r="K286" s="550"/>
      <c r="L286" s="550"/>
      <c r="M286" s="550"/>
      <c r="N286" s="550"/>
      <c r="O286" s="550"/>
      <c r="P286" s="550"/>
      <c r="Q286" s="381" t="s">
        <v>0</v>
      </c>
      <c r="R286" s="263"/>
      <c r="S286" s="386"/>
      <c r="T286" s="397"/>
      <c r="U286" s="397"/>
      <c r="W286" s="398"/>
      <c r="X286" s="397"/>
      <c r="Z286" s="398"/>
      <c r="AA286" s="397"/>
      <c r="AC286" s="398"/>
      <c r="AD286" s="397"/>
      <c r="AF286" s="398"/>
      <c r="AG286" s="397"/>
      <c r="AI286" s="398"/>
      <c r="AJ286" s="397"/>
      <c r="AL286" s="398"/>
      <c r="AM286" s="397"/>
    </row>
    <row r="287" spans="1:39" s="264" customFormat="1" x14ac:dyDescent="0.2">
      <c r="A287" s="380"/>
      <c r="B287" s="320"/>
      <c r="C287" s="309"/>
      <c r="D287" s="309"/>
      <c r="E287" s="309"/>
      <c r="F287" s="309"/>
      <c r="G287" s="309"/>
      <c r="H287" s="309"/>
      <c r="I287" s="309"/>
      <c r="J287" s="309"/>
      <c r="K287" s="309"/>
      <c r="L287" s="309"/>
      <c r="M287" s="309"/>
      <c r="N287" s="309"/>
      <c r="O287" s="309"/>
      <c r="P287" s="309"/>
      <c r="Q287" s="294"/>
      <c r="R287" s="382"/>
      <c r="S287" s="386"/>
      <c r="T287" s="357"/>
      <c r="U287" s="357"/>
      <c r="W287" s="387"/>
      <c r="X287" s="357"/>
      <c r="Z287" s="387"/>
      <c r="AA287" s="357"/>
      <c r="AC287" s="387"/>
      <c r="AD287" s="357"/>
      <c r="AF287" s="387"/>
      <c r="AG287" s="357"/>
      <c r="AI287" s="387"/>
      <c r="AJ287" s="357"/>
      <c r="AL287" s="387"/>
      <c r="AM287" s="357"/>
    </row>
    <row r="288" spans="1:39" s="264" customFormat="1" x14ac:dyDescent="0.2">
      <c r="A288" s="258"/>
      <c r="B288" s="259"/>
      <c r="C288" s="290"/>
      <c r="D288" s="290">
        <v>0</v>
      </c>
      <c r="E288" s="290"/>
      <c r="F288" s="290">
        <v>0</v>
      </c>
      <c r="G288" s="290"/>
      <c r="H288" s="290">
        <v>0</v>
      </c>
      <c r="I288" s="290"/>
      <c r="J288" s="290">
        <v>0</v>
      </c>
      <c r="K288" s="290"/>
      <c r="L288" s="290">
        <v>0</v>
      </c>
      <c r="M288" s="290"/>
      <c r="N288" s="290">
        <v>0</v>
      </c>
      <c r="O288" s="290"/>
      <c r="P288" s="261"/>
      <c r="Q288" s="262"/>
      <c r="R288" s="263"/>
      <c r="S288" s="386"/>
      <c r="T288" s="393"/>
      <c r="U288" s="393"/>
      <c r="W288" s="394"/>
      <c r="X288" s="393"/>
      <c r="Z288" s="394"/>
      <c r="AA288" s="393"/>
      <c r="AC288" s="394"/>
      <c r="AD288" s="393"/>
      <c r="AF288" s="394"/>
      <c r="AG288" s="393"/>
      <c r="AI288" s="394"/>
      <c r="AJ288" s="393"/>
      <c r="AL288" s="394"/>
      <c r="AM288" s="393"/>
    </row>
    <row r="289" spans="1:39" s="264" customFormat="1" x14ac:dyDescent="0.2">
      <c r="A289" s="258"/>
      <c r="B289" s="502" t="s">
        <v>952</v>
      </c>
      <c r="C289" s="290"/>
      <c r="D289" s="290"/>
      <c r="E289" s="290"/>
      <c r="F289" s="290"/>
      <c r="G289" s="290"/>
      <c r="H289" s="290"/>
      <c r="I289" s="290"/>
      <c r="J289" s="290"/>
      <c r="K289" s="290"/>
      <c r="L289" s="290"/>
      <c r="M289" s="290"/>
      <c r="N289" s="290"/>
      <c r="O289" s="290"/>
      <c r="P289" s="261"/>
      <c r="Q289" s="262"/>
      <c r="R289" s="263"/>
      <c r="S289" s="386"/>
      <c r="T289" s="357"/>
      <c r="U289" s="357"/>
      <c r="W289" s="387"/>
      <c r="X289" s="357"/>
      <c r="Z289" s="387"/>
      <c r="AA289" s="357"/>
      <c r="AC289" s="387"/>
      <c r="AD289" s="357"/>
      <c r="AF289" s="387"/>
      <c r="AG289" s="357"/>
      <c r="AI289" s="387"/>
      <c r="AJ289" s="357"/>
      <c r="AL289" s="387"/>
      <c r="AM289" s="357"/>
    </row>
    <row r="290" spans="1:39" s="264" customFormat="1" x14ac:dyDescent="0.2">
      <c r="A290" s="258"/>
      <c r="B290" s="206"/>
      <c r="C290" s="290"/>
      <c r="D290" s="290"/>
      <c r="E290" s="290"/>
      <c r="F290" s="290"/>
      <c r="G290" s="290"/>
      <c r="H290" s="290"/>
      <c r="I290" s="290"/>
      <c r="J290" s="290"/>
      <c r="K290" s="290"/>
      <c r="L290" s="290"/>
      <c r="M290" s="290"/>
      <c r="N290" s="290"/>
      <c r="O290" s="290"/>
      <c r="P290" s="261"/>
      <c r="Q290" s="262"/>
      <c r="R290" s="263"/>
      <c r="S290" s="386"/>
      <c r="T290" s="357"/>
      <c r="U290" s="357"/>
      <c r="W290" s="387"/>
      <c r="X290" s="357"/>
      <c r="Z290" s="387"/>
      <c r="AA290" s="357"/>
      <c r="AC290" s="387"/>
      <c r="AD290" s="357"/>
      <c r="AF290" s="387"/>
      <c r="AG290" s="357"/>
      <c r="AI290" s="387"/>
      <c r="AJ290" s="357"/>
      <c r="AL290" s="387"/>
      <c r="AM290" s="357"/>
    </row>
    <row r="291" spans="1:39" s="264" customFormat="1" ht="28.5" x14ac:dyDescent="0.2">
      <c r="A291" s="503"/>
      <c r="B291" s="504" t="s">
        <v>866</v>
      </c>
      <c r="C291" s="505"/>
      <c r="D291" s="505"/>
      <c r="E291" s="505"/>
      <c r="F291" s="505"/>
      <c r="G291" s="505"/>
      <c r="H291" s="505"/>
      <c r="I291" s="505"/>
      <c r="J291" s="505"/>
      <c r="K291" s="505"/>
      <c r="L291" s="505"/>
      <c r="M291" s="505"/>
      <c r="N291" s="505"/>
      <c r="O291" s="505"/>
      <c r="P291" s="506"/>
      <c r="Q291" s="507"/>
      <c r="R291" s="508"/>
      <c r="S291" s="386"/>
      <c r="T291" s="357"/>
      <c r="U291" s="357"/>
      <c r="W291" s="387"/>
      <c r="X291" s="357"/>
      <c r="Z291" s="387"/>
      <c r="AA291" s="357"/>
      <c r="AC291" s="387"/>
      <c r="AD291" s="357"/>
      <c r="AF291" s="387"/>
      <c r="AG291" s="357"/>
      <c r="AI291" s="387"/>
      <c r="AJ291" s="357"/>
      <c r="AL291" s="387"/>
      <c r="AM291" s="357"/>
    </row>
    <row r="292" spans="1:39" s="264" customFormat="1" x14ac:dyDescent="0.2">
      <c r="A292" s="503"/>
      <c r="B292" s="509"/>
      <c r="C292" s="505"/>
      <c r="D292" s="505"/>
      <c r="E292" s="505"/>
      <c r="F292" s="505"/>
      <c r="G292" s="505"/>
      <c r="H292" s="505"/>
      <c r="I292" s="505"/>
      <c r="J292" s="505"/>
      <c r="K292" s="505"/>
      <c r="L292" s="505"/>
      <c r="M292" s="505"/>
      <c r="N292" s="505"/>
      <c r="O292" s="505"/>
      <c r="P292" s="506"/>
      <c r="Q292" s="507"/>
      <c r="R292" s="508"/>
      <c r="S292" s="386"/>
      <c r="T292" s="357"/>
      <c r="U292" s="357"/>
      <c r="W292" s="387"/>
      <c r="X292" s="357"/>
      <c r="Z292" s="387"/>
      <c r="AA292" s="357"/>
      <c r="AC292" s="387"/>
      <c r="AD292" s="357"/>
      <c r="AF292" s="387"/>
      <c r="AG292" s="357"/>
      <c r="AI292" s="387"/>
      <c r="AJ292" s="357"/>
      <c r="AL292" s="387"/>
      <c r="AM292" s="357"/>
    </row>
    <row r="293" spans="1:39" s="264" customFormat="1" x14ac:dyDescent="0.2">
      <c r="A293" s="503" t="s">
        <v>66</v>
      </c>
      <c r="B293" s="510" t="s">
        <v>867</v>
      </c>
      <c r="C293" s="505">
        <f>(W293+X293)*$C$3</f>
        <v>4</v>
      </c>
      <c r="D293" s="505">
        <f>C293*$Q293</f>
        <v>0</v>
      </c>
      <c r="E293" s="505">
        <f>(Z293+AA293)*$E$3</f>
        <v>5</v>
      </c>
      <c r="F293" s="505">
        <f>E293*$Q293</f>
        <v>0</v>
      </c>
      <c r="G293" s="505">
        <f>(AC293+AD293)*$G$3</f>
        <v>30</v>
      </c>
      <c r="H293" s="505">
        <f>G293*$Q293</f>
        <v>0</v>
      </c>
      <c r="I293" s="505">
        <f>(AF293+AG293)*$I$3</f>
        <v>7</v>
      </c>
      <c r="J293" s="505">
        <f>I293*$Q293</f>
        <v>0</v>
      </c>
      <c r="K293" s="505">
        <f>(AI293+AJ293)*$K$3</f>
        <v>24</v>
      </c>
      <c r="L293" s="505">
        <f>K293*$Q293</f>
        <v>0</v>
      </c>
      <c r="M293" s="505">
        <f>(AL293+AM293)*$M$3</f>
        <v>9</v>
      </c>
      <c r="N293" s="505">
        <f>M293*$Q293</f>
        <v>0</v>
      </c>
      <c r="O293" s="505">
        <f>C293+E293+G293+I293+K293+M293</f>
        <v>79</v>
      </c>
      <c r="P293" s="511" t="s">
        <v>269</v>
      </c>
      <c r="Q293" s="507"/>
      <c r="R293" s="495" t="s">
        <v>904</v>
      </c>
      <c r="S293" s="386"/>
      <c r="T293" s="357">
        <v>1</v>
      </c>
      <c r="U293" s="357">
        <v>1</v>
      </c>
      <c r="W293" s="268">
        <f>T293*$W$3</f>
        <v>2</v>
      </c>
      <c r="X293" s="266">
        <f>U293*$X$3</f>
        <v>2</v>
      </c>
      <c r="Y293" s="267"/>
      <c r="Z293" s="268">
        <f>W293</f>
        <v>2</v>
      </c>
      <c r="AA293" s="266">
        <f>U293*$AA$3</f>
        <v>3</v>
      </c>
      <c r="AB293" s="267"/>
      <c r="AC293" s="268">
        <f>W293</f>
        <v>2</v>
      </c>
      <c r="AD293" s="266">
        <f>U293*$AD$3</f>
        <v>4</v>
      </c>
      <c r="AE293" s="267"/>
      <c r="AF293" s="268">
        <f>W293</f>
        <v>2</v>
      </c>
      <c r="AG293" s="266">
        <f>U293*$AG$3</f>
        <v>5</v>
      </c>
      <c r="AH293" s="267"/>
      <c r="AI293" s="268">
        <f>W293</f>
        <v>2</v>
      </c>
      <c r="AJ293" s="266">
        <f>U293*$AJ$3</f>
        <v>6</v>
      </c>
      <c r="AK293" s="267"/>
      <c r="AL293" s="268">
        <f>W293</f>
        <v>2</v>
      </c>
      <c r="AM293" s="266">
        <f>U293*$AM$3</f>
        <v>7</v>
      </c>
    </row>
    <row r="294" spans="1:39" s="264" customFormat="1" x14ac:dyDescent="0.2">
      <c r="A294" s="503"/>
      <c r="B294" s="504"/>
      <c r="C294" s="505"/>
      <c r="D294" s="505"/>
      <c r="E294" s="505"/>
      <c r="F294" s="505"/>
      <c r="G294" s="505"/>
      <c r="H294" s="505"/>
      <c r="I294" s="505"/>
      <c r="J294" s="505"/>
      <c r="K294" s="505"/>
      <c r="L294" s="505"/>
      <c r="M294" s="505"/>
      <c r="N294" s="505"/>
      <c r="O294" s="505"/>
      <c r="P294" s="506"/>
      <c r="Q294" s="507"/>
      <c r="R294" s="512"/>
      <c r="S294" s="386"/>
      <c r="T294" s="357"/>
      <c r="U294" s="357"/>
      <c r="W294" s="387"/>
      <c r="X294" s="357"/>
      <c r="Z294" s="387"/>
      <c r="AA294" s="357"/>
      <c r="AC294" s="387"/>
      <c r="AD294" s="357"/>
      <c r="AF294" s="387"/>
      <c r="AG294" s="357"/>
      <c r="AI294" s="387"/>
      <c r="AJ294" s="357"/>
      <c r="AL294" s="387"/>
      <c r="AM294" s="357"/>
    </row>
    <row r="295" spans="1:39" s="264" customFormat="1" x14ac:dyDescent="0.2">
      <c r="A295" s="503" t="s">
        <v>67</v>
      </c>
      <c r="B295" s="510" t="s">
        <v>868</v>
      </c>
      <c r="C295" s="505">
        <f>(W295+X295)*$C$3</f>
        <v>30</v>
      </c>
      <c r="D295" s="505">
        <f>C295*$Q295</f>
        <v>0</v>
      </c>
      <c r="E295" s="505">
        <f>(Z295+AA295)*$E$3</f>
        <v>37</v>
      </c>
      <c r="F295" s="505">
        <f>E295*$Q295</f>
        <v>0</v>
      </c>
      <c r="G295" s="505">
        <f>(AC295+AD295)*$G$3</f>
        <v>220</v>
      </c>
      <c r="H295" s="505">
        <f>G295*$Q295</f>
        <v>0</v>
      </c>
      <c r="I295" s="505">
        <f>(AF295+AG295)*$I$3</f>
        <v>51</v>
      </c>
      <c r="J295" s="505">
        <f>I295*$Q295</f>
        <v>0</v>
      </c>
      <c r="K295" s="505">
        <f>(AI295+AJ295)*$K$3</f>
        <v>174</v>
      </c>
      <c r="L295" s="505">
        <f>K295*$Q295</f>
        <v>0</v>
      </c>
      <c r="M295" s="505">
        <f>(AL295+AM295)*$M$3</f>
        <v>65</v>
      </c>
      <c r="N295" s="505">
        <f>M295*$Q295</f>
        <v>0</v>
      </c>
      <c r="O295" s="505">
        <f>C295+E295+G295+I295+K295+M295</f>
        <v>577</v>
      </c>
      <c r="P295" s="511" t="s">
        <v>269</v>
      </c>
      <c r="Q295" s="507"/>
      <c r="R295" s="495" t="s">
        <v>904</v>
      </c>
      <c r="S295" s="386"/>
      <c r="T295" s="339">
        <v>8</v>
      </c>
      <c r="U295" s="266">
        <v>7</v>
      </c>
      <c r="W295" s="268">
        <f>T295*$W$3</f>
        <v>16</v>
      </c>
      <c r="X295" s="266">
        <f>U295*$X$3</f>
        <v>14</v>
      </c>
      <c r="Y295" s="267"/>
      <c r="Z295" s="268">
        <f>W295</f>
        <v>16</v>
      </c>
      <c r="AA295" s="266">
        <f>U295*$AA$3</f>
        <v>21</v>
      </c>
      <c r="AB295" s="267"/>
      <c r="AC295" s="268">
        <f>W295</f>
        <v>16</v>
      </c>
      <c r="AD295" s="266">
        <f>U295*$AD$3</f>
        <v>28</v>
      </c>
      <c r="AE295" s="267"/>
      <c r="AF295" s="268">
        <f>W295</f>
        <v>16</v>
      </c>
      <c r="AG295" s="266">
        <f>U295*$AG$3</f>
        <v>35</v>
      </c>
      <c r="AH295" s="267"/>
      <c r="AI295" s="268">
        <f>W295</f>
        <v>16</v>
      </c>
      <c r="AJ295" s="266">
        <f>U295*$AJ$3</f>
        <v>42</v>
      </c>
      <c r="AK295" s="267"/>
      <c r="AL295" s="268">
        <f>W295</f>
        <v>16</v>
      </c>
      <c r="AM295" s="266">
        <f>U295*$AM$3</f>
        <v>49</v>
      </c>
    </row>
    <row r="296" spans="1:39" s="264" customFormat="1" x14ac:dyDescent="0.2">
      <c r="A296" s="503"/>
      <c r="B296" s="510"/>
      <c r="C296" s="505"/>
      <c r="D296" s="505"/>
      <c r="E296" s="505"/>
      <c r="F296" s="505"/>
      <c r="G296" s="505"/>
      <c r="H296" s="505"/>
      <c r="I296" s="505"/>
      <c r="J296" s="505"/>
      <c r="K296" s="505"/>
      <c r="L296" s="505"/>
      <c r="M296" s="505"/>
      <c r="N296" s="505"/>
      <c r="O296" s="505"/>
      <c r="P296" s="511"/>
      <c r="Q296" s="507"/>
      <c r="R296" s="512"/>
      <c r="S296" s="386"/>
      <c r="T296" s="339"/>
      <c r="U296" s="339"/>
      <c r="W296" s="387"/>
      <c r="X296" s="339"/>
      <c r="Z296" s="387"/>
      <c r="AA296" s="339"/>
      <c r="AC296" s="387"/>
      <c r="AD296" s="339"/>
      <c r="AF296" s="387"/>
      <c r="AG296" s="339"/>
      <c r="AI296" s="387"/>
      <c r="AJ296" s="339"/>
      <c r="AL296" s="387"/>
      <c r="AM296" s="339"/>
    </row>
    <row r="297" spans="1:39" s="264" customFormat="1" x14ac:dyDescent="0.2">
      <c r="A297" s="503" t="s">
        <v>68</v>
      </c>
      <c r="B297" s="510" t="s">
        <v>869</v>
      </c>
      <c r="C297" s="505">
        <f>(W297+X297)*$C$3</f>
        <v>4</v>
      </c>
      <c r="D297" s="505">
        <f>C297*$Q297</f>
        <v>0</v>
      </c>
      <c r="E297" s="505">
        <f>(Z297+AA297)*$E$3</f>
        <v>5</v>
      </c>
      <c r="F297" s="505">
        <f>E297*$Q297</f>
        <v>0</v>
      </c>
      <c r="G297" s="505">
        <f>(AC297+AD297)*$G$3</f>
        <v>30</v>
      </c>
      <c r="H297" s="505">
        <f>G297*$Q297</f>
        <v>0</v>
      </c>
      <c r="I297" s="505">
        <f>(AF297+AG297)*$I$3</f>
        <v>7</v>
      </c>
      <c r="J297" s="505">
        <f>I297*$Q297</f>
        <v>0</v>
      </c>
      <c r="K297" s="505">
        <f>(AI297+AJ297)*$K$3</f>
        <v>24</v>
      </c>
      <c r="L297" s="505">
        <f>K297*$Q297</f>
        <v>0</v>
      </c>
      <c r="M297" s="505">
        <f>(AL297+AM297)*$M$3</f>
        <v>9</v>
      </c>
      <c r="N297" s="505">
        <f>M297*$Q297</f>
        <v>0</v>
      </c>
      <c r="O297" s="505">
        <f>C297+E297+G297+I297+K297+M297</f>
        <v>79</v>
      </c>
      <c r="P297" s="511" t="s">
        <v>269</v>
      </c>
      <c r="Q297" s="507"/>
      <c r="R297" s="495" t="s">
        <v>904</v>
      </c>
      <c r="S297" s="386"/>
      <c r="T297" s="339">
        <v>1</v>
      </c>
      <c r="U297" s="266">
        <v>1</v>
      </c>
      <c r="W297" s="268">
        <f>T297*$W$3</f>
        <v>2</v>
      </c>
      <c r="X297" s="266">
        <f>U297*$X$3</f>
        <v>2</v>
      </c>
      <c r="Y297" s="267"/>
      <c r="Z297" s="268">
        <f>W297</f>
        <v>2</v>
      </c>
      <c r="AA297" s="266">
        <f>U297*$AA$3</f>
        <v>3</v>
      </c>
      <c r="AB297" s="267"/>
      <c r="AC297" s="268">
        <f>W297</f>
        <v>2</v>
      </c>
      <c r="AD297" s="266">
        <f>U297*$AD$3</f>
        <v>4</v>
      </c>
      <c r="AE297" s="267"/>
      <c r="AF297" s="268">
        <f>W297</f>
        <v>2</v>
      </c>
      <c r="AG297" s="266">
        <f>U297*$AG$3</f>
        <v>5</v>
      </c>
      <c r="AH297" s="267"/>
      <c r="AI297" s="268">
        <f>W297</f>
        <v>2</v>
      </c>
      <c r="AJ297" s="266">
        <f>U297*$AJ$3</f>
        <v>6</v>
      </c>
      <c r="AK297" s="267"/>
      <c r="AL297" s="268">
        <f>W297</f>
        <v>2</v>
      </c>
      <c r="AM297" s="266">
        <f>U297*$AM$3</f>
        <v>7</v>
      </c>
    </row>
    <row r="298" spans="1:39" s="264" customFormat="1" x14ac:dyDescent="0.2">
      <c r="A298" s="503"/>
      <c r="B298" s="510"/>
      <c r="C298" s="505"/>
      <c r="D298" s="505"/>
      <c r="E298" s="505"/>
      <c r="F298" s="505"/>
      <c r="G298" s="505"/>
      <c r="H298" s="505"/>
      <c r="I298" s="505"/>
      <c r="J298" s="505"/>
      <c r="K298" s="505"/>
      <c r="L298" s="505"/>
      <c r="M298" s="505"/>
      <c r="N298" s="505"/>
      <c r="O298" s="505"/>
      <c r="P298" s="511"/>
      <c r="Q298" s="507"/>
      <c r="R298" s="512"/>
      <c r="S298" s="386"/>
      <c r="T298" s="339"/>
      <c r="U298" s="339"/>
      <c r="W298" s="387"/>
      <c r="X298" s="339"/>
      <c r="Z298" s="387"/>
      <c r="AA298" s="339"/>
      <c r="AC298" s="387"/>
      <c r="AD298" s="339"/>
      <c r="AF298" s="387"/>
      <c r="AG298" s="339"/>
      <c r="AI298" s="387"/>
      <c r="AJ298" s="339"/>
      <c r="AL298" s="387"/>
      <c r="AM298" s="339"/>
    </row>
    <row r="299" spans="1:39" s="264" customFormat="1" x14ac:dyDescent="0.2">
      <c r="A299" s="503" t="s">
        <v>69</v>
      </c>
      <c r="B299" s="510" t="s">
        <v>870</v>
      </c>
      <c r="C299" s="505">
        <f>(W299+X299)*$C$3</f>
        <v>4</v>
      </c>
      <c r="D299" s="505">
        <f>C299*$Q299</f>
        <v>0</v>
      </c>
      <c r="E299" s="505">
        <f>(Z299+AA299)*$E$3</f>
        <v>5</v>
      </c>
      <c r="F299" s="505">
        <f>E299*$Q299</f>
        <v>0</v>
      </c>
      <c r="G299" s="505">
        <f>(AC299+AD299)*$G$3</f>
        <v>30</v>
      </c>
      <c r="H299" s="505">
        <f>G299*$Q299</f>
        <v>0</v>
      </c>
      <c r="I299" s="505">
        <f>(AF299+AG299)*$I$3</f>
        <v>7</v>
      </c>
      <c r="J299" s="505">
        <f>I299*$Q299</f>
        <v>0</v>
      </c>
      <c r="K299" s="505">
        <f>(AI299+AJ299)*$K$3</f>
        <v>24</v>
      </c>
      <c r="L299" s="505">
        <f>K299*$Q299</f>
        <v>0</v>
      </c>
      <c r="M299" s="505">
        <f>(AL299+AM299)*$M$3</f>
        <v>9</v>
      </c>
      <c r="N299" s="505">
        <f>M299*$Q299</f>
        <v>0</v>
      </c>
      <c r="O299" s="505">
        <f>C299+E299+G299+I299+K299+M299</f>
        <v>79</v>
      </c>
      <c r="P299" s="511" t="s">
        <v>269</v>
      </c>
      <c r="Q299" s="507"/>
      <c r="R299" s="495" t="s">
        <v>904</v>
      </c>
      <c r="S299" s="386"/>
      <c r="T299" s="339">
        <v>1</v>
      </c>
      <c r="U299" s="266">
        <v>1</v>
      </c>
      <c r="W299" s="268">
        <f>T299*$W$3</f>
        <v>2</v>
      </c>
      <c r="X299" s="266">
        <f>U299*$X$3</f>
        <v>2</v>
      </c>
      <c r="Y299" s="267"/>
      <c r="Z299" s="268">
        <f>W299</f>
        <v>2</v>
      </c>
      <c r="AA299" s="266">
        <f>U299*$AA$3</f>
        <v>3</v>
      </c>
      <c r="AB299" s="267"/>
      <c r="AC299" s="268">
        <f>W299</f>
        <v>2</v>
      </c>
      <c r="AD299" s="266">
        <f>U299*$AD$3</f>
        <v>4</v>
      </c>
      <c r="AE299" s="267"/>
      <c r="AF299" s="268">
        <f>W299</f>
        <v>2</v>
      </c>
      <c r="AG299" s="266">
        <f>U299*$AG$3</f>
        <v>5</v>
      </c>
      <c r="AH299" s="267"/>
      <c r="AI299" s="268">
        <f>W299</f>
        <v>2</v>
      </c>
      <c r="AJ299" s="266">
        <f>U299*$AJ$3</f>
        <v>6</v>
      </c>
      <c r="AK299" s="267"/>
      <c r="AL299" s="268">
        <f>W299</f>
        <v>2</v>
      </c>
      <c r="AM299" s="266">
        <f>U299*$AM$3</f>
        <v>7</v>
      </c>
    </row>
    <row r="300" spans="1:39" s="264" customFormat="1" x14ac:dyDescent="0.2">
      <c r="A300" s="503"/>
      <c r="B300" s="510"/>
      <c r="C300" s="505"/>
      <c r="D300" s="505"/>
      <c r="E300" s="505"/>
      <c r="F300" s="505"/>
      <c r="G300" s="505"/>
      <c r="H300" s="505"/>
      <c r="I300" s="505"/>
      <c r="J300" s="505"/>
      <c r="K300" s="505"/>
      <c r="L300" s="505"/>
      <c r="M300" s="505"/>
      <c r="N300" s="505"/>
      <c r="O300" s="505"/>
      <c r="P300" s="511"/>
      <c r="Q300" s="507"/>
      <c r="R300" s="512"/>
      <c r="S300" s="386"/>
      <c r="T300" s="339"/>
      <c r="U300" s="339"/>
      <c r="W300" s="387"/>
      <c r="X300" s="339"/>
      <c r="Z300" s="387"/>
      <c r="AA300" s="339"/>
      <c r="AC300" s="387"/>
      <c r="AD300" s="339"/>
      <c r="AF300" s="387"/>
      <c r="AG300" s="339"/>
      <c r="AI300" s="387"/>
      <c r="AJ300" s="339"/>
      <c r="AL300" s="387"/>
      <c r="AM300" s="339"/>
    </row>
    <row r="301" spans="1:39" s="264" customFormat="1" x14ac:dyDescent="0.2">
      <c r="A301" s="503" t="s">
        <v>70</v>
      </c>
      <c r="B301" s="510" t="s">
        <v>871</v>
      </c>
      <c r="C301" s="505"/>
      <c r="D301" s="505">
        <v>520</v>
      </c>
      <c r="E301" s="505"/>
      <c r="F301" s="505">
        <v>650</v>
      </c>
      <c r="G301" s="505"/>
      <c r="H301" s="505">
        <v>3900</v>
      </c>
      <c r="I301" s="505"/>
      <c r="J301" s="505">
        <v>910</v>
      </c>
      <c r="K301" s="505"/>
      <c r="L301" s="505">
        <v>3120</v>
      </c>
      <c r="M301" s="505"/>
      <c r="N301" s="505">
        <v>1170</v>
      </c>
      <c r="O301" s="505"/>
      <c r="P301" s="511" t="s">
        <v>5</v>
      </c>
      <c r="Q301" s="507"/>
      <c r="R301" s="495" t="s">
        <v>904</v>
      </c>
      <c r="S301" s="386"/>
      <c r="T301" s="339">
        <v>1</v>
      </c>
      <c r="U301" s="266">
        <v>1</v>
      </c>
      <c r="W301" s="268">
        <f>T301*$W$3</f>
        <v>2</v>
      </c>
      <c r="X301" s="266">
        <f>U301*$X$3</f>
        <v>2</v>
      </c>
      <c r="Y301" s="267"/>
      <c r="Z301" s="268">
        <f>W301</f>
        <v>2</v>
      </c>
      <c r="AA301" s="266">
        <f>U301*$AA$3</f>
        <v>3</v>
      </c>
      <c r="AB301" s="267"/>
      <c r="AC301" s="268">
        <f>W301</f>
        <v>2</v>
      </c>
      <c r="AD301" s="266">
        <f>U301*$AD$3</f>
        <v>4</v>
      </c>
      <c r="AE301" s="267"/>
      <c r="AF301" s="268">
        <f>W301</f>
        <v>2</v>
      </c>
      <c r="AG301" s="266">
        <f>U301*$AG$3</f>
        <v>5</v>
      </c>
      <c r="AH301" s="267"/>
      <c r="AI301" s="268">
        <f>W301</f>
        <v>2</v>
      </c>
      <c r="AJ301" s="266">
        <f>U301*$AJ$3</f>
        <v>6</v>
      </c>
      <c r="AK301" s="267"/>
      <c r="AL301" s="268">
        <f>W301</f>
        <v>2</v>
      </c>
      <c r="AM301" s="266">
        <f>U301*$AM$3</f>
        <v>7</v>
      </c>
    </row>
    <row r="302" spans="1:39" s="264" customFormat="1" x14ac:dyDescent="0.2">
      <c r="A302" s="503"/>
      <c r="B302" s="510"/>
      <c r="C302" s="505"/>
      <c r="D302" s="505"/>
      <c r="E302" s="505"/>
      <c r="F302" s="505"/>
      <c r="G302" s="505"/>
      <c r="H302" s="505"/>
      <c r="I302" s="505"/>
      <c r="J302" s="505"/>
      <c r="K302" s="505"/>
      <c r="L302" s="505"/>
      <c r="M302" s="505"/>
      <c r="N302" s="505"/>
      <c r="O302" s="505"/>
      <c r="P302" s="511"/>
      <c r="Q302" s="507"/>
      <c r="R302" s="512"/>
      <c r="S302" s="386"/>
      <c r="T302" s="339"/>
      <c r="U302" s="339"/>
      <c r="W302" s="387"/>
      <c r="X302" s="339"/>
      <c r="Z302" s="387"/>
      <c r="AA302" s="339"/>
      <c r="AC302" s="387"/>
      <c r="AD302" s="339"/>
      <c r="AF302" s="387"/>
      <c r="AG302" s="339"/>
      <c r="AI302" s="387"/>
      <c r="AJ302" s="339"/>
      <c r="AL302" s="387"/>
      <c r="AM302" s="339"/>
    </row>
    <row r="303" spans="1:39" s="264" customFormat="1" x14ac:dyDescent="0.2">
      <c r="A303" s="503" t="s">
        <v>71</v>
      </c>
      <c r="B303" s="510" t="s">
        <v>872</v>
      </c>
      <c r="C303" s="505"/>
      <c r="D303" s="505">
        <v>3000</v>
      </c>
      <c r="E303" s="505"/>
      <c r="F303" s="505">
        <v>3750</v>
      </c>
      <c r="G303" s="505"/>
      <c r="H303" s="505">
        <v>22500</v>
      </c>
      <c r="I303" s="505"/>
      <c r="J303" s="505">
        <v>5250</v>
      </c>
      <c r="K303" s="505"/>
      <c r="L303" s="505">
        <v>18000</v>
      </c>
      <c r="M303" s="505"/>
      <c r="N303" s="505">
        <v>6750</v>
      </c>
      <c r="O303" s="505"/>
      <c r="P303" s="511" t="s">
        <v>5</v>
      </c>
      <c r="Q303" s="507"/>
      <c r="R303" s="495" t="s">
        <v>904</v>
      </c>
      <c r="S303" s="386"/>
      <c r="T303" s="339">
        <v>1</v>
      </c>
      <c r="U303" s="266">
        <v>1</v>
      </c>
      <c r="W303" s="268">
        <f>T303*$W$3</f>
        <v>2</v>
      </c>
      <c r="X303" s="266">
        <f>U303*$X$3</f>
        <v>2</v>
      </c>
      <c r="Y303" s="267"/>
      <c r="Z303" s="268">
        <f>W303</f>
        <v>2</v>
      </c>
      <c r="AA303" s="266">
        <f>U303*$AA$3</f>
        <v>3</v>
      </c>
      <c r="AB303" s="267"/>
      <c r="AC303" s="268">
        <f>W303</f>
        <v>2</v>
      </c>
      <c r="AD303" s="266">
        <f>U303*$AD$3</f>
        <v>4</v>
      </c>
      <c r="AE303" s="267"/>
      <c r="AF303" s="268">
        <f>W303</f>
        <v>2</v>
      </c>
      <c r="AG303" s="266">
        <f>U303*$AG$3</f>
        <v>5</v>
      </c>
      <c r="AH303" s="267"/>
      <c r="AI303" s="268">
        <f>W303</f>
        <v>2</v>
      </c>
      <c r="AJ303" s="266">
        <f>U303*$AJ$3</f>
        <v>6</v>
      </c>
      <c r="AK303" s="267"/>
      <c r="AL303" s="268">
        <f>W303</f>
        <v>2</v>
      </c>
      <c r="AM303" s="266">
        <f>U303*$AM$3</f>
        <v>7</v>
      </c>
    </row>
    <row r="304" spans="1:39" s="264" customFormat="1" x14ac:dyDescent="0.2">
      <c r="A304" s="258"/>
      <c r="B304" s="206"/>
      <c r="C304" s="290"/>
      <c r="D304" s="290"/>
      <c r="E304" s="290"/>
      <c r="F304" s="290"/>
      <c r="G304" s="290"/>
      <c r="H304" s="290"/>
      <c r="I304" s="290"/>
      <c r="J304" s="290"/>
      <c r="K304" s="290"/>
      <c r="L304" s="290"/>
      <c r="M304" s="290"/>
      <c r="N304" s="290"/>
      <c r="O304" s="290"/>
      <c r="P304" s="403"/>
      <c r="Q304" s="262"/>
      <c r="R304" s="263"/>
      <c r="S304" s="386"/>
      <c r="T304" s="339"/>
      <c r="U304" s="339"/>
      <c r="W304" s="387"/>
      <c r="X304" s="339"/>
      <c r="Z304" s="387"/>
      <c r="AA304" s="339"/>
      <c r="AC304" s="387"/>
      <c r="AD304" s="339"/>
      <c r="AF304" s="387"/>
      <c r="AG304" s="339"/>
      <c r="AI304" s="387"/>
      <c r="AJ304" s="339"/>
      <c r="AL304" s="387"/>
      <c r="AM304" s="339"/>
    </row>
    <row r="305" spans="1:39" s="264" customFormat="1" x14ac:dyDescent="0.2">
      <c r="A305" s="258"/>
      <c r="B305" s="206"/>
      <c r="C305" s="290"/>
      <c r="D305" s="290"/>
      <c r="E305" s="290"/>
      <c r="F305" s="290"/>
      <c r="G305" s="290"/>
      <c r="H305" s="290"/>
      <c r="I305" s="290"/>
      <c r="J305" s="290"/>
      <c r="K305" s="290"/>
      <c r="L305" s="290"/>
      <c r="M305" s="290"/>
      <c r="N305" s="290"/>
      <c r="O305" s="290"/>
      <c r="P305" s="403"/>
      <c r="Q305" s="262"/>
      <c r="R305" s="263"/>
      <c r="S305" s="386"/>
      <c r="T305" s="339"/>
      <c r="U305" s="266"/>
      <c r="W305" s="268"/>
      <c r="X305" s="266"/>
      <c r="Y305" s="267"/>
      <c r="Z305" s="268"/>
      <c r="AA305" s="266"/>
      <c r="AB305" s="267"/>
      <c r="AC305" s="268"/>
      <c r="AD305" s="266"/>
      <c r="AE305" s="267"/>
      <c r="AF305" s="268"/>
      <c r="AG305" s="266"/>
      <c r="AH305" s="267"/>
      <c r="AI305" s="268"/>
      <c r="AJ305" s="266"/>
      <c r="AK305" s="267"/>
      <c r="AL305" s="268"/>
      <c r="AM305" s="266"/>
    </row>
    <row r="306" spans="1:39" s="264" customFormat="1" x14ac:dyDescent="0.2">
      <c r="A306" s="258"/>
      <c r="B306" s="206"/>
      <c r="C306" s="290"/>
      <c r="D306" s="290"/>
      <c r="E306" s="290"/>
      <c r="F306" s="290"/>
      <c r="G306" s="290"/>
      <c r="H306" s="290"/>
      <c r="I306" s="290"/>
      <c r="J306" s="290"/>
      <c r="K306" s="290"/>
      <c r="L306" s="290"/>
      <c r="M306" s="290"/>
      <c r="N306" s="290"/>
      <c r="O306" s="290"/>
      <c r="P306" s="403"/>
      <c r="Q306" s="262"/>
      <c r="R306" s="263"/>
      <c r="S306" s="386"/>
      <c r="T306" s="339"/>
      <c r="U306" s="339"/>
      <c r="W306" s="387"/>
      <c r="X306" s="339"/>
      <c r="Z306" s="387"/>
      <c r="AA306" s="339"/>
      <c r="AC306" s="387"/>
      <c r="AD306" s="339"/>
      <c r="AF306" s="387"/>
      <c r="AG306" s="339"/>
      <c r="AI306" s="387"/>
      <c r="AJ306" s="339"/>
      <c r="AL306" s="387"/>
      <c r="AM306" s="339"/>
    </row>
    <row r="307" spans="1:39" s="264" customFormat="1" x14ac:dyDescent="0.2">
      <c r="A307" s="258"/>
      <c r="B307" s="206"/>
      <c r="C307" s="290"/>
      <c r="D307" s="290"/>
      <c r="E307" s="290"/>
      <c r="F307" s="290"/>
      <c r="G307" s="290"/>
      <c r="H307" s="290"/>
      <c r="I307" s="290"/>
      <c r="J307" s="290"/>
      <c r="K307" s="290"/>
      <c r="L307" s="290"/>
      <c r="M307" s="290"/>
      <c r="N307" s="290"/>
      <c r="O307" s="290"/>
      <c r="P307" s="403"/>
      <c r="Q307" s="262"/>
      <c r="R307" s="263"/>
      <c r="S307" s="386"/>
      <c r="T307" s="339"/>
      <c r="U307" s="266"/>
      <c r="W307" s="268"/>
      <c r="X307" s="266"/>
      <c r="Y307" s="267"/>
      <c r="Z307" s="268"/>
      <c r="AA307" s="266"/>
      <c r="AB307" s="267"/>
      <c r="AC307" s="268"/>
      <c r="AD307" s="266"/>
      <c r="AE307" s="267"/>
      <c r="AF307" s="268"/>
      <c r="AG307" s="266"/>
      <c r="AH307" s="267"/>
      <c r="AI307" s="268"/>
      <c r="AJ307" s="266"/>
      <c r="AK307" s="267"/>
      <c r="AL307" s="268"/>
      <c r="AM307" s="266"/>
    </row>
    <row r="308" spans="1:39" s="264" customFormat="1" x14ac:dyDescent="0.2">
      <c r="A308" s="258"/>
      <c r="B308" s="206"/>
      <c r="C308" s="290"/>
      <c r="D308" s="290"/>
      <c r="E308" s="290"/>
      <c r="F308" s="290"/>
      <c r="G308" s="290"/>
      <c r="H308" s="290"/>
      <c r="I308" s="290"/>
      <c r="J308" s="290"/>
      <c r="K308" s="290"/>
      <c r="L308" s="290"/>
      <c r="M308" s="290"/>
      <c r="N308" s="290"/>
      <c r="O308" s="290"/>
      <c r="P308" s="403"/>
      <c r="Q308" s="262"/>
      <c r="R308" s="263"/>
      <c r="S308" s="386"/>
      <c r="T308" s="339"/>
      <c r="U308" s="339"/>
      <c r="W308" s="387"/>
      <c r="X308" s="339"/>
      <c r="Z308" s="387"/>
      <c r="AA308" s="339"/>
      <c r="AC308" s="387"/>
      <c r="AD308" s="339"/>
      <c r="AF308" s="387"/>
      <c r="AG308" s="339"/>
      <c r="AI308" s="387"/>
      <c r="AJ308" s="339"/>
      <c r="AL308" s="387"/>
      <c r="AM308" s="339"/>
    </row>
    <row r="309" spans="1:39" s="264" customFormat="1" x14ac:dyDescent="0.2">
      <c r="A309" s="258"/>
      <c r="B309" s="202"/>
      <c r="C309" s="290"/>
      <c r="D309" s="290"/>
      <c r="E309" s="290"/>
      <c r="F309" s="290"/>
      <c r="G309" s="290"/>
      <c r="H309" s="290"/>
      <c r="I309" s="290"/>
      <c r="J309" s="290"/>
      <c r="K309" s="290"/>
      <c r="L309" s="290"/>
      <c r="M309" s="290"/>
      <c r="N309" s="290"/>
      <c r="O309" s="290"/>
      <c r="P309" s="403"/>
      <c r="Q309" s="262"/>
      <c r="R309" s="263"/>
      <c r="S309" s="386"/>
      <c r="T309" s="339"/>
      <c r="U309" s="339"/>
      <c r="W309" s="387"/>
      <c r="X309" s="339"/>
      <c r="Z309" s="387"/>
      <c r="AA309" s="339"/>
      <c r="AC309" s="387"/>
      <c r="AD309" s="339"/>
      <c r="AF309" s="387"/>
      <c r="AG309" s="339"/>
      <c r="AI309" s="387"/>
      <c r="AJ309" s="339"/>
      <c r="AL309" s="387"/>
      <c r="AM309" s="339"/>
    </row>
    <row r="310" spans="1:39" s="264" customFormat="1" x14ac:dyDescent="0.2">
      <c r="A310" s="258"/>
      <c r="B310" s="202"/>
      <c r="C310" s="290"/>
      <c r="D310" s="290"/>
      <c r="E310" s="290"/>
      <c r="F310" s="290"/>
      <c r="G310" s="290"/>
      <c r="H310" s="290"/>
      <c r="I310" s="290"/>
      <c r="J310" s="290"/>
      <c r="K310" s="290"/>
      <c r="L310" s="290"/>
      <c r="M310" s="290"/>
      <c r="N310" s="290"/>
      <c r="O310" s="290"/>
      <c r="P310" s="403"/>
      <c r="Q310" s="262"/>
      <c r="R310" s="263"/>
      <c r="S310" s="386"/>
      <c r="T310" s="339"/>
      <c r="U310" s="339"/>
      <c r="W310" s="387"/>
      <c r="X310" s="339"/>
      <c r="Z310" s="387"/>
      <c r="AA310" s="339"/>
      <c r="AC310" s="387"/>
      <c r="AD310" s="339"/>
      <c r="AF310" s="387"/>
      <c r="AG310" s="339"/>
      <c r="AI310" s="387"/>
      <c r="AJ310" s="339"/>
      <c r="AL310" s="387"/>
      <c r="AM310" s="339"/>
    </row>
    <row r="311" spans="1:39" s="264" customFormat="1" x14ac:dyDescent="0.2">
      <c r="A311" s="258"/>
      <c r="B311" s="206"/>
      <c r="C311" s="290"/>
      <c r="D311" s="290"/>
      <c r="E311" s="290"/>
      <c r="F311" s="290"/>
      <c r="G311" s="290"/>
      <c r="H311" s="290"/>
      <c r="I311" s="290"/>
      <c r="J311" s="290"/>
      <c r="K311" s="290"/>
      <c r="L311" s="290"/>
      <c r="M311" s="290"/>
      <c r="N311" s="290"/>
      <c r="O311" s="290"/>
      <c r="P311" s="403"/>
      <c r="Q311" s="262"/>
      <c r="R311" s="263"/>
      <c r="S311" s="386"/>
      <c r="T311" s="339"/>
      <c r="U311" s="266"/>
      <c r="W311" s="268"/>
      <c r="X311" s="266"/>
      <c r="Y311" s="267"/>
      <c r="Z311" s="268"/>
      <c r="AA311" s="266"/>
      <c r="AB311" s="267"/>
      <c r="AC311" s="268"/>
      <c r="AD311" s="266"/>
      <c r="AE311" s="267"/>
      <c r="AF311" s="268"/>
      <c r="AG311" s="266"/>
      <c r="AH311" s="267"/>
      <c r="AI311" s="268"/>
      <c r="AJ311" s="266"/>
      <c r="AK311" s="267"/>
      <c r="AL311" s="268"/>
      <c r="AM311" s="266"/>
    </row>
    <row r="312" spans="1:39" s="264" customFormat="1" x14ac:dyDescent="0.2">
      <c r="A312" s="258"/>
      <c r="B312" s="206"/>
      <c r="C312" s="290"/>
      <c r="D312" s="290"/>
      <c r="E312" s="290"/>
      <c r="F312" s="290"/>
      <c r="G312" s="290"/>
      <c r="H312" s="290"/>
      <c r="I312" s="290"/>
      <c r="J312" s="290"/>
      <c r="K312" s="290"/>
      <c r="L312" s="290"/>
      <c r="M312" s="290"/>
      <c r="N312" s="290"/>
      <c r="O312" s="290"/>
      <c r="P312" s="403"/>
      <c r="Q312" s="262"/>
      <c r="R312" s="263"/>
      <c r="S312" s="386"/>
      <c r="T312" s="339"/>
      <c r="U312" s="339"/>
      <c r="W312" s="387"/>
      <c r="X312" s="339"/>
      <c r="Z312" s="387"/>
      <c r="AA312" s="339"/>
      <c r="AC312" s="387"/>
      <c r="AD312" s="339"/>
      <c r="AF312" s="387"/>
      <c r="AG312" s="339"/>
      <c r="AI312" s="387"/>
      <c r="AJ312" s="339"/>
      <c r="AL312" s="387"/>
      <c r="AM312" s="339"/>
    </row>
    <row r="313" spans="1:39" s="264" customFormat="1" x14ac:dyDescent="0.2">
      <c r="A313" s="258"/>
      <c r="B313" s="206"/>
      <c r="C313" s="290"/>
      <c r="D313" s="290"/>
      <c r="E313" s="290"/>
      <c r="F313" s="290"/>
      <c r="G313" s="290"/>
      <c r="H313" s="290"/>
      <c r="I313" s="290"/>
      <c r="J313" s="290"/>
      <c r="K313" s="290"/>
      <c r="L313" s="290"/>
      <c r="M313" s="290"/>
      <c r="N313" s="290"/>
      <c r="O313" s="290"/>
      <c r="P313" s="403"/>
      <c r="Q313" s="262"/>
      <c r="R313" s="263"/>
      <c r="S313" s="386"/>
      <c r="T313" s="339"/>
      <c r="U313" s="266"/>
      <c r="W313" s="268"/>
      <c r="X313" s="266"/>
      <c r="Y313" s="267"/>
      <c r="Z313" s="268"/>
      <c r="AA313" s="266"/>
      <c r="AB313" s="267"/>
      <c r="AC313" s="268"/>
      <c r="AD313" s="266"/>
      <c r="AE313" s="267"/>
      <c r="AF313" s="268"/>
      <c r="AG313" s="266"/>
      <c r="AH313" s="267"/>
      <c r="AI313" s="268"/>
      <c r="AJ313" s="266"/>
      <c r="AK313" s="267"/>
      <c r="AL313" s="268"/>
      <c r="AM313" s="266"/>
    </row>
    <row r="314" spans="1:39" s="259" customFormat="1" x14ac:dyDescent="0.2">
      <c r="A314" s="258"/>
      <c r="B314" s="206"/>
      <c r="C314" s="290"/>
      <c r="D314" s="290"/>
      <c r="E314" s="290"/>
      <c r="F314" s="290"/>
      <c r="G314" s="290"/>
      <c r="H314" s="290"/>
      <c r="I314" s="290"/>
      <c r="J314" s="290"/>
      <c r="K314" s="290"/>
      <c r="L314" s="290"/>
      <c r="M314" s="290"/>
      <c r="N314" s="290"/>
      <c r="O314" s="290"/>
      <c r="P314" s="403"/>
      <c r="Q314" s="262"/>
      <c r="R314" s="263"/>
      <c r="S314" s="386"/>
      <c r="T314" s="339"/>
      <c r="U314" s="339"/>
      <c r="W314" s="387"/>
      <c r="X314" s="339"/>
      <c r="Z314" s="387"/>
      <c r="AA314" s="339"/>
      <c r="AC314" s="387"/>
      <c r="AD314" s="339"/>
      <c r="AF314" s="387"/>
      <c r="AG314" s="339"/>
      <c r="AI314" s="387"/>
      <c r="AJ314" s="339"/>
      <c r="AL314" s="387"/>
      <c r="AM314" s="339"/>
    </row>
    <row r="315" spans="1:39" s="206" customFormat="1" x14ac:dyDescent="0.2">
      <c r="A315" s="258"/>
      <c r="C315" s="290"/>
      <c r="D315" s="290"/>
      <c r="E315" s="290"/>
      <c r="F315" s="290"/>
      <c r="G315" s="290"/>
      <c r="H315" s="290"/>
      <c r="I315" s="290"/>
      <c r="J315" s="290"/>
      <c r="K315" s="290"/>
      <c r="L315" s="290"/>
      <c r="M315" s="290"/>
      <c r="N315" s="290"/>
      <c r="O315" s="290"/>
      <c r="P315" s="403"/>
      <c r="Q315" s="262"/>
      <c r="R315" s="263"/>
      <c r="S315" s="386"/>
      <c r="T315" s="339"/>
      <c r="U315" s="266"/>
      <c r="W315" s="268"/>
      <c r="X315" s="266"/>
      <c r="Y315" s="267"/>
      <c r="Z315" s="268"/>
      <c r="AA315" s="266"/>
      <c r="AB315" s="267"/>
      <c r="AC315" s="268"/>
      <c r="AD315" s="266"/>
      <c r="AE315" s="267"/>
      <c r="AF315" s="268"/>
      <c r="AG315" s="266"/>
      <c r="AH315" s="267"/>
      <c r="AI315" s="268"/>
      <c r="AJ315" s="266"/>
      <c r="AK315" s="267"/>
      <c r="AL315" s="268"/>
      <c r="AM315" s="266"/>
    </row>
    <row r="316" spans="1:39" s="259" customFormat="1" x14ac:dyDescent="0.2">
      <c r="A316" s="258"/>
      <c r="B316" s="206"/>
      <c r="C316" s="290"/>
      <c r="D316" s="290"/>
      <c r="E316" s="290"/>
      <c r="F316" s="290"/>
      <c r="G316" s="290"/>
      <c r="H316" s="290"/>
      <c r="I316" s="290"/>
      <c r="J316" s="290"/>
      <c r="K316" s="290"/>
      <c r="L316" s="290"/>
      <c r="M316" s="290"/>
      <c r="N316" s="290"/>
      <c r="O316" s="290"/>
      <c r="P316" s="403"/>
      <c r="Q316" s="262"/>
      <c r="R316" s="263"/>
      <c r="S316" s="386"/>
      <c r="T316" s="339"/>
      <c r="U316" s="339"/>
      <c r="W316" s="387"/>
      <c r="X316" s="339"/>
      <c r="Z316" s="387"/>
      <c r="AA316" s="339"/>
      <c r="AC316" s="387"/>
      <c r="AD316" s="339"/>
      <c r="AF316" s="387"/>
      <c r="AG316" s="339"/>
      <c r="AI316" s="387"/>
      <c r="AJ316" s="339"/>
      <c r="AL316" s="387"/>
      <c r="AM316" s="339"/>
    </row>
    <row r="317" spans="1:39" s="356" customFormat="1" x14ac:dyDescent="0.2">
      <c r="A317" s="258"/>
      <c r="B317" s="206"/>
      <c r="C317" s="290"/>
      <c r="D317" s="290"/>
      <c r="E317" s="290"/>
      <c r="F317" s="290"/>
      <c r="G317" s="290"/>
      <c r="H317" s="290"/>
      <c r="I317" s="290"/>
      <c r="J317" s="290"/>
      <c r="K317" s="290"/>
      <c r="L317" s="290"/>
      <c r="M317" s="290"/>
      <c r="N317" s="290"/>
      <c r="O317" s="290"/>
      <c r="P317" s="403"/>
      <c r="Q317" s="262"/>
      <c r="R317" s="263"/>
      <c r="S317" s="386"/>
      <c r="T317" s="339"/>
      <c r="U317" s="266"/>
      <c r="W317" s="268"/>
      <c r="X317" s="266"/>
      <c r="Y317" s="267"/>
      <c r="Z317" s="268"/>
      <c r="AA317" s="266"/>
      <c r="AB317" s="267"/>
      <c r="AC317" s="268"/>
      <c r="AD317" s="266"/>
      <c r="AE317" s="267"/>
      <c r="AF317" s="268"/>
      <c r="AG317" s="266"/>
      <c r="AH317" s="267"/>
      <c r="AI317" s="268"/>
      <c r="AJ317" s="266"/>
      <c r="AK317" s="267"/>
      <c r="AL317" s="268"/>
      <c r="AM317" s="266"/>
    </row>
    <row r="318" spans="1:39" s="259" customFormat="1" x14ac:dyDescent="0.2">
      <c r="A318" s="258"/>
      <c r="B318" s="206"/>
      <c r="C318" s="290"/>
      <c r="D318" s="290"/>
      <c r="E318" s="290"/>
      <c r="F318" s="290"/>
      <c r="G318" s="290"/>
      <c r="H318" s="290"/>
      <c r="I318" s="290"/>
      <c r="J318" s="290"/>
      <c r="K318" s="290"/>
      <c r="L318" s="290"/>
      <c r="M318" s="290"/>
      <c r="N318" s="290"/>
      <c r="O318" s="290"/>
      <c r="P318" s="403"/>
      <c r="Q318" s="262"/>
      <c r="R318" s="263"/>
      <c r="S318" s="386"/>
      <c r="T318" s="339"/>
      <c r="U318" s="339"/>
      <c r="W318" s="387"/>
      <c r="X318" s="339"/>
      <c r="Z318" s="387"/>
      <c r="AA318" s="339"/>
      <c r="AC318" s="387"/>
      <c r="AD318" s="339"/>
      <c r="AF318" s="387"/>
      <c r="AG318" s="339"/>
      <c r="AI318" s="387"/>
      <c r="AJ318" s="339"/>
      <c r="AL318" s="387"/>
      <c r="AM318" s="339"/>
    </row>
    <row r="319" spans="1:39" s="259" customFormat="1" x14ac:dyDescent="0.2">
      <c r="A319" s="258"/>
      <c r="B319" s="206"/>
      <c r="C319" s="290"/>
      <c r="D319" s="290"/>
      <c r="E319" s="290"/>
      <c r="F319" s="290"/>
      <c r="G319" s="290"/>
      <c r="H319" s="290"/>
      <c r="I319" s="290"/>
      <c r="J319" s="290"/>
      <c r="K319" s="290"/>
      <c r="L319" s="290"/>
      <c r="M319" s="290"/>
      <c r="N319" s="290"/>
      <c r="O319" s="290"/>
      <c r="P319" s="403"/>
      <c r="Q319" s="262"/>
      <c r="R319" s="263"/>
      <c r="S319" s="386"/>
      <c r="T319" s="339"/>
      <c r="U319" s="266"/>
      <c r="W319" s="268"/>
      <c r="X319" s="266"/>
      <c r="Y319" s="267"/>
      <c r="Z319" s="268"/>
      <c r="AA319" s="266"/>
      <c r="AB319" s="267"/>
      <c r="AC319" s="268"/>
      <c r="AD319" s="266"/>
      <c r="AE319" s="267"/>
      <c r="AF319" s="268"/>
      <c r="AG319" s="266"/>
      <c r="AH319" s="267"/>
      <c r="AI319" s="268"/>
      <c r="AJ319" s="266"/>
      <c r="AK319" s="267"/>
      <c r="AL319" s="268"/>
      <c r="AM319" s="266"/>
    </row>
    <row r="320" spans="1:39" s="259" customFormat="1" x14ac:dyDescent="0.2">
      <c r="A320" s="258"/>
      <c r="B320" s="206"/>
      <c r="C320" s="290"/>
      <c r="D320" s="290"/>
      <c r="E320" s="290"/>
      <c r="F320" s="290"/>
      <c r="G320" s="290"/>
      <c r="H320" s="290"/>
      <c r="I320" s="290"/>
      <c r="J320" s="290"/>
      <c r="K320" s="290"/>
      <c r="L320" s="290"/>
      <c r="M320" s="290"/>
      <c r="N320" s="290"/>
      <c r="O320" s="290"/>
      <c r="P320" s="403"/>
      <c r="Q320" s="262"/>
      <c r="R320" s="263"/>
      <c r="S320" s="386"/>
      <c r="T320" s="339"/>
      <c r="U320" s="339"/>
      <c r="W320" s="387"/>
      <c r="X320" s="339"/>
      <c r="Z320" s="387"/>
      <c r="AA320" s="339"/>
      <c r="AC320" s="387"/>
      <c r="AD320" s="339"/>
      <c r="AF320" s="387"/>
      <c r="AG320" s="339"/>
      <c r="AI320" s="387"/>
      <c r="AJ320" s="339"/>
      <c r="AL320" s="387"/>
      <c r="AM320" s="339"/>
    </row>
    <row r="321" spans="1:39" s="264" customFormat="1" x14ac:dyDescent="0.2">
      <c r="A321" s="258"/>
      <c r="B321" s="206"/>
      <c r="C321" s="290"/>
      <c r="D321" s="290"/>
      <c r="E321" s="290"/>
      <c r="F321" s="290"/>
      <c r="G321" s="290"/>
      <c r="H321" s="290"/>
      <c r="I321" s="290"/>
      <c r="J321" s="290"/>
      <c r="K321" s="290"/>
      <c r="L321" s="290"/>
      <c r="M321" s="290"/>
      <c r="N321" s="290"/>
      <c r="O321" s="290"/>
      <c r="P321" s="403"/>
      <c r="Q321" s="262"/>
      <c r="R321" s="263"/>
      <c r="S321" s="386"/>
      <c r="T321" s="339"/>
      <c r="U321" s="266"/>
      <c r="W321" s="268"/>
      <c r="X321" s="266"/>
      <c r="Y321" s="267"/>
      <c r="Z321" s="268"/>
      <c r="AA321" s="266"/>
      <c r="AB321" s="267"/>
      <c r="AC321" s="268"/>
      <c r="AD321" s="266"/>
      <c r="AE321" s="267"/>
      <c r="AF321" s="268"/>
      <c r="AG321" s="266"/>
      <c r="AH321" s="267"/>
      <c r="AI321" s="268"/>
      <c r="AJ321" s="266"/>
      <c r="AK321" s="267"/>
      <c r="AL321" s="268"/>
      <c r="AM321" s="266"/>
    </row>
    <row r="322" spans="1:39" s="264" customFormat="1" x14ac:dyDescent="0.2">
      <c r="A322" s="258"/>
      <c r="B322" s="206"/>
      <c r="C322" s="290"/>
      <c r="D322" s="290"/>
      <c r="E322" s="290"/>
      <c r="F322" s="290"/>
      <c r="G322" s="290"/>
      <c r="H322" s="290"/>
      <c r="I322" s="290"/>
      <c r="J322" s="290"/>
      <c r="K322" s="290"/>
      <c r="L322" s="290"/>
      <c r="M322" s="290"/>
      <c r="N322" s="290"/>
      <c r="O322" s="290"/>
      <c r="P322" s="403"/>
      <c r="Q322" s="262"/>
      <c r="R322" s="263"/>
      <c r="S322" s="386"/>
      <c r="T322" s="339"/>
      <c r="U322" s="339"/>
      <c r="W322" s="387"/>
      <c r="X322" s="339"/>
      <c r="Z322" s="387"/>
      <c r="AA322" s="339"/>
      <c r="AC322" s="387"/>
      <c r="AD322" s="339"/>
      <c r="AF322" s="387"/>
      <c r="AG322" s="339"/>
      <c r="AI322" s="387"/>
      <c r="AJ322" s="339"/>
      <c r="AL322" s="387"/>
      <c r="AM322" s="339"/>
    </row>
    <row r="323" spans="1:39" s="264" customFormat="1" x14ac:dyDescent="0.2">
      <c r="A323" s="308"/>
      <c r="B323" s="259"/>
      <c r="C323" s="290"/>
      <c r="D323" s="290"/>
      <c r="E323" s="290"/>
      <c r="F323" s="290"/>
      <c r="G323" s="290"/>
      <c r="H323" s="290"/>
      <c r="I323" s="290"/>
      <c r="J323" s="290"/>
      <c r="K323" s="290"/>
      <c r="L323" s="290"/>
      <c r="M323" s="290"/>
      <c r="N323" s="290"/>
      <c r="O323" s="290"/>
      <c r="P323" s="403"/>
      <c r="Q323" s="262"/>
      <c r="R323" s="263"/>
      <c r="S323" s="386"/>
      <c r="T323" s="357"/>
      <c r="U323" s="357"/>
      <c r="W323" s="387"/>
      <c r="X323" s="357"/>
      <c r="Z323" s="387"/>
      <c r="AA323" s="357"/>
      <c r="AC323" s="387"/>
      <c r="AD323" s="357"/>
      <c r="AF323" s="387"/>
      <c r="AG323" s="357"/>
      <c r="AI323" s="387"/>
      <c r="AJ323" s="357"/>
      <c r="AL323" s="387"/>
      <c r="AM323" s="357"/>
    </row>
    <row r="324" spans="1:39" s="264" customFormat="1" x14ac:dyDescent="0.2">
      <c r="A324" s="308"/>
      <c r="B324" s="259"/>
      <c r="C324" s="290"/>
      <c r="D324" s="290"/>
      <c r="E324" s="290"/>
      <c r="F324" s="290"/>
      <c r="G324" s="290"/>
      <c r="H324" s="290"/>
      <c r="I324" s="290"/>
      <c r="J324" s="290"/>
      <c r="K324" s="290"/>
      <c r="L324" s="290"/>
      <c r="M324" s="290"/>
      <c r="N324" s="290"/>
      <c r="O324" s="290"/>
      <c r="P324" s="403"/>
      <c r="Q324" s="262"/>
      <c r="R324" s="263"/>
      <c r="S324" s="386"/>
      <c r="T324" s="357"/>
      <c r="U324" s="357"/>
      <c r="W324" s="387"/>
      <c r="X324" s="357"/>
      <c r="Z324" s="387"/>
      <c r="AA324" s="357"/>
      <c r="AC324" s="387"/>
      <c r="AD324" s="357"/>
      <c r="AF324" s="387"/>
      <c r="AG324" s="357"/>
      <c r="AI324" s="387"/>
      <c r="AJ324" s="357"/>
      <c r="AL324" s="387"/>
      <c r="AM324" s="357"/>
    </row>
    <row r="325" spans="1:39" s="264" customFormat="1" x14ac:dyDescent="0.2">
      <c r="A325" s="308"/>
      <c r="B325" s="259"/>
      <c r="C325" s="290"/>
      <c r="D325" s="290"/>
      <c r="E325" s="290"/>
      <c r="F325" s="290"/>
      <c r="G325" s="290"/>
      <c r="H325" s="290"/>
      <c r="I325" s="290"/>
      <c r="J325" s="290"/>
      <c r="K325" s="290"/>
      <c r="L325" s="290"/>
      <c r="M325" s="290"/>
      <c r="N325" s="290"/>
      <c r="O325" s="290"/>
      <c r="P325" s="403"/>
      <c r="Q325" s="262"/>
      <c r="R325" s="263"/>
      <c r="S325" s="386"/>
      <c r="T325" s="357"/>
      <c r="U325" s="357"/>
      <c r="W325" s="387"/>
      <c r="X325" s="357"/>
      <c r="Z325" s="387"/>
      <c r="AA325" s="357"/>
      <c r="AC325" s="387"/>
      <c r="AD325" s="357"/>
      <c r="AF325" s="387"/>
      <c r="AG325" s="357"/>
      <c r="AI325" s="387"/>
      <c r="AJ325" s="357"/>
      <c r="AL325" s="387"/>
      <c r="AM325" s="357"/>
    </row>
    <row r="326" spans="1:39" s="264" customFormat="1" x14ac:dyDescent="0.2">
      <c r="A326" s="308"/>
      <c r="B326" s="259"/>
      <c r="C326" s="290"/>
      <c r="D326" s="290"/>
      <c r="E326" s="290"/>
      <c r="F326" s="290"/>
      <c r="G326" s="290"/>
      <c r="H326" s="290"/>
      <c r="I326" s="290"/>
      <c r="J326" s="290"/>
      <c r="K326" s="290"/>
      <c r="L326" s="290"/>
      <c r="M326" s="290"/>
      <c r="N326" s="290"/>
      <c r="O326" s="290"/>
      <c r="P326" s="403"/>
      <c r="Q326" s="262"/>
      <c r="R326" s="263"/>
      <c r="S326" s="386"/>
      <c r="T326" s="357"/>
      <c r="U326" s="357"/>
      <c r="W326" s="387"/>
      <c r="X326" s="357"/>
      <c r="Z326" s="387"/>
      <c r="AA326" s="357"/>
      <c r="AC326" s="387"/>
      <c r="AD326" s="357"/>
      <c r="AF326" s="387"/>
      <c r="AG326" s="357"/>
      <c r="AI326" s="387"/>
      <c r="AJ326" s="357"/>
      <c r="AL326" s="387"/>
      <c r="AM326" s="357"/>
    </row>
    <row r="327" spans="1:39" s="264" customFormat="1" x14ac:dyDescent="0.2">
      <c r="A327" s="308"/>
      <c r="B327" s="259"/>
      <c r="C327" s="290">
        <f>ROUND(W327*C$3,0)</f>
        <v>0</v>
      </c>
      <c r="D327" s="290">
        <f t="shared" ref="D327" si="49">C327*$Q327</f>
        <v>0</v>
      </c>
      <c r="E327" s="290">
        <f>ROUND(X327*E$3,0)</f>
        <v>0</v>
      </c>
      <c r="F327" s="290">
        <f t="shared" ref="F327" si="50">E327*$Q327</f>
        <v>0</v>
      </c>
      <c r="G327" s="290">
        <f>ROUND(Z327*G$3,0)</f>
        <v>0</v>
      </c>
      <c r="H327" s="290">
        <f t="shared" ref="H327" si="51">G327*$Q327</f>
        <v>0</v>
      </c>
      <c r="I327" s="290"/>
      <c r="J327" s="290"/>
      <c r="K327" s="290"/>
      <c r="L327" s="290"/>
      <c r="M327" s="290"/>
      <c r="N327" s="290"/>
      <c r="O327" s="290"/>
      <c r="P327" s="403"/>
      <c r="Q327" s="262"/>
      <c r="R327" s="263"/>
      <c r="S327" s="386"/>
      <c r="T327" s="357"/>
      <c r="U327" s="357"/>
      <c r="W327" s="387"/>
      <c r="X327" s="357"/>
      <c r="Z327" s="387"/>
      <c r="AA327" s="357"/>
      <c r="AC327" s="387"/>
      <c r="AD327" s="357"/>
      <c r="AF327" s="387"/>
      <c r="AG327" s="357"/>
      <c r="AI327" s="387"/>
      <c r="AJ327" s="357"/>
      <c r="AL327" s="387"/>
      <c r="AM327" s="357"/>
    </row>
    <row r="328" spans="1:39" s="264" customFormat="1" x14ac:dyDescent="0.2">
      <c r="A328" s="308"/>
      <c r="B328" s="259"/>
      <c r="C328" s="290"/>
      <c r="D328" s="290"/>
      <c r="E328" s="290"/>
      <c r="F328" s="290"/>
      <c r="G328" s="290"/>
      <c r="H328" s="290"/>
      <c r="I328" s="290"/>
      <c r="J328" s="290"/>
      <c r="K328" s="290"/>
      <c r="L328" s="290"/>
      <c r="M328" s="290"/>
      <c r="N328" s="290"/>
      <c r="O328" s="290"/>
      <c r="P328" s="403"/>
      <c r="Q328" s="262"/>
      <c r="R328" s="263"/>
      <c r="S328" s="386"/>
      <c r="T328" s="357"/>
      <c r="U328" s="357"/>
      <c r="W328" s="387"/>
      <c r="X328" s="357"/>
      <c r="Z328" s="387"/>
      <c r="AA328" s="357"/>
      <c r="AC328" s="387"/>
      <c r="AD328" s="357"/>
      <c r="AF328" s="387"/>
      <c r="AG328" s="357"/>
      <c r="AI328" s="387"/>
      <c r="AJ328" s="357"/>
      <c r="AL328" s="387"/>
      <c r="AM328" s="357"/>
    </row>
    <row r="329" spans="1:39" s="264" customFormat="1" x14ac:dyDescent="0.2">
      <c r="A329" s="308"/>
      <c r="B329" s="259"/>
      <c r="C329" s="290"/>
      <c r="D329" s="290"/>
      <c r="E329" s="290"/>
      <c r="F329" s="290"/>
      <c r="G329" s="290"/>
      <c r="H329" s="290"/>
      <c r="I329" s="290"/>
      <c r="J329" s="290"/>
      <c r="K329" s="290"/>
      <c r="L329" s="290"/>
      <c r="M329" s="290"/>
      <c r="N329" s="290"/>
      <c r="O329" s="290"/>
      <c r="P329" s="403"/>
      <c r="Q329" s="262"/>
      <c r="R329" s="263"/>
      <c r="S329" s="386"/>
      <c r="T329" s="357"/>
      <c r="U329" s="357"/>
      <c r="W329" s="387"/>
      <c r="X329" s="357"/>
      <c r="Z329" s="387"/>
      <c r="AA329" s="357"/>
      <c r="AC329" s="387"/>
      <c r="AD329" s="357"/>
      <c r="AF329" s="387"/>
      <c r="AG329" s="357"/>
      <c r="AI329" s="387"/>
      <c r="AJ329" s="357"/>
      <c r="AL329" s="387"/>
      <c r="AM329" s="357"/>
    </row>
    <row r="330" spans="1:39" s="264" customFormat="1" x14ac:dyDescent="0.2">
      <c r="A330" s="308"/>
      <c r="B330" s="259"/>
      <c r="C330" s="290"/>
      <c r="D330" s="290"/>
      <c r="E330" s="290"/>
      <c r="F330" s="290"/>
      <c r="G330" s="290"/>
      <c r="H330" s="290"/>
      <c r="I330" s="290"/>
      <c r="J330" s="290"/>
      <c r="K330" s="290"/>
      <c r="L330" s="290"/>
      <c r="M330" s="290"/>
      <c r="N330" s="290"/>
      <c r="O330" s="290"/>
      <c r="P330" s="153"/>
      <c r="Q330" s="262"/>
      <c r="R330" s="263"/>
      <c r="S330" s="386"/>
      <c r="T330" s="357"/>
      <c r="U330" s="357"/>
      <c r="W330" s="387"/>
      <c r="X330" s="357"/>
      <c r="Z330" s="387"/>
      <c r="AA330" s="357"/>
      <c r="AC330" s="387"/>
      <c r="AD330" s="357"/>
      <c r="AF330" s="387"/>
      <c r="AG330" s="357"/>
      <c r="AI330" s="387"/>
      <c r="AJ330" s="357"/>
      <c r="AL330" s="387"/>
      <c r="AM330" s="357"/>
    </row>
    <row r="331" spans="1:39" s="264" customFormat="1" x14ac:dyDescent="0.2">
      <c r="A331" s="308"/>
      <c r="B331" s="259"/>
      <c r="C331" s="290"/>
      <c r="D331" s="290"/>
      <c r="E331" s="290"/>
      <c r="F331" s="290"/>
      <c r="G331" s="290"/>
      <c r="H331" s="290"/>
      <c r="I331" s="290"/>
      <c r="J331" s="290"/>
      <c r="K331" s="290"/>
      <c r="L331" s="290"/>
      <c r="M331" s="290"/>
      <c r="N331" s="290"/>
      <c r="O331" s="290"/>
      <c r="P331" s="153"/>
      <c r="Q331" s="262"/>
      <c r="R331" s="263"/>
      <c r="S331" s="386"/>
      <c r="T331" s="357"/>
      <c r="U331" s="357"/>
      <c r="W331" s="387"/>
      <c r="X331" s="357"/>
      <c r="Z331" s="387"/>
      <c r="AA331" s="357"/>
      <c r="AC331" s="387"/>
      <c r="AD331" s="357"/>
      <c r="AF331" s="387"/>
      <c r="AG331" s="357"/>
      <c r="AI331" s="387"/>
      <c r="AJ331" s="357"/>
      <c r="AL331" s="387"/>
      <c r="AM331" s="357"/>
    </row>
    <row r="332" spans="1:39" s="264" customFormat="1" x14ac:dyDescent="0.2">
      <c r="A332" s="308"/>
      <c r="B332" s="259"/>
      <c r="C332" s="290"/>
      <c r="D332" s="290">
        <v>0</v>
      </c>
      <c r="E332" s="290"/>
      <c r="F332" s="290">
        <v>0</v>
      </c>
      <c r="G332" s="290"/>
      <c r="H332" s="290">
        <v>0</v>
      </c>
      <c r="I332" s="290"/>
      <c r="J332" s="290">
        <v>0</v>
      </c>
      <c r="K332" s="290"/>
      <c r="L332" s="290">
        <v>0</v>
      </c>
      <c r="M332" s="290"/>
      <c r="N332" s="290">
        <v>0</v>
      </c>
      <c r="O332" s="290"/>
      <c r="P332" s="261"/>
      <c r="Q332" s="262"/>
      <c r="R332" s="263"/>
      <c r="S332" s="386"/>
      <c r="T332" s="357"/>
      <c r="U332" s="357"/>
      <c r="W332" s="387"/>
      <c r="X332" s="357"/>
      <c r="Z332" s="387"/>
      <c r="AA332" s="357"/>
      <c r="AC332" s="387"/>
      <c r="AD332" s="357"/>
      <c r="AF332" s="387"/>
      <c r="AG332" s="357"/>
      <c r="AI332" s="387"/>
      <c r="AJ332" s="357"/>
      <c r="AL332" s="387"/>
      <c r="AM332" s="357"/>
    </row>
    <row r="333" spans="1:39" s="264" customFormat="1" x14ac:dyDescent="0.2">
      <c r="A333" s="391"/>
      <c r="B333" s="392"/>
      <c r="C333" s="377"/>
      <c r="D333" s="377"/>
      <c r="E333" s="377"/>
      <c r="F333" s="377"/>
      <c r="G333" s="377"/>
      <c r="H333" s="377"/>
      <c r="I333" s="377"/>
      <c r="J333" s="377"/>
      <c r="K333" s="377"/>
      <c r="L333" s="377"/>
      <c r="M333" s="377"/>
      <c r="N333" s="377"/>
      <c r="O333" s="377"/>
      <c r="P333" s="377"/>
      <c r="Q333" s="378"/>
      <c r="R333" s="379"/>
      <c r="S333" s="386"/>
      <c r="T333" s="393"/>
      <c r="U333" s="393"/>
      <c r="W333" s="394"/>
      <c r="X333" s="393"/>
      <c r="Z333" s="394"/>
      <c r="AA333" s="393"/>
      <c r="AC333" s="394"/>
      <c r="AD333" s="393"/>
      <c r="AF333" s="394"/>
      <c r="AG333" s="393"/>
      <c r="AI333" s="394"/>
      <c r="AJ333" s="393"/>
      <c r="AL333" s="394"/>
      <c r="AM333" s="393"/>
    </row>
    <row r="334" spans="1:39" s="264" customFormat="1" x14ac:dyDescent="0.2">
      <c r="A334" s="395"/>
      <c r="B334" s="396"/>
      <c r="C334" s="550" t="s">
        <v>1</v>
      </c>
      <c r="D334" s="550"/>
      <c r="E334" s="550"/>
      <c r="F334" s="550"/>
      <c r="G334" s="550"/>
      <c r="H334" s="550"/>
      <c r="I334" s="550"/>
      <c r="J334" s="550"/>
      <c r="K334" s="550"/>
      <c r="L334" s="550"/>
      <c r="M334" s="550"/>
      <c r="N334" s="550"/>
      <c r="O334" s="550"/>
      <c r="P334" s="550"/>
      <c r="Q334" s="381" t="s">
        <v>0</v>
      </c>
      <c r="R334" s="263"/>
      <c r="S334" s="386"/>
      <c r="T334" s="397"/>
      <c r="U334" s="397"/>
      <c r="W334" s="398"/>
      <c r="X334" s="397"/>
      <c r="Z334" s="398"/>
      <c r="AA334" s="397"/>
      <c r="AC334" s="398"/>
      <c r="AD334" s="397"/>
      <c r="AF334" s="398"/>
      <c r="AG334" s="397"/>
      <c r="AI334" s="398"/>
      <c r="AJ334" s="397"/>
      <c r="AL334" s="398"/>
      <c r="AM334" s="397"/>
    </row>
    <row r="335" spans="1:39" s="264" customFormat="1" x14ac:dyDescent="0.2">
      <c r="A335" s="395"/>
      <c r="B335" s="396"/>
      <c r="C335" s="309"/>
      <c r="D335" s="309"/>
      <c r="E335" s="309"/>
      <c r="F335" s="309"/>
      <c r="G335" s="309"/>
      <c r="H335" s="309"/>
      <c r="I335" s="309"/>
      <c r="J335" s="309"/>
      <c r="K335" s="309"/>
      <c r="L335" s="309"/>
      <c r="M335" s="309"/>
      <c r="N335" s="309"/>
      <c r="O335" s="309"/>
      <c r="P335" s="309"/>
      <c r="Q335" s="294"/>
      <c r="R335" s="382"/>
      <c r="S335" s="386"/>
      <c r="T335" s="399"/>
      <c r="U335" s="399"/>
      <c r="W335" s="400"/>
      <c r="X335" s="399"/>
      <c r="Z335" s="400"/>
      <c r="AA335" s="399"/>
      <c r="AC335" s="400"/>
      <c r="AD335" s="399"/>
      <c r="AF335" s="400"/>
      <c r="AG335" s="399"/>
      <c r="AI335" s="400"/>
      <c r="AJ335" s="399"/>
      <c r="AL335" s="400"/>
      <c r="AM335" s="399"/>
    </row>
    <row r="336" spans="1:39" s="264" customFormat="1" x14ac:dyDescent="0.2">
      <c r="A336" s="258"/>
      <c r="B336" s="356"/>
      <c r="C336" s="290"/>
      <c r="D336" s="290"/>
      <c r="E336" s="290"/>
      <c r="F336" s="290"/>
      <c r="G336" s="290"/>
      <c r="H336" s="290"/>
      <c r="I336" s="290"/>
      <c r="J336" s="290"/>
      <c r="K336" s="290"/>
      <c r="L336" s="290"/>
      <c r="M336" s="290"/>
      <c r="N336" s="290"/>
      <c r="O336" s="290"/>
      <c r="P336" s="261"/>
      <c r="Q336" s="262"/>
      <c r="R336" s="263"/>
      <c r="S336" s="386"/>
      <c r="T336" s="357"/>
      <c r="U336" s="357"/>
      <c r="W336" s="387"/>
      <c r="X336" s="357"/>
      <c r="Z336" s="387"/>
      <c r="AA336" s="357"/>
      <c r="AC336" s="387"/>
      <c r="AD336" s="357"/>
      <c r="AF336" s="387"/>
      <c r="AG336" s="357"/>
      <c r="AI336" s="387"/>
      <c r="AJ336" s="357"/>
      <c r="AL336" s="387"/>
      <c r="AM336" s="357"/>
    </row>
    <row r="337" spans="1:39" s="264" customFormat="1" ht="14.25" customHeight="1" x14ac:dyDescent="0.2">
      <c r="A337" s="258"/>
      <c r="B337" s="202" t="s">
        <v>261</v>
      </c>
      <c r="C337" s="290"/>
      <c r="D337" s="290"/>
      <c r="E337" s="290"/>
      <c r="F337" s="290"/>
      <c r="G337" s="290"/>
      <c r="H337" s="290"/>
      <c r="I337" s="290"/>
      <c r="J337" s="290"/>
      <c r="K337" s="290"/>
      <c r="L337" s="290"/>
      <c r="M337" s="290"/>
      <c r="N337" s="290"/>
      <c r="O337" s="290"/>
      <c r="P337" s="261"/>
      <c r="Q337" s="262"/>
      <c r="R337" s="263"/>
      <c r="S337" s="386"/>
      <c r="T337" s="357"/>
      <c r="U337" s="357"/>
      <c r="W337" s="387"/>
      <c r="X337" s="357"/>
      <c r="Z337" s="387"/>
      <c r="AA337" s="357"/>
      <c r="AC337" s="387"/>
      <c r="AD337" s="357"/>
      <c r="AF337" s="387"/>
      <c r="AG337" s="357"/>
      <c r="AI337" s="387"/>
      <c r="AJ337" s="357"/>
      <c r="AL337" s="387"/>
      <c r="AM337" s="357"/>
    </row>
    <row r="338" spans="1:39" s="264" customFormat="1" x14ac:dyDescent="0.2">
      <c r="A338" s="258"/>
      <c r="B338" s="206"/>
      <c r="C338" s="290"/>
      <c r="D338" s="290"/>
      <c r="E338" s="290"/>
      <c r="F338" s="290"/>
      <c r="G338" s="290"/>
      <c r="H338" s="290"/>
      <c r="I338" s="290"/>
      <c r="J338" s="290"/>
      <c r="K338" s="290"/>
      <c r="L338" s="290"/>
      <c r="M338" s="290"/>
      <c r="N338" s="290"/>
      <c r="O338" s="290"/>
      <c r="P338" s="261"/>
      <c r="Q338" s="262"/>
      <c r="R338" s="263"/>
      <c r="S338" s="386"/>
      <c r="T338" s="357"/>
      <c r="U338" s="357"/>
      <c r="W338" s="387"/>
      <c r="X338" s="357"/>
      <c r="Z338" s="387"/>
      <c r="AA338" s="357"/>
      <c r="AC338" s="387"/>
      <c r="AD338" s="357"/>
      <c r="AF338" s="387"/>
      <c r="AG338" s="357"/>
      <c r="AI338" s="387"/>
      <c r="AJ338" s="357"/>
      <c r="AL338" s="387"/>
      <c r="AM338" s="357"/>
    </row>
    <row r="339" spans="1:39" s="264" customFormat="1" ht="14.25" customHeight="1" x14ac:dyDescent="0.2">
      <c r="A339" s="258"/>
      <c r="B339" s="202" t="s">
        <v>133</v>
      </c>
      <c r="C339" s="290"/>
      <c r="D339" s="290"/>
      <c r="E339" s="290"/>
      <c r="F339" s="290"/>
      <c r="G339" s="290"/>
      <c r="H339" s="290"/>
      <c r="I339" s="290"/>
      <c r="J339" s="290"/>
      <c r="K339" s="290"/>
      <c r="L339" s="290"/>
      <c r="M339" s="290"/>
      <c r="N339" s="290"/>
      <c r="O339" s="290"/>
      <c r="P339" s="261"/>
      <c r="Q339" s="262"/>
      <c r="R339" s="263"/>
      <c r="S339" s="386"/>
      <c r="T339" s="357"/>
      <c r="U339" s="357"/>
      <c r="W339" s="387"/>
      <c r="X339" s="357"/>
      <c r="Z339" s="387"/>
      <c r="AA339" s="357"/>
      <c r="AC339" s="387"/>
      <c r="AD339" s="357"/>
      <c r="AF339" s="387"/>
      <c r="AG339" s="357"/>
      <c r="AI339" s="387"/>
      <c r="AJ339" s="357"/>
      <c r="AL339" s="387"/>
      <c r="AM339" s="357"/>
    </row>
    <row r="340" spans="1:39" s="264" customFormat="1" x14ac:dyDescent="0.2">
      <c r="A340" s="258"/>
      <c r="B340" s="206"/>
      <c r="C340" s="290"/>
      <c r="D340" s="290"/>
      <c r="E340" s="290"/>
      <c r="F340" s="290"/>
      <c r="G340" s="290"/>
      <c r="H340" s="290"/>
      <c r="I340" s="290"/>
      <c r="J340" s="290"/>
      <c r="K340" s="290"/>
      <c r="L340" s="290"/>
      <c r="M340" s="290"/>
      <c r="N340" s="290"/>
      <c r="O340" s="290"/>
      <c r="P340" s="261"/>
      <c r="Q340" s="262"/>
      <c r="R340" s="263"/>
      <c r="S340" s="386"/>
      <c r="T340" s="357"/>
      <c r="U340" s="357"/>
      <c r="W340" s="387"/>
      <c r="X340" s="357"/>
      <c r="Z340" s="387"/>
      <c r="AA340" s="357"/>
      <c r="AC340" s="387"/>
      <c r="AD340" s="357"/>
      <c r="AF340" s="387"/>
      <c r="AG340" s="357"/>
      <c r="AI340" s="387"/>
      <c r="AJ340" s="357"/>
      <c r="AL340" s="387"/>
      <c r="AM340" s="357"/>
    </row>
    <row r="341" spans="1:39" s="264" customFormat="1" ht="28.5" x14ac:dyDescent="0.2">
      <c r="A341" s="258"/>
      <c r="B341" s="202" t="s">
        <v>873</v>
      </c>
      <c r="C341" s="290"/>
      <c r="D341" s="290"/>
      <c r="E341" s="290"/>
      <c r="F341" s="290"/>
      <c r="G341" s="290"/>
      <c r="H341" s="290"/>
      <c r="I341" s="290"/>
      <c r="J341" s="290"/>
      <c r="K341" s="290"/>
      <c r="L341" s="290"/>
      <c r="M341" s="290"/>
      <c r="N341" s="290"/>
      <c r="O341" s="290"/>
      <c r="P341" s="261"/>
      <c r="Q341" s="262"/>
      <c r="R341" s="263"/>
      <c r="S341" s="386"/>
      <c r="T341" s="357"/>
      <c r="U341" s="357"/>
      <c r="W341" s="387"/>
      <c r="X341" s="357"/>
      <c r="Z341" s="387"/>
      <c r="AA341" s="357"/>
      <c r="AC341" s="387"/>
      <c r="AD341" s="357"/>
      <c r="AF341" s="387"/>
      <c r="AG341" s="357"/>
      <c r="AI341" s="387"/>
      <c r="AJ341" s="357"/>
      <c r="AL341" s="387"/>
      <c r="AM341" s="357"/>
    </row>
    <row r="342" spans="1:39" s="264" customFormat="1" x14ac:dyDescent="0.2">
      <c r="A342" s="308"/>
      <c r="B342" s="293"/>
      <c r="C342" s="290"/>
      <c r="D342" s="290"/>
      <c r="E342" s="290"/>
      <c r="F342" s="290"/>
      <c r="G342" s="290"/>
      <c r="H342" s="290"/>
      <c r="I342" s="290"/>
      <c r="J342" s="290"/>
      <c r="K342" s="290"/>
      <c r="L342" s="290"/>
      <c r="M342" s="290"/>
      <c r="N342" s="290"/>
      <c r="O342" s="290"/>
      <c r="P342" s="261"/>
      <c r="Q342" s="262"/>
      <c r="R342" s="263"/>
      <c r="S342" s="386"/>
      <c r="T342" s="357"/>
      <c r="U342" s="357"/>
      <c r="W342" s="387"/>
      <c r="X342" s="357"/>
      <c r="Z342" s="387"/>
      <c r="AA342" s="357"/>
      <c r="AC342" s="387"/>
      <c r="AD342" s="357"/>
      <c r="AF342" s="387"/>
      <c r="AG342" s="357"/>
      <c r="AI342" s="387"/>
      <c r="AJ342" s="357"/>
      <c r="AL342" s="387"/>
      <c r="AM342" s="357"/>
    </row>
    <row r="343" spans="1:39" s="264" customFormat="1" x14ac:dyDescent="0.2">
      <c r="A343" s="308"/>
      <c r="B343" s="202" t="s">
        <v>235</v>
      </c>
      <c r="C343" s="290"/>
      <c r="D343" s="290"/>
      <c r="E343" s="290"/>
      <c r="F343" s="290"/>
      <c r="G343" s="290"/>
      <c r="H343" s="290"/>
      <c r="I343" s="290"/>
      <c r="J343" s="290"/>
      <c r="K343" s="290"/>
      <c r="L343" s="290"/>
      <c r="M343" s="290"/>
      <c r="N343" s="290"/>
      <c r="O343" s="290"/>
      <c r="P343" s="261"/>
      <c r="Q343" s="262"/>
      <c r="R343" s="263"/>
      <c r="S343" s="386"/>
      <c r="T343" s="357"/>
      <c r="U343" s="357"/>
      <c r="W343" s="387"/>
      <c r="X343" s="357"/>
      <c r="Z343" s="387"/>
      <c r="AA343" s="357"/>
      <c r="AC343" s="387"/>
      <c r="AD343" s="357"/>
      <c r="AF343" s="387"/>
      <c r="AG343" s="357"/>
      <c r="AI343" s="387"/>
      <c r="AJ343" s="357"/>
      <c r="AL343" s="387"/>
      <c r="AM343" s="357"/>
    </row>
    <row r="344" spans="1:39" s="264" customFormat="1" x14ac:dyDescent="0.2">
      <c r="A344" s="258"/>
      <c r="B344" s="356"/>
      <c r="C344" s="290"/>
      <c r="D344" s="290"/>
      <c r="E344" s="290"/>
      <c r="F344" s="290"/>
      <c r="G344" s="290"/>
      <c r="H344" s="290"/>
      <c r="I344" s="290"/>
      <c r="J344" s="290"/>
      <c r="K344" s="290"/>
      <c r="L344" s="290"/>
      <c r="M344" s="290"/>
      <c r="N344" s="290"/>
      <c r="O344" s="290"/>
      <c r="P344" s="261"/>
      <c r="Q344" s="262"/>
      <c r="R344" s="263"/>
      <c r="S344" s="386"/>
      <c r="T344" s="357"/>
      <c r="U344" s="357"/>
      <c r="W344" s="387"/>
      <c r="X344" s="357"/>
      <c r="Z344" s="387"/>
      <c r="AA344" s="357"/>
      <c r="AC344" s="387"/>
      <c r="AD344" s="357"/>
      <c r="AF344" s="387"/>
      <c r="AG344" s="357"/>
      <c r="AI344" s="387"/>
      <c r="AJ344" s="357"/>
      <c r="AL344" s="387"/>
      <c r="AM344" s="357"/>
    </row>
    <row r="345" spans="1:39" s="264" customFormat="1" x14ac:dyDescent="0.2">
      <c r="A345" s="258" t="s">
        <v>66</v>
      </c>
      <c r="B345" s="259" t="s">
        <v>874</v>
      </c>
      <c r="C345" s="338">
        <f>(W345+X345)*$C$3</f>
        <v>22</v>
      </c>
      <c r="D345" s="338">
        <f>C345*$Q345</f>
        <v>0</v>
      </c>
      <c r="E345" s="338">
        <f>(Z345+AA345)*$E$3</f>
        <v>27</v>
      </c>
      <c r="F345" s="338">
        <f>E345*$Q345</f>
        <v>0</v>
      </c>
      <c r="G345" s="338">
        <f>(AC345+AD345)*$G$3</f>
        <v>160</v>
      </c>
      <c r="H345" s="338">
        <f>G345*$Q345</f>
        <v>0</v>
      </c>
      <c r="I345" s="338">
        <f>(AF345+AG345)*$I$3</f>
        <v>37</v>
      </c>
      <c r="J345" s="338">
        <f>I345*$Q345</f>
        <v>0</v>
      </c>
      <c r="K345" s="338">
        <f>(AI345+AJ345)*$K$3</f>
        <v>126</v>
      </c>
      <c r="L345" s="338">
        <f>K345*$Q345</f>
        <v>0</v>
      </c>
      <c r="M345" s="338">
        <f>(AL345+AM345)*$M$3</f>
        <v>47</v>
      </c>
      <c r="N345" s="338">
        <f>M345*$Q345</f>
        <v>0</v>
      </c>
      <c r="O345" s="338">
        <f>C345+E345+G345+I345+K345+M345</f>
        <v>419</v>
      </c>
      <c r="P345" s="153" t="s">
        <v>269</v>
      </c>
      <c r="Q345" s="262"/>
      <c r="R345" s="263"/>
      <c r="S345" s="386"/>
      <c r="T345" s="390">
        <v>6</v>
      </c>
      <c r="U345" s="281">
        <v>5</v>
      </c>
      <c r="W345" s="268">
        <f>T345*$W$3</f>
        <v>12</v>
      </c>
      <c r="X345" s="266">
        <f>U345*$X$3</f>
        <v>10</v>
      </c>
      <c r="Y345" s="267"/>
      <c r="Z345" s="268">
        <f>W345</f>
        <v>12</v>
      </c>
      <c r="AA345" s="266">
        <f>U345*$AA$3</f>
        <v>15</v>
      </c>
      <c r="AB345" s="267"/>
      <c r="AC345" s="268">
        <f>W345</f>
        <v>12</v>
      </c>
      <c r="AD345" s="266">
        <f>U345*$AD$3</f>
        <v>20</v>
      </c>
      <c r="AE345" s="267"/>
      <c r="AF345" s="268">
        <f>W345</f>
        <v>12</v>
      </c>
      <c r="AG345" s="266">
        <f>U345*$AG$3</f>
        <v>25</v>
      </c>
      <c r="AH345" s="267"/>
      <c r="AI345" s="268">
        <f>W345</f>
        <v>12</v>
      </c>
      <c r="AJ345" s="266">
        <f>U345*$AJ$3</f>
        <v>30</v>
      </c>
      <c r="AK345" s="267"/>
      <c r="AL345" s="268">
        <f>W345</f>
        <v>12</v>
      </c>
      <c r="AM345" s="266">
        <f>U345*$AM$3</f>
        <v>35</v>
      </c>
    </row>
    <row r="346" spans="1:39" s="264" customFormat="1" x14ac:dyDescent="0.2">
      <c r="A346" s="258"/>
      <c r="B346" s="259"/>
      <c r="C346" s="290"/>
      <c r="D346" s="290"/>
      <c r="E346" s="290"/>
      <c r="F346" s="290"/>
      <c r="G346" s="290"/>
      <c r="H346" s="290"/>
      <c r="I346" s="290"/>
      <c r="J346" s="290"/>
      <c r="K346" s="290"/>
      <c r="L346" s="290"/>
      <c r="M346" s="290"/>
      <c r="N346" s="290"/>
      <c r="O346" s="290"/>
      <c r="P346" s="153"/>
      <c r="Q346" s="262"/>
      <c r="R346" s="263"/>
      <c r="S346" s="386"/>
      <c r="T346" s="339"/>
      <c r="U346" s="339"/>
      <c r="W346" s="387"/>
      <c r="X346" s="339"/>
      <c r="Z346" s="387"/>
      <c r="AA346" s="339"/>
      <c r="AC346" s="387"/>
      <c r="AD346" s="339"/>
      <c r="AF346" s="387"/>
      <c r="AG346" s="339"/>
      <c r="AI346" s="387"/>
      <c r="AJ346" s="339"/>
      <c r="AL346" s="387"/>
      <c r="AM346" s="339"/>
    </row>
    <row r="347" spans="1:39" s="264" customFormat="1" ht="14.25" customHeight="1" x14ac:dyDescent="0.2">
      <c r="A347" s="258" t="s">
        <v>67</v>
      </c>
      <c r="B347" s="259" t="s">
        <v>875</v>
      </c>
      <c r="C347" s="290">
        <f>(W347+X347)*$C$3</f>
        <v>26</v>
      </c>
      <c r="D347" s="290">
        <f>C347*$Q347</f>
        <v>0</v>
      </c>
      <c r="E347" s="290">
        <f>(Z347+AA347)*$E$3</f>
        <v>32</v>
      </c>
      <c r="F347" s="290">
        <f>E347*$Q347</f>
        <v>0</v>
      </c>
      <c r="G347" s="290">
        <f>(AC347+AD347)*$G$3</f>
        <v>190</v>
      </c>
      <c r="H347" s="290">
        <f>G347*$Q347</f>
        <v>0</v>
      </c>
      <c r="I347" s="290">
        <f>(AF347+AG347)*$I$3</f>
        <v>44</v>
      </c>
      <c r="J347" s="290">
        <f>I347*$Q347</f>
        <v>0</v>
      </c>
      <c r="K347" s="290">
        <f>(AI347+AJ347)*$K$3</f>
        <v>150</v>
      </c>
      <c r="L347" s="290">
        <f>K347*$Q347</f>
        <v>0</v>
      </c>
      <c r="M347" s="290">
        <f>(AL347+AM347)*$M$3</f>
        <v>56</v>
      </c>
      <c r="N347" s="290">
        <f>M347*$Q347</f>
        <v>0</v>
      </c>
      <c r="O347" s="290">
        <f>C347+E347+G347+I347+K347+M347</f>
        <v>498</v>
      </c>
      <c r="P347" s="153" t="s">
        <v>269</v>
      </c>
      <c r="Q347" s="262"/>
      <c r="R347" s="263"/>
      <c r="S347" s="386"/>
      <c r="T347" s="339">
        <v>7</v>
      </c>
      <c r="U347" s="266">
        <v>6</v>
      </c>
      <c r="W347" s="268">
        <f>T347*$W$3</f>
        <v>14</v>
      </c>
      <c r="X347" s="266">
        <f>U347*$X$3</f>
        <v>12</v>
      </c>
      <c r="Y347" s="267"/>
      <c r="Z347" s="268">
        <f>W347</f>
        <v>14</v>
      </c>
      <c r="AA347" s="266">
        <f>U347*$AA$3</f>
        <v>18</v>
      </c>
      <c r="AB347" s="267"/>
      <c r="AC347" s="268">
        <f>W347</f>
        <v>14</v>
      </c>
      <c r="AD347" s="266">
        <f>U347*$AD$3</f>
        <v>24</v>
      </c>
      <c r="AE347" s="267"/>
      <c r="AF347" s="268">
        <f>W347</f>
        <v>14</v>
      </c>
      <c r="AG347" s="266">
        <f>U347*$AG$3</f>
        <v>30</v>
      </c>
      <c r="AH347" s="267"/>
      <c r="AI347" s="268">
        <f>W347</f>
        <v>14</v>
      </c>
      <c r="AJ347" s="266">
        <f>U347*$AJ$3</f>
        <v>36</v>
      </c>
      <c r="AK347" s="267"/>
      <c r="AL347" s="268">
        <f>W347</f>
        <v>14</v>
      </c>
      <c r="AM347" s="266">
        <f>U347*$AM$3</f>
        <v>42</v>
      </c>
    </row>
    <row r="348" spans="1:39" s="264" customFormat="1" x14ac:dyDescent="0.2">
      <c r="A348" s="258"/>
      <c r="B348" s="259"/>
      <c r="C348" s="290"/>
      <c r="D348" s="290"/>
      <c r="E348" s="290"/>
      <c r="F348" s="290"/>
      <c r="G348" s="290"/>
      <c r="H348" s="290"/>
      <c r="I348" s="290"/>
      <c r="J348" s="290"/>
      <c r="K348" s="290"/>
      <c r="L348" s="290"/>
      <c r="M348" s="290"/>
      <c r="N348" s="290"/>
      <c r="O348" s="290"/>
      <c r="P348" s="153"/>
      <c r="Q348" s="262"/>
      <c r="R348" s="263"/>
      <c r="S348" s="386"/>
      <c r="T348" s="339"/>
      <c r="U348" s="339"/>
      <c r="W348" s="387"/>
      <c r="X348" s="339"/>
      <c r="Z348" s="387"/>
      <c r="AA348" s="339"/>
      <c r="AC348" s="387"/>
      <c r="AD348" s="339"/>
      <c r="AF348" s="387"/>
      <c r="AG348" s="339"/>
      <c r="AI348" s="387"/>
      <c r="AJ348" s="339"/>
      <c r="AL348" s="387"/>
      <c r="AM348" s="339"/>
    </row>
    <row r="349" spans="1:39" s="264" customFormat="1" x14ac:dyDescent="0.2">
      <c r="A349" s="258" t="s">
        <v>68</v>
      </c>
      <c r="B349" s="259" t="s">
        <v>876</v>
      </c>
      <c r="C349" s="290">
        <f>(W349+X349)*$C$3</f>
        <v>4</v>
      </c>
      <c r="D349" s="290">
        <f>C349*$Q349</f>
        <v>0</v>
      </c>
      <c r="E349" s="290">
        <f>(Z349+AA349)*$E$3</f>
        <v>5</v>
      </c>
      <c r="F349" s="290">
        <f>E349*$Q349</f>
        <v>0</v>
      </c>
      <c r="G349" s="290">
        <f>(AC349+AD349)*$G$3</f>
        <v>30</v>
      </c>
      <c r="H349" s="290">
        <f>G349*$Q349</f>
        <v>0</v>
      </c>
      <c r="I349" s="290">
        <f>(AF349+AG349)*$I$3</f>
        <v>7</v>
      </c>
      <c r="J349" s="290">
        <f>I349*$Q349</f>
        <v>0</v>
      </c>
      <c r="K349" s="290">
        <f>(AI349+AJ349)*$K$3</f>
        <v>24</v>
      </c>
      <c r="L349" s="290">
        <f>K349*$Q349</f>
        <v>0</v>
      </c>
      <c r="M349" s="290">
        <f>(AL349+AM349)*$M$3</f>
        <v>9</v>
      </c>
      <c r="N349" s="290">
        <f>M349*$Q349</f>
        <v>0</v>
      </c>
      <c r="O349" s="290">
        <f>C349+E349+G349+I349+K349+M349</f>
        <v>79</v>
      </c>
      <c r="P349" s="153" t="s">
        <v>269</v>
      </c>
      <c r="Q349" s="262"/>
      <c r="R349" s="263"/>
      <c r="S349" s="386"/>
      <c r="T349" s="339">
        <v>1</v>
      </c>
      <c r="U349" s="266">
        <v>1</v>
      </c>
      <c r="W349" s="268">
        <f>T349*$W$3</f>
        <v>2</v>
      </c>
      <c r="X349" s="266">
        <f>U349*$X$3</f>
        <v>2</v>
      </c>
      <c r="Y349" s="267"/>
      <c r="Z349" s="268">
        <f>W349</f>
        <v>2</v>
      </c>
      <c r="AA349" s="266">
        <f>U349*$AA$3</f>
        <v>3</v>
      </c>
      <c r="AB349" s="267"/>
      <c r="AC349" s="268">
        <f>W349</f>
        <v>2</v>
      </c>
      <c r="AD349" s="266">
        <f>U349*$AD$3</f>
        <v>4</v>
      </c>
      <c r="AE349" s="267"/>
      <c r="AF349" s="268">
        <f>W349</f>
        <v>2</v>
      </c>
      <c r="AG349" s="266">
        <f>U349*$AG$3</f>
        <v>5</v>
      </c>
      <c r="AH349" s="267"/>
      <c r="AI349" s="268">
        <f>W349</f>
        <v>2</v>
      </c>
      <c r="AJ349" s="266">
        <f>U349*$AJ$3</f>
        <v>6</v>
      </c>
      <c r="AK349" s="267"/>
      <c r="AL349" s="268">
        <f>W349</f>
        <v>2</v>
      </c>
      <c r="AM349" s="266">
        <f>U349*$AM$3</f>
        <v>7</v>
      </c>
    </row>
    <row r="350" spans="1:39" s="264" customFormat="1" x14ac:dyDescent="0.2">
      <c r="A350" s="308"/>
      <c r="B350" s="206"/>
      <c r="C350" s="290"/>
      <c r="D350" s="290"/>
      <c r="E350" s="290"/>
      <c r="F350" s="290"/>
      <c r="G350" s="290"/>
      <c r="H350" s="290"/>
      <c r="I350" s="290"/>
      <c r="J350" s="290"/>
      <c r="K350" s="290"/>
      <c r="L350" s="290"/>
      <c r="M350" s="290"/>
      <c r="N350" s="290"/>
      <c r="O350" s="290"/>
      <c r="P350" s="261"/>
      <c r="Q350" s="262"/>
      <c r="R350" s="263"/>
      <c r="S350" s="386"/>
      <c r="T350" s="357"/>
      <c r="U350" s="357"/>
      <c r="W350" s="387"/>
      <c r="X350" s="357"/>
      <c r="Z350" s="387"/>
      <c r="AA350" s="357"/>
      <c r="AC350" s="387"/>
      <c r="AD350" s="357"/>
      <c r="AF350" s="387"/>
      <c r="AG350" s="357"/>
      <c r="AI350" s="387"/>
      <c r="AJ350" s="357"/>
      <c r="AL350" s="387"/>
      <c r="AM350" s="357"/>
    </row>
    <row r="351" spans="1:39" s="264" customFormat="1" ht="14.25" customHeight="1" x14ac:dyDescent="0.2">
      <c r="A351" s="308"/>
      <c r="B351" s="202" t="s">
        <v>877</v>
      </c>
      <c r="C351" s="290"/>
      <c r="D351" s="290"/>
      <c r="E351" s="290"/>
      <c r="F351" s="290"/>
      <c r="G351" s="290"/>
      <c r="H351" s="290"/>
      <c r="I351" s="290"/>
      <c r="J351" s="290"/>
      <c r="K351" s="290"/>
      <c r="L351" s="290"/>
      <c r="M351" s="290"/>
      <c r="N351" s="290"/>
      <c r="O351" s="290"/>
      <c r="P351" s="261"/>
      <c r="Q351" s="262"/>
      <c r="R351" s="263"/>
      <c r="S351" s="386"/>
      <c r="T351" s="357"/>
      <c r="U351" s="357"/>
      <c r="W351" s="387"/>
      <c r="X351" s="357"/>
      <c r="Z351" s="387"/>
      <c r="AA351" s="357"/>
      <c r="AC351" s="387"/>
      <c r="AD351" s="357"/>
      <c r="AF351" s="387"/>
      <c r="AG351" s="357"/>
      <c r="AI351" s="387"/>
      <c r="AJ351" s="357"/>
      <c r="AL351" s="387"/>
      <c r="AM351" s="357"/>
    </row>
    <row r="352" spans="1:39" s="264" customFormat="1" x14ac:dyDescent="0.2">
      <c r="A352" s="258"/>
      <c r="B352" s="293"/>
      <c r="C352" s="290"/>
      <c r="D352" s="290"/>
      <c r="E352" s="290"/>
      <c r="F352" s="290"/>
      <c r="G352" s="290"/>
      <c r="H352" s="290"/>
      <c r="I352" s="290"/>
      <c r="J352" s="290"/>
      <c r="K352" s="290"/>
      <c r="L352" s="290"/>
      <c r="M352" s="290"/>
      <c r="N352" s="290"/>
      <c r="O352" s="290"/>
      <c r="P352" s="261"/>
      <c r="Q352" s="262"/>
      <c r="R352" s="263"/>
      <c r="S352" s="386"/>
      <c r="T352" s="357"/>
      <c r="U352" s="357"/>
      <c r="W352" s="387"/>
      <c r="X352" s="357"/>
      <c r="Z352" s="387"/>
      <c r="AA352" s="357"/>
      <c r="AC352" s="387"/>
      <c r="AD352" s="357"/>
      <c r="AF352" s="387"/>
      <c r="AG352" s="357"/>
      <c r="AI352" s="387"/>
      <c r="AJ352" s="357"/>
      <c r="AL352" s="387"/>
      <c r="AM352" s="357"/>
    </row>
    <row r="353" spans="1:39" s="264" customFormat="1" x14ac:dyDescent="0.2">
      <c r="A353" s="258" t="s">
        <v>69</v>
      </c>
      <c r="B353" s="259" t="s">
        <v>874</v>
      </c>
      <c r="C353" s="338">
        <f>(W353+X353)*$C$3</f>
        <v>22</v>
      </c>
      <c r="D353" s="338">
        <f>C353*$Q353</f>
        <v>0</v>
      </c>
      <c r="E353" s="338">
        <f>(Z353+AA353)*$E$3</f>
        <v>27</v>
      </c>
      <c r="F353" s="338">
        <f>E353*$Q353</f>
        <v>0</v>
      </c>
      <c r="G353" s="338">
        <f>(AC353+AD353)*$G$3</f>
        <v>160</v>
      </c>
      <c r="H353" s="338">
        <f>G353*$Q353</f>
        <v>0</v>
      </c>
      <c r="I353" s="338">
        <f>(AF353+AG353)*$I$3</f>
        <v>37</v>
      </c>
      <c r="J353" s="338">
        <f>I353*$Q353</f>
        <v>0</v>
      </c>
      <c r="K353" s="338">
        <f>(AI353+AJ353)*$K$3</f>
        <v>126</v>
      </c>
      <c r="L353" s="338">
        <f>K353*$Q353</f>
        <v>0</v>
      </c>
      <c r="M353" s="338">
        <f>(AL353+AM353)*$M$3</f>
        <v>47</v>
      </c>
      <c r="N353" s="338">
        <f>M353*$Q353</f>
        <v>0</v>
      </c>
      <c r="O353" s="338">
        <f>C353+E353+G353+I353+K353+M353</f>
        <v>419</v>
      </c>
      <c r="P353" s="153" t="s">
        <v>269</v>
      </c>
      <c r="Q353" s="262"/>
      <c r="R353" s="263"/>
      <c r="S353" s="386"/>
      <c r="T353" s="390">
        <v>6</v>
      </c>
      <c r="U353" s="281">
        <v>5</v>
      </c>
      <c r="W353" s="268">
        <f>T353*$W$3</f>
        <v>12</v>
      </c>
      <c r="X353" s="266">
        <f>U353*$X$3</f>
        <v>10</v>
      </c>
      <c r="Y353" s="267"/>
      <c r="Z353" s="268">
        <f>W353</f>
        <v>12</v>
      </c>
      <c r="AA353" s="266">
        <f>U353*$AA$3</f>
        <v>15</v>
      </c>
      <c r="AB353" s="267"/>
      <c r="AC353" s="268">
        <f>W353</f>
        <v>12</v>
      </c>
      <c r="AD353" s="266">
        <f>U353*$AD$3</f>
        <v>20</v>
      </c>
      <c r="AE353" s="267"/>
      <c r="AF353" s="268">
        <f>W353</f>
        <v>12</v>
      </c>
      <c r="AG353" s="266">
        <f>U353*$AG$3</f>
        <v>25</v>
      </c>
      <c r="AH353" s="267"/>
      <c r="AI353" s="268">
        <f>W353</f>
        <v>12</v>
      </c>
      <c r="AJ353" s="266">
        <f>U353*$AJ$3</f>
        <v>30</v>
      </c>
      <c r="AK353" s="267"/>
      <c r="AL353" s="268">
        <f>W353</f>
        <v>12</v>
      </c>
      <c r="AM353" s="266">
        <f>U353*$AM$3</f>
        <v>35</v>
      </c>
    </row>
    <row r="354" spans="1:39" s="264" customFormat="1" x14ac:dyDescent="0.2">
      <c r="A354" s="308"/>
      <c r="B354" s="293"/>
      <c r="C354" s="290"/>
      <c r="D354" s="290"/>
      <c r="E354" s="290"/>
      <c r="F354" s="290"/>
      <c r="G354" s="290"/>
      <c r="H354" s="290"/>
      <c r="I354" s="290"/>
      <c r="J354" s="290"/>
      <c r="K354" s="290"/>
      <c r="L354" s="290"/>
      <c r="M354" s="290"/>
      <c r="N354" s="290"/>
      <c r="O354" s="290"/>
      <c r="P354" s="261"/>
      <c r="Q354" s="262"/>
      <c r="R354" s="263"/>
      <c r="S354" s="386"/>
      <c r="T354" s="357"/>
      <c r="U354" s="357"/>
      <c r="W354" s="387"/>
      <c r="X354" s="357"/>
      <c r="Z354" s="387"/>
      <c r="AA354" s="357"/>
      <c r="AC354" s="387"/>
      <c r="AD354" s="357"/>
      <c r="AF354" s="387"/>
      <c r="AG354" s="357"/>
      <c r="AI354" s="387"/>
      <c r="AJ354" s="357"/>
      <c r="AL354" s="387"/>
      <c r="AM354" s="357"/>
    </row>
    <row r="355" spans="1:39" s="264" customFormat="1" x14ac:dyDescent="0.2">
      <c r="A355" s="308" t="s">
        <v>70</v>
      </c>
      <c r="B355" s="259" t="s">
        <v>875</v>
      </c>
      <c r="C355" s="290">
        <f>(W355+X355)*$C$3</f>
        <v>26</v>
      </c>
      <c r="D355" s="290">
        <f>C355*$Q355</f>
        <v>0</v>
      </c>
      <c r="E355" s="290">
        <f>(Z355+AA355)*$E$3</f>
        <v>32</v>
      </c>
      <c r="F355" s="290">
        <f>E355*$Q355</f>
        <v>0</v>
      </c>
      <c r="G355" s="290">
        <f>(AC355+AD355)*$G$3</f>
        <v>190</v>
      </c>
      <c r="H355" s="290">
        <f>G355*$Q355</f>
        <v>0</v>
      </c>
      <c r="I355" s="290">
        <f>(AF355+AG355)*$I$3</f>
        <v>44</v>
      </c>
      <c r="J355" s="290">
        <f>I355*$Q355</f>
        <v>0</v>
      </c>
      <c r="K355" s="290">
        <f>(AI355+AJ355)*$K$3</f>
        <v>150</v>
      </c>
      <c r="L355" s="290">
        <f>K355*$Q355</f>
        <v>0</v>
      </c>
      <c r="M355" s="290">
        <f>(AL355+AM355)*$M$3</f>
        <v>56</v>
      </c>
      <c r="N355" s="290">
        <f>M355*$Q355</f>
        <v>0</v>
      </c>
      <c r="O355" s="290">
        <f>C355+E355+G355+I355+K355+M355</f>
        <v>498</v>
      </c>
      <c r="P355" s="153" t="s">
        <v>269</v>
      </c>
      <c r="Q355" s="262"/>
      <c r="R355" s="263"/>
      <c r="S355" s="386"/>
      <c r="T355" s="339">
        <v>7</v>
      </c>
      <c r="U355" s="266">
        <v>6</v>
      </c>
      <c r="W355" s="268">
        <f>T355*$W$3</f>
        <v>14</v>
      </c>
      <c r="X355" s="266">
        <f>U355*$X$3</f>
        <v>12</v>
      </c>
      <c r="Y355" s="267"/>
      <c r="Z355" s="268">
        <f>W355</f>
        <v>14</v>
      </c>
      <c r="AA355" s="266">
        <f>U355*$AA$3</f>
        <v>18</v>
      </c>
      <c r="AB355" s="267"/>
      <c r="AC355" s="268">
        <f>W355</f>
        <v>14</v>
      </c>
      <c r="AD355" s="266">
        <f>U355*$AD$3</f>
        <v>24</v>
      </c>
      <c r="AE355" s="267"/>
      <c r="AF355" s="268">
        <f>W355</f>
        <v>14</v>
      </c>
      <c r="AG355" s="266">
        <f>U355*$AG$3</f>
        <v>30</v>
      </c>
      <c r="AH355" s="267"/>
      <c r="AI355" s="268">
        <f>W355</f>
        <v>14</v>
      </c>
      <c r="AJ355" s="266">
        <f>U355*$AJ$3</f>
        <v>36</v>
      </c>
      <c r="AK355" s="267"/>
      <c r="AL355" s="268">
        <f>W355</f>
        <v>14</v>
      </c>
      <c r="AM355" s="266">
        <f>U355*$AM$3</f>
        <v>42</v>
      </c>
    </row>
    <row r="356" spans="1:39" s="264" customFormat="1" x14ac:dyDescent="0.2">
      <c r="A356" s="308"/>
      <c r="B356" s="206"/>
      <c r="C356" s="290"/>
      <c r="D356" s="290"/>
      <c r="E356" s="290"/>
      <c r="F356" s="290"/>
      <c r="G356" s="290"/>
      <c r="H356" s="290"/>
      <c r="I356" s="290"/>
      <c r="J356" s="290"/>
      <c r="K356" s="290"/>
      <c r="L356" s="290"/>
      <c r="M356" s="290"/>
      <c r="N356" s="290"/>
      <c r="O356" s="290"/>
      <c r="P356" s="261"/>
      <c r="Q356" s="262"/>
      <c r="R356" s="263"/>
      <c r="S356" s="386"/>
      <c r="T356" s="357"/>
      <c r="U356" s="357"/>
      <c r="W356" s="387"/>
      <c r="X356" s="357"/>
      <c r="Z356" s="387"/>
      <c r="AA356" s="357"/>
      <c r="AC356" s="387"/>
      <c r="AD356" s="357"/>
      <c r="AF356" s="387"/>
      <c r="AG356" s="357"/>
      <c r="AI356" s="387"/>
      <c r="AJ356" s="357"/>
      <c r="AL356" s="387"/>
      <c r="AM356" s="357"/>
    </row>
    <row r="357" spans="1:39" s="264" customFormat="1" x14ac:dyDescent="0.2">
      <c r="A357" s="258" t="s">
        <v>71</v>
      </c>
      <c r="B357" s="259" t="s">
        <v>876</v>
      </c>
      <c r="C357" s="290">
        <f>(W357+X357)*$C$3</f>
        <v>4</v>
      </c>
      <c r="D357" s="290">
        <f>C357*$Q357</f>
        <v>0</v>
      </c>
      <c r="E357" s="290">
        <f>(Z357+AA357)*$E$3</f>
        <v>5</v>
      </c>
      <c r="F357" s="290">
        <f>E357*$Q357</f>
        <v>0</v>
      </c>
      <c r="G357" s="290">
        <f>(AC357+AD357)*$G$3</f>
        <v>30</v>
      </c>
      <c r="H357" s="290">
        <f>G357*$Q357</f>
        <v>0</v>
      </c>
      <c r="I357" s="290">
        <f>(AF357+AG357)*$I$3</f>
        <v>7</v>
      </c>
      <c r="J357" s="290">
        <f>I357*$Q357</f>
        <v>0</v>
      </c>
      <c r="K357" s="290">
        <f>(AI357+AJ357)*$K$3</f>
        <v>24</v>
      </c>
      <c r="L357" s="290">
        <f>K357*$Q357</f>
        <v>0</v>
      </c>
      <c r="M357" s="290">
        <f>(AL357+AM357)*$M$3</f>
        <v>9</v>
      </c>
      <c r="N357" s="290">
        <f>M357*$Q357</f>
        <v>0</v>
      </c>
      <c r="O357" s="290">
        <f>C357+E357+G357+I357+K357+M357</f>
        <v>79</v>
      </c>
      <c r="P357" s="153" t="s">
        <v>269</v>
      </c>
      <c r="Q357" s="262"/>
      <c r="R357" s="263"/>
      <c r="S357" s="386"/>
      <c r="T357" s="339">
        <v>1</v>
      </c>
      <c r="U357" s="266">
        <v>1</v>
      </c>
      <c r="W357" s="268">
        <f>T357*$W$3</f>
        <v>2</v>
      </c>
      <c r="X357" s="266">
        <f>U357*$X$3</f>
        <v>2</v>
      </c>
      <c r="Y357" s="267"/>
      <c r="Z357" s="268">
        <f>W357</f>
        <v>2</v>
      </c>
      <c r="AA357" s="266">
        <f>U357*$AA$3</f>
        <v>3</v>
      </c>
      <c r="AB357" s="267"/>
      <c r="AC357" s="268">
        <f>W357</f>
        <v>2</v>
      </c>
      <c r="AD357" s="266">
        <f>U357*$AD$3</f>
        <v>4</v>
      </c>
      <c r="AE357" s="267"/>
      <c r="AF357" s="268">
        <f>W357</f>
        <v>2</v>
      </c>
      <c r="AG357" s="266">
        <f>U357*$AG$3</f>
        <v>5</v>
      </c>
      <c r="AH357" s="267"/>
      <c r="AI357" s="268">
        <f>W357</f>
        <v>2</v>
      </c>
      <c r="AJ357" s="266">
        <f>U357*$AJ$3</f>
        <v>6</v>
      </c>
      <c r="AK357" s="267"/>
      <c r="AL357" s="268">
        <f>W357</f>
        <v>2</v>
      </c>
      <c r="AM357" s="266">
        <f>U357*$AM$3</f>
        <v>7</v>
      </c>
    </row>
    <row r="358" spans="1:39" s="264" customFormat="1" x14ac:dyDescent="0.2">
      <c r="A358" s="308"/>
      <c r="B358" s="206"/>
      <c r="C358" s="290"/>
      <c r="D358" s="290"/>
      <c r="E358" s="290"/>
      <c r="F358" s="290"/>
      <c r="G358" s="290"/>
      <c r="H358" s="290"/>
      <c r="I358" s="290"/>
      <c r="J358" s="290"/>
      <c r="K358" s="290"/>
      <c r="L358" s="290"/>
      <c r="M358" s="290"/>
      <c r="N358" s="290"/>
      <c r="O358" s="290"/>
      <c r="P358" s="261"/>
      <c r="Q358" s="262"/>
      <c r="R358" s="263"/>
      <c r="S358" s="386"/>
      <c r="T358" s="357"/>
      <c r="U358" s="357"/>
      <c r="W358" s="387"/>
      <c r="X358" s="357"/>
      <c r="Z358" s="387"/>
      <c r="AA358" s="357"/>
      <c r="AC358" s="387"/>
      <c r="AD358" s="357"/>
      <c r="AF358" s="387"/>
      <c r="AG358" s="357"/>
      <c r="AI358" s="387"/>
      <c r="AJ358" s="357"/>
      <c r="AL358" s="387"/>
      <c r="AM358" s="357"/>
    </row>
    <row r="359" spans="1:39" s="264" customFormat="1" x14ac:dyDescent="0.2">
      <c r="A359" s="362" t="s">
        <v>72</v>
      </c>
      <c r="B359" s="206" t="s">
        <v>878</v>
      </c>
      <c r="C359" s="290">
        <f>(W359+X359)*$C$3</f>
        <v>4</v>
      </c>
      <c r="D359" s="290">
        <f>C359*$Q359</f>
        <v>0</v>
      </c>
      <c r="E359" s="290">
        <f>(Z359+AA359)*$E$3</f>
        <v>5</v>
      </c>
      <c r="F359" s="290">
        <f>E359*$Q359</f>
        <v>0</v>
      </c>
      <c r="G359" s="290">
        <f>(AC359+AD359)*$G$3</f>
        <v>30</v>
      </c>
      <c r="H359" s="290">
        <f>G359*$Q359</f>
        <v>0</v>
      </c>
      <c r="I359" s="290">
        <f>(AF359+AG359)*$I$3</f>
        <v>7</v>
      </c>
      <c r="J359" s="290">
        <f>I359*$Q359</f>
        <v>0</v>
      </c>
      <c r="K359" s="290">
        <f>(AI359+AJ359)*$K$3</f>
        <v>24</v>
      </c>
      <c r="L359" s="290">
        <f>K359*$Q359</f>
        <v>0</v>
      </c>
      <c r="M359" s="290">
        <f>(AL359+AM359)*$M$3</f>
        <v>9</v>
      </c>
      <c r="N359" s="290">
        <f>M359*$Q359</f>
        <v>0</v>
      </c>
      <c r="O359" s="290">
        <f>C359+E359+G359+I359+K359+M359</f>
        <v>79</v>
      </c>
      <c r="P359" s="153" t="s">
        <v>269</v>
      </c>
      <c r="Q359" s="262"/>
      <c r="R359" s="263"/>
      <c r="S359" s="386"/>
      <c r="T359" s="357">
        <v>1</v>
      </c>
      <c r="U359" s="357">
        <v>1</v>
      </c>
      <c r="W359" s="268">
        <f>T359*$W$3</f>
        <v>2</v>
      </c>
      <c r="X359" s="266">
        <f>U359*$X$3</f>
        <v>2</v>
      </c>
      <c r="Y359" s="267"/>
      <c r="Z359" s="268">
        <f>W359</f>
        <v>2</v>
      </c>
      <c r="AA359" s="266">
        <f>U359*$AA$3</f>
        <v>3</v>
      </c>
      <c r="AB359" s="267"/>
      <c r="AC359" s="268">
        <f>W359</f>
        <v>2</v>
      </c>
      <c r="AD359" s="266">
        <f>U359*$AD$3</f>
        <v>4</v>
      </c>
      <c r="AE359" s="267"/>
      <c r="AF359" s="268">
        <f>W359</f>
        <v>2</v>
      </c>
      <c r="AG359" s="266">
        <f>U359*$AG$3</f>
        <v>5</v>
      </c>
      <c r="AH359" s="267"/>
      <c r="AI359" s="268">
        <f>W359</f>
        <v>2</v>
      </c>
      <c r="AJ359" s="266">
        <f>U359*$AJ$3</f>
        <v>6</v>
      </c>
      <c r="AK359" s="267"/>
      <c r="AL359" s="268">
        <f>W359</f>
        <v>2</v>
      </c>
      <c r="AM359" s="266">
        <f>U359*$AM$3</f>
        <v>7</v>
      </c>
    </row>
    <row r="360" spans="1:39" s="264" customFormat="1" x14ac:dyDescent="0.2">
      <c r="A360" s="258"/>
      <c r="B360" s="293"/>
      <c r="C360" s="290"/>
      <c r="D360" s="290"/>
      <c r="E360" s="290"/>
      <c r="F360" s="290"/>
      <c r="G360" s="290"/>
      <c r="H360" s="290"/>
      <c r="I360" s="290"/>
      <c r="J360" s="290"/>
      <c r="K360" s="290"/>
      <c r="L360" s="290"/>
      <c r="M360" s="290"/>
      <c r="N360" s="290"/>
      <c r="O360" s="290"/>
      <c r="P360" s="261"/>
      <c r="Q360" s="262"/>
      <c r="R360" s="263"/>
      <c r="S360" s="386"/>
      <c r="T360" s="357"/>
      <c r="U360" s="357"/>
      <c r="W360" s="387"/>
      <c r="X360" s="357"/>
      <c r="Z360" s="387"/>
      <c r="AA360" s="357"/>
      <c r="AC360" s="387"/>
      <c r="AD360" s="357"/>
      <c r="AF360" s="387"/>
      <c r="AG360" s="357"/>
      <c r="AI360" s="387"/>
      <c r="AJ360" s="357"/>
      <c r="AL360" s="387"/>
      <c r="AM360" s="357"/>
    </row>
    <row r="361" spans="1:39" s="264" customFormat="1" x14ac:dyDescent="0.2">
      <c r="A361" s="258"/>
      <c r="B361" s="293" t="s">
        <v>821</v>
      </c>
      <c r="C361" s="290"/>
      <c r="D361" s="290"/>
      <c r="E361" s="290"/>
      <c r="F361" s="290"/>
      <c r="G361" s="290"/>
      <c r="H361" s="290"/>
      <c r="I361" s="290"/>
      <c r="J361" s="290"/>
      <c r="K361" s="290"/>
      <c r="L361" s="290"/>
      <c r="M361" s="290"/>
      <c r="N361" s="290"/>
      <c r="O361" s="290"/>
      <c r="P361" s="153"/>
      <c r="Q361" s="262"/>
      <c r="R361" s="263"/>
      <c r="S361" s="386"/>
      <c r="T361" s="339"/>
      <c r="U361" s="266"/>
      <c r="W361" s="268"/>
      <c r="X361" s="266"/>
      <c r="Y361" s="267"/>
      <c r="Z361" s="268"/>
      <c r="AA361" s="266"/>
      <c r="AB361" s="267"/>
      <c r="AC361" s="268"/>
      <c r="AD361" s="266"/>
      <c r="AE361" s="267"/>
      <c r="AF361" s="268"/>
      <c r="AG361" s="266"/>
      <c r="AH361" s="267"/>
      <c r="AI361" s="268"/>
      <c r="AJ361" s="266"/>
      <c r="AK361" s="267"/>
      <c r="AL361" s="268"/>
      <c r="AM361" s="266"/>
    </row>
    <row r="362" spans="1:39" s="264" customFormat="1" x14ac:dyDescent="0.2">
      <c r="A362" s="308"/>
      <c r="B362" s="293"/>
      <c r="C362" s="290"/>
      <c r="D362" s="290"/>
      <c r="E362" s="290"/>
      <c r="F362" s="290"/>
      <c r="G362" s="290"/>
      <c r="H362" s="290"/>
      <c r="I362" s="290"/>
      <c r="J362" s="290"/>
      <c r="K362" s="290"/>
      <c r="L362" s="290"/>
      <c r="M362" s="290"/>
      <c r="N362" s="290"/>
      <c r="O362" s="290"/>
      <c r="P362" s="261"/>
      <c r="Q362" s="262"/>
      <c r="R362" s="263"/>
      <c r="S362" s="386"/>
      <c r="T362" s="357"/>
      <c r="U362" s="357"/>
      <c r="W362" s="387"/>
      <c r="X362" s="357"/>
      <c r="Z362" s="387"/>
      <c r="AA362" s="357"/>
      <c r="AC362" s="387"/>
      <c r="AD362" s="357"/>
      <c r="AF362" s="387"/>
      <c r="AG362" s="357"/>
      <c r="AI362" s="387"/>
      <c r="AJ362" s="357"/>
      <c r="AL362" s="387"/>
      <c r="AM362" s="357"/>
    </row>
    <row r="363" spans="1:39" s="264" customFormat="1" x14ac:dyDescent="0.2">
      <c r="A363" s="258" t="s">
        <v>73</v>
      </c>
      <c r="B363" s="259" t="s">
        <v>879</v>
      </c>
      <c r="C363" s="290">
        <f>(W363+X363)*$C$3</f>
        <v>32</v>
      </c>
      <c r="D363" s="290">
        <f>C363*$Q363</f>
        <v>0</v>
      </c>
      <c r="E363" s="290">
        <f>(Z363+AA363)*$E$3</f>
        <v>39</v>
      </c>
      <c r="F363" s="290">
        <f>E363*$Q363</f>
        <v>0</v>
      </c>
      <c r="G363" s="290">
        <f>(AC363+AD363)*$G$3</f>
        <v>230</v>
      </c>
      <c r="H363" s="290">
        <f>G363*$Q363</f>
        <v>0</v>
      </c>
      <c r="I363" s="290">
        <f>(AF363+AG363)*$I$3</f>
        <v>53</v>
      </c>
      <c r="J363" s="290">
        <f>I363*$Q363</f>
        <v>0</v>
      </c>
      <c r="K363" s="290">
        <f>(AI363+AJ363)*$K$3</f>
        <v>180</v>
      </c>
      <c r="L363" s="290">
        <f>K363*$Q363</f>
        <v>0</v>
      </c>
      <c r="M363" s="290">
        <f>(AL363+AM363)*$M$3</f>
        <v>67</v>
      </c>
      <c r="N363" s="290">
        <f>M363*$Q363</f>
        <v>0</v>
      </c>
      <c r="O363" s="290">
        <f>C363+E363+G363+I363+K363+M363</f>
        <v>601</v>
      </c>
      <c r="P363" s="153" t="s">
        <v>12</v>
      </c>
      <c r="Q363" s="262"/>
      <c r="R363" s="263"/>
      <c r="S363" s="386"/>
      <c r="T363" s="339">
        <f>5+4</f>
        <v>9</v>
      </c>
      <c r="U363" s="266">
        <f>3+4</f>
        <v>7</v>
      </c>
      <c r="W363" s="268">
        <f>T363*$W$3</f>
        <v>18</v>
      </c>
      <c r="X363" s="266">
        <f>U363*$X$3</f>
        <v>14</v>
      </c>
      <c r="Y363" s="267"/>
      <c r="Z363" s="268">
        <f>W363</f>
        <v>18</v>
      </c>
      <c r="AA363" s="266">
        <f>U363*$AA$3</f>
        <v>21</v>
      </c>
      <c r="AB363" s="267"/>
      <c r="AC363" s="268">
        <f>W363</f>
        <v>18</v>
      </c>
      <c r="AD363" s="266">
        <f>U363*$AD$3</f>
        <v>28</v>
      </c>
      <c r="AE363" s="267"/>
      <c r="AF363" s="268">
        <f>W363</f>
        <v>18</v>
      </c>
      <c r="AG363" s="266">
        <f>U363*$AG$3</f>
        <v>35</v>
      </c>
      <c r="AH363" s="267"/>
      <c r="AI363" s="268">
        <f>W363</f>
        <v>18</v>
      </c>
      <c r="AJ363" s="266">
        <f>U363*$AJ$3</f>
        <v>42</v>
      </c>
      <c r="AK363" s="267"/>
      <c r="AL363" s="268">
        <f>W363</f>
        <v>18</v>
      </c>
      <c r="AM363" s="266">
        <f>U363*$AM$3</f>
        <v>49</v>
      </c>
    </row>
    <row r="364" spans="1:39" s="264" customFormat="1" x14ac:dyDescent="0.2">
      <c r="A364" s="308"/>
      <c r="B364" s="206"/>
      <c r="C364" s="290"/>
      <c r="D364" s="290"/>
      <c r="E364" s="290"/>
      <c r="F364" s="290"/>
      <c r="G364" s="290"/>
      <c r="H364" s="290"/>
      <c r="I364" s="290"/>
      <c r="J364" s="290"/>
      <c r="K364" s="290"/>
      <c r="L364" s="290"/>
      <c r="M364" s="290"/>
      <c r="N364" s="290"/>
      <c r="O364" s="290"/>
      <c r="P364" s="261"/>
      <c r="Q364" s="262"/>
      <c r="R364" s="263"/>
      <c r="S364" s="386"/>
      <c r="T364" s="357"/>
      <c r="U364" s="357"/>
      <c r="W364" s="387"/>
      <c r="X364" s="357"/>
      <c r="Z364" s="387"/>
      <c r="AA364" s="357"/>
      <c r="AC364" s="387"/>
      <c r="AD364" s="357"/>
      <c r="AF364" s="387"/>
      <c r="AG364" s="357"/>
      <c r="AI364" s="387"/>
      <c r="AJ364" s="357"/>
      <c r="AL364" s="387"/>
      <c r="AM364" s="357"/>
    </row>
    <row r="365" spans="1:39" s="264" customFormat="1" x14ac:dyDescent="0.2">
      <c r="A365" s="258" t="s">
        <v>74</v>
      </c>
      <c r="B365" s="259" t="s">
        <v>880</v>
      </c>
      <c r="C365" s="290">
        <f>(W365+X365)*$C$3</f>
        <v>40</v>
      </c>
      <c r="D365" s="290">
        <f>C365*$Q365</f>
        <v>0</v>
      </c>
      <c r="E365" s="290">
        <f>(Z365+AA365)*$E$3</f>
        <v>48</v>
      </c>
      <c r="F365" s="290">
        <f>E365*$Q365</f>
        <v>0</v>
      </c>
      <c r="G365" s="290">
        <f>(AC365+AD365)*$G$3</f>
        <v>280</v>
      </c>
      <c r="H365" s="290">
        <f>G365*$Q365</f>
        <v>0</v>
      </c>
      <c r="I365" s="290">
        <f>(AF365+AG365)*$I$3</f>
        <v>64</v>
      </c>
      <c r="J365" s="290">
        <f>I365*$Q365</f>
        <v>0</v>
      </c>
      <c r="K365" s="290">
        <f>(AI365+AJ365)*$K$3</f>
        <v>216</v>
      </c>
      <c r="L365" s="290">
        <f>K365*$Q365</f>
        <v>0</v>
      </c>
      <c r="M365" s="290">
        <f>(AL365+AM365)*$M$3</f>
        <v>80</v>
      </c>
      <c r="N365" s="290">
        <f>M365*$Q365</f>
        <v>0</v>
      </c>
      <c r="O365" s="290">
        <f>C365+E365+G365+I365+K365+M365</f>
        <v>728</v>
      </c>
      <c r="P365" s="153" t="s">
        <v>12</v>
      </c>
      <c r="Q365" s="262"/>
      <c r="R365" s="263"/>
      <c r="S365" s="386"/>
      <c r="T365" s="339">
        <v>12</v>
      </c>
      <c r="U365" s="266">
        <v>8</v>
      </c>
      <c r="W365" s="268">
        <f>T365*$W$3</f>
        <v>24</v>
      </c>
      <c r="X365" s="266">
        <f>U365*$X$3</f>
        <v>16</v>
      </c>
      <c r="Y365" s="267"/>
      <c r="Z365" s="268">
        <f>W365</f>
        <v>24</v>
      </c>
      <c r="AA365" s="266">
        <f>U365*$AA$3</f>
        <v>24</v>
      </c>
      <c r="AB365" s="267"/>
      <c r="AC365" s="268">
        <f>W365</f>
        <v>24</v>
      </c>
      <c r="AD365" s="266">
        <f>U365*$AD$3</f>
        <v>32</v>
      </c>
      <c r="AE365" s="267"/>
      <c r="AF365" s="268">
        <f>W365</f>
        <v>24</v>
      </c>
      <c r="AG365" s="266">
        <f>U365*$AG$3</f>
        <v>40</v>
      </c>
      <c r="AH365" s="267"/>
      <c r="AI365" s="268">
        <f>W365</f>
        <v>24</v>
      </c>
      <c r="AJ365" s="266">
        <f>U365*$AJ$3</f>
        <v>48</v>
      </c>
      <c r="AK365" s="267"/>
      <c r="AL365" s="268">
        <f>W365</f>
        <v>24</v>
      </c>
      <c r="AM365" s="266">
        <f>U365*$AM$3</f>
        <v>56</v>
      </c>
    </row>
    <row r="366" spans="1:39" s="264" customFormat="1" x14ac:dyDescent="0.2">
      <c r="A366" s="308"/>
      <c r="B366" s="206"/>
      <c r="C366" s="290"/>
      <c r="D366" s="290"/>
      <c r="E366" s="290"/>
      <c r="F366" s="290"/>
      <c r="G366" s="290"/>
      <c r="H366" s="290"/>
      <c r="I366" s="290"/>
      <c r="J366" s="290"/>
      <c r="K366" s="290"/>
      <c r="L366" s="290"/>
      <c r="M366" s="290"/>
      <c r="N366" s="290"/>
      <c r="O366" s="290"/>
      <c r="P366" s="261"/>
      <c r="Q366" s="262"/>
      <c r="R366" s="263"/>
      <c r="S366" s="386"/>
      <c r="T366" s="357"/>
      <c r="U366" s="357"/>
      <c r="W366" s="387"/>
      <c r="X366" s="357"/>
      <c r="Z366" s="387"/>
      <c r="AA366" s="357"/>
      <c r="AC366" s="387"/>
      <c r="AD366" s="357"/>
      <c r="AF366" s="387"/>
      <c r="AG366" s="357"/>
      <c r="AI366" s="387"/>
      <c r="AJ366" s="357"/>
      <c r="AL366" s="387"/>
      <c r="AM366" s="357"/>
    </row>
    <row r="367" spans="1:39" s="342" customFormat="1" ht="28.5" x14ac:dyDescent="0.2">
      <c r="A367" s="445" t="s">
        <v>75</v>
      </c>
      <c r="B367" s="341" t="s">
        <v>947</v>
      </c>
      <c r="C367" s="443">
        <f>(W367+X367)*$C$3</f>
        <v>4</v>
      </c>
      <c r="D367" s="443">
        <f>C367*$Q367</f>
        <v>0</v>
      </c>
      <c r="E367" s="443">
        <f>(Z367+AA367)*$E$3</f>
        <v>5</v>
      </c>
      <c r="F367" s="443">
        <f>E367*$Q367</f>
        <v>0</v>
      </c>
      <c r="G367" s="443">
        <f>(AC367+AD367)*$G$3</f>
        <v>30</v>
      </c>
      <c r="H367" s="443">
        <f>G367*$Q367</f>
        <v>0</v>
      </c>
      <c r="I367" s="443">
        <f>(AF367+AG367)*$I$3</f>
        <v>7</v>
      </c>
      <c r="J367" s="443">
        <f>I367*$Q367</f>
        <v>0</v>
      </c>
      <c r="K367" s="443">
        <f>(AI367+AJ367)*$K$3</f>
        <v>24</v>
      </c>
      <c r="L367" s="443">
        <f>K367*$Q367</f>
        <v>0</v>
      </c>
      <c r="M367" s="443">
        <f>(AL367+AM367)*$M$3</f>
        <v>9</v>
      </c>
      <c r="N367" s="443">
        <f>M367*$Q367</f>
        <v>0</v>
      </c>
      <c r="O367" s="443">
        <f>C367+E367+G367+I367+K367+M367</f>
        <v>79</v>
      </c>
      <c r="P367" s="9" t="s">
        <v>269</v>
      </c>
      <c r="Q367" s="431"/>
      <c r="R367" s="433"/>
      <c r="S367" s="405"/>
      <c r="T367" s="406">
        <v>1</v>
      </c>
      <c r="U367" s="343">
        <v>1</v>
      </c>
      <c r="W367" s="343">
        <f>T367*$W$3</f>
        <v>2</v>
      </c>
      <c r="X367" s="343">
        <f>U367*$X$3</f>
        <v>2</v>
      </c>
      <c r="Z367" s="343">
        <f>W367</f>
        <v>2</v>
      </c>
      <c r="AA367" s="343">
        <f>U367*$AA$3</f>
        <v>3</v>
      </c>
      <c r="AC367" s="343">
        <f>W367</f>
        <v>2</v>
      </c>
      <c r="AD367" s="343">
        <f>U367*$AD$3</f>
        <v>4</v>
      </c>
      <c r="AF367" s="343">
        <f>W367</f>
        <v>2</v>
      </c>
      <c r="AG367" s="343">
        <f>U367*$AG$3</f>
        <v>5</v>
      </c>
      <c r="AI367" s="343">
        <f>W367</f>
        <v>2</v>
      </c>
      <c r="AJ367" s="343">
        <f>U367*$AJ$3</f>
        <v>6</v>
      </c>
      <c r="AL367" s="343">
        <f>W367</f>
        <v>2</v>
      </c>
      <c r="AM367" s="343">
        <f>U367*$AM$3</f>
        <v>7</v>
      </c>
    </row>
    <row r="368" spans="1:39" s="264" customFormat="1" x14ac:dyDescent="0.2">
      <c r="A368" s="258"/>
      <c r="B368" s="259"/>
      <c r="C368" s="290"/>
      <c r="D368" s="290"/>
      <c r="E368" s="290"/>
      <c r="F368" s="290"/>
      <c r="G368" s="290"/>
      <c r="H368" s="290"/>
      <c r="I368" s="290"/>
      <c r="J368" s="290"/>
      <c r="K368" s="290"/>
      <c r="L368" s="290"/>
      <c r="M368" s="290"/>
      <c r="N368" s="290"/>
      <c r="O368" s="290"/>
      <c r="P368" s="153"/>
      <c r="Q368" s="262"/>
      <c r="R368" s="263"/>
      <c r="S368" s="386"/>
      <c r="T368" s="339"/>
      <c r="U368" s="266"/>
      <c r="W368" s="268"/>
      <c r="X368" s="266"/>
      <c r="Y368" s="267"/>
      <c r="Z368" s="268"/>
      <c r="AA368" s="266"/>
      <c r="AB368" s="267"/>
      <c r="AC368" s="268"/>
      <c r="AD368" s="266"/>
      <c r="AE368" s="267"/>
      <c r="AF368" s="268"/>
      <c r="AG368" s="266"/>
      <c r="AH368" s="267"/>
      <c r="AI368" s="268"/>
      <c r="AJ368" s="266"/>
      <c r="AK368" s="267"/>
      <c r="AL368" s="268"/>
      <c r="AM368" s="266"/>
    </row>
    <row r="369" spans="1:39" s="264" customFormat="1" x14ac:dyDescent="0.2">
      <c r="A369" s="258"/>
      <c r="B369" s="259"/>
      <c r="C369" s="290"/>
      <c r="D369" s="290"/>
      <c r="E369" s="290"/>
      <c r="F369" s="290"/>
      <c r="G369" s="290"/>
      <c r="H369" s="290"/>
      <c r="I369" s="290"/>
      <c r="J369" s="290"/>
      <c r="K369" s="290"/>
      <c r="L369" s="290"/>
      <c r="M369" s="290"/>
      <c r="N369" s="290"/>
      <c r="O369" s="290"/>
      <c r="P369" s="153"/>
      <c r="Q369" s="262"/>
      <c r="R369" s="263"/>
      <c r="S369" s="386"/>
      <c r="T369" s="339"/>
      <c r="U369" s="266"/>
      <c r="W369" s="268"/>
      <c r="X369" s="266"/>
      <c r="Y369" s="267"/>
      <c r="Z369" s="268"/>
      <c r="AA369" s="266"/>
      <c r="AB369" s="267"/>
      <c r="AC369" s="268"/>
      <c r="AD369" s="266"/>
      <c r="AE369" s="267"/>
      <c r="AF369" s="268"/>
      <c r="AG369" s="266"/>
      <c r="AH369" s="267"/>
      <c r="AI369" s="268"/>
      <c r="AJ369" s="266"/>
      <c r="AK369" s="267"/>
      <c r="AL369" s="268"/>
      <c r="AM369" s="266"/>
    </row>
    <row r="370" spans="1:39" s="264" customFormat="1" x14ac:dyDescent="0.2">
      <c r="A370" s="258"/>
      <c r="B370" s="259"/>
      <c r="C370" s="290"/>
      <c r="D370" s="290"/>
      <c r="E370" s="290"/>
      <c r="F370" s="290"/>
      <c r="G370" s="290"/>
      <c r="H370" s="290"/>
      <c r="I370" s="290"/>
      <c r="J370" s="290"/>
      <c r="K370" s="290"/>
      <c r="L370" s="290"/>
      <c r="M370" s="290"/>
      <c r="N370" s="290"/>
      <c r="O370" s="290"/>
      <c r="P370" s="153"/>
      <c r="Q370" s="262"/>
      <c r="R370" s="263"/>
      <c r="S370" s="386"/>
      <c r="T370" s="339"/>
      <c r="U370" s="266"/>
      <c r="W370" s="268"/>
      <c r="X370" s="266"/>
      <c r="Y370" s="267"/>
      <c r="Z370" s="268"/>
      <c r="AA370" s="266"/>
      <c r="AB370" s="267"/>
      <c r="AC370" s="268"/>
      <c r="AD370" s="266"/>
      <c r="AE370" s="267"/>
      <c r="AF370" s="268"/>
      <c r="AG370" s="266"/>
      <c r="AH370" s="267"/>
      <c r="AI370" s="268"/>
      <c r="AJ370" s="266"/>
      <c r="AK370" s="267"/>
      <c r="AL370" s="268"/>
      <c r="AM370" s="266"/>
    </row>
    <row r="371" spans="1:39" s="264" customFormat="1" x14ac:dyDescent="0.2">
      <c r="A371" s="258"/>
      <c r="B371" s="259"/>
      <c r="C371" s="290"/>
      <c r="D371" s="290"/>
      <c r="E371" s="290"/>
      <c r="F371" s="290"/>
      <c r="G371" s="290"/>
      <c r="H371" s="290"/>
      <c r="I371" s="290"/>
      <c r="J371" s="290"/>
      <c r="K371" s="290"/>
      <c r="L371" s="290"/>
      <c r="M371" s="290"/>
      <c r="N371" s="290"/>
      <c r="O371" s="290"/>
      <c r="P371" s="153"/>
      <c r="Q371" s="262"/>
      <c r="R371" s="263"/>
      <c r="S371" s="386"/>
      <c r="T371" s="339"/>
      <c r="U371" s="266"/>
      <c r="W371" s="268"/>
      <c r="X371" s="266"/>
      <c r="Y371" s="267"/>
      <c r="Z371" s="268"/>
      <c r="AA371" s="266"/>
      <c r="AB371" s="267"/>
      <c r="AC371" s="268"/>
      <c r="AD371" s="266"/>
      <c r="AE371" s="267"/>
      <c r="AF371" s="268"/>
      <c r="AG371" s="266"/>
      <c r="AH371" s="267"/>
      <c r="AI371" s="268"/>
      <c r="AJ371" s="266"/>
      <c r="AK371" s="267"/>
      <c r="AL371" s="268"/>
      <c r="AM371" s="266"/>
    </row>
    <row r="372" spans="1:39" s="264" customFormat="1" x14ac:dyDescent="0.2">
      <c r="A372" s="258"/>
      <c r="B372" s="259"/>
      <c r="C372" s="290"/>
      <c r="D372" s="290"/>
      <c r="E372" s="290"/>
      <c r="F372" s="290"/>
      <c r="G372" s="290"/>
      <c r="H372" s="290"/>
      <c r="I372" s="290"/>
      <c r="J372" s="290"/>
      <c r="K372" s="290"/>
      <c r="L372" s="290"/>
      <c r="M372" s="290"/>
      <c r="N372" s="290"/>
      <c r="O372" s="290"/>
      <c r="P372" s="153"/>
      <c r="Q372" s="262"/>
      <c r="R372" s="263"/>
      <c r="S372" s="386"/>
      <c r="T372" s="339"/>
      <c r="U372" s="266"/>
      <c r="W372" s="268"/>
      <c r="X372" s="266"/>
      <c r="Y372" s="267"/>
      <c r="Z372" s="268"/>
      <c r="AA372" s="266"/>
      <c r="AB372" s="267"/>
      <c r="AC372" s="268"/>
      <c r="AD372" s="266"/>
      <c r="AE372" s="267"/>
      <c r="AF372" s="268"/>
      <c r="AG372" s="266"/>
      <c r="AH372" s="267"/>
      <c r="AI372" s="268"/>
      <c r="AJ372" s="266"/>
      <c r="AK372" s="267"/>
      <c r="AL372" s="268"/>
      <c r="AM372" s="266"/>
    </row>
    <row r="373" spans="1:39" s="264" customFormat="1" x14ac:dyDescent="0.2">
      <c r="A373" s="258"/>
      <c r="B373" s="259"/>
      <c r="C373" s="290"/>
      <c r="D373" s="290"/>
      <c r="E373" s="290"/>
      <c r="F373" s="290"/>
      <c r="G373" s="290"/>
      <c r="H373" s="290"/>
      <c r="I373" s="290"/>
      <c r="J373" s="290"/>
      <c r="K373" s="290"/>
      <c r="L373" s="290"/>
      <c r="M373" s="290"/>
      <c r="N373" s="290"/>
      <c r="O373" s="290"/>
      <c r="P373" s="153"/>
      <c r="Q373" s="262"/>
      <c r="R373" s="263"/>
      <c r="S373" s="386"/>
      <c r="T373" s="339"/>
      <c r="U373" s="266"/>
      <c r="W373" s="268"/>
      <c r="X373" s="266"/>
      <c r="Y373" s="267"/>
      <c r="Z373" s="268"/>
      <c r="AA373" s="266"/>
      <c r="AB373" s="267"/>
      <c r="AC373" s="268"/>
      <c r="AD373" s="266"/>
      <c r="AE373" s="267"/>
      <c r="AF373" s="268"/>
      <c r="AG373" s="266"/>
      <c r="AH373" s="267"/>
      <c r="AI373" s="268"/>
      <c r="AJ373" s="266"/>
      <c r="AK373" s="267"/>
      <c r="AL373" s="268"/>
      <c r="AM373" s="266"/>
    </row>
    <row r="374" spans="1:39" s="264" customFormat="1" x14ac:dyDescent="0.2">
      <c r="A374" s="258"/>
      <c r="B374" s="259"/>
      <c r="C374" s="290"/>
      <c r="D374" s="290"/>
      <c r="E374" s="290"/>
      <c r="F374" s="290"/>
      <c r="G374" s="290"/>
      <c r="H374" s="290"/>
      <c r="I374" s="290"/>
      <c r="J374" s="290"/>
      <c r="K374" s="290"/>
      <c r="L374" s="290"/>
      <c r="M374" s="290"/>
      <c r="N374" s="290"/>
      <c r="O374" s="290"/>
      <c r="P374" s="153"/>
      <c r="Q374" s="262"/>
      <c r="R374" s="263"/>
      <c r="S374" s="386"/>
      <c r="T374" s="339"/>
      <c r="U374" s="266"/>
      <c r="W374" s="268"/>
      <c r="X374" s="266"/>
      <c r="Y374" s="267"/>
      <c r="Z374" s="268"/>
      <c r="AA374" s="266"/>
      <c r="AB374" s="267"/>
      <c r="AC374" s="268"/>
      <c r="AD374" s="266"/>
      <c r="AE374" s="267"/>
      <c r="AF374" s="268"/>
      <c r="AG374" s="266"/>
      <c r="AH374" s="267"/>
      <c r="AI374" s="268"/>
      <c r="AJ374" s="266"/>
      <c r="AK374" s="267"/>
      <c r="AL374" s="268"/>
      <c r="AM374" s="266"/>
    </row>
    <row r="375" spans="1:39" s="264" customFormat="1" x14ac:dyDescent="0.2">
      <c r="A375" s="258"/>
      <c r="B375" s="259"/>
      <c r="C375" s="290"/>
      <c r="D375" s="290"/>
      <c r="E375" s="290"/>
      <c r="F375" s="290"/>
      <c r="G375" s="290"/>
      <c r="H375" s="290"/>
      <c r="I375" s="290"/>
      <c r="J375" s="290"/>
      <c r="K375" s="290"/>
      <c r="L375" s="290"/>
      <c r="M375" s="290"/>
      <c r="N375" s="290"/>
      <c r="O375" s="290"/>
      <c r="P375" s="153"/>
      <c r="Q375" s="262"/>
      <c r="R375" s="263"/>
      <c r="S375" s="386"/>
      <c r="T375" s="339"/>
      <c r="U375" s="266"/>
      <c r="W375" s="268"/>
      <c r="X375" s="266"/>
      <c r="Y375" s="267"/>
      <c r="Z375" s="268"/>
      <c r="AA375" s="266"/>
      <c r="AB375" s="267"/>
      <c r="AC375" s="268"/>
      <c r="AD375" s="266"/>
      <c r="AE375" s="267"/>
      <c r="AF375" s="268"/>
      <c r="AG375" s="266"/>
      <c r="AH375" s="267"/>
      <c r="AI375" s="268"/>
      <c r="AJ375" s="266"/>
      <c r="AK375" s="267"/>
      <c r="AL375" s="268"/>
      <c r="AM375" s="266"/>
    </row>
    <row r="376" spans="1:39" s="264" customFormat="1" x14ac:dyDescent="0.2">
      <c r="A376" s="308"/>
      <c r="B376" s="293"/>
      <c r="C376" s="290"/>
      <c r="D376" s="290"/>
      <c r="E376" s="290"/>
      <c r="F376" s="290"/>
      <c r="G376" s="290"/>
      <c r="H376" s="290"/>
      <c r="I376" s="290"/>
      <c r="J376" s="290"/>
      <c r="K376" s="290"/>
      <c r="L376" s="290"/>
      <c r="M376" s="290"/>
      <c r="N376" s="290"/>
      <c r="O376" s="290"/>
      <c r="P376" s="261"/>
      <c r="Q376" s="262"/>
      <c r="R376" s="263"/>
      <c r="S376" s="386"/>
      <c r="T376" s="357"/>
      <c r="U376" s="357"/>
      <c r="W376" s="387"/>
      <c r="X376" s="357"/>
      <c r="Z376" s="387"/>
      <c r="AA376" s="357"/>
      <c r="AC376" s="387"/>
      <c r="AD376" s="357"/>
      <c r="AF376" s="387"/>
      <c r="AG376" s="357"/>
      <c r="AI376" s="387"/>
      <c r="AJ376" s="357"/>
      <c r="AL376" s="387"/>
      <c r="AM376" s="357"/>
    </row>
    <row r="377" spans="1:39" s="264" customFormat="1" x14ac:dyDescent="0.2">
      <c r="A377" s="258"/>
      <c r="B377" s="259"/>
      <c r="C377" s="290"/>
      <c r="D377" s="290"/>
      <c r="E377" s="290"/>
      <c r="F377" s="290"/>
      <c r="G377" s="290"/>
      <c r="H377" s="290"/>
      <c r="I377" s="290"/>
      <c r="J377" s="290"/>
      <c r="K377" s="290"/>
      <c r="L377" s="290"/>
      <c r="M377" s="290"/>
      <c r="N377" s="290"/>
      <c r="O377" s="290"/>
      <c r="P377" s="153"/>
      <c r="Q377" s="262"/>
      <c r="R377" s="263"/>
      <c r="S377" s="386"/>
      <c r="T377" s="339"/>
      <c r="U377" s="266"/>
      <c r="W377" s="268"/>
      <c r="X377" s="266"/>
      <c r="Y377" s="267"/>
      <c r="Z377" s="268"/>
      <c r="AA377" s="266"/>
      <c r="AB377" s="267"/>
      <c r="AC377" s="268"/>
      <c r="AD377" s="266"/>
      <c r="AE377" s="267"/>
      <c r="AF377" s="268"/>
      <c r="AG377" s="266"/>
      <c r="AH377" s="267"/>
      <c r="AI377" s="268"/>
      <c r="AJ377" s="266"/>
      <c r="AK377" s="267"/>
      <c r="AL377" s="268"/>
      <c r="AM377" s="266"/>
    </row>
    <row r="378" spans="1:39" s="264" customFormat="1" x14ac:dyDescent="0.2">
      <c r="A378" s="258"/>
      <c r="B378" s="259"/>
      <c r="C378" s="290"/>
      <c r="D378" s="290"/>
      <c r="E378" s="290"/>
      <c r="F378" s="290"/>
      <c r="G378" s="290"/>
      <c r="H378" s="290"/>
      <c r="I378" s="290"/>
      <c r="J378" s="290"/>
      <c r="K378" s="290"/>
      <c r="L378" s="290"/>
      <c r="M378" s="290"/>
      <c r="N378" s="290"/>
      <c r="O378" s="290"/>
      <c r="P378" s="153"/>
      <c r="Q378" s="262"/>
      <c r="R378" s="263"/>
      <c r="S378" s="386"/>
      <c r="T378" s="357"/>
      <c r="U378" s="357"/>
      <c r="W378" s="387"/>
      <c r="X378" s="357"/>
      <c r="Z378" s="387"/>
      <c r="AA378" s="357"/>
      <c r="AC378" s="387"/>
      <c r="AD378" s="357"/>
      <c r="AF378" s="387"/>
      <c r="AG378" s="357"/>
      <c r="AI378" s="387"/>
      <c r="AJ378" s="357"/>
      <c r="AL378" s="387"/>
      <c r="AM378" s="357"/>
    </row>
    <row r="379" spans="1:39" s="264" customFormat="1" x14ac:dyDescent="0.2">
      <c r="A379" s="258"/>
      <c r="B379" s="259"/>
      <c r="C379" s="290"/>
      <c r="D379" s="290"/>
      <c r="E379" s="290"/>
      <c r="F379" s="290"/>
      <c r="G379" s="290"/>
      <c r="H379" s="290"/>
      <c r="I379" s="290"/>
      <c r="J379" s="290"/>
      <c r="K379" s="290"/>
      <c r="L379" s="290"/>
      <c r="M379" s="290"/>
      <c r="N379" s="290"/>
      <c r="O379" s="290"/>
      <c r="P379" s="153"/>
      <c r="Q379" s="262"/>
      <c r="R379" s="263"/>
      <c r="S379" s="386"/>
      <c r="T379" s="357"/>
      <c r="U379" s="357"/>
      <c r="W379" s="387"/>
      <c r="X379" s="357"/>
      <c r="Z379" s="387"/>
      <c r="AA379" s="357"/>
      <c r="AC379" s="387"/>
      <c r="AD379" s="357"/>
      <c r="AF379" s="387"/>
      <c r="AG379" s="357"/>
      <c r="AI379" s="387"/>
      <c r="AJ379" s="357"/>
      <c r="AL379" s="387"/>
      <c r="AM379" s="357"/>
    </row>
    <row r="380" spans="1:39" s="264" customFormat="1" x14ac:dyDescent="0.2">
      <c r="A380" s="391"/>
      <c r="B380" s="392"/>
      <c r="C380" s="377"/>
      <c r="D380" s="377"/>
      <c r="E380" s="377"/>
      <c r="F380" s="377"/>
      <c r="G380" s="377"/>
      <c r="H380" s="377"/>
      <c r="I380" s="377"/>
      <c r="J380" s="377"/>
      <c r="K380" s="377"/>
      <c r="L380" s="377"/>
      <c r="M380" s="377"/>
      <c r="N380" s="377"/>
      <c r="O380" s="377"/>
      <c r="P380" s="377"/>
      <c r="Q380" s="378"/>
      <c r="R380" s="379"/>
      <c r="S380" s="386"/>
      <c r="T380" s="393"/>
      <c r="U380" s="393"/>
      <c r="W380" s="394"/>
      <c r="X380" s="393"/>
      <c r="Z380" s="394"/>
      <c r="AA380" s="393"/>
      <c r="AC380" s="394"/>
      <c r="AD380" s="393"/>
      <c r="AF380" s="394"/>
      <c r="AG380" s="393"/>
      <c r="AI380" s="394"/>
      <c r="AJ380" s="393"/>
      <c r="AL380" s="394"/>
      <c r="AM380" s="393"/>
    </row>
    <row r="381" spans="1:39" s="264" customFormat="1" x14ac:dyDescent="0.2">
      <c r="A381" s="395"/>
      <c r="B381" s="396"/>
      <c r="C381" s="550" t="s">
        <v>1</v>
      </c>
      <c r="D381" s="550"/>
      <c r="E381" s="550"/>
      <c r="F381" s="550"/>
      <c r="G381" s="550"/>
      <c r="H381" s="550"/>
      <c r="I381" s="550"/>
      <c r="J381" s="550"/>
      <c r="K381" s="550"/>
      <c r="L381" s="550"/>
      <c r="M381" s="550"/>
      <c r="N381" s="550"/>
      <c r="O381" s="550"/>
      <c r="P381" s="550"/>
      <c r="Q381" s="381" t="s">
        <v>0</v>
      </c>
      <c r="R381" s="263"/>
      <c r="S381" s="386"/>
      <c r="T381" s="397"/>
      <c r="U381" s="397"/>
      <c r="W381" s="398"/>
      <c r="X381" s="397"/>
      <c r="Z381" s="398"/>
      <c r="AA381" s="397"/>
      <c r="AC381" s="398"/>
      <c r="AD381" s="397"/>
      <c r="AF381" s="398"/>
      <c r="AG381" s="397"/>
      <c r="AI381" s="398"/>
      <c r="AJ381" s="397"/>
      <c r="AL381" s="398"/>
      <c r="AM381" s="397"/>
    </row>
    <row r="382" spans="1:39" s="264" customFormat="1" x14ac:dyDescent="0.2">
      <c r="A382" s="395"/>
      <c r="B382" s="396"/>
      <c r="C382" s="309"/>
      <c r="D382" s="309"/>
      <c r="E382" s="309"/>
      <c r="F382" s="309"/>
      <c r="G382" s="309"/>
      <c r="H382" s="309"/>
      <c r="I382" s="309"/>
      <c r="J382" s="309"/>
      <c r="K382" s="309"/>
      <c r="L382" s="309"/>
      <c r="M382" s="309"/>
      <c r="N382" s="309"/>
      <c r="O382" s="309"/>
      <c r="P382" s="309"/>
      <c r="Q382" s="294"/>
      <c r="R382" s="382"/>
      <c r="S382" s="386"/>
      <c r="T382" s="357"/>
      <c r="U382" s="357"/>
      <c r="W382" s="387"/>
      <c r="X382" s="357"/>
      <c r="Z382" s="387"/>
      <c r="AA382" s="357"/>
      <c r="AC382" s="387"/>
      <c r="AD382" s="357"/>
      <c r="AF382" s="387"/>
      <c r="AG382" s="357"/>
      <c r="AI382" s="387"/>
      <c r="AJ382" s="357"/>
      <c r="AL382" s="387"/>
      <c r="AM382" s="357"/>
    </row>
    <row r="383" spans="1:39" s="264" customFormat="1" x14ac:dyDescent="0.2">
      <c r="A383" s="308"/>
      <c r="B383" s="259"/>
      <c r="C383" s="290"/>
      <c r="D383" s="290"/>
      <c r="E383" s="290"/>
      <c r="F383" s="290"/>
      <c r="G383" s="290"/>
      <c r="H383" s="290"/>
      <c r="I383" s="290"/>
      <c r="J383" s="290"/>
      <c r="K383" s="290"/>
      <c r="L383" s="290"/>
      <c r="M383" s="290"/>
      <c r="N383" s="290"/>
      <c r="O383" s="290"/>
      <c r="P383" s="261"/>
      <c r="Q383" s="262"/>
      <c r="R383" s="263"/>
      <c r="S383" s="386"/>
      <c r="T383" s="393"/>
      <c r="U383" s="393"/>
      <c r="W383" s="394"/>
      <c r="X383" s="393"/>
      <c r="Z383" s="394"/>
      <c r="AA383" s="393"/>
      <c r="AC383" s="394"/>
      <c r="AD383" s="393"/>
      <c r="AF383" s="394"/>
      <c r="AG383" s="393"/>
      <c r="AI383" s="394"/>
      <c r="AJ383" s="393"/>
      <c r="AL383" s="394"/>
      <c r="AM383" s="393"/>
    </row>
    <row r="384" spans="1:39" s="264" customFormat="1" ht="14.25" customHeight="1" x14ac:dyDescent="0.2">
      <c r="A384" s="283"/>
      <c r="B384" s="202" t="s">
        <v>134</v>
      </c>
      <c r="C384" s="290"/>
      <c r="D384" s="290"/>
      <c r="E384" s="290"/>
      <c r="F384" s="290"/>
      <c r="G384" s="290"/>
      <c r="H384" s="290"/>
      <c r="I384" s="290"/>
      <c r="J384" s="290"/>
      <c r="K384" s="290"/>
      <c r="L384" s="290"/>
      <c r="M384" s="290"/>
      <c r="N384" s="290"/>
      <c r="O384" s="290"/>
      <c r="P384" s="261"/>
      <c r="Q384" s="262"/>
      <c r="R384" s="263"/>
      <c r="S384" s="386"/>
      <c r="T384" s="357"/>
      <c r="U384" s="357"/>
      <c r="W384" s="387"/>
      <c r="X384" s="357"/>
      <c r="Z384" s="387"/>
      <c r="AA384" s="357"/>
      <c r="AC384" s="387"/>
      <c r="AD384" s="357"/>
      <c r="AF384" s="387"/>
      <c r="AG384" s="357"/>
      <c r="AI384" s="387"/>
      <c r="AJ384" s="357"/>
      <c r="AL384" s="387"/>
      <c r="AM384" s="357"/>
    </row>
    <row r="385" spans="1:39" s="264" customFormat="1" x14ac:dyDescent="0.2">
      <c r="A385" s="283"/>
      <c r="B385" s="206"/>
      <c r="C385" s="290"/>
      <c r="D385" s="290"/>
      <c r="E385" s="290"/>
      <c r="F385" s="290"/>
      <c r="G385" s="290"/>
      <c r="H385" s="290"/>
      <c r="I385" s="290"/>
      <c r="J385" s="290"/>
      <c r="K385" s="290"/>
      <c r="L385" s="290"/>
      <c r="M385" s="290"/>
      <c r="N385" s="290"/>
      <c r="O385" s="290"/>
      <c r="P385" s="261"/>
      <c r="Q385" s="262"/>
      <c r="R385" s="263"/>
      <c r="S385" s="386"/>
      <c r="T385" s="357"/>
      <c r="U385" s="357"/>
      <c r="W385" s="387"/>
      <c r="X385" s="357"/>
      <c r="Z385" s="387"/>
      <c r="AA385" s="357"/>
      <c r="AC385" s="387"/>
      <c r="AD385" s="357"/>
      <c r="AF385" s="387"/>
      <c r="AG385" s="357"/>
      <c r="AI385" s="387"/>
      <c r="AJ385" s="357"/>
      <c r="AL385" s="387"/>
      <c r="AM385" s="357"/>
    </row>
    <row r="386" spans="1:39" s="264" customFormat="1" x14ac:dyDescent="0.2">
      <c r="A386" s="283" t="s">
        <v>66</v>
      </c>
      <c r="B386" s="206" t="s">
        <v>135</v>
      </c>
      <c r="C386" s="290">
        <f>(W386+X386)*$C$3</f>
        <v>0</v>
      </c>
      <c r="D386" s="290">
        <f>C386*$Q386</f>
        <v>0</v>
      </c>
      <c r="E386" s="290">
        <f>(Z386+AA386)*$E$3</f>
        <v>0</v>
      </c>
      <c r="F386" s="290">
        <f>E386*$Q386</f>
        <v>0</v>
      </c>
      <c r="G386" s="290">
        <f>(AC386+AD386)*$G$3</f>
        <v>0</v>
      </c>
      <c r="H386" s="290">
        <f>G386*$Q386</f>
        <v>0</v>
      </c>
      <c r="I386" s="290">
        <f>(AF386+AG386)*$I$3</f>
        <v>0</v>
      </c>
      <c r="J386" s="290">
        <f>I386*$Q386</f>
        <v>0</v>
      </c>
      <c r="K386" s="290">
        <f>(AI386+AJ386)*$K$3</f>
        <v>0</v>
      </c>
      <c r="L386" s="290">
        <f>K386*$Q386</f>
        <v>0</v>
      </c>
      <c r="M386" s="290">
        <f>(AL386+AM386)*$M$3</f>
        <v>0</v>
      </c>
      <c r="N386" s="290">
        <f>M386*$Q386</f>
        <v>0</v>
      </c>
      <c r="O386" s="290">
        <f>C386+E386+G386+I386+K386+M386</f>
        <v>0</v>
      </c>
      <c r="P386" s="153" t="s">
        <v>5</v>
      </c>
      <c r="Q386" s="262"/>
      <c r="R386" s="263"/>
      <c r="S386" s="386"/>
      <c r="T386" s="339"/>
      <c r="U386" s="266">
        <v>0</v>
      </c>
      <c r="W386" s="268">
        <f>T386*$W$3</f>
        <v>0</v>
      </c>
      <c r="X386" s="266">
        <f>U386*$X$3</f>
        <v>0</v>
      </c>
      <c r="Y386" s="267"/>
      <c r="Z386" s="268">
        <f>W386</f>
        <v>0</v>
      </c>
      <c r="AA386" s="266">
        <f>U386*$AA$3</f>
        <v>0</v>
      </c>
      <c r="AB386" s="267"/>
      <c r="AC386" s="268">
        <f>W386</f>
        <v>0</v>
      </c>
      <c r="AD386" s="266">
        <f>U386*$AD$3</f>
        <v>0</v>
      </c>
      <c r="AE386" s="267"/>
      <c r="AF386" s="268">
        <f>W386</f>
        <v>0</v>
      </c>
      <c r="AG386" s="266">
        <f>U386*$AG$3</f>
        <v>0</v>
      </c>
      <c r="AH386" s="267"/>
      <c r="AI386" s="268">
        <f>W386</f>
        <v>0</v>
      </c>
      <c r="AJ386" s="266">
        <f>U386*$AJ$3</f>
        <v>0</v>
      </c>
      <c r="AK386" s="267"/>
      <c r="AL386" s="268">
        <f>W386</f>
        <v>0</v>
      </c>
      <c r="AM386" s="266">
        <f>U386*$AM$3</f>
        <v>0</v>
      </c>
    </row>
    <row r="387" spans="1:39" s="264" customFormat="1" x14ac:dyDescent="0.2">
      <c r="A387" s="283"/>
      <c r="B387" s="206"/>
      <c r="C387" s="290"/>
      <c r="D387" s="290"/>
      <c r="E387" s="290"/>
      <c r="F387" s="290"/>
      <c r="G387" s="290"/>
      <c r="H387" s="290"/>
      <c r="I387" s="290"/>
      <c r="J387" s="290"/>
      <c r="K387" s="290"/>
      <c r="L387" s="290"/>
      <c r="M387" s="290"/>
      <c r="N387" s="290"/>
      <c r="O387" s="290"/>
      <c r="P387" s="153"/>
      <c r="Q387" s="262"/>
      <c r="R387" s="263"/>
      <c r="S387" s="386"/>
      <c r="T387" s="357"/>
      <c r="U387" s="357"/>
      <c r="W387" s="387"/>
      <c r="X387" s="357"/>
      <c r="Z387" s="387"/>
      <c r="AA387" s="357"/>
      <c r="AC387" s="387"/>
      <c r="AD387" s="357"/>
      <c r="AF387" s="387"/>
      <c r="AG387" s="357"/>
      <c r="AI387" s="387"/>
      <c r="AJ387" s="357"/>
      <c r="AL387" s="387"/>
      <c r="AM387" s="357"/>
    </row>
    <row r="388" spans="1:39" s="264" customFormat="1" ht="28.5" x14ac:dyDescent="0.2">
      <c r="A388" s="283" t="s">
        <v>67</v>
      </c>
      <c r="B388" s="206" t="s">
        <v>136</v>
      </c>
      <c r="C388" s="290">
        <f>(W388+X388)*$C$3</f>
        <v>0</v>
      </c>
      <c r="D388" s="290">
        <f>C388*$Q388</f>
        <v>0</v>
      </c>
      <c r="E388" s="290">
        <f>(Z388+AA388)*$E$3</f>
        <v>0</v>
      </c>
      <c r="F388" s="290">
        <f>E388*$Q388</f>
        <v>0</v>
      </c>
      <c r="G388" s="290">
        <f>(AC388+AD388)*$G$3</f>
        <v>0</v>
      </c>
      <c r="H388" s="290">
        <f>G388*$Q388</f>
        <v>0</v>
      </c>
      <c r="I388" s="290">
        <f>(AF388+AG388)*$I$3</f>
        <v>0</v>
      </c>
      <c r="J388" s="290">
        <f>I388*$Q388</f>
        <v>0</v>
      </c>
      <c r="K388" s="290">
        <f>(AI388+AJ388)*$K$3</f>
        <v>0</v>
      </c>
      <c r="L388" s="290">
        <f>K388*$Q388</f>
        <v>0</v>
      </c>
      <c r="M388" s="290">
        <f>(AL388+AM388)*$M$3</f>
        <v>0</v>
      </c>
      <c r="N388" s="290">
        <f>M388*$Q388</f>
        <v>0</v>
      </c>
      <c r="O388" s="290">
        <f>C388+E388+G388+I388+K388+M388</f>
        <v>0</v>
      </c>
      <c r="P388" s="153" t="s">
        <v>5</v>
      </c>
      <c r="Q388" s="262"/>
      <c r="R388" s="263"/>
      <c r="S388" s="386"/>
      <c r="T388" s="339"/>
      <c r="U388" s="266">
        <v>0</v>
      </c>
      <c r="W388" s="268">
        <f>T388*$W$3</f>
        <v>0</v>
      </c>
      <c r="X388" s="266">
        <f>U388*$X$3</f>
        <v>0</v>
      </c>
      <c r="Y388" s="267"/>
      <c r="Z388" s="268">
        <f>W388</f>
        <v>0</v>
      </c>
      <c r="AA388" s="266">
        <f>U388*$AA$3</f>
        <v>0</v>
      </c>
      <c r="AB388" s="267"/>
      <c r="AC388" s="268">
        <f>W388</f>
        <v>0</v>
      </c>
      <c r="AD388" s="266">
        <f>U388*$AD$3</f>
        <v>0</v>
      </c>
      <c r="AE388" s="267"/>
      <c r="AF388" s="268">
        <f>W388</f>
        <v>0</v>
      </c>
      <c r="AG388" s="266">
        <f>U388*$AG$3</f>
        <v>0</v>
      </c>
      <c r="AH388" s="267"/>
      <c r="AI388" s="268">
        <f>W388</f>
        <v>0</v>
      </c>
      <c r="AJ388" s="266">
        <f>U388*$AJ$3</f>
        <v>0</v>
      </c>
      <c r="AK388" s="267"/>
      <c r="AL388" s="268">
        <f>W388</f>
        <v>0</v>
      </c>
      <c r="AM388" s="266">
        <f>U388*$AM$3</f>
        <v>0</v>
      </c>
    </row>
    <row r="389" spans="1:39" s="264" customFormat="1" x14ac:dyDescent="0.2">
      <c r="A389" s="283"/>
      <c r="B389" s="206"/>
      <c r="C389" s="290"/>
      <c r="D389" s="290"/>
      <c r="E389" s="290"/>
      <c r="F389" s="290"/>
      <c r="G389" s="290"/>
      <c r="H389" s="290"/>
      <c r="I389" s="290"/>
      <c r="J389" s="290"/>
      <c r="K389" s="290"/>
      <c r="L389" s="290"/>
      <c r="M389" s="290"/>
      <c r="N389" s="290"/>
      <c r="O389" s="290"/>
      <c r="P389" s="153"/>
      <c r="Q389" s="262"/>
      <c r="R389" s="263"/>
      <c r="S389" s="386"/>
      <c r="T389" s="357"/>
      <c r="U389" s="357"/>
      <c r="W389" s="387"/>
      <c r="X389" s="357"/>
      <c r="Z389" s="387"/>
      <c r="AA389" s="357"/>
      <c r="AC389" s="387"/>
      <c r="AD389" s="357"/>
      <c r="AF389" s="387"/>
      <c r="AG389" s="357"/>
      <c r="AI389" s="387"/>
      <c r="AJ389" s="357"/>
      <c r="AL389" s="387"/>
      <c r="AM389" s="357"/>
    </row>
    <row r="390" spans="1:39" s="264" customFormat="1" ht="14.25" customHeight="1" x14ac:dyDescent="0.2">
      <c r="A390" s="283" t="s">
        <v>68</v>
      </c>
      <c r="B390" s="206" t="s">
        <v>137</v>
      </c>
      <c r="C390" s="290">
        <f>(W390+X390)*$C$3</f>
        <v>0</v>
      </c>
      <c r="D390" s="290">
        <f>C390*$Q390</f>
        <v>0</v>
      </c>
      <c r="E390" s="290">
        <f>(Z390+AA390)*$E$3</f>
        <v>0</v>
      </c>
      <c r="F390" s="290">
        <f>E390*$Q390</f>
        <v>0</v>
      </c>
      <c r="G390" s="290">
        <f>(AC390+AD390)*$G$3</f>
        <v>0</v>
      </c>
      <c r="H390" s="290">
        <f>G390*$Q390</f>
        <v>0</v>
      </c>
      <c r="I390" s="290">
        <f>(AF390+AG390)*$I$3</f>
        <v>0</v>
      </c>
      <c r="J390" s="290">
        <f>I390*$Q390</f>
        <v>0</v>
      </c>
      <c r="K390" s="290">
        <f>(AI390+AJ390)*$K$3</f>
        <v>0</v>
      </c>
      <c r="L390" s="290">
        <f>K390*$Q390</f>
        <v>0</v>
      </c>
      <c r="M390" s="290">
        <f>(AL390+AM390)*$M$3</f>
        <v>0</v>
      </c>
      <c r="N390" s="290">
        <f>M390*$Q390</f>
        <v>0</v>
      </c>
      <c r="O390" s="290">
        <f>C390+E390+G390+I390+K390+M390</f>
        <v>0</v>
      </c>
      <c r="P390" s="153" t="s">
        <v>5</v>
      </c>
      <c r="Q390" s="262"/>
      <c r="R390" s="263"/>
      <c r="S390" s="386"/>
      <c r="T390" s="339"/>
      <c r="U390" s="266">
        <v>0</v>
      </c>
      <c r="W390" s="268">
        <f>T390*$W$3</f>
        <v>0</v>
      </c>
      <c r="X390" s="266">
        <f>U390*$X$3</f>
        <v>0</v>
      </c>
      <c r="Y390" s="267"/>
      <c r="Z390" s="268">
        <f>W390</f>
        <v>0</v>
      </c>
      <c r="AA390" s="266">
        <f>U390*$AA$3</f>
        <v>0</v>
      </c>
      <c r="AB390" s="267"/>
      <c r="AC390" s="268">
        <f>W390</f>
        <v>0</v>
      </c>
      <c r="AD390" s="266">
        <f>U390*$AD$3</f>
        <v>0</v>
      </c>
      <c r="AE390" s="267"/>
      <c r="AF390" s="268">
        <f>W390</f>
        <v>0</v>
      </c>
      <c r="AG390" s="266">
        <f>U390*$AG$3</f>
        <v>0</v>
      </c>
      <c r="AH390" s="267"/>
      <c r="AI390" s="268">
        <f>W390</f>
        <v>0</v>
      </c>
      <c r="AJ390" s="266">
        <f>U390*$AJ$3</f>
        <v>0</v>
      </c>
      <c r="AK390" s="267"/>
      <c r="AL390" s="268">
        <f>W390</f>
        <v>0</v>
      </c>
      <c r="AM390" s="266">
        <f>U390*$AM$3</f>
        <v>0</v>
      </c>
    </row>
    <row r="391" spans="1:39" s="264" customFormat="1" x14ac:dyDescent="0.2">
      <c r="A391" s="283"/>
      <c r="B391" s="206"/>
      <c r="C391" s="290"/>
      <c r="D391" s="290"/>
      <c r="E391" s="290"/>
      <c r="F391" s="290"/>
      <c r="G391" s="290"/>
      <c r="H391" s="290"/>
      <c r="I391" s="290"/>
      <c r="J391" s="290"/>
      <c r="K391" s="290"/>
      <c r="L391" s="290"/>
      <c r="M391" s="290"/>
      <c r="N391" s="290"/>
      <c r="O391" s="290"/>
      <c r="P391" s="153"/>
      <c r="Q391" s="262"/>
      <c r="R391" s="263"/>
      <c r="S391" s="386"/>
      <c r="T391" s="357"/>
      <c r="U391" s="357"/>
      <c r="W391" s="387"/>
      <c r="X391" s="357"/>
      <c r="Z391" s="387"/>
      <c r="AA391" s="357"/>
      <c r="AC391" s="387"/>
      <c r="AD391" s="357"/>
      <c r="AF391" s="387"/>
      <c r="AG391" s="357"/>
      <c r="AI391" s="387"/>
      <c r="AJ391" s="357"/>
      <c r="AL391" s="387"/>
      <c r="AM391" s="357"/>
    </row>
    <row r="392" spans="1:39" s="264" customFormat="1" ht="73.5" customHeight="1" x14ac:dyDescent="0.2">
      <c r="A392" s="283" t="s">
        <v>69</v>
      </c>
      <c r="B392" s="206" t="s">
        <v>138</v>
      </c>
      <c r="C392" s="290">
        <f>(W392+X392)*$C$3</f>
        <v>0</v>
      </c>
      <c r="D392" s="290">
        <f>C392*$Q392</f>
        <v>0</v>
      </c>
      <c r="E392" s="290">
        <f>(Z392+AA392)*$E$3</f>
        <v>0</v>
      </c>
      <c r="F392" s="290">
        <f>E392*$Q392</f>
        <v>0</v>
      </c>
      <c r="G392" s="290">
        <f>(AC392+AD392)*$G$3</f>
        <v>0</v>
      </c>
      <c r="H392" s="290">
        <f>G392*$Q392</f>
        <v>0</v>
      </c>
      <c r="I392" s="290">
        <f>(AF392+AG392)*$I$3</f>
        <v>0</v>
      </c>
      <c r="J392" s="290">
        <f>I392*$Q392</f>
        <v>0</v>
      </c>
      <c r="K392" s="290">
        <f>(AI392+AJ392)*$K$3</f>
        <v>0</v>
      </c>
      <c r="L392" s="290">
        <f>K392*$Q392</f>
        <v>0</v>
      </c>
      <c r="M392" s="290">
        <f>(AL392+AM392)*$M$3</f>
        <v>0</v>
      </c>
      <c r="N392" s="290">
        <f>M392*$Q392</f>
        <v>0</v>
      </c>
      <c r="O392" s="290">
        <f>C392+E392+G392+I392+K392+M392</f>
        <v>0</v>
      </c>
      <c r="P392" s="153" t="s">
        <v>5</v>
      </c>
      <c r="Q392" s="262"/>
      <c r="R392" s="263"/>
      <c r="S392" s="386"/>
      <c r="T392" s="339"/>
      <c r="U392" s="266">
        <v>0</v>
      </c>
      <c r="W392" s="268">
        <f>T392*$W$3</f>
        <v>0</v>
      </c>
      <c r="X392" s="266">
        <f>U392*$X$3</f>
        <v>0</v>
      </c>
      <c r="Y392" s="267"/>
      <c r="Z392" s="268">
        <f>W392</f>
        <v>0</v>
      </c>
      <c r="AA392" s="266">
        <f>U392*$AA$3</f>
        <v>0</v>
      </c>
      <c r="AB392" s="267"/>
      <c r="AC392" s="268">
        <f>W392</f>
        <v>0</v>
      </c>
      <c r="AD392" s="266">
        <f>U392*$AD$3</f>
        <v>0</v>
      </c>
      <c r="AE392" s="267"/>
      <c r="AF392" s="268">
        <f>W392</f>
        <v>0</v>
      </c>
      <c r="AG392" s="266">
        <f>U392*$AG$3</f>
        <v>0</v>
      </c>
      <c r="AH392" s="267"/>
      <c r="AI392" s="268">
        <f>W392</f>
        <v>0</v>
      </c>
      <c r="AJ392" s="266">
        <f>U392*$AJ$3</f>
        <v>0</v>
      </c>
      <c r="AK392" s="267"/>
      <c r="AL392" s="268">
        <f>W392</f>
        <v>0</v>
      </c>
      <c r="AM392" s="266">
        <f>U392*$AM$3</f>
        <v>0</v>
      </c>
    </row>
    <row r="393" spans="1:39" s="264" customFormat="1" x14ac:dyDescent="0.2">
      <c r="A393" s="283"/>
      <c r="B393" s="206"/>
      <c r="C393" s="290"/>
      <c r="D393" s="290"/>
      <c r="E393" s="290"/>
      <c r="F393" s="290"/>
      <c r="G393" s="290"/>
      <c r="H393" s="290"/>
      <c r="I393" s="290"/>
      <c r="J393" s="290"/>
      <c r="K393" s="290"/>
      <c r="L393" s="290"/>
      <c r="M393" s="290"/>
      <c r="N393" s="290"/>
      <c r="O393" s="290"/>
      <c r="P393" s="153"/>
      <c r="Q393" s="262"/>
      <c r="R393" s="263"/>
      <c r="S393" s="386"/>
      <c r="T393" s="357"/>
      <c r="U393" s="357"/>
      <c r="W393" s="387"/>
      <c r="X393" s="357"/>
      <c r="Z393" s="387"/>
      <c r="AA393" s="357"/>
      <c r="AC393" s="387"/>
      <c r="AD393" s="357"/>
      <c r="AF393" s="387"/>
      <c r="AG393" s="357"/>
      <c r="AI393" s="387"/>
      <c r="AJ393" s="357"/>
      <c r="AL393" s="387"/>
      <c r="AM393" s="357"/>
    </row>
    <row r="394" spans="1:39" s="264" customFormat="1" ht="42.75" x14ac:dyDescent="0.2">
      <c r="A394" s="283" t="s">
        <v>70</v>
      </c>
      <c r="B394" s="206" t="s">
        <v>139</v>
      </c>
      <c r="C394" s="290">
        <f>(W394+X394)*$C$3</f>
        <v>0</v>
      </c>
      <c r="D394" s="290">
        <f>C394*$Q394</f>
        <v>0</v>
      </c>
      <c r="E394" s="290">
        <f>(Z394+AA394)*$E$3</f>
        <v>0</v>
      </c>
      <c r="F394" s="290">
        <f>E394*$Q394</f>
        <v>0</v>
      </c>
      <c r="G394" s="290">
        <f>(AC394+AD394)*$G$3</f>
        <v>0</v>
      </c>
      <c r="H394" s="290">
        <f>G394*$Q394</f>
        <v>0</v>
      </c>
      <c r="I394" s="290">
        <f>(AF394+AG394)*$I$3</f>
        <v>0</v>
      </c>
      <c r="J394" s="290">
        <f>I394*$Q394</f>
        <v>0</v>
      </c>
      <c r="K394" s="290">
        <f>(AI394+AJ394)*$K$3</f>
        <v>0</v>
      </c>
      <c r="L394" s="290">
        <f>K394*$Q394</f>
        <v>0</v>
      </c>
      <c r="M394" s="290">
        <f>(AL394+AM394)*$M$3</f>
        <v>0</v>
      </c>
      <c r="N394" s="290">
        <f>M394*$Q394</f>
        <v>0</v>
      </c>
      <c r="O394" s="290">
        <f>C394+E394+G394+I394+K394+M394</f>
        <v>0</v>
      </c>
      <c r="P394" s="153" t="s">
        <v>5</v>
      </c>
      <c r="Q394" s="262"/>
      <c r="R394" s="263"/>
      <c r="S394" s="386"/>
      <c r="T394" s="339"/>
      <c r="U394" s="266">
        <v>0</v>
      </c>
      <c r="W394" s="268">
        <f>T394*$W$3</f>
        <v>0</v>
      </c>
      <c r="X394" s="266">
        <f>U394*$X$3</f>
        <v>0</v>
      </c>
      <c r="Y394" s="267"/>
      <c r="Z394" s="268">
        <f>W394</f>
        <v>0</v>
      </c>
      <c r="AA394" s="266">
        <f>U394*$AA$3</f>
        <v>0</v>
      </c>
      <c r="AB394" s="267"/>
      <c r="AC394" s="268">
        <f>W394</f>
        <v>0</v>
      </c>
      <c r="AD394" s="266">
        <f>U394*$AD$3</f>
        <v>0</v>
      </c>
      <c r="AE394" s="267"/>
      <c r="AF394" s="268">
        <f>W394</f>
        <v>0</v>
      </c>
      <c r="AG394" s="266">
        <f>U394*$AG$3</f>
        <v>0</v>
      </c>
      <c r="AH394" s="267"/>
      <c r="AI394" s="268">
        <f>W394</f>
        <v>0</v>
      </c>
      <c r="AJ394" s="266">
        <f>U394*$AJ$3</f>
        <v>0</v>
      </c>
      <c r="AK394" s="267"/>
      <c r="AL394" s="268">
        <f>W394</f>
        <v>0</v>
      </c>
      <c r="AM394" s="266">
        <f>U394*$AM$3</f>
        <v>0</v>
      </c>
    </row>
    <row r="395" spans="1:39" s="264" customFormat="1" x14ac:dyDescent="0.2">
      <c r="A395" s="283"/>
      <c r="B395" s="206"/>
      <c r="C395" s="290"/>
      <c r="D395" s="290"/>
      <c r="E395" s="290"/>
      <c r="F395" s="290"/>
      <c r="G395" s="290"/>
      <c r="H395" s="290"/>
      <c r="I395" s="290"/>
      <c r="J395" s="290"/>
      <c r="K395" s="290"/>
      <c r="L395" s="290"/>
      <c r="M395" s="290"/>
      <c r="N395" s="290"/>
      <c r="O395" s="290"/>
      <c r="P395" s="153"/>
      <c r="Q395" s="262"/>
      <c r="R395" s="263"/>
      <c r="S395" s="386"/>
      <c r="T395" s="357"/>
      <c r="U395" s="357"/>
      <c r="W395" s="387"/>
      <c r="X395" s="357"/>
      <c r="Z395" s="387"/>
      <c r="AA395" s="357"/>
      <c r="AC395" s="387"/>
      <c r="AD395" s="357"/>
      <c r="AF395" s="387"/>
      <c r="AG395" s="357"/>
      <c r="AI395" s="387"/>
      <c r="AJ395" s="357"/>
      <c r="AL395" s="387"/>
      <c r="AM395" s="357"/>
    </row>
    <row r="396" spans="1:39" s="264" customFormat="1" x14ac:dyDescent="0.2">
      <c r="A396" s="283" t="s">
        <v>71</v>
      </c>
      <c r="B396" s="206" t="s">
        <v>140</v>
      </c>
      <c r="C396" s="290">
        <f>(W396+X396)*$C$3</f>
        <v>0</v>
      </c>
      <c r="D396" s="290">
        <f>C396*$Q396</f>
        <v>0</v>
      </c>
      <c r="E396" s="290">
        <f>(Z396+AA396)*$E$3</f>
        <v>0</v>
      </c>
      <c r="F396" s="290">
        <f>E396*$Q396</f>
        <v>0</v>
      </c>
      <c r="G396" s="290">
        <f>(AC396+AD396)*$G$3</f>
        <v>0</v>
      </c>
      <c r="H396" s="290">
        <f>G396*$Q396</f>
        <v>0</v>
      </c>
      <c r="I396" s="290">
        <f>(AF396+AG396)*$I$3</f>
        <v>0</v>
      </c>
      <c r="J396" s="290">
        <f>I396*$Q396</f>
        <v>0</v>
      </c>
      <c r="K396" s="290">
        <f>(AI396+AJ396)*$K$3</f>
        <v>0</v>
      </c>
      <c r="L396" s="290">
        <f>K396*$Q396</f>
        <v>0</v>
      </c>
      <c r="M396" s="290">
        <f>(AL396+AM396)*$M$3</f>
        <v>0</v>
      </c>
      <c r="N396" s="290">
        <f>M396*$Q396</f>
        <v>0</v>
      </c>
      <c r="O396" s="290">
        <f>C396+E396+G396+I396+K396+M396</f>
        <v>0</v>
      </c>
      <c r="P396" s="153" t="s">
        <v>5</v>
      </c>
      <c r="Q396" s="262"/>
      <c r="R396" s="263"/>
      <c r="S396" s="386"/>
      <c r="T396" s="339"/>
      <c r="U396" s="266">
        <v>0</v>
      </c>
      <c r="W396" s="268">
        <f>T396*$W$3</f>
        <v>0</v>
      </c>
      <c r="X396" s="266">
        <f>U396*$X$3</f>
        <v>0</v>
      </c>
      <c r="Y396" s="267"/>
      <c r="Z396" s="268">
        <f>W396</f>
        <v>0</v>
      </c>
      <c r="AA396" s="266">
        <f>U396*$AA$3</f>
        <v>0</v>
      </c>
      <c r="AB396" s="267"/>
      <c r="AC396" s="268">
        <f>W396</f>
        <v>0</v>
      </c>
      <c r="AD396" s="266">
        <f>U396*$AD$3</f>
        <v>0</v>
      </c>
      <c r="AE396" s="267"/>
      <c r="AF396" s="268">
        <f>W396</f>
        <v>0</v>
      </c>
      <c r="AG396" s="266">
        <f>U396*$AG$3</f>
        <v>0</v>
      </c>
      <c r="AH396" s="267"/>
      <c r="AI396" s="268">
        <f>W396</f>
        <v>0</v>
      </c>
      <c r="AJ396" s="266">
        <f>U396*$AJ$3</f>
        <v>0</v>
      </c>
      <c r="AK396" s="267"/>
      <c r="AL396" s="268">
        <f>W396</f>
        <v>0</v>
      </c>
      <c r="AM396" s="266">
        <f>U396*$AM$3</f>
        <v>0</v>
      </c>
    </row>
    <row r="397" spans="1:39" s="264" customFormat="1" x14ac:dyDescent="0.2">
      <c r="A397" s="308"/>
      <c r="B397" s="259"/>
      <c r="C397" s="290"/>
      <c r="D397" s="290"/>
      <c r="E397" s="290"/>
      <c r="F397" s="290"/>
      <c r="G397" s="290"/>
      <c r="H397" s="290"/>
      <c r="I397" s="290"/>
      <c r="J397" s="290"/>
      <c r="K397" s="290"/>
      <c r="L397" s="290"/>
      <c r="M397" s="290"/>
      <c r="N397" s="290"/>
      <c r="O397" s="290"/>
      <c r="P397" s="261"/>
      <c r="Q397" s="262"/>
      <c r="R397" s="263"/>
      <c r="S397" s="386"/>
      <c r="T397" s="357"/>
      <c r="U397" s="357"/>
      <c r="W397" s="387"/>
      <c r="X397" s="357"/>
      <c r="Z397" s="387"/>
      <c r="AA397" s="357"/>
      <c r="AC397" s="387"/>
      <c r="AD397" s="357"/>
      <c r="AF397" s="387"/>
      <c r="AG397" s="357"/>
      <c r="AI397" s="387"/>
      <c r="AJ397" s="357"/>
      <c r="AL397" s="387"/>
      <c r="AM397" s="357"/>
    </row>
    <row r="398" spans="1:39" s="264" customFormat="1" ht="42.75" x14ac:dyDescent="0.2">
      <c r="A398" s="283" t="s">
        <v>72</v>
      </c>
      <c r="B398" s="206" t="s">
        <v>141</v>
      </c>
      <c r="C398" s="290">
        <f>(W398+X398)*$C$3</f>
        <v>0</v>
      </c>
      <c r="D398" s="290">
        <f>C398*$Q398</f>
        <v>0</v>
      </c>
      <c r="E398" s="290">
        <f>(Z398+AA398)*$E$3</f>
        <v>0</v>
      </c>
      <c r="F398" s="290">
        <f>E398*$Q398</f>
        <v>0</v>
      </c>
      <c r="G398" s="290">
        <f>(AC398+AD398)*$G$3</f>
        <v>0</v>
      </c>
      <c r="H398" s="290">
        <f>G398*$Q398</f>
        <v>0</v>
      </c>
      <c r="I398" s="290">
        <f>(AF398+AG398)*$I$3</f>
        <v>0</v>
      </c>
      <c r="J398" s="290">
        <f>I398*$Q398</f>
        <v>0</v>
      </c>
      <c r="K398" s="290">
        <f>(AI398+AJ398)*$K$3</f>
        <v>0</v>
      </c>
      <c r="L398" s="290">
        <f>K398*$Q398</f>
        <v>0</v>
      </c>
      <c r="M398" s="290">
        <f>(AL398+AM398)*$M$3</f>
        <v>0</v>
      </c>
      <c r="N398" s="290">
        <f>M398*$Q398</f>
        <v>0</v>
      </c>
      <c r="O398" s="290">
        <f>C398+E398+G398+I398+K398+M398</f>
        <v>0</v>
      </c>
      <c r="P398" s="153" t="s">
        <v>5</v>
      </c>
      <c r="Q398" s="262"/>
      <c r="R398" s="263"/>
      <c r="S398" s="386"/>
      <c r="T398" s="357"/>
      <c r="U398" s="266">
        <v>0</v>
      </c>
      <c r="W398" s="268">
        <f>T398*$W$3</f>
        <v>0</v>
      </c>
      <c r="X398" s="266">
        <f>U398*$X$3</f>
        <v>0</v>
      </c>
      <c r="Y398" s="267"/>
      <c r="Z398" s="268">
        <f>W398</f>
        <v>0</v>
      </c>
      <c r="AA398" s="266">
        <f>U398*$AA$3</f>
        <v>0</v>
      </c>
      <c r="AB398" s="267"/>
      <c r="AC398" s="268">
        <f>W398</f>
        <v>0</v>
      </c>
      <c r="AD398" s="266">
        <f>U398*$AD$3</f>
        <v>0</v>
      </c>
      <c r="AE398" s="267"/>
      <c r="AF398" s="268">
        <f>W398</f>
        <v>0</v>
      </c>
      <c r="AG398" s="266">
        <f>U398*$AG$3</f>
        <v>0</v>
      </c>
      <c r="AH398" s="267"/>
      <c r="AI398" s="268">
        <f>W398</f>
        <v>0</v>
      </c>
      <c r="AJ398" s="266">
        <f>U398*$AJ$3</f>
        <v>0</v>
      </c>
      <c r="AK398" s="267"/>
      <c r="AL398" s="268">
        <f>W398</f>
        <v>0</v>
      </c>
      <c r="AM398" s="266">
        <f>U398*$AM$3</f>
        <v>0</v>
      </c>
    </row>
    <row r="399" spans="1:39" s="264" customFormat="1" x14ac:dyDescent="0.2">
      <c r="A399" s="308"/>
      <c r="B399" s="259"/>
      <c r="C399" s="290"/>
      <c r="D399" s="290"/>
      <c r="E399" s="290"/>
      <c r="F399" s="290"/>
      <c r="G399" s="290"/>
      <c r="H399" s="290"/>
      <c r="I399" s="290"/>
      <c r="J399" s="290"/>
      <c r="K399" s="290"/>
      <c r="L399" s="290"/>
      <c r="M399" s="290"/>
      <c r="N399" s="290"/>
      <c r="O399" s="290"/>
      <c r="P399" s="261"/>
      <c r="Q399" s="262"/>
      <c r="R399" s="263"/>
      <c r="S399" s="386"/>
      <c r="T399" s="357"/>
      <c r="U399" s="357"/>
      <c r="W399" s="387"/>
      <c r="X399" s="357"/>
      <c r="Z399" s="387"/>
      <c r="AA399" s="357"/>
      <c r="AC399" s="387"/>
      <c r="AD399" s="357"/>
      <c r="AF399" s="387"/>
      <c r="AG399" s="357"/>
      <c r="AI399" s="387"/>
      <c r="AJ399" s="357"/>
      <c r="AL399" s="387"/>
      <c r="AM399" s="357"/>
    </row>
    <row r="400" spans="1:39" s="264" customFormat="1" x14ac:dyDescent="0.2">
      <c r="A400" s="283"/>
      <c r="B400" s="202" t="s">
        <v>142</v>
      </c>
      <c r="C400" s="290"/>
      <c r="D400" s="290"/>
      <c r="E400" s="290"/>
      <c r="F400" s="290"/>
      <c r="G400" s="290"/>
      <c r="H400" s="290"/>
      <c r="I400" s="290"/>
      <c r="J400" s="290"/>
      <c r="K400" s="290"/>
      <c r="L400" s="290"/>
      <c r="M400" s="290"/>
      <c r="N400" s="290"/>
      <c r="O400" s="290"/>
      <c r="P400" s="261"/>
      <c r="Q400" s="262"/>
      <c r="R400" s="263"/>
      <c r="S400" s="386"/>
      <c r="T400" s="357"/>
      <c r="U400" s="357"/>
      <c r="W400" s="387"/>
      <c r="X400" s="357"/>
      <c r="Z400" s="387"/>
      <c r="AA400" s="357"/>
      <c r="AC400" s="387"/>
      <c r="AD400" s="357"/>
      <c r="AF400" s="387"/>
      <c r="AG400" s="357"/>
      <c r="AI400" s="387"/>
      <c r="AJ400" s="357"/>
      <c r="AL400" s="387"/>
      <c r="AM400" s="357"/>
    </row>
    <row r="401" spans="1:39" s="264" customFormat="1" x14ac:dyDescent="0.2">
      <c r="A401" s="283"/>
      <c r="B401" s="202"/>
      <c r="C401" s="290"/>
      <c r="D401" s="290"/>
      <c r="E401" s="290"/>
      <c r="F401" s="290"/>
      <c r="G401" s="290"/>
      <c r="H401" s="290"/>
      <c r="I401" s="290"/>
      <c r="J401" s="290"/>
      <c r="K401" s="290"/>
      <c r="L401" s="290"/>
      <c r="M401" s="290"/>
      <c r="N401" s="290"/>
      <c r="O401" s="290"/>
      <c r="P401" s="261"/>
      <c r="Q401" s="262"/>
      <c r="R401" s="263"/>
      <c r="S401" s="386"/>
      <c r="T401" s="357"/>
      <c r="U401" s="357"/>
      <c r="W401" s="387"/>
      <c r="X401" s="357"/>
      <c r="Z401" s="387"/>
      <c r="AA401" s="357"/>
      <c r="AC401" s="387"/>
      <c r="AD401" s="357"/>
      <c r="AF401" s="387"/>
      <c r="AG401" s="357"/>
      <c r="AI401" s="387"/>
      <c r="AJ401" s="357"/>
      <c r="AL401" s="387"/>
      <c r="AM401" s="357"/>
    </row>
    <row r="402" spans="1:39" s="264" customFormat="1" ht="28.5" x14ac:dyDescent="0.2">
      <c r="A402" s="283" t="s">
        <v>73</v>
      </c>
      <c r="B402" s="206" t="s">
        <v>143</v>
      </c>
      <c r="C402" s="290">
        <f>(W402+X402)*$C$3</f>
        <v>0</v>
      </c>
      <c r="D402" s="290">
        <f>C402*$Q402</f>
        <v>0</v>
      </c>
      <c r="E402" s="290">
        <f>(Z402+AA402)*$E$3</f>
        <v>0</v>
      </c>
      <c r="F402" s="290">
        <f>E402*$Q402</f>
        <v>0</v>
      </c>
      <c r="G402" s="290">
        <f>(AC402+AD402)*$G$3</f>
        <v>0</v>
      </c>
      <c r="H402" s="290">
        <f>G402*$Q402</f>
        <v>0</v>
      </c>
      <c r="I402" s="290">
        <f>(AF402+AG402)*$I$3</f>
        <v>0</v>
      </c>
      <c r="J402" s="290">
        <f>I402*$Q402</f>
        <v>0</v>
      </c>
      <c r="K402" s="290">
        <f>(AI402+AJ402)*$K$3</f>
        <v>0</v>
      </c>
      <c r="L402" s="290">
        <f>K402*$Q402</f>
        <v>0</v>
      </c>
      <c r="M402" s="290">
        <f>(AL402+AM402)*$M$3</f>
        <v>0</v>
      </c>
      <c r="N402" s="290">
        <f>M402*$Q402</f>
        <v>0</v>
      </c>
      <c r="O402" s="290">
        <f>C402+E402+G402+I402+K402+M402</f>
        <v>0</v>
      </c>
      <c r="P402" s="153" t="s">
        <v>5</v>
      </c>
      <c r="Q402" s="262"/>
      <c r="R402" s="263"/>
      <c r="S402" s="386"/>
      <c r="T402" s="357"/>
      <c r="U402" s="266">
        <v>0</v>
      </c>
      <c r="W402" s="268">
        <f>T402*$W$3</f>
        <v>0</v>
      </c>
      <c r="X402" s="266">
        <f>U402*$X$3</f>
        <v>0</v>
      </c>
      <c r="Y402" s="267"/>
      <c r="Z402" s="268">
        <f>W402</f>
        <v>0</v>
      </c>
      <c r="AA402" s="266">
        <f>U402*$AA$3</f>
        <v>0</v>
      </c>
      <c r="AB402" s="267"/>
      <c r="AC402" s="268">
        <f>W402</f>
        <v>0</v>
      </c>
      <c r="AD402" s="266">
        <f>U402*$AD$3</f>
        <v>0</v>
      </c>
      <c r="AE402" s="267"/>
      <c r="AF402" s="268">
        <f>W402</f>
        <v>0</v>
      </c>
      <c r="AG402" s="266">
        <f>U402*$AG$3</f>
        <v>0</v>
      </c>
      <c r="AH402" s="267"/>
      <c r="AI402" s="268">
        <f>W402</f>
        <v>0</v>
      </c>
      <c r="AJ402" s="266">
        <f>U402*$AJ$3</f>
        <v>0</v>
      </c>
      <c r="AK402" s="267"/>
      <c r="AL402" s="268">
        <f>W402</f>
        <v>0</v>
      </c>
      <c r="AM402" s="266">
        <f>U402*$AM$3</f>
        <v>0</v>
      </c>
    </row>
    <row r="403" spans="1:39" s="264" customFormat="1" x14ac:dyDescent="0.2">
      <c r="A403" s="283"/>
      <c r="B403" s="206"/>
      <c r="C403" s="290"/>
      <c r="D403" s="290"/>
      <c r="E403" s="290"/>
      <c r="F403" s="290"/>
      <c r="G403" s="290"/>
      <c r="H403" s="290"/>
      <c r="I403" s="290"/>
      <c r="J403" s="290"/>
      <c r="K403" s="290"/>
      <c r="L403" s="290"/>
      <c r="M403" s="290"/>
      <c r="N403" s="290"/>
      <c r="O403" s="290"/>
      <c r="P403" s="153"/>
      <c r="Q403" s="262"/>
      <c r="R403" s="263"/>
      <c r="S403" s="386"/>
      <c r="T403" s="357"/>
      <c r="U403" s="357"/>
      <c r="W403" s="387"/>
      <c r="X403" s="357"/>
      <c r="Z403" s="387"/>
      <c r="AA403" s="357"/>
      <c r="AC403" s="387"/>
      <c r="AD403" s="357"/>
      <c r="AF403" s="387"/>
      <c r="AG403" s="357"/>
      <c r="AI403" s="387"/>
      <c r="AJ403" s="357"/>
      <c r="AL403" s="387"/>
      <c r="AM403" s="357"/>
    </row>
    <row r="404" spans="1:39" s="264" customFormat="1" ht="28.5" customHeight="1" x14ac:dyDescent="0.2">
      <c r="A404" s="283" t="s">
        <v>74</v>
      </c>
      <c r="B404" s="206" t="s">
        <v>144</v>
      </c>
      <c r="C404" s="290">
        <f>(W404+X404)*$C$3</f>
        <v>0</v>
      </c>
      <c r="D404" s="290">
        <f>C404*$Q404</f>
        <v>0</v>
      </c>
      <c r="E404" s="290">
        <f>(Z404+AA404)*$E$3</f>
        <v>0</v>
      </c>
      <c r="F404" s="290">
        <f>E404*$Q404</f>
        <v>0</v>
      </c>
      <c r="G404" s="290">
        <f>(AC404+AD404)*$G$3</f>
        <v>0</v>
      </c>
      <c r="H404" s="290">
        <f>G404*$Q404</f>
        <v>0</v>
      </c>
      <c r="I404" s="290">
        <f>(AF404+AG404)*$I$3</f>
        <v>0</v>
      </c>
      <c r="J404" s="290">
        <f>I404*$Q404</f>
        <v>0</v>
      </c>
      <c r="K404" s="290">
        <f>(AI404+AJ404)*$K$3</f>
        <v>0</v>
      </c>
      <c r="L404" s="290">
        <f>K404*$Q404</f>
        <v>0</v>
      </c>
      <c r="M404" s="290">
        <f>(AL404+AM404)*$M$3</f>
        <v>0</v>
      </c>
      <c r="N404" s="290">
        <f>M404*$Q404</f>
        <v>0</v>
      </c>
      <c r="O404" s="290">
        <f>C404+E404+G404+I404+K404+M404</f>
        <v>0</v>
      </c>
      <c r="P404" s="153" t="s">
        <v>5</v>
      </c>
      <c r="Q404" s="262"/>
      <c r="R404" s="263"/>
      <c r="S404" s="386"/>
      <c r="T404" s="357"/>
      <c r="U404" s="266">
        <v>0</v>
      </c>
      <c r="W404" s="268">
        <f>T404*$W$3</f>
        <v>0</v>
      </c>
      <c r="X404" s="266">
        <f>U404*$X$3</f>
        <v>0</v>
      </c>
      <c r="Y404" s="267"/>
      <c r="Z404" s="268">
        <f>W404</f>
        <v>0</v>
      </c>
      <c r="AA404" s="266">
        <f>U404*$AA$3</f>
        <v>0</v>
      </c>
      <c r="AB404" s="267"/>
      <c r="AC404" s="268">
        <f>W404</f>
        <v>0</v>
      </c>
      <c r="AD404" s="266">
        <f>U404*$AD$3</f>
        <v>0</v>
      </c>
      <c r="AE404" s="267"/>
      <c r="AF404" s="268">
        <f>W404</f>
        <v>0</v>
      </c>
      <c r="AG404" s="266">
        <f>U404*$AG$3</f>
        <v>0</v>
      </c>
      <c r="AH404" s="267"/>
      <c r="AI404" s="268">
        <f>W404</f>
        <v>0</v>
      </c>
      <c r="AJ404" s="266">
        <f>U404*$AJ$3</f>
        <v>0</v>
      </c>
      <c r="AK404" s="267"/>
      <c r="AL404" s="268">
        <f>W404</f>
        <v>0</v>
      </c>
      <c r="AM404" s="266">
        <f>U404*$AM$3</f>
        <v>0</v>
      </c>
    </row>
    <row r="405" spans="1:39" s="264" customFormat="1" x14ac:dyDescent="0.2">
      <c r="A405" s="283"/>
      <c r="B405" s="206"/>
      <c r="C405" s="290"/>
      <c r="D405" s="290"/>
      <c r="E405" s="290"/>
      <c r="F405" s="290"/>
      <c r="G405" s="290"/>
      <c r="H405" s="290"/>
      <c r="I405" s="290"/>
      <c r="J405" s="290"/>
      <c r="K405" s="290"/>
      <c r="L405" s="290"/>
      <c r="M405" s="290"/>
      <c r="N405" s="290"/>
      <c r="O405" s="290"/>
      <c r="P405" s="153"/>
      <c r="Q405" s="262"/>
      <c r="R405" s="263"/>
      <c r="S405" s="386"/>
      <c r="T405" s="357"/>
      <c r="U405" s="357"/>
      <c r="W405" s="387"/>
      <c r="X405" s="357"/>
      <c r="Z405" s="387"/>
      <c r="AA405" s="357"/>
      <c r="AC405" s="387"/>
      <c r="AD405" s="357"/>
      <c r="AF405" s="387"/>
      <c r="AG405" s="357"/>
      <c r="AI405" s="387"/>
      <c r="AJ405" s="357"/>
      <c r="AL405" s="387"/>
      <c r="AM405" s="357"/>
    </row>
    <row r="406" spans="1:39" s="264" customFormat="1" ht="28.5" x14ac:dyDescent="0.2">
      <c r="A406" s="283" t="s">
        <v>75</v>
      </c>
      <c r="B406" s="206" t="s">
        <v>145</v>
      </c>
      <c r="C406" s="290">
        <f>(W406+X406)*$C$3</f>
        <v>0</v>
      </c>
      <c r="D406" s="290">
        <f>C406*$Q406</f>
        <v>0</v>
      </c>
      <c r="E406" s="290">
        <f>(Z406+AA406)*$E$3</f>
        <v>0</v>
      </c>
      <c r="F406" s="290">
        <f>E406*$Q406</f>
        <v>0</v>
      </c>
      <c r="G406" s="290">
        <f>(AC406+AD406)*$G$3</f>
        <v>0</v>
      </c>
      <c r="H406" s="290">
        <f>G406*$Q406</f>
        <v>0</v>
      </c>
      <c r="I406" s="290">
        <f>(AF406+AG406)*$I$3</f>
        <v>0</v>
      </c>
      <c r="J406" s="290">
        <f>I406*$Q406</f>
        <v>0</v>
      </c>
      <c r="K406" s="290">
        <f>(AI406+AJ406)*$K$3</f>
        <v>0</v>
      </c>
      <c r="L406" s="290">
        <f>K406*$Q406</f>
        <v>0</v>
      </c>
      <c r="M406" s="290">
        <f>(AL406+AM406)*$M$3</f>
        <v>0</v>
      </c>
      <c r="N406" s="290">
        <f>M406*$Q406</f>
        <v>0</v>
      </c>
      <c r="O406" s="290">
        <f>C406+E406+G406+I406+K406+M406</f>
        <v>0</v>
      </c>
      <c r="P406" s="153" t="s">
        <v>5</v>
      </c>
      <c r="Q406" s="262"/>
      <c r="R406" s="263"/>
      <c r="S406" s="386"/>
      <c r="T406" s="339"/>
      <c r="U406" s="266">
        <v>0</v>
      </c>
      <c r="W406" s="268">
        <f>T406*$W$3</f>
        <v>0</v>
      </c>
      <c r="X406" s="266">
        <f>U406*$X$3</f>
        <v>0</v>
      </c>
      <c r="Y406" s="267"/>
      <c r="Z406" s="268">
        <f>W406</f>
        <v>0</v>
      </c>
      <c r="AA406" s="266">
        <f>U406*$AA$3</f>
        <v>0</v>
      </c>
      <c r="AB406" s="267"/>
      <c r="AC406" s="268">
        <f>W406</f>
        <v>0</v>
      </c>
      <c r="AD406" s="266">
        <f>U406*$AD$3</f>
        <v>0</v>
      </c>
      <c r="AE406" s="267"/>
      <c r="AF406" s="268">
        <f>W406</f>
        <v>0</v>
      </c>
      <c r="AG406" s="266">
        <f>U406*$AG$3</f>
        <v>0</v>
      </c>
      <c r="AH406" s="267"/>
      <c r="AI406" s="268">
        <f>W406</f>
        <v>0</v>
      </c>
      <c r="AJ406" s="266">
        <f>U406*$AJ$3</f>
        <v>0</v>
      </c>
      <c r="AK406" s="267"/>
      <c r="AL406" s="268">
        <f>W406</f>
        <v>0</v>
      </c>
      <c r="AM406" s="266">
        <f>U406*$AM$3</f>
        <v>0</v>
      </c>
    </row>
    <row r="407" spans="1:39" s="264" customFormat="1" x14ac:dyDescent="0.2">
      <c r="A407" s="283"/>
      <c r="B407" s="206"/>
      <c r="C407" s="290"/>
      <c r="D407" s="290"/>
      <c r="E407" s="290"/>
      <c r="F407" s="290"/>
      <c r="G407" s="290"/>
      <c r="H407" s="290"/>
      <c r="I407" s="290"/>
      <c r="J407" s="290"/>
      <c r="K407" s="290"/>
      <c r="L407" s="290"/>
      <c r="M407" s="290"/>
      <c r="N407" s="290"/>
      <c r="O407" s="290"/>
      <c r="P407" s="261"/>
      <c r="Q407" s="262"/>
      <c r="R407" s="263"/>
      <c r="S407" s="386"/>
      <c r="T407" s="357"/>
      <c r="U407" s="357"/>
      <c r="W407" s="387"/>
      <c r="X407" s="357"/>
      <c r="Z407" s="387"/>
      <c r="AA407" s="357"/>
      <c r="AC407" s="387"/>
      <c r="AD407" s="357"/>
      <c r="AF407" s="387"/>
      <c r="AG407" s="357"/>
      <c r="AI407" s="387"/>
      <c r="AJ407" s="357"/>
      <c r="AL407" s="387"/>
      <c r="AM407" s="357"/>
    </row>
    <row r="408" spans="1:39" s="264" customFormat="1" ht="28.5" customHeight="1" x14ac:dyDescent="0.2">
      <c r="A408" s="283" t="s">
        <v>76</v>
      </c>
      <c r="B408" s="206" t="s">
        <v>146</v>
      </c>
      <c r="C408" s="290">
        <f>(W408+X408)*$C$3</f>
        <v>0</v>
      </c>
      <c r="D408" s="290">
        <f>C408*$Q408</f>
        <v>0</v>
      </c>
      <c r="E408" s="290">
        <f>(Z408+AA408)*$E$3</f>
        <v>0</v>
      </c>
      <c r="F408" s="290">
        <f>E408*$Q408</f>
        <v>0</v>
      </c>
      <c r="G408" s="290">
        <f>(AC408+AD408)*$G$3</f>
        <v>0</v>
      </c>
      <c r="H408" s="290">
        <f>G408*$Q408</f>
        <v>0</v>
      </c>
      <c r="I408" s="290">
        <f>(AF408+AG408)*$I$3</f>
        <v>0</v>
      </c>
      <c r="J408" s="290">
        <f>I408*$Q408</f>
        <v>0</v>
      </c>
      <c r="K408" s="290">
        <f>(AI408+AJ408)*$K$3</f>
        <v>0</v>
      </c>
      <c r="L408" s="290">
        <f>K408*$Q408</f>
        <v>0</v>
      </c>
      <c r="M408" s="290">
        <f>(AL408+AM408)*$M$3</f>
        <v>0</v>
      </c>
      <c r="N408" s="290">
        <f>M408*$Q408</f>
        <v>0</v>
      </c>
      <c r="O408" s="290">
        <f>C408+E408+G408+I408+K408+M408</f>
        <v>0</v>
      </c>
      <c r="P408" s="153" t="s">
        <v>5</v>
      </c>
      <c r="Q408" s="262"/>
      <c r="R408" s="263"/>
      <c r="S408" s="386"/>
      <c r="T408" s="339"/>
      <c r="U408" s="266">
        <v>0</v>
      </c>
      <c r="W408" s="268">
        <f>T408*$W$3</f>
        <v>0</v>
      </c>
      <c r="X408" s="266">
        <f>U408*$X$3</f>
        <v>0</v>
      </c>
      <c r="Y408" s="267"/>
      <c r="Z408" s="268">
        <f>W408</f>
        <v>0</v>
      </c>
      <c r="AA408" s="266">
        <f>U408*$AA$3</f>
        <v>0</v>
      </c>
      <c r="AB408" s="267"/>
      <c r="AC408" s="268">
        <f>W408</f>
        <v>0</v>
      </c>
      <c r="AD408" s="266">
        <f>U408*$AD$3</f>
        <v>0</v>
      </c>
      <c r="AE408" s="267"/>
      <c r="AF408" s="268">
        <f>W408</f>
        <v>0</v>
      </c>
      <c r="AG408" s="266">
        <f>U408*$AG$3</f>
        <v>0</v>
      </c>
      <c r="AH408" s="267"/>
      <c r="AI408" s="268">
        <f>W408</f>
        <v>0</v>
      </c>
      <c r="AJ408" s="266">
        <f>U408*$AJ$3</f>
        <v>0</v>
      </c>
      <c r="AK408" s="267"/>
      <c r="AL408" s="268">
        <f>W408</f>
        <v>0</v>
      </c>
      <c r="AM408" s="266">
        <f>U408*$AM$3</f>
        <v>0</v>
      </c>
    </row>
    <row r="409" spans="1:39" s="264" customFormat="1" x14ac:dyDescent="0.2">
      <c r="A409" s="308"/>
      <c r="B409" s="259"/>
      <c r="C409" s="290"/>
      <c r="D409" s="290"/>
      <c r="E409" s="290"/>
      <c r="F409" s="290"/>
      <c r="G409" s="290"/>
      <c r="H409" s="290"/>
      <c r="I409" s="290"/>
      <c r="J409" s="290"/>
      <c r="K409" s="290"/>
      <c r="L409" s="290"/>
      <c r="M409" s="290"/>
      <c r="N409" s="290"/>
      <c r="O409" s="290"/>
      <c r="P409" s="261"/>
      <c r="Q409" s="262"/>
      <c r="R409" s="263"/>
      <c r="S409" s="386"/>
      <c r="T409" s="357"/>
      <c r="U409" s="357"/>
      <c r="W409" s="387"/>
      <c r="X409" s="357"/>
      <c r="Z409" s="387"/>
      <c r="AA409" s="357"/>
      <c r="AC409" s="387"/>
      <c r="AD409" s="357"/>
      <c r="AF409" s="387"/>
      <c r="AG409" s="357"/>
      <c r="AI409" s="387"/>
      <c r="AJ409" s="357"/>
      <c r="AL409" s="387"/>
      <c r="AM409" s="357"/>
    </row>
    <row r="410" spans="1:39" s="264" customFormat="1" x14ac:dyDescent="0.2">
      <c r="A410" s="308"/>
      <c r="B410" s="259"/>
      <c r="C410" s="290"/>
      <c r="D410" s="290"/>
      <c r="E410" s="290"/>
      <c r="F410" s="290"/>
      <c r="G410" s="290"/>
      <c r="H410" s="290"/>
      <c r="I410" s="290"/>
      <c r="J410" s="290"/>
      <c r="K410" s="290"/>
      <c r="L410" s="290"/>
      <c r="M410" s="290"/>
      <c r="N410" s="290"/>
      <c r="O410" s="290"/>
      <c r="P410" s="261"/>
      <c r="Q410" s="262"/>
      <c r="R410" s="263"/>
      <c r="S410" s="386"/>
      <c r="T410" s="357"/>
      <c r="U410" s="357"/>
      <c r="W410" s="387"/>
      <c r="X410" s="357"/>
      <c r="Z410" s="387"/>
      <c r="AA410" s="357"/>
      <c r="AC410" s="387"/>
      <c r="AD410" s="357"/>
      <c r="AF410" s="387"/>
      <c r="AG410" s="357"/>
      <c r="AI410" s="387"/>
      <c r="AJ410" s="357"/>
      <c r="AL410" s="387"/>
      <c r="AM410" s="357"/>
    </row>
    <row r="411" spans="1:39" s="264" customFormat="1" x14ac:dyDescent="0.2">
      <c r="A411" s="308"/>
      <c r="B411" s="259"/>
      <c r="C411" s="290"/>
      <c r="D411" s="290"/>
      <c r="E411" s="290"/>
      <c r="F411" s="290"/>
      <c r="G411" s="290"/>
      <c r="H411" s="290"/>
      <c r="I411" s="290"/>
      <c r="J411" s="290"/>
      <c r="K411" s="290"/>
      <c r="L411" s="290"/>
      <c r="M411" s="290"/>
      <c r="N411" s="290"/>
      <c r="O411" s="290"/>
      <c r="P411" s="261"/>
      <c r="Q411" s="262"/>
      <c r="R411" s="263"/>
      <c r="S411" s="386"/>
      <c r="T411" s="357"/>
      <c r="U411" s="357"/>
      <c r="W411" s="387"/>
      <c r="X411" s="357"/>
      <c r="Z411" s="387"/>
      <c r="AA411" s="357"/>
      <c r="AC411" s="387"/>
      <c r="AD411" s="357"/>
      <c r="AF411" s="387"/>
      <c r="AG411" s="357"/>
      <c r="AI411" s="387"/>
      <c r="AJ411" s="357"/>
      <c r="AL411" s="387"/>
      <c r="AM411" s="357"/>
    </row>
    <row r="412" spans="1:39" s="264" customFormat="1" x14ac:dyDescent="0.2">
      <c r="A412" s="308"/>
      <c r="B412" s="259"/>
      <c r="C412" s="290"/>
      <c r="D412" s="290"/>
      <c r="E412" s="290"/>
      <c r="F412" s="290"/>
      <c r="G412" s="290"/>
      <c r="H412" s="290"/>
      <c r="I412" s="290"/>
      <c r="J412" s="290"/>
      <c r="K412" s="290"/>
      <c r="L412" s="290"/>
      <c r="M412" s="290"/>
      <c r="N412" s="290"/>
      <c r="O412" s="290"/>
      <c r="P412" s="261"/>
      <c r="Q412" s="262"/>
      <c r="R412" s="263"/>
      <c r="S412" s="386"/>
      <c r="T412" s="357"/>
      <c r="U412" s="357"/>
      <c r="W412" s="387"/>
      <c r="X412" s="357"/>
      <c r="Z412" s="387"/>
      <c r="AA412" s="357"/>
      <c r="AC412" s="387"/>
      <c r="AD412" s="357"/>
      <c r="AF412" s="387"/>
      <c r="AG412" s="357"/>
      <c r="AI412" s="387"/>
      <c r="AJ412" s="357"/>
      <c r="AL412" s="387"/>
      <c r="AM412" s="357"/>
    </row>
    <row r="413" spans="1:39" s="264" customFormat="1" x14ac:dyDescent="0.2">
      <c r="A413" s="308"/>
      <c r="B413" s="259"/>
      <c r="C413" s="290"/>
      <c r="D413" s="290"/>
      <c r="E413" s="290"/>
      <c r="F413" s="290"/>
      <c r="G413" s="290"/>
      <c r="H413" s="290"/>
      <c r="I413" s="290"/>
      <c r="J413" s="290"/>
      <c r="K413" s="290"/>
      <c r="L413" s="290"/>
      <c r="M413" s="290"/>
      <c r="N413" s="290"/>
      <c r="O413" s="290"/>
      <c r="P413" s="261"/>
      <c r="Q413" s="262"/>
      <c r="R413" s="263"/>
      <c r="S413" s="386"/>
      <c r="T413" s="357"/>
      <c r="U413" s="357"/>
      <c r="W413" s="387"/>
      <c r="X413" s="357"/>
      <c r="Z413" s="387"/>
      <c r="AA413" s="357"/>
      <c r="AC413" s="387"/>
      <c r="AD413" s="357"/>
      <c r="AF413" s="387"/>
      <c r="AG413" s="357"/>
      <c r="AI413" s="387"/>
      <c r="AJ413" s="357"/>
      <c r="AL413" s="387"/>
      <c r="AM413" s="357"/>
    </row>
    <row r="414" spans="1:39" s="264" customFormat="1" x14ac:dyDescent="0.2">
      <c r="A414" s="308"/>
      <c r="B414" s="259"/>
      <c r="C414" s="290"/>
      <c r="D414" s="290"/>
      <c r="E414" s="290"/>
      <c r="F414" s="290"/>
      <c r="G414" s="290"/>
      <c r="H414" s="290"/>
      <c r="I414" s="290"/>
      <c r="J414" s="290"/>
      <c r="K414" s="290"/>
      <c r="L414" s="290"/>
      <c r="M414" s="290"/>
      <c r="N414" s="290"/>
      <c r="O414" s="290"/>
      <c r="P414" s="261"/>
      <c r="Q414" s="262"/>
      <c r="R414" s="263"/>
      <c r="S414" s="386"/>
      <c r="T414" s="357"/>
      <c r="U414" s="357"/>
      <c r="W414" s="387"/>
      <c r="X414" s="357"/>
      <c r="Z414" s="387"/>
      <c r="AA414" s="357"/>
      <c r="AC414" s="387"/>
      <c r="AD414" s="357"/>
      <c r="AF414" s="387"/>
      <c r="AG414" s="357"/>
      <c r="AI414" s="387"/>
      <c r="AJ414" s="357"/>
      <c r="AL414" s="387"/>
      <c r="AM414" s="357"/>
    </row>
    <row r="415" spans="1:39" s="264" customFormat="1" x14ac:dyDescent="0.2">
      <c r="A415" s="308"/>
      <c r="B415" s="259"/>
      <c r="C415" s="290"/>
      <c r="D415" s="290"/>
      <c r="E415" s="290"/>
      <c r="F415" s="290"/>
      <c r="G415" s="290"/>
      <c r="H415" s="290"/>
      <c r="I415" s="290"/>
      <c r="J415" s="290"/>
      <c r="K415" s="290"/>
      <c r="L415" s="290"/>
      <c r="M415" s="290"/>
      <c r="N415" s="290"/>
      <c r="O415" s="290"/>
      <c r="P415" s="261"/>
      <c r="Q415" s="262"/>
      <c r="R415" s="263"/>
      <c r="S415" s="386"/>
      <c r="T415" s="399"/>
      <c r="U415" s="357"/>
      <c r="W415" s="400"/>
      <c r="X415" s="399"/>
      <c r="Z415" s="400"/>
      <c r="AA415" s="399"/>
      <c r="AC415" s="400"/>
      <c r="AD415" s="399"/>
      <c r="AF415" s="400"/>
      <c r="AG415" s="399"/>
      <c r="AI415" s="400"/>
      <c r="AJ415" s="399"/>
      <c r="AL415" s="400"/>
      <c r="AM415" s="399"/>
    </row>
    <row r="416" spans="1:39" s="264" customFormat="1" x14ac:dyDescent="0.2">
      <c r="A416" s="391"/>
      <c r="B416" s="392"/>
      <c r="C416" s="377"/>
      <c r="D416" s="377"/>
      <c r="E416" s="377"/>
      <c r="F416" s="377"/>
      <c r="G416" s="377"/>
      <c r="H416" s="377"/>
      <c r="I416" s="377"/>
      <c r="J416" s="377"/>
      <c r="K416" s="377"/>
      <c r="L416" s="377"/>
      <c r="M416" s="377"/>
      <c r="N416" s="377"/>
      <c r="O416" s="377"/>
      <c r="P416" s="377"/>
      <c r="Q416" s="378"/>
      <c r="R416" s="379"/>
      <c r="S416" s="386"/>
      <c r="T416" s="393"/>
      <c r="U416" s="393"/>
      <c r="W416" s="394"/>
      <c r="X416" s="393"/>
      <c r="Z416" s="394"/>
      <c r="AA416" s="393"/>
      <c r="AC416" s="394"/>
      <c r="AD416" s="393"/>
      <c r="AF416" s="394"/>
      <c r="AG416" s="393"/>
      <c r="AI416" s="394"/>
      <c r="AJ416" s="393"/>
      <c r="AL416" s="394"/>
      <c r="AM416" s="393"/>
    </row>
    <row r="417" spans="1:39" s="264" customFormat="1" x14ac:dyDescent="0.2">
      <c r="A417" s="395"/>
      <c r="B417" s="396"/>
      <c r="C417" s="550"/>
      <c r="D417" s="550"/>
      <c r="E417" s="550"/>
      <c r="F417" s="550"/>
      <c r="G417" s="550"/>
      <c r="H417" s="550"/>
      <c r="I417" s="550"/>
      <c r="J417" s="550"/>
      <c r="K417" s="550"/>
      <c r="L417" s="550"/>
      <c r="M417" s="550"/>
      <c r="N417" s="550"/>
      <c r="O417" s="550"/>
      <c r="P417" s="550"/>
      <c r="Q417" s="381" t="s">
        <v>0</v>
      </c>
      <c r="R417" s="263"/>
      <c r="S417" s="386"/>
      <c r="T417" s="397"/>
      <c r="U417" s="397"/>
      <c r="W417" s="398"/>
      <c r="X417" s="397"/>
      <c r="Z417" s="398"/>
      <c r="AA417" s="397"/>
      <c r="AC417" s="398"/>
      <c r="AD417" s="397"/>
      <c r="AF417" s="398"/>
      <c r="AG417" s="397"/>
      <c r="AI417" s="398"/>
      <c r="AJ417" s="397"/>
      <c r="AL417" s="398"/>
      <c r="AM417" s="397"/>
    </row>
    <row r="418" spans="1:39" s="264" customFormat="1" x14ac:dyDescent="0.2">
      <c r="A418" s="395"/>
      <c r="B418" s="396"/>
      <c r="C418" s="309"/>
      <c r="D418" s="309"/>
      <c r="E418" s="309"/>
      <c r="F418" s="309"/>
      <c r="G418" s="309"/>
      <c r="H418" s="309"/>
      <c r="I418" s="309"/>
      <c r="J418" s="309"/>
      <c r="K418" s="309"/>
      <c r="L418" s="309"/>
      <c r="M418" s="309"/>
      <c r="N418" s="309"/>
      <c r="O418" s="309"/>
      <c r="P418" s="309"/>
      <c r="Q418" s="294"/>
      <c r="R418" s="382"/>
      <c r="S418" s="386"/>
      <c r="T418" s="357"/>
      <c r="U418" s="357"/>
      <c r="W418" s="387"/>
      <c r="X418" s="357"/>
      <c r="Z418" s="387"/>
      <c r="AA418" s="357"/>
      <c r="AC418" s="387"/>
      <c r="AD418" s="357"/>
      <c r="AF418" s="387"/>
      <c r="AG418" s="357"/>
      <c r="AI418" s="387"/>
      <c r="AJ418" s="357"/>
      <c r="AL418" s="387"/>
      <c r="AM418" s="357"/>
    </row>
    <row r="419" spans="1:39" s="264" customFormat="1" x14ac:dyDescent="0.2">
      <c r="A419" s="308"/>
      <c r="B419" s="259"/>
      <c r="C419" s="290"/>
      <c r="D419" s="290"/>
      <c r="E419" s="290"/>
      <c r="F419" s="290"/>
      <c r="G419" s="290"/>
      <c r="H419" s="290"/>
      <c r="I419" s="290"/>
      <c r="J419" s="290"/>
      <c r="K419" s="290"/>
      <c r="L419" s="290"/>
      <c r="M419" s="290"/>
      <c r="N419" s="290"/>
      <c r="O419" s="290"/>
      <c r="P419" s="261"/>
      <c r="Q419" s="262"/>
      <c r="R419" s="263"/>
      <c r="S419" s="386"/>
      <c r="T419" s="393"/>
      <c r="U419" s="393"/>
      <c r="W419" s="394"/>
      <c r="X419" s="393"/>
      <c r="Z419" s="394"/>
      <c r="AA419" s="393"/>
      <c r="AC419" s="394"/>
      <c r="AD419" s="393"/>
      <c r="AF419" s="394"/>
      <c r="AG419" s="393"/>
      <c r="AI419" s="394"/>
      <c r="AJ419" s="393"/>
      <c r="AL419" s="394"/>
      <c r="AM419" s="393"/>
    </row>
    <row r="420" spans="1:39" s="264" customFormat="1" ht="28.5" x14ac:dyDescent="0.2">
      <c r="A420" s="283"/>
      <c r="B420" s="202" t="s">
        <v>245</v>
      </c>
      <c r="C420" s="290"/>
      <c r="D420" s="290"/>
      <c r="E420" s="290"/>
      <c r="F420" s="290"/>
      <c r="G420" s="290"/>
      <c r="H420" s="290"/>
      <c r="I420" s="290"/>
      <c r="J420" s="290"/>
      <c r="K420" s="290"/>
      <c r="L420" s="290"/>
      <c r="M420" s="290"/>
      <c r="N420" s="290"/>
      <c r="O420" s="290"/>
      <c r="P420" s="261"/>
      <c r="Q420" s="262"/>
      <c r="R420" s="263"/>
      <c r="S420" s="386"/>
      <c r="T420" s="357"/>
      <c r="U420" s="357"/>
      <c r="W420" s="387"/>
      <c r="X420" s="357"/>
      <c r="Z420" s="387"/>
      <c r="AA420" s="357"/>
      <c r="AC420" s="387"/>
      <c r="AD420" s="357"/>
      <c r="AF420" s="387"/>
      <c r="AG420" s="357"/>
      <c r="AI420" s="387"/>
      <c r="AJ420" s="357"/>
      <c r="AL420" s="387"/>
      <c r="AM420" s="357"/>
    </row>
    <row r="421" spans="1:39" s="264" customFormat="1" x14ac:dyDescent="0.2">
      <c r="A421" s="283"/>
      <c r="B421" s="259"/>
      <c r="C421" s="290"/>
      <c r="D421" s="290"/>
      <c r="E421" s="290"/>
      <c r="F421" s="290"/>
      <c r="G421" s="290"/>
      <c r="H421" s="290"/>
      <c r="I421" s="290"/>
      <c r="J421" s="290"/>
      <c r="K421" s="290"/>
      <c r="L421" s="290"/>
      <c r="M421" s="290"/>
      <c r="N421" s="290"/>
      <c r="O421" s="290"/>
      <c r="P421" s="153"/>
      <c r="Q421" s="262"/>
      <c r="R421" s="263"/>
      <c r="S421" s="386"/>
      <c r="T421" s="357"/>
      <c r="U421" s="357"/>
      <c r="W421" s="387"/>
      <c r="X421" s="357"/>
      <c r="Z421" s="387"/>
      <c r="AA421" s="357"/>
      <c r="AC421" s="387"/>
      <c r="AD421" s="357"/>
      <c r="AF421" s="387"/>
      <c r="AG421" s="357"/>
      <c r="AI421" s="387"/>
      <c r="AJ421" s="357"/>
      <c r="AL421" s="387"/>
      <c r="AM421" s="357"/>
    </row>
    <row r="422" spans="1:39" s="264" customFormat="1" ht="28.5" x14ac:dyDescent="0.2">
      <c r="A422" s="283" t="s">
        <v>66</v>
      </c>
      <c r="B422" s="418" t="s">
        <v>147</v>
      </c>
      <c r="C422" s="290">
        <f>(W422+X422)*$C$3</f>
        <v>0</v>
      </c>
      <c r="D422" s="290">
        <f>C422*$Q422</f>
        <v>0</v>
      </c>
      <c r="E422" s="290">
        <f>(Z422+AA422)*$E$3</f>
        <v>0</v>
      </c>
      <c r="F422" s="290">
        <f>E422*$Q422</f>
        <v>0</v>
      </c>
      <c r="G422" s="290">
        <f>(AC422+AD422)*$G$3</f>
        <v>0</v>
      </c>
      <c r="H422" s="290">
        <f>G422*$Q422</f>
        <v>0</v>
      </c>
      <c r="I422" s="290">
        <f>(AF422+AG422)*$I$3</f>
        <v>0</v>
      </c>
      <c r="J422" s="290">
        <f>I422*$Q422</f>
        <v>0</v>
      </c>
      <c r="K422" s="290">
        <f>(AI422+AJ422)*$K$3</f>
        <v>0</v>
      </c>
      <c r="L422" s="290">
        <f>K422*$Q422</f>
        <v>0</v>
      </c>
      <c r="M422" s="290">
        <f>(AL422+AM422)*$M$3</f>
        <v>0</v>
      </c>
      <c r="N422" s="290">
        <f>M422*$Q422</f>
        <v>0</v>
      </c>
      <c r="O422" s="290">
        <f>C422+E422+G422+I422+K422+M422</f>
        <v>0</v>
      </c>
      <c r="P422" s="153" t="s">
        <v>5</v>
      </c>
      <c r="Q422" s="262"/>
      <c r="R422" s="263"/>
      <c r="S422" s="386"/>
      <c r="T422" s="339"/>
      <c r="U422" s="266">
        <v>0</v>
      </c>
      <c r="W422" s="268">
        <f>T422*$W$3</f>
        <v>0</v>
      </c>
      <c r="X422" s="266">
        <f>U422*$X$3</f>
        <v>0</v>
      </c>
      <c r="Y422" s="267"/>
      <c r="Z422" s="268">
        <f>W422</f>
        <v>0</v>
      </c>
      <c r="AA422" s="266">
        <f>U422*$AA$3</f>
        <v>0</v>
      </c>
      <c r="AB422" s="267"/>
      <c r="AC422" s="268">
        <f>W422</f>
        <v>0</v>
      </c>
      <c r="AD422" s="266">
        <f>U422*$AD$3</f>
        <v>0</v>
      </c>
      <c r="AE422" s="267"/>
      <c r="AF422" s="268">
        <f>W422</f>
        <v>0</v>
      </c>
      <c r="AG422" s="266">
        <f>U422*$AG$3</f>
        <v>0</v>
      </c>
      <c r="AH422" s="267"/>
      <c r="AI422" s="268">
        <f>W422</f>
        <v>0</v>
      </c>
      <c r="AJ422" s="266">
        <f>U422*$AJ$3</f>
        <v>0</v>
      </c>
      <c r="AK422" s="267"/>
      <c r="AL422" s="268">
        <f>W422</f>
        <v>0</v>
      </c>
      <c r="AM422" s="266">
        <f>U422*$AM$3</f>
        <v>0</v>
      </c>
    </row>
    <row r="423" spans="1:39" s="264" customFormat="1" x14ac:dyDescent="0.2">
      <c r="A423" s="308"/>
      <c r="B423" s="206"/>
      <c r="C423" s="290"/>
      <c r="D423" s="290"/>
      <c r="E423" s="290"/>
      <c r="F423" s="290"/>
      <c r="G423" s="290"/>
      <c r="H423" s="290"/>
      <c r="I423" s="290"/>
      <c r="J423" s="290"/>
      <c r="K423" s="290"/>
      <c r="L423" s="290"/>
      <c r="M423" s="290"/>
      <c r="N423" s="290"/>
      <c r="O423" s="290"/>
      <c r="P423" s="153"/>
      <c r="Q423" s="262"/>
      <c r="R423" s="263"/>
      <c r="S423" s="386"/>
      <c r="T423" s="357"/>
      <c r="U423" s="357"/>
      <c r="W423" s="387"/>
      <c r="X423" s="357"/>
      <c r="Z423" s="387"/>
      <c r="AA423" s="357"/>
      <c r="AC423" s="387"/>
      <c r="AD423" s="357"/>
      <c r="AF423" s="387"/>
      <c r="AG423" s="357"/>
      <c r="AI423" s="387"/>
      <c r="AJ423" s="357"/>
      <c r="AL423" s="387"/>
      <c r="AM423" s="357"/>
    </row>
    <row r="424" spans="1:39" s="264" customFormat="1" ht="28.5" x14ac:dyDescent="0.2">
      <c r="A424" s="308" t="s">
        <v>67</v>
      </c>
      <c r="B424" s="206" t="s">
        <v>148</v>
      </c>
      <c r="C424" s="290">
        <f>(W424+X424)*$C$3</f>
        <v>0</v>
      </c>
      <c r="D424" s="290">
        <f>C424*$Q424</f>
        <v>0</v>
      </c>
      <c r="E424" s="290">
        <f>(Z424+AA424)*$E$3</f>
        <v>0</v>
      </c>
      <c r="F424" s="290">
        <f>E424*$Q424</f>
        <v>0</v>
      </c>
      <c r="G424" s="290">
        <f>(AC424+AD424)*$G$3</f>
        <v>0</v>
      </c>
      <c r="H424" s="290">
        <f>G424*$Q424</f>
        <v>0</v>
      </c>
      <c r="I424" s="290">
        <f>(AF424+AG424)*$I$3</f>
        <v>0</v>
      </c>
      <c r="J424" s="290">
        <f>I424*$Q424</f>
        <v>0</v>
      </c>
      <c r="K424" s="290">
        <f>(AI424+AJ424)*$K$3</f>
        <v>0</v>
      </c>
      <c r="L424" s="290">
        <f>K424*$Q424</f>
        <v>0</v>
      </c>
      <c r="M424" s="290">
        <f>(AL424+AM424)*$M$3</f>
        <v>0</v>
      </c>
      <c r="N424" s="290">
        <f>M424*$Q424</f>
        <v>0</v>
      </c>
      <c r="O424" s="290">
        <f>C424+E424+G424+I424+K424+M424</f>
        <v>0</v>
      </c>
      <c r="P424" s="153" t="s">
        <v>5</v>
      </c>
      <c r="Q424" s="262"/>
      <c r="R424" s="263"/>
      <c r="S424" s="386"/>
      <c r="T424" s="339"/>
      <c r="U424" s="266">
        <v>0</v>
      </c>
      <c r="W424" s="268">
        <f>T424*$W$3</f>
        <v>0</v>
      </c>
      <c r="X424" s="266">
        <f>U424*$X$3</f>
        <v>0</v>
      </c>
      <c r="Y424" s="267"/>
      <c r="Z424" s="268">
        <f>W424</f>
        <v>0</v>
      </c>
      <c r="AA424" s="266">
        <f>U424*$AA$3</f>
        <v>0</v>
      </c>
      <c r="AB424" s="267"/>
      <c r="AC424" s="268">
        <f>W424</f>
        <v>0</v>
      </c>
      <c r="AD424" s="266">
        <f>U424*$AD$3</f>
        <v>0</v>
      </c>
      <c r="AE424" s="267"/>
      <c r="AF424" s="268">
        <f>W424</f>
        <v>0</v>
      </c>
      <c r="AG424" s="266">
        <f>U424*$AG$3</f>
        <v>0</v>
      </c>
      <c r="AH424" s="267"/>
      <c r="AI424" s="268">
        <f>W424</f>
        <v>0</v>
      </c>
      <c r="AJ424" s="266">
        <f>U424*$AJ$3</f>
        <v>0</v>
      </c>
      <c r="AK424" s="267"/>
      <c r="AL424" s="268">
        <f>W424</f>
        <v>0</v>
      </c>
      <c r="AM424" s="266">
        <f>U424*$AM$3</f>
        <v>0</v>
      </c>
    </row>
    <row r="425" spans="1:39" s="264" customFormat="1" x14ac:dyDescent="0.2">
      <c r="A425" s="308"/>
      <c r="B425" s="206"/>
      <c r="C425" s="290"/>
      <c r="D425" s="290"/>
      <c r="E425" s="290"/>
      <c r="F425" s="290"/>
      <c r="G425" s="290"/>
      <c r="H425" s="290"/>
      <c r="I425" s="290"/>
      <c r="J425" s="290"/>
      <c r="K425" s="290"/>
      <c r="L425" s="290"/>
      <c r="M425" s="290"/>
      <c r="N425" s="290"/>
      <c r="O425" s="290"/>
      <c r="P425" s="153"/>
      <c r="Q425" s="262"/>
      <c r="R425" s="263"/>
      <c r="S425" s="386"/>
      <c r="T425" s="357"/>
      <c r="U425" s="357"/>
      <c r="W425" s="387"/>
      <c r="X425" s="357"/>
      <c r="Z425" s="387"/>
      <c r="AA425" s="357"/>
      <c r="AC425" s="387"/>
      <c r="AD425" s="357"/>
      <c r="AF425" s="387"/>
      <c r="AG425" s="357"/>
      <c r="AI425" s="387"/>
      <c r="AJ425" s="357"/>
      <c r="AL425" s="387"/>
      <c r="AM425" s="357"/>
    </row>
    <row r="426" spans="1:39" s="264" customFormat="1" ht="28.5" customHeight="1" x14ac:dyDescent="0.2">
      <c r="A426" s="308" t="s">
        <v>68</v>
      </c>
      <c r="B426" s="206" t="s">
        <v>149</v>
      </c>
      <c r="C426" s="290">
        <f>(W426+X426)*$C$3</f>
        <v>0</v>
      </c>
      <c r="D426" s="290">
        <f>C426*$Q426</f>
        <v>0</v>
      </c>
      <c r="E426" s="290">
        <f>(Z426+AA426)*$E$3</f>
        <v>0</v>
      </c>
      <c r="F426" s="290">
        <f>E426*$Q426</f>
        <v>0</v>
      </c>
      <c r="G426" s="290">
        <f>(AC426+AD426)*$G$3</f>
        <v>0</v>
      </c>
      <c r="H426" s="290">
        <f>G426*$Q426</f>
        <v>0</v>
      </c>
      <c r="I426" s="290">
        <f>(AF426+AG426)*$I$3</f>
        <v>0</v>
      </c>
      <c r="J426" s="290">
        <f>I426*$Q426</f>
        <v>0</v>
      </c>
      <c r="K426" s="290">
        <f>(AI426+AJ426)*$K$3</f>
        <v>0</v>
      </c>
      <c r="L426" s="290">
        <f>K426*$Q426</f>
        <v>0</v>
      </c>
      <c r="M426" s="290">
        <f>(AL426+AM426)*$M$3</f>
        <v>0</v>
      </c>
      <c r="N426" s="290">
        <f>M426*$Q426</f>
        <v>0</v>
      </c>
      <c r="O426" s="290">
        <f>C426+E426+G426+I426+K426+M426</f>
        <v>0</v>
      </c>
      <c r="P426" s="153" t="s">
        <v>5</v>
      </c>
      <c r="Q426" s="262"/>
      <c r="R426" s="263"/>
      <c r="S426" s="386"/>
      <c r="T426" s="339"/>
      <c r="U426" s="266">
        <v>0</v>
      </c>
      <c r="W426" s="268">
        <f>T426*$W$3</f>
        <v>0</v>
      </c>
      <c r="X426" s="266">
        <f>U426*$X$3</f>
        <v>0</v>
      </c>
      <c r="Y426" s="267"/>
      <c r="Z426" s="268">
        <f>W426</f>
        <v>0</v>
      </c>
      <c r="AA426" s="266">
        <f>U426*$AA$3</f>
        <v>0</v>
      </c>
      <c r="AB426" s="267"/>
      <c r="AC426" s="268">
        <f>W426</f>
        <v>0</v>
      </c>
      <c r="AD426" s="266">
        <f>U426*$AD$3</f>
        <v>0</v>
      </c>
      <c r="AE426" s="267"/>
      <c r="AF426" s="268">
        <f>W426</f>
        <v>0</v>
      </c>
      <c r="AG426" s="266">
        <f>U426*$AG$3</f>
        <v>0</v>
      </c>
      <c r="AH426" s="267"/>
      <c r="AI426" s="268">
        <f>W426</f>
        <v>0</v>
      </c>
      <c r="AJ426" s="266">
        <f>U426*$AJ$3</f>
        <v>0</v>
      </c>
      <c r="AK426" s="267"/>
      <c r="AL426" s="268">
        <f>W426</f>
        <v>0</v>
      </c>
      <c r="AM426" s="266">
        <f>U426*$AM$3</f>
        <v>0</v>
      </c>
    </row>
    <row r="427" spans="1:39" s="264" customFormat="1" x14ac:dyDescent="0.2">
      <c r="A427" s="308"/>
      <c r="B427" s="259"/>
      <c r="C427" s="290"/>
      <c r="D427" s="290"/>
      <c r="E427" s="290"/>
      <c r="F427" s="290"/>
      <c r="G427" s="290"/>
      <c r="H427" s="290"/>
      <c r="I427" s="290"/>
      <c r="J427" s="290"/>
      <c r="K427" s="290"/>
      <c r="L427" s="290"/>
      <c r="M427" s="290"/>
      <c r="N427" s="290"/>
      <c r="O427" s="290"/>
      <c r="P427" s="261"/>
      <c r="Q427" s="262"/>
      <c r="R427" s="263"/>
      <c r="S427" s="386"/>
      <c r="T427" s="357"/>
      <c r="U427" s="357"/>
      <c r="W427" s="387"/>
      <c r="X427" s="357"/>
      <c r="Z427" s="387"/>
      <c r="AA427" s="357"/>
      <c r="AC427" s="387"/>
      <c r="AD427" s="357"/>
      <c r="AF427" s="387"/>
      <c r="AG427" s="357"/>
      <c r="AI427" s="387"/>
      <c r="AJ427" s="357"/>
      <c r="AL427" s="387"/>
      <c r="AM427" s="357"/>
    </row>
    <row r="428" spans="1:39" s="264" customFormat="1" ht="28.5" x14ac:dyDescent="0.2">
      <c r="A428" s="308" t="s">
        <v>69</v>
      </c>
      <c r="B428" s="418" t="s">
        <v>237</v>
      </c>
      <c r="C428" s="290">
        <f>(W428+X428)*$C$3</f>
        <v>0</v>
      </c>
      <c r="D428" s="290">
        <f>C428*$Q428</f>
        <v>0</v>
      </c>
      <c r="E428" s="290">
        <f>(Z428+AA428)*$E$3</f>
        <v>0</v>
      </c>
      <c r="F428" s="290">
        <f>E428*$Q428</f>
        <v>0</v>
      </c>
      <c r="G428" s="290">
        <f>(AC428+AD428)*$G$3</f>
        <v>0</v>
      </c>
      <c r="H428" s="290">
        <f>G428*$Q428</f>
        <v>0</v>
      </c>
      <c r="I428" s="290">
        <f>(AF428+AG428)*$I$3</f>
        <v>0</v>
      </c>
      <c r="J428" s="290">
        <f>I428*$Q428</f>
        <v>0</v>
      </c>
      <c r="K428" s="290">
        <f>(AI428+AJ428)*$K$3</f>
        <v>0</v>
      </c>
      <c r="L428" s="290">
        <f>K428*$Q428</f>
        <v>0</v>
      </c>
      <c r="M428" s="290">
        <f>(AL428+AM428)*$M$3</f>
        <v>0</v>
      </c>
      <c r="N428" s="290">
        <f>M428*$Q428</f>
        <v>0</v>
      </c>
      <c r="O428" s="290">
        <f>C428+E428+G428+I428+K428+M428</f>
        <v>0</v>
      </c>
      <c r="P428" s="153" t="s">
        <v>5</v>
      </c>
      <c r="Q428" s="262"/>
      <c r="R428" s="263"/>
      <c r="S428" s="386"/>
      <c r="T428" s="339"/>
      <c r="U428" s="266">
        <v>0</v>
      </c>
      <c r="W428" s="268">
        <f>T428*$W$3</f>
        <v>0</v>
      </c>
      <c r="X428" s="266">
        <f>U428*$X$3</f>
        <v>0</v>
      </c>
      <c r="Y428" s="267"/>
      <c r="Z428" s="268">
        <f>W428</f>
        <v>0</v>
      </c>
      <c r="AA428" s="266">
        <f>U428*$AA$3</f>
        <v>0</v>
      </c>
      <c r="AB428" s="267"/>
      <c r="AC428" s="268">
        <f>W428</f>
        <v>0</v>
      </c>
      <c r="AD428" s="266">
        <f>U428*$AD$3</f>
        <v>0</v>
      </c>
      <c r="AE428" s="267"/>
      <c r="AF428" s="268">
        <f>W428</f>
        <v>0</v>
      </c>
      <c r="AG428" s="266">
        <f>U428*$AG$3</f>
        <v>0</v>
      </c>
      <c r="AH428" s="267"/>
      <c r="AI428" s="268">
        <f>W428</f>
        <v>0</v>
      </c>
      <c r="AJ428" s="266">
        <f>U428*$AJ$3</f>
        <v>0</v>
      </c>
      <c r="AK428" s="267"/>
      <c r="AL428" s="268">
        <f>W428</f>
        <v>0</v>
      </c>
      <c r="AM428" s="266">
        <f>U428*$AM$3</f>
        <v>0</v>
      </c>
    </row>
    <row r="429" spans="1:39" s="264" customFormat="1" x14ac:dyDescent="0.2">
      <c r="A429" s="308"/>
      <c r="B429" s="418"/>
      <c r="C429" s="290"/>
      <c r="D429" s="290"/>
      <c r="E429" s="290"/>
      <c r="F429" s="290"/>
      <c r="G429" s="290"/>
      <c r="H429" s="290"/>
      <c r="I429" s="290"/>
      <c r="J429" s="290"/>
      <c r="K429" s="290"/>
      <c r="L429" s="290"/>
      <c r="M429" s="290"/>
      <c r="N429" s="290"/>
      <c r="O429" s="290"/>
      <c r="P429" s="261"/>
      <c r="Q429" s="262"/>
      <c r="R429" s="263"/>
      <c r="S429" s="386"/>
      <c r="T429" s="357"/>
      <c r="U429" s="357"/>
      <c r="W429" s="387"/>
      <c r="X429" s="357"/>
      <c r="Z429" s="387"/>
      <c r="AA429" s="357"/>
      <c r="AC429" s="387"/>
      <c r="AD429" s="357"/>
      <c r="AF429" s="387"/>
      <c r="AG429" s="357"/>
      <c r="AI429" s="387"/>
      <c r="AJ429" s="357"/>
      <c r="AL429" s="387"/>
      <c r="AM429" s="357"/>
    </row>
    <row r="430" spans="1:39" s="264" customFormat="1" ht="28.5" x14ac:dyDescent="0.2">
      <c r="A430" s="308" t="s">
        <v>70</v>
      </c>
      <c r="B430" s="418" t="s">
        <v>238</v>
      </c>
      <c r="C430" s="290">
        <f>(W430+X430)*$C$3</f>
        <v>0</v>
      </c>
      <c r="D430" s="290">
        <f>C430*$Q430</f>
        <v>0</v>
      </c>
      <c r="E430" s="290">
        <f>(Z430+AA430)*$E$3</f>
        <v>0</v>
      </c>
      <c r="F430" s="290">
        <f>E430*$Q430</f>
        <v>0</v>
      </c>
      <c r="G430" s="290">
        <f>(AC430+AD430)*$G$3</f>
        <v>0</v>
      </c>
      <c r="H430" s="290">
        <f>G430*$Q430</f>
        <v>0</v>
      </c>
      <c r="I430" s="290">
        <f>(AF430+AG430)*$I$3</f>
        <v>0</v>
      </c>
      <c r="J430" s="290">
        <f>I430*$Q430</f>
        <v>0</v>
      </c>
      <c r="K430" s="290">
        <f>(AI430+AJ430)*$K$3</f>
        <v>0</v>
      </c>
      <c r="L430" s="290">
        <f>K430*$Q430</f>
        <v>0</v>
      </c>
      <c r="M430" s="290">
        <f>(AL430+AM430)*$M$3</f>
        <v>0</v>
      </c>
      <c r="N430" s="290">
        <f>M430*$Q430</f>
        <v>0</v>
      </c>
      <c r="O430" s="290">
        <f>C430+E430+G430+I430+K430+M430</f>
        <v>0</v>
      </c>
      <c r="P430" s="153" t="s">
        <v>5</v>
      </c>
      <c r="Q430" s="262"/>
      <c r="R430" s="263"/>
      <c r="S430" s="386"/>
      <c r="T430" s="339"/>
      <c r="U430" s="266">
        <v>0</v>
      </c>
      <c r="W430" s="268">
        <f>T430*$W$3</f>
        <v>0</v>
      </c>
      <c r="X430" s="266">
        <f>U430*$X$3</f>
        <v>0</v>
      </c>
      <c r="Y430" s="267"/>
      <c r="Z430" s="268">
        <f>W430</f>
        <v>0</v>
      </c>
      <c r="AA430" s="266">
        <f>U430*$AA$3</f>
        <v>0</v>
      </c>
      <c r="AB430" s="267"/>
      <c r="AC430" s="268">
        <f>W430</f>
        <v>0</v>
      </c>
      <c r="AD430" s="266">
        <f>U430*$AD$3</f>
        <v>0</v>
      </c>
      <c r="AE430" s="267"/>
      <c r="AF430" s="268">
        <f>W430</f>
        <v>0</v>
      </c>
      <c r="AG430" s="266">
        <f>U430*$AG$3</f>
        <v>0</v>
      </c>
      <c r="AH430" s="267"/>
      <c r="AI430" s="268">
        <f>W430</f>
        <v>0</v>
      </c>
      <c r="AJ430" s="266">
        <f>U430*$AJ$3</f>
        <v>0</v>
      </c>
      <c r="AK430" s="267"/>
      <c r="AL430" s="268">
        <f>W430</f>
        <v>0</v>
      </c>
      <c r="AM430" s="266">
        <f>U430*$AM$3</f>
        <v>0</v>
      </c>
    </row>
    <row r="431" spans="1:39" s="264" customFormat="1" x14ac:dyDescent="0.2">
      <c r="A431" s="308"/>
      <c r="B431" s="418"/>
      <c r="C431" s="290"/>
      <c r="D431" s="290"/>
      <c r="E431" s="290"/>
      <c r="F431" s="290"/>
      <c r="G431" s="290"/>
      <c r="H431" s="290"/>
      <c r="I431" s="290"/>
      <c r="J431" s="290"/>
      <c r="K431" s="290"/>
      <c r="L431" s="290"/>
      <c r="M431" s="290"/>
      <c r="N431" s="290"/>
      <c r="O431" s="290"/>
      <c r="P431" s="261"/>
      <c r="Q431" s="262"/>
      <c r="R431" s="263"/>
      <c r="S431" s="386"/>
      <c r="T431" s="357"/>
      <c r="U431" s="357"/>
      <c r="W431" s="387"/>
      <c r="X431" s="357"/>
      <c r="Z431" s="387"/>
      <c r="AA431" s="357"/>
      <c r="AC431" s="387"/>
      <c r="AD431" s="357"/>
      <c r="AF431" s="387"/>
      <c r="AG431" s="357"/>
      <c r="AI431" s="387"/>
      <c r="AJ431" s="357"/>
      <c r="AL431" s="387"/>
      <c r="AM431" s="357"/>
    </row>
    <row r="432" spans="1:39" s="264" customFormat="1" ht="28.5" x14ac:dyDescent="0.2">
      <c r="A432" s="308" t="s">
        <v>71</v>
      </c>
      <c r="B432" s="206" t="s">
        <v>150</v>
      </c>
      <c r="C432" s="290">
        <f>(W432+X432)*$C$3</f>
        <v>0</v>
      </c>
      <c r="D432" s="290">
        <f>C432*$Q432</f>
        <v>0</v>
      </c>
      <c r="E432" s="290">
        <f>(Z432+AA432)*$E$3</f>
        <v>0</v>
      </c>
      <c r="F432" s="290">
        <f>E432*$Q432</f>
        <v>0</v>
      </c>
      <c r="G432" s="290">
        <f>(AC432+AD432)*$G$3</f>
        <v>0</v>
      </c>
      <c r="H432" s="290">
        <f>G432*$Q432</f>
        <v>0</v>
      </c>
      <c r="I432" s="290">
        <f>(AF432+AG432)*$I$3</f>
        <v>0</v>
      </c>
      <c r="J432" s="290">
        <f>I432*$Q432</f>
        <v>0</v>
      </c>
      <c r="K432" s="290">
        <f>(AI432+AJ432)*$K$3</f>
        <v>0</v>
      </c>
      <c r="L432" s="290">
        <f>K432*$Q432</f>
        <v>0</v>
      </c>
      <c r="M432" s="290">
        <f>(AL432+AM432)*$M$3</f>
        <v>0</v>
      </c>
      <c r="N432" s="290">
        <f>M432*$Q432</f>
        <v>0</v>
      </c>
      <c r="O432" s="290">
        <f>C432+E432+G432+I432+K432+M432</f>
        <v>0</v>
      </c>
      <c r="P432" s="153" t="s">
        <v>5</v>
      </c>
      <c r="Q432" s="262"/>
      <c r="R432" s="263"/>
      <c r="S432" s="386"/>
      <c r="T432" s="339"/>
      <c r="U432" s="266">
        <v>0</v>
      </c>
      <c r="W432" s="268">
        <f>T432*$W$3</f>
        <v>0</v>
      </c>
      <c r="X432" s="266">
        <f>U432*$X$3</f>
        <v>0</v>
      </c>
      <c r="Y432" s="267"/>
      <c r="Z432" s="268">
        <f>W432</f>
        <v>0</v>
      </c>
      <c r="AA432" s="266">
        <f>U432*$AA$3</f>
        <v>0</v>
      </c>
      <c r="AB432" s="267"/>
      <c r="AC432" s="268">
        <f>W432</f>
        <v>0</v>
      </c>
      <c r="AD432" s="266">
        <f>U432*$AD$3</f>
        <v>0</v>
      </c>
      <c r="AE432" s="267"/>
      <c r="AF432" s="268">
        <f>W432</f>
        <v>0</v>
      </c>
      <c r="AG432" s="266">
        <f>U432*$AG$3</f>
        <v>0</v>
      </c>
      <c r="AH432" s="267"/>
      <c r="AI432" s="268">
        <f>W432</f>
        <v>0</v>
      </c>
      <c r="AJ432" s="266">
        <f>U432*$AJ$3</f>
        <v>0</v>
      </c>
      <c r="AK432" s="267"/>
      <c r="AL432" s="268">
        <f>W432</f>
        <v>0</v>
      </c>
      <c r="AM432" s="266">
        <f>U432*$AM$3</f>
        <v>0</v>
      </c>
    </row>
    <row r="433" spans="1:39" s="264" customFormat="1" x14ac:dyDescent="0.2">
      <c r="A433" s="308"/>
      <c r="B433" s="206"/>
      <c r="C433" s="290"/>
      <c r="D433" s="290"/>
      <c r="E433" s="290"/>
      <c r="F433" s="290"/>
      <c r="G433" s="290"/>
      <c r="H433" s="290"/>
      <c r="I433" s="290"/>
      <c r="J433" s="290"/>
      <c r="K433" s="290"/>
      <c r="L433" s="290"/>
      <c r="M433" s="290"/>
      <c r="N433" s="290"/>
      <c r="O433" s="290"/>
      <c r="P433" s="153"/>
      <c r="Q433" s="262"/>
      <c r="R433" s="263"/>
      <c r="S433" s="386"/>
      <c r="T433" s="357"/>
      <c r="U433" s="357"/>
      <c r="W433" s="387"/>
      <c r="X433" s="357"/>
      <c r="Z433" s="387"/>
      <c r="AA433" s="357"/>
      <c r="AC433" s="387"/>
      <c r="AD433" s="357"/>
      <c r="AF433" s="387"/>
      <c r="AG433" s="357"/>
      <c r="AI433" s="387"/>
      <c r="AJ433" s="357"/>
      <c r="AL433" s="387"/>
      <c r="AM433" s="357"/>
    </row>
    <row r="434" spans="1:39" s="264" customFormat="1" ht="28.5" x14ac:dyDescent="0.2">
      <c r="A434" s="308" t="s">
        <v>72</v>
      </c>
      <c r="B434" s="206" t="s">
        <v>151</v>
      </c>
      <c r="C434" s="290">
        <f>(W434+X434)*$C$3</f>
        <v>0</v>
      </c>
      <c r="D434" s="290">
        <f>C434*$Q434</f>
        <v>0</v>
      </c>
      <c r="E434" s="290">
        <f>(Z434+AA434)*$E$3</f>
        <v>0</v>
      </c>
      <c r="F434" s="290">
        <f>E434*$Q434</f>
        <v>0</v>
      </c>
      <c r="G434" s="290">
        <f>(AC434+AD434)*$G$3</f>
        <v>0</v>
      </c>
      <c r="H434" s="290">
        <f>G434*$Q434</f>
        <v>0</v>
      </c>
      <c r="I434" s="290">
        <f>(AF434+AG434)*$I$3</f>
        <v>0</v>
      </c>
      <c r="J434" s="290">
        <f>I434*$Q434</f>
        <v>0</v>
      </c>
      <c r="K434" s="290">
        <f>(AI434+AJ434)*$K$3</f>
        <v>0</v>
      </c>
      <c r="L434" s="290">
        <f>K434*$Q434</f>
        <v>0</v>
      </c>
      <c r="M434" s="290">
        <f>(AL434+AM434)*$M$3</f>
        <v>0</v>
      </c>
      <c r="N434" s="290">
        <f>M434*$Q434</f>
        <v>0</v>
      </c>
      <c r="O434" s="290">
        <f>C434+E434+G434+I434+K434+M434</f>
        <v>0</v>
      </c>
      <c r="P434" s="153" t="s">
        <v>5</v>
      </c>
      <c r="Q434" s="262"/>
      <c r="R434" s="263"/>
      <c r="S434" s="386"/>
      <c r="T434" s="357"/>
      <c r="U434" s="266">
        <v>0</v>
      </c>
      <c r="W434" s="268">
        <f>T434*$W$3</f>
        <v>0</v>
      </c>
      <c r="X434" s="266">
        <f>U434*$X$3</f>
        <v>0</v>
      </c>
      <c r="Y434" s="267"/>
      <c r="Z434" s="268">
        <f>W434</f>
        <v>0</v>
      </c>
      <c r="AA434" s="266">
        <f>U434*$AA$3</f>
        <v>0</v>
      </c>
      <c r="AB434" s="267"/>
      <c r="AC434" s="268">
        <f>W434</f>
        <v>0</v>
      </c>
      <c r="AD434" s="266">
        <f>U434*$AD$3</f>
        <v>0</v>
      </c>
      <c r="AE434" s="267"/>
      <c r="AF434" s="268">
        <f>W434</f>
        <v>0</v>
      </c>
      <c r="AG434" s="266">
        <f>U434*$AG$3</f>
        <v>0</v>
      </c>
      <c r="AH434" s="267"/>
      <c r="AI434" s="268">
        <f>W434</f>
        <v>0</v>
      </c>
      <c r="AJ434" s="266">
        <f>U434*$AJ$3</f>
        <v>0</v>
      </c>
      <c r="AK434" s="267"/>
      <c r="AL434" s="268">
        <f>W434</f>
        <v>0</v>
      </c>
      <c r="AM434" s="266">
        <f>U434*$AM$3</f>
        <v>0</v>
      </c>
    </row>
    <row r="435" spans="1:39" s="264" customFormat="1" x14ac:dyDescent="0.2">
      <c r="A435" s="308"/>
      <c r="B435" s="259"/>
      <c r="C435" s="290"/>
      <c r="D435" s="290"/>
      <c r="E435" s="290"/>
      <c r="F435" s="290"/>
      <c r="G435" s="290"/>
      <c r="H435" s="290"/>
      <c r="I435" s="290"/>
      <c r="J435" s="290"/>
      <c r="K435" s="290"/>
      <c r="L435" s="290"/>
      <c r="M435" s="290"/>
      <c r="N435" s="290"/>
      <c r="O435" s="290"/>
      <c r="P435" s="261"/>
      <c r="Q435" s="262"/>
      <c r="R435" s="263"/>
      <c r="S435" s="386"/>
      <c r="T435" s="357"/>
      <c r="U435" s="357"/>
      <c r="W435" s="387"/>
      <c r="X435" s="357"/>
      <c r="Z435" s="387"/>
      <c r="AA435" s="357"/>
      <c r="AC435" s="387"/>
      <c r="AD435" s="357"/>
      <c r="AF435" s="387"/>
      <c r="AG435" s="357"/>
      <c r="AI435" s="387"/>
      <c r="AJ435" s="357"/>
      <c r="AL435" s="387"/>
      <c r="AM435" s="357"/>
    </row>
    <row r="436" spans="1:39" s="264" customFormat="1" x14ac:dyDescent="0.2">
      <c r="A436" s="283"/>
      <c r="B436" s="202" t="s">
        <v>8</v>
      </c>
      <c r="C436" s="290"/>
      <c r="D436" s="290"/>
      <c r="E436" s="290"/>
      <c r="F436" s="290"/>
      <c r="G436" s="290"/>
      <c r="H436" s="290"/>
      <c r="I436" s="290"/>
      <c r="J436" s="290"/>
      <c r="K436" s="290"/>
      <c r="L436" s="290"/>
      <c r="M436" s="290"/>
      <c r="N436" s="290"/>
      <c r="O436" s="290"/>
      <c r="P436" s="153"/>
      <c r="Q436" s="262"/>
      <c r="R436" s="263"/>
      <c r="S436" s="386"/>
      <c r="T436" s="357"/>
      <c r="U436" s="357"/>
      <c r="W436" s="387"/>
      <c r="X436" s="357"/>
      <c r="Z436" s="387"/>
      <c r="AA436" s="357"/>
      <c r="AC436" s="387"/>
      <c r="AD436" s="357"/>
      <c r="AF436" s="387"/>
      <c r="AG436" s="357"/>
      <c r="AI436" s="387"/>
      <c r="AJ436" s="357"/>
      <c r="AL436" s="387"/>
      <c r="AM436" s="357"/>
    </row>
    <row r="437" spans="1:39" s="264" customFormat="1" x14ac:dyDescent="0.2">
      <c r="A437" s="283"/>
      <c r="B437" s="206"/>
      <c r="C437" s="290"/>
      <c r="D437" s="290"/>
      <c r="E437" s="290"/>
      <c r="F437" s="290"/>
      <c r="G437" s="290"/>
      <c r="H437" s="290"/>
      <c r="I437" s="290"/>
      <c r="J437" s="290"/>
      <c r="K437" s="290"/>
      <c r="L437" s="290"/>
      <c r="M437" s="290"/>
      <c r="N437" s="290"/>
      <c r="O437" s="290"/>
      <c r="P437" s="153"/>
      <c r="Q437" s="262"/>
      <c r="R437" s="263"/>
      <c r="S437" s="386"/>
      <c r="T437" s="357"/>
      <c r="U437" s="357"/>
      <c r="W437" s="387"/>
      <c r="X437" s="357"/>
      <c r="Z437" s="387"/>
      <c r="AA437" s="357"/>
      <c r="AC437" s="387"/>
      <c r="AD437" s="357"/>
      <c r="AF437" s="387"/>
      <c r="AG437" s="357"/>
      <c r="AI437" s="387"/>
      <c r="AJ437" s="357"/>
      <c r="AL437" s="387"/>
      <c r="AM437" s="357"/>
    </row>
    <row r="438" spans="1:39" s="264" customFormat="1" ht="42.75" customHeight="1" x14ac:dyDescent="0.2">
      <c r="A438" s="283" t="s">
        <v>73</v>
      </c>
      <c r="B438" s="206" t="s">
        <v>152</v>
      </c>
      <c r="C438" s="290">
        <f>(W438+X438)*$C$3</f>
        <v>0</v>
      </c>
      <c r="D438" s="290">
        <f>C438*$Q438</f>
        <v>0</v>
      </c>
      <c r="E438" s="290">
        <f>(Z438+AA438)*$E$3</f>
        <v>0</v>
      </c>
      <c r="F438" s="290">
        <f>E438*$Q438</f>
        <v>0</v>
      </c>
      <c r="G438" s="290">
        <f>(AC438+AD438)*$G$3</f>
        <v>0</v>
      </c>
      <c r="H438" s="290">
        <f>G438*$Q438</f>
        <v>0</v>
      </c>
      <c r="I438" s="290">
        <f>(AF438+AG438)*$I$3</f>
        <v>0</v>
      </c>
      <c r="J438" s="290">
        <f>I438*$Q438</f>
        <v>0</v>
      </c>
      <c r="K438" s="290">
        <f>(AI438+AJ438)*$K$3</f>
        <v>0</v>
      </c>
      <c r="L438" s="290">
        <f>K438*$Q438</f>
        <v>0</v>
      </c>
      <c r="M438" s="290">
        <f>(AL438+AM438)*$M$3</f>
        <v>0</v>
      </c>
      <c r="N438" s="290">
        <f>M438*$Q438</f>
        <v>0</v>
      </c>
      <c r="O438" s="290">
        <f>C438+E438+G438+I438+K438+M438</f>
        <v>0</v>
      </c>
      <c r="P438" s="153" t="s">
        <v>5</v>
      </c>
      <c r="Q438" s="262"/>
      <c r="R438" s="263"/>
      <c r="S438" s="386"/>
      <c r="T438" s="357"/>
      <c r="U438" s="266">
        <v>0</v>
      </c>
      <c r="W438" s="268">
        <f>T438*$W$3</f>
        <v>0</v>
      </c>
      <c r="X438" s="266">
        <f>U438*$X$3</f>
        <v>0</v>
      </c>
      <c r="Y438" s="267"/>
      <c r="Z438" s="268">
        <f>W438</f>
        <v>0</v>
      </c>
      <c r="AA438" s="266">
        <f>U438*$AA$3</f>
        <v>0</v>
      </c>
      <c r="AB438" s="267"/>
      <c r="AC438" s="268">
        <f>W438</f>
        <v>0</v>
      </c>
      <c r="AD438" s="266">
        <f>U438*$AD$3</f>
        <v>0</v>
      </c>
      <c r="AE438" s="267"/>
      <c r="AF438" s="268">
        <f>W438</f>
        <v>0</v>
      </c>
      <c r="AG438" s="266">
        <f>U438*$AG$3</f>
        <v>0</v>
      </c>
      <c r="AH438" s="267"/>
      <c r="AI438" s="268">
        <f>W438</f>
        <v>0</v>
      </c>
      <c r="AJ438" s="266">
        <f>U438*$AJ$3</f>
        <v>0</v>
      </c>
      <c r="AK438" s="267"/>
      <c r="AL438" s="268">
        <f>W438</f>
        <v>0</v>
      </c>
      <c r="AM438" s="266">
        <f>U438*$AM$3</f>
        <v>0</v>
      </c>
    </row>
    <row r="439" spans="1:39" s="264" customFormat="1" x14ac:dyDescent="0.2">
      <c r="A439" s="308"/>
      <c r="B439" s="206"/>
      <c r="C439" s="290"/>
      <c r="D439" s="290"/>
      <c r="E439" s="290"/>
      <c r="F439" s="290"/>
      <c r="G439" s="290"/>
      <c r="H439" s="290"/>
      <c r="I439" s="290"/>
      <c r="J439" s="290"/>
      <c r="K439" s="290"/>
      <c r="L439" s="290"/>
      <c r="M439" s="290"/>
      <c r="N439" s="290"/>
      <c r="O439" s="290"/>
      <c r="P439" s="153"/>
      <c r="Q439" s="262"/>
      <c r="R439" s="263"/>
      <c r="S439" s="386"/>
      <c r="T439" s="357"/>
      <c r="U439" s="357"/>
      <c r="W439" s="387"/>
      <c r="X439" s="357"/>
      <c r="Z439" s="387"/>
      <c r="AA439" s="357"/>
      <c r="AC439" s="387"/>
      <c r="AD439" s="357"/>
      <c r="AF439" s="387"/>
      <c r="AG439" s="357"/>
      <c r="AI439" s="387"/>
      <c r="AJ439" s="357"/>
      <c r="AL439" s="387"/>
      <c r="AM439" s="357"/>
    </row>
    <row r="440" spans="1:39" s="264" customFormat="1" x14ac:dyDescent="0.2">
      <c r="A440" s="308"/>
      <c r="B440" s="206"/>
      <c r="C440" s="290"/>
      <c r="D440" s="290"/>
      <c r="E440" s="290"/>
      <c r="F440" s="290"/>
      <c r="G440" s="290"/>
      <c r="H440" s="290"/>
      <c r="I440" s="290"/>
      <c r="J440" s="290"/>
      <c r="K440" s="290"/>
      <c r="L440" s="290"/>
      <c r="M440" s="290"/>
      <c r="N440" s="290"/>
      <c r="O440" s="290"/>
      <c r="P440" s="153"/>
      <c r="Q440" s="262"/>
      <c r="R440" s="263"/>
      <c r="S440" s="386"/>
      <c r="T440" s="357"/>
      <c r="U440" s="357"/>
      <c r="W440" s="387"/>
      <c r="X440" s="357"/>
      <c r="Z440" s="387"/>
      <c r="AA440" s="357"/>
      <c r="AC440" s="387"/>
      <c r="AD440" s="357"/>
      <c r="AF440" s="387"/>
      <c r="AG440" s="357"/>
      <c r="AI440" s="387"/>
      <c r="AJ440" s="357"/>
      <c r="AL440" s="387"/>
      <c r="AM440" s="357"/>
    </row>
    <row r="441" spans="1:39" s="264" customFormat="1" x14ac:dyDescent="0.2">
      <c r="A441" s="308"/>
      <c r="B441" s="206"/>
      <c r="C441" s="290"/>
      <c r="D441" s="290"/>
      <c r="E441" s="290"/>
      <c r="F441" s="290"/>
      <c r="G441" s="290"/>
      <c r="H441" s="290"/>
      <c r="I441" s="290"/>
      <c r="J441" s="290"/>
      <c r="K441" s="290"/>
      <c r="L441" s="290"/>
      <c r="M441" s="290"/>
      <c r="N441" s="290"/>
      <c r="O441" s="290"/>
      <c r="P441" s="153"/>
      <c r="Q441" s="262"/>
      <c r="R441" s="263"/>
      <c r="S441" s="386"/>
      <c r="T441" s="357"/>
      <c r="U441" s="357"/>
      <c r="W441" s="387"/>
      <c r="X441" s="357"/>
      <c r="Z441" s="387"/>
      <c r="AA441" s="357"/>
      <c r="AC441" s="387"/>
      <c r="AD441" s="357"/>
      <c r="AF441" s="387"/>
      <c r="AG441" s="357"/>
      <c r="AI441" s="387"/>
      <c r="AJ441" s="357"/>
      <c r="AL441" s="387"/>
      <c r="AM441" s="357"/>
    </row>
    <row r="442" spans="1:39" s="264" customFormat="1" x14ac:dyDescent="0.2">
      <c r="A442" s="308"/>
      <c r="B442" s="206"/>
      <c r="C442" s="290"/>
      <c r="D442" s="290"/>
      <c r="E442" s="290"/>
      <c r="F442" s="290"/>
      <c r="G442" s="290"/>
      <c r="H442" s="290"/>
      <c r="I442" s="290"/>
      <c r="J442" s="290"/>
      <c r="K442" s="290"/>
      <c r="L442" s="290"/>
      <c r="M442" s="290"/>
      <c r="N442" s="290"/>
      <c r="O442" s="290"/>
      <c r="P442" s="153"/>
      <c r="Q442" s="262"/>
      <c r="R442" s="263"/>
      <c r="S442" s="386"/>
      <c r="T442" s="357"/>
      <c r="U442" s="357"/>
      <c r="W442" s="387"/>
      <c r="X442" s="357"/>
      <c r="Z442" s="387"/>
      <c r="AA442" s="357"/>
      <c r="AC442" s="387"/>
      <c r="AD442" s="357"/>
      <c r="AF442" s="387"/>
      <c r="AG442" s="357"/>
      <c r="AI442" s="387"/>
      <c r="AJ442" s="357"/>
      <c r="AL442" s="387"/>
      <c r="AM442" s="357"/>
    </row>
    <row r="443" spans="1:39" s="264" customFormat="1" x14ac:dyDescent="0.2">
      <c r="A443" s="308"/>
      <c r="B443" s="206"/>
      <c r="C443" s="290"/>
      <c r="D443" s="290"/>
      <c r="E443" s="290"/>
      <c r="F443" s="290"/>
      <c r="G443" s="290"/>
      <c r="H443" s="290"/>
      <c r="I443" s="290"/>
      <c r="J443" s="290"/>
      <c r="K443" s="290"/>
      <c r="L443" s="290"/>
      <c r="M443" s="290"/>
      <c r="N443" s="290"/>
      <c r="O443" s="290"/>
      <c r="P443" s="153"/>
      <c r="Q443" s="262"/>
      <c r="R443" s="263"/>
      <c r="S443" s="386"/>
      <c r="T443" s="357"/>
      <c r="U443" s="357"/>
      <c r="W443" s="387"/>
      <c r="X443" s="357"/>
      <c r="Z443" s="387"/>
      <c r="AA443" s="357"/>
      <c r="AC443" s="387"/>
      <c r="AD443" s="357"/>
      <c r="AF443" s="387"/>
      <c r="AG443" s="357"/>
      <c r="AI443" s="387"/>
      <c r="AJ443" s="357"/>
      <c r="AL443" s="387"/>
      <c r="AM443" s="357"/>
    </row>
    <row r="444" spans="1:39" s="264" customFormat="1" x14ac:dyDescent="0.2">
      <c r="A444" s="308"/>
      <c r="B444" s="206"/>
      <c r="C444" s="290"/>
      <c r="D444" s="290"/>
      <c r="E444" s="290"/>
      <c r="F444" s="290"/>
      <c r="G444" s="290"/>
      <c r="H444" s="290"/>
      <c r="I444" s="290"/>
      <c r="J444" s="290"/>
      <c r="K444" s="290"/>
      <c r="L444" s="290"/>
      <c r="M444" s="290"/>
      <c r="N444" s="290"/>
      <c r="O444" s="290"/>
      <c r="P444" s="153"/>
      <c r="Q444" s="262"/>
      <c r="R444" s="263"/>
      <c r="S444" s="386"/>
      <c r="T444" s="357"/>
      <c r="U444" s="357"/>
      <c r="W444" s="387"/>
      <c r="X444" s="357"/>
      <c r="Z444" s="387"/>
      <c r="AA444" s="357"/>
      <c r="AC444" s="387"/>
      <c r="AD444" s="357"/>
      <c r="AF444" s="387"/>
      <c r="AG444" s="357"/>
      <c r="AI444" s="387"/>
      <c r="AJ444" s="357"/>
      <c r="AL444" s="387"/>
      <c r="AM444" s="357"/>
    </row>
    <row r="445" spans="1:39" s="264" customFormat="1" x14ac:dyDescent="0.2">
      <c r="A445" s="308"/>
      <c r="B445" s="206"/>
      <c r="C445" s="290"/>
      <c r="D445" s="290"/>
      <c r="E445" s="290"/>
      <c r="F445" s="290"/>
      <c r="G445" s="290"/>
      <c r="H445" s="290"/>
      <c r="I445" s="290"/>
      <c r="J445" s="290"/>
      <c r="K445" s="290"/>
      <c r="L445" s="290"/>
      <c r="M445" s="290"/>
      <c r="N445" s="290"/>
      <c r="O445" s="290"/>
      <c r="P445" s="153"/>
      <c r="Q445" s="262"/>
      <c r="R445" s="263"/>
      <c r="S445" s="386"/>
      <c r="T445" s="357"/>
      <c r="U445" s="357"/>
      <c r="W445" s="387"/>
      <c r="X445" s="357"/>
      <c r="Z445" s="387"/>
      <c r="AA445" s="357"/>
      <c r="AC445" s="387"/>
      <c r="AD445" s="357"/>
      <c r="AF445" s="387"/>
      <c r="AG445" s="357"/>
      <c r="AI445" s="387"/>
      <c r="AJ445" s="357"/>
      <c r="AL445" s="387"/>
      <c r="AM445" s="357"/>
    </row>
    <row r="446" spans="1:39" s="264" customFormat="1" x14ac:dyDescent="0.2">
      <c r="A446" s="308"/>
      <c r="B446" s="206"/>
      <c r="C446" s="290"/>
      <c r="D446" s="290"/>
      <c r="E446" s="290"/>
      <c r="F446" s="290"/>
      <c r="G446" s="290"/>
      <c r="H446" s="290"/>
      <c r="I446" s="290"/>
      <c r="J446" s="290"/>
      <c r="K446" s="290"/>
      <c r="L446" s="290"/>
      <c r="M446" s="290"/>
      <c r="N446" s="290"/>
      <c r="O446" s="290"/>
      <c r="P446" s="153"/>
      <c r="Q446" s="262"/>
      <c r="R446" s="263"/>
      <c r="S446" s="386"/>
      <c r="T446" s="357"/>
      <c r="U446" s="357"/>
      <c r="W446" s="387"/>
      <c r="X446" s="357"/>
      <c r="Z446" s="387"/>
      <c r="AA446" s="357"/>
      <c r="AC446" s="387"/>
      <c r="AD446" s="357"/>
      <c r="AF446" s="387"/>
      <c r="AG446" s="357"/>
      <c r="AI446" s="387"/>
      <c r="AJ446" s="357"/>
      <c r="AL446" s="387"/>
      <c r="AM446" s="357"/>
    </row>
    <row r="447" spans="1:39" s="264" customFormat="1" x14ac:dyDescent="0.2">
      <c r="A447" s="308"/>
      <c r="B447" s="206"/>
      <c r="C447" s="290"/>
      <c r="D447" s="290"/>
      <c r="E447" s="290"/>
      <c r="F447" s="290"/>
      <c r="G447" s="290"/>
      <c r="H447" s="290"/>
      <c r="I447" s="290"/>
      <c r="J447" s="290"/>
      <c r="K447" s="290"/>
      <c r="L447" s="290"/>
      <c r="M447" s="290"/>
      <c r="N447" s="290"/>
      <c r="O447" s="290"/>
      <c r="P447" s="153"/>
      <c r="Q447" s="262"/>
      <c r="R447" s="263"/>
      <c r="S447" s="386"/>
      <c r="T447" s="357"/>
      <c r="U447" s="357"/>
      <c r="W447" s="387"/>
      <c r="X447" s="357"/>
      <c r="Z447" s="387"/>
      <c r="AA447" s="357"/>
      <c r="AC447" s="387"/>
      <c r="AD447" s="357"/>
      <c r="AF447" s="387"/>
      <c r="AG447" s="357"/>
      <c r="AI447" s="387"/>
      <c r="AJ447" s="357"/>
      <c r="AL447" s="387"/>
      <c r="AM447" s="357"/>
    </row>
    <row r="448" spans="1:39" s="264" customFormat="1" x14ac:dyDescent="0.2">
      <c r="A448" s="308"/>
      <c r="B448" s="206"/>
      <c r="C448" s="290"/>
      <c r="D448" s="290"/>
      <c r="E448" s="290"/>
      <c r="F448" s="290"/>
      <c r="G448" s="290"/>
      <c r="H448" s="290"/>
      <c r="I448" s="290"/>
      <c r="J448" s="290"/>
      <c r="K448" s="290"/>
      <c r="L448" s="290"/>
      <c r="M448" s="290"/>
      <c r="N448" s="290"/>
      <c r="O448" s="290"/>
      <c r="P448" s="153"/>
      <c r="Q448" s="262"/>
      <c r="R448" s="263"/>
      <c r="S448" s="386"/>
      <c r="T448" s="357"/>
      <c r="U448" s="357"/>
      <c r="W448" s="387"/>
      <c r="X448" s="357"/>
      <c r="Z448" s="387"/>
      <c r="AA448" s="357"/>
      <c r="AC448" s="387"/>
      <c r="AD448" s="357"/>
      <c r="AF448" s="387"/>
      <c r="AG448" s="357"/>
      <c r="AI448" s="387"/>
      <c r="AJ448" s="357"/>
      <c r="AL448" s="387"/>
      <c r="AM448" s="357"/>
    </row>
    <row r="449" spans="1:39" s="264" customFormat="1" x14ac:dyDescent="0.2">
      <c r="A449" s="308"/>
      <c r="B449" s="206"/>
      <c r="C449" s="290"/>
      <c r="D449" s="290"/>
      <c r="E449" s="290"/>
      <c r="F449" s="290"/>
      <c r="G449" s="290"/>
      <c r="H449" s="290"/>
      <c r="I449" s="290"/>
      <c r="J449" s="290"/>
      <c r="K449" s="290"/>
      <c r="L449" s="290"/>
      <c r="M449" s="290"/>
      <c r="N449" s="290"/>
      <c r="O449" s="290"/>
      <c r="P449" s="153"/>
      <c r="Q449" s="262"/>
      <c r="R449" s="263"/>
      <c r="S449" s="386"/>
      <c r="T449" s="357"/>
      <c r="U449" s="357"/>
      <c r="W449" s="387"/>
      <c r="X449" s="357"/>
      <c r="Z449" s="387"/>
      <c r="AA449" s="357"/>
      <c r="AC449" s="387"/>
      <c r="AD449" s="357"/>
      <c r="AF449" s="387"/>
      <c r="AG449" s="357"/>
      <c r="AI449" s="387"/>
      <c r="AJ449" s="357"/>
      <c r="AL449" s="387"/>
      <c r="AM449" s="357"/>
    </row>
    <row r="450" spans="1:39" s="264" customFormat="1" x14ac:dyDescent="0.2">
      <c r="A450" s="308"/>
      <c r="B450" s="206"/>
      <c r="C450" s="290"/>
      <c r="D450" s="290"/>
      <c r="E450" s="290"/>
      <c r="F450" s="290"/>
      <c r="G450" s="290"/>
      <c r="H450" s="290"/>
      <c r="I450" s="290"/>
      <c r="J450" s="290"/>
      <c r="K450" s="290"/>
      <c r="L450" s="290"/>
      <c r="M450" s="290"/>
      <c r="N450" s="290"/>
      <c r="O450" s="290"/>
      <c r="P450" s="153"/>
      <c r="Q450" s="262"/>
      <c r="R450" s="263"/>
      <c r="S450" s="386"/>
      <c r="T450" s="357"/>
      <c r="U450" s="357"/>
      <c r="W450" s="387"/>
      <c r="X450" s="357"/>
      <c r="Z450" s="387"/>
      <c r="AA450" s="357"/>
      <c r="AC450" s="387"/>
      <c r="AD450" s="357"/>
      <c r="AF450" s="387"/>
      <c r="AG450" s="357"/>
      <c r="AI450" s="387"/>
      <c r="AJ450" s="357"/>
      <c r="AL450" s="387"/>
      <c r="AM450" s="357"/>
    </row>
    <row r="451" spans="1:39" s="264" customFormat="1" x14ac:dyDescent="0.2">
      <c r="A451" s="308"/>
      <c r="B451" s="206"/>
      <c r="C451" s="290"/>
      <c r="D451" s="290"/>
      <c r="E451" s="290"/>
      <c r="F451" s="290"/>
      <c r="G451" s="290"/>
      <c r="H451" s="290"/>
      <c r="I451" s="290"/>
      <c r="J451" s="290"/>
      <c r="K451" s="290"/>
      <c r="L451" s="290"/>
      <c r="M451" s="290"/>
      <c r="N451" s="290"/>
      <c r="O451" s="290"/>
      <c r="P451" s="153"/>
      <c r="Q451" s="262"/>
      <c r="R451" s="263"/>
      <c r="S451" s="386"/>
      <c r="T451" s="357"/>
      <c r="U451" s="357"/>
      <c r="W451" s="387"/>
      <c r="X451" s="357"/>
      <c r="Z451" s="387"/>
      <c r="AA451" s="357"/>
      <c r="AC451" s="387"/>
      <c r="AD451" s="357"/>
      <c r="AF451" s="387"/>
      <c r="AG451" s="357"/>
      <c r="AI451" s="387"/>
      <c r="AJ451" s="357"/>
      <c r="AL451" s="387"/>
      <c r="AM451" s="357"/>
    </row>
    <row r="452" spans="1:39" s="264" customFormat="1" x14ac:dyDescent="0.2">
      <c r="A452" s="308"/>
      <c r="B452" s="206"/>
      <c r="C452" s="290"/>
      <c r="D452" s="290"/>
      <c r="E452" s="290"/>
      <c r="F452" s="290"/>
      <c r="G452" s="290"/>
      <c r="H452" s="290"/>
      <c r="I452" s="290"/>
      <c r="J452" s="290"/>
      <c r="K452" s="290"/>
      <c r="L452" s="290"/>
      <c r="M452" s="290"/>
      <c r="N452" s="290"/>
      <c r="O452" s="290"/>
      <c r="P452" s="153"/>
      <c r="Q452" s="262"/>
      <c r="R452" s="263"/>
      <c r="S452" s="386"/>
      <c r="T452" s="357"/>
      <c r="U452" s="357"/>
      <c r="W452" s="387"/>
      <c r="X452" s="357"/>
      <c r="Z452" s="387"/>
      <c r="AA452" s="357"/>
      <c r="AC452" s="387"/>
      <c r="AD452" s="357"/>
      <c r="AF452" s="387"/>
      <c r="AG452" s="357"/>
      <c r="AI452" s="387"/>
      <c r="AJ452" s="357"/>
      <c r="AL452" s="387"/>
      <c r="AM452" s="357"/>
    </row>
    <row r="453" spans="1:39" s="264" customFormat="1" x14ac:dyDescent="0.2">
      <c r="A453" s="308"/>
      <c r="B453" s="259"/>
      <c r="C453" s="290"/>
      <c r="D453" s="290"/>
      <c r="E453" s="290"/>
      <c r="F453" s="290"/>
      <c r="G453" s="290"/>
      <c r="H453" s="290"/>
      <c r="I453" s="290"/>
      <c r="J453" s="290"/>
      <c r="K453" s="290"/>
      <c r="L453" s="290"/>
      <c r="M453" s="290"/>
      <c r="N453" s="290"/>
      <c r="O453" s="290"/>
      <c r="P453" s="261"/>
      <c r="Q453" s="262"/>
      <c r="R453" s="263"/>
      <c r="S453" s="386"/>
      <c r="T453" s="357"/>
      <c r="U453" s="357"/>
      <c r="W453" s="387"/>
      <c r="X453" s="357"/>
      <c r="Z453" s="387"/>
      <c r="AA453" s="357"/>
      <c r="AC453" s="387"/>
      <c r="AD453" s="357"/>
      <c r="AF453" s="387"/>
      <c r="AG453" s="357"/>
      <c r="AI453" s="387"/>
      <c r="AJ453" s="357"/>
      <c r="AL453" s="387"/>
      <c r="AM453" s="357"/>
    </row>
    <row r="454" spans="1:39" s="264" customFormat="1" x14ac:dyDescent="0.2">
      <c r="A454" s="308"/>
      <c r="B454" s="259"/>
      <c r="C454" s="290"/>
      <c r="D454" s="290"/>
      <c r="E454" s="290"/>
      <c r="F454" s="290"/>
      <c r="G454" s="290"/>
      <c r="H454" s="290"/>
      <c r="I454" s="290"/>
      <c r="J454" s="290"/>
      <c r="K454" s="290"/>
      <c r="L454" s="290"/>
      <c r="M454" s="290"/>
      <c r="N454" s="290"/>
      <c r="O454" s="290"/>
      <c r="P454" s="261"/>
      <c r="Q454" s="262"/>
      <c r="R454" s="263"/>
      <c r="S454" s="386"/>
      <c r="T454" s="399"/>
      <c r="U454" s="357"/>
      <c r="W454" s="400"/>
      <c r="X454" s="399"/>
      <c r="Z454" s="400"/>
      <c r="AA454" s="399"/>
      <c r="AC454" s="400"/>
      <c r="AD454" s="399"/>
      <c r="AF454" s="400"/>
      <c r="AG454" s="399"/>
      <c r="AI454" s="400"/>
      <c r="AJ454" s="399"/>
      <c r="AL454" s="400"/>
      <c r="AM454" s="399"/>
    </row>
    <row r="455" spans="1:39" s="264" customFormat="1" x14ac:dyDescent="0.2">
      <c r="A455" s="391"/>
      <c r="B455" s="392"/>
      <c r="C455" s="377"/>
      <c r="D455" s="377"/>
      <c r="E455" s="377"/>
      <c r="F455" s="377"/>
      <c r="G455" s="377"/>
      <c r="H455" s="377"/>
      <c r="I455" s="377"/>
      <c r="J455" s="377"/>
      <c r="K455" s="377"/>
      <c r="L455" s="377"/>
      <c r="M455" s="377"/>
      <c r="N455" s="377"/>
      <c r="O455" s="377"/>
      <c r="P455" s="377"/>
      <c r="Q455" s="378"/>
      <c r="R455" s="379"/>
      <c r="S455" s="386"/>
      <c r="T455" s="393"/>
      <c r="U455" s="393"/>
      <c r="W455" s="394"/>
      <c r="X455" s="393"/>
      <c r="Z455" s="394"/>
      <c r="AA455" s="393"/>
      <c r="AC455" s="394"/>
      <c r="AD455" s="393"/>
      <c r="AF455" s="394"/>
      <c r="AG455" s="393"/>
      <c r="AI455" s="394"/>
      <c r="AJ455" s="393"/>
      <c r="AL455" s="394"/>
      <c r="AM455" s="393"/>
    </row>
    <row r="456" spans="1:39" s="264" customFormat="1" x14ac:dyDescent="0.2">
      <c r="A456" s="395"/>
      <c r="B456" s="396"/>
      <c r="C456" s="550" t="s">
        <v>1</v>
      </c>
      <c r="D456" s="550"/>
      <c r="E456" s="550"/>
      <c r="F456" s="550"/>
      <c r="G456" s="550"/>
      <c r="H456" s="550"/>
      <c r="I456" s="550"/>
      <c r="J456" s="550"/>
      <c r="K456" s="550"/>
      <c r="L456" s="550"/>
      <c r="M456" s="550"/>
      <c r="N456" s="550"/>
      <c r="O456" s="550"/>
      <c r="P456" s="550"/>
      <c r="Q456" s="381" t="s">
        <v>0</v>
      </c>
      <c r="R456" s="263"/>
      <c r="S456" s="386"/>
      <c r="T456" s="397"/>
      <c r="U456" s="397"/>
      <c r="W456" s="398"/>
      <c r="X456" s="397"/>
      <c r="Z456" s="398"/>
      <c r="AA456" s="397"/>
      <c r="AC456" s="398"/>
      <c r="AD456" s="397"/>
      <c r="AF456" s="398"/>
      <c r="AG456" s="397"/>
      <c r="AI456" s="398"/>
      <c r="AJ456" s="397"/>
      <c r="AL456" s="398"/>
      <c r="AM456" s="397"/>
    </row>
    <row r="457" spans="1:39" s="264" customFormat="1" x14ac:dyDescent="0.2">
      <c r="A457" s="395"/>
      <c r="B457" s="396"/>
      <c r="C457" s="309"/>
      <c r="D457" s="309"/>
      <c r="E457" s="309"/>
      <c r="F457" s="309"/>
      <c r="G457" s="309"/>
      <c r="H457" s="309"/>
      <c r="I457" s="309"/>
      <c r="J457" s="309"/>
      <c r="K457" s="309"/>
      <c r="L457" s="309"/>
      <c r="M457" s="309"/>
      <c r="N457" s="309"/>
      <c r="O457" s="309"/>
      <c r="P457" s="309"/>
      <c r="Q457" s="294"/>
      <c r="R457" s="382"/>
      <c r="S457" s="386"/>
      <c r="T457" s="399"/>
      <c r="U457" s="399"/>
      <c r="W457" s="400"/>
      <c r="X457" s="399"/>
      <c r="Z457" s="400"/>
      <c r="AA457" s="399"/>
      <c r="AC457" s="400"/>
      <c r="AD457" s="399"/>
      <c r="AF457" s="400"/>
      <c r="AG457" s="399"/>
      <c r="AI457" s="400"/>
      <c r="AJ457" s="399"/>
      <c r="AL457" s="400"/>
      <c r="AM457" s="399"/>
    </row>
    <row r="458" spans="1:39" s="264" customFormat="1" x14ac:dyDescent="0.2">
      <c r="A458" s="419"/>
      <c r="B458" s="396"/>
      <c r="C458" s="309"/>
      <c r="D458" s="309"/>
      <c r="E458" s="309"/>
      <c r="F458" s="309"/>
      <c r="G458" s="309"/>
      <c r="H458" s="309"/>
      <c r="I458" s="309"/>
      <c r="J458" s="309"/>
      <c r="K458" s="309"/>
      <c r="L458" s="309"/>
      <c r="M458" s="309"/>
      <c r="N458" s="309"/>
      <c r="O458" s="309"/>
      <c r="P458" s="309"/>
      <c r="Q458" s="294"/>
      <c r="R458" s="379"/>
      <c r="S458" s="386"/>
      <c r="T458" s="357"/>
      <c r="U458" s="357"/>
      <c r="W458" s="387"/>
      <c r="X458" s="357"/>
      <c r="Z458" s="387"/>
      <c r="AA458" s="357"/>
      <c r="AC458" s="387"/>
      <c r="AD458" s="357"/>
      <c r="AF458" s="387"/>
      <c r="AG458" s="357"/>
      <c r="AI458" s="387"/>
      <c r="AJ458" s="357"/>
      <c r="AL458" s="387"/>
      <c r="AM458" s="357"/>
    </row>
    <row r="459" spans="1:39" s="264" customFormat="1" x14ac:dyDescent="0.2">
      <c r="A459" s="419"/>
      <c r="B459" s="396"/>
      <c r="C459" s="309"/>
      <c r="D459" s="309"/>
      <c r="E459" s="309"/>
      <c r="F459" s="309"/>
      <c r="G459" s="309"/>
      <c r="H459" s="309"/>
      <c r="I459" s="309"/>
      <c r="J459" s="309"/>
      <c r="K459" s="309"/>
      <c r="L459" s="309"/>
      <c r="M459" s="309"/>
      <c r="N459" s="309"/>
      <c r="O459" s="309"/>
      <c r="P459" s="309"/>
      <c r="Q459" s="410"/>
      <c r="R459" s="263"/>
      <c r="S459" s="386"/>
      <c r="T459" s="357"/>
      <c r="U459" s="357"/>
      <c r="W459" s="387"/>
      <c r="X459" s="357"/>
      <c r="Z459" s="387"/>
      <c r="AA459" s="357"/>
      <c r="AC459" s="387"/>
      <c r="AD459" s="357"/>
      <c r="AF459" s="387"/>
      <c r="AG459" s="357"/>
      <c r="AI459" s="387"/>
      <c r="AJ459" s="357"/>
      <c r="AL459" s="387"/>
      <c r="AM459" s="357"/>
    </row>
    <row r="460" spans="1:39" s="264" customFormat="1" x14ac:dyDescent="0.2">
      <c r="A460" s="419"/>
      <c r="B460" s="396"/>
      <c r="C460" s="309"/>
      <c r="D460" s="309"/>
      <c r="E460" s="309"/>
      <c r="F460" s="309"/>
      <c r="G460" s="309"/>
      <c r="H460" s="309"/>
      <c r="I460" s="309"/>
      <c r="J460" s="309"/>
      <c r="K460" s="309"/>
      <c r="L460" s="309"/>
      <c r="M460" s="309"/>
      <c r="N460" s="309"/>
      <c r="O460" s="554" t="s">
        <v>17</v>
      </c>
      <c r="P460" s="554"/>
      <c r="Q460" s="410"/>
      <c r="R460" s="263"/>
      <c r="S460" s="386"/>
      <c r="T460" s="397"/>
      <c r="U460" s="397"/>
      <c r="W460" s="398"/>
      <c r="X460" s="397"/>
      <c r="Z460" s="398"/>
      <c r="AA460" s="397"/>
      <c r="AC460" s="398"/>
      <c r="AD460" s="397"/>
      <c r="AF460" s="398"/>
      <c r="AG460" s="397"/>
      <c r="AI460" s="398"/>
      <c r="AJ460" s="397"/>
      <c r="AL460" s="398"/>
      <c r="AM460" s="397"/>
    </row>
    <row r="461" spans="1:39" s="264" customFormat="1" x14ac:dyDescent="0.2">
      <c r="A461" s="419"/>
      <c r="B461" s="396"/>
      <c r="C461" s="309"/>
      <c r="D461" s="309"/>
      <c r="E461" s="309"/>
      <c r="F461" s="309"/>
      <c r="G461" s="309"/>
      <c r="H461" s="309"/>
      <c r="I461" s="309"/>
      <c r="J461" s="309"/>
      <c r="K461" s="309"/>
      <c r="L461" s="309"/>
      <c r="M461" s="309"/>
      <c r="N461" s="309"/>
      <c r="O461" s="309"/>
      <c r="P461" s="309"/>
      <c r="Q461" s="410"/>
      <c r="R461" s="263"/>
      <c r="S461" s="386"/>
      <c r="T461" s="357"/>
      <c r="U461" s="357"/>
      <c r="W461" s="387"/>
      <c r="X461" s="357"/>
      <c r="Z461" s="387"/>
      <c r="AA461" s="357"/>
      <c r="AC461" s="387"/>
      <c r="AD461" s="357"/>
      <c r="AF461" s="387"/>
      <c r="AG461" s="357"/>
      <c r="AI461" s="387"/>
      <c r="AJ461" s="357"/>
      <c r="AL461" s="387"/>
      <c r="AM461" s="357"/>
    </row>
    <row r="462" spans="1:39" s="264" customFormat="1" x14ac:dyDescent="0.2">
      <c r="A462" s="419"/>
      <c r="B462" s="396"/>
      <c r="C462" s="309"/>
      <c r="D462" s="309"/>
      <c r="E462" s="309"/>
      <c r="F462" s="309"/>
      <c r="G462" s="309"/>
      <c r="H462" s="309"/>
      <c r="I462" s="309"/>
      <c r="J462" s="309"/>
      <c r="K462" s="309"/>
      <c r="L462" s="309"/>
      <c r="M462" s="309"/>
      <c r="N462" s="309"/>
      <c r="O462" s="309" t="s">
        <v>813</v>
      </c>
      <c r="P462" s="309" t="s">
        <v>635</v>
      </c>
      <c r="Q462" s="410"/>
      <c r="R462" s="263"/>
      <c r="S462" s="386"/>
      <c r="T462" s="357"/>
      <c r="U462" s="357"/>
      <c r="W462" s="387"/>
      <c r="X462" s="357"/>
      <c r="Z462" s="387"/>
      <c r="AA462" s="357"/>
      <c r="AC462" s="387"/>
      <c r="AD462" s="357"/>
      <c r="AF462" s="387"/>
      <c r="AG462" s="357"/>
      <c r="AI462" s="387"/>
      <c r="AJ462" s="357"/>
      <c r="AL462" s="387"/>
      <c r="AM462" s="357"/>
    </row>
    <row r="463" spans="1:39" s="264" customFormat="1" x14ac:dyDescent="0.2">
      <c r="A463" s="419"/>
      <c r="B463" s="396"/>
      <c r="C463" s="309"/>
      <c r="D463" s="309"/>
      <c r="E463" s="309"/>
      <c r="F463" s="309"/>
      <c r="G463" s="309"/>
      <c r="H463" s="309"/>
      <c r="I463" s="309"/>
      <c r="J463" s="309"/>
      <c r="K463" s="309"/>
      <c r="L463" s="309"/>
      <c r="M463" s="309"/>
      <c r="N463" s="309"/>
      <c r="O463" s="309"/>
      <c r="P463" s="309"/>
      <c r="Q463" s="410"/>
      <c r="R463" s="263"/>
      <c r="S463" s="386"/>
      <c r="T463" s="357"/>
      <c r="U463" s="357"/>
      <c r="W463" s="387"/>
      <c r="X463" s="357"/>
      <c r="Z463" s="387"/>
      <c r="AA463" s="357"/>
      <c r="AC463" s="387"/>
      <c r="AD463" s="357"/>
      <c r="AF463" s="387"/>
      <c r="AG463" s="357"/>
      <c r="AI463" s="387"/>
      <c r="AJ463" s="357"/>
      <c r="AL463" s="387"/>
      <c r="AM463" s="357"/>
    </row>
    <row r="464" spans="1:39" s="264" customFormat="1" x14ac:dyDescent="0.2">
      <c r="A464" s="419"/>
      <c r="B464" s="396"/>
      <c r="C464" s="309"/>
      <c r="D464" s="309"/>
      <c r="E464" s="309"/>
      <c r="F464" s="309"/>
      <c r="G464" s="309"/>
      <c r="H464" s="309"/>
      <c r="I464" s="309"/>
      <c r="J464" s="309"/>
      <c r="K464" s="309"/>
      <c r="L464" s="309"/>
      <c r="M464" s="309"/>
      <c r="N464" s="309"/>
      <c r="O464" s="309" t="s">
        <v>813</v>
      </c>
      <c r="P464" s="309" t="s">
        <v>636</v>
      </c>
      <c r="Q464" s="410"/>
      <c r="R464" s="263"/>
      <c r="S464" s="386"/>
      <c r="T464" s="357"/>
      <c r="U464" s="357"/>
      <c r="W464" s="387"/>
      <c r="X464" s="357"/>
      <c r="Z464" s="387"/>
      <c r="AA464" s="357"/>
      <c r="AC464" s="387"/>
      <c r="AD464" s="357"/>
      <c r="AF464" s="387"/>
      <c r="AG464" s="357"/>
      <c r="AI464" s="387"/>
      <c r="AJ464" s="357"/>
      <c r="AL464" s="387"/>
      <c r="AM464" s="357"/>
    </row>
    <row r="465" spans="1:39" s="264" customFormat="1" x14ac:dyDescent="0.2">
      <c r="A465" s="419"/>
      <c r="B465" s="396"/>
      <c r="C465" s="309"/>
      <c r="D465" s="309"/>
      <c r="E465" s="309"/>
      <c r="F465" s="309"/>
      <c r="G465" s="309"/>
      <c r="H465" s="309"/>
      <c r="I465" s="309"/>
      <c r="J465" s="309"/>
      <c r="K465" s="309"/>
      <c r="L465" s="309"/>
      <c r="M465" s="309"/>
      <c r="N465" s="309"/>
      <c r="O465" s="309"/>
      <c r="P465" s="309"/>
      <c r="Q465" s="410"/>
      <c r="R465" s="263"/>
      <c r="S465" s="386"/>
      <c r="T465" s="357"/>
      <c r="U465" s="357"/>
      <c r="W465" s="387"/>
      <c r="X465" s="357"/>
      <c r="Z465" s="387"/>
      <c r="AA465" s="357"/>
      <c r="AC465" s="387"/>
      <c r="AD465" s="357"/>
      <c r="AF465" s="387"/>
      <c r="AG465" s="357"/>
      <c r="AI465" s="387"/>
      <c r="AJ465" s="357"/>
      <c r="AL465" s="387"/>
      <c r="AM465" s="357"/>
    </row>
    <row r="466" spans="1:39" s="264" customFormat="1" x14ac:dyDescent="0.2">
      <c r="A466" s="419"/>
      <c r="B466" s="396"/>
      <c r="C466" s="309"/>
      <c r="D466" s="309"/>
      <c r="E466" s="309"/>
      <c r="F466" s="309"/>
      <c r="G466" s="309"/>
      <c r="H466" s="309"/>
      <c r="I466" s="309"/>
      <c r="J466" s="309"/>
      <c r="K466" s="309"/>
      <c r="L466" s="309"/>
      <c r="M466" s="309"/>
      <c r="N466" s="309"/>
      <c r="O466" s="309" t="s">
        <v>813</v>
      </c>
      <c r="P466" s="309" t="s">
        <v>637</v>
      </c>
      <c r="Q466" s="410"/>
      <c r="R466" s="263"/>
      <c r="S466" s="386"/>
      <c r="T466" s="357"/>
      <c r="U466" s="357"/>
      <c r="W466" s="387"/>
      <c r="X466" s="357"/>
      <c r="Z466" s="387"/>
      <c r="AA466" s="357"/>
      <c r="AC466" s="387"/>
      <c r="AD466" s="357"/>
      <c r="AF466" s="387"/>
      <c r="AG466" s="357"/>
      <c r="AI466" s="387"/>
      <c r="AJ466" s="357"/>
      <c r="AL466" s="387"/>
      <c r="AM466" s="357"/>
    </row>
    <row r="467" spans="1:39" s="264" customFormat="1" x14ac:dyDescent="0.2">
      <c r="A467" s="419"/>
      <c r="B467" s="396"/>
      <c r="C467" s="309"/>
      <c r="D467" s="309"/>
      <c r="E467" s="309"/>
      <c r="F467" s="309"/>
      <c r="G467" s="309"/>
      <c r="H467" s="309"/>
      <c r="I467" s="309"/>
      <c r="J467" s="309"/>
      <c r="K467" s="309"/>
      <c r="L467" s="309"/>
      <c r="M467" s="309"/>
      <c r="N467" s="309"/>
      <c r="O467" s="309"/>
      <c r="P467" s="309"/>
      <c r="Q467" s="410"/>
      <c r="R467" s="263"/>
      <c r="S467" s="386"/>
      <c r="T467" s="357"/>
      <c r="U467" s="357"/>
      <c r="W467" s="387"/>
      <c r="X467" s="357"/>
      <c r="Z467" s="387"/>
      <c r="AA467" s="357"/>
      <c r="AC467" s="387"/>
      <c r="AD467" s="357"/>
      <c r="AF467" s="387"/>
      <c r="AG467" s="357"/>
      <c r="AI467" s="387"/>
      <c r="AJ467" s="357"/>
      <c r="AL467" s="387"/>
      <c r="AM467" s="357"/>
    </row>
    <row r="468" spans="1:39" s="420" customFormat="1" x14ac:dyDescent="0.2">
      <c r="A468" s="419"/>
      <c r="B468" s="396"/>
      <c r="C468" s="309"/>
      <c r="D468" s="309"/>
      <c r="E468" s="309"/>
      <c r="F468" s="309"/>
      <c r="G468" s="309"/>
      <c r="H468" s="309"/>
      <c r="I468" s="309"/>
      <c r="J468" s="309"/>
      <c r="K468" s="309"/>
      <c r="L468" s="309"/>
      <c r="M468" s="309"/>
      <c r="N468" s="309"/>
      <c r="O468" s="309" t="s">
        <v>813</v>
      </c>
      <c r="P468" s="309" t="s">
        <v>638</v>
      </c>
      <c r="Q468" s="410"/>
      <c r="R468" s="263"/>
      <c r="S468" s="386"/>
      <c r="T468" s="357"/>
      <c r="U468" s="357"/>
      <c r="W468" s="387"/>
      <c r="X468" s="357"/>
      <c r="Z468" s="387"/>
      <c r="AA468" s="357"/>
      <c r="AC468" s="387"/>
      <c r="AD468" s="357"/>
      <c r="AF468" s="387"/>
      <c r="AG468" s="357"/>
      <c r="AI468" s="387"/>
      <c r="AJ468" s="357"/>
      <c r="AL468" s="387"/>
      <c r="AM468" s="357"/>
    </row>
    <row r="469" spans="1:39" s="420" customFormat="1" x14ac:dyDescent="0.2">
      <c r="A469" s="419"/>
      <c r="B469" s="396"/>
      <c r="C469" s="309"/>
      <c r="D469" s="309"/>
      <c r="E469" s="309"/>
      <c r="F469" s="309"/>
      <c r="G469" s="309"/>
      <c r="H469" s="309"/>
      <c r="I469" s="309"/>
      <c r="J469" s="309"/>
      <c r="K469" s="309"/>
      <c r="L469" s="309"/>
      <c r="M469" s="309"/>
      <c r="N469" s="309"/>
      <c r="O469" s="309"/>
      <c r="P469" s="309"/>
      <c r="Q469" s="410"/>
      <c r="R469" s="263"/>
      <c r="S469" s="386"/>
      <c r="T469" s="357"/>
      <c r="U469" s="357"/>
      <c r="W469" s="387"/>
      <c r="X469" s="357"/>
      <c r="Z469" s="387"/>
      <c r="AA469" s="357"/>
      <c r="AC469" s="387"/>
      <c r="AD469" s="357"/>
      <c r="AF469" s="387"/>
      <c r="AG469" s="357"/>
      <c r="AI469" s="387"/>
      <c r="AJ469" s="357"/>
      <c r="AL469" s="387"/>
      <c r="AM469" s="357"/>
    </row>
    <row r="470" spans="1:39" s="420" customFormat="1" x14ac:dyDescent="0.2">
      <c r="A470" s="419"/>
      <c r="B470" s="396"/>
      <c r="C470" s="309"/>
      <c r="D470" s="309"/>
      <c r="E470" s="309"/>
      <c r="F470" s="309"/>
      <c r="G470" s="309"/>
      <c r="H470" s="309"/>
      <c r="I470" s="309"/>
      <c r="J470" s="309"/>
      <c r="K470" s="309"/>
      <c r="L470" s="309"/>
      <c r="M470" s="309"/>
      <c r="N470" s="309"/>
      <c r="O470" s="309" t="s">
        <v>813</v>
      </c>
      <c r="P470" s="309" t="s">
        <v>639</v>
      </c>
      <c r="Q470" s="410"/>
      <c r="R470" s="263"/>
      <c r="S470" s="386"/>
      <c r="T470" s="357"/>
      <c r="U470" s="357"/>
      <c r="W470" s="387"/>
      <c r="X470" s="357"/>
      <c r="Z470" s="387"/>
      <c r="AA470" s="357"/>
      <c r="AC470" s="387"/>
      <c r="AD470" s="357"/>
      <c r="AF470" s="387"/>
      <c r="AG470" s="357"/>
      <c r="AI470" s="387"/>
      <c r="AJ470" s="357"/>
      <c r="AL470" s="387"/>
      <c r="AM470" s="357"/>
    </row>
    <row r="471" spans="1:39" s="420" customFormat="1" x14ac:dyDescent="0.2">
      <c r="A471" s="419"/>
      <c r="B471" s="396"/>
      <c r="C471" s="309"/>
      <c r="D471" s="309"/>
      <c r="E471" s="309"/>
      <c r="F471" s="309"/>
      <c r="G471" s="309"/>
      <c r="H471" s="309"/>
      <c r="I471" s="309"/>
      <c r="J471" s="309"/>
      <c r="K471" s="309"/>
      <c r="L471" s="309"/>
      <c r="M471" s="309"/>
      <c r="N471" s="309"/>
      <c r="O471" s="309"/>
      <c r="P471" s="309"/>
      <c r="Q471" s="410"/>
      <c r="R471" s="263"/>
      <c r="S471" s="386"/>
      <c r="T471" s="357"/>
      <c r="U471" s="357"/>
      <c r="W471" s="387"/>
      <c r="X471" s="357"/>
      <c r="Z471" s="387"/>
      <c r="AA471" s="357"/>
      <c r="AC471" s="387"/>
      <c r="AD471" s="357"/>
      <c r="AF471" s="387"/>
      <c r="AG471" s="357"/>
      <c r="AI471" s="387"/>
      <c r="AJ471" s="357"/>
      <c r="AL471" s="387"/>
      <c r="AM471" s="357"/>
    </row>
    <row r="472" spans="1:39" s="420" customFormat="1" x14ac:dyDescent="0.2">
      <c r="A472" s="419"/>
      <c r="B472" s="396"/>
      <c r="C472" s="309"/>
      <c r="D472" s="309"/>
      <c r="E472" s="309"/>
      <c r="F472" s="309"/>
      <c r="G472" s="309"/>
      <c r="H472" s="309"/>
      <c r="I472" s="309"/>
      <c r="J472" s="309"/>
      <c r="K472" s="309"/>
      <c r="L472" s="309"/>
      <c r="M472" s="309"/>
      <c r="N472" s="309"/>
      <c r="O472" s="309" t="s">
        <v>813</v>
      </c>
      <c r="P472" s="309" t="s">
        <v>640</v>
      </c>
      <c r="Q472" s="410"/>
      <c r="R472" s="263"/>
      <c r="S472" s="386"/>
      <c r="T472" s="357"/>
      <c r="U472" s="357"/>
      <c r="W472" s="387"/>
      <c r="X472" s="357"/>
      <c r="Z472" s="387"/>
      <c r="AA472" s="357"/>
      <c r="AC472" s="387"/>
      <c r="AD472" s="357"/>
      <c r="AF472" s="387"/>
      <c r="AG472" s="357"/>
      <c r="AI472" s="387"/>
      <c r="AJ472" s="357"/>
      <c r="AL472" s="387"/>
      <c r="AM472" s="357"/>
    </row>
    <row r="473" spans="1:39" s="420" customFormat="1" x14ac:dyDescent="0.2">
      <c r="A473" s="419"/>
      <c r="B473" s="396"/>
      <c r="C473" s="309"/>
      <c r="D473" s="309"/>
      <c r="E473" s="309"/>
      <c r="F473" s="309"/>
      <c r="G473" s="309"/>
      <c r="H473" s="309"/>
      <c r="I473" s="309"/>
      <c r="J473" s="309"/>
      <c r="K473" s="309"/>
      <c r="L473" s="309"/>
      <c r="M473" s="309"/>
      <c r="N473" s="309"/>
      <c r="O473" s="309"/>
      <c r="P473" s="309"/>
      <c r="Q473" s="410"/>
      <c r="R473" s="263"/>
      <c r="S473" s="386"/>
      <c r="T473" s="357"/>
      <c r="U473" s="357"/>
      <c r="W473" s="387"/>
      <c r="X473" s="357"/>
      <c r="Z473" s="387"/>
      <c r="AA473" s="357"/>
      <c r="AC473" s="387"/>
      <c r="AD473" s="357"/>
      <c r="AF473" s="387"/>
      <c r="AG473" s="357"/>
      <c r="AI473" s="387"/>
      <c r="AJ473" s="357"/>
      <c r="AL473" s="387"/>
      <c r="AM473" s="357"/>
    </row>
    <row r="474" spans="1:39" s="420" customFormat="1" x14ac:dyDescent="0.2">
      <c r="A474" s="419"/>
      <c r="B474" s="396"/>
      <c r="C474" s="309"/>
      <c r="D474" s="309"/>
      <c r="E474" s="309"/>
      <c r="F474" s="309"/>
      <c r="G474" s="309"/>
      <c r="H474" s="309"/>
      <c r="I474" s="309"/>
      <c r="J474" s="309"/>
      <c r="K474" s="309"/>
      <c r="L474" s="309"/>
      <c r="M474" s="309"/>
      <c r="N474" s="309"/>
      <c r="O474" s="309" t="s">
        <v>813</v>
      </c>
      <c r="P474" s="309" t="s">
        <v>641</v>
      </c>
      <c r="Q474" s="410"/>
      <c r="R474" s="263"/>
      <c r="S474" s="386"/>
      <c r="T474" s="357"/>
      <c r="U474" s="357"/>
      <c r="W474" s="387"/>
      <c r="X474" s="357"/>
      <c r="Z474" s="387"/>
      <c r="AA474" s="357"/>
      <c r="AC474" s="387"/>
      <c r="AD474" s="357"/>
      <c r="AF474" s="387"/>
      <c r="AG474" s="357"/>
      <c r="AI474" s="387"/>
      <c r="AJ474" s="357"/>
      <c r="AL474" s="387"/>
      <c r="AM474" s="357"/>
    </row>
    <row r="475" spans="1:39" s="420" customFormat="1" x14ac:dyDescent="0.2">
      <c r="A475" s="419"/>
      <c r="B475" s="396"/>
      <c r="C475" s="309"/>
      <c r="D475" s="309"/>
      <c r="E475" s="309"/>
      <c r="F475" s="309"/>
      <c r="G475" s="309"/>
      <c r="H475" s="309"/>
      <c r="I475" s="309"/>
      <c r="J475" s="309"/>
      <c r="K475" s="309"/>
      <c r="L475" s="309"/>
      <c r="M475" s="309"/>
      <c r="N475" s="309"/>
      <c r="O475" s="309"/>
      <c r="P475" s="309"/>
      <c r="Q475" s="410"/>
      <c r="R475" s="263"/>
      <c r="S475" s="386"/>
      <c r="T475" s="357"/>
      <c r="U475" s="357"/>
      <c r="W475" s="387"/>
      <c r="X475" s="357"/>
      <c r="Z475" s="387"/>
      <c r="AA475" s="357"/>
      <c r="AC475" s="387"/>
      <c r="AD475" s="357"/>
      <c r="AF475" s="387"/>
      <c r="AG475" s="357"/>
      <c r="AI475" s="387"/>
      <c r="AJ475" s="357"/>
      <c r="AL475" s="387"/>
      <c r="AM475" s="357"/>
    </row>
    <row r="476" spans="1:39" s="420" customFormat="1" x14ac:dyDescent="0.2">
      <c r="A476" s="419"/>
      <c r="B476" s="396"/>
      <c r="C476" s="309"/>
      <c r="D476" s="309"/>
      <c r="E476" s="309"/>
      <c r="F476" s="309"/>
      <c r="G476" s="309"/>
      <c r="H476" s="309"/>
      <c r="I476" s="309"/>
      <c r="J476" s="309"/>
      <c r="K476" s="309"/>
      <c r="L476" s="309"/>
      <c r="M476" s="309"/>
      <c r="N476" s="309"/>
      <c r="O476" s="309" t="s">
        <v>813</v>
      </c>
      <c r="P476" s="309" t="s">
        <v>642</v>
      </c>
      <c r="Q476" s="410"/>
      <c r="R476" s="263"/>
      <c r="S476" s="386"/>
      <c r="T476" s="357"/>
      <c r="U476" s="357"/>
      <c r="W476" s="387"/>
      <c r="X476" s="357"/>
      <c r="Z476" s="387"/>
      <c r="AA476" s="357"/>
      <c r="AC476" s="387"/>
      <c r="AD476" s="357"/>
      <c r="AF476" s="387"/>
      <c r="AG476" s="357"/>
      <c r="AI476" s="387"/>
      <c r="AJ476" s="357"/>
      <c r="AL476" s="387"/>
      <c r="AM476" s="357"/>
    </row>
    <row r="477" spans="1:39" s="420" customFormat="1" x14ac:dyDescent="0.2">
      <c r="A477" s="419"/>
      <c r="B477" s="396"/>
      <c r="C477" s="309"/>
      <c r="D477" s="309"/>
      <c r="E477" s="309"/>
      <c r="F477" s="309"/>
      <c r="G477" s="309"/>
      <c r="H477" s="309"/>
      <c r="I477" s="309"/>
      <c r="J477" s="309"/>
      <c r="K477" s="309"/>
      <c r="L477" s="309"/>
      <c r="M477" s="309"/>
      <c r="N477" s="309"/>
      <c r="O477" s="309"/>
      <c r="P477" s="309"/>
      <c r="Q477" s="410"/>
      <c r="R477" s="263"/>
      <c r="S477" s="386"/>
      <c r="T477" s="357"/>
      <c r="U477" s="357"/>
      <c r="W477" s="387"/>
      <c r="X477" s="357"/>
      <c r="Z477" s="387"/>
      <c r="AA477" s="357"/>
      <c r="AC477" s="387"/>
      <c r="AD477" s="357"/>
      <c r="AF477" s="387"/>
      <c r="AG477" s="357"/>
      <c r="AI477" s="387"/>
      <c r="AJ477" s="357"/>
      <c r="AL477" s="387"/>
      <c r="AM477" s="357"/>
    </row>
    <row r="478" spans="1:39" s="420" customFormat="1" x14ac:dyDescent="0.2">
      <c r="A478" s="419"/>
      <c r="B478" s="396"/>
      <c r="C478" s="309"/>
      <c r="D478" s="309"/>
      <c r="E478" s="309"/>
      <c r="F478" s="309"/>
      <c r="G478" s="309"/>
      <c r="H478" s="309"/>
      <c r="I478" s="309"/>
      <c r="J478" s="309"/>
      <c r="K478" s="309"/>
      <c r="L478" s="309"/>
      <c r="M478" s="309"/>
      <c r="N478" s="309"/>
      <c r="O478" s="309" t="s">
        <v>813</v>
      </c>
      <c r="P478" s="309" t="s">
        <v>643</v>
      </c>
      <c r="Q478" s="410"/>
      <c r="R478" s="263"/>
      <c r="S478" s="386"/>
      <c r="T478" s="357"/>
      <c r="U478" s="357"/>
      <c r="W478" s="387"/>
      <c r="X478" s="357"/>
      <c r="Z478" s="387"/>
      <c r="AA478" s="357"/>
      <c r="AC478" s="387"/>
      <c r="AD478" s="357"/>
      <c r="AF478" s="387"/>
      <c r="AG478" s="357"/>
      <c r="AI478" s="387"/>
      <c r="AJ478" s="357"/>
      <c r="AL478" s="387"/>
      <c r="AM478" s="357"/>
    </row>
    <row r="479" spans="1:39" s="420" customFormat="1" x14ac:dyDescent="0.2">
      <c r="A479" s="419"/>
      <c r="B479" s="396"/>
      <c r="C479" s="309"/>
      <c r="D479" s="309"/>
      <c r="E479" s="309"/>
      <c r="F479" s="309"/>
      <c r="G479" s="309"/>
      <c r="H479" s="309"/>
      <c r="I479" s="309"/>
      <c r="J479" s="309"/>
      <c r="K479" s="309"/>
      <c r="L479" s="309"/>
      <c r="M479" s="309"/>
      <c r="N479" s="309"/>
      <c r="O479" s="309"/>
      <c r="P479" s="309"/>
      <c r="Q479" s="410"/>
      <c r="R479" s="263"/>
      <c r="S479" s="386"/>
      <c r="T479" s="357"/>
      <c r="U479" s="357"/>
      <c r="W479" s="387"/>
      <c r="X479" s="357"/>
      <c r="Z479" s="387"/>
      <c r="AA479" s="357"/>
      <c r="AC479" s="387"/>
      <c r="AD479" s="357"/>
      <c r="AF479" s="387"/>
      <c r="AG479" s="357"/>
      <c r="AI479" s="387"/>
      <c r="AJ479" s="357"/>
      <c r="AL479" s="387"/>
      <c r="AM479" s="357"/>
    </row>
    <row r="480" spans="1:39" s="420" customFormat="1" x14ac:dyDescent="0.2">
      <c r="A480" s="419"/>
      <c r="B480" s="396"/>
      <c r="C480" s="309"/>
      <c r="D480" s="309"/>
      <c r="E480" s="309"/>
      <c r="F480" s="309"/>
      <c r="G480" s="309"/>
      <c r="H480" s="309"/>
      <c r="I480" s="309"/>
      <c r="J480" s="309"/>
      <c r="K480" s="309"/>
      <c r="L480" s="309"/>
      <c r="M480" s="309"/>
      <c r="N480" s="309"/>
      <c r="O480" s="309" t="s">
        <v>813</v>
      </c>
      <c r="P480" s="309" t="s">
        <v>644</v>
      </c>
      <c r="Q480" s="410"/>
      <c r="R480" s="263"/>
      <c r="S480" s="386"/>
      <c r="T480" s="357"/>
      <c r="U480" s="357"/>
      <c r="W480" s="387"/>
      <c r="X480" s="357"/>
      <c r="Z480" s="387"/>
      <c r="AA480" s="357"/>
      <c r="AC480" s="387"/>
      <c r="AD480" s="357"/>
      <c r="AF480" s="387"/>
      <c r="AG480" s="357"/>
      <c r="AI480" s="387"/>
      <c r="AJ480" s="357"/>
      <c r="AL480" s="387"/>
      <c r="AM480" s="357"/>
    </row>
    <row r="481" spans="1:39" s="420" customFormat="1" x14ac:dyDescent="0.2">
      <c r="A481" s="419"/>
      <c r="B481" s="396"/>
      <c r="C481" s="309"/>
      <c r="D481" s="309"/>
      <c r="E481" s="309"/>
      <c r="F481" s="309"/>
      <c r="G481" s="309"/>
      <c r="H481" s="309"/>
      <c r="I481" s="309"/>
      <c r="J481" s="309"/>
      <c r="K481" s="309"/>
      <c r="L481" s="309"/>
      <c r="M481" s="309"/>
      <c r="N481" s="309"/>
      <c r="O481" s="309"/>
      <c r="P481" s="309"/>
      <c r="Q481" s="410"/>
      <c r="R481" s="263"/>
      <c r="S481" s="386"/>
      <c r="T481" s="357"/>
      <c r="U481" s="357"/>
      <c r="W481" s="387"/>
      <c r="X481" s="357"/>
      <c r="Z481" s="387"/>
      <c r="AA481" s="357"/>
      <c r="AC481" s="387"/>
      <c r="AD481" s="357"/>
      <c r="AF481" s="387"/>
      <c r="AG481" s="357"/>
      <c r="AI481" s="387"/>
      <c r="AJ481" s="357"/>
      <c r="AL481" s="387"/>
      <c r="AM481" s="357"/>
    </row>
    <row r="482" spans="1:39" s="420" customFormat="1" x14ac:dyDescent="0.2">
      <c r="A482" s="419"/>
      <c r="B482" s="396"/>
      <c r="C482" s="309"/>
      <c r="D482" s="309"/>
      <c r="E482" s="309"/>
      <c r="F482" s="309"/>
      <c r="G482" s="309"/>
      <c r="H482" s="309"/>
      <c r="I482" s="309"/>
      <c r="J482" s="309"/>
      <c r="K482" s="309"/>
      <c r="L482" s="309"/>
      <c r="M482" s="309"/>
      <c r="N482" s="309"/>
      <c r="O482" s="309"/>
      <c r="P482" s="309"/>
      <c r="Q482" s="410"/>
      <c r="R482" s="263"/>
      <c r="S482" s="386"/>
      <c r="T482" s="357"/>
      <c r="U482" s="357"/>
      <c r="W482" s="387"/>
      <c r="X482" s="357"/>
      <c r="Z482" s="387"/>
      <c r="AA482" s="357"/>
      <c r="AC482" s="387"/>
      <c r="AD482" s="357"/>
      <c r="AF482" s="387"/>
      <c r="AG482" s="357"/>
      <c r="AI482" s="387"/>
      <c r="AJ482" s="357"/>
      <c r="AL482" s="387"/>
      <c r="AM482" s="357"/>
    </row>
    <row r="483" spans="1:39" s="420" customFormat="1" x14ac:dyDescent="0.2">
      <c r="A483" s="419"/>
      <c r="B483" s="396"/>
      <c r="C483" s="309"/>
      <c r="D483" s="309"/>
      <c r="E483" s="309"/>
      <c r="F483" s="309"/>
      <c r="G483" s="309"/>
      <c r="H483" s="309"/>
      <c r="I483" s="309"/>
      <c r="J483" s="309"/>
      <c r="K483" s="309"/>
      <c r="L483" s="309"/>
      <c r="M483" s="309"/>
      <c r="N483" s="309"/>
      <c r="O483" s="309"/>
      <c r="P483" s="309"/>
      <c r="Q483" s="410"/>
      <c r="R483" s="263"/>
      <c r="S483" s="386"/>
      <c r="T483" s="357"/>
      <c r="U483" s="357"/>
      <c r="W483" s="387"/>
      <c r="X483" s="357"/>
      <c r="Z483" s="387"/>
      <c r="AA483" s="357"/>
      <c r="AC483" s="387"/>
      <c r="AD483" s="357"/>
      <c r="AF483" s="387"/>
      <c r="AG483" s="357"/>
      <c r="AI483" s="387"/>
      <c r="AJ483" s="357"/>
      <c r="AL483" s="387"/>
      <c r="AM483" s="357"/>
    </row>
    <row r="484" spans="1:39" s="420" customFormat="1" x14ac:dyDescent="0.2">
      <c r="A484" s="419"/>
      <c r="B484" s="396"/>
      <c r="C484" s="309"/>
      <c r="D484" s="309"/>
      <c r="E484" s="309"/>
      <c r="F484" s="309"/>
      <c r="G484" s="309"/>
      <c r="H484" s="309"/>
      <c r="I484" s="309"/>
      <c r="J484" s="309"/>
      <c r="K484" s="309"/>
      <c r="L484" s="309"/>
      <c r="M484" s="309"/>
      <c r="N484" s="309"/>
      <c r="O484" s="309"/>
      <c r="P484" s="309"/>
      <c r="Q484" s="410"/>
      <c r="R484" s="263"/>
      <c r="S484" s="386"/>
      <c r="T484" s="357"/>
      <c r="U484" s="357"/>
      <c r="W484" s="387"/>
      <c r="X484" s="357"/>
      <c r="Z484" s="387"/>
      <c r="AA484" s="357"/>
      <c r="AC484" s="387"/>
      <c r="AD484" s="357"/>
      <c r="AF484" s="387"/>
      <c r="AG484" s="357"/>
      <c r="AI484" s="387"/>
      <c r="AJ484" s="357"/>
      <c r="AL484" s="387"/>
      <c r="AM484" s="357"/>
    </row>
    <row r="485" spans="1:39" s="420" customFormat="1" x14ac:dyDescent="0.2">
      <c r="A485" s="419"/>
      <c r="B485" s="396"/>
      <c r="C485" s="309"/>
      <c r="D485" s="309"/>
      <c r="E485" s="309"/>
      <c r="F485" s="309"/>
      <c r="G485" s="309"/>
      <c r="H485" s="309"/>
      <c r="I485" s="309"/>
      <c r="J485" s="309"/>
      <c r="K485" s="309"/>
      <c r="L485" s="309"/>
      <c r="M485" s="309"/>
      <c r="N485" s="309"/>
      <c r="O485" s="309"/>
      <c r="P485" s="309"/>
      <c r="Q485" s="410"/>
      <c r="R485" s="263"/>
      <c r="S485" s="386"/>
      <c r="T485" s="357"/>
      <c r="U485" s="357"/>
      <c r="W485" s="387"/>
      <c r="X485" s="357"/>
      <c r="Z485" s="387"/>
      <c r="AA485" s="357"/>
      <c r="AC485" s="387"/>
      <c r="AD485" s="357"/>
      <c r="AF485" s="387"/>
      <c r="AG485" s="357"/>
      <c r="AI485" s="387"/>
      <c r="AJ485" s="357"/>
      <c r="AL485" s="387"/>
      <c r="AM485" s="357"/>
    </row>
    <row r="486" spans="1:39" s="420" customFormat="1" x14ac:dyDescent="0.2">
      <c r="A486" s="419"/>
      <c r="B486" s="396"/>
      <c r="C486" s="309"/>
      <c r="D486" s="309"/>
      <c r="E486" s="309"/>
      <c r="F486" s="309"/>
      <c r="G486" s="309"/>
      <c r="H486" s="309"/>
      <c r="I486" s="309"/>
      <c r="J486" s="309"/>
      <c r="K486" s="309"/>
      <c r="L486" s="309"/>
      <c r="M486" s="309"/>
      <c r="N486" s="309"/>
      <c r="O486" s="309"/>
      <c r="P486" s="309"/>
      <c r="Q486" s="410"/>
      <c r="R486" s="263"/>
      <c r="S486" s="386"/>
      <c r="T486" s="357"/>
      <c r="U486" s="357"/>
      <c r="W486" s="387"/>
      <c r="X486" s="357"/>
      <c r="Z486" s="387"/>
      <c r="AA486" s="357"/>
      <c r="AC486" s="387"/>
      <c r="AD486" s="357"/>
      <c r="AF486" s="387"/>
      <c r="AG486" s="357"/>
      <c r="AI486" s="387"/>
      <c r="AJ486" s="357"/>
      <c r="AL486" s="387"/>
      <c r="AM486" s="357"/>
    </row>
    <row r="487" spans="1:39" s="420" customFormat="1" x14ac:dyDescent="0.2">
      <c r="A487" s="419"/>
      <c r="B487" s="396"/>
      <c r="C487" s="309"/>
      <c r="D487" s="309"/>
      <c r="E487" s="309"/>
      <c r="F487" s="309"/>
      <c r="G487" s="309"/>
      <c r="H487" s="309"/>
      <c r="I487" s="309"/>
      <c r="J487" s="309"/>
      <c r="K487" s="309"/>
      <c r="L487" s="309"/>
      <c r="M487" s="309"/>
      <c r="N487" s="309"/>
      <c r="O487" s="309"/>
      <c r="P487" s="309"/>
      <c r="Q487" s="410"/>
      <c r="R487" s="263"/>
      <c r="S487" s="386"/>
      <c r="T487" s="357"/>
      <c r="U487" s="357"/>
      <c r="W487" s="387"/>
      <c r="X487" s="357"/>
      <c r="Z487" s="387"/>
      <c r="AA487" s="357"/>
      <c r="AC487" s="387"/>
      <c r="AD487" s="357"/>
      <c r="AF487" s="387"/>
      <c r="AG487" s="357"/>
      <c r="AI487" s="387"/>
      <c r="AJ487" s="357"/>
      <c r="AL487" s="387"/>
      <c r="AM487" s="357"/>
    </row>
    <row r="488" spans="1:39" s="420" customFormat="1" x14ac:dyDescent="0.2">
      <c r="A488" s="419"/>
      <c r="B488" s="396"/>
      <c r="C488" s="309"/>
      <c r="D488" s="309"/>
      <c r="E488" s="309"/>
      <c r="F488" s="309"/>
      <c r="G488" s="309"/>
      <c r="H488" s="309"/>
      <c r="I488" s="309"/>
      <c r="J488" s="309"/>
      <c r="K488" s="309"/>
      <c r="L488" s="309"/>
      <c r="M488" s="309"/>
      <c r="N488" s="309"/>
      <c r="O488" s="309"/>
      <c r="P488" s="309"/>
      <c r="Q488" s="410"/>
      <c r="R488" s="263"/>
      <c r="S488" s="386"/>
      <c r="T488" s="357"/>
      <c r="U488" s="357"/>
      <c r="W488" s="387"/>
      <c r="X488" s="357"/>
      <c r="Z488" s="387"/>
      <c r="AA488" s="357"/>
      <c r="AC488" s="387"/>
      <c r="AD488" s="357"/>
      <c r="AF488" s="387"/>
      <c r="AG488" s="357"/>
      <c r="AI488" s="387"/>
      <c r="AJ488" s="357"/>
      <c r="AL488" s="387"/>
      <c r="AM488" s="357"/>
    </row>
    <row r="489" spans="1:39" s="420" customFormat="1" x14ac:dyDescent="0.2">
      <c r="A489" s="419"/>
      <c r="B489" s="396"/>
      <c r="C489" s="309"/>
      <c r="D489" s="309"/>
      <c r="E489" s="309"/>
      <c r="F489" s="309"/>
      <c r="G489" s="309"/>
      <c r="H489" s="309"/>
      <c r="I489" s="309"/>
      <c r="J489" s="309"/>
      <c r="K489" s="309"/>
      <c r="L489" s="309"/>
      <c r="M489" s="309"/>
      <c r="N489" s="309"/>
      <c r="O489" s="309"/>
      <c r="P489" s="309"/>
      <c r="Q489" s="410"/>
      <c r="R489" s="263"/>
      <c r="S489" s="386"/>
      <c r="T489" s="357"/>
      <c r="U489" s="357"/>
      <c r="W489" s="387"/>
      <c r="X489" s="357"/>
      <c r="Z489" s="387"/>
      <c r="AA489" s="357"/>
      <c r="AC489" s="387"/>
      <c r="AD489" s="357"/>
      <c r="AF489" s="387"/>
      <c r="AG489" s="357"/>
      <c r="AI489" s="387"/>
      <c r="AJ489" s="357"/>
      <c r="AL489" s="387"/>
      <c r="AM489" s="357"/>
    </row>
    <row r="490" spans="1:39" s="420" customFormat="1" x14ac:dyDescent="0.2">
      <c r="A490" s="419"/>
      <c r="B490" s="396"/>
      <c r="C490" s="309"/>
      <c r="D490" s="309"/>
      <c r="E490" s="309"/>
      <c r="F490" s="309"/>
      <c r="G490" s="309"/>
      <c r="H490" s="309"/>
      <c r="I490" s="309"/>
      <c r="J490" s="309"/>
      <c r="K490" s="309"/>
      <c r="L490" s="309"/>
      <c r="M490" s="309"/>
      <c r="N490" s="309"/>
      <c r="O490" s="309"/>
      <c r="P490" s="309"/>
      <c r="Q490" s="410"/>
      <c r="R490" s="263"/>
      <c r="S490" s="386"/>
      <c r="T490" s="357"/>
      <c r="U490" s="357"/>
      <c r="W490" s="387"/>
      <c r="X490" s="357"/>
      <c r="Z490" s="387"/>
      <c r="AA490" s="357"/>
      <c r="AC490" s="387"/>
      <c r="AD490" s="357"/>
      <c r="AF490" s="387"/>
      <c r="AG490" s="357"/>
      <c r="AI490" s="387"/>
      <c r="AJ490" s="357"/>
      <c r="AL490" s="387"/>
      <c r="AM490" s="357"/>
    </row>
    <row r="491" spans="1:39" s="420" customFormat="1" x14ac:dyDescent="0.2">
      <c r="A491" s="419"/>
      <c r="B491" s="396"/>
      <c r="C491" s="309"/>
      <c r="D491" s="309"/>
      <c r="E491" s="309"/>
      <c r="F491" s="309"/>
      <c r="G491" s="309"/>
      <c r="H491" s="309"/>
      <c r="I491" s="309"/>
      <c r="J491" s="309"/>
      <c r="K491" s="309"/>
      <c r="L491" s="309"/>
      <c r="M491" s="309"/>
      <c r="N491" s="309"/>
      <c r="O491" s="309"/>
      <c r="P491" s="309"/>
      <c r="Q491" s="410"/>
      <c r="R491" s="263"/>
      <c r="S491" s="386"/>
      <c r="T491" s="357"/>
      <c r="U491" s="357"/>
      <c r="W491" s="387"/>
      <c r="X491" s="357"/>
      <c r="Z491" s="387"/>
      <c r="AA491" s="357"/>
      <c r="AC491" s="387"/>
      <c r="AD491" s="357"/>
      <c r="AF491" s="387"/>
      <c r="AG491" s="357"/>
      <c r="AI491" s="387"/>
      <c r="AJ491" s="357"/>
      <c r="AL491" s="387"/>
      <c r="AM491" s="357"/>
    </row>
    <row r="492" spans="1:39" s="420" customFormat="1" x14ac:dyDescent="0.2">
      <c r="A492" s="419"/>
      <c r="B492" s="396"/>
      <c r="C492" s="309"/>
      <c r="D492" s="309"/>
      <c r="E492" s="309"/>
      <c r="F492" s="309"/>
      <c r="G492" s="309"/>
      <c r="H492" s="309"/>
      <c r="I492" s="309"/>
      <c r="J492" s="309"/>
      <c r="K492" s="309"/>
      <c r="L492" s="309"/>
      <c r="M492" s="309"/>
      <c r="N492" s="309"/>
      <c r="O492" s="309"/>
      <c r="P492" s="309"/>
      <c r="Q492" s="410"/>
      <c r="R492" s="263"/>
      <c r="S492" s="386"/>
      <c r="T492" s="357"/>
      <c r="U492" s="357"/>
      <c r="W492" s="387"/>
      <c r="X492" s="357"/>
      <c r="Z492" s="387"/>
      <c r="AA492" s="357"/>
      <c r="AC492" s="387"/>
      <c r="AD492" s="357"/>
      <c r="AF492" s="387"/>
      <c r="AG492" s="357"/>
      <c r="AI492" s="387"/>
      <c r="AJ492" s="357"/>
      <c r="AL492" s="387"/>
      <c r="AM492" s="357"/>
    </row>
    <row r="493" spans="1:39" s="420" customFormat="1" x14ac:dyDescent="0.2">
      <c r="A493" s="419"/>
      <c r="B493" s="396"/>
      <c r="C493" s="309"/>
      <c r="D493" s="309"/>
      <c r="E493" s="309"/>
      <c r="F493" s="309"/>
      <c r="G493" s="309"/>
      <c r="H493" s="309"/>
      <c r="I493" s="309"/>
      <c r="J493" s="309"/>
      <c r="K493" s="309"/>
      <c r="L493" s="309"/>
      <c r="M493" s="309"/>
      <c r="N493" s="309"/>
      <c r="O493" s="309"/>
      <c r="P493" s="309"/>
      <c r="Q493" s="410"/>
      <c r="R493" s="263"/>
      <c r="S493" s="386"/>
      <c r="T493" s="357"/>
      <c r="U493" s="357"/>
      <c r="W493" s="387"/>
      <c r="X493" s="357"/>
      <c r="Z493" s="387"/>
      <c r="AA493" s="357"/>
      <c r="AC493" s="387"/>
      <c r="AD493" s="357"/>
      <c r="AF493" s="387"/>
      <c r="AG493" s="357"/>
      <c r="AI493" s="387"/>
      <c r="AJ493" s="357"/>
      <c r="AL493" s="387"/>
      <c r="AM493" s="357"/>
    </row>
    <row r="494" spans="1:39" s="420" customFormat="1" x14ac:dyDescent="0.2">
      <c r="A494" s="419"/>
      <c r="B494" s="396"/>
      <c r="C494" s="309"/>
      <c r="D494" s="309"/>
      <c r="E494" s="309"/>
      <c r="F494" s="309"/>
      <c r="G494" s="309"/>
      <c r="H494" s="309"/>
      <c r="I494" s="309"/>
      <c r="J494" s="309"/>
      <c r="K494" s="309"/>
      <c r="L494" s="309"/>
      <c r="M494" s="309"/>
      <c r="N494" s="309"/>
      <c r="O494" s="309"/>
      <c r="P494" s="309"/>
      <c r="Q494" s="410"/>
      <c r="R494" s="263"/>
      <c r="S494" s="386"/>
      <c r="T494" s="357"/>
      <c r="U494" s="357"/>
      <c r="W494" s="387"/>
      <c r="X494" s="357"/>
      <c r="Z494" s="387"/>
      <c r="AA494" s="357"/>
      <c r="AC494" s="387"/>
      <c r="AD494" s="357"/>
      <c r="AF494" s="387"/>
      <c r="AG494" s="357"/>
      <c r="AI494" s="387"/>
      <c r="AJ494" s="357"/>
      <c r="AL494" s="387"/>
      <c r="AM494" s="357"/>
    </row>
    <row r="495" spans="1:39" s="420" customFormat="1" x14ac:dyDescent="0.2">
      <c r="A495" s="419"/>
      <c r="B495" s="396"/>
      <c r="C495" s="309"/>
      <c r="D495" s="309"/>
      <c r="E495" s="309"/>
      <c r="F495" s="309"/>
      <c r="G495" s="309"/>
      <c r="H495" s="309"/>
      <c r="I495" s="309"/>
      <c r="J495" s="309"/>
      <c r="K495" s="309"/>
      <c r="L495" s="309"/>
      <c r="M495" s="309"/>
      <c r="N495" s="309"/>
      <c r="O495" s="309"/>
      <c r="P495" s="309"/>
      <c r="Q495" s="410"/>
      <c r="R495" s="263"/>
      <c r="S495" s="386"/>
      <c r="T495" s="357"/>
      <c r="U495" s="357"/>
      <c r="W495" s="387"/>
      <c r="X495" s="357"/>
      <c r="Z495" s="387"/>
      <c r="AA495" s="357"/>
      <c r="AC495" s="387"/>
      <c r="AD495" s="357"/>
      <c r="AF495" s="387"/>
      <c r="AG495" s="357"/>
      <c r="AI495" s="387"/>
      <c r="AJ495" s="357"/>
      <c r="AL495" s="387"/>
      <c r="AM495" s="357"/>
    </row>
    <row r="496" spans="1:39" s="420" customFormat="1" x14ac:dyDescent="0.2">
      <c r="A496" s="419"/>
      <c r="B496" s="396"/>
      <c r="C496" s="309"/>
      <c r="D496" s="309"/>
      <c r="E496" s="309"/>
      <c r="F496" s="309"/>
      <c r="G496" s="309"/>
      <c r="H496" s="309"/>
      <c r="I496" s="309"/>
      <c r="J496" s="309"/>
      <c r="K496" s="309"/>
      <c r="L496" s="309"/>
      <c r="M496" s="309"/>
      <c r="N496" s="309"/>
      <c r="O496" s="309"/>
      <c r="P496" s="309"/>
      <c r="Q496" s="410"/>
      <c r="R496" s="263"/>
      <c r="S496" s="386"/>
      <c r="T496" s="357"/>
      <c r="U496" s="357"/>
      <c r="W496" s="387"/>
      <c r="X496" s="357"/>
      <c r="Z496" s="387"/>
      <c r="AA496" s="357"/>
      <c r="AC496" s="387"/>
      <c r="AD496" s="357"/>
      <c r="AF496" s="387"/>
      <c r="AG496" s="357"/>
      <c r="AI496" s="387"/>
      <c r="AJ496" s="357"/>
      <c r="AL496" s="387"/>
      <c r="AM496" s="357"/>
    </row>
    <row r="497" spans="1:39" s="420" customFormat="1" x14ac:dyDescent="0.2">
      <c r="A497" s="419"/>
      <c r="B497" s="396"/>
      <c r="C497" s="309"/>
      <c r="D497" s="309"/>
      <c r="E497" s="309"/>
      <c r="F497" s="309"/>
      <c r="G497" s="309"/>
      <c r="H497" s="309"/>
      <c r="I497" s="309"/>
      <c r="J497" s="309"/>
      <c r="K497" s="309"/>
      <c r="L497" s="309"/>
      <c r="M497" s="309"/>
      <c r="N497" s="309"/>
      <c r="O497" s="309"/>
      <c r="P497" s="309"/>
      <c r="Q497" s="410"/>
      <c r="R497" s="263"/>
      <c r="S497" s="386"/>
      <c r="T497" s="357"/>
      <c r="U497" s="357"/>
      <c r="W497" s="387"/>
      <c r="X497" s="357"/>
      <c r="Z497" s="387"/>
      <c r="AA497" s="357"/>
      <c r="AC497" s="387"/>
      <c r="AD497" s="357"/>
      <c r="AF497" s="387"/>
      <c r="AG497" s="357"/>
      <c r="AI497" s="387"/>
      <c r="AJ497" s="357"/>
      <c r="AL497" s="387"/>
      <c r="AM497" s="357"/>
    </row>
    <row r="498" spans="1:39" s="420" customFormat="1" x14ac:dyDescent="0.2">
      <c r="A498" s="419"/>
      <c r="B498" s="396"/>
      <c r="C498" s="309"/>
      <c r="D498" s="309"/>
      <c r="E498" s="309"/>
      <c r="F498" s="309"/>
      <c r="G498" s="309"/>
      <c r="H498" s="309"/>
      <c r="I498" s="309"/>
      <c r="J498" s="309"/>
      <c r="K498" s="309"/>
      <c r="L498" s="309"/>
      <c r="M498" s="309"/>
      <c r="N498" s="309"/>
      <c r="O498" s="309"/>
      <c r="P498" s="309"/>
      <c r="Q498" s="410"/>
      <c r="R498" s="263"/>
      <c r="S498" s="386"/>
      <c r="T498" s="357"/>
      <c r="U498" s="357"/>
      <c r="W498" s="387"/>
      <c r="X498" s="357"/>
      <c r="Z498" s="387"/>
      <c r="AA498" s="357"/>
      <c r="AC498" s="387"/>
      <c r="AD498" s="357"/>
      <c r="AF498" s="387"/>
      <c r="AG498" s="357"/>
      <c r="AI498" s="387"/>
      <c r="AJ498" s="357"/>
      <c r="AL498" s="387"/>
      <c r="AM498" s="357"/>
    </row>
    <row r="499" spans="1:39" s="420" customFormat="1" x14ac:dyDescent="0.2">
      <c r="A499" s="419"/>
      <c r="B499" s="396"/>
      <c r="C499" s="309"/>
      <c r="D499" s="309"/>
      <c r="E499" s="309"/>
      <c r="F499" s="309"/>
      <c r="G499" s="309"/>
      <c r="H499" s="309"/>
      <c r="I499" s="309"/>
      <c r="J499" s="309"/>
      <c r="K499" s="309"/>
      <c r="L499" s="309"/>
      <c r="M499" s="309"/>
      <c r="N499" s="309"/>
      <c r="O499" s="309"/>
      <c r="P499" s="309"/>
      <c r="Q499" s="410"/>
      <c r="R499" s="263"/>
      <c r="S499" s="386"/>
      <c r="T499" s="357"/>
      <c r="U499" s="357"/>
      <c r="W499" s="387"/>
      <c r="X499" s="357"/>
      <c r="Z499" s="387"/>
      <c r="AA499" s="357"/>
      <c r="AC499" s="387"/>
      <c r="AD499" s="357"/>
      <c r="AF499" s="387"/>
      <c r="AG499" s="357"/>
      <c r="AI499" s="387"/>
      <c r="AJ499" s="357"/>
      <c r="AL499" s="387"/>
      <c r="AM499" s="357"/>
    </row>
    <row r="500" spans="1:39" s="420" customFormat="1" x14ac:dyDescent="0.2">
      <c r="A500" s="419"/>
      <c r="B500" s="396"/>
      <c r="C500" s="309"/>
      <c r="D500" s="309"/>
      <c r="E500" s="309"/>
      <c r="F500" s="309"/>
      <c r="G500" s="309"/>
      <c r="H500" s="309"/>
      <c r="I500" s="309"/>
      <c r="J500" s="309"/>
      <c r="K500" s="309"/>
      <c r="L500" s="309"/>
      <c r="M500" s="309"/>
      <c r="N500" s="309"/>
      <c r="O500" s="309"/>
      <c r="P500" s="309"/>
      <c r="Q500" s="410"/>
      <c r="R500" s="263"/>
      <c r="S500" s="386"/>
      <c r="T500" s="357"/>
      <c r="U500" s="357"/>
      <c r="W500" s="387"/>
      <c r="X500" s="357"/>
      <c r="Z500" s="387"/>
      <c r="AA500" s="357"/>
      <c r="AC500" s="387"/>
      <c r="AD500" s="357"/>
      <c r="AF500" s="387"/>
      <c r="AG500" s="357"/>
      <c r="AI500" s="387"/>
      <c r="AJ500" s="357"/>
      <c r="AL500" s="387"/>
      <c r="AM500" s="357"/>
    </row>
    <row r="501" spans="1:39" s="264" customFormat="1" x14ac:dyDescent="0.2">
      <c r="A501" s="419"/>
      <c r="B501" s="396"/>
      <c r="C501" s="309"/>
      <c r="D501" s="309"/>
      <c r="E501" s="309"/>
      <c r="F501" s="309"/>
      <c r="G501" s="309"/>
      <c r="H501" s="309"/>
      <c r="I501" s="309"/>
      <c r="J501" s="309"/>
      <c r="K501" s="309"/>
      <c r="L501" s="309"/>
      <c r="M501" s="309"/>
      <c r="N501" s="309"/>
      <c r="O501" s="309"/>
      <c r="P501" s="309"/>
      <c r="Q501" s="410"/>
      <c r="R501" s="263"/>
      <c r="S501" s="386"/>
      <c r="T501" s="357"/>
      <c r="U501" s="357"/>
      <c r="W501" s="387"/>
      <c r="X501" s="357"/>
      <c r="Z501" s="387"/>
      <c r="AA501" s="357"/>
      <c r="AC501" s="387"/>
      <c r="AD501" s="357"/>
      <c r="AF501" s="387"/>
      <c r="AG501" s="357"/>
      <c r="AI501" s="387"/>
      <c r="AJ501" s="357"/>
      <c r="AL501" s="387"/>
      <c r="AM501" s="357"/>
    </row>
    <row r="502" spans="1:39" s="264" customFormat="1" x14ac:dyDescent="0.2">
      <c r="A502" s="419"/>
      <c r="B502" s="396"/>
      <c r="C502" s="309"/>
      <c r="D502" s="309"/>
      <c r="E502" s="309"/>
      <c r="F502" s="309"/>
      <c r="G502" s="309"/>
      <c r="H502" s="309"/>
      <c r="I502" s="309"/>
      <c r="J502" s="309"/>
      <c r="K502" s="309"/>
      <c r="L502" s="309"/>
      <c r="M502" s="309"/>
      <c r="N502" s="309"/>
      <c r="O502" s="309"/>
      <c r="P502" s="309"/>
      <c r="Q502" s="410"/>
      <c r="R502" s="263"/>
      <c r="S502" s="386"/>
      <c r="T502" s="357"/>
      <c r="U502" s="357"/>
      <c r="W502" s="387"/>
      <c r="X502" s="357"/>
      <c r="Z502" s="387"/>
      <c r="AA502" s="357"/>
      <c r="AC502" s="387"/>
      <c r="AD502" s="357"/>
      <c r="AF502" s="387"/>
      <c r="AG502" s="357"/>
      <c r="AI502" s="387"/>
      <c r="AJ502" s="357"/>
      <c r="AL502" s="387"/>
      <c r="AM502" s="357"/>
    </row>
    <row r="503" spans="1:39" s="264" customFormat="1" x14ac:dyDescent="0.2">
      <c r="A503" s="421"/>
      <c r="B503" s="422"/>
      <c r="C503" s="423"/>
      <c r="D503" s="423"/>
      <c r="E503" s="423"/>
      <c r="F503" s="423"/>
      <c r="G503" s="423"/>
      <c r="H503" s="423"/>
      <c r="I503" s="423"/>
      <c r="J503" s="423"/>
      <c r="K503" s="423"/>
      <c r="L503" s="423"/>
      <c r="M503" s="423"/>
      <c r="N503" s="423"/>
      <c r="O503" s="423"/>
      <c r="P503" s="423"/>
      <c r="Q503" s="424"/>
      <c r="R503" s="382"/>
      <c r="S503" s="386"/>
      <c r="T503" s="399"/>
      <c r="U503" s="399"/>
      <c r="W503" s="400"/>
      <c r="X503" s="399"/>
      <c r="Z503" s="400"/>
      <c r="AA503" s="399"/>
      <c r="AC503" s="400"/>
      <c r="AD503" s="399"/>
      <c r="AF503" s="400"/>
      <c r="AG503" s="399"/>
      <c r="AI503" s="400"/>
      <c r="AJ503" s="399"/>
      <c r="AL503" s="400"/>
      <c r="AM503" s="399"/>
    </row>
    <row r="504" spans="1:39" s="264" customFormat="1" x14ac:dyDescent="0.2">
      <c r="A504" s="391"/>
      <c r="B504" s="425" t="s">
        <v>175</v>
      </c>
      <c r="C504" s="377"/>
      <c r="D504" s="377"/>
      <c r="E504" s="377"/>
      <c r="F504" s="377"/>
      <c r="G504" s="377"/>
      <c r="H504" s="377"/>
      <c r="I504" s="377"/>
      <c r="J504" s="377"/>
      <c r="K504" s="377"/>
      <c r="L504" s="377"/>
      <c r="M504" s="377"/>
      <c r="N504" s="377"/>
      <c r="O504" s="377"/>
      <c r="P504" s="377"/>
      <c r="Q504" s="378"/>
      <c r="R504" s="379"/>
      <c r="S504" s="386"/>
      <c r="T504" s="393"/>
      <c r="U504" s="393"/>
      <c r="W504" s="394"/>
      <c r="X504" s="393"/>
      <c r="Z504" s="394"/>
      <c r="AA504" s="393"/>
      <c r="AC504" s="394"/>
      <c r="AD504" s="393"/>
      <c r="AF504" s="394"/>
      <c r="AG504" s="393"/>
      <c r="AI504" s="394"/>
      <c r="AJ504" s="393"/>
      <c r="AL504" s="394"/>
      <c r="AM504" s="393"/>
    </row>
    <row r="505" spans="1:39" s="264" customFormat="1" x14ac:dyDescent="0.2">
      <c r="A505" s="395"/>
      <c r="B505" s="396"/>
      <c r="C505" s="550" t="s">
        <v>15</v>
      </c>
      <c r="D505" s="550"/>
      <c r="E505" s="550"/>
      <c r="F505" s="550"/>
      <c r="G505" s="550"/>
      <c r="H505" s="550"/>
      <c r="I505" s="550"/>
      <c r="J505" s="550"/>
      <c r="K505" s="550"/>
      <c r="L505" s="550"/>
      <c r="M505" s="550"/>
      <c r="N505" s="550"/>
      <c r="O505" s="550"/>
      <c r="P505" s="550"/>
      <c r="Q505" s="381" t="s">
        <v>0</v>
      </c>
      <c r="R505" s="263"/>
      <c r="S505" s="386"/>
      <c r="T505" s="397"/>
      <c r="U505" s="397"/>
      <c r="W505" s="398"/>
      <c r="X505" s="397"/>
      <c r="Z505" s="398"/>
      <c r="AA505" s="397"/>
      <c r="AC505" s="398"/>
      <c r="AD505" s="397"/>
      <c r="AF505" s="398"/>
      <c r="AG505" s="397"/>
      <c r="AI505" s="398"/>
      <c r="AJ505" s="397"/>
      <c r="AL505" s="398"/>
      <c r="AM505" s="397"/>
    </row>
    <row r="506" spans="1:39" s="264" customFormat="1" x14ac:dyDescent="0.2">
      <c r="A506" s="395"/>
      <c r="B506" s="396"/>
      <c r="C506" s="309"/>
      <c r="D506" s="309"/>
      <c r="E506" s="309"/>
      <c r="F506" s="309"/>
      <c r="G506" s="309"/>
      <c r="H506" s="309"/>
      <c r="I506" s="309"/>
      <c r="J506" s="309"/>
      <c r="K506" s="309"/>
      <c r="L506" s="309"/>
      <c r="M506" s="309"/>
      <c r="N506" s="309"/>
      <c r="O506" s="309"/>
      <c r="P506" s="309"/>
      <c r="Q506" s="294"/>
      <c r="R506" s="382"/>
      <c r="S506" s="386"/>
      <c r="T506" s="399"/>
      <c r="U506" s="399"/>
      <c r="W506" s="400"/>
      <c r="X506" s="399"/>
      <c r="Z506" s="400"/>
      <c r="AA506" s="399"/>
      <c r="AC506" s="400"/>
      <c r="AD506" s="399"/>
      <c r="AF506" s="400"/>
      <c r="AG506" s="399"/>
      <c r="AI506" s="400"/>
      <c r="AJ506" s="399"/>
      <c r="AL506" s="400"/>
      <c r="AM506" s="399"/>
    </row>
  </sheetData>
  <autoFilter ref="A4:Z506" xr:uid="{00000000-0009-0000-0000-00000B000000}"/>
  <mergeCells count="25">
    <mergeCell ref="C456:P456"/>
    <mergeCell ref="O460:P460"/>
    <mergeCell ref="C505:P505"/>
    <mergeCell ref="C191:P191"/>
    <mergeCell ref="C238:P238"/>
    <mergeCell ref="C286:P286"/>
    <mergeCell ref="C334:P334"/>
    <mergeCell ref="C381:P381"/>
    <mergeCell ref="C417:P417"/>
    <mergeCell ref="C143:P143"/>
    <mergeCell ref="A1:A3"/>
    <mergeCell ref="B1:B3"/>
    <mergeCell ref="C1:O1"/>
    <mergeCell ref="P1:P3"/>
    <mergeCell ref="L2:L3"/>
    <mergeCell ref="N2:N3"/>
    <mergeCell ref="O2:O3"/>
    <mergeCell ref="C47:P47"/>
    <mergeCell ref="C95:P95"/>
    <mergeCell ref="Q1:Q3"/>
    <mergeCell ref="R1:R3"/>
    <mergeCell ref="D2:D3"/>
    <mergeCell ref="F2:F3"/>
    <mergeCell ref="H2:H3"/>
    <mergeCell ref="J2:J3"/>
  </mergeCells>
  <printOptions horizontalCentered="1"/>
  <pageMargins left="0.51181102362204722" right="0.19685039370078741" top="0.98425196850393704" bottom="0.59055118110236227" header="0.31496062992125984" footer="0.31496062992125984"/>
  <pageSetup paperSize="8" orientation="landscape" useFirstPageNumber="1" r:id="rId1"/>
  <headerFooter>
    <oddHeader>&amp;R&amp;UBILL NO. 3: TOWNHOUSE A
  ELECTRICAL ENGINEERING INSTALLATIONS</oddHeader>
    <oddFooter>&amp;L&amp;8DMS No. 148110 Package 3 (05 Oct 2021)&amp;C&amp;10 3/R/&amp;P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R37"/>
  <sheetViews>
    <sheetView view="pageBreakPreview" zoomScale="80" zoomScaleNormal="85" zoomScaleSheetLayoutView="80" workbookViewId="0">
      <selection activeCell="C36" sqref="C36"/>
    </sheetView>
  </sheetViews>
  <sheetFormatPr defaultRowHeight="14.25" x14ac:dyDescent="0.2"/>
  <cols>
    <col min="1" max="1" width="5.625" style="29" customWidth="1"/>
    <col min="2" max="2" width="49.25" style="30" customWidth="1"/>
    <col min="3" max="3" width="9.375" style="32" customWidth="1"/>
    <col min="4" max="9" width="16.75" style="32" customWidth="1"/>
    <col min="10" max="10" width="20.125" style="34" customWidth="1"/>
    <col min="11" max="11" width="9" style="17"/>
    <col min="12" max="12" width="6.125" style="17" bestFit="1" customWidth="1"/>
    <col min="13" max="13" width="4.125" style="17" bestFit="1" customWidth="1"/>
    <col min="14" max="14" width="6.125" style="17" bestFit="1" customWidth="1"/>
    <col min="15" max="17" width="5.125" style="17" bestFit="1" customWidth="1"/>
    <col min="18" max="18" width="6.125" style="17" bestFit="1" customWidth="1"/>
    <col min="19" max="16384" width="9" style="17"/>
  </cols>
  <sheetData>
    <row r="1" spans="1:18" ht="28.5" x14ac:dyDescent="0.2">
      <c r="A1" s="556" t="s">
        <v>5</v>
      </c>
      <c r="B1" s="558" t="s">
        <v>4</v>
      </c>
      <c r="C1" s="556" t="s">
        <v>271</v>
      </c>
      <c r="D1" s="191" t="s">
        <v>439</v>
      </c>
      <c r="E1" s="191" t="s">
        <v>440</v>
      </c>
      <c r="F1" s="191" t="s">
        <v>441</v>
      </c>
      <c r="G1" s="191" t="s">
        <v>442</v>
      </c>
      <c r="H1" s="191" t="s">
        <v>443</v>
      </c>
      <c r="I1" s="191" t="s">
        <v>444</v>
      </c>
      <c r="J1" s="556" t="s">
        <v>7</v>
      </c>
    </row>
    <row r="2" spans="1:18" ht="18.75" customHeight="1" x14ac:dyDescent="0.2">
      <c r="A2" s="557"/>
      <c r="B2" s="559"/>
      <c r="C2" s="557"/>
      <c r="D2" s="167">
        <v>1</v>
      </c>
      <c r="E2" s="161">
        <v>1</v>
      </c>
      <c r="F2" s="161">
        <v>5</v>
      </c>
      <c r="G2" s="161">
        <v>1</v>
      </c>
      <c r="H2" s="161">
        <v>3</v>
      </c>
      <c r="I2" s="161">
        <v>1</v>
      </c>
      <c r="J2" s="557"/>
    </row>
    <row r="3" spans="1:18" x14ac:dyDescent="0.2">
      <c r="A3" s="26"/>
      <c r="B3" s="55"/>
      <c r="C3" s="18"/>
      <c r="D3" s="18"/>
      <c r="E3" s="18"/>
      <c r="F3" s="18"/>
      <c r="G3" s="18"/>
      <c r="H3" s="18"/>
      <c r="I3" s="18"/>
      <c r="J3" s="16"/>
      <c r="L3" s="56"/>
      <c r="M3" s="56"/>
      <c r="N3" s="56"/>
      <c r="O3" s="56"/>
      <c r="P3" s="56"/>
      <c r="Q3" s="56"/>
      <c r="R3" s="56"/>
    </row>
    <row r="4" spans="1:18" x14ac:dyDescent="0.2">
      <c r="A4" s="26"/>
      <c r="B4" s="57" t="s">
        <v>14</v>
      </c>
      <c r="C4" s="18"/>
      <c r="D4" s="18"/>
      <c r="E4" s="18"/>
      <c r="F4" s="18"/>
      <c r="G4" s="18"/>
      <c r="H4" s="18"/>
      <c r="I4" s="18"/>
      <c r="J4" s="16"/>
      <c r="L4" s="58"/>
      <c r="M4" s="58"/>
      <c r="N4" s="58"/>
      <c r="O4" s="58"/>
      <c r="P4" s="58"/>
      <c r="Q4" s="58"/>
      <c r="R4" s="58"/>
    </row>
    <row r="5" spans="1:18" x14ac:dyDescent="0.2">
      <c r="A5" s="3"/>
      <c r="B5" s="57"/>
      <c r="C5" s="18"/>
      <c r="D5" s="18"/>
      <c r="E5" s="18"/>
      <c r="F5" s="18"/>
      <c r="G5" s="18"/>
      <c r="H5" s="18"/>
      <c r="I5" s="18"/>
      <c r="J5" s="16"/>
      <c r="L5" s="58"/>
      <c r="M5" s="58"/>
      <c r="N5" s="58"/>
      <c r="O5" s="58"/>
      <c r="P5" s="58"/>
      <c r="Q5" s="58"/>
      <c r="R5" s="58"/>
    </row>
    <row r="6" spans="1:18" x14ac:dyDescent="0.2">
      <c r="A6" s="3"/>
      <c r="B6" s="5" t="s">
        <v>24</v>
      </c>
      <c r="C6" s="169" t="s">
        <v>576</v>
      </c>
      <c r="D6" s="148"/>
      <c r="E6" s="148"/>
      <c r="F6" s="148"/>
      <c r="G6" s="148"/>
      <c r="H6" s="148"/>
      <c r="I6" s="148"/>
      <c r="J6" s="59"/>
      <c r="L6" s="58"/>
      <c r="M6" s="58"/>
      <c r="N6" s="58"/>
      <c r="O6" s="58"/>
      <c r="P6" s="58"/>
      <c r="Q6" s="58"/>
      <c r="R6" s="58"/>
    </row>
    <row r="7" spans="1:18" x14ac:dyDescent="0.2">
      <c r="A7" s="3"/>
      <c r="B7" s="5"/>
      <c r="C7" s="170"/>
      <c r="D7" s="4"/>
      <c r="E7" s="4"/>
      <c r="F7" s="4"/>
      <c r="G7" s="4"/>
      <c r="H7" s="4"/>
      <c r="I7" s="4"/>
      <c r="J7" s="16"/>
      <c r="L7" s="58"/>
      <c r="M7" s="58"/>
      <c r="N7" s="58"/>
      <c r="O7" s="58"/>
      <c r="P7" s="58"/>
      <c r="Q7" s="58"/>
      <c r="R7" s="58"/>
    </row>
    <row r="8" spans="1:18" x14ac:dyDescent="0.2">
      <c r="A8" s="3"/>
      <c r="B8" s="5" t="s">
        <v>25</v>
      </c>
      <c r="C8" s="170" t="s">
        <v>645</v>
      </c>
      <c r="D8" s="4"/>
      <c r="E8" s="4"/>
      <c r="F8" s="4"/>
      <c r="G8" s="4"/>
      <c r="H8" s="4"/>
      <c r="I8" s="4"/>
      <c r="J8" s="59"/>
      <c r="L8" s="58"/>
      <c r="M8" s="58"/>
      <c r="N8" s="58"/>
      <c r="O8" s="58"/>
      <c r="P8" s="58"/>
      <c r="Q8" s="58"/>
      <c r="R8" s="58"/>
    </row>
    <row r="9" spans="1:18" x14ac:dyDescent="0.2">
      <c r="A9" s="3"/>
      <c r="B9" s="5"/>
      <c r="C9" s="170"/>
      <c r="D9" s="4"/>
      <c r="E9" s="4"/>
      <c r="F9" s="4"/>
      <c r="G9" s="4"/>
      <c r="H9" s="4"/>
      <c r="I9" s="4"/>
      <c r="J9" s="16"/>
      <c r="L9" s="58"/>
      <c r="M9" s="58"/>
      <c r="N9" s="58"/>
      <c r="O9" s="58"/>
      <c r="P9" s="58"/>
      <c r="Q9" s="58"/>
      <c r="R9" s="58"/>
    </row>
    <row r="10" spans="1:18" x14ac:dyDescent="0.2">
      <c r="A10" s="3"/>
      <c r="B10" s="5" t="s">
        <v>26</v>
      </c>
      <c r="C10" s="170" t="s">
        <v>647</v>
      </c>
      <c r="D10" s="4"/>
      <c r="E10" s="4"/>
      <c r="F10" s="4"/>
      <c r="G10" s="4"/>
      <c r="H10" s="4"/>
      <c r="I10" s="4"/>
      <c r="J10" s="59"/>
      <c r="L10" s="58"/>
      <c r="M10" s="58"/>
      <c r="N10" s="58"/>
      <c r="O10" s="58"/>
      <c r="P10" s="58"/>
      <c r="Q10" s="58"/>
      <c r="R10" s="58"/>
    </row>
    <row r="11" spans="1:18" x14ac:dyDescent="0.2">
      <c r="A11" s="3"/>
      <c r="B11" s="5"/>
      <c r="C11" s="170"/>
      <c r="D11" s="4"/>
      <c r="E11" s="4"/>
      <c r="F11" s="4"/>
      <c r="G11" s="4"/>
      <c r="H11" s="4"/>
      <c r="I11" s="4"/>
      <c r="J11" s="16"/>
      <c r="L11" s="58"/>
      <c r="M11" s="58"/>
      <c r="N11" s="58"/>
      <c r="O11" s="58"/>
      <c r="P11" s="58"/>
      <c r="Q11" s="58"/>
      <c r="R11" s="58"/>
    </row>
    <row r="12" spans="1:18" x14ac:dyDescent="0.2">
      <c r="A12" s="3"/>
      <c r="B12" s="5" t="s">
        <v>27</v>
      </c>
      <c r="C12" s="170" t="s">
        <v>588</v>
      </c>
      <c r="D12" s="4"/>
      <c r="E12" s="4"/>
      <c r="F12" s="4"/>
      <c r="G12" s="4"/>
      <c r="H12" s="4"/>
      <c r="I12" s="4"/>
      <c r="J12" s="59"/>
      <c r="L12" s="58"/>
      <c r="M12" s="58"/>
      <c r="N12" s="58"/>
      <c r="O12" s="58"/>
      <c r="P12" s="58"/>
      <c r="Q12" s="58"/>
      <c r="R12" s="58"/>
    </row>
    <row r="13" spans="1:18" x14ac:dyDescent="0.2">
      <c r="A13" s="3"/>
      <c r="B13" s="5"/>
      <c r="C13" s="170"/>
      <c r="D13" s="4"/>
      <c r="E13" s="4"/>
      <c r="F13" s="4"/>
      <c r="G13" s="4"/>
      <c r="H13" s="4"/>
      <c r="I13" s="4"/>
      <c r="J13" s="16"/>
      <c r="L13" s="58"/>
      <c r="M13" s="58"/>
      <c r="N13" s="58"/>
      <c r="O13" s="58"/>
      <c r="P13" s="58"/>
      <c r="Q13" s="58"/>
      <c r="R13" s="58"/>
    </row>
    <row r="14" spans="1:18" x14ac:dyDescent="0.2">
      <c r="A14" s="3"/>
      <c r="B14" s="5" t="s">
        <v>19</v>
      </c>
      <c r="C14" s="170" t="s">
        <v>591</v>
      </c>
      <c r="D14" s="4"/>
      <c r="E14" s="4"/>
      <c r="F14" s="4"/>
      <c r="G14" s="4"/>
      <c r="H14" s="4"/>
      <c r="I14" s="4"/>
      <c r="J14" s="59"/>
      <c r="L14" s="58"/>
      <c r="M14" s="58"/>
      <c r="N14" s="58"/>
      <c r="O14" s="58"/>
      <c r="P14" s="58"/>
      <c r="Q14" s="58"/>
      <c r="R14" s="58"/>
    </row>
    <row r="15" spans="1:18" x14ac:dyDescent="0.2">
      <c r="A15" s="3"/>
      <c r="B15" s="5"/>
      <c r="C15" s="170"/>
      <c r="D15" s="4"/>
      <c r="E15" s="4"/>
      <c r="F15" s="4"/>
      <c r="G15" s="4"/>
      <c r="H15" s="4"/>
      <c r="I15" s="4"/>
      <c r="J15" s="16"/>
    </row>
    <row r="16" spans="1:18" x14ac:dyDescent="0.2">
      <c r="A16" s="3"/>
      <c r="B16" s="5" t="s">
        <v>18</v>
      </c>
      <c r="C16" s="170" t="s">
        <v>595</v>
      </c>
      <c r="D16" s="4"/>
      <c r="E16" s="4"/>
      <c r="F16" s="4"/>
      <c r="G16" s="4"/>
      <c r="H16" s="4"/>
      <c r="I16" s="4"/>
      <c r="J16" s="59"/>
    </row>
    <row r="17" spans="1:12" x14ac:dyDescent="0.2">
      <c r="A17" s="3"/>
      <c r="B17" s="5"/>
      <c r="C17" s="170"/>
      <c r="D17" s="4"/>
      <c r="E17" s="4"/>
      <c r="F17" s="4"/>
      <c r="G17" s="4"/>
      <c r="H17" s="4"/>
      <c r="I17" s="4"/>
      <c r="J17" s="16"/>
    </row>
    <row r="18" spans="1:12" x14ac:dyDescent="0.2">
      <c r="A18" s="3"/>
      <c r="B18" s="5" t="s">
        <v>9</v>
      </c>
      <c r="C18" s="170" t="s">
        <v>650</v>
      </c>
      <c r="D18" s="4"/>
      <c r="E18" s="4"/>
      <c r="F18" s="4"/>
      <c r="G18" s="4"/>
      <c r="H18" s="4"/>
      <c r="I18" s="4"/>
      <c r="J18" s="59"/>
      <c r="L18" s="58"/>
    </row>
    <row r="19" spans="1:12" x14ac:dyDescent="0.2">
      <c r="A19" s="3"/>
      <c r="B19" s="5"/>
      <c r="C19" s="170"/>
      <c r="D19" s="4"/>
      <c r="E19" s="4"/>
      <c r="F19" s="4"/>
      <c r="G19" s="4"/>
      <c r="H19" s="4"/>
      <c r="I19" s="4"/>
      <c r="J19" s="16"/>
    </row>
    <row r="20" spans="1:12" x14ac:dyDescent="0.2">
      <c r="A20" s="3"/>
      <c r="B20" s="5" t="s">
        <v>11</v>
      </c>
      <c r="C20" s="170" t="s">
        <v>608</v>
      </c>
      <c r="D20" s="4"/>
      <c r="E20" s="4"/>
      <c r="F20" s="4"/>
      <c r="G20" s="4"/>
      <c r="H20" s="4"/>
      <c r="I20" s="4"/>
      <c r="J20" s="59"/>
    </row>
    <row r="21" spans="1:12" x14ac:dyDescent="0.2">
      <c r="A21" s="3"/>
      <c r="B21" s="5"/>
      <c r="C21" s="170"/>
      <c r="D21" s="4"/>
      <c r="E21" s="4"/>
      <c r="F21" s="4"/>
      <c r="G21" s="4"/>
      <c r="H21" s="4"/>
      <c r="I21" s="4"/>
      <c r="J21" s="16"/>
    </row>
    <row r="22" spans="1:12" x14ac:dyDescent="0.2">
      <c r="A22" s="3"/>
      <c r="B22" s="5" t="s">
        <v>16</v>
      </c>
      <c r="C22" s="170" t="s">
        <v>613</v>
      </c>
      <c r="D22" s="4"/>
      <c r="E22" s="4"/>
      <c r="F22" s="4"/>
      <c r="G22" s="4"/>
      <c r="H22" s="4"/>
      <c r="I22" s="4"/>
      <c r="J22" s="59"/>
    </row>
    <row r="23" spans="1:12" x14ac:dyDescent="0.2">
      <c r="A23" s="3"/>
      <c r="B23" s="5"/>
      <c r="C23" s="170"/>
      <c r="D23" s="4"/>
      <c r="E23" s="4"/>
      <c r="F23" s="4"/>
      <c r="G23" s="4"/>
      <c r="H23" s="4"/>
      <c r="I23" s="4"/>
      <c r="J23" s="16"/>
    </row>
    <row r="24" spans="1:12" x14ac:dyDescent="0.2">
      <c r="A24" s="3"/>
      <c r="B24" s="5" t="s">
        <v>28</v>
      </c>
      <c r="C24" s="170" t="s">
        <v>646</v>
      </c>
      <c r="D24" s="4"/>
      <c r="E24" s="4"/>
      <c r="F24" s="4"/>
      <c r="G24" s="4"/>
      <c r="H24" s="4"/>
      <c r="I24" s="4"/>
      <c r="J24" s="59"/>
    </row>
    <row r="25" spans="1:12" x14ac:dyDescent="0.2">
      <c r="A25" s="3"/>
      <c r="B25" s="5"/>
      <c r="C25" s="170"/>
      <c r="D25" s="4"/>
      <c r="E25" s="4"/>
      <c r="F25" s="4"/>
      <c r="G25" s="4"/>
      <c r="H25" s="4"/>
      <c r="I25" s="4"/>
      <c r="J25" s="16"/>
    </row>
    <row r="26" spans="1:12" x14ac:dyDescent="0.2">
      <c r="A26" s="3"/>
      <c r="B26" s="5" t="s">
        <v>29</v>
      </c>
      <c r="C26" s="170" t="s">
        <v>890</v>
      </c>
      <c r="D26" s="4"/>
      <c r="E26" s="4"/>
      <c r="F26" s="4"/>
      <c r="G26" s="4"/>
      <c r="H26" s="4"/>
      <c r="I26" s="4"/>
      <c r="J26" s="59"/>
    </row>
    <row r="27" spans="1:12" x14ac:dyDescent="0.2">
      <c r="A27" s="26"/>
      <c r="B27" s="55"/>
      <c r="C27" s="18"/>
      <c r="D27" s="18"/>
      <c r="E27" s="18"/>
      <c r="F27" s="18"/>
      <c r="G27" s="18"/>
      <c r="H27" s="18"/>
      <c r="I27" s="18"/>
      <c r="J27" s="16"/>
    </row>
    <row r="28" spans="1:12" x14ac:dyDescent="0.2">
      <c r="A28" s="26"/>
      <c r="B28" s="55"/>
      <c r="C28" s="18"/>
      <c r="D28" s="18"/>
      <c r="E28" s="18"/>
      <c r="F28" s="18"/>
      <c r="G28" s="18"/>
      <c r="H28" s="18"/>
      <c r="I28" s="18"/>
      <c r="J28" s="16"/>
    </row>
    <row r="29" spans="1:12" x14ac:dyDescent="0.2">
      <c r="A29" s="26"/>
      <c r="B29" s="55"/>
      <c r="C29" s="18"/>
      <c r="D29" s="18"/>
      <c r="E29" s="18"/>
      <c r="F29" s="18"/>
      <c r="G29" s="18"/>
      <c r="H29" s="18"/>
      <c r="I29" s="18"/>
      <c r="J29" s="16"/>
    </row>
    <row r="30" spans="1:12" x14ac:dyDescent="0.2">
      <c r="A30" s="26"/>
      <c r="B30" s="55"/>
      <c r="C30" s="18"/>
      <c r="D30" s="18"/>
      <c r="E30" s="18"/>
      <c r="F30" s="18"/>
      <c r="G30" s="18"/>
      <c r="H30" s="18"/>
      <c r="I30" s="18"/>
      <c r="J30" s="16"/>
    </row>
    <row r="31" spans="1:12" x14ac:dyDescent="0.2">
      <c r="A31" s="26"/>
      <c r="B31" s="55"/>
      <c r="C31" s="18"/>
      <c r="D31" s="18"/>
      <c r="E31" s="18"/>
      <c r="F31" s="18"/>
      <c r="G31" s="18"/>
      <c r="H31" s="18"/>
      <c r="I31" s="18"/>
      <c r="J31" s="16"/>
    </row>
    <row r="32" spans="1:12" x14ac:dyDescent="0.2">
      <c r="A32" s="26"/>
      <c r="B32" s="55"/>
      <c r="C32" s="18"/>
      <c r="D32" s="18"/>
      <c r="E32" s="18"/>
      <c r="F32" s="18"/>
      <c r="G32" s="18"/>
      <c r="H32" s="18"/>
      <c r="I32" s="18"/>
      <c r="J32" s="16"/>
    </row>
    <row r="33" spans="1:10" x14ac:dyDescent="0.2">
      <c r="A33" s="26"/>
      <c r="B33" s="55"/>
      <c r="C33" s="18"/>
      <c r="D33" s="18"/>
      <c r="E33" s="18"/>
      <c r="F33" s="18"/>
      <c r="G33" s="18"/>
      <c r="H33" s="18"/>
      <c r="I33" s="18"/>
      <c r="J33" s="16"/>
    </row>
    <row r="34" spans="1:10" x14ac:dyDescent="0.2">
      <c r="A34" s="60"/>
      <c r="B34" s="61"/>
      <c r="C34" s="62"/>
      <c r="D34" s="62"/>
      <c r="E34" s="62"/>
      <c r="F34" s="62"/>
      <c r="G34" s="62"/>
      <c r="H34" s="62"/>
      <c r="I34" s="62"/>
      <c r="J34" s="33"/>
    </row>
    <row r="35" spans="1:10" ht="15" x14ac:dyDescent="0.25">
      <c r="A35" s="27"/>
      <c r="B35" s="63" t="s">
        <v>567</v>
      </c>
      <c r="C35" s="64"/>
      <c r="D35" s="156"/>
      <c r="E35" s="64"/>
      <c r="F35" s="64"/>
      <c r="G35" s="64"/>
      <c r="H35" s="64"/>
      <c r="I35" s="64"/>
      <c r="J35" s="28"/>
    </row>
    <row r="36" spans="1:10" s="69" customFormat="1" ht="15" x14ac:dyDescent="0.25">
      <c r="A36" s="65"/>
      <c r="B36" s="66" t="s">
        <v>13</v>
      </c>
      <c r="C36" s="67" t="s">
        <v>0</v>
      </c>
      <c r="D36" s="157"/>
      <c r="E36" s="67"/>
      <c r="F36" s="67"/>
      <c r="G36" s="67"/>
      <c r="H36" s="67"/>
      <c r="I36" s="67"/>
      <c r="J36" s="68">
        <f>SUM(J3:J35)</f>
        <v>0</v>
      </c>
    </row>
    <row r="37" spans="1:10" x14ac:dyDescent="0.2">
      <c r="C37" s="31"/>
      <c r="D37" s="62"/>
      <c r="E37" s="158"/>
      <c r="F37" s="158"/>
      <c r="G37" s="158"/>
      <c r="H37" s="158"/>
      <c r="I37" s="158"/>
      <c r="J37" s="33"/>
    </row>
  </sheetData>
  <customSheetViews>
    <customSheetView guid="{CBA2F18A-D99E-4593-B5C7-F549C46D482A}" scale="80" showPageBreaks="1" printArea="1" view="pageBreakPreview">
      <selection activeCell="D27" sqref="D27"/>
      <pageMargins left="0.51181102362204722" right="0.19685039370078741" top="0.98425196850393704" bottom="0.59055118110236227" header="0.31496062992125984" footer="0.31496062992125984"/>
      <pageSetup paperSize="9" orientation="portrait" useFirstPageNumber="1" r:id="rId1"/>
      <headerFooter>
        <oddHeader>&amp;R&amp;UBILL NO. 2
SUMMARY</oddHeader>
        <oddFooter>&amp;L&amp;8MBR GPV PH1A BQ ADD3&amp;C&amp;10 2/SUM</oddFooter>
      </headerFooter>
    </customSheetView>
  </customSheetViews>
  <mergeCells count="4">
    <mergeCell ref="A1:A2"/>
    <mergeCell ref="B1:B2"/>
    <mergeCell ref="C1:C2"/>
    <mergeCell ref="J1:J2"/>
  </mergeCells>
  <pageMargins left="0.51181102362204722" right="0.19685039370078741" top="0.98425196850393704" bottom="0.59055118110236227" header="0.31496062992125984" footer="0.31496062992125984"/>
  <pageSetup paperSize="8" orientation="landscape" useFirstPageNumber="1" r:id="rId2"/>
  <headerFooter>
    <oddHeader>&amp;R&amp;UBILL NO. 3: TOWNHOUSE A
AL FURJAN PACKAGE 3</oddHeader>
    <oddFooter>&amp;L&amp;8DMS No. 148110 Package 3 (30 Sept 2021)&amp;C&amp;10 3/SUM</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25</vt:i4>
      </vt:variant>
    </vt:vector>
  </HeadingPairs>
  <TitlesOfParts>
    <vt:vector size="38" baseType="lpstr">
      <vt:lpstr>Bill 3 fly</vt:lpstr>
      <vt:lpstr>Sitework</vt:lpstr>
      <vt:lpstr>Conc_C</vt:lpstr>
      <vt:lpstr>D.Masonry</vt:lpstr>
      <vt:lpstr>E.Metalwork</vt:lpstr>
      <vt:lpstr>F.Woodwork</vt:lpstr>
      <vt:lpstr>G.TMP</vt:lpstr>
      <vt:lpstr>H.D&amp;W</vt:lpstr>
      <vt:lpstr>J. Finishes</vt:lpstr>
      <vt:lpstr>K. Accessories</vt:lpstr>
      <vt:lpstr>Q. Mech</vt:lpstr>
      <vt:lpstr>R. Elec</vt:lpstr>
      <vt:lpstr>Bill 3-Summary</vt:lpstr>
      <vt:lpstr>'Bill 3 fly'!Print_Area</vt:lpstr>
      <vt:lpstr>'Bill 3-Summary'!Print_Area</vt:lpstr>
      <vt:lpstr>Conc_C!Print_Area</vt:lpstr>
      <vt:lpstr>D.Masonry!Print_Area</vt:lpstr>
      <vt:lpstr>E.Metalwork!Print_Area</vt:lpstr>
      <vt:lpstr>F.Woodwork!Print_Area</vt:lpstr>
      <vt:lpstr>G.TMP!Print_Area</vt:lpstr>
      <vt:lpstr>'H.D&amp;W'!Print_Area</vt:lpstr>
      <vt:lpstr>'J. Finishes'!Print_Area</vt:lpstr>
      <vt:lpstr>'K. Accessories'!Print_Area</vt:lpstr>
      <vt:lpstr>'Q. Mech'!Print_Area</vt:lpstr>
      <vt:lpstr>'R. Elec'!Print_Area</vt:lpstr>
      <vt:lpstr>Sitework!Print_Area</vt:lpstr>
      <vt:lpstr>'Bill 3-Summary'!Print_Titles</vt:lpstr>
      <vt:lpstr>Conc_C!Print_Titles</vt:lpstr>
      <vt:lpstr>D.Masonry!Print_Titles</vt:lpstr>
      <vt:lpstr>E.Metalwork!Print_Titles</vt:lpstr>
      <vt:lpstr>F.Woodwork!Print_Titles</vt:lpstr>
      <vt:lpstr>G.TMP!Print_Titles</vt:lpstr>
      <vt:lpstr>'H.D&amp;W'!Print_Titles</vt:lpstr>
      <vt:lpstr>'J. Finishes'!Print_Titles</vt:lpstr>
      <vt:lpstr>'K. Accessories'!Print_Titles</vt:lpstr>
      <vt:lpstr>'Q. Mech'!Print_Titles</vt:lpstr>
      <vt:lpstr>'R. Elec'!Print_Titles</vt:lpstr>
      <vt:lpstr>Sitework!Print_Titles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Graham Gosney</dc:creator>
  <cp:lastModifiedBy>Jacqueline Ticong</cp:lastModifiedBy>
  <cp:lastPrinted>2021-10-05T10:56:42Z</cp:lastPrinted>
  <dcterms:created xsi:type="dcterms:W3CDTF">2017-06-04T10:32:58Z</dcterms:created>
  <dcterms:modified xsi:type="dcterms:W3CDTF">2021-10-05T10:57:43Z</dcterms:modified>
</cp:coreProperties>
</file>