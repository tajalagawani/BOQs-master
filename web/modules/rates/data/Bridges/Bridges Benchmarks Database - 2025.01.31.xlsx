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Bridges/"/>
    </mc:Choice>
  </mc:AlternateContent>
  <xr:revisionPtr revIDLastSave="0" documentId="13_ncr:1_{840E1846-DB38-6446-870A-87B1838CDE50}" xr6:coauthVersionLast="47" xr6:coauthVersionMax="47" xr10:uidLastSave="{00000000-0000-0000-0000-000000000000}"/>
  <bookViews>
    <workbookView xWindow="0" yWindow="740" windowWidth="29400" windowHeight="17400" activeTab="1" xr2:uid="{05333C6D-CA61-47BE-BF4E-92FC3923C3AB}"/>
  </bookViews>
  <sheets>
    <sheet name="BM_Bridge" sheetId="2" r:id="rId1"/>
    <sheet name="BM_MSE Wall" sheetId="3" r:id="rId2"/>
  </sheets>
  <definedNames>
    <definedName name="______blk4">#REF!</definedName>
    <definedName name="______ewk4">#REF!</definedName>
    <definedName name="______ice4">#REF!</definedName>
    <definedName name="______pl4">#REF!</definedName>
    <definedName name="______pls4">#REF!</definedName>
    <definedName name="______ps4">#REF!</definedName>
    <definedName name="______sw4">#REF!</definedName>
    <definedName name="_____blk4">#REF!</definedName>
    <definedName name="_____ewk4">#REF!</definedName>
    <definedName name="_____ice4">#REF!</definedName>
    <definedName name="_____pl4">#REF!</definedName>
    <definedName name="_____pls4">#REF!</definedName>
    <definedName name="_____ps4">#REF!</definedName>
    <definedName name="_____sw4">#REF!</definedName>
    <definedName name="____blk4">#REF!</definedName>
    <definedName name="____ewk4">#REF!</definedName>
    <definedName name="____ice4">#REF!</definedName>
    <definedName name="____pl4">#REF!</definedName>
    <definedName name="____pls4">#REF!</definedName>
    <definedName name="____ps4">#REF!</definedName>
    <definedName name="____sw4">#REF!</definedName>
    <definedName name="___blk4">#REF!</definedName>
    <definedName name="___ewk4">#REF!</definedName>
    <definedName name="___ice4">#REF!</definedName>
    <definedName name="___pl4">#REF!</definedName>
    <definedName name="___pls4">#REF!</definedName>
    <definedName name="___ps4">#REF!</definedName>
    <definedName name="___sw4">#REF!</definedName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C" hidden="1">#REF!</definedName>
    <definedName name="__123Graph_X" hidden="1">#REF!</definedName>
    <definedName name="__123Graph_XCHART1" hidden="1">#REF!</definedName>
    <definedName name="__123Graph_XCURRENT" hidden="1">#REF!</definedName>
    <definedName name="__ADD2">#REF!</definedName>
    <definedName name="__blk4">#REF!</definedName>
    <definedName name="__ewk4">#REF!</definedName>
    <definedName name="__ice4">#REF!</definedName>
    <definedName name="__IntlFixup" hidden="1">TRUE</definedName>
    <definedName name="__pl4">#REF!</definedName>
    <definedName name="__pls4">#REF!</definedName>
    <definedName name="__ps4">#REF!</definedName>
    <definedName name="__sw4">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#REF!</definedName>
    <definedName name="_1__123Graph_ACHART_12" hidden="1">#REF!</definedName>
    <definedName name="_10">#REF!</definedName>
    <definedName name="_10__123Graph_ACHART_18" hidden="1">#REF!</definedName>
    <definedName name="_10__123Graph_BCHART_16" hidden="1">#REF!</definedName>
    <definedName name="_11">#REF!</definedName>
    <definedName name="_11__123Graph_BCHART_17" hidden="1">#REF!</definedName>
    <definedName name="_12">#REF!</definedName>
    <definedName name="_12__123Graph_ACHART_19" hidden="1">#REF!</definedName>
    <definedName name="_12__123Graph_BCHART_22" hidden="1">#REF!</definedName>
    <definedName name="_13">#REF!</definedName>
    <definedName name="_13__123Graph_CCHART_15" hidden="1">#REF!</definedName>
    <definedName name="_14">#REF!</definedName>
    <definedName name="_14__123Graph_ACHART_21" hidden="1">#REF!</definedName>
    <definedName name="_14__123Graph_CCHART_16" hidden="1">#REF!</definedName>
    <definedName name="_15">#REF!</definedName>
    <definedName name="_15__123Graph_CCHART_17" hidden="1">#REF!</definedName>
    <definedName name="_16">#REF!</definedName>
    <definedName name="_16__123Graph_ASEG_PIE" hidden="1">#REF!</definedName>
    <definedName name="_16__123Graph_CCHART_22" hidden="1">#REF!</definedName>
    <definedName name="_17">#REF!</definedName>
    <definedName name="_17__123Graph_CSEG_PIE" hidden="1">#REF!</definedName>
    <definedName name="_18">#REF!</definedName>
    <definedName name="_18__123Graph_BCHART_15" hidden="1">#REF!</definedName>
    <definedName name="_18__123Graph_DCHART_15" hidden="1">#REF!</definedName>
    <definedName name="_19">#REF!</definedName>
    <definedName name="_19__123Graph_DCHART_16" hidden="1">#REF!</definedName>
    <definedName name="_2">#REF!</definedName>
    <definedName name="_2__123Graph_ACHART_12" hidden="1">#REF!</definedName>
    <definedName name="_2__123Graph_ACHART_15" hidden="1">#REF!</definedName>
    <definedName name="_2__123Graph_ACHART_1A" hidden="1">#REF!</definedName>
    <definedName name="_20">#REF!</definedName>
    <definedName name="_20__123Graph_BCHART_16" hidden="1">#REF!</definedName>
    <definedName name="_20__123Graph_DCHART_17" hidden="1">#REF!</definedName>
    <definedName name="_21">#REF!</definedName>
    <definedName name="_21__123Graph_DCHART_22" hidden="1">#REF!</definedName>
    <definedName name="_22">#REF!</definedName>
    <definedName name="_22__123Graph_BCHART_17" hidden="1">#REF!</definedName>
    <definedName name="_22__123Graph_ECHART_15" hidden="1">#REF!</definedName>
    <definedName name="_23">#REF!</definedName>
    <definedName name="_23__123Graph_ECHART_16" hidden="1">#REF!</definedName>
    <definedName name="_24">#REF!</definedName>
    <definedName name="_24__123Graph_BCHART_22" hidden="1">#REF!</definedName>
    <definedName name="_24__123Graph_ECHART_17" hidden="1">#REF!</definedName>
    <definedName name="_25">#REF!</definedName>
    <definedName name="_25__123Graph_ECHART_22" hidden="1">#REF!</definedName>
    <definedName name="_26">#REF!</definedName>
    <definedName name="_26__123Graph_CCHART_15" hidden="1">#REF!</definedName>
    <definedName name="_26__123Graph_FCHART_15" hidden="1">#REF!</definedName>
    <definedName name="_27">#REF!</definedName>
    <definedName name="_27__123Graph_FCHART_16" hidden="1">#REF!</definedName>
    <definedName name="_28">#REF!</definedName>
    <definedName name="_28__123Graph_CCHART_16" hidden="1">#REF!</definedName>
    <definedName name="_28__123Graph_FCHART_17" hidden="1">#REF!</definedName>
    <definedName name="_29">#REF!</definedName>
    <definedName name="_29__123Graph_FCHART_22" hidden="1">#REF!</definedName>
    <definedName name="_3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">#REF!</definedName>
    <definedName name="_4__123Graph_ACHART_15" hidden="1">#REF!</definedName>
    <definedName name="_4__123Graph_ACHART_17" hidden="1">#REF!</definedName>
    <definedName name="_4__123Graph_XCHART_1A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ADD2">#REF!</definedName>
    <definedName name="_blk4">#REF!</definedName>
    <definedName name="_ewk4">#REF!</definedName>
    <definedName name="_Fill" hidden="1">#REF!</definedName>
    <definedName name="_FR_?__">#REF!</definedName>
    <definedName name="_ice4">#REF!</definedName>
    <definedName name="_Key1" hidden="1">#REF!</definedName>
    <definedName name="_Order1" hidden="1">255</definedName>
    <definedName name="_Order2" hidden="1">255</definedName>
    <definedName name="_pl4">#REF!</definedName>
    <definedName name="_pls4">#REF!</definedName>
    <definedName name="_ps4">#REF!</definedName>
    <definedName name="_Sort" hidden="1">#REF!</definedName>
    <definedName name="_Sum1">#REF!</definedName>
    <definedName name="_sw4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A">#REF!</definedName>
    <definedName name="A___0">#REF!</definedName>
    <definedName name="A___18">#REF!</definedName>
    <definedName name="A_2000_Concrete">#REF!</definedName>
    <definedName name="A_2500_Concrete">#REF!</definedName>
    <definedName name="A_4">#REF!</definedName>
    <definedName name="A_5">#REF!</definedName>
    <definedName name="A_6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A">#REF!</definedName>
    <definedName name="AAA">#REF!</definedName>
    <definedName name="aaaaa">#REF!</definedName>
    <definedName name="abc">#REF!</definedName>
    <definedName name="AccessDatabase" hidden="1">"C:\AA-MEDIUM PROJECTS\Khaleej Times - GO 14017\Submittals Status.mdb"</definedName>
    <definedName name="accumulateamt">#REF!</definedName>
    <definedName name="ACE">OFFSET(#REF!,1,0,COUNTA(#REF!)-(#REF!+2))</definedName>
    <definedName name="ADD">#REF!</definedName>
    <definedName name="addresses">#REF!</definedName>
    <definedName name="AddwkAmt">#REF!</definedName>
    <definedName name="adjustment">#REF!</definedName>
    <definedName name="adjustment2">#REF!</definedName>
    <definedName name="ag">#REF!</definedName>
    <definedName name="ahgd">#REF!</definedName>
    <definedName name="al">#REF!</definedName>
    <definedName name="allocation">#REF!</definedName>
    <definedName name="AME">OFFSET(#REF!,1,0,COUNTA(#REF!)-(#REF!+2))</definedName>
    <definedName name="AmtDue">#REF!</definedName>
    <definedName name="Angle_Screed">#REF!</definedName>
    <definedName name="apart">#REF!</definedName>
    <definedName name="Application">OFFSET(#REF!,1,0,COUNTA(#REF!)-(#REF!+3))</definedName>
    <definedName name="AREA">#REF!</definedName>
    <definedName name="areas">#REF!</definedName>
    <definedName name="aruna">#REF!</definedName>
    <definedName name="as">#REF!</definedName>
    <definedName name="ASSET">#REF!</definedName>
    <definedName name="at">#REF!</definedName>
    <definedName name="b" hidden="1">{"'Break down'!$A$4"}</definedName>
    <definedName name="BASE_Summary">#REF!</definedName>
    <definedName name="BASE_Summary1">#REF!</definedName>
    <definedName name="BASE_Summary2">#REF!</definedName>
    <definedName name="BASEAREAS">#REF!</definedName>
    <definedName name="BB">#REF!</definedName>
    <definedName name="bbb">#REF!</definedName>
    <definedName name="bcis">#REF!</definedName>
    <definedName name="Bill">#REF!</definedName>
    <definedName name="Bill_Refs">#REF!,#REF!</definedName>
    <definedName name="BIN">#REF!</definedName>
    <definedName name="blankline">#REF!</definedName>
    <definedName name="blk">#REF!</definedName>
    <definedName name="Bottom_T32_RF_Factor">#REF!</definedName>
    <definedName name="BS">#REF!</definedName>
    <definedName name="BUS">#REF!</definedName>
    <definedName name="bw">#REF!</definedName>
    <definedName name="bw4_">#REF!</definedName>
    <definedName name="bw4a">#REF!</definedName>
    <definedName name="CC">#REF!</definedName>
    <definedName name="CCE">OFFSET(#REF!,1,0,COUNTA(#REF!)-(#REF!+2))</definedName>
    <definedName name="Cell_Length_X">#REF!</definedName>
    <definedName name="Cell_length_Y">#REF!</definedName>
    <definedName name="Cert">OFFSET(#REF!,1,0,COUNTA(#REF!)-(#REF!+2))</definedName>
    <definedName name="cf">#REF!</definedName>
    <definedName name="Classification">#REF!</definedName>
    <definedName name="Client">#REF!</definedName>
    <definedName name="Clt_score">#REF!</definedName>
    <definedName name="CME">OFFSET(#REF!,1,0,COUNTA(#REF!)-(#REF!+2))</definedName>
    <definedName name="CMonths">OFFSET(#REF!,1,0,COUNTA(#REF!)-(#REF!+2))</definedName>
    <definedName name="Comp1Seg1">"Check Box 1"</definedName>
    <definedName name="Concrete_Ang.Connection">#REF!</definedName>
    <definedName name="Concrete_V_Connection">#REF!</definedName>
    <definedName name="CONV">#REF!</definedName>
    <definedName name="cost">#REF!</definedName>
    <definedName name="coststage">#REF!</definedName>
    <definedName name="cp">#REF!</definedName>
    <definedName name="_xlnm.Criteria">#REF!</definedName>
    <definedName name="CRITERIA1">#REF!</definedName>
    <definedName name="Cst_score">#REF!</definedName>
    <definedName name="CURRENCY">#REF!</definedName>
    <definedName name="CWAmt">#REF!</definedName>
    <definedName name="D">#REF!</definedName>
    <definedName name="dad" hidden="1">#REF!</definedName>
    <definedName name="_xlnm.Database">#REF!</definedName>
    <definedName name="DAWJKFSJKFBWSUILFBIKNSEOL">#REF!</definedName>
    <definedName name="dcf">#REF!</definedName>
    <definedName name="DD">#REF!</definedName>
    <definedName name="Ddt_H_Screed">#REF!</definedName>
    <definedName name="Ddt_H_Screed_AC">#REF!</definedName>
    <definedName name="Delux" hidden="1">#REF!</definedName>
    <definedName name="dfsdfs">#REF!</definedName>
    <definedName name="DIRECT">#REF!</definedName>
    <definedName name="dk">#REF!</definedName>
    <definedName name="dk4_">#REF!</definedName>
    <definedName name="Drain_Length">#REF!</definedName>
    <definedName name="DuctworkCarpark">#REF!</definedName>
    <definedName name="DuctworkTowerBldg">#REF!</definedName>
    <definedName name="dummy">#N/A</definedName>
    <definedName name="dw">#REF!</definedName>
    <definedName name="DWAmt">#REF!</definedName>
    <definedName name="E">#REF!</definedName>
    <definedName name="E_score">#REF!</definedName>
    <definedName name="Early_Warnings">#REF!</definedName>
    <definedName name="ECH">OFFSET(#REF!,1,0,COUNTA(#REF!)-(#REF!+3))</definedName>
    <definedName name="ECHCert">OFFSET(#REF!,1,0,COUNTA(#REF!)-(#REF!+2))</definedName>
    <definedName name="EE">#REF!</definedName>
    <definedName name="ELE">#REF!</definedName>
    <definedName name="ELEC" hidden="1">#REF!</definedName>
    <definedName name="element">#REF!</definedName>
    <definedName name="eth" hidden="1">#REF!</definedName>
    <definedName name="ev">#REF!</definedName>
    <definedName name="ew">#REF!</definedName>
    <definedName name="ew4_">#REF!</definedName>
    <definedName name="ew4a">#REF!</definedName>
    <definedName name="ewk">#REF!</definedName>
    <definedName name="Excel_BuiltIn__FilterDatabase_1">#REF!</definedName>
    <definedName name="Excel_BuiltIn_Database_0">#REF!</definedName>
    <definedName name="External_Waterstops">#REF!</definedName>
    <definedName name="_xlnm.Extract">#REF!</definedName>
    <definedName name="F">#REF!</definedName>
    <definedName name="fc">#REF!</definedName>
    <definedName name="fdf">#REF!</definedName>
    <definedName name="FF">#REF!</definedName>
    <definedName name="ffne">#REF!</definedName>
    <definedName name="fgh">#REF!</definedName>
    <definedName name="fi">#REF!</definedName>
    <definedName name="fi4_">#REF!</definedName>
    <definedName name="fi4a">#REF!</definedName>
    <definedName name="fini">#REF!</definedName>
    <definedName name="fini4">#REF!</definedName>
    <definedName name="FOHBOH">#REF!</definedName>
    <definedName name="FUNCTION">#REF!</definedName>
    <definedName name="G">#REF!</definedName>
    <definedName name="gajkbgsf">#REF!</definedName>
    <definedName name="gb">#REF!</definedName>
    <definedName name="ge">#REF!</definedName>
    <definedName name="GENERAL">#REF!</definedName>
    <definedName name="gg">#REF!</definedName>
    <definedName name="ggg">#REF!</definedName>
    <definedName name="GH">#REF!</definedName>
    <definedName name="GONGGA">#REF!</definedName>
    <definedName name="GONGJANG">#REF!</definedName>
    <definedName name="graph" hidden="1">#REF!</definedName>
    <definedName name="guest">#REF!</definedName>
    <definedName name="GYS">#REF!</definedName>
    <definedName name="H">#REF!</definedName>
    <definedName name="hae">#REF!</definedName>
    <definedName name="HH">#REF!</definedName>
    <definedName name="hjhjhjhkljh">#REF!</definedName>
    <definedName name="hjjjj">#REF!</definedName>
    <definedName name="hkhkhkj">#REF!</definedName>
    <definedName name="HKKILJI">#REF!</definedName>
    <definedName name="hom">#REF!</definedName>
    <definedName name="homer">#REF!</definedName>
    <definedName name="homerun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TH">#REF!</definedName>
    <definedName name="ice">#REF!</definedName>
    <definedName name="ID_ClientSeries">#REF!</definedName>
    <definedName name="ID_Copyright">#REF!</definedName>
    <definedName name="ID_MLCref">#REF!</definedName>
    <definedName name="ID_ProjectName">#REF!</definedName>
    <definedName name="ID_QSRSeries">#REF!</definedName>
    <definedName name="ID_ReportDate">#REF!</definedName>
    <definedName name="ID_Revision">#REF!</definedName>
    <definedName name="il">#REF!</definedName>
    <definedName name="ILGA">#REF!</definedName>
    <definedName name="intext">#REF!</definedName>
    <definedName name="Issue_date">#REF!</definedName>
    <definedName name="Item">#REF!</definedName>
    <definedName name="J">#REF!</definedName>
    <definedName name="K">#REF!</definedName>
    <definedName name="KAJLJ">#REF!</definedName>
    <definedName name="KAJLJ1">#REF!</definedName>
    <definedName name="KD">#REF!</definedName>
    <definedName name="KL">#REF!</definedName>
    <definedName name="L">#REF!</definedName>
    <definedName name="Lab" localSheetId="0">BM_Bridge!Lab = Address</definedName>
    <definedName name="Lab" localSheetId="1">'BM_MSE Wall'!Lab = Address</definedName>
    <definedName name="Lab">[0]!Lab = Address</definedName>
    <definedName name="LABOR">#REF!</definedName>
    <definedName name="Length_of_the_cell__X_direction__m">#REF!</definedName>
    <definedName name="Length_Vertical_Raft">#REF!</definedName>
    <definedName name="LIB">#REF!</definedName>
    <definedName name="Liveeee" hidden="1">#REF!</definedName>
    <definedName name="LL">#REF!</definedName>
    <definedName name="LLL">#REF!</definedName>
    <definedName name="Location">#REF!</definedName>
    <definedName name="M">#REF!</definedName>
    <definedName name="M_Angle_Screed">#REF!</definedName>
    <definedName name="Mat" localSheetId="0">BM_Bridge!Mat = Address</definedName>
    <definedName name="Mat" localSheetId="1">'BM_MSE Wall'!Mat = Address</definedName>
    <definedName name="Mat">[0]!Mat = Address</definedName>
    <definedName name="mech_boq">#REF!</definedName>
    <definedName name="mep">#REF!</definedName>
    <definedName name="MLC_ref">#REF!</definedName>
    <definedName name="month">OFFSET(#REF!,1,0,COUNTA(#REF!)-(#REF!+2))</definedName>
    <definedName name="MONTHS">#REF!</definedName>
    <definedName name="mortor" localSheetId="0">BM_Bridge!mortor = Address</definedName>
    <definedName name="mortor" localSheetId="1">'BM_MSE Wall'!mortor = Address</definedName>
    <definedName name="mortor">[0]!mortor = Address</definedName>
    <definedName name="mr">#REF!</definedName>
    <definedName name="mt">#REF!</definedName>
    <definedName name="MUP">#REF!</definedName>
    <definedName name="N">#REF!</definedName>
    <definedName name="NewPrintArea">#REF!</definedName>
    <definedName name="NewPrintAreaMi">#REF!</definedName>
    <definedName name="NRM">#REF!</definedName>
    <definedName name="nsc이익금">#REF!</definedName>
    <definedName name="OMI">#REF!</definedName>
    <definedName name="P">#REF!</definedName>
    <definedName name="P_score">#REF!</definedName>
    <definedName name="p4s">#REF!</definedName>
    <definedName name="page">#REF!</definedName>
    <definedName name="page1">#REF!</definedName>
    <definedName name="page1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rt_no">#REF!</definedName>
    <definedName name="pc">#REF!</definedName>
    <definedName name="pg">#REF!</definedName>
    <definedName name="Piles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l">#REF!</definedName>
    <definedName name="pl4a">#REF!</definedName>
    <definedName name="plst">#REF!</definedName>
    <definedName name="poc">#REF!</definedName>
    <definedName name="podareas">#REF!</definedName>
    <definedName name="postt">#REF!</definedName>
    <definedName name="Prefab">#REF!</definedName>
    <definedName name="_xlnm.Print_Area" localSheetId="0">BM_Bridge!$A$1:$O$30</definedName>
    <definedName name="_xlnm.Print_Area" localSheetId="1">'BM_MSE Wall'!$A$1:$F$24</definedName>
    <definedName name="_xlnm.Print_Area">#REF!</definedName>
    <definedName name="PRINT_AREA_MI">#REF!</definedName>
    <definedName name="PRINT_AREA_MI1">#REF!</definedName>
    <definedName name="print_chart">#REF!</definedName>
    <definedName name="PRINT_ENGR">#REF!</definedName>
    <definedName name="print_input">#REF!</definedName>
    <definedName name="PRINT_TITLE">#REF!</definedName>
    <definedName name="_xlnm.Print_Titles" localSheetId="0">BM_Bridge!$1:$30</definedName>
    <definedName name="_xlnm.Print_Titles" localSheetId="1">'BM_MSE Wall'!$1:$24</definedName>
    <definedName name="_xlnm.Print_Titles">#REF!</definedName>
    <definedName name="Print_Titles_MI">#REF!</definedName>
    <definedName name="Print_Titles_MI___0">#REF!</definedName>
    <definedName name="Print_Titles_MI___18">#REF!</definedName>
    <definedName name="Proc_Form">#REF!</definedName>
    <definedName name="PROCESS_ACT">#REF!</definedName>
    <definedName name="PROCESS_PLAN">#REF!</definedName>
    <definedName name="PROJECT_Description">#REF!</definedName>
    <definedName name="PROJECT_Description1">#REF!</definedName>
    <definedName name="PROJECT_Description2">#REF!</definedName>
    <definedName name="Project_Name">#REF!</definedName>
    <definedName name="Project_number">#REF!</definedName>
    <definedName name="ps">#REF!</definedName>
    <definedName name="Q">#REF!</definedName>
    <definedName name="Quality">#REF!</definedName>
    <definedName name="Quantity">#REF!</definedName>
    <definedName name="qwsade" hidden="1">#REF!</definedName>
    <definedName name="ra" localSheetId="0">BM_Bridge!ra = Address</definedName>
    <definedName name="ra" localSheetId="1">'BM_MSE Wall'!ra = Address</definedName>
    <definedName name="ra">[0]!ra = Address</definedName>
    <definedName name="Raft_Edge_A_2000">#REF!</definedName>
    <definedName name="Raft_Edge_A_2500">#REF!</definedName>
    <definedName name="Raft_Edge_L_2000">#REF!</definedName>
    <definedName name="Raft_Edge_L_2500">#REF!</definedName>
    <definedName name="rate">#REF!</definedName>
    <definedName name="RCE">OFFSET(#REF!,1,0,COUNTA(#REF!)-(#REF!+2))</definedName>
    <definedName name="rebar">#REF!</definedName>
    <definedName name="REMOVE" localSheetId="0">BM_Bridge!REMOVE = Address</definedName>
    <definedName name="REMOVE" localSheetId="1">'BM_MSE Wall'!REMOVE = Address</definedName>
    <definedName name="REMOVE">[0]!REMOVE = Address</definedName>
    <definedName name="Report_No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33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ME">OFFSET(#REF!,1,0,COUNTA(#REF!)-(#REF!+2))</definedName>
    <definedName name="S">#REF!</definedName>
    <definedName name="s_curve">#REF!</definedName>
    <definedName name="S_score">#REF!</definedName>
    <definedName name="saeed">#REF!</definedName>
    <definedName name="SALARY">#REF!</definedName>
    <definedName name="sc">#REF!</definedName>
    <definedName name="sector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fdf">#REF!</definedName>
    <definedName name="SHEET">#REF!</definedName>
    <definedName name="Short_No">#REF!</definedName>
    <definedName name="SideFW_Ang.Connection">#REF!</definedName>
    <definedName name="SideFW_V_Connection">#REF!</definedName>
    <definedName name="Slab_Area_2000">#REF!</definedName>
    <definedName name="Slab_Area_2500">#REF!</definedName>
    <definedName name="SlabArea">#REF!</definedName>
    <definedName name="SOC" hidden="1">{"'Sheet1 (2)'!$A$1:$C$61"}</definedName>
    <definedName name="ss">#REF!</definedName>
    <definedName name="s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tip_Area">#REF!</definedName>
    <definedName name="STAFF">#REF!</definedName>
    <definedName name="stage">#REF!</definedName>
    <definedName name="stl">#REF!</definedName>
    <definedName name="stop" hidden="1">#REF!</definedName>
    <definedName name="sub">#REF!</definedName>
    <definedName name="subs">#REF!</definedName>
    <definedName name="subs4">#REF!</definedName>
    <definedName name="subs4a">#REF!</definedName>
    <definedName name="SUM" hidden="1">{"'Sheet1 (2)'!$A$1:$C$61"}</definedName>
    <definedName name="Summary">#REF!</definedName>
    <definedName name="SummaryCarpark">#REF!</definedName>
    <definedName name="SummaryTowerBldg">#REF!</definedName>
    <definedName name="sup">#REF!</definedName>
    <definedName name="sups">#REF!</definedName>
    <definedName name="sups4">#REF!</definedName>
    <definedName name="sups4a">#REF!</definedName>
    <definedName name="sw">#REF!</definedName>
    <definedName name="sw4a">#REF!</definedName>
    <definedName name="SWE">#REF!</definedName>
    <definedName name="T">#REF!</definedName>
    <definedName name="T12_Add_RF">#REF!</definedName>
    <definedName name="T16_Add_RF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3areas">#REF!</definedName>
    <definedName name="TABLE">#REF!</definedName>
    <definedName name="temp" hidden="1">{"'Break down'!$A$4"}</definedName>
    <definedName name="Top_T25_RF_factor">#REF!</definedName>
    <definedName name="Total">#REF!</definedName>
    <definedName name="Total_Area">#REF!</definedName>
    <definedName name="total_bill1">#REF!</definedName>
    <definedName name="total_bill3">#REF!</definedName>
    <definedName name="total_bill4">#REF!</definedName>
    <definedName name="total_bill5">#REF!</definedName>
    <definedName name="total_bill6">#REF!</definedName>
    <definedName name="total_bill7">#REF!</definedName>
    <definedName name="total_fluctuation">#REF!</definedName>
    <definedName name="total_mos">#REF!</definedName>
    <definedName name="ttt">#REF!</definedName>
    <definedName name="ty">#REF!</definedName>
    <definedName name="type">#REF!</definedName>
    <definedName name="U">#REF!</definedName>
    <definedName name="ubaid" hidden="1">{#N/A,#N/A,FALSE,"VCR"}</definedName>
    <definedName name="Ubaide" hidden="1">{#N/A,#N/A,FALSE,"VCR"}</definedName>
    <definedName name="Unit">#REF!</definedName>
    <definedName name="use">#REF!</definedName>
    <definedName name="UY">#REF!</definedName>
    <definedName name="V">#REF!</definedName>
    <definedName name="V_waterproofing">#REF!</definedName>
    <definedName name="V_Waterproofing_Area">#REF!</definedName>
    <definedName name="VALVA">#REF!</definedName>
    <definedName name="Variations">#REF!</definedName>
    <definedName name="w">#REF!</definedName>
    <definedName name="WAGE">#REF!</definedName>
    <definedName name="Waterstops_Compartmantalization">#REF!</definedName>
    <definedName name="Width_of_the_cell_Y_direction__m">#REF!</definedName>
    <definedName name="wp">#REF!</definedName>
    <definedName name="wrn.Chandana." hidden="1">{#N/A,#N/A,FALSE,"VCR"}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OCS._.REPORT." hidden="1">{#N/A,#N/A,FALSE,"Cover";#N/A,#N/A,FALSE,"Index";#N/A,#N/A,FALSE,"Spec";#N/A,#N/A,FALSE,"Breakdown";#N/A,#N/A,FALSE,"Cost Plan"}</definedName>
    <definedName name="wrn.PRINT._.REPORT." hidden="1">{#N/A,#N/A,FALSE,"summary";#N/A,#N/A,FALSE,"preliminy";#N/A,#N/A,FALSE,"bill 3";#N/A,#N/A,FALSE,"bill 4"}</definedName>
    <definedName name="X">#REF!</definedName>
    <definedName name="xvxc">#REF!</definedName>
    <definedName name="Y">#REF!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jhyj">#REF!</definedName>
    <definedName name="Z">#REF!</definedName>
    <definedName name="자금수지이자">#REF!</definedName>
    <definedName name="직접공사비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3" l="1"/>
  <c r="Q47" i="3"/>
  <c r="R39" i="3"/>
  <c r="Q39" i="3"/>
  <c r="R31" i="3"/>
  <c r="Q31" i="3"/>
  <c r="Q23" i="3"/>
  <c r="N23" i="3"/>
  <c r="R23" i="3" s="1"/>
  <c r="Q15" i="3"/>
  <c r="N15" i="3"/>
  <c r="R15" i="3" s="1"/>
  <c r="Q7" i="3"/>
  <c r="N7" i="3"/>
  <c r="R7" i="3" s="1"/>
  <c r="M33" i="2" l="1"/>
  <c r="M32" i="2"/>
  <c r="M31" i="2"/>
  <c r="M30" i="2"/>
  <c r="M29" i="2"/>
  <c r="M28" i="2"/>
  <c r="M27" i="2"/>
  <c r="M26" i="2"/>
  <c r="P26" i="2" s="1"/>
  <c r="M25" i="2"/>
  <c r="P25" i="2" s="1"/>
  <c r="M24" i="2"/>
  <c r="M23" i="2"/>
  <c r="M22" i="2"/>
  <c r="M21" i="2"/>
  <c r="M20" i="2"/>
  <c r="M19" i="2"/>
  <c r="M18" i="2"/>
  <c r="M17" i="2"/>
  <c r="M16" i="2"/>
  <c r="P16" i="2" s="1"/>
  <c r="M15" i="2"/>
  <c r="M14" i="2"/>
  <c r="M13" i="2"/>
  <c r="M12" i="2"/>
  <c r="M11" i="2"/>
  <c r="M10" i="2"/>
  <c r="M9" i="2"/>
  <c r="M8" i="2"/>
  <c r="M7" i="2"/>
  <c r="M6" i="2"/>
  <c r="P6" i="2" s="1"/>
  <c r="M5" i="2"/>
  <c r="P5" i="2" s="1"/>
  <c r="M4" i="2"/>
  <c r="M55" i="3"/>
  <c r="M56" i="3"/>
  <c r="M57" i="3"/>
  <c r="N57" i="3"/>
  <c r="M58" i="3"/>
  <c r="N58" i="3"/>
  <c r="M59" i="3"/>
  <c r="N59" i="3"/>
  <c r="M54" i="3"/>
  <c r="N27" i="3"/>
  <c r="N26" i="3"/>
  <c r="N25" i="3"/>
  <c r="N24" i="3"/>
  <c r="N22" i="3"/>
  <c r="N21" i="3"/>
  <c r="R21" i="3" s="1"/>
  <c r="N20" i="3"/>
  <c r="N19" i="3"/>
  <c r="N18" i="3"/>
  <c r="N17" i="3"/>
  <c r="N16" i="3"/>
  <c r="N14" i="3"/>
  <c r="N13" i="3"/>
  <c r="R13" i="3" s="1"/>
  <c r="N12" i="3"/>
  <c r="N55" i="3" s="1"/>
  <c r="N11" i="3"/>
  <c r="N10" i="3"/>
  <c r="N9" i="3"/>
  <c r="N8" i="3"/>
  <c r="N6" i="3"/>
  <c r="N5" i="3"/>
  <c r="R5" i="3" s="1"/>
  <c r="N4" i="3"/>
  <c r="S64" i="2"/>
  <c r="S65" i="2"/>
  <c r="M69" i="2"/>
  <c r="M70" i="2"/>
  <c r="M71" i="2"/>
  <c r="N66" i="2"/>
  <c r="N67" i="2"/>
  <c r="N68" i="2"/>
  <c r="N69" i="2"/>
  <c r="N70" i="2"/>
  <c r="N71" i="2"/>
  <c r="P58" i="3"/>
  <c r="O69" i="2"/>
  <c r="O70" i="2"/>
  <c r="O71" i="2"/>
  <c r="N56" i="3" l="1"/>
  <c r="N54" i="3"/>
  <c r="P15" i="2"/>
  <c r="Q5" i="3"/>
  <c r="Q21" i="3"/>
  <c r="Q13" i="3"/>
  <c r="P57" i="3"/>
  <c r="P59" i="3"/>
  <c r="R51" i="3"/>
  <c r="R50" i="3"/>
  <c r="R49" i="3"/>
  <c r="Q49" i="3"/>
  <c r="R48" i="3"/>
  <c r="Q46" i="3"/>
  <c r="R45" i="3"/>
  <c r="Q45" i="3"/>
  <c r="Q43" i="3"/>
  <c r="Q42" i="3"/>
  <c r="R42" i="3"/>
  <c r="R41" i="3"/>
  <c r="R40" i="3"/>
  <c r="Q40" i="3"/>
  <c r="R38" i="3"/>
  <c r="R37" i="3"/>
  <c r="R35" i="3"/>
  <c r="Q34" i="3"/>
  <c r="Q33" i="3"/>
  <c r="R33" i="3"/>
  <c r="Q32" i="3"/>
  <c r="R30" i="3"/>
  <c r="Q30" i="3"/>
  <c r="R29" i="3"/>
  <c r="Q29" i="3"/>
  <c r="P62" i="2"/>
  <c r="S62" i="2" s="1"/>
  <c r="P63" i="2"/>
  <c r="S63" i="2" s="1"/>
  <c r="P61" i="2"/>
  <c r="S61" i="2" s="1"/>
  <c r="P60" i="2"/>
  <c r="S60" i="2" s="1"/>
  <c r="P59" i="2"/>
  <c r="S59" i="2" s="1"/>
  <c r="P58" i="2"/>
  <c r="S58" i="2" s="1"/>
  <c r="P57" i="2"/>
  <c r="S57" i="2" s="1"/>
  <c r="P54" i="2"/>
  <c r="P55" i="2"/>
  <c r="S55" i="2" s="1"/>
  <c r="P52" i="2"/>
  <c r="S52" i="2" s="1"/>
  <c r="P53" i="2"/>
  <c r="S53" i="2" s="1"/>
  <c r="P51" i="2"/>
  <c r="S51" i="2" s="1"/>
  <c r="P50" i="2"/>
  <c r="S50" i="2" s="1"/>
  <c r="P49" i="2"/>
  <c r="S49" i="2" s="1"/>
  <c r="P48" i="2"/>
  <c r="S48" i="2" s="1"/>
  <c r="P47" i="2"/>
  <c r="S47" i="2" s="1"/>
  <c r="P46" i="2"/>
  <c r="S46" i="2" s="1"/>
  <c r="P45" i="2"/>
  <c r="S45" i="2" s="1"/>
  <c r="P44" i="2"/>
  <c r="P42" i="2"/>
  <c r="S42" i="2" s="1"/>
  <c r="P43" i="2"/>
  <c r="S43" i="2" s="1"/>
  <c r="P41" i="2"/>
  <c r="S41" i="2" s="1"/>
  <c r="P40" i="2"/>
  <c r="S40" i="2" s="1"/>
  <c r="P39" i="2"/>
  <c r="S39" i="2" s="1"/>
  <c r="P38" i="2"/>
  <c r="S38" i="2" s="1"/>
  <c r="P37" i="2"/>
  <c r="S37" i="2" s="1"/>
  <c r="P34" i="2"/>
  <c r="P35" i="2"/>
  <c r="S35" i="2" s="1"/>
  <c r="S44" i="2" l="1"/>
  <c r="P70" i="2"/>
  <c r="S70" i="2" s="1"/>
  <c r="S54" i="2"/>
  <c r="P71" i="2"/>
  <c r="S71" i="2" s="1"/>
  <c r="P69" i="2"/>
  <c r="S69" i="2" s="1"/>
  <c r="S34" i="2"/>
  <c r="M68" i="2"/>
  <c r="Q50" i="3"/>
  <c r="R34" i="3"/>
  <c r="R43" i="3"/>
  <c r="Q41" i="3"/>
  <c r="R46" i="3"/>
  <c r="R32" i="3"/>
  <c r="Q35" i="3"/>
  <c r="Q38" i="3"/>
  <c r="Q48" i="3"/>
  <c r="Q51" i="3"/>
  <c r="Q37" i="3"/>
  <c r="P36" i="2"/>
  <c r="S36" i="2" s="1"/>
  <c r="P56" i="2"/>
  <c r="S56" i="2" s="1"/>
  <c r="M67" i="2" l="1"/>
  <c r="R44" i="3"/>
  <c r="R59" i="3" s="1"/>
  <c r="V59" i="3" s="1"/>
  <c r="Q44" i="3"/>
  <c r="Q59" i="3" s="1"/>
  <c r="U59" i="3" s="1"/>
  <c r="Q36" i="3"/>
  <c r="Q58" i="3" s="1"/>
  <c r="U58" i="3" s="1"/>
  <c r="R36" i="3"/>
  <c r="R58" i="3" s="1"/>
  <c r="V58" i="3" s="1"/>
  <c r="R28" i="3"/>
  <c r="R57" i="3" s="1"/>
  <c r="V57" i="3" s="1"/>
  <c r="Q28" i="3"/>
  <c r="Q57" i="3" s="1"/>
  <c r="U57" i="3" s="1"/>
  <c r="M66" i="2" l="1"/>
  <c r="S15" i="2" l="1"/>
  <c r="S16" i="2"/>
  <c r="S26" i="2"/>
  <c r="S25" i="2" l="1"/>
  <c r="S6" i="2" l="1"/>
  <c r="S5" i="2"/>
  <c r="R10" i="3" l="1"/>
  <c r="Q10" i="3"/>
  <c r="R26" i="3"/>
  <c r="Q26" i="3"/>
  <c r="R18" i="3"/>
  <c r="Q18" i="3"/>
  <c r="R25" i="3" l="1"/>
  <c r="Q25" i="3"/>
  <c r="R17" i="3"/>
  <c r="Q17" i="3"/>
  <c r="R9" i="3"/>
  <c r="Q9" i="3"/>
  <c r="P33" i="2" l="1"/>
  <c r="P32" i="2" l="1"/>
  <c r="P31" i="2"/>
  <c r="P28" i="2"/>
  <c r="S28" i="2" s="1"/>
  <c r="P23" i="2"/>
  <c r="S23" i="2" s="1"/>
  <c r="R16" i="3"/>
  <c r="Q16" i="3"/>
  <c r="R22" i="3"/>
  <c r="Q22" i="3"/>
  <c r="P19" i="2" l="1"/>
  <c r="S19" i="2"/>
  <c r="P20" i="2"/>
  <c r="S20" i="2"/>
  <c r="P30" i="2"/>
  <c r="S30" i="2" s="1"/>
  <c r="P27" i="2"/>
  <c r="S27" i="2" s="1"/>
  <c r="P18" i="2"/>
  <c r="S18" i="2" s="1"/>
  <c r="P29" i="2"/>
  <c r="S29" i="2" s="1"/>
  <c r="P17" i="2"/>
  <c r="S17" i="2" s="1"/>
  <c r="P22" i="2"/>
  <c r="S22" i="2"/>
  <c r="P21" i="2"/>
  <c r="S21" i="2" s="1"/>
  <c r="R19" i="3"/>
  <c r="Q19" i="3"/>
  <c r="R11" i="3"/>
  <c r="Q11" i="3"/>
  <c r="R20" i="3"/>
  <c r="Q20" i="3"/>
  <c r="Q56" i="3" s="1"/>
  <c r="P56" i="3"/>
  <c r="R14" i="3"/>
  <c r="Q14" i="3"/>
  <c r="R6" i="3"/>
  <c r="Q6" i="3"/>
  <c r="R8" i="3"/>
  <c r="Q8" i="3"/>
  <c r="R24" i="3"/>
  <c r="Q24" i="3"/>
  <c r="R27" i="3"/>
  <c r="Q27" i="3"/>
  <c r="U56" i="3" l="1"/>
  <c r="R56" i="3"/>
  <c r="V56" i="3" s="1"/>
  <c r="P24" i="2"/>
  <c r="P68" i="2" s="1"/>
  <c r="O68" i="2"/>
  <c r="P14" i="2"/>
  <c r="P67" i="2" s="1"/>
  <c r="O67" i="2"/>
  <c r="S14" i="2"/>
  <c r="R4" i="3"/>
  <c r="R54" i="3" s="1"/>
  <c r="Q4" i="3"/>
  <c r="Q54" i="3" s="1"/>
  <c r="P54" i="3"/>
  <c r="P55" i="3"/>
  <c r="R12" i="3"/>
  <c r="R55" i="3" s="1"/>
  <c r="Q12" i="3"/>
  <c r="Q55" i="3" s="1"/>
  <c r="U54" i="3" l="1"/>
  <c r="S67" i="2"/>
  <c r="S68" i="2"/>
  <c r="S24" i="2"/>
  <c r="V54" i="3"/>
  <c r="U55" i="3"/>
  <c r="V55" i="3"/>
  <c r="P8" i="2" l="1"/>
  <c r="S8" i="2" s="1"/>
  <c r="P12" i="2"/>
  <c r="S12" i="2" s="1"/>
  <c r="P13" i="2"/>
  <c r="S13" i="2"/>
  <c r="P10" i="2"/>
  <c r="S10" i="2" s="1"/>
  <c r="P9" i="2"/>
  <c r="S9" i="2" s="1"/>
  <c r="P7" i="2"/>
  <c r="S7" i="2"/>
  <c r="P11" i="2"/>
  <c r="S11" i="2" s="1"/>
  <c r="P4" i="2" l="1"/>
  <c r="P66" i="2" s="1"/>
  <c r="O66" i="2"/>
  <c r="S4" i="2"/>
  <c r="S66" i="2" l="1"/>
</calcChain>
</file>

<file path=xl/sharedStrings.xml><?xml version="1.0" encoding="utf-8"?>
<sst xmlns="http://schemas.openxmlformats.org/spreadsheetml/2006/main" count="1368" uniqueCount="69">
  <si>
    <t>SN.</t>
  </si>
  <si>
    <t>Description</t>
  </si>
  <si>
    <t>Benchmarking - Bridge</t>
  </si>
  <si>
    <t>Bridge Works (BR-01)</t>
  </si>
  <si>
    <t>Bridge Works (BR-02)</t>
  </si>
  <si>
    <t>Bridge Works (BR-03)</t>
  </si>
  <si>
    <t>Benchmarking - MSE Wall</t>
  </si>
  <si>
    <t>Height 9.7m at abutment</t>
  </si>
  <si>
    <t>Height 11m at abutment</t>
  </si>
  <si>
    <t>Height 9.8m at abutment</t>
  </si>
  <si>
    <t>Section 1 ( BR 01)</t>
  </si>
  <si>
    <t>Section 2 ( BR 02A, 02B, 03, 04, 07)</t>
  </si>
  <si>
    <t>Section 3 ( BR 05, 06)</t>
  </si>
  <si>
    <t>Height Average 9m at Abutment</t>
  </si>
  <si>
    <t>Height 7.5m at abutment</t>
  </si>
  <si>
    <t>Waterproofing</t>
  </si>
  <si>
    <t>Element</t>
  </si>
  <si>
    <t>Asset</t>
  </si>
  <si>
    <t>Country</t>
  </si>
  <si>
    <t>City</t>
  </si>
  <si>
    <t>Area</t>
  </si>
  <si>
    <t>Alias</t>
  </si>
  <si>
    <t>Project</t>
  </si>
  <si>
    <t>Employer</t>
  </si>
  <si>
    <t>Contractor</t>
  </si>
  <si>
    <t>Total Cost</t>
  </si>
  <si>
    <t>Year</t>
  </si>
  <si>
    <t>General Items</t>
  </si>
  <si>
    <t>Earthworks</t>
  </si>
  <si>
    <t>Insitu Concrete</t>
  </si>
  <si>
    <t>Concrete Ancillaries</t>
  </si>
  <si>
    <t xml:space="preserve">Piling </t>
  </si>
  <si>
    <t>Piling Ancillaries</t>
  </si>
  <si>
    <t>Roads And Pavings</t>
  </si>
  <si>
    <t>Miscellaneous Work</t>
  </si>
  <si>
    <t>UAE</t>
  </si>
  <si>
    <t>Project B23.1</t>
  </si>
  <si>
    <t>Infrastructure</t>
  </si>
  <si>
    <t>AL KHALEEJ AL ARABI</t>
  </si>
  <si>
    <t>Abu Dhabi</t>
  </si>
  <si>
    <t>DMT</t>
  </si>
  <si>
    <t>AECC</t>
  </si>
  <si>
    <t>Currency</t>
  </si>
  <si>
    <t>AED</t>
  </si>
  <si>
    <r>
      <t>Deck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</si>
  <si>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t>Al Bateen</t>
  </si>
  <si>
    <r>
      <t>Rate/m</t>
    </r>
    <r>
      <rPr>
        <b/>
        <vertAlign val="superscript"/>
        <sz val="9"/>
        <color theme="0"/>
        <rFont val="Arial"/>
        <family val="2"/>
      </rPr>
      <t>2</t>
    </r>
  </si>
  <si>
    <t>Chart</t>
  </si>
  <si>
    <t>Precast Concrete</t>
  </si>
  <si>
    <r>
      <t>Ramp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</si>
  <si>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r>
      <t>Panel Area (m</t>
    </r>
    <r>
      <rPr>
        <b/>
        <vertAlign val="superscript"/>
        <sz val="9"/>
        <color theme="0"/>
        <rFont val="Arial"/>
        <family val="2"/>
      </rPr>
      <t>2</t>
    </r>
    <r>
      <rPr>
        <b/>
        <sz val="9"/>
        <color theme="0"/>
        <rFont val="Arial"/>
        <family val="2"/>
      </rPr>
      <t>)</t>
    </r>
  </si>
  <si>
    <r>
      <t>Panel Area Rate/m</t>
    </r>
    <r>
      <rPr>
        <b/>
        <vertAlign val="superscript"/>
        <sz val="9"/>
        <color theme="0"/>
        <rFont val="Arial"/>
        <family val="2"/>
      </rPr>
      <t>2</t>
    </r>
  </si>
  <si>
    <t>MSE Wall, Zone B - Bridge 1</t>
  </si>
  <si>
    <t>MSE Wall, Zone D - Bridge 1 &amp; 3</t>
  </si>
  <si>
    <t>MSE Wall, Zone A - Bridge 2</t>
  </si>
  <si>
    <t>YES</t>
  </si>
  <si>
    <r>
      <t>Ramp Area Rate/m</t>
    </r>
    <r>
      <rPr>
        <b/>
        <vertAlign val="superscript"/>
        <sz val="9"/>
        <color theme="0"/>
        <rFont val="Arial"/>
        <family val="2"/>
      </rPr>
      <t>2</t>
    </r>
  </si>
  <si>
    <t>Scope of Works</t>
  </si>
  <si>
    <t>Metalwork</t>
  </si>
  <si>
    <t>Land Based.
Straight 226.86 m with 3 Web, 3 Piers and 3 Lane; height 7m</t>
  </si>
  <si>
    <t>Land based.
Straight 278.32 m with 2 Web, 6 Piers and 2 Lane; height 7m</t>
  </si>
  <si>
    <t>Land Based.
Curved 227.49 m with 2 Web, 3 Piers and 2 Lane; height 7m</t>
  </si>
  <si>
    <t>Project B24.1</t>
  </si>
  <si>
    <t>TBA</t>
  </si>
  <si>
    <t>Section 1 - Bridge Works (BR-01)</t>
  </si>
  <si>
    <t>Land Based.
Curved 290 m with 2 Web, 5 Piers and 2 Lane; height 7m</t>
  </si>
  <si>
    <t>Land Based.
02 - Curved 451m with 2 Web, 9 Piers 
03 - Curved 70m with 1 Web, 1 Pier
04 - Cuved 110m with 1 Web, 1 Pier
07 - Curved 205m with 1 Web, 4 Piers</t>
  </si>
  <si>
    <t>Land Based.
05- Straight 103m with 2 Web, 2 Piers
06- Curved 80m with 1 Web, 1 Pier</t>
  </si>
  <si>
    <t>ADSIC-PKG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</si>
</sst>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AED&quot;* #,##0.00_);_(&quot;AED&quot;* \(#,##0.00\);_(&quot;AED&quot;* &quot;-&quot;??_);_(@_)"/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9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04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/>
      <top style="thin">
        <color rgb="FF00B0F0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top" wrapText="1"/>
    </xf>
    <xf numFmtId="0" fontId="3" fillId="2" borderId="1" xfId="2" applyFont="1" applyFill="1" applyBorder="1" applyAlignment="1">
      <alignment horizontal="left" vertical="top"/>
    </xf>
    <xf numFmtId="0" fontId="6" fillId="0" borderId="0" xfId="2" applyFont="1" applyAlignment="1">
      <alignment horizontal="center" vertical="top" wrapText="1"/>
    </xf>
    <xf numFmtId="0" fontId="2" fillId="0" borderId="0" xfId="2" applyAlignment="1">
      <alignment horizontal="center" vertical="top" wrapText="1"/>
    </xf>
    <xf numFmtId="0" fontId="4" fillId="0" borderId="0" xfId="2" applyFont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7" fillId="0" borderId="0" xfId="2" applyFont="1" applyAlignment="1">
      <alignment horizontal="center" vertical="top" wrapText="1"/>
    </xf>
    <xf numFmtId="0" fontId="3" fillId="2" borderId="2" xfId="2" applyFont="1" applyFill="1" applyBorder="1" applyAlignment="1">
      <alignment vertical="top" wrapText="1"/>
    </xf>
    <xf numFmtId="0" fontId="3" fillId="2" borderId="8" xfId="2" applyFont="1" applyFill="1" applyBorder="1" applyAlignment="1">
      <alignment vertical="top" wrapText="1"/>
    </xf>
    <xf numFmtId="0" fontId="6" fillId="0" borderId="5" xfId="2" applyFont="1" applyBorder="1" applyAlignment="1">
      <alignment horizontal="center" vertical="top" wrapText="1"/>
    </xf>
    <xf numFmtId="43" fontId="0" fillId="0" borderId="0" xfId="1" applyFont="1" applyFill="1" applyBorder="1" applyAlignment="1">
      <alignment horizontal="center" vertical="center"/>
    </xf>
    <xf numFmtId="4" fontId="3" fillId="2" borderId="1" xfId="2" applyNumberFormat="1" applyFont="1" applyFill="1" applyBorder="1" applyAlignment="1">
      <alignment horizontal="center" vertical="top" wrapText="1"/>
    </xf>
    <xf numFmtId="0" fontId="3" fillId="2" borderId="6" xfId="2" applyFont="1" applyFill="1" applyBorder="1" applyAlignment="1">
      <alignment vertical="top" wrapText="1"/>
    </xf>
    <xf numFmtId="0" fontId="3" fillId="2" borderId="2" xfId="2" applyFont="1" applyFill="1" applyBorder="1" applyAlignment="1">
      <alignment horizontal="left" vertical="top"/>
    </xf>
    <xf numFmtId="0" fontId="0" fillId="0" borderId="9" xfId="0" applyBorder="1" applyAlignment="1">
      <alignment horizontal="center" vertical="center" wrapText="1"/>
    </xf>
    <xf numFmtId="0" fontId="5" fillId="0" borderId="0" xfId="2" applyFont="1" applyAlignment="1">
      <alignment horizontal="left" vertical="top" wrapText="1"/>
    </xf>
    <xf numFmtId="0" fontId="6" fillId="0" borderId="3" xfId="2" applyFont="1" applyBorder="1" applyAlignment="1">
      <alignment horizontal="center" vertical="top" wrapText="1"/>
    </xf>
    <xf numFmtId="0" fontId="10" fillId="3" borderId="10" xfId="0" applyFont="1" applyFill="1" applyBorder="1" applyAlignment="1">
      <alignment vertical="top"/>
    </xf>
    <xf numFmtId="49" fontId="10" fillId="3" borderId="10" xfId="0" applyNumberFormat="1" applyFont="1" applyFill="1" applyBorder="1" applyAlignment="1">
      <alignment vertical="top"/>
    </xf>
    <xf numFmtId="49" fontId="10" fillId="3" borderId="10" xfId="0" applyNumberFormat="1" applyFont="1" applyFill="1" applyBorder="1" applyAlignment="1">
      <alignment horizontal="center" vertical="top"/>
    </xf>
    <xf numFmtId="49" fontId="10" fillId="3" borderId="10" xfId="7" applyNumberFormat="1" applyFont="1" applyFill="1" applyBorder="1" applyAlignment="1">
      <alignment horizontal="center" vertical="top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center"/>
    </xf>
    <xf numFmtId="43" fontId="11" fillId="0" borderId="10" xfId="1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43" fontId="0" fillId="0" borderId="10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49" fontId="10" fillId="3" borderId="10" xfId="0" applyNumberFormat="1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left" vertical="center"/>
    </xf>
    <xf numFmtId="0" fontId="0" fillId="4" borderId="10" xfId="0" applyFill="1" applyBorder="1" applyAlignment="1">
      <alignment horizontal="left"/>
    </xf>
    <xf numFmtId="43" fontId="0" fillId="4" borderId="10" xfId="1" applyFont="1" applyFill="1" applyBorder="1" applyAlignment="1">
      <alignment horizontal="center" vertical="center"/>
    </xf>
    <xf numFmtId="164" fontId="0" fillId="4" borderId="10" xfId="1" applyNumberFormat="1" applyFont="1" applyFill="1" applyBorder="1" applyAlignment="1">
      <alignment horizontal="center" vertical="center"/>
    </xf>
    <xf numFmtId="164" fontId="11" fillId="4" borderId="10" xfId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4" borderId="10" xfId="0" applyFill="1" applyBorder="1" applyAlignment="1">
      <alignment horizontal="center"/>
    </xf>
    <xf numFmtId="43" fontId="11" fillId="4" borderId="10" xfId="1" applyFont="1" applyFill="1" applyBorder="1" applyAlignment="1">
      <alignment horizontal="center" vertical="center" wrapText="1"/>
    </xf>
    <xf numFmtId="164" fontId="0" fillId="4" borderId="10" xfId="1" applyNumberFormat="1" applyFont="1" applyFill="1" applyBorder="1" applyAlignment="1">
      <alignment vertical="center"/>
    </xf>
    <xf numFmtId="164" fontId="0" fillId="0" borderId="10" xfId="1" applyNumberFormat="1" applyFont="1" applyBorder="1" applyAlignment="1">
      <alignment vertical="center"/>
    </xf>
    <xf numFmtId="164" fontId="0" fillId="0" borderId="10" xfId="1" applyNumberFormat="1" applyFont="1" applyBorder="1" applyAlignment="1">
      <alignment horizontal="center" vertical="center" wrapText="1"/>
    </xf>
    <xf numFmtId="164" fontId="0" fillId="4" borderId="10" xfId="1" applyNumberFormat="1" applyFont="1" applyFill="1" applyBorder="1" applyAlignment="1">
      <alignment vertical="center" wrapText="1"/>
    </xf>
    <xf numFmtId="164" fontId="0" fillId="0" borderId="10" xfId="1" applyNumberFormat="1" applyFont="1" applyBorder="1" applyAlignment="1">
      <alignment vertical="center" wrapText="1"/>
    </xf>
    <xf numFmtId="164" fontId="0" fillId="4" borderId="10" xfId="1" applyNumberFormat="1" applyFont="1" applyFill="1" applyBorder="1" applyAlignment="1">
      <alignment horizontal="center" vertical="center" wrapText="1"/>
    </xf>
    <xf numFmtId="0" fontId="2" fillId="4" borderId="0" xfId="2" applyFill="1" applyAlignment="1">
      <alignment horizontal="center" vertical="top" wrapText="1"/>
    </xf>
    <xf numFmtId="164" fontId="0" fillId="0" borderId="10" xfId="1" applyNumberFormat="1" applyFont="1" applyFill="1" applyBorder="1" applyAlignment="1">
      <alignment horizontal="center" vertical="center"/>
    </xf>
    <xf numFmtId="164" fontId="0" fillId="0" borderId="10" xfId="1" applyNumberFormat="1" applyFont="1" applyFill="1" applyBorder="1" applyAlignment="1">
      <alignment vertical="center" wrapText="1"/>
    </xf>
    <xf numFmtId="43" fontId="11" fillId="0" borderId="10" xfId="1" applyFont="1" applyFill="1" applyBorder="1" applyAlignment="1">
      <alignment horizontal="center" vertical="center" wrapText="1"/>
    </xf>
    <xf numFmtId="164" fontId="0" fillId="0" borderId="10" xfId="1" applyNumberFormat="1" applyFont="1" applyFill="1" applyBorder="1" applyAlignment="1">
      <alignment vertical="center"/>
    </xf>
    <xf numFmtId="43" fontId="0" fillId="0" borderId="10" xfId="1" applyFont="1" applyFill="1" applyBorder="1" applyAlignment="1">
      <alignment horizontal="center" vertical="center"/>
    </xf>
    <xf numFmtId="164" fontId="11" fillId="0" borderId="1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11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2" fillId="0" borderId="0" xfId="2" applyNumberFormat="1" applyAlignment="1">
      <alignment horizontal="center" vertical="top" wrapText="1"/>
    </xf>
    <xf numFmtId="43" fontId="0" fillId="0" borderId="0" xfId="1" applyFont="1" applyAlignment="1">
      <alignment horizontal="center" vertical="top" wrapText="1"/>
    </xf>
    <xf numFmtId="164" fontId="2" fillId="0" borderId="0" xfId="1" applyNumberFormat="1" applyFont="1" applyAlignment="1">
      <alignment horizontal="center" vertical="top" wrapText="1"/>
    </xf>
    <xf numFmtId="164" fontId="0" fillId="0" borderId="10" xfId="1" applyNumberFormat="1" applyFont="1" applyBorder="1" applyAlignment="1">
      <alignment horizontal="left" vertical="center"/>
    </xf>
    <xf numFmtId="164" fontId="0" fillId="4" borderId="10" xfId="1" applyNumberFormat="1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5" fillId="0" borderId="4" xfId="2" applyFont="1" applyBorder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0" fillId="4" borderId="14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5" fillId="0" borderId="7" xfId="2" applyFont="1" applyBorder="1" applyAlignment="1">
      <alignment horizontal="left" vertical="top" wrapText="1"/>
    </xf>
  </cellXfs>
  <cellStyles count="8">
    <cellStyle name="Comma" xfId="1" builtinId="3"/>
    <cellStyle name="Currency" xfId="7" builtinId="4"/>
    <cellStyle name="Normal" xfId="0" builtinId="0"/>
    <cellStyle name="Normal - Style1 2 2" xfId="2" xr:uid="{99016E5B-A76E-4DB0-A937-3D034C58239A}"/>
    <cellStyle name="Normal 10 11" xfId="6" xr:uid="{D9FEAFC7-D267-4F78-9C0A-C676DB9FE967}"/>
    <cellStyle name="Normal 27" xfId="3" xr:uid="{919F7041-4C7F-41B4-80EC-9F067EF20914}"/>
    <cellStyle name="Normal 4 3 3" xfId="4" xr:uid="{5D70AFA6-BB44-40FC-BA34-29D6C96417E0}"/>
    <cellStyle name="Percent 2" xfId="5" xr:uid="{571DFE63-A223-466E-BC60-3FB752714C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1B85-735C-4C37-BA47-9C603288CF7C}">
  <sheetPr>
    <pageSetUpPr fitToPage="1"/>
  </sheetPr>
  <dimension ref="A1:S71"/>
  <sheetViews>
    <sheetView showZeros="0" topLeftCell="D1" zoomScale="150" zoomScaleNormal="150" zoomScaleSheetLayoutView="100" workbookViewId="0">
      <pane ySplit="3" topLeftCell="A47" activePane="bottomLeft" state="frozen"/>
      <selection pane="bottomLeft" activeCell="O69" sqref="O69:O71"/>
    </sheetView>
  </sheetViews>
  <sheetFormatPr baseColWidth="10" defaultColWidth="9.1640625" defaultRowHeight="13" x14ac:dyDescent="0.2"/>
  <cols>
    <col min="1" max="1" width="4.6640625" style="7" customWidth="1"/>
    <col min="2" max="2" width="19.83203125" style="7" customWidth="1"/>
    <col min="3" max="4" width="15.1640625" style="7" customWidth="1"/>
    <col min="5" max="5" width="15.1640625" style="7" hidden="1" customWidth="1"/>
    <col min="6" max="6" width="19.83203125" style="7" customWidth="1"/>
    <col min="7" max="7" width="24.5" style="7" customWidth="1"/>
    <col min="8" max="8" width="15.33203125" style="4" customWidth="1"/>
    <col min="9" max="9" width="7.83203125" style="4" customWidth="1"/>
    <col min="10" max="10" width="15.33203125" style="4" customWidth="1"/>
    <col min="11" max="11" width="28.33203125" style="4" customWidth="1"/>
    <col min="12" max="12" width="22.6640625" style="4" bestFit="1" customWidth="1"/>
    <col min="13" max="13" width="13.33203125" style="4" customWidth="1"/>
    <col min="14" max="14" width="12" style="4" customWidth="1"/>
    <col min="15" max="15" width="17.33203125" style="4" customWidth="1"/>
    <col min="16" max="16" width="11.5" style="4" bestFit="1" customWidth="1"/>
    <col min="17" max="17" width="32.6640625" style="4" customWidth="1"/>
    <col min="18" max="16384" width="9.1640625" style="4"/>
  </cols>
  <sheetData>
    <row r="1" spans="1:19" ht="14" customHeight="1" x14ac:dyDescent="0.2">
      <c r="A1" s="2" t="s">
        <v>2</v>
      </c>
      <c r="B1" s="14"/>
      <c r="C1" s="14"/>
      <c r="D1" s="14"/>
      <c r="E1" s="14"/>
      <c r="F1" s="14"/>
      <c r="G1" s="14"/>
      <c r="H1" s="8"/>
      <c r="I1" s="13"/>
      <c r="J1" s="13"/>
      <c r="K1" s="9"/>
      <c r="L1" s="6"/>
      <c r="M1" s="5"/>
      <c r="N1" s="5"/>
    </row>
    <row r="2" spans="1:19" x14ac:dyDescent="0.2">
      <c r="A2" s="73"/>
      <c r="B2" s="74"/>
      <c r="C2" s="74"/>
      <c r="D2" s="74"/>
      <c r="E2" s="74"/>
      <c r="F2" s="74"/>
      <c r="G2" s="74"/>
      <c r="H2" s="74"/>
      <c r="I2" s="16"/>
      <c r="J2" s="16"/>
      <c r="K2" s="17"/>
      <c r="L2" s="3"/>
      <c r="M2" s="5"/>
      <c r="N2" s="5"/>
    </row>
    <row r="3" spans="1:19" s="1" customFormat="1" ht="25" customHeight="1" x14ac:dyDescent="0.2">
      <c r="A3" s="12" t="s">
        <v>0</v>
      </c>
      <c r="B3" s="18" t="s">
        <v>17</v>
      </c>
      <c r="C3" s="18" t="s">
        <v>18</v>
      </c>
      <c r="D3" s="18" t="s">
        <v>19</v>
      </c>
      <c r="E3" s="18" t="s">
        <v>20</v>
      </c>
      <c r="F3" s="18" t="s">
        <v>21</v>
      </c>
      <c r="G3" s="18" t="s">
        <v>22</v>
      </c>
      <c r="H3" s="19" t="s">
        <v>23</v>
      </c>
      <c r="I3" s="19" t="s">
        <v>26</v>
      </c>
      <c r="J3" s="19" t="s">
        <v>24</v>
      </c>
      <c r="K3" s="20" t="s">
        <v>1</v>
      </c>
      <c r="L3" s="20" t="s">
        <v>16</v>
      </c>
      <c r="M3" s="20" t="s">
        <v>44</v>
      </c>
      <c r="N3" s="20" t="s">
        <v>42</v>
      </c>
      <c r="O3" s="20" t="s">
        <v>25</v>
      </c>
      <c r="P3" s="20" t="s">
        <v>46</v>
      </c>
      <c r="Q3" s="20" t="s">
        <v>57</v>
      </c>
      <c r="R3" s="21" t="s">
        <v>47</v>
      </c>
    </row>
    <row r="4" spans="1:19" s="1" customFormat="1" ht="16" customHeight="1" x14ac:dyDescent="0.2">
      <c r="A4" s="15">
        <v>1</v>
      </c>
      <c r="B4" s="24" t="s">
        <v>37</v>
      </c>
      <c r="C4" s="26" t="s">
        <v>35</v>
      </c>
      <c r="D4" s="26" t="s">
        <v>39</v>
      </c>
      <c r="E4" s="26" t="s">
        <v>45</v>
      </c>
      <c r="F4" s="26" t="s">
        <v>36</v>
      </c>
      <c r="G4" s="26" t="s">
        <v>38</v>
      </c>
      <c r="H4" s="26" t="s">
        <v>40</v>
      </c>
      <c r="I4" s="26">
        <v>2023</v>
      </c>
      <c r="J4" s="26" t="s">
        <v>41</v>
      </c>
      <c r="K4" s="24" t="s">
        <v>3</v>
      </c>
      <c r="L4" s="24" t="s">
        <v>27</v>
      </c>
      <c r="M4" s="30">
        <f>3784.94+226.86</f>
        <v>4011.8</v>
      </c>
      <c r="N4" s="27" t="s">
        <v>43</v>
      </c>
      <c r="O4" s="30">
        <v>4310399.3339932002</v>
      </c>
      <c r="P4" s="31">
        <f t="shared" ref="P4:P33" si="0">O4/M4</f>
        <v>1074.4302642188543</v>
      </c>
      <c r="Q4" s="67" t="s">
        <v>59</v>
      </c>
      <c r="R4" s="23" t="s">
        <v>55</v>
      </c>
      <c r="S4" s="62">
        <f t="shared" ref="S4:S65" si="1">O4/M4-P4</f>
        <v>0</v>
      </c>
    </row>
    <row r="5" spans="1:19" s="1" customFormat="1" ht="16" x14ac:dyDescent="0.2">
      <c r="A5" s="15">
        <v>2</v>
      </c>
      <c r="B5" s="24" t="s">
        <v>37</v>
      </c>
      <c r="C5" s="26" t="s">
        <v>35</v>
      </c>
      <c r="D5" s="26" t="s">
        <v>39</v>
      </c>
      <c r="E5" s="26" t="s">
        <v>45</v>
      </c>
      <c r="F5" s="26" t="s">
        <v>36</v>
      </c>
      <c r="G5" s="26" t="s">
        <v>38</v>
      </c>
      <c r="H5" s="26" t="s">
        <v>40</v>
      </c>
      <c r="I5" s="26">
        <v>2023</v>
      </c>
      <c r="J5" s="26" t="s">
        <v>41</v>
      </c>
      <c r="K5" s="24" t="s">
        <v>3</v>
      </c>
      <c r="L5" s="24" t="s">
        <v>28</v>
      </c>
      <c r="M5" s="30">
        <f t="shared" ref="M5:M13" si="2">3784.94+226.86</f>
        <v>4011.8</v>
      </c>
      <c r="N5" s="27" t="s">
        <v>43</v>
      </c>
      <c r="O5" s="30">
        <v>406324.48720000009</v>
      </c>
      <c r="P5" s="31">
        <f t="shared" si="0"/>
        <v>101.2823389002443</v>
      </c>
      <c r="Q5" s="68"/>
      <c r="R5" s="23" t="s">
        <v>55</v>
      </c>
      <c r="S5" s="62">
        <f t="shared" si="1"/>
        <v>0</v>
      </c>
    </row>
    <row r="6" spans="1:19" s="1" customFormat="1" ht="16" x14ac:dyDescent="0.2">
      <c r="A6" s="15">
        <v>3</v>
      </c>
      <c r="B6" s="24" t="s">
        <v>37</v>
      </c>
      <c r="C6" s="26" t="s">
        <v>35</v>
      </c>
      <c r="D6" s="26" t="s">
        <v>39</v>
      </c>
      <c r="E6" s="26" t="s">
        <v>45</v>
      </c>
      <c r="F6" s="26" t="s">
        <v>36</v>
      </c>
      <c r="G6" s="26" t="s">
        <v>38</v>
      </c>
      <c r="H6" s="26" t="s">
        <v>40</v>
      </c>
      <c r="I6" s="26">
        <v>2023</v>
      </c>
      <c r="J6" s="26" t="s">
        <v>41</v>
      </c>
      <c r="K6" s="24" t="s">
        <v>3</v>
      </c>
      <c r="L6" s="24" t="s">
        <v>29</v>
      </c>
      <c r="M6" s="30">
        <f t="shared" si="2"/>
        <v>4011.8</v>
      </c>
      <c r="N6" s="27" t="s">
        <v>43</v>
      </c>
      <c r="O6" s="30">
        <v>3450060.5937000006</v>
      </c>
      <c r="P6" s="31">
        <f t="shared" si="0"/>
        <v>859.9782126975424</v>
      </c>
      <c r="Q6" s="68"/>
      <c r="R6" s="23" t="s">
        <v>55</v>
      </c>
      <c r="S6" s="62">
        <f t="shared" si="1"/>
        <v>0</v>
      </c>
    </row>
    <row r="7" spans="1:19" s="1" customFormat="1" ht="16" x14ac:dyDescent="0.2">
      <c r="A7" s="15">
        <v>4</v>
      </c>
      <c r="B7" s="24" t="s">
        <v>37</v>
      </c>
      <c r="C7" s="26" t="s">
        <v>35</v>
      </c>
      <c r="D7" s="26" t="s">
        <v>39</v>
      </c>
      <c r="E7" s="26" t="s">
        <v>45</v>
      </c>
      <c r="F7" s="26" t="s">
        <v>36</v>
      </c>
      <c r="G7" s="26" t="s">
        <v>38</v>
      </c>
      <c r="H7" s="26" t="s">
        <v>40</v>
      </c>
      <c r="I7" s="26">
        <v>2023</v>
      </c>
      <c r="J7" s="26" t="s">
        <v>41</v>
      </c>
      <c r="K7" s="24" t="s">
        <v>3</v>
      </c>
      <c r="L7" s="24" t="s">
        <v>30</v>
      </c>
      <c r="M7" s="30">
        <f t="shared" si="2"/>
        <v>4011.8</v>
      </c>
      <c r="N7" s="27" t="s">
        <v>43</v>
      </c>
      <c r="O7" s="30">
        <v>12943399.0437</v>
      </c>
      <c r="P7" s="31">
        <f t="shared" si="0"/>
        <v>3226.3320812852085</v>
      </c>
      <c r="Q7" s="68"/>
      <c r="R7" s="23" t="s">
        <v>55</v>
      </c>
      <c r="S7" s="62">
        <f t="shared" si="1"/>
        <v>0</v>
      </c>
    </row>
    <row r="8" spans="1:19" s="1" customFormat="1" ht="16" x14ac:dyDescent="0.2">
      <c r="A8" s="15">
        <v>5</v>
      </c>
      <c r="B8" s="24" t="s">
        <v>37</v>
      </c>
      <c r="C8" s="26" t="s">
        <v>35</v>
      </c>
      <c r="D8" s="26" t="s">
        <v>39</v>
      </c>
      <c r="E8" s="26" t="s">
        <v>45</v>
      </c>
      <c r="F8" s="26" t="s">
        <v>36</v>
      </c>
      <c r="G8" s="26" t="s">
        <v>38</v>
      </c>
      <c r="H8" s="26" t="s">
        <v>40</v>
      </c>
      <c r="I8" s="26">
        <v>2023</v>
      </c>
      <c r="J8" s="26" t="s">
        <v>41</v>
      </c>
      <c r="K8" s="24" t="s">
        <v>3</v>
      </c>
      <c r="L8" s="24" t="s">
        <v>58</v>
      </c>
      <c r="M8" s="30">
        <f t="shared" si="2"/>
        <v>4011.8</v>
      </c>
      <c r="N8" s="27" t="s">
        <v>43</v>
      </c>
      <c r="O8" s="30">
        <v>1654315.3356000001</v>
      </c>
      <c r="P8" s="31">
        <f t="shared" si="0"/>
        <v>412.36236492347575</v>
      </c>
      <c r="Q8" s="68"/>
      <c r="R8" s="23" t="s">
        <v>55</v>
      </c>
      <c r="S8" s="62">
        <f t="shared" si="1"/>
        <v>0</v>
      </c>
    </row>
    <row r="9" spans="1:19" s="1" customFormat="1" ht="16" x14ac:dyDescent="0.2">
      <c r="A9" s="15">
        <v>6</v>
      </c>
      <c r="B9" s="24" t="s">
        <v>37</v>
      </c>
      <c r="C9" s="26" t="s">
        <v>35</v>
      </c>
      <c r="D9" s="26" t="s">
        <v>39</v>
      </c>
      <c r="E9" s="26" t="s">
        <v>45</v>
      </c>
      <c r="F9" s="26" t="s">
        <v>36</v>
      </c>
      <c r="G9" s="26" t="s">
        <v>38</v>
      </c>
      <c r="H9" s="26" t="s">
        <v>40</v>
      </c>
      <c r="I9" s="26">
        <v>2023</v>
      </c>
      <c r="J9" s="26" t="s">
        <v>41</v>
      </c>
      <c r="K9" s="24" t="s">
        <v>3</v>
      </c>
      <c r="L9" s="24" t="s">
        <v>31</v>
      </c>
      <c r="M9" s="30">
        <f t="shared" si="2"/>
        <v>4011.8</v>
      </c>
      <c r="N9" s="27" t="s">
        <v>43</v>
      </c>
      <c r="O9" s="30">
        <v>1390288.0852000001</v>
      </c>
      <c r="P9" s="31">
        <f t="shared" si="0"/>
        <v>346.5496996859265</v>
      </c>
      <c r="Q9" s="68"/>
      <c r="R9" s="23" t="s">
        <v>55</v>
      </c>
      <c r="S9" s="62">
        <f t="shared" si="1"/>
        <v>0</v>
      </c>
    </row>
    <row r="10" spans="1:19" s="1" customFormat="1" ht="16" x14ac:dyDescent="0.2">
      <c r="A10" s="15">
        <v>7</v>
      </c>
      <c r="B10" s="24" t="s">
        <v>37</v>
      </c>
      <c r="C10" s="26" t="s">
        <v>35</v>
      </c>
      <c r="D10" s="26" t="s">
        <v>39</v>
      </c>
      <c r="E10" s="26" t="s">
        <v>45</v>
      </c>
      <c r="F10" s="26" t="s">
        <v>36</v>
      </c>
      <c r="G10" s="26" t="s">
        <v>38</v>
      </c>
      <c r="H10" s="26" t="s">
        <v>40</v>
      </c>
      <c r="I10" s="26">
        <v>2023</v>
      </c>
      <c r="J10" s="26" t="s">
        <v>41</v>
      </c>
      <c r="K10" s="24" t="s">
        <v>3</v>
      </c>
      <c r="L10" s="24" t="s">
        <v>32</v>
      </c>
      <c r="M10" s="30">
        <f t="shared" si="2"/>
        <v>4011.8</v>
      </c>
      <c r="N10" s="27" t="s">
        <v>43</v>
      </c>
      <c r="O10" s="30">
        <v>1699124.0302000002</v>
      </c>
      <c r="P10" s="31">
        <f t="shared" si="0"/>
        <v>423.53158936138396</v>
      </c>
      <c r="Q10" s="68"/>
      <c r="R10" s="23" t="s">
        <v>55</v>
      </c>
      <c r="S10" s="62">
        <f t="shared" si="1"/>
        <v>0</v>
      </c>
    </row>
    <row r="11" spans="1:19" s="1" customFormat="1" ht="16" x14ac:dyDescent="0.2">
      <c r="A11" s="15">
        <v>8</v>
      </c>
      <c r="B11" s="24" t="s">
        <v>37</v>
      </c>
      <c r="C11" s="26" t="s">
        <v>35</v>
      </c>
      <c r="D11" s="26" t="s">
        <v>39</v>
      </c>
      <c r="E11" s="26" t="s">
        <v>45</v>
      </c>
      <c r="F11" s="26" t="s">
        <v>36</v>
      </c>
      <c r="G11" s="26" t="s">
        <v>38</v>
      </c>
      <c r="H11" s="26" t="s">
        <v>40</v>
      </c>
      <c r="I11" s="26">
        <v>2023</v>
      </c>
      <c r="J11" s="26" t="s">
        <v>41</v>
      </c>
      <c r="K11" s="24" t="s">
        <v>3</v>
      </c>
      <c r="L11" s="24" t="s">
        <v>33</v>
      </c>
      <c r="M11" s="30">
        <f t="shared" si="2"/>
        <v>4011.8</v>
      </c>
      <c r="N11" s="27" t="s">
        <v>43</v>
      </c>
      <c r="O11" s="30">
        <v>2239339.6537999995</v>
      </c>
      <c r="P11" s="31">
        <f t="shared" si="0"/>
        <v>558.18825808863835</v>
      </c>
      <c r="Q11" s="68"/>
      <c r="R11" s="23" t="s">
        <v>55</v>
      </c>
      <c r="S11" s="62">
        <f t="shared" si="1"/>
        <v>0</v>
      </c>
    </row>
    <row r="12" spans="1:19" s="1" customFormat="1" ht="16" x14ac:dyDescent="0.2">
      <c r="A12" s="15">
        <v>9</v>
      </c>
      <c r="B12" s="24" t="s">
        <v>37</v>
      </c>
      <c r="C12" s="26" t="s">
        <v>35</v>
      </c>
      <c r="D12" s="26" t="s">
        <v>39</v>
      </c>
      <c r="E12" s="26" t="s">
        <v>45</v>
      </c>
      <c r="F12" s="26" t="s">
        <v>36</v>
      </c>
      <c r="G12" s="26" t="s">
        <v>38</v>
      </c>
      <c r="H12" s="26" t="s">
        <v>40</v>
      </c>
      <c r="I12" s="26">
        <v>2023</v>
      </c>
      <c r="J12" s="26" t="s">
        <v>41</v>
      </c>
      <c r="K12" s="24" t="s">
        <v>3</v>
      </c>
      <c r="L12" s="24" t="s">
        <v>15</v>
      </c>
      <c r="M12" s="30">
        <f t="shared" si="2"/>
        <v>4011.8</v>
      </c>
      <c r="N12" s="27" t="s">
        <v>43</v>
      </c>
      <c r="O12" s="30">
        <v>343794.63419999997</v>
      </c>
      <c r="P12" s="31">
        <f t="shared" si="0"/>
        <v>85.695855775462377</v>
      </c>
      <c r="Q12" s="68"/>
      <c r="R12" s="23" t="s">
        <v>55</v>
      </c>
      <c r="S12" s="62">
        <f t="shared" si="1"/>
        <v>0</v>
      </c>
    </row>
    <row r="13" spans="1:19" s="40" customFormat="1" ht="16" customHeight="1" x14ac:dyDescent="0.2">
      <c r="A13" s="15">
        <v>10</v>
      </c>
      <c r="B13" s="24" t="s">
        <v>37</v>
      </c>
      <c r="C13" s="26" t="s">
        <v>35</v>
      </c>
      <c r="D13" s="26" t="s">
        <v>39</v>
      </c>
      <c r="E13" s="26" t="s">
        <v>45</v>
      </c>
      <c r="F13" s="26" t="s">
        <v>36</v>
      </c>
      <c r="G13" s="26" t="s">
        <v>38</v>
      </c>
      <c r="H13" s="26" t="s">
        <v>40</v>
      </c>
      <c r="I13" s="26">
        <v>2023</v>
      </c>
      <c r="J13" s="26" t="s">
        <v>41</v>
      </c>
      <c r="K13" s="24" t="s">
        <v>3</v>
      </c>
      <c r="L13" s="24" t="s">
        <v>34</v>
      </c>
      <c r="M13" s="30">
        <f t="shared" si="2"/>
        <v>4011.8</v>
      </c>
      <c r="N13" s="27" t="s">
        <v>43</v>
      </c>
      <c r="O13" s="30">
        <v>1228644.3363600001</v>
      </c>
      <c r="P13" s="31">
        <f t="shared" si="0"/>
        <v>306.25762409890825</v>
      </c>
      <c r="Q13" s="69"/>
      <c r="R13" s="23" t="s">
        <v>55</v>
      </c>
      <c r="S13" s="62">
        <f t="shared" si="1"/>
        <v>0</v>
      </c>
    </row>
    <row r="14" spans="1:19" s="40" customFormat="1" ht="16" x14ac:dyDescent="0.2">
      <c r="A14" s="15">
        <v>11</v>
      </c>
      <c r="B14" s="34" t="s">
        <v>37</v>
      </c>
      <c r="C14" s="35" t="s">
        <v>35</v>
      </c>
      <c r="D14" s="35" t="s">
        <v>39</v>
      </c>
      <c r="E14" s="35" t="s">
        <v>45</v>
      </c>
      <c r="F14" s="35" t="s">
        <v>36</v>
      </c>
      <c r="G14" s="35" t="s">
        <v>38</v>
      </c>
      <c r="H14" s="35" t="s">
        <v>40</v>
      </c>
      <c r="I14" s="35">
        <v>2023</v>
      </c>
      <c r="J14" s="35" t="s">
        <v>41</v>
      </c>
      <c r="K14" s="34" t="s">
        <v>4</v>
      </c>
      <c r="L14" s="34" t="s">
        <v>27</v>
      </c>
      <c r="M14" s="43">
        <f>6270.89+505.81-3402.39</f>
        <v>3374.3100000000009</v>
      </c>
      <c r="N14" s="36" t="s">
        <v>43</v>
      </c>
      <c r="O14" s="37">
        <v>3848328.4997113007</v>
      </c>
      <c r="P14" s="38">
        <f t="shared" si="0"/>
        <v>1140.4786459191064</v>
      </c>
      <c r="Q14" s="70" t="s">
        <v>60</v>
      </c>
      <c r="R14" s="39" t="s">
        <v>55</v>
      </c>
      <c r="S14" s="62">
        <f t="shared" si="1"/>
        <v>0</v>
      </c>
    </row>
    <row r="15" spans="1:19" s="40" customFormat="1" ht="16" x14ac:dyDescent="0.2">
      <c r="A15" s="15">
        <v>12</v>
      </c>
      <c r="B15" s="34" t="s">
        <v>37</v>
      </c>
      <c r="C15" s="35" t="s">
        <v>35</v>
      </c>
      <c r="D15" s="35" t="s">
        <v>39</v>
      </c>
      <c r="E15" s="35" t="s">
        <v>45</v>
      </c>
      <c r="F15" s="35" t="s">
        <v>36</v>
      </c>
      <c r="G15" s="35" t="s">
        <v>38</v>
      </c>
      <c r="H15" s="35" t="s">
        <v>40</v>
      </c>
      <c r="I15" s="35">
        <v>2023</v>
      </c>
      <c r="J15" s="35" t="s">
        <v>41</v>
      </c>
      <c r="K15" s="34" t="s">
        <v>4</v>
      </c>
      <c r="L15" s="34" t="s">
        <v>28</v>
      </c>
      <c r="M15" s="43">
        <f t="shared" ref="M15:M23" si="3">6270.89+505.81-3402.39</f>
        <v>3374.3100000000009</v>
      </c>
      <c r="N15" s="36" t="s">
        <v>43</v>
      </c>
      <c r="O15" s="37">
        <v>399796.26240000001</v>
      </c>
      <c r="P15" s="38">
        <f t="shared" si="0"/>
        <v>118.48237488553212</v>
      </c>
      <c r="Q15" s="71"/>
      <c r="R15" s="39" t="s">
        <v>55</v>
      </c>
      <c r="S15" s="62">
        <f t="shared" si="1"/>
        <v>0</v>
      </c>
    </row>
    <row r="16" spans="1:19" s="40" customFormat="1" ht="16" x14ac:dyDescent="0.2">
      <c r="A16" s="15">
        <v>13</v>
      </c>
      <c r="B16" s="34" t="s">
        <v>37</v>
      </c>
      <c r="C16" s="35" t="s">
        <v>35</v>
      </c>
      <c r="D16" s="35" t="s">
        <v>39</v>
      </c>
      <c r="E16" s="35" t="s">
        <v>45</v>
      </c>
      <c r="F16" s="35" t="s">
        <v>36</v>
      </c>
      <c r="G16" s="35" t="s">
        <v>38</v>
      </c>
      <c r="H16" s="35" t="s">
        <v>40</v>
      </c>
      <c r="I16" s="35">
        <v>2023</v>
      </c>
      <c r="J16" s="35" t="s">
        <v>41</v>
      </c>
      <c r="K16" s="34" t="s">
        <v>4</v>
      </c>
      <c r="L16" s="34" t="s">
        <v>29</v>
      </c>
      <c r="M16" s="43">
        <f t="shared" si="3"/>
        <v>3374.3100000000009</v>
      </c>
      <c r="N16" s="36" t="s">
        <v>43</v>
      </c>
      <c r="O16" s="37">
        <v>3303097.10353</v>
      </c>
      <c r="P16" s="38">
        <f t="shared" si="0"/>
        <v>978.89556784349963</v>
      </c>
      <c r="Q16" s="71"/>
      <c r="R16" s="39" t="s">
        <v>55</v>
      </c>
      <c r="S16" s="62">
        <f t="shared" si="1"/>
        <v>0</v>
      </c>
    </row>
    <row r="17" spans="1:19" s="40" customFormat="1" ht="16" x14ac:dyDescent="0.2">
      <c r="A17" s="15">
        <v>14</v>
      </c>
      <c r="B17" s="34" t="s">
        <v>37</v>
      </c>
      <c r="C17" s="35" t="s">
        <v>35</v>
      </c>
      <c r="D17" s="35" t="s">
        <v>39</v>
      </c>
      <c r="E17" s="35" t="s">
        <v>45</v>
      </c>
      <c r="F17" s="35" t="s">
        <v>36</v>
      </c>
      <c r="G17" s="35" t="s">
        <v>38</v>
      </c>
      <c r="H17" s="35" t="s">
        <v>40</v>
      </c>
      <c r="I17" s="35">
        <v>2023</v>
      </c>
      <c r="J17" s="35" t="s">
        <v>41</v>
      </c>
      <c r="K17" s="34" t="s">
        <v>4</v>
      </c>
      <c r="L17" s="34" t="s">
        <v>30</v>
      </c>
      <c r="M17" s="43">
        <f t="shared" si="3"/>
        <v>3374.3100000000009</v>
      </c>
      <c r="N17" s="36" t="s">
        <v>43</v>
      </c>
      <c r="O17" s="37">
        <v>11007885.901300002</v>
      </c>
      <c r="P17" s="38">
        <f t="shared" si="0"/>
        <v>3262.2627741078913</v>
      </c>
      <c r="Q17" s="71"/>
      <c r="R17" s="39" t="s">
        <v>55</v>
      </c>
      <c r="S17" s="62">
        <f t="shared" si="1"/>
        <v>0</v>
      </c>
    </row>
    <row r="18" spans="1:19" s="40" customFormat="1" ht="16" x14ac:dyDescent="0.2">
      <c r="A18" s="15">
        <v>15</v>
      </c>
      <c r="B18" s="34" t="s">
        <v>37</v>
      </c>
      <c r="C18" s="35" t="s">
        <v>35</v>
      </c>
      <c r="D18" s="35" t="s">
        <v>39</v>
      </c>
      <c r="E18" s="35" t="s">
        <v>45</v>
      </c>
      <c r="F18" s="35" t="s">
        <v>36</v>
      </c>
      <c r="G18" s="35" t="s">
        <v>38</v>
      </c>
      <c r="H18" s="35" t="s">
        <v>40</v>
      </c>
      <c r="I18" s="35">
        <v>2023</v>
      </c>
      <c r="J18" s="35" t="s">
        <v>41</v>
      </c>
      <c r="K18" s="34" t="s">
        <v>4</v>
      </c>
      <c r="L18" s="34" t="s">
        <v>58</v>
      </c>
      <c r="M18" s="43">
        <f t="shared" si="3"/>
        <v>3374.3100000000009</v>
      </c>
      <c r="N18" s="36" t="s">
        <v>43</v>
      </c>
      <c r="O18" s="37">
        <v>1896829.1278000001</v>
      </c>
      <c r="P18" s="38">
        <f t="shared" si="0"/>
        <v>562.13837134110372</v>
      </c>
      <c r="Q18" s="71"/>
      <c r="R18" s="39" t="s">
        <v>55</v>
      </c>
      <c r="S18" s="62">
        <f t="shared" si="1"/>
        <v>0</v>
      </c>
    </row>
    <row r="19" spans="1:19" s="40" customFormat="1" ht="16" x14ac:dyDescent="0.2">
      <c r="A19" s="15">
        <v>16</v>
      </c>
      <c r="B19" s="34" t="s">
        <v>37</v>
      </c>
      <c r="C19" s="35" t="s">
        <v>35</v>
      </c>
      <c r="D19" s="35" t="s">
        <v>39</v>
      </c>
      <c r="E19" s="35" t="s">
        <v>45</v>
      </c>
      <c r="F19" s="35" t="s">
        <v>36</v>
      </c>
      <c r="G19" s="35" t="s">
        <v>38</v>
      </c>
      <c r="H19" s="35" t="s">
        <v>40</v>
      </c>
      <c r="I19" s="35">
        <v>2023</v>
      </c>
      <c r="J19" s="35" t="s">
        <v>41</v>
      </c>
      <c r="K19" s="34" t="s">
        <v>4</v>
      </c>
      <c r="L19" s="34" t="s">
        <v>31</v>
      </c>
      <c r="M19" s="43">
        <f t="shared" si="3"/>
        <v>3374.3100000000009</v>
      </c>
      <c r="N19" s="36" t="s">
        <v>43</v>
      </c>
      <c r="O19" s="37">
        <v>925974.29739999992</v>
      </c>
      <c r="P19" s="38">
        <f t="shared" si="0"/>
        <v>274.41885819619409</v>
      </c>
      <c r="Q19" s="71"/>
      <c r="R19" s="39" t="s">
        <v>55</v>
      </c>
      <c r="S19" s="62">
        <f t="shared" si="1"/>
        <v>0</v>
      </c>
    </row>
    <row r="20" spans="1:19" s="40" customFormat="1" ht="16" x14ac:dyDescent="0.2">
      <c r="A20" s="15">
        <v>17</v>
      </c>
      <c r="B20" s="34" t="s">
        <v>37</v>
      </c>
      <c r="C20" s="35" t="s">
        <v>35</v>
      </c>
      <c r="D20" s="35" t="s">
        <v>39</v>
      </c>
      <c r="E20" s="35" t="s">
        <v>45</v>
      </c>
      <c r="F20" s="35" t="s">
        <v>36</v>
      </c>
      <c r="G20" s="35" t="s">
        <v>38</v>
      </c>
      <c r="H20" s="35" t="s">
        <v>40</v>
      </c>
      <c r="I20" s="35">
        <v>2023</v>
      </c>
      <c r="J20" s="35" t="s">
        <v>41</v>
      </c>
      <c r="K20" s="34" t="s">
        <v>4</v>
      </c>
      <c r="L20" s="34" t="s">
        <v>32</v>
      </c>
      <c r="M20" s="43">
        <f t="shared" si="3"/>
        <v>3374.3100000000009</v>
      </c>
      <c r="N20" s="36" t="s">
        <v>43</v>
      </c>
      <c r="O20" s="37">
        <v>1505052.9267</v>
      </c>
      <c r="P20" s="38">
        <f t="shared" si="0"/>
        <v>446.03279683846461</v>
      </c>
      <c r="Q20" s="71"/>
      <c r="R20" s="39" t="s">
        <v>55</v>
      </c>
      <c r="S20" s="62">
        <f t="shared" si="1"/>
        <v>0</v>
      </c>
    </row>
    <row r="21" spans="1:19" s="40" customFormat="1" ht="16" x14ac:dyDescent="0.2">
      <c r="A21" s="15">
        <v>18</v>
      </c>
      <c r="B21" s="34" t="s">
        <v>37</v>
      </c>
      <c r="C21" s="35" t="s">
        <v>35</v>
      </c>
      <c r="D21" s="35" t="s">
        <v>39</v>
      </c>
      <c r="E21" s="35" t="s">
        <v>45</v>
      </c>
      <c r="F21" s="35" t="s">
        <v>36</v>
      </c>
      <c r="G21" s="35" t="s">
        <v>38</v>
      </c>
      <c r="H21" s="35" t="s">
        <v>40</v>
      </c>
      <c r="I21" s="35">
        <v>2023</v>
      </c>
      <c r="J21" s="35" t="s">
        <v>41</v>
      </c>
      <c r="K21" s="34" t="s">
        <v>4</v>
      </c>
      <c r="L21" s="34" t="s">
        <v>33</v>
      </c>
      <c r="M21" s="43">
        <f t="shared" si="3"/>
        <v>3374.3100000000009</v>
      </c>
      <c r="N21" s="36" t="s">
        <v>43</v>
      </c>
      <c r="O21" s="37">
        <v>1955183.1277000003</v>
      </c>
      <c r="P21" s="38">
        <f t="shared" si="0"/>
        <v>579.43198096796084</v>
      </c>
      <c r="Q21" s="71"/>
      <c r="R21" s="39" t="s">
        <v>55</v>
      </c>
      <c r="S21" s="62">
        <f t="shared" si="1"/>
        <v>0</v>
      </c>
    </row>
    <row r="22" spans="1:19" s="1" customFormat="1" ht="16" customHeight="1" x14ac:dyDescent="0.2">
      <c r="A22" s="15">
        <v>19</v>
      </c>
      <c r="B22" s="34" t="s">
        <v>37</v>
      </c>
      <c r="C22" s="35" t="s">
        <v>35</v>
      </c>
      <c r="D22" s="35" t="s">
        <v>39</v>
      </c>
      <c r="E22" s="35" t="s">
        <v>45</v>
      </c>
      <c r="F22" s="35" t="s">
        <v>36</v>
      </c>
      <c r="G22" s="35" t="s">
        <v>38</v>
      </c>
      <c r="H22" s="35" t="s">
        <v>40</v>
      </c>
      <c r="I22" s="35">
        <v>2023</v>
      </c>
      <c r="J22" s="35" t="s">
        <v>41</v>
      </c>
      <c r="K22" s="34" t="s">
        <v>4</v>
      </c>
      <c r="L22" s="34" t="s">
        <v>15</v>
      </c>
      <c r="M22" s="43">
        <f t="shared" si="3"/>
        <v>3374.3100000000009</v>
      </c>
      <c r="N22" s="36" t="s">
        <v>43</v>
      </c>
      <c r="O22" s="37">
        <v>281339.09220000001</v>
      </c>
      <c r="P22" s="38">
        <f t="shared" si="0"/>
        <v>83.376776941063483</v>
      </c>
      <c r="Q22" s="71"/>
      <c r="R22" s="39" t="s">
        <v>55</v>
      </c>
      <c r="S22" s="62">
        <f t="shared" si="1"/>
        <v>0</v>
      </c>
    </row>
    <row r="23" spans="1:19" s="1" customFormat="1" ht="16" x14ac:dyDescent="0.2">
      <c r="A23" s="15">
        <v>20</v>
      </c>
      <c r="B23" s="34" t="s">
        <v>37</v>
      </c>
      <c r="C23" s="35" t="s">
        <v>35</v>
      </c>
      <c r="D23" s="35" t="s">
        <v>39</v>
      </c>
      <c r="E23" s="35" t="s">
        <v>45</v>
      </c>
      <c r="F23" s="35" t="s">
        <v>36</v>
      </c>
      <c r="G23" s="35" t="s">
        <v>38</v>
      </c>
      <c r="H23" s="35" t="s">
        <v>40</v>
      </c>
      <c r="I23" s="35">
        <v>2023</v>
      </c>
      <c r="J23" s="35" t="s">
        <v>41</v>
      </c>
      <c r="K23" s="34" t="s">
        <v>4</v>
      </c>
      <c r="L23" s="34" t="s">
        <v>34</v>
      </c>
      <c r="M23" s="43">
        <f t="shared" si="3"/>
        <v>3374.3100000000009</v>
      </c>
      <c r="N23" s="36" t="s">
        <v>43</v>
      </c>
      <c r="O23" s="37">
        <v>1362068.6298600002</v>
      </c>
      <c r="P23" s="38">
        <f t="shared" si="0"/>
        <v>403.65841604950344</v>
      </c>
      <c r="Q23" s="72"/>
      <c r="R23" s="39" t="s">
        <v>55</v>
      </c>
      <c r="S23" s="62">
        <f t="shared" si="1"/>
        <v>0</v>
      </c>
    </row>
    <row r="24" spans="1:19" s="1" customFormat="1" ht="16" x14ac:dyDescent="0.2">
      <c r="A24" s="15">
        <v>21</v>
      </c>
      <c r="B24" s="24" t="s">
        <v>37</v>
      </c>
      <c r="C24" s="26" t="s">
        <v>35</v>
      </c>
      <c r="D24" s="26" t="s">
        <v>39</v>
      </c>
      <c r="E24" s="26" t="s">
        <v>45</v>
      </c>
      <c r="F24" s="26" t="s">
        <v>36</v>
      </c>
      <c r="G24" s="26" t="s">
        <v>38</v>
      </c>
      <c r="H24" s="26" t="s">
        <v>40</v>
      </c>
      <c r="I24" s="26">
        <v>2023</v>
      </c>
      <c r="J24" s="26" t="s">
        <v>41</v>
      </c>
      <c r="K24" s="24" t="s">
        <v>5</v>
      </c>
      <c r="L24" s="24" t="s">
        <v>27</v>
      </c>
      <c r="M24" s="44">
        <f t="shared" ref="M24:M33" si="4">3174.9+227.49</f>
        <v>3402.3900000000003</v>
      </c>
      <c r="N24" s="27" t="s">
        <v>43</v>
      </c>
      <c r="O24" s="30">
        <v>3493409.971612161</v>
      </c>
      <c r="P24" s="31">
        <f t="shared" si="0"/>
        <v>1026.7517749617652</v>
      </c>
      <c r="Q24" s="67" t="s">
        <v>61</v>
      </c>
      <c r="R24" s="23" t="s">
        <v>55</v>
      </c>
      <c r="S24" s="62">
        <f t="shared" si="1"/>
        <v>0</v>
      </c>
    </row>
    <row r="25" spans="1:19" s="1" customFormat="1" ht="16" x14ac:dyDescent="0.2">
      <c r="A25" s="15">
        <v>22</v>
      </c>
      <c r="B25" s="24" t="s">
        <v>37</v>
      </c>
      <c r="C25" s="26" t="s">
        <v>35</v>
      </c>
      <c r="D25" s="26" t="s">
        <v>39</v>
      </c>
      <c r="E25" s="26" t="s">
        <v>45</v>
      </c>
      <c r="F25" s="26" t="s">
        <v>36</v>
      </c>
      <c r="G25" s="26" t="s">
        <v>38</v>
      </c>
      <c r="H25" s="26" t="s">
        <v>40</v>
      </c>
      <c r="I25" s="26">
        <v>2023</v>
      </c>
      <c r="J25" s="26" t="s">
        <v>41</v>
      </c>
      <c r="K25" s="24" t="s">
        <v>5</v>
      </c>
      <c r="L25" s="24" t="s">
        <v>28</v>
      </c>
      <c r="M25" s="44">
        <f t="shared" si="4"/>
        <v>3402.3900000000003</v>
      </c>
      <c r="N25" s="27" t="s">
        <v>43</v>
      </c>
      <c r="O25" s="30">
        <v>225502.51400000002</v>
      </c>
      <c r="P25" s="31">
        <f t="shared" si="0"/>
        <v>66.277679513518436</v>
      </c>
      <c r="Q25" s="68"/>
      <c r="R25" s="23" t="s">
        <v>55</v>
      </c>
      <c r="S25" s="62">
        <f t="shared" si="1"/>
        <v>0</v>
      </c>
    </row>
    <row r="26" spans="1:19" s="1" customFormat="1" ht="16" x14ac:dyDescent="0.2">
      <c r="A26" s="15">
        <v>23</v>
      </c>
      <c r="B26" s="24" t="s">
        <v>37</v>
      </c>
      <c r="C26" s="26" t="s">
        <v>35</v>
      </c>
      <c r="D26" s="26" t="s">
        <v>39</v>
      </c>
      <c r="E26" s="26" t="s">
        <v>45</v>
      </c>
      <c r="F26" s="26" t="s">
        <v>36</v>
      </c>
      <c r="G26" s="26" t="s">
        <v>38</v>
      </c>
      <c r="H26" s="26" t="s">
        <v>40</v>
      </c>
      <c r="I26" s="26">
        <v>2023</v>
      </c>
      <c r="J26" s="26" t="s">
        <v>41</v>
      </c>
      <c r="K26" s="24" t="s">
        <v>5</v>
      </c>
      <c r="L26" s="24" t="s">
        <v>29</v>
      </c>
      <c r="M26" s="44">
        <f t="shared" si="4"/>
        <v>3402.3900000000003</v>
      </c>
      <c r="N26" s="27" t="s">
        <v>43</v>
      </c>
      <c r="O26" s="30">
        <v>2625432.3567050002</v>
      </c>
      <c r="P26" s="31">
        <f t="shared" si="0"/>
        <v>771.64356722921241</v>
      </c>
      <c r="Q26" s="68"/>
      <c r="R26" s="23" t="s">
        <v>55</v>
      </c>
      <c r="S26" s="62">
        <f t="shared" si="1"/>
        <v>0</v>
      </c>
    </row>
    <row r="27" spans="1:19" s="1" customFormat="1" ht="16" x14ac:dyDescent="0.2">
      <c r="A27" s="15">
        <v>24</v>
      </c>
      <c r="B27" s="24" t="s">
        <v>37</v>
      </c>
      <c r="C27" s="26" t="s">
        <v>35</v>
      </c>
      <c r="D27" s="26" t="s">
        <v>39</v>
      </c>
      <c r="E27" s="26" t="s">
        <v>45</v>
      </c>
      <c r="F27" s="26" t="s">
        <v>36</v>
      </c>
      <c r="G27" s="26" t="s">
        <v>38</v>
      </c>
      <c r="H27" s="26" t="s">
        <v>40</v>
      </c>
      <c r="I27" s="26">
        <v>2023</v>
      </c>
      <c r="J27" s="26" t="s">
        <v>41</v>
      </c>
      <c r="K27" s="24" t="s">
        <v>5</v>
      </c>
      <c r="L27" s="24" t="s">
        <v>30</v>
      </c>
      <c r="M27" s="44">
        <f t="shared" si="4"/>
        <v>3402.3900000000003</v>
      </c>
      <c r="N27" s="27" t="s">
        <v>43</v>
      </c>
      <c r="O27" s="30">
        <v>10288754.2137</v>
      </c>
      <c r="P27" s="31">
        <f t="shared" si="0"/>
        <v>3023.9785014945373</v>
      </c>
      <c r="Q27" s="68"/>
      <c r="R27" s="23" t="s">
        <v>55</v>
      </c>
      <c r="S27" s="62">
        <f t="shared" si="1"/>
        <v>0</v>
      </c>
    </row>
    <row r="28" spans="1:19" s="1" customFormat="1" ht="16" x14ac:dyDescent="0.2">
      <c r="A28" s="15">
        <v>25</v>
      </c>
      <c r="B28" s="24" t="s">
        <v>37</v>
      </c>
      <c r="C28" s="26" t="s">
        <v>35</v>
      </c>
      <c r="D28" s="26" t="s">
        <v>39</v>
      </c>
      <c r="E28" s="26" t="s">
        <v>45</v>
      </c>
      <c r="F28" s="26" t="s">
        <v>36</v>
      </c>
      <c r="G28" s="26" t="s">
        <v>38</v>
      </c>
      <c r="H28" s="26" t="s">
        <v>40</v>
      </c>
      <c r="I28" s="26">
        <v>2023</v>
      </c>
      <c r="J28" s="26" t="s">
        <v>41</v>
      </c>
      <c r="K28" s="24" t="s">
        <v>5</v>
      </c>
      <c r="L28" s="24" t="s">
        <v>58</v>
      </c>
      <c r="M28" s="44">
        <f t="shared" si="4"/>
        <v>3402.3900000000003</v>
      </c>
      <c r="N28" s="27" t="s">
        <v>43</v>
      </c>
      <c r="O28" s="30">
        <v>1471071.3695999999</v>
      </c>
      <c r="P28" s="31">
        <f t="shared" si="0"/>
        <v>432.3641233368308</v>
      </c>
      <c r="Q28" s="68"/>
      <c r="R28" s="23" t="s">
        <v>55</v>
      </c>
      <c r="S28" s="62">
        <f t="shared" si="1"/>
        <v>0</v>
      </c>
    </row>
    <row r="29" spans="1:19" s="1" customFormat="1" ht="16" x14ac:dyDescent="0.2">
      <c r="A29" s="15">
        <v>26</v>
      </c>
      <c r="B29" s="24" t="s">
        <v>37</v>
      </c>
      <c r="C29" s="26" t="s">
        <v>35</v>
      </c>
      <c r="D29" s="26" t="s">
        <v>39</v>
      </c>
      <c r="E29" s="26" t="s">
        <v>45</v>
      </c>
      <c r="F29" s="26" t="s">
        <v>36</v>
      </c>
      <c r="G29" s="26" t="s">
        <v>38</v>
      </c>
      <c r="H29" s="26" t="s">
        <v>40</v>
      </c>
      <c r="I29" s="26">
        <v>2023</v>
      </c>
      <c r="J29" s="26" t="s">
        <v>41</v>
      </c>
      <c r="K29" s="24" t="s">
        <v>5</v>
      </c>
      <c r="L29" s="24" t="s">
        <v>31</v>
      </c>
      <c r="M29" s="44">
        <f t="shared" si="4"/>
        <v>3402.3900000000003</v>
      </c>
      <c r="N29" s="27" t="s">
        <v>43</v>
      </c>
      <c r="O29" s="30">
        <v>1136877.1897999998</v>
      </c>
      <c r="P29" s="31">
        <f t="shared" si="0"/>
        <v>334.14076275794361</v>
      </c>
      <c r="Q29" s="68"/>
      <c r="R29" s="23" t="s">
        <v>55</v>
      </c>
      <c r="S29" s="62">
        <f t="shared" si="1"/>
        <v>0</v>
      </c>
    </row>
    <row r="30" spans="1:19" s="1" customFormat="1" ht="16" x14ac:dyDescent="0.2">
      <c r="A30" s="15">
        <v>27</v>
      </c>
      <c r="B30" s="24" t="s">
        <v>37</v>
      </c>
      <c r="C30" s="26" t="s">
        <v>35</v>
      </c>
      <c r="D30" s="26" t="s">
        <v>39</v>
      </c>
      <c r="E30" s="26" t="s">
        <v>45</v>
      </c>
      <c r="F30" s="26" t="s">
        <v>36</v>
      </c>
      <c r="G30" s="26" t="s">
        <v>38</v>
      </c>
      <c r="H30" s="26" t="s">
        <v>40</v>
      </c>
      <c r="I30" s="26">
        <v>2023</v>
      </c>
      <c r="J30" s="26" t="s">
        <v>41</v>
      </c>
      <c r="K30" s="24" t="s">
        <v>5</v>
      </c>
      <c r="L30" s="24" t="s">
        <v>32</v>
      </c>
      <c r="M30" s="44">
        <f t="shared" si="4"/>
        <v>3402.3900000000003</v>
      </c>
      <c r="N30" s="27" t="s">
        <v>43</v>
      </c>
      <c r="O30" s="30">
        <v>1645759.3872</v>
      </c>
      <c r="P30" s="31">
        <f t="shared" si="0"/>
        <v>483.70686111821391</v>
      </c>
      <c r="Q30" s="68"/>
      <c r="R30" s="23" t="s">
        <v>55</v>
      </c>
      <c r="S30" s="62">
        <f t="shared" si="1"/>
        <v>0</v>
      </c>
    </row>
    <row r="31" spans="1:19" s="1" customFormat="1" ht="16" x14ac:dyDescent="0.2">
      <c r="A31" s="15">
        <v>28</v>
      </c>
      <c r="B31" s="24" t="s">
        <v>37</v>
      </c>
      <c r="C31" s="26" t="s">
        <v>35</v>
      </c>
      <c r="D31" s="26" t="s">
        <v>39</v>
      </c>
      <c r="E31" s="26" t="s">
        <v>45</v>
      </c>
      <c r="F31" s="26" t="s">
        <v>36</v>
      </c>
      <c r="G31" s="26" t="s">
        <v>38</v>
      </c>
      <c r="H31" s="26" t="s">
        <v>40</v>
      </c>
      <c r="I31" s="26">
        <v>2023</v>
      </c>
      <c r="J31" s="26" t="s">
        <v>41</v>
      </c>
      <c r="K31" s="24" t="s">
        <v>5</v>
      </c>
      <c r="L31" s="24" t="s">
        <v>33</v>
      </c>
      <c r="M31" s="44">
        <f t="shared" si="4"/>
        <v>3402.3900000000003</v>
      </c>
      <c r="N31" s="27" t="s">
        <v>43</v>
      </c>
      <c r="O31" s="30">
        <v>1808287.9706999999</v>
      </c>
      <c r="P31" s="31">
        <f t="shared" si="0"/>
        <v>531.47580691807809</v>
      </c>
      <c r="Q31" s="68"/>
      <c r="R31" s="23" t="s">
        <v>55</v>
      </c>
      <c r="S31" s="62"/>
    </row>
    <row r="32" spans="1:19" s="1" customFormat="1" ht="16" x14ac:dyDescent="0.2">
      <c r="A32" s="15">
        <v>29</v>
      </c>
      <c r="B32" s="24" t="s">
        <v>37</v>
      </c>
      <c r="C32" s="26" t="s">
        <v>35</v>
      </c>
      <c r="D32" s="26" t="s">
        <v>39</v>
      </c>
      <c r="E32" s="26" t="s">
        <v>45</v>
      </c>
      <c r="F32" s="26" t="s">
        <v>36</v>
      </c>
      <c r="G32" s="26" t="s">
        <v>38</v>
      </c>
      <c r="H32" s="26" t="s">
        <v>40</v>
      </c>
      <c r="I32" s="26">
        <v>2023</v>
      </c>
      <c r="J32" s="26" t="s">
        <v>41</v>
      </c>
      <c r="K32" s="24" t="s">
        <v>5</v>
      </c>
      <c r="L32" s="24" t="s">
        <v>15</v>
      </c>
      <c r="M32" s="44">
        <f t="shared" si="4"/>
        <v>3402.3900000000003</v>
      </c>
      <c r="N32" s="27" t="s">
        <v>43</v>
      </c>
      <c r="O32" s="30">
        <v>199803.29014299999</v>
      </c>
      <c r="P32" s="31">
        <f t="shared" si="0"/>
        <v>58.72439377702144</v>
      </c>
      <c r="Q32" s="68"/>
      <c r="R32" s="23" t="s">
        <v>55</v>
      </c>
      <c r="S32" s="62"/>
    </row>
    <row r="33" spans="1:19" s="1" customFormat="1" ht="16" x14ac:dyDescent="0.2">
      <c r="A33" s="15">
        <v>30</v>
      </c>
      <c r="B33" s="24" t="s">
        <v>37</v>
      </c>
      <c r="C33" s="26" t="s">
        <v>35</v>
      </c>
      <c r="D33" s="26" t="s">
        <v>39</v>
      </c>
      <c r="E33" s="26" t="s">
        <v>45</v>
      </c>
      <c r="F33" s="26" t="s">
        <v>36</v>
      </c>
      <c r="G33" s="26" t="s">
        <v>38</v>
      </c>
      <c r="H33" s="26" t="s">
        <v>40</v>
      </c>
      <c r="I33" s="26">
        <v>2023</v>
      </c>
      <c r="J33" s="26" t="s">
        <v>41</v>
      </c>
      <c r="K33" s="24" t="s">
        <v>5</v>
      </c>
      <c r="L33" s="24" t="s">
        <v>34</v>
      </c>
      <c r="M33" s="44">
        <f t="shared" si="4"/>
        <v>3402.3900000000003</v>
      </c>
      <c r="N33" s="27" t="s">
        <v>43</v>
      </c>
      <c r="O33" s="30">
        <v>1147982.1294</v>
      </c>
      <c r="P33" s="31">
        <f t="shared" si="0"/>
        <v>337.40462715914396</v>
      </c>
      <c r="Q33" s="69"/>
      <c r="R33" s="23" t="s">
        <v>55</v>
      </c>
      <c r="S33" s="62"/>
    </row>
    <row r="34" spans="1:19" s="49" customFormat="1" ht="16" customHeight="1" x14ac:dyDescent="0.2">
      <c r="A34" s="15">
        <v>31</v>
      </c>
      <c r="B34" s="34" t="s">
        <v>37</v>
      </c>
      <c r="C34" s="35" t="s">
        <v>35</v>
      </c>
      <c r="D34" s="35" t="s">
        <v>39</v>
      </c>
      <c r="E34" s="35"/>
      <c r="F34" s="35" t="s">
        <v>62</v>
      </c>
      <c r="G34" s="35" t="s">
        <v>68</v>
      </c>
      <c r="H34" s="35" t="s">
        <v>40</v>
      </c>
      <c r="I34" s="35">
        <v>2024</v>
      </c>
      <c r="J34" s="35" t="s">
        <v>63</v>
      </c>
      <c r="K34" s="34" t="s">
        <v>64</v>
      </c>
      <c r="L34" s="34" t="s">
        <v>27</v>
      </c>
      <c r="M34" s="37">
        <v>3724</v>
      </c>
      <c r="N34" s="36" t="s">
        <v>43</v>
      </c>
      <c r="O34" s="37">
        <v>4420139.3999999994</v>
      </c>
      <c r="P34" s="38">
        <f t="shared" ref="P34:P63" si="5">O34/M34</f>
        <v>1186.9332438238453</v>
      </c>
      <c r="Q34" s="70" t="s">
        <v>65</v>
      </c>
      <c r="R34" s="39" t="s">
        <v>55</v>
      </c>
      <c r="S34" s="62">
        <f t="shared" si="1"/>
        <v>0</v>
      </c>
    </row>
    <row r="35" spans="1:19" s="49" customFormat="1" ht="16" x14ac:dyDescent="0.2">
      <c r="A35" s="15">
        <v>32</v>
      </c>
      <c r="B35" s="34" t="s">
        <v>37</v>
      </c>
      <c r="C35" s="35" t="s">
        <v>35</v>
      </c>
      <c r="D35" s="35" t="s">
        <v>39</v>
      </c>
      <c r="E35" s="35"/>
      <c r="F35" s="35" t="s">
        <v>62</v>
      </c>
      <c r="G35" s="35" t="s">
        <v>68</v>
      </c>
      <c r="H35" s="35" t="s">
        <v>40</v>
      </c>
      <c r="I35" s="35">
        <v>2024</v>
      </c>
      <c r="J35" s="35" t="s">
        <v>63</v>
      </c>
      <c r="K35" s="34" t="s">
        <v>64</v>
      </c>
      <c r="L35" s="34" t="s">
        <v>28</v>
      </c>
      <c r="M35" s="37">
        <v>3724</v>
      </c>
      <c r="N35" s="36" t="s">
        <v>43</v>
      </c>
      <c r="O35" s="37">
        <v>281740</v>
      </c>
      <c r="P35" s="38">
        <f t="shared" si="5"/>
        <v>75.65520945220193</v>
      </c>
      <c r="Q35" s="71"/>
      <c r="R35" s="39" t="s">
        <v>55</v>
      </c>
      <c r="S35" s="62">
        <f t="shared" si="1"/>
        <v>0</v>
      </c>
    </row>
    <row r="36" spans="1:19" s="49" customFormat="1" ht="16" x14ac:dyDescent="0.2">
      <c r="A36" s="15">
        <v>33</v>
      </c>
      <c r="B36" s="34" t="s">
        <v>37</v>
      </c>
      <c r="C36" s="35" t="s">
        <v>35</v>
      </c>
      <c r="D36" s="35" t="s">
        <v>39</v>
      </c>
      <c r="E36" s="35"/>
      <c r="F36" s="35" t="s">
        <v>62</v>
      </c>
      <c r="G36" s="35" t="s">
        <v>68</v>
      </c>
      <c r="H36" s="35" t="s">
        <v>40</v>
      </c>
      <c r="I36" s="35">
        <v>2024</v>
      </c>
      <c r="J36" s="35" t="s">
        <v>63</v>
      </c>
      <c r="K36" s="34" t="s">
        <v>64</v>
      </c>
      <c r="L36" s="34" t="s">
        <v>29</v>
      </c>
      <c r="M36" s="37">
        <v>3724</v>
      </c>
      <c r="N36" s="36" t="s">
        <v>43</v>
      </c>
      <c r="O36" s="37">
        <v>2791290</v>
      </c>
      <c r="P36" s="38">
        <f t="shared" si="5"/>
        <v>749.5408163265306</v>
      </c>
      <c r="Q36" s="71"/>
      <c r="R36" s="39" t="s">
        <v>55</v>
      </c>
      <c r="S36" s="62">
        <f t="shared" si="1"/>
        <v>0</v>
      </c>
    </row>
    <row r="37" spans="1:19" s="49" customFormat="1" ht="16" x14ac:dyDescent="0.2">
      <c r="A37" s="15">
        <v>34</v>
      </c>
      <c r="B37" s="34" t="s">
        <v>37</v>
      </c>
      <c r="C37" s="35" t="s">
        <v>35</v>
      </c>
      <c r="D37" s="35" t="s">
        <v>39</v>
      </c>
      <c r="E37" s="35"/>
      <c r="F37" s="35" t="s">
        <v>62</v>
      </c>
      <c r="G37" s="35" t="s">
        <v>68</v>
      </c>
      <c r="H37" s="35" t="s">
        <v>40</v>
      </c>
      <c r="I37" s="35">
        <v>2024</v>
      </c>
      <c r="J37" s="35" t="s">
        <v>63</v>
      </c>
      <c r="K37" s="34" t="s">
        <v>64</v>
      </c>
      <c r="L37" s="34" t="s">
        <v>30</v>
      </c>
      <c r="M37" s="37">
        <v>3724</v>
      </c>
      <c r="N37" s="36" t="s">
        <v>43</v>
      </c>
      <c r="O37" s="37">
        <v>12822272</v>
      </c>
      <c r="P37" s="38">
        <f t="shared" si="5"/>
        <v>3443.1450053705694</v>
      </c>
      <c r="Q37" s="71"/>
      <c r="R37" s="39" t="s">
        <v>55</v>
      </c>
      <c r="S37" s="62">
        <f t="shared" si="1"/>
        <v>0</v>
      </c>
    </row>
    <row r="38" spans="1:19" s="49" customFormat="1" ht="16" x14ac:dyDescent="0.2">
      <c r="A38" s="15">
        <v>35</v>
      </c>
      <c r="B38" s="34" t="s">
        <v>37</v>
      </c>
      <c r="C38" s="35" t="s">
        <v>35</v>
      </c>
      <c r="D38" s="35" t="s">
        <v>39</v>
      </c>
      <c r="E38" s="35"/>
      <c r="F38" s="35" t="s">
        <v>62</v>
      </c>
      <c r="G38" s="35" t="s">
        <v>68</v>
      </c>
      <c r="H38" s="35" t="s">
        <v>40</v>
      </c>
      <c r="I38" s="35">
        <v>2024</v>
      </c>
      <c r="J38" s="35" t="s">
        <v>63</v>
      </c>
      <c r="K38" s="34" t="s">
        <v>64</v>
      </c>
      <c r="L38" s="34" t="s">
        <v>58</v>
      </c>
      <c r="M38" s="37">
        <v>3724</v>
      </c>
      <c r="N38" s="36" t="s">
        <v>43</v>
      </c>
      <c r="O38" s="37">
        <v>1825400</v>
      </c>
      <c r="P38" s="38">
        <f t="shared" si="5"/>
        <v>490.17185821697097</v>
      </c>
      <c r="Q38" s="71"/>
      <c r="R38" s="39" t="s">
        <v>55</v>
      </c>
      <c r="S38" s="62">
        <f t="shared" si="1"/>
        <v>0</v>
      </c>
    </row>
    <row r="39" spans="1:19" s="49" customFormat="1" ht="16" x14ac:dyDescent="0.2">
      <c r="A39" s="15">
        <v>36</v>
      </c>
      <c r="B39" s="34" t="s">
        <v>37</v>
      </c>
      <c r="C39" s="35" t="s">
        <v>35</v>
      </c>
      <c r="D39" s="35" t="s">
        <v>39</v>
      </c>
      <c r="E39" s="35"/>
      <c r="F39" s="35" t="s">
        <v>62</v>
      </c>
      <c r="G39" s="35" t="s">
        <v>68</v>
      </c>
      <c r="H39" s="35" t="s">
        <v>40</v>
      </c>
      <c r="I39" s="35">
        <v>2024</v>
      </c>
      <c r="J39" s="35" t="s">
        <v>63</v>
      </c>
      <c r="K39" s="34" t="s">
        <v>64</v>
      </c>
      <c r="L39" s="34" t="s">
        <v>31</v>
      </c>
      <c r="M39" s="37">
        <v>3724</v>
      </c>
      <c r="N39" s="36" t="s">
        <v>43</v>
      </c>
      <c r="O39" s="37">
        <v>1035580</v>
      </c>
      <c r="P39" s="38">
        <f t="shared" si="5"/>
        <v>278.08270676691728</v>
      </c>
      <c r="Q39" s="71"/>
      <c r="R39" s="39" t="s">
        <v>55</v>
      </c>
      <c r="S39" s="62">
        <f t="shared" si="1"/>
        <v>0</v>
      </c>
    </row>
    <row r="40" spans="1:19" s="49" customFormat="1" ht="16" x14ac:dyDescent="0.2">
      <c r="A40" s="15">
        <v>37</v>
      </c>
      <c r="B40" s="34" t="s">
        <v>37</v>
      </c>
      <c r="C40" s="35" t="s">
        <v>35</v>
      </c>
      <c r="D40" s="35" t="s">
        <v>39</v>
      </c>
      <c r="E40" s="35"/>
      <c r="F40" s="35" t="s">
        <v>62</v>
      </c>
      <c r="G40" s="35" t="s">
        <v>68</v>
      </c>
      <c r="H40" s="35" t="s">
        <v>40</v>
      </c>
      <c r="I40" s="35">
        <v>2024</v>
      </c>
      <c r="J40" s="35" t="s">
        <v>63</v>
      </c>
      <c r="K40" s="34" t="s">
        <v>64</v>
      </c>
      <c r="L40" s="34" t="s">
        <v>32</v>
      </c>
      <c r="M40" s="37">
        <v>3724</v>
      </c>
      <c r="N40" s="36" t="s">
        <v>43</v>
      </c>
      <c r="O40" s="37">
        <v>2780133</v>
      </c>
      <c r="P40" s="38">
        <f t="shared" si="5"/>
        <v>746.54484425349085</v>
      </c>
      <c r="Q40" s="71"/>
      <c r="R40" s="39" t="s">
        <v>55</v>
      </c>
      <c r="S40" s="62">
        <f t="shared" si="1"/>
        <v>0</v>
      </c>
    </row>
    <row r="41" spans="1:19" s="49" customFormat="1" ht="16" x14ac:dyDescent="0.2">
      <c r="A41" s="15">
        <v>38</v>
      </c>
      <c r="B41" s="34" t="s">
        <v>37</v>
      </c>
      <c r="C41" s="35" t="s">
        <v>35</v>
      </c>
      <c r="D41" s="35" t="s">
        <v>39</v>
      </c>
      <c r="E41" s="35"/>
      <c r="F41" s="35" t="s">
        <v>62</v>
      </c>
      <c r="G41" s="35" t="s">
        <v>68</v>
      </c>
      <c r="H41" s="35" t="s">
        <v>40</v>
      </c>
      <c r="I41" s="35">
        <v>2024</v>
      </c>
      <c r="J41" s="35" t="s">
        <v>63</v>
      </c>
      <c r="K41" s="34" t="s">
        <v>64</v>
      </c>
      <c r="L41" s="34" t="s">
        <v>33</v>
      </c>
      <c r="M41" s="37">
        <v>3724</v>
      </c>
      <c r="N41" s="36" t="s">
        <v>43</v>
      </c>
      <c r="O41" s="37">
        <v>467480</v>
      </c>
      <c r="P41" s="38">
        <f t="shared" si="5"/>
        <v>125.53168635875403</v>
      </c>
      <c r="Q41" s="71"/>
      <c r="R41" s="39" t="s">
        <v>55</v>
      </c>
      <c r="S41" s="62">
        <f t="shared" si="1"/>
        <v>0</v>
      </c>
    </row>
    <row r="42" spans="1:19" s="49" customFormat="1" ht="16" x14ac:dyDescent="0.2">
      <c r="A42" s="15">
        <v>40</v>
      </c>
      <c r="B42" s="34" t="s">
        <v>37</v>
      </c>
      <c r="C42" s="35" t="s">
        <v>35</v>
      </c>
      <c r="D42" s="35" t="s">
        <v>39</v>
      </c>
      <c r="E42" s="35"/>
      <c r="F42" s="35" t="s">
        <v>62</v>
      </c>
      <c r="G42" s="35" t="s">
        <v>68</v>
      </c>
      <c r="H42" s="35" t="s">
        <v>40</v>
      </c>
      <c r="I42" s="35">
        <v>2024</v>
      </c>
      <c r="J42" s="35" t="s">
        <v>63</v>
      </c>
      <c r="K42" s="34" t="s">
        <v>64</v>
      </c>
      <c r="L42" s="34" t="s">
        <v>15</v>
      </c>
      <c r="M42" s="37">
        <v>3724</v>
      </c>
      <c r="N42" s="36" t="s">
        <v>43</v>
      </c>
      <c r="O42" s="37">
        <v>249885</v>
      </c>
      <c r="P42" s="38">
        <f>O42/M42</f>
        <v>67.101235230934478</v>
      </c>
      <c r="Q42" s="71"/>
      <c r="R42" s="39" t="s">
        <v>55</v>
      </c>
      <c r="S42" s="62">
        <f>O42/M42-P42</f>
        <v>0</v>
      </c>
    </row>
    <row r="43" spans="1:19" s="49" customFormat="1" ht="16" x14ac:dyDescent="0.2">
      <c r="A43" s="15">
        <v>39</v>
      </c>
      <c r="B43" s="34" t="s">
        <v>37</v>
      </c>
      <c r="C43" s="35" t="s">
        <v>35</v>
      </c>
      <c r="D43" s="35" t="s">
        <v>39</v>
      </c>
      <c r="E43" s="35"/>
      <c r="F43" s="35" t="s">
        <v>62</v>
      </c>
      <c r="G43" s="35" t="s">
        <v>68</v>
      </c>
      <c r="H43" s="35" t="s">
        <v>40</v>
      </c>
      <c r="I43" s="35">
        <v>2024</v>
      </c>
      <c r="J43" s="35" t="s">
        <v>63</v>
      </c>
      <c r="K43" s="34" t="s">
        <v>64</v>
      </c>
      <c r="L43" s="34" t="s">
        <v>34</v>
      </c>
      <c r="M43" s="37">
        <v>3724</v>
      </c>
      <c r="N43" s="36" t="s">
        <v>43</v>
      </c>
      <c r="O43" s="37">
        <v>2302550</v>
      </c>
      <c r="P43" s="38">
        <f t="shared" si="5"/>
        <v>618.30021482277118</v>
      </c>
      <c r="Q43" s="72"/>
      <c r="R43" s="39" t="s">
        <v>55</v>
      </c>
      <c r="S43" s="62">
        <f t="shared" si="1"/>
        <v>0</v>
      </c>
    </row>
    <row r="44" spans="1:19" ht="16" customHeight="1" x14ac:dyDescent="0.2">
      <c r="A44" s="15">
        <v>41</v>
      </c>
      <c r="B44" s="24" t="s">
        <v>37</v>
      </c>
      <c r="C44" s="26" t="s">
        <v>35</v>
      </c>
      <c r="D44" s="26" t="s">
        <v>39</v>
      </c>
      <c r="E44" s="26"/>
      <c r="F44" s="26" t="s">
        <v>62</v>
      </c>
      <c r="G44" s="26" t="s">
        <v>68</v>
      </c>
      <c r="H44" s="26" t="s">
        <v>40</v>
      </c>
      <c r="I44" s="26">
        <v>2024</v>
      </c>
      <c r="J44" s="24" t="s">
        <v>63</v>
      </c>
      <c r="K44" s="24" t="s">
        <v>11</v>
      </c>
      <c r="L44" s="24" t="s">
        <v>27</v>
      </c>
      <c r="M44" s="53">
        <v>8918.44</v>
      </c>
      <c r="N44" s="54" t="s">
        <v>43</v>
      </c>
      <c r="O44" s="50">
        <v>10351611.18</v>
      </c>
      <c r="P44" s="55">
        <f t="shared" si="5"/>
        <v>1160.6975188485878</v>
      </c>
      <c r="Q44" s="67" t="s">
        <v>66</v>
      </c>
      <c r="R44" s="23" t="s">
        <v>55</v>
      </c>
      <c r="S44" s="62">
        <f t="shared" si="1"/>
        <v>0</v>
      </c>
    </row>
    <row r="45" spans="1:19" ht="16" x14ac:dyDescent="0.2">
      <c r="A45" s="15">
        <v>42</v>
      </c>
      <c r="B45" s="24" t="s">
        <v>37</v>
      </c>
      <c r="C45" s="26" t="s">
        <v>35</v>
      </c>
      <c r="D45" s="26" t="s">
        <v>39</v>
      </c>
      <c r="E45" s="26"/>
      <c r="F45" s="26" t="s">
        <v>62</v>
      </c>
      <c r="G45" s="26" t="s">
        <v>68</v>
      </c>
      <c r="H45" s="26" t="s">
        <v>40</v>
      </c>
      <c r="I45" s="26">
        <v>2024</v>
      </c>
      <c r="J45" s="24" t="s">
        <v>63</v>
      </c>
      <c r="K45" s="24" t="s">
        <v>11</v>
      </c>
      <c r="L45" s="24" t="s">
        <v>28</v>
      </c>
      <c r="M45" s="53">
        <v>8918.44</v>
      </c>
      <c r="N45" s="54" t="s">
        <v>43</v>
      </c>
      <c r="O45" s="50">
        <v>608494</v>
      </c>
      <c r="P45" s="55">
        <f t="shared" si="5"/>
        <v>68.228748525526882</v>
      </c>
      <c r="Q45" s="68"/>
      <c r="R45" s="23" t="s">
        <v>55</v>
      </c>
      <c r="S45" s="62">
        <f t="shared" si="1"/>
        <v>0</v>
      </c>
    </row>
    <row r="46" spans="1:19" ht="16" x14ac:dyDescent="0.2">
      <c r="A46" s="15">
        <v>43</v>
      </c>
      <c r="B46" s="24" t="s">
        <v>37</v>
      </c>
      <c r="C46" s="26" t="s">
        <v>35</v>
      </c>
      <c r="D46" s="26" t="s">
        <v>39</v>
      </c>
      <c r="E46" s="26"/>
      <c r="F46" s="26" t="s">
        <v>62</v>
      </c>
      <c r="G46" s="26" t="s">
        <v>68</v>
      </c>
      <c r="H46" s="26" t="s">
        <v>40</v>
      </c>
      <c r="I46" s="26">
        <v>2024</v>
      </c>
      <c r="J46" s="24" t="s">
        <v>63</v>
      </c>
      <c r="K46" s="24" t="s">
        <v>11</v>
      </c>
      <c r="L46" s="24" t="s">
        <v>29</v>
      </c>
      <c r="M46" s="53">
        <v>8918.44</v>
      </c>
      <c r="N46" s="54" t="s">
        <v>43</v>
      </c>
      <c r="O46" s="50">
        <v>6098500</v>
      </c>
      <c r="P46" s="55">
        <f t="shared" si="5"/>
        <v>683.80793053493653</v>
      </c>
      <c r="Q46" s="68"/>
      <c r="R46" s="23" t="s">
        <v>55</v>
      </c>
      <c r="S46" s="62">
        <f t="shared" si="1"/>
        <v>0</v>
      </c>
    </row>
    <row r="47" spans="1:19" ht="16" x14ac:dyDescent="0.2">
      <c r="A47" s="15">
        <v>44</v>
      </c>
      <c r="B47" s="24" t="s">
        <v>37</v>
      </c>
      <c r="C47" s="26" t="s">
        <v>35</v>
      </c>
      <c r="D47" s="26" t="s">
        <v>39</v>
      </c>
      <c r="E47" s="26"/>
      <c r="F47" s="26" t="s">
        <v>62</v>
      </c>
      <c r="G47" s="26" t="s">
        <v>68</v>
      </c>
      <c r="H47" s="26" t="s">
        <v>40</v>
      </c>
      <c r="I47" s="26">
        <v>2024</v>
      </c>
      <c r="J47" s="24" t="s">
        <v>63</v>
      </c>
      <c r="K47" s="24" t="s">
        <v>11</v>
      </c>
      <c r="L47" s="24" t="s">
        <v>30</v>
      </c>
      <c r="M47" s="53">
        <v>8918.44</v>
      </c>
      <c r="N47" s="54" t="s">
        <v>43</v>
      </c>
      <c r="O47" s="50">
        <v>28691941</v>
      </c>
      <c r="P47" s="55">
        <f t="shared" si="5"/>
        <v>3217.1479541265062</v>
      </c>
      <c r="Q47" s="68"/>
      <c r="R47" s="23" t="s">
        <v>55</v>
      </c>
      <c r="S47" s="62">
        <f t="shared" si="1"/>
        <v>0</v>
      </c>
    </row>
    <row r="48" spans="1:19" ht="16" x14ac:dyDescent="0.2">
      <c r="A48" s="15">
        <v>45</v>
      </c>
      <c r="B48" s="24" t="s">
        <v>37</v>
      </c>
      <c r="C48" s="26" t="s">
        <v>35</v>
      </c>
      <c r="D48" s="26" t="s">
        <v>39</v>
      </c>
      <c r="E48" s="26"/>
      <c r="F48" s="26" t="s">
        <v>62</v>
      </c>
      <c r="G48" s="26" t="s">
        <v>68</v>
      </c>
      <c r="H48" s="26" t="s">
        <v>40</v>
      </c>
      <c r="I48" s="26">
        <v>2024</v>
      </c>
      <c r="J48" s="24" t="s">
        <v>63</v>
      </c>
      <c r="K48" s="24" t="s">
        <v>11</v>
      </c>
      <c r="L48" s="24" t="s">
        <v>58</v>
      </c>
      <c r="M48" s="53">
        <v>8918.44</v>
      </c>
      <c r="N48" s="54" t="s">
        <v>43</v>
      </c>
      <c r="O48" s="50">
        <v>4145200</v>
      </c>
      <c r="P48" s="55">
        <f t="shared" si="5"/>
        <v>464.78980628899222</v>
      </c>
      <c r="Q48" s="68"/>
      <c r="R48" s="23" t="s">
        <v>55</v>
      </c>
      <c r="S48" s="62">
        <f t="shared" si="1"/>
        <v>0</v>
      </c>
    </row>
    <row r="49" spans="1:19" ht="16" x14ac:dyDescent="0.2">
      <c r="A49" s="15">
        <v>46</v>
      </c>
      <c r="B49" s="24" t="s">
        <v>37</v>
      </c>
      <c r="C49" s="26" t="s">
        <v>35</v>
      </c>
      <c r="D49" s="26" t="s">
        <v>39</v>
      </c>
      <c r="E49" s="26"/>
      <c r="F49" s="26" t="s">
        <v>62</v>
      </c>
      <c r="G49" s="26" t="s">
        <v>68</v>
      </c>
      <c r="H49" s="26" t="s">
        <v>40</v>
      </c>
      <c r="I49" s="26">
        <v>2024</v>
      </c>
      <c r="J49" s="24" t="s">
        <v>63</v>
      </c>
      <c r="K49" s="24" t="s">
        <v>11</v>
      </c>
      <c r="L49" s="24" t="s">
        <v>31</v>
      </c>
      <c r="M49" s="53">
        <v>8918.44</v>
      </c>
      <c r="N49" s="54" t="s">
        <v>43</v>
      </c>
      <c r="O49" s="50">
        <v>2684910</v>
      </c>
      <c r="P49" s="55">
        <f t="shared" si="5"/>
        <v>301.05152919120383</v>
      </c>
      <c r="Q49" s="68"/>
      <c r="R49" s="23" t="s">
        <v>55</v>
      </c>
      <c r="S49" s="62">
        <f t="shared" si="1"/>
        <v>0</v>
      </c>
    </row>
    <row r="50" spans="1:19" ht="16" x14ac:dyDescent="0.2">
      <c r="A50" s="15">
        <v>47</v>
      </c>
      <c r="B50" s="24" t="s">
        <v>37</v>
      </c>
      <c r="C50" s="26" t="s">
        <v>35</v>
      </c>
      <c r="D50" s="26" t="s">
        <v>39</v>
      </c>
      <c r="E50" s="26"/>
      <c r="F50" s="26" t="s">
        <v>62</v>
      </c>
      <c r="G50" s="26" t="s">
        <v>68</v>
      </c>
      <c r="H50" s="26" t="s">
        <v>40</v>
      </c>
      <c r="I50" s="26">
        <v>2024</v>
      </c>
      <c r="J50" s="24" t="s">
        <v>63</v>
      </c>
      <c r="K50" s="24" t="s">
        <v>11</v>
      </c>
      <c r="L50" s="24" t="s">
        <v>32</v>
      </c>
      <c r="M50" s="53">
        <v>8918.44</v>
      </c>
      <c r="N50" s="54" t="s">
        <v>43</v>
      </c>
      <c r="O50" s="50">
        <v>7045666</v>
      </c>
      <c r="P50" s="55">
        <f t="shared" si="5"/>
        <v>790.01103331972854</v>
      </c>
      <c r="Q50" s="68"/>
      <c r="R50" s="23" t="s">
        <v>55</v>
      </c>
      <c r="S50" s="62">
        <f t="shared" si="1"/>
        <v>0</v>
      </c>
    </row>
    <row r="51" spans="1:19" ht="16" x14ac:dyDescent="0.2">
      <c r="A51" s="15">
        <v>48</v>
      </c>
      <c r="B51" s="24" t="s">
        <v>37</v>
      </c>
      <c r="C51" s="26" t="s">
        <v>35</v>
      </c>
      <c r="D51" s="26" t="s">
        <v>39</v>
      </c>
      <c r="E51" s="26"/>
      <c r="F51" s="26" t="s">
        <v>62</v>
      </c>
      <c r="G51" s="26" t="s">
        <v>68</v>
      </c>
      <c r="H51" s="26" t="s">
        <v>40</v>
      </c>
      <c r="I51" s="26">
        <v>2024</v>
      </c>
      <c r="J51" s="24" t="s">
        <v>63</v>
      </c>
      <c r="K51" s="24" t="s">
        <v>11</v>
      </c>
      <c r="L51" s="24" t="s">
        <v>33</v>
      </c>
      <c r="M51" s="53">
        <v>8918.44</v>
      </c>
      <c r="N51" s="54" t="s">
        <v>43</v>
      </c>
      <c r="O51" s="50">
        <v>1142700</v>
      </c>
      <c r="P51" s="55">
        <f t="shared" si="5"/>
        <v>128.12778916492121</v>
      </c>
      <c r="Q51" s="68"/>
      <c r="R51" s="23" t="s">
        <v>55</v>
      </c>
      <c r="S51" s="62">
        <f t="shared" si="1"/>
        <v>0</v>
      </c>
    </row>
    <row r="52" spans="1:19" ht="16" x14ac:dyDescent="0.2">
      <c r="A52" s="15">
        <v>50</v>
      </c>
      <c r="B52" s="24" t="s">
        <v>37</v>
      </c>
      <c r="C52" s="26" t="s">
        <v>35</v>
      </c>
      <c r="D52" s="26" t="s">
        <v>39</v>
      </c>
      <c r="E52" s="26"/>
      <c r="F52" s="26" t="s">
        <v>62</v>
      </c>
      <c r="G52" s="26" t="s">
        <v>68</v>
      </c>
      <c r="H52" s="26" t="s">
        <v>40</v>
      </c>
      <c r="I52" s="26">
        <v>2024</v>
      </c>
      <c r="J52" s="24" t="s">
        <v>63</v>
      </c>
      <c r="K52" s="24" t="s">
        <v>11</v>
      </c>
      <c r="L52" s="24" t="s">
        <v>15</v>
      </c>
      <c r="M52" s="53">
        <v>8918.44</v>
      </c>
      <c r="N52" s="54" t="s">
        <v>43</v>
      </c>
      <c r="O52" s="50">
        <v>792220</v>
      </c>
      <c r="P52" s="55">
        <f>O52/M52</f>
        <v>88.829436538228649</v>
      </c>
      <c r="Q52" s="68"/>
      <c r="R52" s="23" t="s">
        <v>55</v>
      </c>
      <c r="S52" s="62">
        <f>O52/M52-P52</f>
        <v>0</v>
      </c>
    </row>
    <row r="53" spans="1:19" ht="16" x14ac:dyDescent="0.2">
      <c r="A53" s="15">
        <v>49</v>
      </c>
      <c r="B53" s="24" t="s">
        <v>37</v>
      </c>
      <c r="C53" s="26" t="s">
        <v>35</v>
      </c>
      <c r="D53" s="26" t="s">
        <v>39</v>
      </c>
      <c r="E53" s="26"/>
      <c r="F53" s="26" t="s">
        <v>62</v>
      </c>
      <c r="G53" s="26" t="s">
        <v>68</v>
      </c>
      <c r="H53" s="26" t="s">
        <v>40</v>
      </c>
      <c r="I53" s="26">
        <v>2024</v>
      </c>
      <c r="J53" s="24" t="s">
        <v>63</v>
      </c>
      <c r="K53" s="24" t="s">
        <v>11</v>
      </c>
      <c r="L53" s="24" t="s">
        <v>34</v>
      </c>
      <c r="M53" s="53">
        <v>8918.44</v>
      </c>
      <c r="N53" s="54" t="s">
        <v>43</v>
      </c>
      <c r="O53" s="50">
        <v>6299320</v>
      </c>
      <c r="P53" s="55">
        <f t="shared" si="5"/>
        <v>706.32532146877702</v>
      </c>
      <c r="Q53" s="69"/>
      <c r="R53" s="23" t="s">
        <v>55</v>
      </c>
      <c r="S53" s="62">
        <f t="shared" si="1"/>
        <v>0</v>
      </c>
    </row>
    <row r="54" spans="1:19" s="49" customFormat="1" ht="16" customHeight="1" x14ac:dyDescent="0.2">
      <c r="A54" s="15">
        <v>51</v>
      </c>
      <c r="B54" s="34" t="s">
        <v>37</v>
      </c>
      <c r="C54" s="35" t="s">
        <v>35</v>
      </c>
      <c r="D54" s="35" t="s">
        <v>39</v>
      </c>
      <c r="E54" s="35"/>
      <c r="F54" s="35" t="s">
        <v>62</v>
      </c>
      <c r="G54" s="35" t="s">
        <v>68</v>
      </c>
      <c r="H54" s="35" t="s">
        <v>40</v>
      </c>
      <c r="I54" s="35">
        <v>2024</v>
      </c>
      <c r="J54" s="35" t="s">
        <v>63</v>
      </c>
      <c r="K54" s="34" t="s">
        <v>12</v>
      </c>
      <c r="L54" s="34" t="s">
        <v>27</v>
      </c>
      <c r="M54" s="43">
        <v>2119.5</v>
      </c>
      <c r="N54" s="36" t="s">
        <v>43</v>
      </c>
      <c r="O54" s="37">
        <v>2804307.3</v>
      </c>
      <c r="P54" s="38">
        <f t="shared" si="5"/>
        <v>1323.0985138004246</v>
      </c>
      <c r="Q54" s="70" t="s">
        <v>67</v>
      </c>
      <c r="R54" s="39" t="s">
        <v>55</v>
      </c>
      <c r="S54" s="62">
        <f t="shared" si="1"/>
        <v>0</v>
      </c>
    </row>
    <row r="55" spans="1:19" s="49" customFormat="1" ht="16" x14ac:dyDescent="0.2">
      <c r="A55" s="15">
        <v>52</v>
      </c>
      <c r="B55" s="34" t="s">
        <v>37</v>
      </c>
      <c r="C55" s="35" t="s">
        <v>35</v>
      </c>
      <c r="D55" s="35" t="s">
        <v>39</v>
      </c>
      <c r="E55" s="35"/>
      <c r="F55" s="35" t="s">
        <v>62</v>
      </c>
      <c r="G55" s="35" t="s">
        <v>68</v>
      </c>
      <c r="H55" s="35" t="s">
        <v>40</v>
      </c>
      <c r="I55" s="35">
        <v>2024</v>
      </c>
      <c r="J55" s="35" t="s">
        <v>63</v>
      </c>
      <c r="K55" s="34" t="s">
        <v>12</v>
      </c>
      <c r="L55" s="34" t="s">
        <v>28</v>
      </c>
      <c r="M55" s="43">
        <v>2119.5</v>
      </c>
      <c r="N55" s="36" t="s">
        <v>43</v>
      </c>
      <c r="O55" s="37">
        <v>133454</v>
      </c>
      <c r="P55" s="38">
        <f t="shared" si="5"/>
        <v>62.964850200518988</v>
      </c>
      <c r="Q55" s="71"/>
      <c r="R55" s="39" t="s">
        <v>55</v>
      </c>
      <c r="S55" s="62">
        <f t="shared" si="1"/>
        <v>0</v>
      </c>
    </row>
    <row r="56" spans="1:19" s="49" customFormat="1" ht="16" x14ac:dyDescent="0.2">
      <c r="A56" s="15">
        <v>53</v>
      </c>
      <c r="B56" s="34" t="s">
        <v>37</v>
      </c>
      <c r="C56" s="35" t="s">
        <v>35</v>
      </c>
      <c r="D56" s="35" t="s">
        <v>39</v>
      </c>
      <c r="E56" s="35"/>
      <c r="F56" s="35" t="s">
        <v>62</v>
      </c>
      <c r="G56" s="35" t="s">
        <v>68</v>
      </c>
      <c r="H56" s="35" t="s">
        <v>40</v>
      </c>
      <c r="I56" s="35">
        <v>2024</v>
      </c>
      <c r="J56" s="35" t="s">
        <v>63</v>
      </c>
      <c r="K56" s="34" t="s">
        <v>12</v>
      </c>
      <c r="L56" s="34" t="s">
        <v>29</v>
      </c>
      <c r="M56" s="43">
        <v>2119.5</v>
      </c>
      <c r="N56" s="36" t="s">
        <v>43</v>
      </c>
      <c r="O56" s="37">
        <v>1381110</v>
      </c>
      <c r="P56" s="38">
        <f t="shared" si="5"/>
        <v>651.62066525123851</v>
      </c>
      <c r="Q56" s="71"/>
      <c r="R56" s="39" t="s">
        <v>55</v>
      </c>
      <c r="S56" s="62">
        <f t="shared" si="1"/>
        <v>0</v>
      </c>
    </row>
    <row r="57" spans="1:19" s="49" customFormat="1" ht="16" x14ac:dyDescent="0.2">
      <c r="A57" s="15">
        <v>54</v>
      </c>
      <c r="B57" s="34" t="s">
        <v>37</v>
      </c>
      <c r="C57" s="35" t="s">
        <v>35</v>
      </c>
      <c r="D57" s="35" t="s">
        <v>39</v>
      </c>
      <c r="E57" s="35"/>
      <c r="F57" s="35" t="s">
        <v>62</v>
      </c>
      <c r="G57" s="35" t="s">
        <v>68</v>
      </c>
      <c r="H57" s="35" t="s">
        <v>40</v>
      </c>
      <c r="I57" s="35">
        <v>2024</v>
      </c>
      <c r="J57" s="35" t="s">
        <v>63</v>
      </c>
      <c r="K57" s="34" t="s">
        <v>12</v>
      </c>
      <c r="L57" s="34" t="s">
        <v>30</v>
      </c>
      <c r="M57" s="43">
        <v>2119.5</v>
      </c>
      <c r="N57" s="36" t="s">
        <v>43</v>
      </c>
      <c r="O57" s="37">
        <v>6460493</v>
      </c>
      <c r="P57" s="38">
        <f t="shared" si="5"/>
        <v>3048.1212550129749</v>
      </c>
      <c r="Q57" s="71"/>
      <c r="R57" s="39" t="s">
        <v>55</v>
      </c>
      <c r="S57" s="62">
        <f t="shared" si="1"/>
        <v>0</v>
      </c>
    </row>
    <row r="58" spans="1:19" s="49" customFormat="1" ht="16" x14ac:dyDescent="0.2">
      <c r="A58" s="15">
        <v>55</v>
      </c>
      <c r="B58" s="34" t="s">
        <v>37</v>
      </c>
      <c r="C58" s="35" t="s">
        <v>35</v>
      </c>
      <c r="D58" s="35" t="s">
        <v>39</v>
      </c>
      <c r="E58" s="35"/>
      <c r="F58" s="35" t="s">
        <v>62</v>
      </c>
      <c r="G58" s="35" t="s">
        <v>68</v>
      </c>
      <c r="H58" s="35" t="s">
        <v>40</v>
      </c>
      <c r="I58" s="35">
        <v>2024</v>
      </c>
      <c r="J58" s="35" t="s">
        <v>63</v>
      </c>
      <c r="K58" s="34" t="s">
        <v>12</v>
      </c>
      <c r="L58" s="34" t="s">
        <v>58</v>
      </c>
      <c r="M58" s="43">
        <v>2119.5</v>
      </c>
      <c r="N58" s="36" t="s">
        <v>43</v>
      </c>
      <c r="O58" s="37">
        <v>1057800</v>
      </c>
      <c r="P58" s="38">
        <f t="shared" si="5"/>
        <v>499.07997169143664</v>
      </c>
      <c r="Q58" s="71"/>
      <c r="R58" s="39" t="s">
        <v>55</v>
      </c>
      <c r="S58" s="62">
        <f t="shared" si="1"/>
        <v>0</v>
      </c>
    </row>
    <row r="59" spans="1:19" s="49" customFormat="1" ht="16" x14ac:dyDescent="0.2">
      <c r="A59" s="15">
        <v>56</v>
      </c>
      <c r="B59" s="34" t="s">
        <v>37</v>
      </c>
      <c r="C59" s="35" t="s">
        <v>35</v>
      </c>
      <c r="D59" s="35" t="s">
        <v>39</v>
      </c>
      <c r="E59" s="35"/>
      <c r="F59" s="35" t="s">
        <v>62</v>
      </c>
      <c r="G59" s="35" t="s">
        <v>68</v>
      </c>
      <c r="H59" s="35" t="s">
        <v>40</v>
      </c>
      <c r="I59" s="35">
        <v>2024</v>
      </c>
      <c r="J59" s="35" t="s">
        <v>63</v>
      </c>
      <c r="K59" s="34" t="s">
        <v>12</v>
      </c>
      <c r="L59" s="34" t="s">
        <v>31</v>
      </c>
      <c r="M59" s="43">
        <v>2119.5</v>
      </c>
      <c r="N59" s="36" t="s">
        <v>43</v>
      </c>
      <c r="O59" s="37">
        <v>718200</v>
      </c>
      <c r="P59" s="38">
        <f t="shared" si="5"/>
        <v>338.85350318471336</v>
      </c>
      <c r="Q59" s="71"/>
      <c r="R59" s="39" t="s">
        <v>55</v>
      </c>
      <c r="S59" s="62">
        <f t="shared" si="1"/>
        <v>0</v>
      </c>
    </row>
    <row r="60" spans="1:19" s="49" customFormat="1" ht="16" x14ac:dyDescent="0.2">
      <c r="A60" s="15">
        <v>57</v>
      </c>
      <c r="B60" s="34" t="s">
        <v>37</v>
      </c>
      <c r="C60" s="35" t="s">
        <v>35</v>
      </c>
      <c r="D60" s="35" t="s">
        <v>39</v>
      </c>
      <c r="E60" s="35"/>
      <c r="F60" s="35" t="s">
        <v>62</v>
      </c>
      <c r="G60" s="35" t="s">
        <v>68</v>
      </c>
      <c r="H60" s="35" t="s">
        <v>40</v>
      </c>
      <c r="I60" s="35">
        <v>2024</v>
      </c>
      <c r="J60" s="35" t="s">
        <v>63</v>
      </c>
      <c r="K60" s="34" t="s">
        <v>12</v>
      </c>
      <c r="L60" s="34" t="s">
        <v>32</v>
      </c>
      <c r="M60" s="43">
        <v>2119.5</v>
      </c>
      <c r="N60" s="36" t="s">
        <v>43</v>
      </c>
      <c r="O60" s="37">
        <v>2052173</v>
      </c>
      <c r="P60" s="38">
        <f t="shared" si="5"/>
        <v>968.23448926633637</v>
      </c>
      <c r="Q60" s="71"/>
      <c r="R60" s="39" t="s">
        <v>55</v>
      </c>
      <c r="S60" s="62">
        <f t="shared" si="1"/>
        <v>0</v>
      </c>
    </row>
    <row r="61" spans="1:19" s="49" customFormat="1" ht="16" x14ac:dyDescent="0.2">
      <c r="A61" s="15">
        <v>58</v>
      </c>
      <c r="B61" s="34" t="s">
        <v>37</v>
      </c>
      <c r="C61" s="35" t="s">
        <v>35</v>
      </c>
      <c r="D61" s="35" t="s">
        <v>39</v>
      </c>
      <c r="E61" s="35"/>
      <c r="F61" s="35" t="s">
        <v>62</v>
      </c>
      <c r="G61" s="35" t="s">
        <v>68</v>
      </c>
      <c r="H61" s="35" t="s">
        <v>40</v>
      </c>
      <c r="I61" s="35">
        <v>2024</v>
      </c>
      <c r="J61" s="35" t="s">
        <v>63</v>
      </c>
      <c r="K61" s="34" t="s">
        <v>12</v>
      </c>
      <c r="L61" s="34" t="s">
        <v>33</v>
      </c>
      <c r="M61" s="43">
        <v>2119.5</v>
      </c>
      <c r="N61" s="36" t="s">
        <v>43</v>
      </c>
      <c r="O61" s="37">
        <v>277940</v>
      </c>
      <c r="P61" s="38">
        <f t="shared" si="5"/>
        <v>131.13470158056145</v>
      </c>
      <c r="Q61" s="71"/>
      <c r="R61" s="39" t="s">
        <v>55</v>
      </c>
      <c r="S61" s="62">
        <f t="shared" si="1"/>
        <v>0</v>
      </c>
    </row>
    <row r="62" spans="1:19" s="49" customFormat="1" ht="16" x14ac:dyDescent="0.2">
      <c r="A62" s="15">
        <v>60</v>
      </c>
      <c r="B62" s="34" t="s">
        <v>37</v>
      </c>
      <c r="C62" s="35" t="s">
        <v>35</v>
      </c>
      <c r="D62" s="35" t="s">
        <v>39</v>
      </c>
      <c r="E62" s="35"/>
      <c r="F62" s="35" t="s">
        <v>62</v>
      </c>
      <c r="G62" s="35" t="s">
        <v>68</v>
      </c>
      <c r="H62" s="35" t="s">
        <v>40</v>
      </c>
      <c r="I62" s="35">
        <v>2024</v>
      </c>
      <c r="J62" s="35" t="s">
        <v>63</v>
      </c>
      <c r="K62" s="34" t="s">
        <v>12</v>
      </c>
      <c r="L62" s="34" t="s">
        <v>15</v>
      </c>
      <c r="M62" s="43">
        <v>2119.5</v>
      </c>
      <c r="N62" s="36" t="s">
        <v>43</v>
      </c>
      <c r="O62" s="37">
        <v>289335</v>
      </c>
      <c r="P62" s="38">
        <f>O62/M62</f>
        <v>136.5109695682944</v>
      </c>
      <c r="Q62" s="71"/>
      <c r="R62" s="39" t="s">
        <v>55</v>
      </c>
      <c r="S62" s="62">
        <f>O62/M62-P62</f>
        <v>0</v>
      </c>
    </row>
    <row r="63" spans="1:19" s="49" customFormat="1" ht="16" x14ac:dyDescent="0.2">
      <c r="A63" s="15">
        <v>59</v>
      </c>
      <c r="B63" s="34" t="s">
        <v>37</v>
      </c>
      <c r="C63" s="35" t="s">
        <v>35</v>
      </c>
      <c r="D63" s="35" t="s">
        <v>39</v>
      </c>
      <c r="E63" s="35"/>
      <c r="F63" s="35" t="s">
        <v>62</v>
      </c>
      <c r="G63" s="35" t="s">
        <v>68</v>
      </c>
      <c r="H63" s="35" t="s">
        <v>40</v>
      </c>
      <c r="I63" s="35">
        <v>2024</v>
      </c>
      <c r="J63" s="35" t="s">
        <v>63</v>
      </c>
      <c r="K63" s="34" t="s">
        <v>12</v>
      </c>
      <c r="L63" s="34" t="s">
        <v>34</v>
      </c>
      <c r="M63" s="43">
        <v>2119.5</v>
      </c>
      <c r="N63" s="36" t="s">
        <v>43</v>
      </c>
      <c r="O63" s="37">
        <v>3208980</v>
      </c>
      <c r="P63" s="38">
        <f t="shared" si="5"/>
        <v>1514.0268931351734</v>
      </c>
      <c r="Q63" s="71"/>
      <c r="R63" s="39" t="s">
        <v>55</v>
      </c>
      <c r="S63" s="62">
        <f t="shared" si="1"/>
        <v>0</v>
      </c>
    </row>
    <row r="64" spans="1:19" ht="15" x14ac:dyDescent="0.2">
      <c r="B64" s="56"/>
      <c r="C64" s="57"/>
      <c r="D64" s="57"/>
      <c r="E64" s="57"/>
      <c r="F64" s="57"/>
      <c r="G64" s="57"/>
      <c r="H64" s="57"/>
      <c r="I64" s="57"/>
      <c r="J64" s="57"/>
      <c r="K64" s="24"/>
      <c r="L64" s="56"/>
      <c r="M64" s="58"/>
      <c r="N64" s="11"/>
      <c r="O64" s="59"/>
      <c r="P64" s="60"/>
      <c r="Q64" s="61"/>
      <c r="R64" s="1"/>
      <c r="S64" s="62" t="e">
        <f t="shared" si="1"/>
        <v>#DIV/0!</v>
      </c>
    </row>
    <row r="65" spans="1:19" s="1" customFormat="1" ht="25" customHeight="1" x14ac:dyDescent="0.2">
      <c r="A65" s="12" t="s">
        <v>0</v>
      </c>
      <c r="B65" s="18" t="s">
        <v>17</v>
      </c>
      <c r="C65" s="18" t="s">
        <v>18</v>
      </c>
      <c r="D65" s="18" t="s">
        <v>19</v>
      </c>
      <c r="E65" s="18" t="s">
        <v>20</v>
      </c>
      <c r="F65" s="18" t="s">
        <v>21</v>
      </c>
      <c r="G65" s="18" t="s">
        <v>22</v>
      </c>
      <c r="H65" s="19" t="s">
        <v>23</v>
      </c>
      <c r="I65" s="19" t="s">
        <v>26</v>
      </c>
      <c r="J65" s="19" t="s">
        <v>24</v>
      </c>
      <c r="K65" s="20" t="s">
        <v>1</v>
      </c>
      <c r="L65" s="20" t="s">
        <v>16</v>
      </c>
      <c r="M65" s="20" t="s">
        <v>44</v>
      </c>
      <c r="N65" s="20" t="s">
        <v>42</v>
      </c>
      <c r="O65" s="20" t="s">
        <v>25</v>
      </c>
      <c r="P65" s="20" t="s">
        <v>46</v>
      </c>
      <c r="Q65" s="20" t="s">
        <v>57</v>
      </c>
      <c r="R65" s="21" t="s">
        <v>47</v>
      </c>
      <c r="S65" s="62" t="e">
        <f t="shared" si="1"/>
        <v>#VALUE!</v>
      </c>
    </row>
    <row r="66" spans="1:19" ht="15" x14ac:dyDescent="0.2">
      <c r="F66" s="26" t="s">
        <v>36</v>
      </c>
      <c r="G66" s="26" t="s">
        <v>38</v>
      </c>
      <c r="K66" s="24" t="s">
        <v>3</v>
      </c>
      <c r="L66" s="24"/>
      <c r="M66" s="65">
        <f>SUMIF($K$4:$K$64,$K66,M$4:M$64)/10</f>
        <v>4011.8</v>
      </c>
      <c r="N66" s="65">
        <f>SUMIF($K$4:$K$64,$K66,N$4:N$64)</f>
        <v>0</v>
      </c>
      <c r="O66" s="65">
        <f>SUMIF($K$4:$K$64,$K66,O$4:O$64)</f>
        <v>29665689.533953201</v>
      </c>
      <c r="P66" s="65">
        <f>SUMIF($K$4:$K$64,$K66,P$4:P$64)</f>
        <v>7394.6082890356456</v>
      </c>
      <c r="S66" s="64">
        <f>O66/M66-P66</f>
        <v>0</v>
      </c>
    </row>
    <row r="67" spans="1:19" ht="15" x14ac:dyDescent="0.2">
      <c r="F67" s="26" t="s">
        <v>36</v>
      </c>
      <c r="G67" s="26" t="s">
        <v>38</v>
      </c>
      <c r="K67" s="34" t="s">
        <v>4</v>
      </c>
      <c r="L67" s="34"/>
      <c r="M67" s="66">
        <f>SUMIF($K$4:$K$64,$K67,M$4:M$64)/10</f>
        <v>3374.3100000000004</v>
      </c>
      <c r="N67" s="66">
        <f>SUMIF($K$4:$K$64,$K67,N$4:N$64)</f>
        <v>0</v>
      </c>
      <c r="O67" s="66">
        <f>SUMIF($K$4:$K$64,$K67,O$4:O$64)</f>
        <v>26485554.968601301</v>
      </c>
      <c r="P67" s="66">
        <f>SUMIF($K$4:$K$64,$K67,P$4:P$64)</f>
        <v>7849.1765630903192</v>
      </c>
      <c r="S67" s="62" t="b">
        <f t="shared" ref="S67:S71" si="6">O67/M67=P67</f>
        <v>1</v>
      </c>
    </row>
    <row r="68" spans="1:19" ht="15" x14ac:dyDescent="0.2">
      <c r="F68" s="26" t="s">
        <v>36</v>
      </c>
      <c r="G68" s="26" t="s">
        <v>38</v>
      </c>
      <c r="K68" s="24" t="s">
        <v>5</v>
      </c>
      <c r="L68" s="24"/>
      <c r="M68" s="65">
        <f>SUMIF($K$4:$K$64,$K68,M$4:M$64)/10</f>
        <v>3402.3900000000003</v>
      </c>
      <c r="N68" s="65">
        <f>SUMIF($K$4:$K$64,$K68,N$4:N$64)</f>
        <v>0</v>
      </c>
      <c r="O68" s="65">
        <f>SUMIF($K$4:$K$64,$K68,O$4:O$64)</f>
        <v>24042880.392860163</v>
      </c>
      <c r="P68" s="65">
        <f>SUMIF($K$4:$K$64,$K68,P$4:P$64)</f>
        <v>7066.4680982662658</v>
      </c>
      <c r="S68" s="62" t="b">
        <f t="shared" si="6"/>
        <v>1</v>
      </c>
    </row>
    <row r="69" spans="1:19" ht="15" x14ac:dyDescent="0.2">
      <c r="F69" s="26" t="s">
        <v>62</v>
      </c>
      <c r="G69" s="26" t="s">
        <v>68</v>
      </c>
      <c r="K69" s="34" t="s">
        <v>64</v>
      </c>
      <c r="L69" s="34"/>
      <c r="M69" s="66">
        <f>SUMIF($K$4:$K$64,$K69,M$4:M$64)/10</f>
        <v>3724</v>
      </c>
      <c r="N69" s="66">
        <f>SUMIF($K$4:$K$64,$K69,N$4:N$64)</f>
        <v>0</v>
      </c>
      <c r="O69" s="66">
        <f>SUMIF($K$4:$K$64,$K69,O$4:O$64)</f>
        <v>28976469.399999999</v>
      </c>
      <c r="P69" s="66">
        <f>SUMIF($K$4:$K$64,$K69,P$4:P$64)</f>
        <v>7781.0068206229853</v>
      </c>
      <c r="S69" s="62" t="b">
        <f t="shared" si="6"/>
        <v>1</v>
      </c>
    </row>
    <row r="70" spans="1:19" ht="15" x14ac:dyDescent="0.2">
      <c r="F70" s="26" t="s">
        <v>62</v>
      </c>
      <c r="G70" s="26" t="s">
        <v>68</v>
      </c>
      <c r="K70" s="24" t="s">
        <v>11</v>
      </c>
      <c r="L70" s="24"/>
      <c r="M70" s="65">
        <f>SUMIF($K$4:$K$64,$K70,M$4:M$64)/10</f>
        <v>8918.44</v>
      </c>
      <c r="N70" s="65">
        <f>SUMIF($K$4:$K$64,$K70,N$4:N$64)</f>
        <v>0</v>
      </c>
      <c r="O70" s="65">
        <f>SUMIF($K$4:$K$64,$K70,O$4:O$64)</f>
        <v>67860562.180000007</v>
      </c>
      <c r="P70" s="65">
        <f>SUMIF($K$4:$K$64,$K70,P$4:P$64)</f>
        <v>7609.0170680074098</v>
      </c>
      <c r="S70" s="62" t="b">
        <f t="shared" si="6"/>
        <v>1</v>
      </c>
    </row>
    <row r="71" spans="1:19" ht="15" x14ac:dyDescent="0.2">
      <c r="F71" s="26" t="s">
        <v>62</v>
      </c>
      <c r="G71" s="26" t="s">
        <v>68</v>
      </c>
      <c r="K71" s="34" t="s">
        <v>12</v>
      </c>
      <c r="L71" s="34"/>
      <c r="M71" s="66">
        <f>SUMIF($K$4:$K$64,$K71,M$4:M$64)/10</f>
        <v>2119.5</v>
      </c>
      <c r="N71" s="66">
        <f>SUMIF($K$4:$K$64,$K71,N$4:N$64)</f>
        <v>0</v>
      </c>
      <c r="O71" s="66">
        <f>SUMIF($K$4:$K$64,$K71,O$4:O$64)</f>
        <v>18383792.300000001</v>
      </c>
      <c r="P71" s="66">
        <f>SUMIF($K$4:$K$64,$K71,P$4:P$64)</f>
        <v>8673.6458126916714</v>
      </c>
      <c r="S71" s="62" t="b">
        <f t="shared" si="6"/>
        <v>1</v>
      </c>
    </row>
  </sheetData>
  <mergeCells count="7">
    <mergeCell ref="Q44:Q53"/>
    <mergeCell ref="Q54:Q63"/>
    <mergeCell ref="A2:H2"/>
    <mergeCell ref="Q4:Q13"/>
    <mergeCell ref="Q14:Q23"/>
    <mergeCell ref="Q24:Q33"/>
    <mergeCell ref="Q34:Q43"/>
  </mergeCells>
  <phoneticPr fontId="9" type="noConversion"/>
  <printOptions horizontalCentered="1"/>
  <pageMargins left="0.39370078740157483" right="0.39370078740157483" top="0.78740157480314965" bottom="0.70866141732283472" header="0.31496062992125984" footer="0.23622047244094491"/>
  <pageSetup paperSize="9" fitToHeight="0" orientation="landscape" r:id="rId1"/>
  <headerFooter>
    <oddHeader xml:space="preserve">&amp;L
&amp;"Arial,Bold"&amp;8&amp;KA71600KHALEEJ AL ARABI JUNCTION WORKS AT IP - 135 : &amp;"Arial,Regular"&amp;K000000MAIN WORKS
&amp;G&amp;R&amp;G     </oddHeader>
    <oddFooter>&amp;L&amp;"Arial,Bold"&amp;8&amp;KA71600&amp;G
Form Ref: OMN-CM-018&amp;R&amp;"Arial,Bold"&amp;8&amp;KA71600Benchmark - Bridge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4C3B-1D06-4833-BFE9-08CD3A4B5055}">
  <sheetPr>
    <pageSetUpPr fitToPage="1"/>
  </sheetPr>
  <dimension ref="A1:V59"/>
  <sheetViews>
    <sheetView showZeros="0" tabSelected="1" topLeftCell="I29" zoomScale="150" zoomScaleNormal="150" zoomScaleSheetLayoutView="100" workbookViewId="0">
      <selection activeCell="P57" sqref="P57:P59"/>
    </sheetView>
  </sheetViews>
  <sheetFormatPr baseColWidth="10" defaultColWidth="9.1640625" defaultRowHeight="13" x14ac:dyDescent="0.2"/>
  <cols>
    <col min="1" max="1" width="4.6640625" style="7" customWidth="1"/>
    <col min="2" max="2" width="19.1640625" style="4" customWidth="1"/>
    <col min="3" max="3" width="11.6640625" style="4" bestFit="1" customWidth="1"/>
    <col min="4" max="4" width="15.1640625" style="4" customWidth="1"/>
    <col min="5" max="5" width="15.1640625" style="4" hidden="1" customWidth="1"/>
    <col min="6" max="6" width="15.1640625" style="4" customWidth="1"/>
    <col min="7" max="7" width="22.83203125" style="4" customWidth="1"/>
    <col min="8" max="10" width="9.1640625" style="4"/>
    <col min="11" max="11" width="30.83203125" style="4" customWidth="1"/>
    <col min="12" max="12" width="22" style="4" bestFit="1" customWidth="1"/>
    <col min="13" max="14" width="14.33203125" style="4" customWidth="1"/>
    <col min="15" max="15" width="9.1640625" style="4"/>
    <col min="16" max="18" width="14.33203125" style="4" customWidth="1"/>
    <col min="19" max="19" width="27.33203125" style="4" customWidth="1"/>
    <col min="20" max="20" width="9.1640625" style="4"/>
    <col min="21" max="21" width="11.6640625" style="4" bestFit="1" customWidth="1"/>
    <col min="22" max="16384" width="9.1640625" style="4"/>
  </cols>
  <sheetData>
    <row r="1" spans="1:20" x14ac:dyDescent="0.2">
      <c r="A1" s="2" t="s">
        <v>6</v>
      </c>
      <c r="B1" s="8"/>
      <c r="C1" s="9"/>
      <c r="D1" s="6"/>
      <c r="E1" s="5"/>
    </row>
    <row r="2" spans="1:20" x14ac:dyDescent="0.2">
      <c r="A2" s="73"/>
      <c r="B2" s="77"/>
      <c r="C2" s="10"/>
      <c r="D2" s="3"/>
      <c r="E2" s="5"/>
    </row>
    <row r="3" spans="1:20" s="1" customFormat="1" ht="32" x14ac:dyDescent="0.2">
      <c r="A3" s="12" t="s">
        <v>0</v>
      </c>
      <c r="B3" s="18" t="s">
        <v>17</v>
      </c>
      <c r="C3" s="18" t="s">
        <v>18</v>
      </c>
      <c r="D3" s="18" t="s">
        <v>19</v>
      </c>
      <c r="E3" s="18" t="s">
        <v>20</v>
      </c>
      <c r="F3" s="18" t="s">
        <v>21</v>
      </c>
      <c r="G3" s="18" t="s">
        <v>22</v>
      </c>
      <c r="H3" s="19" t="s">
        <v>23</v>
      </c>
      <c r="I3" s="20" t="s">
        <v>26</v>
      </c>
      <c r="J3" s="19" t="s">
        <v>24</v>
      </c>
      <c r="K3" s="20" t="s">
        <v>1</v>
      </c>
      <c r="L3" s="20" t="s">
        <v>16</v>
      </c>
      <c r="M3" s="20" t="s">
        <v>49</v>
      </c>
      <c r="N3" s="20" t="s">
        <v>50</v>
      </c>
      <c r="O3" s="20" t="s">
        <v>42</v>
      </c>
      <c r="P3" s="20" t="s">
        <v>25</v>
      </c>
      <c r="Q3" s="32" t="s">
        <v>56</v>
      </c>
      <c r="R3" s="32" t="s">
        <v>51</v>
      </c>
      <c r="S3" s="20" t="s">
        <v>57</v>
      </c>
      <c r="T3" s="21" t="s">
        <v>47</v>
      </c>
    </row>
    <row r="4" spans="1:20" s="1" customFormat="1" ht="16" x14ac:dyDescent="0.2">
      <c r="A4" s="28">
        <v>1</v>
      </c>
      <c r="B4" s="24" t="s">
        <v>37</v>
      </c>
      <c r="C4" s="26" t="s">
        <v>35</v>
      </c>
      <c r="D4" s="26" t="s">
        <v>39</v>
      </c>
      <c r="E4" s="26" t="s">
        <v>45</v>
      </c>
      <c r="F4" s="26" t="s">
        <v>36</v>
      </c>
      <c r="G4" s="26" t="s">
        <v>38</v>
      </c>
      <c r="H4" s="26" t="s">
        <v>40</v>
      </c>
      <c r="I4" s="33">
        <v>2023</v>
      </c>
      <c r="J4" s="26" t="s">
        <v>41</v>
      </c>
      <c r="K4" s="24" t="s">
        <v>52</v>
      </c>
      <c r="L4" s="24" t="s">
        <v>27</v>
      </c>
      <c r="M4" s="30">
        <v>4236.8999999999996</v>
      </c>
      <c r="N4" s="45">
        <f t="shared" ref="N4:N11" si="0">1135.42+1014.07+158.25</f>
        <v>2307.7400000000002</v>
      </c>
      <c r="O4" s="30" t="s">
        <v>43</v>
      </c>
      <c r="P4" s="30">
        <v>874415.71169371565</v>
      </c>
      <c r="Q4" s="25">
        <f t="shared" ref="Q4:R27" si="1">$P4/M4</f>
        <v>206.38101246045829</v>
      </c>
      <c r="R4" s="25">
        <f t="shared" si="1"/>
        <v>378.90564435062686</v>
      </c>
      <c r="S4" s="67" t="s">
        <v>7</v>
      </c>
      <c r="T4" s="23" t="s">
        <v>55</v>
      </c>
    </row>
    <row r="5" spans="1:20" s="1" customFormat="1" ht="16" x14ac:dyDescent="0.2">
      <c r="A5" s="28">
        <v>2</v>
      </c>
      <c r="B5" s="24" t="s">
        <v>37</v>
      </c>
      <c r="C5" s="26" t="s">
        <v>35</v>
      </c>
      <c r="D5" s="26" t="s">
        <v>39</v>
      </c>
      <c r="E5" s="26" t="s">
        <v>45</v>
      </c>
      <c r="F5" s="26" t="s">
        <v>36</v>
      </c>
      <c r="G5" s="26" t="s">
        <v>38</v>
      </c>
      <c r="H5" s="26" t="s">
        <v>40</v>
      </c>
      <c r="I5" s="33">
        <v>2023</v>
      </c>
      <c r="J5" s="26" t="s">
        <v>41</v>
      </c>
      <c r="K5" s="24" t="s">
        <v>52</v>
      </c>
      <c r="L5" s="24" t="s">
        <v>28</v>
      </c>
      <c r="M5" s="30">
        <v>4236.8999999999996</v>
      </c>
      <c r="N5" s="45">
        <f t="shared" si="0"/>
        <v>2307.7400000000002</v>
      </c>
      <c r="O5" s="30" t="s">
        <v>43</v>
      </c>
      <c r="P5" s="30">
        <v>1142369.0103129998</v>
      </c>
      <c r="Q5" s="25">
        <f t="shared" si="1"/>
        <v>269.62378397247988</v>
      </c>
      <c r="R5" s="25">
        <f t="shared" si="1"/>
        <v>495.01634079792336</v>
      </c>
      <c r="S5" s="68"/>
      <c r="T5" s="23" t="s">
        <v>55</v>
      </c>
    </row>
    <row r="6" spans="1:20" s="1" customFormat="1" ht="16" x14ac:dyDescent="0.2">
      <c r="A6" s="28">
        <v>3</v>
      </c>
      <c r="B6" s="24" t="s">
        <v>37</v>
      </c>
      <c r="C6" s="26" t="s">
        <v>35</v>
      </c>
      <c r="D6" s="26" t="s">
        <v>39</v>
      </c>
      <c r="E6" s="26" t="s">
        <v>45</v>
      </c>
      <c r="F6" s="26" t="s">
        <v>36</v>
      </c>
      <c r="G6" s="26" t="s">
        <v>38</v>
      </c>
      <c r="H6" s="26" t="s">
        <v>40</v>
      </c>
      <c r="I6" s="33">
        <v>2023</v>
      </c>
      <c r="J6" s="26" t="s">
        <v>41</v>
      </c>
      <c r="K6" s="24" t="s">
        <v>52</v>
      </c>
      <c r="L6" s="24" t="s">
        <v>29</v>
      </c>
      <c r="M6" s="30">
        <v>4236.8999999999996</v>
      </c>
      <c r="N6" s="45">
        <f t="shared" si="0"/>
        <v>2307.7400000000002</v>
      </c>
      <c r="O6" s="30" t="s">
        <v>43</v>
      </c>
      <c r="P6" s="30">
        <v>15780.756089999997</v>
      </c>
      <c r="Q6" s="25">
        <f t="shared" si="1"/>
        <v>3.7245996105643275</v>
      </c>
      <c r="R6" s="25">
        <f t="shared" si="1"/>
        <v>6.8381863164827905</v>
      </c>
      <c r="S6" s="68"/>
      <c r="T6" s="23" t="s">
        <v>55</v>
      </c>
    </row>
    <row r="7" spans="1:20" s="1" customFormat="1" ht="16" x14ac:dyDescent="0.2">
      <c r="A7" s="28">
        <v>4</v>
      </c>
      <c r="B7" s="24" t="s">
        <v>37</v>
      </c>
      <c r="C7" s="26" t="s">
        <v>35</v>
      </c>
      <c r="D7" s="26" t="s">
        <v>39</v>
      </c>
      <c r="E7" s="26" t="s">
        <v>45</v>
      </c>
      <c r="F7" s="26" t="s">
        <v>36</v>
      </c>
      <c r="G7" s="26" t="s">
        <v>38</v>
      </c>
      <c r="H7" s="26" t="s">
        <v>40</v>
      </c>
      <c r="I7" s="33">
        <v>2023</v>
      </c>
      <c r="J7" s="26" t="s">
        <v>41</v>
      </c>
      <c r="K7" s="24" t="s">
        <v>52</v>
      </c>
      <c r="L7" s="24" t="s">
        <v>30</v>
      </c>
      <c r="M7" s="30">
        <v>4236.8999999999996</v>
      </c>
      <c r="N7" s="45">
        <f t="shared" si="0"/>
        <v>2307.7400000000002</v>
      </c>
      <c r="O7" s="30" t="s">
        <v>43</v>
      </c>
      <c r="P7" s="30">
        <v>171818.34505804439</v>
      </c>
      <c r="Q7" s="25">
        <f t="shared" ref="Q7" si="2">$P7/M7</f>
        <v>40.552844074215677</v>
      </c>
      <c r="R7" s="25">
        <f t="shared" ref="R7" si="3">$P7/N7</f>
        <v>74.45307749488434</v>
      </c>
      <c r="S7" s="68"/>
      <c r="T7" s="23" t="s">
        <v>55</v>
      </c>
    </row>
    <row r="8" spans="1:20" s="1" customFormat="1" ht="16" x14ac:dyDescent="0.2">
      <c r="A8" s="28">
        <v>4</v>
      </c>
      <c r="B8" s="24" t="s">
        <v>37</v>
      </c>
      <c r="C8" s="26" t="s">
        <v>35</v>
      </c>
      <c r="D8" s="26" t="s">
        <v>39</v>
      </c>
      <c r="E8" s="26" t="s">
        <v>45</v>
      </c>
      <c r="F8" s="26" t="s">
        <v>36</v>
      </c>
      <c r="G8" s="26" t="s">
        <v>38</v>
      </c>
      <c r="H8" s="26" t="s">
        <v>40</v>
      </c>
      <c r="I8" s="33">
        <v>2023</v>
      </c>
      <c r="J8" s="26" t="s">
        <v>41</v>
      </c>
      <c r="K8" s="24" t="s">
        <v>52</v>
      </c>
      <c r="L8" s="24" t="s">
        <v>48</v>
      </c>
      <c r="M8" s="30">
        <v>4236.8999999999996</v>
      </c>
      <c r="N8" s="45">
        <f t="shared" si="0"/>
        <v>2307.7400000000002</v>
      </c>
      <c r="O8" s="30" t="s">
        <v>43</v>
      </c>
      <c r="P8" s="30">
        <v>1508862.1154</v>
      </c>
      <c r="Q8" s="25">
        <f t="shared" si="1"/>
        <v>356.12408020014635</v>
      </c>
      <c r="R8" s="25">
        <f t="shared" si="1"/>
        <v>653.82673758742317</v>
      </c>
      <c r="S8" s="68"/>
      <c r="T8" s="23" t="s">
        <v>55</v>
      </c>
    </row>
    <row r="9" spans="1:20" s="1" customFormat="1" ht="16" x14ac:dyDescent="0.2">
      <c r="A9" s="28">
        <v>5</v>
      </c>
      <c r="B9" s="24" t="s">
        <v>37</v>
      </c>
      <c r="C9" s="26" t="s">
        <v>35</v>
      </c>
      <c r="D9" s="26" t="s">
        <v>39</v>
      </c>
      <c r="E9" s="26" t="s">
        <v>45</v>
      </c>
      <c r="F9" s="26" t="s">
        <v>36</v>
      </c>
      <c r="G9" s="26" t="s">
        <v>38</v>
      </c>
      <c r="H9" s="26" t="s">
        <v>40</v>
      </c>
      <c r="I9" s="33">
        <v>2023</v>
      </c>
      <c r="J9" s="26" t="s">
        <v>41</v>
      </c>
      <c r="K9" s="24" t="s">
        <v>52</v>
      </c>
      <c r="L9" s="24" t="s">
        <v>33</v>
      </c>
      <c r="M9" s="30">
        <v>4236.8999999999996</v>
      </c>
      <c r="N9" s="45">
        <f t="shared" si="0"/>
        <v>2307.7400000000002</v>
      </c>
      <c r="O9" s="30" t="s">
        <v>43</v>
      </c>
      <c r="P9" s="30">
        <v>1319852.2680313999</v>
      </c>
      <c r="Q9" s="25">
        <f t="shared" si="1"/>
        <v>311.51366990757396</v>
      </c>
      <c r="R9" s="25">
        <f t="shared" si="1"/>
        <v>571.92416304757023</v>
      </c>
      <c r="S9" s="68"/>
      <c r="T9" s="23" t="s">
        <v>55</v>
      </c>
    </row>
    <row r="10" spans="1:20" s="1" customFormat="1" ht="16" x14ac:dyDescent="0.2">
      <c r="A10" s="28">
        <v>6</v>
      </c>
      <c r="B10" s="24" t="s">
        <v>37</v>
      </c>
      <c r="C10" s="26" t="s">
        <v>35</v>
      </c>
      <c r="D10" s="26" t="s">
        <v>39</v>
      </c>
      <c r="E10" s="26" t="s">
        <v>45</v>
      </c>
      <c r="F10" s="26" t="s">
        <v>36</v>
      </c>
      <c r="G10" s="26" t="s">
        <v>38</v>
      </c>
      <c r="H10" s="26" t="s">
        <v>40</v>
      </c>
      <c r="I10" s="33">
        <v>2023</v>
      </c>
      <c r="J10" s="26" t="s">
        <v>41</v>
      </c>
      <c r="K10" s="24" t="s">
        <v>52</v>
      </c>
      <c r="L10" s="24" t="s">
        <v>15</v>
      </c>
      <c r="M10" s="30">
        <v>4236.8999999999996</v>
      </c>
      <c r="N10" s="45">
        <f t="shared" si="0"/>
        <v>2307.7400000000002</v>
      </c>
      <c r="O10" s="30" t="s">
        <v>43</v>
      </c>
      <c r="P10" s="30">
        <v>0</v>
      </c>
      <c r="Q10" s="25">
        <f t="shared" si="1"/>
        <v>0</v>
      </c>
      <c r="R10" s="25">
        <f t="shared" si="1"/>
        <v>0</v>
      </c>
      <c r="S10" s="68"/>
      <c r="T10" s="23" t="s">
        <v>55</v>
      </c>
    </row>
    <row r="11" spans="1:20" s="40" customFormat="1" ht="16" x14ac:dyDescent="0.2">
      <c r="A11" s="28">
        <v>7</v>
      </c>
      <c r="B11" s="24" t="s">
        <v>37</v>
      </c>
      <c r="C11" s="26" t="s">
        <v>35</v>
      </c>
      <c r="D11" s="26" t="s">
        <v>39</v>
      </c>
      <c r="E11" s="26" t="s">
        <v>45</v>
      </c>
      <c r="F11" s="26" t="s">
        <v>36</v>
      </c>
      <c r="G11" s="26" t="s">
        <v>38</v>
      </c>
      <c r="H11" s="26" t="s">
        <v>40</v>
      </c>
      <c r="I11" s="33">
        <v>2023</v>
      </c>
      <c r="J11" s="26" t="s">
        <v>41</v>
      </c>
      <c r="K11" s="24" t="s">
        <v>52</v>
      </c>
      <c r="L11" s="24" t="s">
        <v>34</v>
      </c>
      <c r="M11" s="30">
        <v>4236.8999999999996</v>
      </c>
      <c r="N11" s="45">
        <f t="shared" si="0"/>
        <v>2307.7400000000002</v>
      </c>
      <c r="O11" s="30" t="s">
        <v>43</v>
      </c>
      <c r="P11" s="30">
        <v>984939.33860000002</v>
      </c>
      <c r="Q11" s="25">
        <f t="shared" si="1"/>
        <v>232.46697788477428</v>
      </c>
      <c r="R11" s="25">
        <f t="shared" si="1"/>
        <v>426.7982262299912</v>
      </c>
      <c r="S11" s="69"/>
      <c r="T11" s="23" t="s">
        <v>55</v>
      </c>
    </row>
    <row r="12" spans="1:20" s="40" customFormat="1" ht="16" x14ac:dyDescent="0.2">
      <c r="A12" s="28">
        <v>8</v>
      </c>
      <c r="B12" s="34" t="s">
        <v>37</v>
      </c>
      <c r="C12" s="35" t="s">
        <v>35</v>
      </c>
      <c r="D12" s="35" t="s">
        <v>39</v>
      </c>
      <c r="E12" s="35" t="s">
        <v>45</v>
      </c>
      <c r="F12" s="35" t="s">
        <v>36</v>
      </c>
      <c r="G12" s="35" t="s">
        <v>38</v>
      </c>
      <c r="H12" s="35" t="s">
        <v>40</v>
      </c>
      <c r="I12" s="41">
        <v>2023</v>
      </c>
      <c r="J12" s="35" t="s">
        <v>41</v>
      </c>
      <c r="K12" s="34" t="s">
        <v>53</v>
      </c>
      <c r="L12" s="34" t="s">
        <v>27</v>
      </c>
      <c r="M12" s="37">
        <v>10489.01</v>
      </c>
      <c r="N12" s="46">
        <f t="shared" ref="N12:N19" si="4">2696.07+194.78+206.95+114.65+147.11+2116.29</f>
        <v>5475.85</v>
      </c>
      <c r="O12" s="37" t="s">
        <v>43</v>
      </c>
      <c r="P12" s="37">
        <v>2315928.5630509187</v>
      </c>
      <c r="Q12" s="42">
        <f t="shared" si="1"/>
        <v>220.79572457752627</v>
      </c>
      <c r="R12" s="42">
        <f t="shared" si="1"/>
        <v>422.93498964561093</v>
      </c>
      <c r="S12" s="70" t="s">
        <v>8</v>
      </c>
      <c r="T12" s="39" t="s">
        <v>55</v>
      </c>
    </row>
    <row r="13" spans="1:20" s="40" customFormat="1" ht="16" x14ac:dyDescent="0.2">
      <c r="A13" s="28">
        <v>9</v>
      </c>
      <c r="B13" s="34" t="s">
        <v>37</v>
      </c>
      <c r="C13" s="35" t="s">
        <v>35</v>
      </c>
      <c r="D13" s="35" t="s">
        <v>39</v>
      </c>
      <c r="E13" s="35" t="s">
        <v>45</v>
      </c>
      <c r="F13" s="35" t="s">
        <v>36</v>
      </c>
      <c r="G13" s="35" t="s">
        <v>38</v>
      </c>
      <c r="H13" s="35" t="s">
        <v>40</v>
      </c>
      <c r="I13" s="41">
        <v>2023</v>
      </c>
      <c r="J13" s="35" t="s">
        <v>41</v>
      </c>
      <c r="K13" s="34" t="s">
        <v>53</v>
      </c>
      <c r="L13" s="34" t="s">
        <v>28</v>
      </c>
      <c r="M13" s="37">
        <v>10489.01</v>
      </c>
      <c r="N13" s="46">
        <f t="shared" si="4"/>
        <v>5475.85</v>
      </c>
      <c r="O13" s="37" t="s">
        <v>43</v>
      </c>
      <c r="P13" s="37">
        <v>4912884.3699870007</v>
      </c>
      <c r="Q13" s="42">
        <f t="shared" si="1"/>
        <v>468.38399143360533</v>
      </c>
      <c r="R13" s="42">
        <f t="shared" si="1"/>
        <v>897.19118858022046</v>
      </c>
      <c r="S13" s="71"/>
      <c r="T13" s="39" t="s">
        <v>55</v>
      </c>
    </row>
    <row r="14" spans="1:20" s="40" customFormat="1" ht="16" x14ac:dyDescent="0.2">
      <c r="A14" s="28">
        <v>10</v>
      </c>
      <c r="B14" s="34" t="s">
        <v>37</v>
      </c>
      <c r="C14" s="35" t="s">
        <v>35</v>
      </c>
      <c r="D14" s="35" t="s">
        <v>39</v>
      </c>
      <c r="E14" s="35" t="s">
        <v>45</v>
      </c>
      <c r="F14" s="35" t="s">
        <v>36</v>
      </c>
      <c r="G14" s="35" t="s">
        <v>38</v>
      </c>
      <c r="H14" s="35" t="s">
        <v>40</v>
      </c>
      <c r="I14" s="41">
        <v>2023</v>
      </c>
      <c r="J14" s="35" t="s">
        <v>41</v>
      </c>
      <c r="K14" s="34" t="s">
        <v>53</v>
      </c>
      <c r="L14" s="34" t="s">
        <v>29</v>
      </c>
      <c r="M14" s="37">
        <v>10489.01</v>
      </c>
      <c r="N14" s="46">
        <f t="shared" si="4"/>
        <v>5475.85</v>
      </c>
      <c r="O14" s="37" t="s">
        <v>43</v>
      </c>
      <c r="P14" s="37">
        <v>28016.705398000002</v>
      </c>
      <c r="Q14" s="42">
        <f t="shared" si="1"/>
        <v>2.6710533594686248</v>
      </c>
      <c r="R14" s="42">
        <f t="shared" si="1"/>
        <v>5.1164121365632731</v>
      </c>
      <c r="S14" s="71"/>
      <c r="T14" s="39" t="s">
        <v>55</v>
      </c>
    </row>
    <row r="15" spans="1:20" s="40" customFormat="1" ht="16" x14ac:dyDescent="0.2">
      <c r="A15" s="28">
        <v>11</v>
      </c>
      <c r="B15" s="34" t="s">
        <v>37</v>
      </c>
      <c r="C15" s="35" t="s">
        <v>35</v>
      </c>
      <c r="D15" s="35" t="s">
        <v>39</v>
      </c>
      <c r="E15" s="35" t="s">
        <v>45</v>
      </c>
      <c r="F15" s="35" t="s">
        <v>36</v>
      </c>
      <c r="G15" s="35" t="s">
        <v>38</v>
      </c>
      <c r="H15" s="35" t="s">
        <v>40</v>
      </c>
      <c r="I15" s="41">
        <v>2023</v>
      </c>
      <c r="J15" s="35" t="s">
        <v>41</v>
      </c>
      <c r="K15" s="34" t="s">
        <v>53</v>
      </c>
      <c r="L15" s="34" t="s">
        <v>30</v>
      </c>
      <c r="M15" s="37">
        <v>10489.01</v>
      </c>
      <c r="N15" s="46">
        <f t="shared" si="4"/>
        <v>5475.85</v>
      </c>
      <c r="O15" s="37" t="s">
        <v>43</v>
      </c>
      <c r="P15" s="37">
        <v>396204.02983016573</v>
      </c>
      <c r="Q15" s="42">
        <f t="shared" ref="Q15" si="5">$P15/M15</f>
        <v>37.773253131626888</v>
      </c>
      <c r="R15" s="42">
        <f t="shared" ref="R15" si="6">$P15/N15</f>
        <v>72.354799680445169</v>
      </c>
      <c r="S15" s="71"/>
      <c r="T15" s="39" t="s">
        <v>55</v>
      </c>
    </row>
    <row r="16" spans="1:20" s="40" customFormat="1" ht="16" x14ac:dyDescent="0.2">
      <c r="A16" s="28">
        <v>11</v>
      </c>
      <c r="B16" s="34" t="s">
        <v>37</v>
      </c>
      <c r="C16" s="35" t="s">
        <v>35</v>
      </c>
      <c r="D16" s="35" t="s">
        <v>39</v>
      </c>
      <c r="E16" s="35" t="s">
        <v>45</v>
      </c>
      <c r="F16" s="35" t="s">
        <v>36</v>
      </c>
      <c r="G16" s="35" t="s">
        <v>38</v>
      </c>
      <c r="H16" s="35" t="s">
        <v>40</v>
      </c>
      <c r="I16" s="41">
        <v>2023</v>
      </c>
      <c r="J16" s="35" t="s">
        <v>41</v>
      </c>
      <c r="K16" s="34" t="s">
        <v>53</v>
      </c>
      <c r="L16" s="34" t="s">
        <v>48</v>
      </c>
      <c r="M16" s="37">
        <v>10489.01</v>
      </c>
      <c r="N16" s="46">
        <f t="shared" si="4"/>
        <v>5475.85</v>
      </c>
      <c r="O16" s="37" t="s">
        <v>43</v>
      </c>
      <c r="P16" s="37">
        <v>3316812.7040999997</v>
      </c>
      <c r="Q16" s="42">
        <f t="shared" si="1"/>
        <v>316.21789893421777</v>
      </c>
      <c r="R16" s="42">
        <f t="shared" si="1"/>
        <v>605.71650138334678</v>
      </c>
      <c r="S16" s="71"/>
      <c r="T16" s="39" t="s">
        <v>55</v>
      </c>
    </row>
    <row r="17" spans="1:20" s="40" customFormat="1" ht="16" x14ac:dyDescent="0.2">
      <c r="A17" s="28">
        <v>12</v>
      </c>
      <c r="B17" s="34" t="s">
        <v>37</v>
      </c>
      <c r="C17" s="35" t="s">
        <v>35</v>
      </c>
      <c r="D17" s="35" t="s">
        <v>39</v>
      </c>
      <c r="E17" s="35" t="s">
        <v>45</v>
      </c>
      <c r="F17" s="35" t="s">
        <v>36</v>
      </c>
      <c r="G17" s="35" t="s">
        <v>38</v>
      </c>
      <c r="H17" s="35" t="s">
        <v>40</v>
      </c>
      <c r="I17" s="41">
        <v>2023</v>
      </c>
      <c r="J17" s="35" t="s">
        <v>41</v>
      </c>
      <c r="K17" s="34" t="s">
        <v>53</v>
      </c>
      <c r="L17" s="34" t="s">
        <v>33</v>
      </c>
      <c r="M17" s="37">
        <v>10489.01</v>
      </c>
      <c r="N17" s="46">
        <f t="shared" si="4"/>
        <v>5475.85</v>
      </c>
      <c r="O17" s="37" t="s">
        <v>43</v>
      </c>
      <c r="P17" s="37">
        <v>3222039.9316020003</v>
      </c>
      <c r="Q17" s="42">
        <f t="shared" si="1"/>
        <v>307.18246351199974</v>
      </c>
      <c r="R17" s="42">
        <f t="shared" si="1"/>
        <v>588.40909294483959</v>
      </c>
      <c r="S17" s="71"/>
      <c r="T17" s="39" t="s">
        <v>55</v>
      </c>
    </row>
    <row r="18" spans="1:20" s="1" customFormat="1" ht="16" x14ac:dyDescent="0.2">
      <c r="A18" s="28">
        <v>13</v>
      </c>
      <c r="B18" s="34" t="s">
        <v>37</v>
      </c>
      <c r="C18" s="35" t="s">
        <v>35</v>
      </c>
      <c r="D18" s="35" t="s">
        <v>39</v>
      </c>
      <c r="E18" s="35" t="s">
        <v>45</v>
      </c>
      <c r="F18" s="35" t="s">
        <v>36</v>
      </c>
      <c r="G18" s="35" t="s">
        <v>38</v>
      </c>
      <c r="H18" s="35" t="s">
        <v>40</v>
      </c>
      <c r="I18" s="41">
        <v>2023</v>
      </c>
      <c r="J18" s="35" t="s">
        <v>41</v>
      </c>
      <c r="K18" s="34" t="s">
        <v>53</v>
      </c>
      <c r="L18" s="34" t="s">
        <v>15</v>
      </c>
      <c r="M18" s="37">
        <v>10489.01</v>
      </c>
      <c r="N18" s="46">
        <f t="shared" si="4"/>
        <v>5475.85</v>
      </c>
      <c r="O18" s="37" t="s">
        <v>43</v>
      </c>
      <c r="P18" s="37">
        <v>0</v>
      </c>
      <c r="Q18" s="42">
        <f t="shared" si="1"/>
        <v>0</v>
      </c>
      <c r="R18" s="42">
        <f t="shared" si="1"/>
        <v>0</v>
      </c>
      <c r="S18" s="71"/>
      <c r="T18" s="39" t="s">
        <v>55</v>
      </c>
    </row>
    <row r="19" spans="1:20" s="1" customFormat="1" ht="16" x14ac:dyDescent="0.2">
      <c r="A19" s="28">
        <v>14</v>
      </c>
      <c r="B19" s="34" t="s">
        <v>37</v>
      </c>
      <c r="C19" s="35" t="s">
        <v>35</v>
      </c>
      <c r="D19" s="35" t="s">
        <v>39</v>
      </c>
      <c r="E19" s="35" t="s">
        <v>45</v>
      </c>
      <c r="F19" s="35" t="s">
        <v>36</v>
      </c>
      <c r="G19" s="35" t="s">
        <v>38</v>
      </c>
      <c r="H19" s="35" t="s">
        <v>40</v>
      </c>
      <c r="I19" s="41">
        <v>2023</v>
      </c>
      <c r="J19" s="35" t="s">
        <v>41</v>
      </c>
      <c r="K19" s="34" t="s">
        <v>53</v>
      </c>
      <c r="L19" s="34" t="s">
        <v>34</v>
      </c>
      <c r="M19" s="37">
        <v>10489.01</v>
      </c>
      <c r="N19" s="46">
        <f t="shared" si="4"/>
        <v>5475.85</v>
      </c>
      <c r="O19" s="37" t="s">
        <v>43</v>
      </c>
      <c r="P19" s="37">
        <v>1747151.4535000003</v>
      </c>
      <c r="Q19" s="42">
        <f t="shared" si="1"/>
        <v>166.56971949688295</v>
      </c>
      <c r="R19" s="42">
        <f t="shared" si="1"/>
        <v>319.06488554288376</v>
      </c>
      <c r="S19" s="72"/>
      <c r="T19" s="39" t="s">
        <v>55</v>
      </c>
    </row>
    <row r="20" spans="1:20" s="1" customFormat="1" ht="16" x14ac:dyDescent="0.2">
      <c r="A20" s="28">
        <v>15</v>
      </c>
      <c r="B20" s="24" t="s">
        <v>37</v>
      </c>
      <c r="C20" s="26" t="s">
        <v>35</v>
      </c>
      <c r="D20" s="26" t="s">
        <v>39</v>
      </c>
      <c r="E20" s="26" t="s">
        <v>45</v>
      </c>
      <c r="F20" s="26" t="s">
        <v>36</v>
      </c>
      <c r="G20" s="26" t="s">
        <v>38</v>
      </c>
      <c r="H20" s="26" t="s">
        <v>40</v>
      </c>
      <c r="I20" s="33">
        <v>2023</v>
      </c>
      <c r="J20" s="26" t="s">
        <v>41</v>
      </c>
      <c r="K20" s="24" t="s">
        <v>54</v>
      </c>
      <c r="L20" s="24" t="s">
        <v>27</v>
      </c>
      <c r="M20" s="30">
        <v>3548.58</v>
      </c>
      <c r="N20" s="47">
        <f t="shared" ref="N20:N27" si="7">1589.59+1592.06+111.75</f>
        <v>3293.3999999999996</v>
      </c>
      <c r="O20" s="30" t="s">
        <v>43</v>
      </c>
      <c r="P20" s="30">
        <v>1101270.4924546059</v>
      </c>
      <c r="Q20" s="25">
        <f t="shared" si="1"/>
        <v>310.34117659869747</v>
      </c>
      <c r="R20" s="25">
        <f t="shared" si="1"/>
        <v>334.38710525736502</v>
      </c>
      <c r="S20" s="67" t="s">
        <v>9</v>
      </c>
      <c r="T20" s="23" t="s">
        <v>55</v>
      </c>
    </row>
    <row r="21" spans="1:20" s="1" customFormat="1" ht="16" x14ac:dyDescent="0.2">
      <c r="A21" s="28">
        <v>16</v>
      </c>
      <c r="B21" s="24" t="s">
        <v>37</v>
      </c>
      <c r="C21" s="26" t="s">
        <v>35</v>
      </c>
      <c r="D21" s="26" t="s">
        <v>39</v>
      </c>
      <c r="E21" s="26" t="s">
        <v>45</v>
      </c>
      <c r="F21" s="26" t="s">
        <v>36</v>
      </c>
      <c r="G21" s="26" t="s">
        <v>38</v>
      </c>
      <c r="H21" s="26" t="s">
        <v>40</v>
      </c>
      <c r="I21" s="33">
        <v>2023</v>
      </c>
      <c r="J21" s="26" t="s">
        <v>41</v>
      </c>
      <c r="K21" s="24" t="s">
        <v>54</v>
      </c>
      <c r="L21" s="24" t="s">
        <v>28</v>
      </c>
      <c r="M21" s="30">
        <v>3548.58</v>
      </c>
      <c r="N21" s="47">
        <f t="shared" si="7"/>
        <v>3293.3999999999996</v>
      </c>
      <c r="O21" s="30" t="s">
        <v>43</v>
      </c>
      <c r="P21" s="30">
        <v>1518242.9231000005</v>
      </c>
      <c r="Q21" s="25">
        <f t="shared" si="1"/>
        <v>427.84520092544074</v>
      </c>
      <c r="R21" s="25">
        <f t="shared" si="1"/>
        <v>460.99560426914456</v>
      </c>
      <c r="S21" s="68"/>
      <c r="T21" s="23" t="s">
        <v>55</v>
      </c>
    </row>
    <row r="22" spans="1:20" s="1" customFormat="1" ht="16" x14ac:dyDescent="0.2">
      <c r="A22" s="28">
        <v>17</v>
      </c>
      <c r="B22" s="24" t="s">
        <v>37</v>
      </c>
      <c r="C22" s="26" t="s">
        <v>35</v>
      </c>
      <c r="D22" s="26" t="s">
        <v>39</v>
      </c>
      <c r="E22" s="26" t="s">
        <v>45</v>
      </c>
      <c r="F22" s="26" t="s">
        <v>36</v>
      </c>
      <c r="G22" s="26" t="s">
        <v>38</v>
      </c>
      <c r="H22" s="26" t="s">
        <v>40</v>
      </c>
      <c r="I22" s="33">
        <v>2023</v>
      </c>
      <c r="J22" s="26" t="s">
        <v>41</v>
      </c>
      <c r="K22" s="24" t="s">
        <v>54</v>
      </c>
      <c r="L22" s="24" t="s">
        <v>29</v>
      </c>
      <c r="M22" s="30">
        <v>3548.58</v>
      </c>
      <c r="N22" s="47">
        <f t="shared" si="7"/>
        <v>3293.3999999999996</v>
      </c>
      <c r="O22" s="30" t="s">
        <v>43</v>
      </c>
      <c r="P22" s="30">
        <v>23212.118511999997</v>
      </c>
      <c r="Q22" s="25">
        <f t="shared" si="1"/>
        <v>6.541241429529558</v>
      </c>
      <c r="R22" s="25">
        <f t="shared" si="1"/>
        <v>7.0480714495657981</v>
      </c>
      <c r="S22" s="68"/>
      <c r="T22" s="23" t="s">
        <v>55</v>
      </c>
    </row>
    <row r="23" spans="1:20" s="1" customFormat="1" ht="16" x14ac:dyDescent="0.2">
      <c r="A23" s="28">
        <v>18</v>
      </c>
      <c r="B23" s="24" t="s">
        <v>37</v>
      </c>
      <c r="C23" s="26" t="s">
        <v>35</v>
      </c>
      <c r="D23" s="26" t="s">
        <v>39</v>
      </c>
      <c r="E23" s="26" t="s">
        <v>45</v>
      </c>
      <c r="F23" s="26" t="s">
        <v>36</v>
      </c>
      <c r="G23" s="26" t="s">
        <v>38</v>
      </c>
      <c r="H23" s="26" t="s">
        <v>40</v>
      </c>
      <c r="I23" s="33">
        <v>2023</v>
      </c>
      <c r="J23" s="26" t="s">
        <v>41</v>
      </c>
      <c r="K23" s="24" t="s">
        <v>54</v>
      </c>
      <c r="L23" s="24" t="s">
        <v>30</v>
      </c>
      <c r="M23" s="30">
        <v>3548.58</v>
      </c>
      <c r="N23" s="47">
        <f t="shared" si="7"/>
        <v>3293.3999999999996</v>
      </c>
      <c r="O23" s="30" t="s">
        <v>43</v>
      </c>
      <c r="P23" s="30">
        <v>246046.01314260994</v>
      </c>
      <c r="Q23" s="25">
        <f t="shared" ref="Q23" si="8">$P23/M23</f>
        <v>69.336470684783762</v>
      </c>
      <c r="R23" s="25">
        <f t="shared" ref="R23" si="9">$P23/N23</f>
        <v>74.708815553109233</v>
      </c>
      <c r="S23" s="68"/>
      <c r="T23" s="23" t="s">
        <v>55</v>
      </c>
    </row>
    <row r="24" spans="1:20" s="1" customFormat="1" ht="16" x14ac:dyDescent="0.2">
      <c r="A24" s="28">
        <v>18</v>
      </c>
      <c r="B24" s="24" t="s">
        <v>37</v>
      </c>
      <c r="C24" s="26" t="s">
        <v>35</v>
      </c>
      <c r="D24" s="26" t="s">
        <v>39</v>
      </c>
      <c r="E24" s="26" t="s">
        <v>45</v>
      </c>
      <c r="F24" s="26" t="s">
        <v>36</v>
      </c>
      <c r="G24" s="26" t="s">
        <v>38</v>
      </c>
      <c r="H24" s="26" t="s">
        <v>40</v>
      </c>
      <c r="I24" s="33">
        <v>2023</v>
      </c>
      <c r="J24" s="26" t="s">
        <v>41</v>
      </c>
      <c r="K24" s="24" t="s">
        <v>54</v>
      </c>
      <c r="L24" s="24" t="s">
        <v>48</v>
      </c>
      <c r="M24" s="30">
        <v>3548.58</v>
      </c>
      <c r="N24" s="47">
        <f t="shared" si="7"/>
        <v>3293.3999999999996</v>
      </c>
      <c r="O24" s="30" t="s">
        <v>43</v>
      </c>
      <c r="P24" s="30">
        <v>2172698.5892999996</v>
      </c>
      <c r="Q24" s="25">
        <f t="shared" si="1"/>
        <v>612.27268070608511</v>
      </c>
      <c r="R24" s="25">
        <f t="shared" si="1"/>
        <v>659.7129377846602</v>
      </c>
      <c r="S24" s="68"/>
      <c r="T24" s="23" t="s">
        <v>55</v>
      </c>
    </row>
    <row r="25" spans="1:20" s="1" customFormat="1" ht="16" x14ac:dyDescent="0.2">
      <c r="A25" s="28">
        <v>19</v>
      </c>
      <c r="B25" s="24" t="s">
        <v>37</v>
      </c>
      <c r="C25" s="26" t="s">
        <v>35</v>
      </c>
      <c r="D25" s="26" t="s">
        <v>39</v>
      </c>
      <c r="E25" s="26" t="s">
        <v>45</v>
      </c>
      <c r="F25" s="26" t="s">
        <v>36</v>
      </c>
      <c r="G25" s="26" t="s">
        <v>38</v>
      </c>
      <c r="H25" s="26" t="s">
        <v>40</v>
      </c>
      <c r="I25" s="33">
        <v>2023</v>
      </c>
      <c r="J25" s="26" t="s">
        <v>41</v>
      </c>
      <c r="K25" s="24" t="s">
        <v>54</v>
      </c>
      <c r="L25" s="24" t="s">
        <v>33</v>
      </c>
      <c r="M25" s="30">
        <v>3548.58</v>
      </c>
      <c r="N25" s="47">
        <f t="shared" si="7"/>
        <v>3293.3999999999996</v>
      </c>
      <c r="O25" s="30" t="s">
        <v>43</v>
      </c>
      <c r="P25" s="30">
        <v>1057154.9883665999</v>
      </c>
      <c r="Q25" s="25">
        <f t="shared" si="1"/>
        <v>297.90930128857173</v>
      </c>
      <c r="R25" s="25">
        <f t="shared" si="1"/>
        <v>320.99198043559846</v>
      </c>
      <c r="S25" s="68"/>
      <c r="T25" s="23" t="s">
        <v>55</v>
      </c>
    </row>
    <row r="26" spans="1:20" s="1" customFormat="1" ht="16" x14ac:dyDescent="0.2">
      <c r="A26" s="28">
        <v>20</v>
      </c>
      <c r="B26" s="24" t="s">
        <v>37</v>
      </c>
      <c r="C26" s="26" t="s">
        <v>35</v>
      </c>
      <c r="D26" s="26" t="s">
        <v>39</v>
      </c>
      <c r="E26" s="26" t="s">
        <v>45</v>
      </c>
      <c r="F26" s="26" t="s">
        <v>36</v>
      </c>
      <c r="G26" s="26" t="s">
        <v>38</v>
      </c>
      <c r="H26" s="26" t="s">
        <v>40</v>
      </c>
      <c r="I26" s="33">
        <v>2023</v>
      </c>
      <c r="J26" s="26" t="s">
        <v>41</v>
      </c>
      <c r="K26" s="24" t="s">
        <v>54</v>
      </c>
      <c r="L26" s="24" t="s">
        <v>15</v>
      </c>
      <c r="M26" s="30">
        <v>3548.58</v>
      </c>
      <c r="N26" s="47">
        <f t="shared" si="7"/>
        <v>3293.3999999999996</v>
      </c>
      <c r="O26" s="30" t="s">
        <v>43</v>
      </c>
      <c r="P26" s="30">
        <v>0</v>
      </c>
      <c r="Q26" s="25">
        <f t="shared" si="1"/>
        <v>0</v>
      </c>
      <c r="R26" s="25">
        <f t="shared" si="1"/>
        <v>0</v>
      </c>
      <c r="S26" s="68"/>
      <c r="T26" s="23" t="s">
        <v>55</v>
      </c>
    </row>
    <row r="27" spans="1:20" s="1" customFormat="1" ht="16" x14ac:dyDescent="0.2">
      <c r="A27" s="28">
        <v>21</v>
      </c>
      <c r="B27" s="24" t="s">
        <v>37</v>
      </c>
      <c r="C27" s="26" t="s">
        <v>35</v>
      </c>
      <c r="D27" s="26" t="s">
        <v>39</v>
      </c>
      <c r="E27" s="26" t="s">
        <v>45</v>
      </c>
      <c r="F27" s="26" t="s">
        <v>36</v>
      </c>
      <c r="G27" s="26" t="s">
        <v>38</v>
      </c>
      <c r="H27" s="26" t="s">
        <v>40</v>
      </c>
      <c r="I27" s="33">
        <v>2023</v>
      </c>
      <c r="J27" s="26" t="s">
        <v>41</v>
      </c>
      <c r="K27" s="24" t="s">
        <v>54</v>
      </c>
      <c r="L27" s="24" t="s">
        <v>34</v>
      </c>
      <c r="M27" s="30">
        <v>3548.58</v>
      </c>
      <c r="N27" s="47">
        <f t="shared" si="7"/>
        <v>3293.3999999999996</v>
      </c>
      <c r="O27" s="30" t="s">
        <v>43</v>
      </c>
      <c r="P27" s="30">
        <v>1460707.0879000002</v>
      </c>
      <c r="Q27" s="25">
        <f t="shared" si="1"/>
        <v>411.63143789910333</v>
      </c>
      <c r="R27" s="25">
        <f t="shared" si="1"/>
        <v>443.52556261006873</v>
      </c>
      <c r="S27" s="69"/>
      <c r="T27" s="23" t="s">
        <v>55</v>
      </c>
    </row>
    <row r="28" spans="1:20" s="49" customFormat="1" ht="16" x14ac:dyDescent="0.2">
      <c r="A28" s="28">
        <v>22</v>
      </c>
      <c r="B28" s="34" t="s">
        <v>37</v>
      </c>
      <c r="C28" s="35" t="s">
        <v>35</v>
      </c>
      <c r="D28" s="35" t="s">
        <v>39</v>
      </c>
      <c r="E28" s="35"/>
      <c r="F28" s="35" t="s">
        <v>62</v>
      </c>
      <c r="G28" s="35" t="s">
        <v>68</v>
      </c>
      <c r="H28" s="35" t="s">
        <v>40</v>
      </c>
      <c r="I28" s="41">
        <v>2024</v>
      </c>
      <c r="J28" s="35" t="s">
        <v>63</v>
      </c>
      <c r="K28" s="34" t="s">
        <v>10</v>
      </c>
      <c r="L28" s="34" t="s">
        <v>27</v>
      </c>
      <c r="M28" s="37">
        <v>3016</v>
      </c>
      <c r="N28" s="48">
        <v>2276</v>
      </c>
      <c r="O28" s="37" t="s">
        <v>43</v>
      </c>
      <c r="P28" s="37">
        <v>760231.62</v>
      </c>
      <c r="Q28" s="42">
        <f t="shared" ref="Q28:R28" si="10">$P28/M28</f>
        <v>252.06618700265253</v>
      </c>
      <c r="R28" s="42">
        <f t="shared" si="10"/>
        <v>334.02092267135328</v>
      </c>
      <c r="S28" s="70" t="s">
        <v>14</v>
      </c>
      <c r="T28" s="39" t="s">
        <v>55</v>
      </c>
    </row>
    <row r="29" spans="1:20" s="49" customFormat="1" ht="16" x14ac:dyDescent="0.2">
      <c r="A29" s="28">
        <v>23</v>
      </c>
      <c r="B29" s="34" t="s">
        <v>37</v>
      </c>
      <c r="C29" s="35" t="s">
        <v>35</v>
      </c>
      <c r="D29" s="35" t="s">
        <v>39</v>
      </c>
      <c r="E29" s="35"/>
      <c r="F29" s="35" t="s">
        <v>62</v>
      </c>
      <c r="G29" s="35" t="s">
        <v>68</v>
      </c>
      <c r="H29" s="35" t="s">
        <v>40</v>
      </c>
      <c r="I29" s="41">
        <v>2024</v>
      </c>
      <c r="J29" s="35" t="s">
        <v>63</v>
      </c>
      <c r="K29" s="34" t="s">
        <v>10</v>
      </c>
      <c r="L29" s="34" t="s">
        <v>28</v>
      </c>
      <c r="M29" s="37">
        <v>3016</v>
      </c>
      <c r="N29" s="48">
        <v>2276</v>
      </c>
      <c r="O29" s="37" t="s">
        <v>43</v>
      </c>
      <c r="P29" s="37">
        <v>752794</v>
      </c>
      <c r="Q29" s="42">
        <f t="shared" ref="Q29:R51" si="11">$P29/M29</f>
        <v>249.60013262599469</v>
      </c>
      <c r="R29" s="42">
        <f t="shared" si="11"/>
        <v>330.75307557117753</v>
      </c>
      <c r="S29" s="71"/>
      <c r="T29" s="39" t="s">
        <v>55</v>
      </c>
    </row>
    <row r="30" spans="1:20" s="49" customFormat="1" ht="16" x14ac:dyDescent="0.2">
      <c r="A30" s="28">
        <v>24</v>
      </c>
      <c r="B30" s="34" t="s">
        <v>37</v>
      </c>
      <c r="C30" s="35" t="s">
        <v>35</v>
      </c>
      <c r="D30" s="35" t="s">
        <v>39</v>
      </c>
      <c r="E30" s="35"/>
      <c r="F30" s="35" t="s">
        <v>62</v>
      </c>
      <c r="G30" s="35" t="s">
        <v>68</v>
      </c>
      <c r="H30" s="35" t="s">
        <v>40</v>
      </c>
      <c r="I30" s="41">
        <v>2024</v>
      </c>
      <c r="J30" s="35" t="s">
        <v>63</v>
      </c>
      <c r="K30" s="34" t="s">
        <v>10</v>
      </c>
      <c r="L30" s="34" t="s">
        <v>29</v>
      </c>
      <c r="M30" s="37">
        <v>3016</v>
      </c>
      <c r="N30" s="48">
        <v>2276</v>
      </c>
      <c r="O30" s="37" t="s">
        <v>43</v>
      </c>
      <c r="P30" s="37">
        <v>21930</v>
      </c>
      <c r="Q30" s="42">
        <f t="shared" si="11"/>
        <v>7.271220159151194</v>
      </c>
      <c r="R30" s="42">
        <f t="shared" si="11"/>
        <v>9.6353251318101929</v>
      </c>
      <c r="S30" s="71"/>
      <c r="T30" s="39" t="s">
        <v>55</v>
      </c>
    </row>
    <row r="31" spans="1:20" s="49" customFormat="1" ht="16" x14ac:dyDescent="0.2">
      <c r="A31" s="28">
        <v>25</v>
      </c>
      <c r="B31" s="34" t="s">
        <v>37</v>
      </c>
      <c r="C31" s="35" t="s">
        <v>35</v>
      </c>
      <c r="D31" s="35" t="s">
        <v>39</v>
      </c>
      <c r="E31" s="35"/>
      <c r="F31" s="35" t="s">
        <v>62</v>
      </c>
      <c r="G31" s="35" t="s">
        <v>68</v>
      </c>
      <c r="H31" s="35" t="s">
        <v>40</v>
      </c>
      <c r="I31" s="41">
        <v>2024</v>
      </c>
      <c r="J31" s="35" t="s">
        <v>63</v>
      </c>
      <c r="K31" s="34" t="s">
        <v>10</v>
      </c>
      <c r="L31" s="34" t="s">
        <v>30</v>
      </c>
      <c r="M31" s="37">
        <v>3016</v>
      </c>
      <c r="N31" s="48">
        <v>2276</v>
      </c>
      <c r="O31" s="37" t="s">
        <v>43</v>
      </c>
      <c r="P31" s="37">
        <v>143915</v>
      </c>
      <c r="Q31" s="42">
        <f t="shared" ref="Q31" si="12">$P31/M31</f>
        <v>47.717175066312997</v>
      </c>
      <c r="R31" s="42">
        <f t="shared" ref="R31" si="13">$P31/N31</f>
        <v>63.231546572934974</v>
      </c>
      <c r="S31" s="71"/>
      <c r="T31" s="39" t="s">
        <v>55</v>
      </c>
    </row>
    <row r="32" spans="1:20" s="49" customFormat="1" ht="16" x14ac:dyDescent="0.2">
      <c r="A32" s="28">
        <v>25</v>
      </c>
      <c r="B32" s="34" t="s">
        <v>37</v>
      </c>
      <c r="C32" s="35" t="s">
        <v>35</v>
      </c>
      <c r="D32" s="35" t="s">
        <v>39</v>
      </c>
      <c r="E32" s="35"/>
      <c r="F32" s="35" t="s">
        <v>62</v>
      </c>
      <c r="G32" s="35" t="s">
        <v>68</v>
      </c>
      <c r="H32" s="35" t="s">
        <v>40</v>
      </c>
      <c r="I32" s="41">
        <v>2024</v>
      </c>
      <c r="J32" s="35" t="s">
        <v>63</v>
      </c>
      <c r="K32" s="34" t="s">
        <v>10</v>
      </c>
      <c r="L32" s="34" t="s">
        <v>48</v>
      </c>
      <c r="M32" s="37">
        <v>3016</v>
      </c>
      <c r="N32" s="48">
        <v>2276</v>
      </c>
      <c r="O32" s="37" t="s">
        <v>43</v>
      </c>
      <c r="P32" s="37">
        <v>1694120</v>
      </c>
      <c r="Q32" s="42">
        <f t="shared" si="11"/>
        <v>561.71087533156503</v>
      </c>
      <c r="R32" s="42">
        <f t="shared" si="11"/>
        <v>744.34094903339189</v>
      </c>
      <c r="S32" s="71"/>
      <c r="T32" s="39" t="s">
        <v>55</v>
      </c>
    </row>
    <row r="33" spans="1:20" s="49" customFormat="1" ht="16" x14ac:dyDescent="0.2">
      <c r="A33" s="28">
        <v>26</v>
      </c>
      <c r="B33" s="34" t="s">
        <v>37</v>
      </c>
      <c r="C33" s="35" t="s">
        <v>35</v>
      </c>
      <c r="D33" s="35" t="s">
        <v>39</v>
      </c>
      <c r="E33" s="35"/>
      <c r="F33" s="35" t="s">
        <v>62</v>
      </c>
      <c r="G33" s="35" t="s">
        <v>68</v>
      </c>
      <c r="H33" s="35" t="s">
        <v>40</v>
      </c>
      <c r="I33" s="41">
        <v>2024</v>
      </c>
      <c r="J33" s="35" t="s">
        <v>63</v>
      </c>
      <c r="K33" s="34" t="s">
        <v>10</v>
      </c>
      <c r="L33" s="34" t="s">
        <v>33</v>
      </c>
      <c r="M33" s="37">
        <v>3016</v>
      </c>
      <c r="N33" s="48">
        <v>2276</v>
      </c>
      <c r="O33" s="37" t="s">
        <v>43</v>
      </c>
      <c r="P33" s="37">
        <v>0</v>
      </c>
      <c r="Q33" s="42">
        <f t="shared" si="11"/>
        <v>0</v>
      </c>
      <c r="R33" s="42">
        <f t="shared" si="11"/>
        <v>0</v>
      </c>
      <c r="S33" s="71"/>
      <c r="T33" s="39" t="s">
        <v>55</v>
      </c>
    </row>
    <row r="34" spans="1:20" s="49" customFormat="1" ht="16" x14ac:dyDescent="0.2">
      <c r="A34" s="28">
        <v>27</v>
      </c>
      <c r="B34" s="34" t="s">
        <v>37</v>
      </c>
      <c r="C34" s="35" t="s">
        <v>35</v>
      </c>
      <c r="D34" s="35" t="s">
        <v>39</v>
      </c>
      <c r="E34" s="35"/>
      <c r="F34" s="35" t="s">
        <v>62</v>
      </c>
      <c r="G34" s="35" t="s">
        <v>68</v>
      </c>
      <c r="H34" s="35" t="s">
        <v>40</v>
      </c>
      <c r="I34" s="41">
        <v>2024</v>
      </c>
      <c r="J34" s="35" t="s">
        <v>63</v>
      </c>
      <c r="K34" s="34" t="s">
        <v>10</v>
      </c>
      <c r="L34" s="34" t="s">
        <v>15</v>
      </c>
      <c r="M34" s="37">
        <v>3016</v>
      </c>
      <c r="N34" s="48">
        <v>2276</v>
      </c>
      <c r="O34" s="37" t="s">
        <v>43</v>
      </c>
      <c r="P34" s="37">
        <v>257450</v>
      </c>
      <c r="Q34" s="42">
        <f t="shared" si="11"/>
        <v>85.361405835543763</v>
      </c>
      <c r="R34" s="42">
        <f t="shared" si="11"/>
        <v>113.11511423550088</v>
      </c>
      <c r="S34" s="71"/>
      <c r="T34" s="39" t="s">
        <v>55</v>
      </c>
    </row>
    <row r="35" spans="1:20" s="49" customFormat="1" ht="16" x14ac:dyDescent="0.2">
      <c r="A35" s="28">
        <v>28</v>
      </c>
      <c r="B35" s="34" t="s">
        <v>37</v>
      </c>
      <c r="C35" s="35" t="s">
        <v>35</v>
      </c>
      <c r="D35" s="35" t="s">
        <v>39</v>
      </c>
      <c r="E35" s="35"/>
      <c r="F35" s="35" t="s">
        <v>62</v>
      </c>
      <c r="G35" s="35" t="s">
        <v>68</v>
      </c>
      <c r="H35" s="35" t="s">
        <v>40</v>
      </c>
      <c r="I35" s="41">
        <v>2024</v>
      </c>
      <c r="J35" s="35" t="s">
        <v>63</v>
      </c>
      <c r="K35" s="34" t="s">
        <v>10</v>
      </c>
      <c r="L35" s="34" t="s">
        <v>34</v>
      </c>
      <c r="M35" s="37">
        <v>3016</v>
      </c>
      <c r="N35" s="48">
        <v>2276</v>
      </c>
      <c r="O35" s="37" t="s">
        <v>43</v>
      </c>
      <c r="P35" s="37">
        <v>1353300</v>
      </c>
      <c r="Q35" s="42">
        <f t="shared" si="11"/>
        <v>448.70689655172413</v>
      </c>
      <c r="R35" s="42">
        <f t="shared" si="11"/>
        <v>594.59578207381367</v>
      </c>
      <c r="S35" s="72"/>
      <c r="T35" s="39" t="s">
        <v>55</v>
      </c>
    </row>
    <row r="36" spans="1:20" ht="16" x14ac:dyDescent="0.2">
      <c r="A36" s="28">
        <v>29</v>
      </c>
      <c r="B36" s="24" t="s">
        <v>37</v>
      </c>
      <c r="C36" s="26" t="s">
        <v>35</v>
      </c>
      <c r="D36" s="26" t="s">
        <v>39</v>
      </c>
      <c r="E36" s="26"/>
      <c r="F36" s="26" t="s">
        <v>62</v>
      </c>
      <c r="G36" s="26" t="s">
        <v>68</v>
      </c>
      <c r="H36" s="26" t="s">
        <v>40</v>
      </c>
      <c r="I36" s="33">
        <v>2024</v>
      </c>
      <c r="J36" s="24" t="s">
        <v>63</v>
      </c>
      <c r="K36" s="24" t="s">
        <v>11</v>
      </c>
      <c r="L36" s="24" t="s">
        <v>27</v>
      </c>
      <c r="M36" s="50">
        <v>13280</v>
      </c>
      <c r="N36" s="51">
        <v>12361</v>
      </c>
      <c r="O36" s="50" t="s">
        <v>43</v>
      </c>
      <c r="P36" s="50">
        <v>3628068.84</v>
      </c>
      <c r="Q36" s="52">
        <f t="shared" si="11"/>
        <v>273.19795481927707</v>
      </c>
      <c r="R36" s="52">
        <f t="shared" si="11"/>
        <v>293.50933096027831</v>
      </c>
      <c r="S36" s="67" t="s">
        <v>13</v>
      </c>
      <c r="T36" s="23" t="s">
        <v>55</v>
      </c>
    </row>
    <row r="37" spans="1:20" ht="16" x14ac:dyDescent="0.2">
      <c r="A37" s="28">
        <v>30</v>
      </c>
      <c r="B37" s="24" t="s">
        <v>37</v>
      </c>
      <c r="C37" s="26" t="s">
        <v>35</v>
      </c>
      <c r="D37" s="26" t="s">
        <v>39</v>
      </c>
      <c r="E37" s="26"/>
      <c r="F37" s="26" t="s">
        <v>62</v>
      </c>
      <c r="G37" s="26" t="s">
        <v>68</v>
      </c>
      <c r="H37" s="26" t="s">
        <v>40</v>
      </c>
      <c r="I37" s="33">
        <v>2024</v>
      </c>
      <c r="J37" s="24" t="s">
        <v>63</v>
      </c>
      <c r="K37" s="24" t="s">
        <v>11</v>
      </c>
      <c r="L37" s="24" t="s">
        <v>28</v>
      </c>
      <c r="M37" s="50">
        <v>13280</v>
      </c>
      <c r="N37" s="51">
        <v>12361</v>
      </c>
      <c r="O37" s="50" t="s">
        <v>43</v>
      </c>
      <c r="P37" s="50">
        <v>5099913</v>
      </c>
      <c r="Q37" s="52">
        <f t="shared" si="11"/>
        <v>384.02959337349398</v>
      </c>
      <c r="R37" s="52">
        <f t="shared" si="11"/>
        <v>412.58094005339376</v>
      </c>
      <c r="S37" s="68"/>
      <c r="T37" s="23" t="s">
        <v>55</v>
      </c>
    </row>
    <row r="38" spans="1:20" ht="16" x14ac:dyDescent="0.2">
      <c r="A38" s="28">
        <v>31</v>
      </c>
      <c r="B38" s="24" t="s">
        <v>37</v>
      </c>
      <c r="C38" s="26" t="s">
        <v>35</v>
      </c>
      <c r="D38" s="26" t="s">
        <v>39</v>
      </c>
      <c r="E38" s="26"/>
      <c r="F38" s="26" t="s">
        <v>62</v>
      </c>
      <c r="G38" s="26" t="s">
        <v>68</v>
      </c>
      <c r="H38" s="26" t="s">
        <v>40</v>
      </c>
      <c r="I38" s="33">
        <v>2024</v>
      </c>
      <c r="J38" s="24" t="s">
        <v>63</v>
      </c>
      <c r="K38" s="24" t="s">
        <v>11</v>
      </c>
      <c r="L38" s="24" t="s">
        <v>29</v>
      </c>
      <c r="M38" s="50">
        <v>13280</v>
      </c>
      <c r="N38" s="51">
        <v>12361</v>
      </c>
      <c r="O38" s="50" t="s">
        <v>43</v>
      </c>
      <c r="P38" s="50">
        <v>83420</v>
      </c>
      <c r="Q38" s="52">
        <f t="shared" si="11"/>
        <v>6.2816265060240966</v>
      </c>
      <c r="R38" s="52">
        <f t="shared" si="11"/>
        <v>6.7486449316398351</v>
      </c>
      <c r="S38" s="68"/>
      <c r="T38" s="23" t="s">
        <v>55</v>
      </c>
    </row>
    <row r="39" spans="1:20" ht="16" x14ac:dyDescent="0.2">
      <c r="A39" s="28">
        <v>32</v>
      </c>
      <c r="B39" s="24" t="s">
        <v>37</v>
      </c>
      <c r="C39" s="26" t="s">
        <v>35</v>
      </c>
      <c r="D39" s="26" t="s">
        <v>39</v>
      </c>
      <c r="E39" s="26"/>
      <c r="F39" s="26" t="s">
        <v>62</v>
      </c>
      <c r="G39" s="26" t="s">
        <v>68</v>
      </c>
      <c r="H39" s="26" t="s">
        <v>40</v>
      </c>
      <c r="I39" s="33">
        <v>2024</v>
      </c>
      <c r="J39" s="24" t="s">
        <v>63</v>
      </c>
      <c r="K39" s="24" t="s">
        <v>11</v>
      </c>
      <c r="L39" s="24" t="s">
        <v>30</v>
      </c>
      <c r="M39" s="50">
        <v>13280</v>
      </c>
      <c r="N39" s="51">
        <v>12361</v>
      </c>
      <c r="O39" s="50" t="s">
        <v>43</v>
      </c>
      <c r="P39" s="50">
        <v>732745</v>
      </c>
      <c r="Q39" s="52">
        <f t="shared" ref="Q39" si="14">$P39/M39</f>
        <v>55.176581325301207</v>
      </c>
      <c r="R39" s="52">
        <f t="shared" ref="R39" si="15">$P39/N39</f>
        <v>59.278780033977831</v>
      </c>
      <c r="S39" s="68"/>
      <c r="T39" s="23" t="s">
        <v>55</v>
      </c>
    </row>
    <row r="40" spans="1:20" ht="16" x14ac:dyDescent="0.2">
      <c r="A40" s="28">
        <v>32</v>
      </c>
      <c r="B40" s="24" t="s">
        <v>37</v>
      </c>
      <c r="C40" s="26" t="s">
        <v>35</v>
      </c>
      <c r="D40" s="26" t="s">
        <v>39</v>
      </c>
      <c r="E40" s="26"/>
      <c r="F40" s="26" t="s">
        <v>62</v>
      </c>
      <c r="G40" s="26" t="s">
        <v>68</v>
      </c>
      <c r="H40" s="26" t="s">
        <v>40</v>
      </c>
      <c r="I40" s="33">
        <v>2024</v>
      </c>
      <c r="J40" s="24" t="s">
        <v>63</v>
      </c>
      <c r="K40" s="24" t="s">
        <v>11</v>
      </c>
      <c r="L40" s="24" t="s">
        <v>48</v>
      </c>
      <c r="M40" s="50">
        <v>13280</v>
      </c>
      <c r="N40" s="51">
        <v>12361</v>
      </c>
      <c r="O40" s="50" t="s">
        <v>43</v>
      </c>
      <c r="P40" s="50">
        <v>8523560</v>
      </c>
      <c r="Q40" s="52">
        <f t="shared" si="11"/>
        <v>641.83433734939763</v>
      </c>
      <c r="R40" s="52">
        <f t="shared" si="11"/>
        <v>689.55262519213659</v>
      </c>
      <c r="S40" s="68"/>
      <c r="T40" s="23" t="s">
        <v>55</v>
      </c>
    </row>
    <row r="41" spans="1:20" ht="16" x14ac:dyDescent="0.2">
      <c r="A41" s="28">
        <v>33</v>
      </c>
      <c r="B41" s="24" t="s">
        <v>37</v>
      </c>
      <c r="C41" s="26" t="s">
        <v>35</v>
      </c>
      <c r="D41" s="26" t="s">
        <v>39</v>
      </c>
      <c r="E41" s="26"/>
      <c r="F41" s="26" t="s">
        <v>62</v>
      </c>
      <c r="G41" s="26" t="s">
        <v>68</v>
      </c>
      <c r="H41" s="26" t="s">
        <v>40</v>
      </c>
      <c r="I41" s="33">
        <v>2024</v>
      </c>
      <c r="J41" s="24" t="s">
        <v>63</v>
      </c>
      <c r="K41" s="24" t="s">
        <v>11</v>
      </c>
      <c r="L41" s="24" t="s">
        <v>33</v>
      </c>
      <c r="M41" s="50">
        <v>13280</v>
      </c>
      <c r="N41" s="51">
        <v>12361</v>
      </c>
      <c r="O41" s="50" t="s">
        <v>43</v>
      </c>
      <c r="P41" s="50">
        <v>0</v>
      </c>
      <c r="Q41" s="52">
        <f t="shared" si="11"/>
        <v>0</v>
      </c>
      <c r="R41" s="52">
        <f t="shared" si="11"/>
        <v>0</v>
      </c>
      <c r="S41" s="68"/>
      <c r="T41" s="23" t="s">
        <v>55</v>
      </c>
    </row>
    <row r="42" spans="1:20" ht="16" x14ac:dyDescent="0.2">
      <c r="A42" s="28">
        <v>34</v>
      </c>
      <c r="B42" s="24" t="s">
        <v>37</v>
      </c>
      <c r="C42" s="26" t="s">
        <v>35</v>
      </c>
      <c r="D42" s="26" t="s">
        <v>39</v>
      </c>
      <c r="E42" s="26"/>
      <c r="F42" s="26" t="s">
        <v>62</v>
      </c>
      <c r="G42" s="26" t="s">
        <v>68</v>
      </c>
      <c r="H42" s="26" t="s">
        <v>40</v>
      </c>
      <c r="I42" s="33">
        <v>2024</v>
      </c>
      <c r="J42" s="24" t="s">
        <v>63</v>
      </c>
      <c r="K42" s="24" t="s">
        <v>11</v>
      </c>
      <c r="L42" s="24" t="s">
        <v>15</v>
      </c>
      <c r="M42" s="50">
        <v>13280</v>
      </c>
      <c r="N42" s="51">
        <v>12361</v>
      </c>
      <c r="O42" s="50" t="s">
        <v>43</v>
      </c>
      <c r="P42" s="50">
        <v>1167400</v>
      </c>
      <c r="Q42" s="52">
        <f t="shared" si="11"/>
        <v>87.906626506024097</v>
      </c>
      <c r="R42" s="52">
        <f t="shared" si="11"/>
        <v>94.442197233233557</v>
      </c>
      <c r="S42" s="68"/>
      <c r="T42" s="23" t="s">
        <v>55</v>
      </c>
    </row>
    <row r="43" spans="1:20" ht="16" x14ac:dyDescent="0.2">
      <c r="A43" s="28">
        <v>35</v>
      </c>
      <c r="B43" s="24" t="s">
        <v>37</v>
      </c>
      <c r="C43" s="26" t="s">
        <v>35</v>
      </c>
      <c r="D43" s="26" t="s">
        <v>39</v>
      </c>
      <c r="E43" s="26"/>
      <c r="F43" s="26" t="s">
        <v>62</v>
      </c>
      <c r="G43" s="26" t="s">
        <v>68</v>
      </c>
      <c r="H43" s="26" t="s">
        <v>40</v>
      </c>
      <c r="I43" s="33">
        <v>2024</v>
      </c>
      <c r="J43" s="24" t="s">
        <v>63</v>
      </c>
      <c r="K43" s="24" t="s">
        <v>11</v>
      </c>
      <c r="L43" s="24" t="s">
        <v>34</v>
      </c>
      <c r="M43" s="50">
        <v>13280</v>
      </c>
      <c r="N43" s="51">
        <v>12361</v>
      </c>
      <c r="O43" s="50" t="s">
        <v>43</v>
      </c>
      <c r="P43" s="50">
        <v>4548900</v>
      </c>
      <c r="Q43" s="52">
        <f t="shared" si="11"/>
        <v>342.53765060240966</v>
      </c>
      <c r="R43" s="52">
        <f t="shared" si="11"/>
        <v>368.00420677938678</v>
      </c>
      <c r="S43" s="69"/>
      <c r="T43" s="23" t="s">
        <v>55</v>
      </c>
    </row>
    <row r="44" spans="1:20" s="49" customFormat="1" ht="16" x14ac:dyDescent="0.2">
      <c r="A44" s="28">
        <v>36</v>
      </c>
      <c r="B44" s="34" t="s">
        <v>37</v>
      </c>
      <c r="C44" s="35" t="s">
        <v>35</v>
      </c>
      <c r="D44" s="35" t="s">
        <v>39</v>
      </c>
      <c r="E44" s="35"/>
      <c r="F44" s="35" t="s">
        <v>62</v>
      </c>
      <c r="G44" s="35" t="s">
        <v>68</v>
      </c>
      <c r="H44" s="35" t="s">
        <v>40</v>
      </c>
      <c r="I44" s="41">
        <v>2024</v>
      </c>
      <c r="J44" s="35" t="s">
        <v>63</v>
      </c>
      <c r="K44" s="34" t="s">
        <v>12</v>
      </c>
      <c r="L44" s="34" t="s">
        <v>27</v>
      </c>
      <c r="M44" s="37">
        <v>8062</v>
      </c>
      <c r="N44" s="46">
        <v>4969</v>
      </c>
      <c r="O44" s="37" t="s">
        <v>43</v>
      </c>
      <c r="P44" s="37">
        <v>1905772.14</v>
      </c>
      <c r="Q44" s="42">
        <f t="shared" si="11"/>
        <v>236.3894988836517</v>
      </c>
      <c r="R44" s="42">
        <f t="shared" si="11"/>
        <v>383.53232843630508</v>
      </c>
      <c r="S44" s="75" t="s">
        <v>13</v>
      </c>
      <c r="T44" s="39" t="s">
        <v>55</v>
      </c>
    </row>
    <row r="45" spans="1:20" s="49" customFormat="1" ht="16" x14ac:dyDescent="0.2">
      <c r="A45" s="28">
        <v>37</v>
      </c>
      <c r="B45" s="34" t="s">
        <v>37</v>
      </c>
      <c r="C45" s="35" t="s">
        <v>35</v>
      </c>
      <c r="D45" s="35" t="s">
        <v>39</v>
      </c>
      <c r="E45" s="35"/>
      <c r="F45" s="35" t="s">
        <v>62</v>
      </c>
      <c r="G45" s="35" t="s">
        <v>68</v>
      </c>
      <c r="H45" s="35" t="s">
        <v>40</v>
      </c>
      <c r="I45" s="41">
        <v>2024</v>
      </c>
      <c r="J45" s="35" t="s">
        <v>63</v>
      </c>
      <c r="K45" s="34" t="s">
        <v>12</v>
      </c>
      <c r="L45" s="34" t="s">
        <v>28</v>
      </c>
      <c r="M45" s="37">
        <v>8062</v>
      </c>
      <c r="N45" s="46">
        <v>4969</v>
      </c>
      <c r="O45" s="37" t="s">
        <v>43</v>
      </c>
      <c r="P45" s="37">
        <v>3337458</v>
      </c>
      <c r="Q45" s="42">
        <f t="shared" si="11"/>
        <v>413.97395187298434</v>
      </c>
      <c r="R45" s="42">
        <f t="shared" si="11"/>
        <v>671.65586637150329</v>
      </c>
      <c r="S45" s="76"/>
      <c r="T45" s="39" t="s">
        <v>55</v>
      </c>
    </row>
    <row r="46" spans="1:20" s="49" customFormat="1" ht="16" x14ac:dyDescent="0.2">
      <c r="A46" s="28">
        <v>38</v>
      </c>
      <c r="B46" s="34" t="s">
        <v>37</v>
      </c>
      <c r="C46" s="35" t="s">
        <v>35</v>
      </c>
      <c r="D46" s="35" t="s">
        <v>39</v>
      </c>
      <c r="E46" s="35"/>
      <c r="F46" s="35" t="s">
        <v>62</v>
      </c>
      <c r="G46" s="35" t="s">
        <v>68</v>
      </c>
      <c r="H46" s="35" t="s">
        <v>40</v>
      </c>
      <c r="I46" s="41">
        <v>2024</v>
      </c>
      <c r="J46" s="35" t="s">
        <v>63</v>
      </c>
      <c r="K46" s="34" t="s">
        <v>12</v>
      </c>
      <c r="L46" s="34" t="s">
        <v>29</v>
      </c>
      <c r="M46" s="37">
        <v>8062</v>
      </c>
      <c r="N46" s="46">
        <v>4969</v>
      </c>
      <c r="O46" s="37" t="s">
        <v>43</v>
      </c>
      <c r="P46" s="37">
        <v>42140</v>
      </c>
      <c r="Q46" s="42">
        <f t="shared" si="11"/>
        <v>5.2269908211361944</v>
      </c>
      <c r="R46" s="42">
        <f t="shared" si="11"/>
        <v>8.4805795934795736</v>
      </c>
      <c r="S46" s="76"/>
      <c r="T46" s="39" t="s">
        <v>55</v>
      </c>
    </row>
    <row r="47" spans="1:20" s="49" customFormat="1" ht="16" x14ac:dyDescent="0.2">
      <c r="A47" s="28">
        <v>39</v>
      </c>
      <c r="B47" s="34" t="s">
        <v>37</v>
      </c>
      <c r="C47" s="35" t="s">
        <v>35</v>
      </c>
      <c r="D47" s="35" t="s">
        <v>39</v>
      </c>
      <c r="E47" s="35"/>
      <c r="F47" s="35" t="s">
        <v>62</v>
      </c>
      <c r="G47" s="35" t="s">
        <v>68</v>
      </c>
      <c r="H47" s="35" t="s">
        <v>40</v>
      </c>
      <c r="I47" s="41">
        <v>2024</v>
      </c>
      <c r="J47" s="35" t="s">
        <v>63</v>
      </c>
      <c r="K47" s="34" t="s">
        <v>12</v>
      </c>
      <c r="L47" s="34" t="s">
        <v>30</v>
      </c>
      <c r="M47" s="37">
        <v>8062</v>
      </c>
      <c r="N47" s="46">
        <v>4969</v>
      </c>
      <c r="O47" s="37" t="s">
        <v>43</v>
      </c>
      <c r="P47" s="37">
        <v>306145</v>
      </c>
      <c r="Q47" s="42">
        <f t="shared" ref="Q47" si="16">$P47/M47</f>
        <v>37.973827834284293</v>
      </c>
      <c r="R47" s="42">
        <f t="shared" ref="R47" si="17">$P47/N47</f>
        <v>61.610988126383582</v>
      </c>
      <c r="S47" s="76"/>
      <c r="T47" s="39" t="s">
        <v>55</v>
      </c>
    </row>
    <row r="48" spans="1:20" s="49" customFormat="1" ht="16" x14ac:dyDescent="0.2">
      <c r="A48" s="28">
        <v>39</v>
      </c>
      <c r="B48" s="34" t="s">
        <v>37</v>
      </c>
      <c r="C48" s="35" t="s">
        <v>35</v>
      </c>
      <c r="D48" s="35" t="s">
        <v>39</v>
      </c>
      <c r="E48" s="35"/>
      <c r="F48" s="35" t="s">
        <v>62</v>
      </c>
      <c r="G48" s="35" t="s">
        <v>68</v>
      </c>
      <c r="H48" s="35" t="s">
        <v>40</v>
      </c>
      <c r="I48" s="41">
        <v>2024</v>
      </c>
      <c r="J48" s="35" t="s">
        <v>63</v>
      </c>
      <c r="K48" s="34" t="s">
        <v>12</v>
      </c>
      <c r="L48" s="34" t="s">
        <v>48</v>
      </c>
      <c r="M48" s="37">
        <v>8062</v>
      </c>
      <c r="N48" s="46">
        <v>4969</v>
      </c>
      <c r="O48" s="37" t="s">
        <v>43</v>
      </c>
      <c r="P48" s="37">
        <v>3588440</v>
      </c>
      <c r="Q48" s="42">
        <f t="shared" si="11"/>
        <v>445.10543289506325</v>
      </c>
      <c r="R48" s="42">
        <f t="shared" si="11"/>
        <v>722.16542563896155</v>
      </c>
      <c r="S48" s="76"/>
      <c r="T48" s="39" t="s">
        <v>55</v>
      </c>
    </row>
    <row r="49" spans="1:22" s="49" customFormat="1" ht="16" x14ac:dyDescent="0.2">
      <c r="A49" s="28">
        <v>40</v>
      </c>
      <c r="B49" s="34" t="s">
        <v>37</v>
      </c>
      <c r="C49" s="35" t="s">
        <v>35</v>
      </c>
      <c r="D49" s="35" t="s">
        <v>39</v>
      </c>
      <c r="E49" s="35"/>
      <c r="F49" s="35" t="s">
        <v>62</v>
      </c>
      <c r="G49" s="35" t="s">
        <v>68</v>
      </c>
      <c r="H49" s="35" t="s">
        <v>40</v>
      </c>
      <c r="I49" s="41">
        <v>2024</v>
      </c>
      <c r="J49" s="35" t="s">
        <v>63</v>
      </c>
      <c r="K49" s="34" t="s">
        <v>12</v>
      </c>
      <c r="L49" s="34" t="s">
        <v>33</v>
      </c>
      <c r="M49" s="37">
        <v>8062</v>
      </c>
      <c r="N49" s="46">
        <v>4969</v>
      </c>
      <c r="O49" s="37" t="s">
        <v>43</v>
      </c>
      <c r="P49" s="37">
        <v>0</v>
      </c>
      <c r="Q49" s="42">
        <f t="shared" si="11"/>
        <v>0</v>
      </c>
      <c r="R49" s="42">
        <f t="shared" si="11"/>
        <v>0</v>
      </c>
      <c r="S49" s="76"/>
      <c r="T49" s="39" t="s">
        <v>55</v>
      </c>
    </row>
    <row r="50" spans="1:22" s="49" customFormat="1" ht="16" x14ac:dyDescent="0.2">
      <c r="A50" s="28">
        <v>41</v>
      </c>
      <c r="B50" s="34" t="s">
        <v>37</v>
      </c>
      <c r="C50" s="35" t="s">
        <v>35</v>
      </c>
      <c r="D50" s="35" t="s">
        <v>39</v>
      </c>
      <c r="E50" s="35"/>
      <c r="F50" s="35" t="s">
        <v>62</v>
      </c>
      <c r="G50" s="35" t="s">
        <v>68</v>
      </c>
      <c r="H50" s="35" t="s">
        <v>40</v>
      </c>
      <c r="I50" s="41">
        <v>2024</v>
      </c>
      <c r="J50" s="35" t="s">
        <v>63</v>
      </c>
      <c r="K50" s="34" t="s">
        <v>12</v>
      </c>
      <c r="L50" s="34" t="s">
        <v>15</v>
      </c>
      <c r="M50" s="37">
        <v>8062</v>
      </c>
      <c r="N50" s="46">
        <v>4969</v>
      </c>
      <c r="O50" s="37" t="s">
        <v>43</v>
      </c>
      <c r="P50" s="37">
        <v>525240</v>
      </c>
      <c r="Q50" s="42">
        <f t="shared" si="11"/>
        <v>65.15008682709005</v>
      </c>
      <c r="R50" s="42">
        <f t="shared" si="11"/>
        <v>105.70336083719059</v>
      </c>
      <c r="S50" s="76"/>
      <c r="T50" s="39" t="s">
        <v>55</v>
      </c>
    </row>
    <row r="51" spans="1:22" s="49" customFormat="1" ht="16" x14ac:dyDescent="0.2">
      <c r="A51" s="28">
        <v>42</v>
      </c>
      <c r="B51" s="34" t="s">
        <v>37</v>
      </c>
      <c r="C51" s="35" t="s">
        <v>35</v>
      </c>
      <c r="D51" s="35" t="s">
        <v>39</v>
      </c>
      <c r="E51" s="35"/>
      <c r="F51" s="35" t="s">
        <v>62</v>
      </c>
      <c r="G51" s="35" t="s">
        <v>68</v>
      </c>
      <c r="H51" s="35" t="s">
        <v>40</v>
      </c>
      <c r="I51" s="41">
        <v>2024</v>
      </c>
      <c r="J51" s="35" t="s">
        <v>63</v>
      </c>
      <c r="K51" s="34" t="s">
        <v>12</v>
      </c>
      <c r="L51" s="34" t="s">
        <v>34</v>
      </c>
      <c r="M51" s="37">
        <v>8062</v>
      </c>
      <c r="N51" s="46">
        <v>4969</v>
      </c>
      <c r="O51" s="37" t="s">
        <v>43</v>
      </c>
      <c r="P51" s="37">
        <v>2788200</v>
      </c>
      <c r="Q51" s="42">
        <f t="shared" si="11"/>
        <v>345.84470354750681</v>
      </c>
      <c r="R51" s="42">
        <f t="shared" si="11"/>
        <v>561.11893741195411</v>
      </c>
      <c r="S51" s="76"/>
      <c r="T51" s="39" t="s">
        <v>55</v>
      </c>
    </row>
    <row r="53" spans="1:22" s="1" customFormat="1" ht="32" x14ac:dyDescent="0.2">
      <c r="A53" s="12" t="s">
        <v>0</v>
      </c>
      <c r="B53" s="18" t="s">
        <v>17</v>
      </c>
      <c r="C53" s="18" t="s">
        <v>18</v>
      </c>
      <c r="D53" s="18" t="s">
        <v>19</v>
      </c>
      <c r="E53" s="18" t="s">
        <v>20</v>
      </c>
      <c r="F53" s="18" t="s">
        <v>21</v>
      </c>
      <c r="G53" s="18" t="s">
        <v>22</v>
      </c>
      <c r="H53" s="19" t="s">
        <v>23</v>
      </c>
      <c r="I53" s="20" t="s">
        <v>26</v>
      </c>
      <c r="J53" s="19" t="s">
        <v>24</v>
      </c>
      <c r="K53" s="20" t="s">
        <v>1</v>
      </c>
      <c r="L53" s="20" t="s">
        <v>16</v>
      </c>
      <c r="M53" s="20" t="s">
        <v>49</v>
      </c>
      <c r="N53" s="20" t="s">
        <v>50</v>
      </c>
      <c r="O53" s="20" t="s">
        <v>42</v>
      </c>
      <c r="P53" s="20" t="s">
        <v>25</v>
      </c>
      <c r="Q53" s="32" t="s">
        <v>56</v>
      </c>
      <c r="R53" s="32" t="s">
        <v>51</v>
      </c>
      <c r="S53" s="20" t="s">
        <v>57</v>
      </c>
      <c r="T53" s="21" t="s">
        <v>47</v>
      </c>
    </row>
    <row r="54" spans="1:22" s="1" customFormat="1" ht="15" x14ac:dyDescent="0.2">
      <c r="A54" s="7"/>
      <c r="B54" s="4"/>
      <c r="C54" s="4"/>
      <c r="D54" s="4"/>
      <c r="E54" s="29"/>
      <c r="F54" s="26" t="s">
        <v>36</v>
      </c>
      <c r="G54" s="26" t="s">
        <v>38</v>
      </c>
      <c r="H54" s="4"/>
      <c r="I54" s="4"/>
      <c r="J54" s="4"/>
      <c r="K54" s="24" t="s">
        <v>52</v>
      </c>
      <c r="L54" s="24"/>
      <c r="M54" s="65">
        <f t="shared" ref="M54:N59" si="18">SUMIF($K$4:$K$52,$K54,M$4:M$52)/7</f>
        <v>4842.1714285714288</v>
      </c>
      <c r="N54" s="65">
        <f t="shared" si="18"/>
        <v>2637.4171428571431</v>
      </c>
      <c r="O54" s="65"/>
      <c r="P54" s="65">
        <f t="shared" ref="P54:R59" si="19">SUMIF($K$4:$K$52,$K54,P$4:P$52)</f>
        <v>6018037.5451861601</v>
      </c>
      <c r="Q54" s="65">
        <f t="shared" si="19"/>
        <v>1420.3869681102128</v>
      </c>
      <c r="R54" s="65">
        <f t="shared" si="19"/>
        <v>2607.7623758249019</v>
      </c>
      <c r="S54" s="22"/>
      <c r="T54" s="23"/>
      <c r="U54" s="63" t="b">
        <f>$P54/M54=Q54</f>
        <v>0</v>
      </c>
      <c r="V54" s="63" t="b">
        <f>$P54/N54=R54</f>
        <v>0</v>
      </c>
    </row>
    <row r="55" spans="1:22" ht="15" x14ac:dyDescent="0.2">
      <c r="F55" s="26" t="s">
        <v>36</v>
      </c>
      <c r="G55" s="26" t="s">
        <v>38</v>
      </c>
      <c r="K55" s="34" t="s">
        <v>53</v>
      </c>
      <c r="L55" s="34"/>
      <c r="M55" s="66">
        <f t="shared" si="18"/>
        <v>11987.44</v>
      </c>
      <c r="N55" s="66">
        <f t="shared" si="18"/>
        <v>6258.114285714285</v>
      </c>
      <c r="O55" s="66"/>
      <c r="P55" s="66">
        <f t="shared" si="19"/>
        <v>15939037.757468088</v>
      </c>
      <c r="Q55" s="66">
        <f t="shared" si="19"/>
        <v>1519.5941044453275</v>
      </c>
      <c r="R55" s="66">
        <f t="shared" si="19"/>
        <v>2910.7878699139101</v>
      </c>
      <c r="U55" s="63" t="b">
        <f t="shared" ref="U55:U59" si="20">$P55/M55=Q55</f>
        <v>0</v>
      </c>
      <c r="V55" s="63" t="b">
        <f t="shared" ref="V55:V59" si="21">$P55/N55=R55</f>
        <v>0</v>
      </c>
    </row>
    <row r="56" spans="1:22" ht="15" x14ac:dyDescent="0.2">
      <c r="F56" s="26" t="s">
        <v>36</v>
      </c>
      <c r="G56" s="26" t="s">
        <v>38</v>
      </c>
      <c r="K56" s="24" t="s">
        <v>54</v>
      </c>
      <c r="L56" s="24"/>
      <c r="M56" s="65">
        <f t="shared" si="18"/>
        <v>4055.5200000000009</v>
      </c>
      <c r="N56" s="65">
        <f t="shared" si="18"/>
        <v>3763.885714285715</v>
      </c>
      <c r="O56" s="65"/>
      <c r="P56" s="65">
        <f t="shared" si="19"/>
        <v>7579332.2127758153</v>
      </c>
      <c r="Q56" s="65">
        <f t="shared" si="19"/>
        <v>2135.8775095322117</v>
      </c>
      <c r="R56" s="65">
        <f t="shared" si="19"/>
        <v>2301.3700773595119</v>
      </c>
      <c r="U56" s="63" t="b">
        <f t="shared" si="20"/>
        <v>0</v>
      </c>
      <c r="V56" s="63" t="b">
        <f t="shared" si="21"/>
        <v>0</v>
      </c>
    </row>
    <row r="57" spans="1:22" ht="15" x14ac:dyDescent="0.2">
      <c r="F57" s="26" t="s">
        <v>62</v>
      </c>
      <c r="G57" s="26" t="s">
        <v>68</v>
      </c>
      <c r="K57" s="34" t="s">
        <v>10</v>
      </c>
      <c r="L57" s="34"/>
      <c r="M57" s="66">
        <f t="shared" si="18"/>
        <v>3446.8571428571427</v>
      </c>
      <c r="N57" s="66">
        <f t="shared" si="18"/>
        <v>2601.1428571428573</v>
      </c>
      <c r="O57" s="66"/>
      <c r="P57" s="66">
        <f t="shared" si="19"/>
        <v>4983740.62</v>
      </c>
      <c r="Q57" s="66">
        <f t="shared" si="19"/>
        <v>1652.4338925729444</v>
      </c>
      <c r="R57" s="66">
        <f t="shared" si="19"/>
        <v>2189.6927152899825</v>
      </c>
      <c r="U57" s="63" t="b">
        <f t="shared" si="20"/>
        <v>0</v>
      </c>
      <c r="V57" s="63" t="b">
        <f t="shared" si="21"/>
        <v>0</v>
      </c>
    </row>
    <row r="58" spans="1:22" ht="15" x14ac:dyDescent="0.2">
      <c r="F58" s="26" t="s">
        <v>62</v>
      </c>
      <c r="G58" s="26" t="s">
        <v>68</v>
      </c>
      <c r="K58" s="24" t="s">
        <v>11</v>
      </c>
      <c r="L58" s="24"/>
      <c r="M58" s="65">
        <f t="shared" si="18"/>
        <v>15177.142857142857</v>
      </c>
      <c r="N58" s="65">
        <f t="shared" si="18"/>
        <v>14126.857142857143</v>
      </c>
      <c r="O58" s="65"/>
      <c r="P58" s="65">
        <f t="shared" si="19"/>
        <v>23784006.84</v>
      </c>
      <c r="Q58" s="65">
        <f t="shared" si="19"/>
        <v>1790.964370481928</v>
      </c>
      <c r="R58" s="65">
        <f t="shared" si="19"/>
        <v>1924.1167251840466</v>
      </c>
      <c r="U58" s="63" t="b">
        <f t="shared" si="20"/>
        <v>0</v>
      </c>
      <c r="V58" s="63" t="b">
        <f t="shared" si="21"/>
        <v>0</v>
      </c>
    </row>
    <row r="59" spans="1:22" ht="15" x14ac:dyDescent="0.2">
      <c r="F59" s="26" t="s">
        <v>62</v>
      </c>
      <c r="G59" s="26" t="s">
        <v>68</v>
      </c>
      <c r="K59" s="34" t="s">
        <v>12</v>
      </c>
      <c r="L59" s="34"/>
      <c r="M59" s="66">
        <f t="shared" si="18"/>
        <v>9213.7142857142862</v>
      </c>
      <c r="N59" s="66">
        <f t="shared" si="18"/>
        <v>5678.8571428571431</v>
      </c>
      <c r="O59" s="66"/>
      <c r="P59" s="66">
        <f t="shared" si="19"/>
        <v>12493395.140000001</v>
      </c>
      <c r="Q59" s="66">
        <f t="shared" si="19"/>
        <v>1549.6644926817166</v>
      </c>
      <c r="R59" s="66">
        <f t="shared" si="19"/>
        <v>2514.267486415778</v>
      </c>
      <c r="U59" s="63" t="b">
        <f t="shared" si="20"/>
        <v>0</v>
      </c>
      <c r="V59" s="63" t="b">
        <f t="shared" si="21"/>
        <v>0</v>
      </c>
    </row>
  </sheetData>
  <mergeCells count="7">
    <mergeCell ref="S36:S43"/>
    <mergeCell ref="S44:S51"/>
    <mergeCell ref="A2:B2"/>
    <mergeCell ref="S28:S35"/>
    <mergeCell ref="S4:S11"/>
    <mergeCell ref="S12:S19"/>
    <mergeCell ref="S20:S27"/>
  </mergeCells>
  <phoneticPr fontId="9" type="noConversion"/>
  <printOptions horizontalCentered="1"/>
  <pageMargins left="0.25" right="0.25" top="0.75" bottom="0.75" header="0.3" footer="0.3"/>
  <pageSetup paperSize="9" scale="74" orientation="portrait" r:id="rId1"/>
  <headerFooter>
    <oddHeader xml:space="preserve">&amp;L
&amp;"Arial,Bold"&amp;8&amp;KA71600KHALEEJ AL ARABI JUNCTION WORKS AT IP - 135 : &amp;"Arial,Regular"&amp;K000000MAIN WORKS
&amp;G&amp;R&amp;G     </oddHeader>
    <oddFooter xml:space="preserve">&amp;L&amp;"Arial,Bold"&amp;8&amp;KA71600&amp;G
Form Ref: OMN-CM-018&amp;R&amp;"Arial,Bold"&amp;8&amp;KA71600Benchmark - MSE Wall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FC2695-BD91-4EAA-98EA-723D6CB54C75}"/>
</file>

<file path=customXml/itemProps2.xml><?xml version="1.0" encoding="utf-8"?>
<ds:datastoreItem xmlns:ds="http://schemas.openxmlformats.org/officeDocument/2006/customXml" ds:itemID="{4F5E4F0E-1DB0-4422-8CDB-A5DA3D9DCA0F}"/>
</file>

<file path=customXml/itemProps3.xml><?xml version="1.0" encoding="utf-8"?>
<ds:datastoreItem xmlns:ds="http://schemas.openxmlformats.org/officeDocument/2006/customXml" ds:itemID="{7B4BF192-72BC-4F47-A347-8504F4DB3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BM_Bridge</vt:lpstr>
      <vt:lpstr>BM_MSE Wall</vt:lpstr>
      <vt:lpstr>BM_Bridge!Print_Area</vt:lpstr>
      <vt:lpstr>'BM_MSE Wall'!Print_Area</vt:lpstr>
      <vt:lpstr>BM_Bridge!Print_Titles</vt:lpstr>
      <vt:lpstr>'BM_MSE Wall'!Print_Titles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Mahipal Sikkedesai</dc:creator>
  <cp:lastModifiedBy>David Parry</cp:lastModifiedBy>
  <cp:lastPrinted>2024-10-01T10:45:10Z</cp:lastPrinted>
  <dcterms:created xsi:type="dcterms:W3CDTF">2024-02-07T13:21:12Z</dcterms:created>
  <dcterms:modified xsi:type="dcterms:W3CDTF">2025-01-31T06:36:52Z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