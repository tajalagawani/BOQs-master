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arry/Documents/OMNI V1.2 2024/05_Excel Data Files/02_Files sent to IT/Utilities/"/>
    </mc:Choice>
  </mc:AlternateContent>
  <xr:revisionPtr revIDLastSave="0" documentId="8_{DE4DC35E-C4D4-0D41-B284-25A299E06D4D}" xr6:coauthVersionLast="47" xr6:coauthVersionMax="47" xr10:uidLastSave="{00000000-0000-0000-0000-000000000000}"/>
  <bookViews>
    <workbookView xWindow="0" yWindow="740" windowWidth="29400" windowHeight="17400" activeTab="1" xr2:uid="{21DB4241-4A27-41CA-B007-08B05A4B38C2}"/>
  </bookViews>
  <sheets>
    <sheet name="Business Development" sheetId="4" state="hidden" r:id="rId1"/>
    <sheet name="Utility Buildings" sheetId="8" r:id="rId2"/>
    <sheet name="Inflation" sheetId="9" r:id="rId3"/>
  </sheets>
  <definedNames>
    <definedName name="_xlnm._FilterDatabase" localSheetId="0" hidden="1">'Business Development'!$A$2:$K$19</definedName>
    <definedName name="_xlnm._FilterDatabase" localSheetId="1" hidden="1">'Utility Buildings'!$A$4:$P$40</definedName>
    <definedName name="SORT">'Utility Buildings'!$5:$40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8" l="1"/>
  <c r="L6" i="8"/>
  <c r="L7" i="8"/>
  <c r="L9" i="8"/>
  <c r="L10" i="8"/>
  <c r="L11" i="8"/>
  <c r="L12" i="8"/>
  <c r="L13" i="8"/>
  <c r="L14" i="8"/>
  <c r="L17" i="8"/>
  <c r="L18" i="8"/>
  <c r="L19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H35" i="9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O22" i="8"/>
  <c r="O21" i="8" l="1"/>
  <c r="P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Dinesh V Pillai</author>
  </authors>
  <commentList>
    <comment ref="O15" authorId="0" shapeId="0" xr:uid="{C98FBD84-DEC2-6C4C-8B1B-E37C0C0D9181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90,260,926</t>
        </r>
      </text>
    </comment>
    <comment ref="O16" authorId="0" shapeId="0" xr:uid="{9810C49B-73B7-1246-A9BF-B2A73A9EBF91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88,041,105</t>
        </r>
      </text>
    </comment>
    <comment ref="O20" authorId="0" shapeId="0" xr:uid="{886991C6-0782-474A-B35D-962FCA1D3662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87,375,274</t>
        </r>
      </text>
    </comment>
    <comment ref="O23" authorId="0" shapeId="0" xr:uid="{08402C7F-0430-934A-AEBA-D1EA5A4AD891}">
      <text>
        <r>
          <rPr>
            <b/>
            <sz val="9"/>
            <color rgb="FF000000"/>
            <rFont val="Tahoma"/>
            <family val="2"/>
          </rPr>
          <t>Dinesh V Pillai: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FA: 13,000,000.00</t>
        </r>
      </text>
    </comment>
  </commentList>
</comments>
</file>

<file path=xl/sharedStrings.xml><?xml version="1.0" encoding="utf-8"?>
<sst xmlns="http://schemas.openxmlformats.org/spreadsheetml/2006/main" count="510" uniqueCount="177">
  <si>
    <t>Country</t>
  </si>
  <si>
    <t>City</t>
  </si>
  <si>
    <t>Sector</t>
  </si>
  <si>
    <t>Client</t>
  </si>
  <si>
    <t>Lead Consultant</t>
  </si>
  <si>
    <t>Project</t>
  </si>
  <si>
    <t>UAE</t>
  </si>
  <si>
    <t>Abu Dhabi</t>
  </si>
  <si>
    <t>Infrastructure</t>
  </si>
  <si>
    <t>Dubai</t>
  </si>
  <si>
    <t>District Cooling Plant No.1</t>
  </si>
  <si>
    <t>District Cooling Plant No.2</t>
  </si>
  <si>
    <t>District Cooling Plant No.3</t>
  </si>
  <si>
    <t>Development</t>
  </si>
  <si>
    <t>Downtown Dubai</t>
  </si>
  <si>
    <t>District Cooling Plant</t>
  </si>
  <si>
    <t>Project  Characteristics</t>
  </si>
  <si>
    <t>Energy</t>
  </si>
  <si>
    <t>Primary Substation No.7</t>
  </si>
  <si>
    <t>Primary Substation No.8</t>
  </si>
  <si>
    <t>Primary Substation No.9</t>
  </si>
  <si>
    <t>Dubai Hills Estate</t>
  </si>
  <si>
    <t>Emaar Beachfront</t>
  </si>
  <si>
    <t>Primary Substations</t>
  </si>
  <si>
    <t>District Cooling</t>
  </si>
  <si>
    <t>Ref</t>
  </si>
  <si>
    <t>KSA</t>
  </si>
  <si>
    <t>Contacted</t>
  </si>
  <si>
    <t>Issued Brochure</t>
  </si>
  <si>
    <t>Meeting</t>
  </si>
  <si>
    <t>Jeddah</t>
  </si>
  <si>
    <t>Riyadh</t>
  </si>
  <si>
    <t>Makkah</t>
  </si>
  <si>
    <t>Contact Name</t>
  </si>
  <si>
    <t>Email</t>
  </si>
  <si>
    <t>Designation</t>
  </si>
  <si>
    <t>Number</t>
  </si>
  <si>
    <t>O</t>
  </si>
  <si>
    <t>Kuwait</t>
  </si>
  <si>
    <t>Bahrain</t>
  </si>
  <si>
    <t>Iraq</t>
  </si>
  <si>
    <t>Eagle Hills</t>
  </si>
  <si>
    <t>Target</t>
  </si>
  <si>
    <t>Developers</t>
  </si>
  <si>
    <t>Operators</t>
  </si>
  <si>
    <t>Contractors</t>
  </si>
  <si>
    <t>Kuwait City</t>
  </si>
  <si>
    <t>Manama</t>
  </si>
  <si>
    <t>Erbil</t>
  </si>
  <si>
    <t>Baghdad</t>
  </si>
  <si>
    <t>Qatar</t>
  </si>
  <si>
    <t>Doha</t>
  </si>
  <si>
    <t>Egypt</t>
  </si>
  <si>
    <t>India</t>
  </si>
  <si>
    <t>UK</t>
  </si>
  <si>
    <t>London</t>
  </si>
  <si>
    <t>TBC</t>
  </si>
  <si>
    <t>Emaar</t>
  </si>
  <si>
    <t>Nakheel</t>
  </si>
  <si>
    <t>Emicool</t>
  </si>
  <si>
    <t>Tabreed</t>
  </si>
  <si>
    <t>Department of Energy</t>
  </si>
  <si>
    <t>Metropolitan UK</t>
  </si>
  <si>
    <t>Veiola</t>
  </si>
  <si>
    <t>Lead Consultants</t>
  </si>
  <si>
    <t>Dubai Creek Harbour</t>
  </si>
  <si>
    <t>Allied Consultants Ltd.</t>
  </si>
  <si>
    <t>DCP 1</t>
  </si>
  <si>
    <t>9,800 TR</t>
  </si>
  <si>
    <t>28,800 TR</t>
  </si>
  <si>
    <t>45,000 TR</t>
  </si>
  <si>
    <t>30,000 TR</t>
  </si>
  <si>
    <t>60,000 TR</t>
  </si>
  <si>
    <t>132kV/11kV Substation</t>
  </si>
  <si>
    <t>Al Marassi Al Bahrain Development</t>
  </si>
  <si>
    <t>Fittons</t>
  </si>
  <si>
    <t>7,500 TR</t>
  </si>
  <si>
    <t>WSP</t>
  </si>
  <si>
    <t>ENERGOPROJEKT-ENTEL</t>
  </si>
  <si>
    <t>AFRY Switzerland</t>
  </si>
  <si>
    <t>Green Energy Consultancy</t>
  </si>
  <si>
    <t>PSS04 - DXBHILS 132/11kv Substation</t>
  </si>
  <si>
    <t>PSS03 132/11kv Substation</t>
  </si>
  <si>
    <t>132/11kv Substation</t>
  </si>
  <si>
    <t>POYRY</t>
  </si>
  <si>
    <t>Primary Substation No.5 (Burj Khalifa SS)</t>
  </si>
  <si>
    <t>Green Energy</t>
  </si>
  <si>
    <t>Primary Substation No.6 (Fountain Views SS)</t>
  </si>
  <si>
    <t>Subsector</t>
  </si>
  <si>
    <t>Power</t>
  </si>
  <si>
    <t>Information not available.</t>
  </si>
  <si>
    <t>IMKAN</t>
  </si>
  <si>
    <t>Al Jurf</t>
  </si>
  <si>
    <t>Arcadis</t>
  </si>
  <si>
    <t>Sewage Treatment Plant</t>
  </si>
  <si>
    <t>Sewage treatment plant taking sewage water and treating to turn into treated sewage effluent (TSE) to utilise as irrigation water.</t>
  </si>
  <si>
    <t>Hyder</t>
  </si>
  <si>
    <t>Filtration &amp; Pump Station No.1</t>
  </si>
  <si>
    <t>Reverse osmosis plant and pumping station for Burj Lake.</t>
  </si>
  <si>
    <t>Aecom</t>
  </si>
  <si>
    <t>Filtration &amp; Pump Station No.2</t>
  </si>
  <si>
    <t>Saadiyat Island</t>
  </si>
  <si>
    <t>Abu Dhabi South Island</t>
  </si>
  <si>
    <t>Taif</t>
  </si>
  <si>
    <t>Okaz Arabian Cultural Park</t>
  </si>
  <si>
    <t>Pumping Stations</t>
  </si>
  <si>
    <t>Ghaf Woods</t>
  </si>
  <si>
    <t>Parsons</t>
  </si>
  <si>
    <t>Stormwater Pump Station</t>
  </si>
  <si>
    <t>Water Treatment</t>
  </si>
  <si>
    <t>Palm Jebel Ali</t>
  </si>
  <si>
    <t>Irrigation &amp; Fire Fighting Pump Station</t>
  </si>
  <si>
    <t>Irrigation Pump Station</t>
  </si>
  <si>
    <t>Sewer Pump Station</t>
  </si>
  <si>
    <t>Sewer Lift Station No.1</t>
  </si>
  <si>
    <t>Sewer Lift Station No.2</t>
  </si>
  <si>
    <t>Irrigation/Fire Pump Station</t>
  </si>
  <si>
    <t>Underground</t>
  </si>
  <si>
    <t>The Valley</t>
  </si>
  <si>
    <t>Kereanla Primary Substation</t>
  </si>
  <si>
    <t>CREKHRBR Primary Substation</t>
  </si>
  <si>
    <t>The Valley Primary Substation</t>
  </si>
  <si>
    <t>DCP01</t>
  </si>
  <si>
    <t>DCP02</t>
  </si>
  <si>
    <t>DCP03</t>
  </si>
  <si>
    <t>DCP04</t>
  </si>
  <si>
    <t>DCP05</t>
  </si>
  <si>
    <t>DCP06</t>
  </si>
  <si>
    <t>DCP07</t>
  </si>
  <si>
    <t>PSS01</t>
  </si>
  <si>
    <t>PSS02</t>
  </si>
  <si>
    <t>PSS03</t>
  </si>
  <si>
    <t>PSS04</t>
  </si>
  <si>
    <t>PSS05</t>
  </si>
  <si>
    <t>PSS06</t>
  </si>
  <si>
    <t>PSS07</t>
  </si>
  <si>
    <t>PSS08</t>
  </si>
  <si>
    <t>PSS09</t>
  </si>
  <si>
    <t>PSS10</t>
  </si>
  <si>
    <t>PSS11</t>
  </si>
  <si>
    <t>PSS12</t>
  </si>
  <si>
    <t>PSS13</t>
  </si>
  <si>
    <t>WTP01</t>
  </si>
  <si>
    <t>WTP02</t>
  </si>
  <si>
    <t>WTP03</t>
  </si>
  <si>
    <t>WTP04</t>
  </si>
  <si>
    <t>WTP05</t>
  </si>
  <si>
    <t>WTP06</t>
  </si>
  <si>
    <t>PST01</t>
  </si>
  <si>
    <t>PST02</t>
  </si>
  <si>
    <t>PST03</t>
  </si>
  <si>
    <t>PST04</t>
  </si>
  <si>
    <t>PST05</t>
  </si>
  <si>
    <t>PST06</t>
  </si>
  <si>
    <t>PST07</t>
  </si>
  <si>
    <t>PST08</t>
  </si>
  <si>
    <t>PST09</t>
  </si>
  <si>
    <t>EMAAR</t>
  </si>
  <si>
    <t>ALDAR</t>
  </si>
  <si>
    <t>DMT</t>
  </si>
  <si>
    <t>MAF</t>
  </si>
  <si>
    <t>MOC</t>
  </si>
  <si>
    <t>NAKHEEL</t>
  </si>
  <si>
    <t>Asset</t>
  </si>
  <si>
    <t>Water Treatment Plant</t>
  </si>
  <si>
    <t>Developer</t>
  </si>
  <si>
    <t>Base Date
 (Completion)</t>
  </si>
  <si>
    <t>Project Alias</t>
  </si>
  <si>
    <t>Base Date</t>
  </si>
  <si>
    <t>PSS05 132/11kv Substation</t>
  </si>
  <si>
    <t>PSS07 132/11kv Substation</t>
  </si>
  <si>
    <t>PSS02 - 132kV/11kV Substation</t>
  </si>
  <si>
    <t>PSS06 - UMSQEMRD 132/11kv Substation</t>
  </si>
  <si>
    <t>BAH</t>
  </si>
  <si>
    <t>Currency</t>
  </si>
  <si>
    <t>AED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</si>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</sst>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AED&quot;#,##0.00;[Red]\-&quot;AED&quot;#,##0.00"/>
    <numFmt numFmtId="165" formatCode="_-* #,##0.00_-;\-* #,##0.00_-;_-* &quot;-&quot;??_-;_-@_-"/>
    <numFmt numFmtId="166" formatCode="#,###.00&quot; TR&quot;"/>
    <numFmt numFmtId="167" formatCode="_-* #,##0_-;\-* #,##0_-;_-* &quot;-&quot;??_-;_-@_-"/>
    <numFmt numFmtId="168" formatCode="_(* #,##0_);_(* \(#,##0\);_(* &quot;-&quot;??_);_(@_)"/>
    <numFmt numFmtId="169" formatCode="#,###&quot; TR&quot;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Wingdings 2"/>
      <family val="1"/>
      <charset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theme="4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4"/>
      <name val="Arial"/>
      <family val="2"/>
    </font>
    <font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1" applyFill="0" applyProtection="0">
      <alignment horizontal="left" wrapText="1"/>
    </xf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11" fillId="2" borderId="3" xfId="3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167" fontId="6" fillId="0" borderId="2" xfId="1" applyNumberFormat="1" applyFont="1" applyFill="1" applyBorder="1" applyAlignment="1">
      <alignment vertical="top" wrapText="1"/>
    </xf>
    <xf numFmtId="167" fontId="6" fillId="0" borderId="2" xfId="1" applyNumberFormat="1" applyFont="1" applyFill="1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6" fillId="0" borderId="2" xfId="0" applyFont="1" applyBorder="1" applyAlignment="1">
      <alignment horizontal="center" vertical="top" wrapText="1"/>
    </xf>
    <xf numFmtId="166" fontId="6" fillId="0" borderId="2" xfId="0" applyNumberFormat="1" applyFont="1" applyBorder="1" applyAlignment="1">
      <alignment horizontal="left" vertical="top" wrapText="1"/>
    </xf>
    <xf numFmtId="3" fontId="6" fillId="0" borderId="2" xfId="0" applyNumberFormat="1" applyFont="1" applyBorder="1" applyAlignment="1">
      <alignment vertical="top" wrapText="1"/>
    </xf>
    <xf numFmtId="169" fontId="6" fillId="0" borderId="2" xfId="0" applyNumberFormat="1" applyFont="1" applyBorder="1" applyAlignment="1">
      <alignment horizontal="left" vertical="top" wrapText="1"/>
    </xf>
    <xf numFmtId="164" fontId="6" fillId="0" borderId="0" xfId="0" applyNumberFormat="1" applyFont="1" applyAlignment="1">
      <alignment horizontal="left" vertical="top" wrapText="1"/>
    </xf>
    <xf numFmtId="3" fontId="6" fillId="0" borderId="2" xfId="1" applyNumberFormat="1" applyFont="1" applyFill="1" applyBorder="1" applyAlignment="1">
      <alignment vertical="top" wrapText="1"/>
    </xf>
    <xf numFmtId="167" fontId="6" fillId="0" borderId="2" xfId="1" applyNumberFormat="1" applyFont="1" applyFill="1" applyBorder="1" applyAlignment="1">
      <alignment horizontal="center" vertical="top" wrapText="1"/>
    </xf>
    <xf numFmtId="167" fontId="6" fillId="0" borderId="2" xfId="1" applyNumberFormat="1" applyFont="1" applyBorder="1" applyAlignment="1">
      <alignment horizontal="center" vertical="top" wrapText="1"/>
    </xf>
    <xf numFmtId="168" fontId="6" fillId="0" borderId="2" xfId="2" applyNumberFormat="1" applyFont="1" applyBorder="1" applyAlignment="1">
      <alignment vertical="top" wrapText="1"/>
    </xf>
    <xf numFmtId="168" fontId="6" fillId="0" borderId="2" xfId="0" applyNumberFormat="1" applyFont="1" applyBorder="1" applyAlignment="1">
      <alignment vertical="top" wrapText="1"/>
    </xf>
    <xf numFmtId="168" fontId="6" fillId="0" borderId="2" xfId="0" applyNumberFormat="1" applyFont="1" applyBorder="1" applyAlignment="1">
      <alignment horizontal="right" vertical="top" wrapText="1"/>
    </xf>
    <xf numFmtId="0" fontId="6" fillId="0" borderId="2" xfId="1" applyNumberFormat="1" applyFont="1" applyBorder="1" applyAlignment="1">
      <alignment horizontal="center" vertical="top" wrapText="1"/>
    </xf>
    <xf numFmtId="0" fontId="12" fillId="3" borderId="3" xfId="3" applyFont="1" applyFill="1" applyBorder="1" applyAlignment="1">
      <alignment horizontal="center" vertical="center" wrapText="1"/>
    </xf>
    <xf numFmtId="0" fontId="13" fillId="0" borderId="0" xfId="4" applyFont="1" applyAlignment="1">
      <alignment horizontal="center"/>
    </xf>
    <xf numFmtId="10" fontId="13" fillId="4" borderId="0" xfId="5" applyNumberFormat="1" applyFont="1" applyFill="1"/>
    <xf numFmtId="9" fontId="0" fillId="0" borderId="0" xfId="5" applyFont="1"/>
    <xf numFmtId="0" fontId="1" fillId="0" borderId="0" xfId="4"/>
    <xf numFmtId="10" fontId="14" fillId="4" borderId="0" xfId="5" applyNumberFormat="1" applyFont="1" applyFill="1"/>
    <xf numFmtId="0" fontId="14" fillId="0" borderId="0" xfId="4" applyFont="1" applyAlignment="1">
      <alignment horizontal="center"/>
    </xf>
    <xf numFmtId="0" fontId="15" fillId="0" borderId="2" xfId="0" applyFont="1" applyBorder="1" applyAlignment="1">
      <alignment horizontal="center" vertical="top" wrapText="1"/>
    </xf>
  </cellXfs>
  <cellStyles count="6">
    <cellStyle name="Comma" xfId="1" builtinId="3"/>
    <cellStyle name="Comma 2" xfId="2" xr:uid="{7846AD2B-DE5E-49F0-A8BC-8E9D90A74CE2}"/>
    <cellStyle name="Normal" xfId="0" builtinId="0"/>
    <cellStyle name="Normal 2" xfId="4" xr:uid="{EE8ED750-B6F5-2C40-B3A5-AF1749CFF9F8}"/>
    <cellStyle name="Per cent 2" xfId="5" xr:uid="{3A2E1963-83C4-7C49-AB1B-2CD7FBF1082D}"/>
    <cellStyle name="Smart Subtitle 1" xfId="3" xr:uid="{E769F371-A929-C44B-8366-7C2046142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0</xdr:rowOff>
    </xdr:from>
    <xdr:to>
      <xdr:col>22</xdr:col>
      <xdr:colOff>152400</xdr:colOff>
      <xdr:row>29</xdr:row>
      <xdr:rowOff>93077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4D40F-6BD9-A94E-A62C-E5629DB4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0"/>
          <a:ext cx="17970500" cy="5985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CD53-801B-4FC0-AA04-246711E8B5F5}">
  <dimension ref="A2:K25"/>
  <sheetViews>
    <sheetView workbookViewId="0">
      <selection activeCell="J2" sqref="J2"/>
    </sheetView>
  </sheetViews>
  <sheetFormatPr baseColWidth="10" defaultColWidth="8.83203125" defaultRowHeight="15" x14ac:dyDescent="0.2"/>
  <cols>
    <col min="1" max="1" width="8.6640625" style="1"/>
    <col min="2" max="2" width="12.5" customWidth="1"/>
    <col min="3" max="3" width="13.5" customWidth="1"/>
    <col min="4" max="4" width="20.83203125" customWidth="1"/>
    <col min="5" max="8" width="25.1640625" customWidth="1"/>
    <col min="9" max="9" width="17.1640625" style="1" customWidth="1"/>
    <col min="10" max="10" width="25.33203125" style="1" customWidth="1"/>
    <col min="11" max="11" width="15.33203125" style="1" customWidth="1"/>
  </cols>
  <sheetData>
    <row r="2" spans="1:11" x14ac:dyDescent="0.2">
      <c r="A2" s="3" t="s">
        <v>25</v>
      </c>
      <c r="B2" s="2" t="s">
        <v>0</v>
      </c>
      <c r="C2" s="2" t="s">
        <v>1</v>
      </c>
      <c r="D2" s="2" t="s">
        <v>3</v>
      </c>
      <c r="E2" s="2" t="s">
        <v>33</v>
      </c>
      <c r="F2" s="2" t="s">
        <v>35</v>
      </c>
      <c r="G2" s="2" t="s">
        <v>34</v>
      </c>
      <c r="H2" s="2" t="s">
        <v>36</v>
      </c>
      <c r="I2" s="3" t="s">
        <v>27</v>
      </c>
      <c r="J2" s="3" t="s">
        <v>28</v>
      </c>
      <c r="K2" s="3" t="s">
        <v>29</v>
      </c>
    </row>
    <row r="3" spans="1:11" x14ac:dyDescent="0.2">
      <c r="A3" s="1">
        <v>1</v>
      </c>
      <c r="B3" t="s">
        <v>6</v>
      </c>
      <c r="C3" t="s">
        <v>9</v>
      </c>
      <c r="D3" t="s">
        <v>57</v>
      </c>
      <c r="I3" s="4" t="s">
        <v>37</v>
      </c>
      <c r="K3" s="1" t="s">
        <v>56</v>
      </c>
    </row>
    <row r="4" spans="1:11" x14ac:dyDescent="0.2">
      <c r="A4" s="1">
        <v>2</v>
      </c>
      <c r="B4" t="s">
        <v>6</v>
      </c>
      <c r="D4" t="s">
        <v>58</v>
      </c>
      <c r="I4" s="4"/>
      <c r="K4" s="1" t="s">
        <v>56</v>
      </c>
    </row>
    <row r="5" spans="1:11" x14ac:dyDescent="0.2">
      <c r="A5" s="1">
        <v>3</v>
      </c>
      <c r="B5" t="s">
        <v>6</v>
      </c>
      <c r="D5" t="s">
        <v>59</v>
      </c>
      <c r="I5" s="4"/>
      <c r="K5" s="1" t="s">
        <v>56</v>
      </c>
    </row>
    <row r="6" spans="1:11" x14ac:dyDescent="0.2">
      <c r="A6" s="1">
        <v>4</v>
      </c>
      <c r="B6" t="s">
        <v>6</v>
      </c>
      <c r="D6" t="s">
        <v>60</v>
      </c>
      <c r="I6" s="4"/>
      <c r="K6" s="1" t="s">
        <v>56</v>
      </c>
    </row>
    <row r="7" spans="1:11" x14ac:dyDescent="0.2">
      <c r="A7" s="1">
        <v>5</v>
      </c>
      <c r="B7" t="s">
        <v>6</v>
      </c>
      <c r="C7" t="s">
        <v>7</v>
      </c>
      <c r="D7" t="s">
        <v>61</v>
      </c>
      <c r="K7" s="1" t="s">
        <v>56</v>
      </c>
    </row>
    <row r="8" spans="1:11" x14ac:dyDescent="0.2">
      <c r="A8" s="1">
        <v>6</v>
      </c>
      <c r="B8" t="s">
        <v>26</v>
      </c>
      <c r="C8" t="s">
        <v>30</v>
      </c>
      <c r="K8" s="1" t="s">
        <v>56</v>
      </c>
    </row>
    <row r="9" spans="1:11" x14ac:dyDescent="0.2">
      <c r="A9" s="1">
        <v>7</v>
      </c>
      <c r="B9" t="s">
        <v>26</v>
      </c>
      <c r="C9" t="s">
        <v>31</v>
      </c>
      <c r="K9" s="1" t="s">
        <v>56</v>
      </c>
    </row>
    <row r="10" spans="1:11" x14ac:dyDescent="0.2">
      <c r="A10" s="1">
        <v>8</v>
      </c>
      <c r="B10" t="s">
        <v>26</v>
      </c>
      <c r="C10" t="s">
        <v>32</v>
      </c>
      <c r="K10" s="1" t="s">
        <v>56</v>
      </c>
    </row>
    <row r="11" spans="1:11" x14ac:dyDescent="0.2">
      <c r="A11" s="1">
        <v>9</v>
      </c>
      <c r="B11" t="s">
        <v>38</v>
      </c>
      <c r="C11" t="s">
        <v>46</v>
      </c>
      <c r="K11" s="1" t="s">
        <v>56</v>
      </c>
    </row>
    <row r="12" spans="1:11" x14ac:dyDescent="0.2">
      <c r="A12" s="1">
        <v>10</v>
      </c>
      <c r="B12" t="s">
        <v>39</v>
      </c>
      <c r="C12" t="s">
        <v>47</v>
      </c>
      <c r="K12" s="1" t="s">
        <v>56</v>
      </c>
    </row>
    <row r="13" spans="1:11" x14ac:dyDescent="0.2">
      <c r="A13" s="1">
        <v>11</v>
      </c>
      <c r="B13" t="s">
        <v>40</v>
      </c>
      <c r="C13" t="s">
        <v>48</v>
      </c>
      <c r="K13" s="1" t="s">
        <v>56</v>
      </c>
    </row>
    <row r="14" spans="1:11" x14ac:dyDescent="0.2">
      <c r="A14" s="1">
        <v>12</v>
      </c>
      <c r="B14" t="s">
        <v>40</v>
      </c>
      <c r="C14" t="s">
        <v>49</v>
      </c>
      <c r="D14" t="s">
        <v>41</v>
      </c>
      <c r="K14" s="1" t="s">
        <v>56</v>
      </c>
    </row>
    <row r="15" spans="1:11" x14ac:dyDescent="0.2">
      <c r="A15" s="1">
        <v>13</v>
      </c>
      <c r="B15" t="s">
        <v>50</v>
      </c>
      <c r="C15" t="s">
        <v>51</v>
      </c>
      <c r="K15" s="1" t="s">
        <v>56</v>
      </c>
    </row>
    <row r="16" spans="1:11" x14ac:dyDescent="0.2">
      <c r="A16" s="1">
        <v>14</v>
      </c>
      <c r="B16" t="s">
        <v>52</v>
      </c>
      <c r="K16" s="1" t="s">
        <v>56</v>
      </c>
    </row>
    <row r="17" spans="1:11" x14ac:dyDescent="0.2">
      <c r="A17" s="1">
        <v>15</v>
      </c>
      <c r="B17" t="s">
        <v>53</v>
      </c>
      <c r="K17" s="1" t="s">
        <v>56</v>
      </c>
    </row>
    <row r="18" spans="1:11" x14ac:dyDescent="0.2">
      <c r="A18" s="1">
        <v>16</v>
      </c>
      <c r="B18" t="s">
        <v>54</v>
      </c>
      <c r="C18" t="s">
        <v>55</v>
      </c>
      <c r="D18" t="s">
        <v>62</v>
      </c>
      <c r="K18" s="1" t="s">
        <v>56</v>
      </c>
    </row>
    <row r="19" spans="1:11" x14ac:dyDescent="0.2">
      <c r="A19" s="1">
        <v>17</v>
      </c>
      <c r="B19" t="s">
        <v>54</v>
      </c>
      <c r="C19" t="s">
        <v>55</v>
      </c>
      <c r="D19" t="s">
        <v>63</v>
      </c>
    </row>
    <row r="21" spans="1:11" x14ac:dyDescent="0.2">
      <c r="B21" t="s">
        <v>42</v>
      </c>
    </row>
    <row r="22" spans="1:11" x14ac:dyDescent="0.2">
      <c r="C22" t="s">
        <v>64</v>
      </c>
    </row>
    <row r="23" spans="1:11" x14ac:dyDescent="0.2">
      <c r="C23" t="s">
        <v>43</v>
      </c>
    </row>
    <row r="24" spans="1:11" x14ac:dyDescent="0.2">
      <c r="C24" t="s">
        <v>44</v>
      </c>
    </row>
    <row r="25" spans="1:11" x14ac:dyDescent="0.2">
      <c r="C25" t="s">
        <v>45</v>
      </c>
    </row>
  </sheetData>
  <autoFilter ref="A2:K19" xr:uid="{2A07CD53-801B-4FC0-AA04-246711E8B5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784C-6E86-B141-B04B-CAC94427524D}">
  <dimension ref="A2:Q40"/>
  <sheetViews>
    <sheetView tabSelected="1" zoomScale="120" zoomScaleNormal="120" workbookViewId="0">
      <pane xSplit="4" ySplit="4" topLeftCell="F5" activePane="bottomRight" state="frozen"/>
      <selection pane="topRight" activeCell="D1" sqref="D1"/>
      <selection pane="bottomLeft" activeCell="A6" sqref="A6"/>
      <selection pane="bottomRight" activeCell="K6" sqref="K6"/>
    </sheetView>
  </sheetViews>
  <sheetFormatPr baseColWidth="10" defaultColWidth="8.6640625" defaultRowHeight="14" x14ac:dyDescent="0.15"/>
  <cols>
    <col min="1" max="1" width="4" style="7" customWidth="1"/>
    <col min="2" max="2" width="23.1640625" style="8" customWidth="1"/>
    <col min="3" max="4" width="11" style="7" customWidth="1"/>
    <col min="5" max="6" width="15.6640625" style="7" customWidth="1"/>
    <col min="7" max="7" width="19.83203125" style="7" customWidth="1"/>
    <col min="8" max="8" width="24.83203125" style="7" customWidth="1"/>
    <col min="9" max="9" width="33.83203125" style="7" customWidth="1"/>
    <col min="10" max="10" width="14.1640625" style="14" customWidth="1"/>
    <col min="11" max="11" width="30.6640625" style="7" customWidth="1"/>
    <col min="12" max="12" width="22" style="7" customWidth="1"/>
    <col min="13" max="13" width="18.33203125" style="7" hidden="1" customWidth="1"/>
    <col min="14" max="14" width="12.1640625" style="7" customWidth="1"/>
    <col min="15" max="15" width="19.1640625" style="7" customWidth="1"/>
    <col min="16" max="16" width="43" style="7" customWidth="1"/>
    <col min="17" max="17" width="18.1640625" style="7" bestFit="1" customWidth="1"/>
    <col min="18" max="18" width="29" style="7" customWidth="1"/>
    <col min="19" max="19" width="14.5" style="7" customWidth="1"/>
    <col min="20" max="20" width="8.6640625" style="7"/>
    <col min="21" max="21" width="17.5" style="7" customWidth="1"/>
    <col min="22" max="16384" width="8.6640625" style="7"/>
  </cols>
  <sheetData>
    <row r="2" spans="1:17" x14ac:dyDescent="0.15">
      <c r="C2" s="15"/>
      <c r="L2" s="9">
        <v>3</v>
      </c>
    </row>
    <row r="3" spans="1:17" x14ac:dyDescent="0.15">
      <c r="O3" s="14"/>
    </row>
    <row r="4" spans="1:17" ht="54" customHeight="1" x14ac:dyDescent="0.15">
      <c r="B4" s="9" t="s">
        <v>163</v>
      </c>
      <c r="C4" s="9" t="s">
        <v>0</v>
      </c>
      <c r="D4" s="9" t="s">
        <v>1</v>
      </c>
      <c r="E4" s="9" t="s">
        <v>2</v>
      </c>
      <c r="F4" s="9" t="s">
        <v>88</v>
      </c>
      <c r="G4" s="9" t="s">
        <v>165</v>
      </c>
      <c r="H4" s="9" t="s">
        <v>4</v>
      </c>
      <c r="I4" s="9" t="s">
        <v>13</v>
      </c>
      <c r="J4" s="9" t="s">
        <v>167</v>
      </c>
      <c r="K4" s="9" t="s">
        <v>5</v>
      </c>
      <c r="L4" s="9" t="s">
        <v>168</v>
      </c>
      <c r="M4" s="28" t="s">
        <v>166</v>
      </c>
      <c r="N4" s="9" t="s">
        <v>174</v>
      </c>
      <c r="O4" s="9" t="s">
        <v>176</v>
      </c>
      <c r="P4" s="9" t="s">
        <v>16</v>
      </c>
      <c r="Q4" s="5"/>
    </row>
    <row r="5" spans="1:17" s="6" customFormat="1" ht="54" customHeight="1" x14ac:dyDescent="0.2">
      <c r="A5" s="6">
        <v>2</v>
      </c>
      <c r="B5" s="13" t="s">
        <v>15</v>
      </c>
      <c r="C5" s="10" t="s">
        <v>6</v>
      </c>
      <c r="D5" s="10" t="s">
        <v>9</v>
      </c>
      <c r="E5" s="10" t="s">
        <v>8</v>
      </c>
      <c r="F5" s="10" t="s">
        <v>24</v>
      </c>
      <c r="G5" s="10" t="s">
        <v>157</v>
      </c>
      <c r="H5" s="10" t="s">
        <v>90</v>
      </c>
      <c r="I5" s="10" t="s">
        <v>14</v>
      </c>
      <c r="J5" s="16" t="s">
        <v>122</v>
      </c>
      <c r="K5" s="10" t="s">
        <v>11</v>
      </c>
      <c r="L5" s="35">
        <f>M5-L$2</f>
        <v>2001</v>
      </c>
      <c r="M5" s="27">
        <v>2004</v>
      </c>
      <c r="N5" s="27" t="s">
        <v>175</v>
      </c>
      <c r="O5" s="11">
        <v>250000000</v>
      </c>
      <c r="P5" s="17" t="s">
        <v>71</v>
      </c>
    </row>
    <row r="6" spans="1:17" s="6" customFormat="1" ht="54" customHeight="1" x14ac:dyDescent="0.2">
      <c r="A6" s="6">
        <v>1</v>
      </c>
      <c r="B6" s="13" t="s">
        <v>15</v>
      </c>
      <c r="C6" s="10" t="s">
        <v>6</v>
      </c>
      <c r="D6" s="10" t="s">
        <v>9</v>
      </c>
      <c r="E6" s="10" t="s">
        <v>8</v>
      </c>
      <c r="F6" s="10" t="s">
        <v>24</v>
      </c>
      <c r="G6" s="10" t="s">
        <v>157</v>
      </c>
      <c r="H6" s="10" t="s">
        <v>90</v>
      </c>
      <c r="I6" s="10" t="s">
        <v>14</v>
      </c>
      <c r="J6" s="16" t="s">
        <v>123</v>
      </c>
      <c r="K6" s="10" t="s">
        <v>10</v>
      </c>
      <c r="L6" s="35">
        <f>M6-L$2</f>
        <v>2003</v>
      </c>
      <c r="M6" s="27">
        <v>2006</v>
      </c>
      <c r="N6" s="27" t="s">
        <v>175</v>
      </c>
      <c r="O6" s="11">
        <v>270000000</v>
      </c>
      <c r="P6" s="17" t="s">
        <v>70</v>
      </c>
    </row>
    <row r="7" spans="1:17" s="6" customFormat="1" ht="54" customHeight="1" x14ac:dyDescent="0.2">
      <c r="A7" s="6">
        <v>3</v>
      </c>
      <c r="B7" s="13" t="s">
        <v>15</v>
      </c>
      <c r="C7" s="10" t="s">
        <v>6</v>
      </c>
      <c r="D7" s="10" t="s">
        <v>9</v>
      </c>
      <c r="E7" s="10" t="s">
        <v>8</v>
      </c>
      <c r="F7" s="10" t="s">
        <v>24</v>
      </c>
      <c r="G7" s="10" t="s">
        <v>157</v>
      </c>
      <c r="H7" s="10" t="s">
        <v>66</v>
      </c>
      <c r="I7" s="10" t="s">
        <v>14</v>
      </c>
      <c r="J7" s="16" t="s">
        <v>124</v>
      </c>
      <c r="K7" s="10" t="s">
        <v>12</v>
      </c>
      <c r="L7" s="35">
        <f>M7-L$2</f>
        <v>2013</v>
      </c>
      <c r="M7" s="27">
        <v>2016</v>
      </c>
      <c r="N7" s="27" t="s">
        <v>175</v>
      </c>
      <c r="O7" s="18">
        <v>306425000</v>
      </c>
      <c r="P7" s="17" t="s">
        <v>72</v>
      </c>
    </row>
    <row r="8" spans="1:17" s="6" customFormat="1" ht="54" customHeight="1" x14ac:dyDescent="0.2">
      <c r="A8" s="6">
        <v>4</v>
      </c>
      <c r="B8" s="13" t="s">
        <v>15</v>
      </c>
      <c r="C8" s="10" t="s">
        <v>6</v>
      </c>
      <c r="D8" s="10" t="s">
        <v>9</v>
      </c>
      <c r="E8" s="10" t="s">
        <v>8</v>
      </c>
      <c r="F8" s="10" t="s">
        <v>24</v>
      </c>
      <c r="G8" s="10" t="s">
        <v>157</v>
      </c>
      <c r="H8" s="10" t="s">
        <v>66</v>
      </c>
      <c r="I8" s="10" t="s">
        <v>21</v>
      </c>
      <c r="J8" s="16" t="s">
        <v>125</v>
      </c>
      <c r="K8" s="10" t="s">
        <v>15</v>
      </c>
      <c r="L8" s="35">
        <v>2016</v>
      </c>
      <c r="M8" s="27">
        <v>2019</v>
      </c>
      <c r="N8" s="27" t="s">
        <v>175</v>
      </c>
      <c r="O8" s="18">
        <v>260577726</v>
      </c>
      <c r="P8" s="19">
        <f>48000*2</f>
        <v>96000</v>
      </c>
      <c r="Q8" s="20"/>
    </row>
    <row r="9" spans="1:17" s="6" customFormat="1" ht="54" customHeight="1" x14ac:dyDescent="0.2">
      <c r="A9" s="6">
        <v>6</v>
      </c>
      <c r="B9" s="13" t="s">
        <v>15</v>
      </c>
      <c r="C9" s="10" t="s">
        <v>6</v>
      </c>
      <c r="D9" s="10" t="s">
        <v>9</v>
      </c>
      <c r="E9" s="10" t="s">
        <v>8</v>
      </c>
      <c r="F9" s="10" t="s">
        <v>24</v>
      </c>
      <c r="G9" s="10" t="s">
        <v>157</v>
      </c>
      <c r="H9" s="10" t="s">
        <v>66</v>
      </c>
      <c r="I9" s="10" t="s">
        <v>65</v>
      </c>
      <c r="J9" s="16" t="s">
        <v>126</v>
      </c>
      <c r="K9" s="10" t="s">
        <v>67</v>
      </c>
      <c r="L9" s="35">
        <f t="shared" ref="L9:L14" si="0">M9-L$2</f>
        <v>2016</v>
      </c>
      <c r="M9" s="27">
        <v>2019</v>
      </c>
      <c r="N9" s="27" t="s">
        <v>175</v>
      </c>
      <c r="O9" s="21">
        <v>230206970</v>
      </c>
      <c r="P9" s="13" t="s">
        <v>69</v>
      </c>
    </row>
    <row r="10" spans="1:17" s="6" customFormat="1" ht="54" customHeight="1" x14ac:dyDescent="0.2">
      <c r="A10" s="6">
        <v>7</v>
      </c>
      <c r="B10" s="13" t="s">
        <v>15</v>
      </c>
      <c r="C10" s="10" t="s">
        <v>173</v>
      </c>
      <c r="D10" s="10" t="s">
        <v>47</v>
      </c>
      <c r="E10" s="10" t="s">
        <v>8</v>
      </c>
      <c r="F10" s="10" t="s">
        <v>24</v>
      </c>
      <c r="G10" s="10" t="s">
        <v>157</v>
      </c>
      <c r="H10" s="10" t="s">
        <v>75</v>
      </c>
      <c r="I10" s="10" t="s">
        <v>74</v>
      </c>
      <c r="J10" s="16" t="s">
        <v>127</v>
      </c>
      <c r="K10" s="10" t="s">
        <v>67</v>
      </c>
      <c r="L10" s="35">
        <f t="shared" si="0"/>
        <v>2017</v>
      </c>
      <c r="M10" s="27">
        <v>2020</v>
      </c>
      <c r="N10" s="27" t="s">
        <v>175</v>
      </c>
      <c r="O10" s="21">
        <v>64113398</v>
      </c>
      <c r="P10" s="13" t="s">
        <v>76</v>
      </c>
    </row>
    <row r="11" spans="1:17" s="6" customFormat="1" ht="54" customHeight="1" x14ac:dyDescent="0.2">
      <c r="A11" s="6">
        <v>5</v>
      </c>
      <c r="B11" s="13" t="s">
        <v>15</v>
      </c>
      <c r="C11" s="10" t="s">
        <v>6</v>
      </c>
      <c r="D11" s="10" t="s">
        <v>9</v>
      </c>
      <c r="E11" s="10" t="s">
        <v>8</v>
      </c>
      <c r="F11" s="10" t="s">
        <v>24</v>
      </c>
      <c r="G11" s="10" t="s">
        <v>157</v>
      </c>
      <c r="H11" s="10" t="s">
        <v>66</v>
      </c>
      <c r="I11" s="10" t="s">
        <v>22</v>
      </c>
      <c r="J11" s="16" t="s">
        <v>128</v>
      </c>
      <c r="K11" s="10" t="s">
        <v>15</v>
      </c>
      <c r="L11" s="35">
        <f t="shared" si="0"/>
        <v>2018</v>
      </c>
      <c r="M11" s="27">
        <v>2021</v>
      </c>
      <c r="N11" s="27" t="s">
        <v>175</v>
      </c>
      <c r="O11" s="21">
        <v>54254980</v>
      </c>
      <c r="P11" s="13" t="s">
        <v>68</v>
      </c>
    </row>
    <row r="12" spans="1:17" s="6" customFormat="1" ht="54" customHeight="1" x14ac:dyDescent="0.2">
      <c r="A12" s="6">
        <v>11</v>
      </c>
      <c r="B12" s="13" t="s">
        <v>23</v>
      </c>
      <c r="C12" s="10" t="s">
        <v>6</v>
      </c>
      <c r="D12" s="10" t="s">
        <v>9</v>
      </c>
      <c r="E12" s="10" t="s">
        <v>17</v>
      </c>
      <c r="F12" s="10" t="s">
        <v>89</v>
      </c>
      <c r="G12" s="10" t="s">
        <v>157</v>
      </c>
      <c r="H12" s="10" t="s">
        <v>84</v>
      </c>
      <c r="I12" s="10" t="s">
        <v>14</v>
      </c>
      <c r="J12" s="16" t="s">
        <v>129</v>
      </c>
      <c r="K12" s="10" t="s">
        <v>85</v>
      </c>
      <c r="L12" s="35">
        <f t="shared" si="0"/>
        <v>2012</v>
      </c>
      <c r="M12" s="27">
        <v>2015</v>
      </c>
      <c r="N12" s="27" t="s">
        <v>175</v>
      </c>
      <c r="O12" s="11">
        <v>88285739</v>
      </c>
      <c r="P12" s="10" t="s">
        <v>73</v>
      </c>
    </row>
    <row r="13" spans="1:17" s="6" customFormat="1" ht="54" customHeight="1" x14ac:dyDescent="0.2">
      <c r="A13" s="6">
        <v>12</v>
      </c>
      <c r="B13" s="13" t="s">
        <v>23</v>
      </c>
      <c r="C13" s="10" t="s">
        <v>6</v>
      </c>
      <c r="D13" s="10" t="s">
        <v>9</v>
      </c>
      <c r="E13" s="10" t="s">
        <v>17</v>
      </c>
      <c r="F13" s="10" t="s">
        <v>89</v>
      </c>
      <c r="G13" s="10" t="s">
        <v>157</v>
      </c>
      <c r="H13" s="10" t="s">
        <v>86</v>
      </c>
      <c r="I13" s="10" t="s">
        <v>14</v>
      </c>
      <c r="J13" s="16" t="s">
        <v>130</v>
      </c>
      <c r="K13" s="10" t="s">
        <v>87</v>
      </c>
      <c r="L13" s="35">
        <f t="shared" si="0"/>
        <v>2013</v>
      </c>
      <c r="M13" s="27">
        <v>2016</v>
      </c>
      <c r="N13" s="27" t="s">
        <v>175</v>
      </c>
      <c r="O13" s="11">
        <v>84406266</v>
      </c>
      <c r="P13" s="10" t="s">
        <v>73</v>
      </c>
    </row>
    <row r="14" spans="1:17" s="6" customFormat="1" ht="54" customHeight="1" x14ac:dyDescent="0.2">
      <c r="A14" s="6">
        <v>10</v>
      </c>
      <c r="B14" s="13" t="s">
        <v>23</v>
      </c>
      <c r="C14" s="10" t="s">
        <v>6</v>
      </c>
      <c r="D14" s="10" t="s">
        <v>9</v>
      </c>
      <c r="E14" s="10" t="s">
        <v>17</v>
      </c>
      <c r="F14" s="10" t="s">
        <v>89</v>
      </c>
      <c r="G14" s="10" t="s">
        <v>157</v>
      </c>
      <c r="H14" s="10" t="s">
        <v>77</v>
      </c>
      <c r="I14" s="10" t="s">
        <v>14</v>
      </c>
      <c r="J14" s="16" t="s">
        <v>131</v>
      </c>
      <c r="K14" s="10" t="s">
        <v>20</v>
      </c>
      <c r="L14" s="35">
        <f t="shared" si="0"/>
        <v>2015</v>
      </c>
      <c r="M14" s="27">
        <v>2018</v>
      </c>
      <c r="N14" s="27" t="s">
        <v>175</v>
      </c>
      <c r="O14" s="11">
        <v>84633449</v>
      </c>
      <c r="P14" s="10" t="s">
        <v>73</v>
      </c>
    </row>
    <row r="15" spans="1:17" s="6" customFormat="1" ht="54" customHeight="1" x14ac:dyDescent="0.2">
      <c r="A15" s="6">
        <v>13</v>
      </c>
      <c r="B15" s="13" t="s">
        <v>23</v>
      </c>
      <c r="C15" s="10" t="s">
        <v>6</v>
      </c>
      <c r="D15" s="10" t="s">
        <v>9</v>
      </c>
      <c r="E15" s="10" t="s">
        <v>17</v>
      </c>
      <c r="F15" s="10" t="s">
        <v>89</v>
      </c>
      <c r="G15" s="10" t="s">
        <v>157</v>
      </c>
      <c r="H15" s="10" t="s">
        <v>79</v>
      </c>
      <c r="I15" s="10" t="s">
        <v>21</v>
      </c>
      <c r="J15" s="16" t="s">
        <v>132</v>
      </c>
      <c r="K15" s="10" t="s">
        <v>171</v>
      </c>
      <c r="L15" s="35">
        <v>2015</v>
      </c>
      <c r="M15" s="27">
        <v>2018</v>
      </c>
      <c r="N15" s="27" t="s">
        <v>175</v>
      </c>
      <c r="O15" s="11">
        <v>91930000</v>
      </c>
      <c r="P15" s="10" t="s">
        <v>83</v>
      </c>
    </row>
    <row r="16" spans="1:17" s="6" customFormat="1" ht="54" customHeight="1" x14ac:dyDescent="0.2">
      <c r="A16" s="6">
        <v>14</v>
      </c>
      <c r="B16" s="13" t="s">
        <v>23</v>
      </c>
      <c r="C16" s="10" t="s">
        <v>6</v>
      </c>
      <c r="D16" s="10" t="s">
        <v>9</v>
      </c>
      <c r="E16" s="10" t="s">
        <v>17</v>
      </c>
      <c r="F16" s="10" t="s">
        <v>89</v>
      </c>
      <c r="G16" s="10" t="s">
        <v>157</v>
      </c>
      <c r="H16" s="10" t="s">
        <v>79</v>
      </c>
      <c r="I16" s="10" t="s">
        <v>21</v>
      </c>
      <c r="J16" s="16" t="s">
        <v>133</v>
      </c>
      <c r="K16" s="10" t="s">
        <v>172</v>
      </c>
      <c r="L16" s="35">
        <v>2015</v>
      </c>
      <c r="M16" s="27">
        <v>2018</v>
      </c>
      <c r="N16" s="27" t="s">
        <v>175</v>
      </c>
      <c r="O16" s="11">
        <v>89155481</v>
      </c>
      <c r="P16" s="10" t="s">
        <v>83</v>
      </c>
    </row>
    <row r="17" spans="1:16" s="6" customFormat="1" ht="54" customHeight="1" x14ac:dyDescent="0.2">
      <c r="A17" s="6">
        <v>19</v>
      </c>
      <c r="B17" s="13" t="s">
        <v>23</v>
      </c>
      <c r="C17" s="10" t="s">
        <v>6</v>
      </c>
      <c r="D17" s="10" t="s">
        <v>9</v>
      </c>
      <c r="E17" s="10" t="s">
        <v>17</v>
      </c>
      <c r="F17" s="10" t="s">
        <v>89</v>
      </c>
      <c r="G17" s="10" t="s">
        <v>157</v>
      </c>
      <c r="H17" s="10" t="s">
        <v>86</v>
      </c>
      <c r="I17" s="10" t="s">
        <v>65</v>
      </c>
      <c r="J17" s="16" t="s">
        <v>134</v>
      </c>
      <c r="K17" s="10" t="s">
        <v>120</v>
      </c>
      <c r="L17" s="35">
        <f>M17-L$2</f>
        <v>2015</v>
      </c>
      <c r="M17" s="27">
        <v>2018</v>
      </c>
      <c r="N17" s="27" t="s">
        <v>175</v>
      </c>
      <c r="O17" s="23">
        <v>97978677</v>
      </c>
      <c r="P17" s="10" t="s">
        <v>73</v>
      </c>
    </row>
    <row r="18" spans="1:16" s="6" customFormat="1" ht="54" customHeight="1" x14ac:dyDescent="0.2">
      <c r="A18" s="6">
        <v>8</v>
      </c>
      <c r="B18" s="13" t="s">
        <v>23</v>
      </c>
      <c r="C18" s="10" t="s">
        <v>6</v>
      </c>
      <c r="D18" s="10" t="s">
        <v>9</v>
      </c>
      <c r="E18" s="10" t="s">
        <v>17</v>
      </c>
      <c r="F18" s="10" t="s">
        <v>89</v>
      </c>
      <c r="G18" s="10" t="s">
        <v>157</v>
      </c>
      <c r="H18" s="10" t="s">
        <v>77</v>
      </c>
      <c r="I18" s="10" t="s">
        <v>14</v>
      </c>
      <c r="J18" s="16" t="s">
        <v>135</v>
      </c>
      <c r="K18" s="10" t="s">
        <v>18</v>
      </c>
      <c r="L18" s="35">
        <f>M18-L$2</f>
        <v>2016</v>
      </c>
      <c r="M18" s="27">
        <v>2019</v>
      </c>
      <c r="N18" s="27" t="s">
        <v>175</v>
      </c>
      <c r="O18" s="11">
        <v>86456551</v>
      </c>
      <c r="P18" s="10" t="s">
        <v>73</v>
      </c>
    </row>
    <row r="19" spans="1:16" s="6" customFormat="1" ht="54" customHeight="1" x14ac:dyDescent="0.2">
      <c r="A19" s="6">
        <v>9</v>
      </c>
      <c r="B19" s="13" t="s">
        <v>23</v>
      </c>
      <c r="C19" s="10" t="s">
        <v>6</v>
      </c>
      <c r="D19" s="10" t="s">
        <v>9</v>
      </c>
      <c r="E19" s="10" t="s">
        <v>17</v>
      </c>
      <c r="F19" s="10" t="s">
        <v>89</v>
      </c>
      <c r="G19" s="10" t="s">
        <v>157</v>
      </c>
      <c r="H19" s="10" t="s">
        <v>78</v>
      </c>
      <c r="I19" s="10" t="s">
        <v>14</v>
      </c>
      <c r="J19" s="16" t="s">
        <v>136</v>
      </c>
      <c r="K19" s="10" t="s">
        <v>19</v>
      </c>
      <c r="L19" s="35">
        <f>M19-L$2</f>
        <v>2016</v>
      </c>
      <c r="M19" s="27">
        <v>2019</v>
      </c>
      <c r="N19" s="27" t="s">
        <v>175</v>
      </c>
      <c r="O19" s="11">
        <v>89400000</v>
      </c>
      <c r="P19" s="10" t="s">
        <v>73</v>
      </c>
    </row>
    <row r="20" spans="1:16" s="6" customFormat="1" ht="54" customHeight="1" x14ac:dyDescent="0.2">
      <c r="A20" s="6">
        <v>15</v>
      </c>
      <c r="B20" s="13" t="s">
        <v>23</v>
      </c>
      <c r="C20" s="10" t="s">
        <v>6</v>
      </c>
      <c r="D20" s="10" t="s">
        <v>9</v>
      </c>
      <c r="E20" s="10" t="s">
        <v>17</v>
      </c>
      <c r="F20" s="10" t="s">
        <v>89</v>
      </c>
      <c r="G20" s="10" t="s">
        <v>157</v>
      </c>
      <c r="H20" s="10" t="s">
        <v>78</v>
      </c>
      <c r="I20" s="10" t="s">
        <v>21</v>
      </c>
      <c r="J20" s="16" t="s">
        <v>137</v>
      </c>
      <c r="K20" s="10" t="s">
        <v>81</v>
      </c>
      <c r="L20" s="35">
        <v>2017</v>
      </c>
      <c r="M20" s="27">
        <v>2020</v>
      </c>
      <c r="N20" s="27" t="s">
        <v>175</v>
      </c>
      <c r="O20" s="11">
        <v>93008749</v>
      </c>
      <c r="P20" s="10" t="s">
        <v>83</v>
      </c>
    </row>
    <row r="21" spans="1:16" s="6" customFormat="1" ht="54" customHeight="1" x14ac:dyDescent="0.2">
      <c r="A21" s="6">
        <v>16</v>
      </c>
      <c r="B21" s="13" t="s">
        <v>23</v>
      </c>
      <c r="C21" s="10" t="s">
        <v>6</v>
      </c>
      <c r="D21" s="10" t="s">
        <v>9</v>
      </c>
      <c r="E21" s="10" t="s">
        <v>17</v>
      </c>
      <c r="F21" s="10" t="s">
        <v>89</v>
      </c>
      <c r="G21" s="10" t="s">
        <v>157</v>
      </c>
      <c r="H21" s="10" t="s">
        <v>78</v>
      </c>
      <c r="I21" s="10" t="s">
        <v>21</v>
      </c>
      <c r="J21" s="16" t="s">
        <v>138</v>
      </c>
      <c r="K21" s="10" t="s">
        <v>169</v>
      </c>
      <c r="L21" s="35">
        <v>2017</v>
      </c>
      <c r="M21" s="27">
        <v>2020</v>
      </c>
      <c r="N21" s="27" t="s">
        <v>175</v>
      </c>
      <c r="O21" s="11">
        <f>180616272/2</f>
        <v>90308136</v>
      </c>
      <c r="P21" s="10" t="s">
        <v>83</v>
      </c>
    </row>
    <row r="22" spans="1:16" s="6" customFormat="1" ht="54" customHeight="1" x14ac:dyDescent="0.2">
      <c r="A22" s="6">
        <v>16</v>
      </c>
      <c r="B22" s="13" t="s">
        <v>23</v>
      </c>
      <c r="C22" s="10" t="s">
        <v>6</v>
      </c>
      <c r="D22" s="10" t="s">
        <v>9</v>
      </c>
      <c r="E22" s="10" t="s">
        <v>17</v>
      </c>
      <c r="F22" s="10" t="s">
        <v>89</v>
      </c>
      <c r="G22" s="10" t="s">
        <v>157</v>
      </c>
      <c r="H22" s="10" t="s">
        <v>78</v>
      </c>
      <c r="I22" s="10" t="s">
        <v>21</v>
      </c>
      <c r="J22" s="16" t="s">
        <v>138</v>
      </c>
      <c r="K22" s="10" t="s">
        <v>170</v>
      </c>
      <c r="L22" s="35">
        <v>2017</v>
      </c>
      <c r="M22" s="27">
        <v>2020</v>
      </c>
      <c r="N22" s="27" t="s">
        <v>175</v>
      </c>
      <c r="O22" s="11">
        <f>180616272/2</f>
        <v>90308136</v>
      </c>
      <c r="P22" s="10" t="s">
        <v>83</v>
      </c>
    </row>
    <row r="23" spans="1:16" s="6" customFormat="1" ht="54" customHeight="1" x14ac:dyDescent="0.2">
      <c r="A23" s="6">
        <v>17</v>
      </c>
      <c r="B23" s="13" t="s">
        <v>23</v>
      </c>
      <c r="C23" s="10" t="s">
        <v>6</v>
      </c>
      <c r="D23" s="10" t="s">
        <v>9</v>
      </c>
      <c r="E23" s="10" t="s">
        <v>17</v>
      </c>
      <c r="F23" s="10" t="s">
        <v>89</v>
      </c>
      <c r="G23" s="10" t="s">
        <v>157</v>
      </c>
      <c r="H23" s="10" t="s">
        <v>80</v>
      </c>
      <c r="I23" s="10" t="s">
        <v>21</v>
      </c>
      <c r="J23" s="16" t="s">
        <v>139</v>
      </c>
      <c r="K23" s="10" t="s">
        <v>82</v>
      </c>
      <c r="L23" s="35">
        <v>2019</v>
      </c>
      <c r="M23" s="27">
        <v>2020</v>
      </c>
      <c r="N23" s="27" t="s">
        <v>175</v>
      </c>
      <c r="O23" s="11">
        <v>78387596</v>
      </c>
      <c r="P23" s="10" t="s">
        <v>83</v>
      </c>
    </row>
    <row r="24" spans="1:16" s="6" customFormat="1" ht="54" customHeight="1" x14ac:dyDescent="0.2">
      <c r="A24" s="6">
        <v>18</v>
      </c>
      <c r="B24" s="13" t="s">
        <v>23</v>
      </c>
      <c r="C24" s="10" t="s">
        <v>6</v>
      </c>
      <c r="D24" s="10" t="s">
        <v>9</v>
      </c>
      <c r="E24" s="10" t="s">
        <v>17</v>
      </c>
      <c r="F24" s="10" t="s">
        <v>89</v>
      </c>
      <c r="G24" s="10" t="s">
        <v>157</v>
      </c>
      <c r="H24" s="10" t="s">
        <v>86</v>
      </c>
      <c r="I24" s="10" t="s">
        <v>65</v>
      </c>
      <c r="J24" s="16" t="s">
        <v>140</v>
      </c>
      <c r="K24" s="10" t="s">
        <v>119</v>
      </c>
      <c r="L24" s="35">
        <f t="shared" ref="L24:L40" si="1">M24-L$2</f>
        <v>2018</v>
      </c>
      <c r="M24" s="27">
        <v>2021</v>
      </c>
      <c r="N24" s="27" t="s">
        <v>175</v>
      </c>
      <c r="O24" s="22">
        <v>103200765</v>
      </c>
      <c r="P24" s="10" t="s">
        <v>73</v>
      </c>
    </row>
    <row r="25" spans="1:16" s="6" customFormat="1" ht="54" customHeight="1" x14ac:dyDescent="0.2">
      <c r="A25" s="6">
        <v>20</v>
      </c>
      <c r="B25" s="13" t="s">
        <v>23</v>
      </c>
      <c r="C25" s="10" t="s">
        <v>6</v>
      </c>
      <c r="D25" s="10" t="s">
        <v>9</v>
      </c>
      <c r="E25" s="10" t="s">
        <v>17</v>
      </c>
      <c r="F25" s="10" t="s">
        <v>89</v>
      </c>
      <c r="G25" s="10" t="s">
        <v>157</v>
      </c>
      <c r="H25" s="10" t="s">
        <v>86</v>
      </c>
      <c r="I25" s="10" t="s">
        <v>118</v>
      </c>
      <c r="J25" s="16" t="s">
        <v>141</v>
      </c>
      <c r="K25" s="10" t="s">
        <v>121</v>
      </c>
      <c r="L25" s="35">
        <f t="shared" si="1"/>
        <v>2020</v>
      </c>
      <c r="M25" s="27">
        <v>2023</v>
      </c>
      <c r="N25" s="27" t="s">
        <v>175</v>
      </c>
      <c r="O25" s="23">
        <v>89650014</v>
      </c>
      <c r="P25" s="10" t="s">
        <v>73</v>
      </c>
    </row>
    <row r="26" spans="1:16" s="6" customFormat="1" ht="54" customHeight="1" x14ac:dyDescent="0.2">
      <c r="A26" s="6">
        <v>34</v>
      </c>
      <c r="B26" s="13" t="s">
        <v>105</v>
      </c>
      <c r="C26" s="10" t="s">
        <v>6</v>
      </c>
      <c r="D26" s="10" t="s">
        <v>9</v>
      </c>
      <c r="E26" s="10" t="s">
        <v>8</v>
      </c>
      <c r="F26" s="10" t="s">
        <v>105</v>
      </c>
      <c r="G26" s="10" t="s">
        <v>157</v>
      </c>
      <c r="H26" s="10" t="s">
        <v>96</v>
      </c>
      <c r="I26" s="10" t="s">
        <v>14</v>
      </c>
      <c r="J26" s="16" t="s">
        <v>148</v>
      </c>
      <c r="K26" s="10" t="s">
        <v>97</v>
      </c>
      <c r="L26" s="35">
        <f t="shared" si="1"/>
        <v>2012</v>
      </c>
      <c r="M26" s="27">
        <v>2015</v>
      </c>
      <c r="N26" s="27" t="s">
        <v>175</v>
      </c>
      <c r="O26" s="26">
        <v>22000000</v>
      </c>
      <c r="P26" s="13" t="s">
        <v>98</v>
      </c>
    </row>
    <row r="27" spans="1:16" s="6" customFormat="1" ht="54" customHeight="1" x14ac:dyDescent="0.2">
      <c r="A27" s="6">
        <v>35</v>
      </c>
      <c r="B27" s="13" t="s">
        <v>105</v>
      </c>
      <c r="C27" s="10" t="s">
        <v>6</v>
      </c>
      <c r="D27" s="10" t="s">
        <v>9</v>
      </c>
      <c r="E27" s="10" t="s">
        <v>8</v>
      </c>
      <c r="F27" s="10" t="s">
        <v>105</v>
      </c>
      <c r="G27" s="10" t="s">
        <v>157</v>
      </c>
      <c r="H27" s="10" t="s">
        <v>99</v>
      </c>
      <c r="I27" s="10" t="s">
        <v>14</v>
      </c>
      <c r="J27" s="16" t="s">
        <v>149</v>
      </c>
      <c r="K27" s="10" t="s">
        <v>100</v>
      </c>
      <c r="L27" s="35">
        <f t="shared" si="1"/>
        <v>2016</v>
      </c>
      <c r="M27" s="27">
        <v>2019</v>
      </c>
      <c r="N27" s="27" t="s">
        <v>175</v>
      </c>
      <c r="O27" s="26">
        <v>27000000</v>
      </c>
      <c r="P27" s="13" t="s">
        <v>98</v>
      </c>
    </row>
    <row r="28" spans="1:16" s="6" customFormat="1" ht="54" customHeight="1" x14ac:dyDescent="0.2">
      <c r="A28" s="6">
        <v>33</v>
      </c>
      <c r="B28" s="13" t="s">
        <v>105</v>
      </c>
      <c r="C28" s="10" t="s">
        <v>6</v>
      </c>
      <c r="D28" s="10" t="s">
        <v>7</v>
      </c>
      <c r="E28" s="10" t="s">
        <v>8</v>
      </c>
      <c r="F28" s="10" t="s">
        <v>105</v>
      </c>
      <c r="G28" s="10" t="s">
        <v>91</v>
      </c>
      <c r="H28" s="10" t="s">
        <v>93</v>
      </c>
      <c r="I28" s="10" t="s">
        <v>92</v>
      </c>
      <c r="J28" s="16" t="s">
        <v>150</v>
      </c>
      <c r="K28" s="10" t="s">
        <v>112</v>
      </c>
      <c r="L28" s="35">
        <f t="shared" si="1"/>
        <v>2017</v>
      </c>
      <c r="M28" s="27">
        <v>2020</v>
      </c>
      <c r="N28" s="27" t="s">
        <v>175</v>
      </c>
      <c r="O28" s="12">
        <v>12000000</v>
      </c>
      <c r="P28" s="17"/>
    </row>
    <row r="29" spans="1:16" s="6" customFormat="1" ht="54" customHeight="1" x14ac:dyDescent="0.2">
      <c r="A29" s="6">
        <v>27</v>
      </c>
      <c r="B29" s="13" t="s">
        <v>105</v>
      </c>
      <c r="C29" s="10" t="s">
        <v>6</v>
      </c>
      <c r="D29" s="10" t="s">
        <v>9</v>
      </c>
      <c r="E29" s="10" t="s">
        <v>8</v>
      </c>
      <c r="F29" s="10" t="s">
        <v>105</v>
      </c>
      <c r="G29" s="10" t="s">
        <v>160</v>
      </c>
      <c r="H29" s="10" t="s">
        <v>107</v>
      </c>
      <c r="I29" s="10" t="s">
        <v>106</v>
      </c>
      <c r="J29" s="16" t="s">
        <v>151</v>
      </c>
      <c r="K29" s="10" t="s">
        <v>111</v>
      </c>
      <c r="L29" s="35">
        <f t="shared" si="1"/>
        <v>2023</v>
      </c>
      <c r="M29" s="27">
        <v>2026</v>
      </c>
      <c r="N29" s="27" t="s">
        <v>175</v>
      </c>
      <c r="O29" s="12">
        <v>18000000</v>
      </c>
      <c r="P29" s="17"/>
    </row>
    <row r="30" spans="1:16" s="6" customFormat="1" ht="54" customHeight="1" x14ac:dyDescent="0.2">
      <c r="A30" s="6">
        <v>28</v>
      </c>
      <c r="B30" s="13" t="s">
        <v>105</v>
      </c>
      <c r="C30" s="10" t="s">
        <v>6</v>
      </c>
      <c r="D30" s="10" t="s">
        <v>9</v>
      </c>
      <c r="E30" s="10" t="s">
        <v>8</v>
      </c>
      <c r="F30" s="10" t="s">
        <v>105</v>
      </c>
      <c r="G30" s="10" t="s">
        <v>160</v>
      </c>
      <c r="H30" s="10" t="s">
        <v>107</v>
      </c>
      <c r="I30" s="10" t="s">
        <v>106</v>
      </c>
      <c r="J30" s="16" t="s">
        <v>152</v>
      </c>
      <c r="K30" s="10" t="s">
        <v>108</v>
      </c>
      <c r="L30" s="35">
        <f t="shared" si="1"/>
        <v>2023</v>
      </c>
      <c r="M30" s="27">
        <v>2026</v>
      </c>
      <c r="N30" s="27" t="s">
        <v>175</v>
      </c>
      <c r="O30" s="12">
        <v>22000000</v>
      </c>
      <c r="P30" s="17"/>
    </row>
    <row r="31" spans="1:16" s="6" customFormat="1" ht="54" customHeight="1" x14ac:dyDescent="0.2">
      <c r="A31" s="6">
        <v>29</v>
      </c>
      <c r="B31" s="13" t="s">
        <v>105</v>
      </c>
      <c r="C31" s="10" t="s">
        <v>6</v>
      </c>
      <c r="D31" s="10" t="s">
        <v>9</v>
      </c>
      <c r="E31" s="10" t="s">
        <v>8</v>
      </c>
      <c r="F31" s="10" t="s">
        <v>105</v>
      </c>
      <c r="G31" s="10" t="s">
        <v>162</v>
      </c>
      <c r="H31" s="10" t="s">
        <v>107</v>
      </c>
      <c r="I31" s="10" t="s">
        <v>110</v>
      </c>
      <c r="J31" s="16" t="s">
        <v>153</v>
      </c>
      <c r="K31" s="10" t="s">
        <v>113</v>
      </c>
      <c r="L31" s="35">
        <f t="shared" si="1"/>
        <v>2023</v>
      </c>
      <c r="M31" s="27">
        <v>2026</v>
      </c>
      <c r="N31" s="27" t="s">
        <v>175</v>
      </c>
      <c r="O31" s="12">
        <v>18000000</v>
      </c>
      <c r="P31" s="17"/>
    </row>
    <row r="32" spans="1:16" s="6" customFormat="1" ht="54" customHeight="1" x14ac:dyDescent="0.2">
      <c r="A32" s="6">
        <v>30</v>
      </c>
      <c r="B32" s="13" t="s">
        <v>105</v>
      </c>
      <c r="C32" s="10" t="s">
        <v>6</v>
      </c>
      <c r="D32" s="10" t="s">
        <v>9</v>
      </c>
      <c r="E32" s="10" t="s">
        <v>8</v>
      </c>
      <c r="F32" s="10" t="s">
        <v>105</v>
      </c>
      <c r="G32" s="10" t="s">
        <v>162</v>
      </c>
      <c r="H32" s="10" t="s">
        <v>107</v>
      </c>
      <c r="I32" s="10" t="s">
        <v>110</v>
      </c>
      <c r="J32" s="16" t="s">
        <v>154</v>
      </c>
      <c r="K32" s="10" t="s">
        <v>114</v>
      </c>
      <c r="L32" s="35">
        <f t="shared" si="1"/>
        <v>2023</v>
      </c>
      <c r="M32" s="27">
        <v>2026</v>
      </c>
      <c r="N32" s="27" t="s">
        <v>175</v>
      </c>
      <c r="O32" s="12">
        <v>15000000</v>
      </c>
      <c r="P32" s="17"/>
    </row>
    <row r="33" spans="1:16" s="6" customFormat="1" ht="54" customHeight="1" x14ac:dyDescent="0.2">
      <c r="A33" s="6">
        <v>31</v>
      </c>
      <c r="B33" s="13" t="s">
        <v>105</v>
      </c>
      <c r="C33" s="10" t="s">
        <v>6</v>
      </c>
      <c r="D33" s="10" t="s">
        <v>9</v>
      </c>
      <c r="E33" s="10" t="s">
        <v>8</v>
      </c>
      <c r="F33" s="10" t="s">
        <v>105</v>
      </c>
      <c r="G33" s="10" t="s">
        <v>162</v>
      </c>
      <c r="H33" s="10" t="s">
        <v>107</v>
      </c>
      <c r="I33" s="10" t="s">
        <v>110</v>
      </c>
      <c r="J33" s="16" t="s">
        <v>155</v>
      </c>
      <c r="K33" s="10" t="s">
        <v>115</v>
      </c>
      <c r="L33" s="35">
        <f t="shared" si="1"/>
        <v>2023</v>
      </c>
      <c r="M33" s="27">
        <v>2026</v>
      </c>
      <c r="N33" s="27" t="s">
        <v>175</v>
      </c>
      <c r="O33" s="12">
        <v>15000000</v>
      </c>
      <c r="P33" s="17"/>
    </row>
    <row r="34" spans="1:16" s="6" customFormat="1" ht="54" customHeight="1" x14ac:dyDescent="0.2">
      <c r="A34" s="6">
        <v>32</v>
      </c>
      <c r="B34" s="13" t="s">
        <v>105</v>
      </c>
      <c r="C34" s="10" t="s">
        <v>6</v>
      </c>
      <c r="D34" s="10" t="s">
        <v>9</v>
      </c>
      <c r="E34" s="10" t="s">
        <v>8</v>
      </c>
      <c r="F34" s="10" t="s">
        <v>105</v>
      </c>
      <c r="G34" s="10" t="s">
        <v>162</v>
      </c>
      <c r="H34" s="10" t="s">
        <v>107</v>
      </c>
      <c r="I34" s="10" t="s">
        <v>110</v>
      </c>
      <c r="J34" s="16" t="s">
        <v>156</v>
      </c>
      <c r="K34" s="10" t="s">
        <v>116</v>
      </c>
      <c r="L34" s="35">
        <f t="shared" si="1"/>
        <v>2023</v>
      </c>
      <c r="M34" s="27">
        <v>2026</v>
      </c>
      <c r="N34" s="27" t="s">
        <v>175</v>
      </c>
      <c r="O34" s="12">
        <v>17500000</v>
      </c>
      <c r="P34" s="17" t="s">
        <v>117</v>
      </c>
    </row>
    <row r="35" spans="1:16" s="6" customFormat="1" ht="54" customHeight="1" x14ac:dyDescent="0.2">
      <c r="A35" s="6">
        <v>22</v>
      </c>
      <c r="B35" s="13" t="s">
        <v>164</v>
      </c>
      <c r="C35" s="10" t="s">
        <v>6</v>
      </c>
      <c r="D35" s="10" t="s">
        <v>9</v>
      </c>
      <c r="E35" s="10" t="s">
        <v>8</v>
      </c>
      <c r="F35" s="10" t="s">
        <v>109</v>
      </c>
      <c r="G35" s="10" t="s">
        <v>157</v>
      </c>
      <c r="H35" s="10" t="s">
        <v>96</v>
      </c>
      <c r="I35" s="10" t="s">
        <v>14</v>
      </c>
      <c r="J35" s="16" t="s">
        <v>142</v>
      </c>
      <c r="K35" s="10" t="s">
        <v>97</v>
      </c>
      <c r="L35" s="35">
        <f t="shared" si="1"/>
        <v>2012</v>
      </c>
      <c r="M35" s="27">
        <v>2015</v>
      </c>
      <c r="N35" s="27" t="s">
        <v>175</v>
      </c>
      <c r="O35" s="25">
        <v>22000000</v>
      </c>
      <c r="P35" s="10" t="s">
        <v>98</v>
      </c>
    </row>
    <row r="36" spans="1:16" s="6" customFormat="1" ht="54" customHeight="1" x14ac:dyDescent="0.2">
      <c r="A36" s="6">
        <v>23</v>
      </c>
      <c r="B36" s="13" t="s">
        <v>164</v>
      </c>
      <c r="C36" s="10" t="s">
        <v>6</v>
      </c>
      <c r="D36" s="10" t="s">
        <v>9</v>
      </c>
      <c r="E36" s="10" t="s">
        <v>8</v>
      </c>
      <c r="F36" s="10" t="s">
        <v>109</v>
      </c>
      <c r="G36" s="10" t="s">
        <v>157</v>
      </c>
      <c r="H36" s="10" t="s">
        <v>99</v>
      </c>
      <c r="I36" s="10" t="s">
        <v>14</v>
      </c>
      <c r="J36" s="16" t="s">
        <v>143</v>
      </c>
      <c r="K36" s="10" t="s">
        <v>100</v>
      </c>
      <c r="L36" s="35">
        <f t="shared" si="1"/>
        <v>2016</v>
      </c>
      <c r="M36" s="27">
        <v>2019</v>
      </c>
      <c r="N36" s="27" t="s">
        <v>175</v>
      </c>
      <c r="O36" s="25">
        <v>27000000</v>
      </c>
      <c r="P36" s="10" t="s">
        <v>98</v>
      </c>
    </row>
    <row r="37" spans="1:16" s="6" customFormat="1" ht="54" customHeight="1" x14ac:dyDescent="0.2">
      <c r="A37" s="6">
        <v>21</v>
      </c>
      <c r="B37" s="13" t="s">
        <v>164</v>
      </c>
      <c r="C37" s="10" t="s">
        <v>6</v>
      </c>
      <c r="D37" s="10" t="s">
        <v>7</v>
      </c>
      <c r="E37" s="10" t="s">
        <v>8</v>
      </c>
      <c r="F37" s="10" t="s">
        <v>109</v>
      </c>
      <c r="G37" s="10" t="s">
        <v>91</v>
      </c>
      <c r="H37" s="10" t="s">
        <v>93</v>
      </c>
      <c r="I37" s="10" t="s">
        <v>92</v>
      </c>
      <c r="J37" s="16" t="s">
        <v>144</v>
      </c>
      <c r="K37" s="10" t="s">
        <v>94</v>
      </c>
      <c r="L37" s="35">
        <f t="shared" si="1"/>
        <v>2017</v>
      </c>
      <c r="M37" s="27">
        <v>2020</v>
      </c>
      <c r="N37" s="27" t="s">
        <v>175</v>
      </c>
      <c r="O37" s="24">
        <v>15000000</v>
      </c>
      <c r="P37" s="10" t="s">
        <v>95</v>
      </c>
    </row>
    <row r="38" spans="1:16" s="6" customFormat="1" ht="54" customHeight="1" x14ac:dyDescent="0.2">
      <c r="A38" s="6">
        <v>24</v>
      </c>
      <c r="B38" s="13" t="s">
        <v>164</v>
      </c>
      <c r="C38" s="10" t="s">
        <v>6</v>
      </c>
      <c r="D38" s="10" t="s">
        <v>7</v>
      </c>
      <c r="E38" s="10" t="s">
        <v>8</v>
      </c>
      <c r="F38" s="10" t="s">
        <v>109</v>
      </c>
      <c r="G38" s="10" t="s">
        <v>158</v>
      </c>
      <c r="H38" s="10" t="s">
        <v>93</v>
      </c>
      <c r="I38" s="10" t="s">
        <v>101</v>
      </c>
      <c r="J38" s="16" t="s">
        <v>145</v>
      </c>
      <c r="K38" s="10" t="s">
        <v>94</v>
      </c>
      <c r="L38" s="35">
        <f t="shared" si="1"/>
        <v>2019</v>
      </c>
      <c r="M38" s="27">
        <v>2022</v>
      </c>
      <c r="N38" s="27" t="s">
        <v>175</v>
      </c>
      <c r="O38" s="25">
        <v>6000000</v>
      </c>
      <c r="P38" s="10" t="s">
        <v>95</v>
      </c>
    </row>
    <row r="39" spans="1:16" s="6" customFormat="1" ht="54" customHeight="1" x14ac:dyDescent="0.2">
      <c r="A39" s="6">
        <v>25</v>
      </c>
      <c r="B39" s="13" t="s">
        <v>164</v>
      </c>
      <c r="C39" s="10" t="s">
        <v>6</v>
      </c>
      <c r="D39" s="10" t="s">
        <v>7</v>
      </c>
      <c r="E39" s="10" t="s">
        <v>8</v>
      </c>
      <c r="F39" s="10" t="s">
        <v>109</v>
      </c>
      <c r="G39" s="10" t="s">
        <v>159</v>
      </c>
      <c r="H39" s="10" t="s">
        <v>99</v>
      </c>
      <c r="I39" s="10" t="s">
        <v>102</v>
      </c>
      <c r="J39" s="16" t="s">
        <v>146</v>
      </c>
      <c r="K39" s="10" t="s">
        <v>94</v>
      </c>
      <c r="L39" s="35">
        <f t="shared" si="1"/>
        <v>2021</v>
      </c>
      <c r="M39" s="27">
        <v>2024</v>
      </c>
      <c r="N39" s="27" t="s">
        <v>175</v>
      </c>
      <c r="O39" s="25">
        <v>15000000</v>
      </c>
      <c r="P39" s="10" t="s">
        <v>95</v>
      </c>
    </row>
    <row r="40" spans="1:16" s="6" customFormat="1" ht="54" customHeight="1" x14ac:dyDescent="0.2">
      <c r="A40" s="6">
        <v>26</v>
      </c>
      <c r="B40" s="13" t="s">
        <v>164</v>
      </c>
      <c r="C40" s="10" t="s">
        <v>26</v>
      </c>
      <c r="D40" s="10" t="s">
        <v>103</v>
      </c>
      <c r="E40" s="10" t="s">
        <v>8</v>
      </c>
      <c r="F40" s="10" t="s">
        <v>109</v>
      </c>
      <c r="G40" s="10" t="s">
        <v>161</v>
      </c>
      <c r="H40" s="10" t="s">
        <v>77</v>
      </c>
      <c r="I40" s="10" t="s">
        <v>104</v>
      </c>
      <c r="J40" s="16" t="s">
        <v>147</v>
      </c>
      <c r="K40" s="10" t="s">
        <v>94</v>
      </c>
      <c r="L40" s="35">
        <f t="shared" si="1"/>
        <v>2021</v>
      </c>
      <c r="M40" s="27">
        <v>2024</v>
      </c>
      <c r="N40" s="27" t="s">
        <v>175</v>
      </c>
      <c r="O40" s="25">
        <v>35000000</v>
      </c>
      <c r="P40" s="10" t="s">
        <v>95</v>
      </c>
    </row>
  </sheetData>
  <autoFilter ref="A4:P40" xr:uid="{E327784C-6E86-B141-B04B-CAC94427524D}"/>
  <sortState xmlns:xlrd2="http://schemas.microsoft.com/office/spreadsheetml/2017/richdata2" ref="A5:Q40">
    <sortCondition ref="J5:J40"/>
  </sortState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6571-8E82-CB45-BC51-81BB8B3FDC2A}">
  <dimension ref="F34:H64"/>
  <sheetViews>
    <sheetView workbookViewId="0">
      <selection activeCell="J60" sqref="J60"/>
    </sheetView>
  </sheetViews>
  <sheetFormatPr baseColWidth="10" defaultRowHeight="16" x14ac:dyDescent="0.2"/>
  <cols>
    <col min="1" max="16384" width="10.83203125" style="32"/>
  </cols>
  <sheetData>
    <row r="34" spans="6:8" ht="19" x14ac:dyDescent="0.25">
      <c r="F34" s="29">
        <v>2000</v>
      </c>
      <c r="G34" s="30">
        <v>1.35E-2</v>
      </c>
      <c r="H34" s="31">
        <v>1</v>
      </c>
    </row>
    <row r="35" spans="6:8" ht="19" x14ac:dyDescent="0.25">
      <c r="F35" s="29">
        <v>2001</v>
      </c>
      <c r="G35" s="30">
        <v>2.8000000000000001E-2</v>
      </c>
      <c r="H35" s="31">
        <f>H34+G35</f>
        <v>1.028</v>
      </c>
    </row>
    <row r="36" spans="6:8" ht="19" x14ac:dyDescent="0.25">
      <c r="F36" s="29">
        <v>2002</v>
      </c>
      <c r="G36" s="30">
        <v>2.9000000000000001E-2</v>
      </c>
      <c r="H36" s="31">
        <f t="shared" ref="H36:H57" si="0">H35+G36</f>
        <v>1.0569999999999999</v>
      </c>
    </row>
    <row r="37" spans="6:8" ht="19" x14ac:dyDescent="0.25">
      <c r="F37" s="29">
        <v>2003</v>
      </c>
      <c r="G37" s="30">
        <v>3.1E-2</v>
      </c>
      <c r="H37" s="31">
        <f t="shared" si="0"/>
        <v>1.0879999999999999</v>
      </c>
    </row>
    <row r="38" spans="6:8" ht="19" x14ac:dyDescent="0.25">
      <c r="F38" s="29">
        <v>2004</v>
      </c>
      <c r="G38" s="30">
        <v>0.05</v>
      </c>
      <c r="H38" s="31">
        <f t="shared" si="0"/>
        <v>1.1379999999999999</v>
      </c>
    </row>
    <row r="39" spans="6:8" ht="19" x14ac:dyDescent="0.25">
      <c r="F39" s="29">
        <v>2005</v>
      </c>
      <c r="G39" s="30">
        <v>6.2E-2</v>
      </c>
      <c r="H39" s="31">
        <f t="shared" si="0"/>
        <v>1.2</v>
      </c>
    </row>
    <row r="40" spans="6:8" ht="19" x14ac:dyDescent="0.25">
      <c r="F40" s="29">
        <v>2006</v>
      </c>
      <c r="G40" s="30">
        <v>9.2999999999999999E-2</v>
      </c>
      <c r="H40" s="31">
        <f t="shared" si="0"/>
        <v>1.2929999999999999</v>
      </c>
    </row>
    <row r="41" spans="6:8" ht="19" x14ac:dyDescent="0.25">
      <c r="F41" s="29">
        <v>2007</v>
      </c>
      <c r="G41" s="30">
        <v>0.111</v>
      </c>
      <c r="H41" s="31">
        <f t="shared" si="0"/>
        <v>1.4039999999999999</v>
      </c>
    </row>
    <row r="42" spans="6:8" ht="19" x14ac:dyDescent="0.25">
      <c r="F42" s="29">
        <v>2008</v>
      </c>
      <c r="G42" s="30">
        <v>0.1225</v>
      </c>
      <c r="H42" s="31">
        <f t="shared" si="0"/>
        <v>1.5265</v>
      </c>
    </row>
    <row r="43" spans="6:8" ht="19" x14ac:dyDescent="0.25">
      <c r="F43" s="29">
        <v>2009</v>
      </c>
      <c r="G43" s="30">
        <v>1.5599999999999999E-2</v>
      </c>
      <c r="H43" s="31">
        <f t="shared" si="0"/>
        <v>1.5421</v>
      </c>
    </row>
    <row r="44" spans="6:8" ht="19" x14ac:dyDescent="0.25">
      <c r="F44" s="29">
        <v>2010</v>
      </c>
      <c r="G44" s="30">
        <v>8.8000000000000005E-3</v>
      </c>
      <c r="H44" s="31">
        <f t="shared" si="0"/>
        <v>1.5508999999999999</v>
      </c>
    </row>
    <row r="45" spans="6:8" ht="19" x14ac:dyDescent="0.25">
      <c r="F45" s="29">
        <v>2011</v>
      </c>
      <c r="G45" s="30">
        <v>8.8000000000000005E-3</v>
      </c>
      <c r="H45" s="31">
        <f t="shared" si="0"/>
        <v>1.5596999999999999</v>
      </c>
    </row>
    <row r="46" spans="6:8" ht="19" x14ac:dyDescent="0.25">
      <c r="F46" s="29">
        <v>2012</v>
      </c>
      <c r="G46" s="30">
        <v>6.6E-3</v>
      </c>
      <c r="H46" s="31">
        <f t="shared" si="0"/>
        <v>1.5662999999999998</v>
      </c>
    </row>
    <row r="47" spans="6:8" ht="19" x14ac:dyDescent="0.25">
      <c r="F47" s="29">
        <v>2013</v>
      </c>
      <c r="G47" s="30">
        <v>1.0999999999999999E-2</v>
      </c>
      <c r="H47" s="31">
        <f t="shared" si="0"/>
        <v>1.5772999999999997</v>
      </c>
    </row>
    <row r="48" spans="6:8" ht="19" x14ac:dyDescent="0.25">
      <c r="F48" s="29">
        <v>2014</v>
      </c>
      <c r="G48" s="30">
        <v>2.35E-2</v>
      </c>
      <c r="H48" s="31">
        <f t="shared" si="0"/>
        <v>1.6007999999999998</v>
      </c>
    </row>
    <row r="49" spans="6:8" ht="19" x14ac:dyDescent="0.25">
      <c r="F49" s="29">
        <v>2015</v>
      </c>
      <c r="G49" s="30">
        <v>4.07E-2</v>
      </c>
      <c r="H49" s="31">
        <f t="shared" si="0"/>
        <v>1.6414999999999997</v>
      </c>
    </row>
    <row r="50" spans="6:8" ht="19" x14ac:dyDescent="0.25">
      <c r="F50" s="29">
        <v>2016</v>
      </c>
      <c r="G50" s="30">
        <v>1.6199999999999999E-2</v>
      </c>
      <c r="H50" s="31">
        <f t="shared" si="0"/>
        <v>1.6576999999999997</v>
      </c>
    </row>
    <row r="51" spans="6:8" ht="19" x14ac:dyDescent="0.25">
      <c r="F51" s="29">
        <v>2017</v>
      </c>
      <c r="G51" s="30">
        <v>1.9699999999999999E-2</v>
      </c>
      <c r="H51" s="31">
        <f t="shared" si="0"/>
        <v>1.6773999999999998</v>
      </c>
    </row>
    <row r="52" spans="6:8" ht="19" x14ac:dyDescent="0.25">
      <c r="F52" s="29">
        <v>2018</v>
      </c>
      <c r="G52" s="30">
        <v>3.0700000000000002E-2</v>
      </c>
      <c r="H52" s="31">
        <f t="shared" si="0"/>
        <v>1.7080999999999997</v>
      </c>
    </row>
    <row r="53" spans="6:8" ht="19" x14ac:dyDescent="0.25">
      <c r="F53" s="29">
        <v>2019</v>
      </c>
      <c r="G53" s="30">
        <v>-1.9300000000000001E-2</v>
      </c>
      <c r="H53" s="31">
        <f t="shared" si="0"/>
        <v>1.6887999999999996</v>
      </c>
    </row>
    <row r="54" spans="6:8" ht="19" x14ac:dyDescent="0.25">
      <c r="F54" s="29">
        <v>2020</v>
      </c>
      <c r="G54" s="30">
        <v>-2.0799999999999999E-2</v>
      </c>
      <c r="H54" s="31">
        <f t="shared" si="0"/>
        <v>1.6679999999999997</v>
      </c>
    </row>
    <row r="55" spans="6:8" ht="19" x14ac:dyDescent="0.25">
      <c r="F55" s="29">
        <v>2021</v>
      </c>
      <c r="G55" s="33">
        <v>-1E-4</v>
      </c>
      <c r="H55" s="31">
        <f t="shared" si="0"/>
        <v>1.6678999999999997</v>
      </c>
    </row>
    <row r="56" spans="6:8" ht="19" x14ac:dyDescent="0.25">
      <c r="F56" s="29">
        <v>2022</v>
      </c>
      <c r="G56" s="30">
        <v>4.8300000000000003E-2</v>
      </c>
      <c r="H56" s="31">
        <f t="shared" si="0"/>
        <v>1.7161999999999997</v>
      </c>
    </row>
    <row r="57" spans="6:8" ht="19" x14ac:dyDescent="0.25">
      <c r="F57" s="29">
        <v>2023</v>
      </c>
      <c r="G57" s="30">
        <v>3.1199999999999999E-2</v>
      </c>
      <c r="H57" s="31">
        <f t="shared" si="0"/>
        <v>1.7473999999999996</v>
      </c>
    </row>
    <row r="58" spans="6:8" ht="19" x14ac:dyDescent="0.25">
      <c r="F58" s="29">
        <v>2024</v>
      </c>
      <c r="G58" s="30">
        <v>2.3E-2</v>
      </c>
    </row>
    <row r="59" spans="6:8" ht="19" x14ac:dyDescent="0.25">
      <c r="F59" s="29">
        <v>2025</v>
      </c>
      <c r="G59" s="30">
        <v>2.1000000000000001E-2</v>
      </c>
    </row>
    <row r="60" spans="6:8" ht="19" x14ac:dyDescent="0.25">
      <c r="F60" s="29">
        <v>2026</v>
      </c>
      <c r="G60" s="30">
        <v>0.02</v>
      </c>
    </row>
    <row r="61" spans="6:8" ht="19" x14ac:dyDescent="0.25">
      <c r="F61" s="29">
        <v>2027</v>
      </c>
      <c r="G61" s="30">
        <v>0.02</v>
      </c>
    </row>
    <row r="62" spans="6:8" ht="19" x14ac:dyDescent="0.25">
      <c r="F62" s="29">
        <v>2028</v>
      </c>
      <c r="G62" s="30">
        <v>0.02</v>
      </c>
    </row>
    <row r="63" spans="6:8" ht="19" x14ac:dyDescent="0.25">
      <c r="F63" s="34">
        <v>2029</v>
      </c>
      <c r="G63" s="33">
        <v>0.02</v>
      </c>
    </row>
    <row r="64" spans="6:8" ht="19" x14ac:dyDescent="0.25">
      <c r="F64" s="34">
        <v>2030</v>
      </c>
      <c r="G64" s="33">
        <v>0.02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CC47C-A1CE-47B1-B6D0-4CFE0BD88B78}"/>
</file>

<file path=customXml/itemProps2.xml><?xml version="1.0" encoding="utf-8"?>
<ds:datastoreItem xmlns:ds="http://schemas.openxmlformats.org/officeDocument/2006/customXml" ds:itemID="{14B1978B-BF3A-400A-B959-8766E07EA5BA}"/>
</file>

<file path=customXml/itemProps3.xml><?xml version="1.0" encoding="utf-8"?>
<ds:datastoreItem xmlns:ds="http://schemas.openxmlformats.org/officeDocument/2006/customXml" ds:itemID="{C13FB45A-DCAA-4879-8EF2-3FFBC1CF8E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Business Development</vt:lpstr>
      <vt:lpstr>Utility Buildings</vt:lpstr>
      <vt:lpstr>Inflation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McEvoy</dc:creator>
  <cp:lastModifiedBy>David Parry</cp:lastModifiedBy>
  <dcterms:created xsi:type="dcterms:W3CDTF">2024-06-13T09:24:12Z</dcterms:created>
  <dcterms:modified xsi:type="dcterms:W3CDTF">2024-09-05T07:36:19Z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