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Industrial/"/>
    </mc:Choice>
  </mc:AlternateContent>
  <xr:revisionPtr revIDLastSave="0" documentId="8_{40CBA954-FD03-1E41-8C09-1D823E664BE0}" xr6:coauthVersionLast="47" xr6:coauthVersionMax="47" xr10:uidLastSave="{00000000-0000-0000-0000-000000000000}"/>
  <bookViews>
    <workbookView xWindow="0" yWindow="740" windowWidth="29400" windowHeight="17400" activeTab="1" xr2:uid="{58E3B757-B346-4EE9-8EB4-0B05174099D3}"/>
  </bookViews>
  <sheets>
    <sheet name="Rates" sheetId="1" state="hidden" r:id="rId1"/>
    <sheet name="Data" sheetId="7" r:id="rId2"/>
    <sheet name="Sheet1" sheetId="8" r:id="rId3"/>
  </sheets>
  <definedNames>
    <definedName name="__IntlFixup" hidden="1">TRUE</definedName>
    <definedName name="_xlnm._FilterDatabase" localSheetId="1" hidden="1">Data!$A$1:$AB$96</definedName>
    <definedName name="_Order1" hidden="1">255</definedName>
    <definedName name="_Order2" hidden="1">255</definedName>
    <definedName name="AccessDatabase" hidden="1">"C:\AA-MEDIUM PROJECTS\Khaleej Times - GO 14017\Submittals Status.mdb"</definedName>
    <definedName name="b" hidden="1">{"'Break down'!$A$4"}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SUM" hidden="1">{"'Sheet1 (2)'!$A$1:$C$61"}</definedName>
    <definedName name="temp" hidden="1">{"'Break down'!$A$4"}</definedName>
    <definedName name="ubaid" hidden="1">{#N/A,#N/A,FALSE,"VCR"}</definedName>
    <definedName name="Ubaide" hidden="1">{#N/A,#N/A,FALSE,"VCR"}</definedName>
    <definedName name="wrn.Chandana." hidden="1">{#N/A,#N/A,FALSE,"VCR"}</definedName>
    <definedName name="wrn.PRINT._.REPORT." hidden="1">{#N/A,#N/A,FALSE,"summary";#N/A,#N/A,FALSE,"preliminy";#N/A,#N/A,FALSE,"bill 3";#N/A,#N/A,FALSE,"bill 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8" l="1"/>
  <c r="C38" i="8"/>
  <c r="B38" i="8"/>
  <c r="C5" i="8"/>
  <c r="B5" i="8"/>
  <c r="E5" i="8" s="1"/>
  <c r="S96" i="7"/>
  <c r="Q90" i="7"/>
  <c r="R90" i="7"/>
  <c r="S90" i="7"/>
  <c r="Q91" i="7"/>
  <c r="R91" i="7"/>
  <c r="S91" i="7"/>
  <c r="Q92" i="7"/>
  <c r="R92" i="7"/>
  <c r="S92" i="7"/>
  <c r="Q93" i="7"/>
  <c r="R93" i="7"/>
  <c r="S93" i="7"/>
  <c r="Q94" i="7"/>
  <c r="R94" i="7"/>
  <c r="S94" i="7"/>
  <c r="R89" i="7"/>
  <c r="S89" i="7"/>
  <c r="Q89" i="7"/>
  <c r="L90" i="7"/>
  <c r="L91" i="7"/>
  <c r="L92" i="7"/>
  <c r="L93" i="7"/>
  <c r="L94" i="7"/>
  <c r="L89" i="7"/>
  <c r="C2" i="8"/>
  <c r="B2" i="8"/>
  <c r="AC73" i="7"/>
  <c r="AD86" i="7" s="1"/>
  <c r="AD72" i="7"/>
  <c r="AD71" i="7"/>
  <c r="AD65" i="7"/>
  <c r="AD64" i="7"/>
  <c r="AD63" i="7"/>
  <c r="AC59" i="7"/>
  <c r="AD70" i="7" s="1"/>
  <c r="AD58" i="7"/>
  <c r="AD57" i="7"/>
  <c r="AD56" i="7"/>
  <c r="AD51" i="7"/>
  <c r="AD50" i="7"/>
  <c r="AD49" i="7"/>
  <c r="AD48" i="7"/>
  <c r="AC45" i="7"/>
  <c r="AD55" i="7" s="1"/>
  <c r="AD44" i="7"/>
  <c r="AD43" i="7"/>
  <c r="AD42" i="7"/>
  <c r="AD41" i="7"/>
  <c r="AD37" i="7"/>
  <c r="AD36" i="7"/>
  <c r="AD35" i="7"/>
  <c r="AD34" i="7"/>
  <c r="AD33" i="7"/>
  <c r="AC31" i="7"/>
  <c r="AD40" i="7" s="1"/>
  <c r="AD30" i="7"/>
  <c r="AD29" i="7"/>
  <c r="AD28" i="7"/>
  <c r="AD27" i="7"/>
  <c r="AD26" i="7"/>
  <c r="AD23" i="7"/>
  <c r="AD22" i="7"/>
  <c r="AD21" i="7"/>
  <c r="AD20" i="7"/>
  <c r="AD19" i="7"/>
  <c r="AD18" i="7"/>
  <c r="AC17" i="7"/>
  <c r="AD25" i="7" s="1"/>
  <c r="AD16" i="7"/>
  <c r="AD15" i="7"/>
  <c r="AD14" i="7"/>
  <c r="AD13" i="7"/>
  <c r="AD12" i="7"/>
  <c r="AD11" i="7"/>
  <c r="AC3" i="7"/>
  <c r="X40" i="7"/>
  <c r="X81" i="7"/>
  <c r="Y81" i="7"/>
  <c r="Z81" i="7"/>
  <c r="X82" i="7"/>
  <c r="Y82" i="7"/>
  <c r="Z82" i="7"/>
  <c r="X83" i="7"/>
  <c r="Y83" i="7"/>
  <c r="Z83" i="7"/>
  <c r="X84" i="7"/>
  <c r="Y84" i="7"/>
  <c r="Z84" i="7"/>
  <c r="X85" i="7"/>
  <c r="Y85" i="7"/>
  <c r="Z85" i="7"/>
  <c r="X86" i="7"/>
  <c r="Y86" i="7"/>
  <c r="Z86" i="7"/>
  <c r="X67" i="7"/>
  <c r="Y67" i="7"/>
  <c r="Z67" i="7"/>
  <c r="X68" i="7"/>
  <c r="Y68" i="7"/>
  <c r="Z68" i="7"/>
  <c r="X69" i="7"/>
  <c r="Y69" i="7"/>
  <c r="Z69" i="7"/>
  <c r="X70" i="7"/>
  <c r="Y70" i="7"/>
  <c r="Z70" i="7"/>
  <c r="X71" i="7"/>
  <c r="Y71" i="7"/>
  <c r="Z71" i="7"/>
  <c r="X72" i="7"/>
  <c r="Y72" i="7"/>
  <c r="Z72" i="7"/>
  <c r="X53" i="7"/>
  <c r="Y53" i="7"/>
  <c r="Z53" i="7"/>
  <c r="X54" i="7"/>
  <c r="Y54" i="7"/>
  <c r="Z54" i="7"/>
  <c r="X55" i="7"/>
  <c r="Y55" i="7"/>
  <c r="Z55" i="7"/>
  <c r="X56" i="7"/>
  <c r="Y56" i="7"/>
  <c r="Z56" i="7"/>
  <c r="X57" i="7"/>
  <c r="Y57" i="7"/>
  <c r="Z57" i="7"/>
  <c r="X58" i="7"/>
  <c r="Y58" i="7"/>
  <c r="Z58" i="7"/>
  <c r="X39" i="7"/>
  <c r="Y39" i="7"/>
  <c r="Z39" i="7"/>
  <c r="X41" i="7"/>
  <c r="Y41" i="7"/>
  <c r="Z41" i="7"/>
  <c r="X42" i="7"/>
  <c r="Y42" i="7"/>
  <c r="Z42" i="7"/>
  <c r="X43" i="7"/>
  <c r="Y43" i="7"/>
  <c r="Z43" i="7"/>
  <c r="X44" i="7"/>
  <c r="Y44" i="7"/>
  <c r="Z44" i="7"/>
  <c r="X25" i="7"/>
  <c r="Y25" i="7"/>
  <c r="Z25" i="7"/>
  <c r="X26" i="7"/>
  <c r="Y26" i="7"/>
  <c r="Z26" i="7"/>
  <c r="X27" i="7"/>
  <c r="Y27" i="7"/>
  <c r="Z27" i="7"/>
  <c r="X28" i="7"/>
  <c r="Y28" i="7"/>
  <c r="Z28" i="7"/>
  <c r="X29" i="7"/>
  <c r="Y29" i="7"/>
  <c r="Z29" i="7"/>
  <c r="X30" i="7"/>
  <c r="Y30" i="7"/>
  <c r="Z30" i="7"/>
  <c r="X11" i="7"/>
  <c r="Y11" i="7"/>
  <c r="Z11" i="7"/>
  <c r="X12" i="7"/>
  <c r="Y12" i="7"/>
  <c r="Z12" i="7"/>
  <c r="X13" i="7"/>
  <c r="Y13" i="7"/>
  <c r="Z13" i="7"/>
  <c r="X14" i="7"/>
  <c r="Y14" i="7"/>
  <c r="Z14" i="7"/>
  <c r="X15" i="7"/>
  <c r="Y15" i="7"/>
  <c r="Z15" i="7"/>
  <c r="X16" i="7"/>
  <c r="Y16" i="7"/>
  <c r="Z16" i="7"/>
  <c r="R96" i="7" l="1"/>
  <c r="Q96" i="7"/>
  <c r="AD79" i="7"/>
  <c r="AD80" i="7"/>
  <c r="AD73" i="7"/>
  <c r="AD52" i="7"/>
  <c r="AD67" i="7"/>
  <c r="AD82" i="7"/>
  <c r="AD24" i="7"/>
  <c r="AD31" i="7"/>
  <c r="AD39" i="7"/>
  <c r="AD46" i="7"/>
  <c r="AD54" i="7"/>
  <c r="AD61" i="7"/>
  <c r="AD69" i="7"/>
  <c r="AD76" i="7"/>
  <c r="AD84" i="7"/>
  <c r="AD66" i="7"/>
  <c r="AD81" i="7"/>
  <c r="AD59" i="7"/>
  <c r="AD74" i="7"/>
  <c r="AD38" i="7"/>
  <c r="AD45" i="7"/>
  <c r="AD53" i="7"/>
  <c r="AD60" i="7"/>
  <c r="AD68" i="7"/>
  <c r="AD75" i="7"/>
  <c r="AD83" i="7"/>
  <c r="AD17" i="7"/>
  <c r="AD32" i="7"/>
  <c r="AD47" i="7"/>
  <c r="AD62" i="7"/>
  <c r="AD77" i="7"/>
  <c r="AD85" i="7"/>
  <c r="AD78" i="7"/>
  <c r="Z40" i="7"/>
  <c r="Y40" i="7"/>
  <c r="Z80" i="7" l="1"/>
  <c r="Y80" i="7"/>
  <c r="X80" i="7"/>
  <c r="Z79" i="7"/>
  <c r="Y79" i="7"/>
  <c r="X79" i="7"/>
  <c r="Z78" i="7"/>
  <c r="Y78" i="7"/>
  <c r="X78" i="7"/>
  <c r="Z77" i="7"/>
  <c r="Y77" i="7"/>
  <c r="X77" i="7"/>
  <c r="Z76" i="7"/>
  <c r="Y76" i="7"/>
  <c r="X76" i="7"/>
  <c r="Z75" i="7"/>
  <c r="Y75" i="7"/>
  <c r="X75" i="7"/>
  <c r="Z74" i="7"/>
  <c r="Y74" i="7"/>
  <c r="X74" i="7"/>
  <c r="Z73" i="7"/>
  <c r="Y73" i="7"/>
  <c r="X73" i="7"/>
  <c r="Z66" i="7"/>
  <c r="Y66" i="7"/>
  <c r="X66" i="7"/>
  <c r="Z65" i="7"/>
  <c r="Y65" i="7"/>
  <c r="X65" i="7"/>
  <c r="Z64" i="7"/>
  <c r="Y64" i="7"/>
  <c r="X64" i="7"/>
  <c r="Z63" i="7"/>
  <c r="Y63" i="7"/>
  <c r="X63" i="7"/>
  <c r="Z62" i="7"/>
  <c r="Y62" i="7"/>
  <c r="X62" i="7"/>
  <c r="Z61" i="7"/>
  <c r="Y61" i="7"/>
  <c r="X61" i="7"/>
  <c r="Z60" i="7"/>
  <c r="Y60" i="7"/>
  <c r="X60" i="7"/>
  <c r="Z59" i="7"/>
  <c r="Y59" i="7"/>
  <c r="X59" i="7"/>
  <c r="Z52" i="7"/>
  <c r="Y52" i="7"/>
  <c r="X52" i="7"/>
  <c r="Z51" i="7"/>
  <c r="Y51" i="7"/>
  <c r="X51" i="7"/>
  <c r="Z50" i="7"/>
  <c r="Y50" i="7"/>
  <c r="X50" i="7"/>
  <c r="Z49" i="7"/>
  <c r="Y49" i="7"/>
  <c r="X49" i="7"/>
  <c r="Z48" i="7"/>
  <c r="Y48" i="7"/>
  <c r="X48" i="7"/>
  <c r="Z47" i="7"/>
  <c r="Y47" i="7"/>
  <c r="X47" i="7"/>
  <c r="Z46" i="7"/>
  <c r="Y46" i="7"/>
  <c r="X46" i="7"/>
  <c r="Z45" i="7"/>
  <c r="Y45" i="7"/>
  <c r="X45" i="7"/>
  <c r="Z38" i="7"/>
  <c r="Y38" i="7"/>
  <c r="X38" i="7"/>
  <c r="Z37" i="7"/>
  <c r="Y37" i="7"/>
  <c r="X37" i="7"/>
  <c r="Z36" i="7"/>
  <c r="Y36" i="7"/>
  <c r="X36" i="7"/>
  <c r="Z35" i="7"/>
  <c r="Y35" i="7"/>
  <c r="X35" i="7"/>
  <c r="Z34" i="7"/>
  <c r="Y34" i="7"/>
  <c r="X34" i="7"/>
  <c r="Z33" i="7"/>
  <c r="Y33" i="7"/>
  <c r="X33" i="7"/>
  <c r="Z32" i="7"/>
  <c r="Y32" i="7"/>
  <c r="X32" i="7"/>
  <c r="Z31" i="7"/>
  <c r="Y31" i="7"/>
  <c r="X31" i="7"/>
  <c r="P90" i="7"/>
  <c r="T90" i="7"/>
  <c r="U90" i="7"/>
  <c r="V90" i="7"/>
  <c r="W90" i="7"/>
  <c r="AA90" i="7"/>
  <c r="P91" i="7"/>
  <c r="T91" i="7"/>
  <c r="U91" i="7"/>
  <c r="V91" i="7"/>
  <c r="W91" i="7"/>
  <c r="AA91" i="7"/>
  <c r="P92" i="7"/>
  <c r="T92" i="7"/>
  <c r="U92" i="7"/>
  <c r="V92" i="7"/>
  <c r="W92" i="7"/>
  <c r="AA92" i="7"/>
  <c r="P93" i="7"/>
  <c r="T93" i="7"/>
  <c r="U93" i="7"/>
  <c r="V93" i="7"/>
  <c r="W93" i="7"/>
  <c r="AA93" i="7"/>
  <c r="P94" i="7"/>
  <c r="T94" i="7"/>
  <c r="U94" i="7"/>
  <c r="V94" i="7"/>
  <c r="W94" i="7"/>
  <c r="AA94" i="7"/>
  <c r="Z24" i="7"/>
  <c r="Y24" i="7"/>
  <c r="X24" i="7"/>
  <c r="Z23" i="7"/>
  <c r="Y23" i="7"/>
  <c r="X23" i="7"/>
  <c r="Z22" i="7"/>
  <c r="Y22" i="7"/>
  <c r="X22" i="7"/>
  <c r="Z21" i="7"/>
  <c r="Y21" i="7"/>
  <c r="X21" i="7"/>
  <c r="Z20" i="7"/>
  <c r="Y20" i="7"/>
  <c r="X20" i="7"/>
  <c r="Z19" i="7"/>
  <c r="Y19" i="7"/>
  <c r="X19" i="7"/>
  <c r="Z18" i="7"/>
  <c r="Y18" i="7"/>
  <c r="X18" i="7"/>
  <c r="Z17" i="7"/>
  <c r="Y17" i="7"/>
  <c r="X17" i="7"/>
  <c r="T89" i="7"/>
  <c r="U89" i="7"/>
  <c r="V89" i="7"/>
  <c r="X94" i="7" l="1"/>
  <c r="Y94" i="7"/>
  <c r="Y93" i="7"/>
  <c r="X93" i="7"/>
  <c r="Z93" i="7"/>
  <c r="Z94" i="7"/>
  <c r="Z91" i="7"/>
  <c r="Y91" i="7"/>
  <c r="X92" i="7"/>
  <c r="X91" i="7"/>
  <c r="Y92" i="7"/>
  <c r="Z92" i="7"/>
  <c r="Z90" i="7"/>
  <c r="X90" i="7"/>
  <c r="Y90" i="7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C20" i="8" l="1"/>
  <c r="C22" i="8" s="1"/>
  <c r="B20" i="8"/>
  <c r="B22" i="8" s="1"/>
  <c r="E12" i="8"/>
  <c r="E7" i="8"/>
  <c r="E9" i="8"/>
  <c r="E16" i="8"/>
  <c r="E8" i="8"/>
  <c r="E15" i="8"/>
  <c r="E14" i="8"/>
  <c r="E13" i="8"/>
  <c r="E11" i="8"/>
  <c r="E18" i="8"/>
  <c r="E10" i="8"/>
  <c r="B27" i="8"/>
  <c r="C28" i="8"/>
  <c r="AD9" i="7"/>
  <c r="AD6" i="7"/>
  <c r="AD7" i="7"/>
  <c r="AD8" i="7"/>
  <c r="AD10" i="7"/>
  <c r="AD3" i="7"/>
  <c r="AD4" i="7"/>
  <c r="AD5" i="7"/>
  <c r="B32" i="8" l="1"/>
  <c r="B28" i="8"/>
  <c r="B25" i="8"/>
  <c r="B33" i="8"/>
  <c r="B35" i="8"/>
  <c r="B42" i="8" s="1"/>
  <c r="B23" i="8"/>
  <c r="B31" i="8"/>
  <c r="B29" i="8"/>
  <c r="B24" i="8"/>
  <c r="B30" i="8"/>
  <c r="C34" i="8"/>
  <c r="C41" i="8" s="1"/>
  <c r="C30" i="8"/>
  <c r="C29" i="8"/>
  <c r="C32" i="8"/>
  <c r="C33" i="8"/>
  <c r="C31" i="8"/>
  <c r="C25" i="8"/>
  <c r="B26" i="8"/>
  <c r="C24" i="8"/>
  <c r="C35" i="8"/>
  <c r="C42" i="8" s="1"/>
  <c r="C23" i="8"/>
  <c r="C26" i="8"/>
  <c r="C27" i="8"/>
  <c r="B34" i="8"/>
  <c r="B41" i="8" s="1"/>
  <c r="C39" i="8" l="1"/>
  <c r="B40" i="8"/>
  <c r="C40" i="8"/>
  <c r="C43" i="8" s="1"/>
  <c r="B39" i="8"/>
  <c r="B43" i="8" l="1"/>
  <c r="E17" i="8" l="1"/>
  <c r="E6" i="8"/>
  <c r="E20" i="8" s="1"/>
  <c r="E22" i="8" s="1"/>
  <c r="E23" i="8" l="1"/>
  <c r="E28" i="8"/>
  <c r="E29" i="8"/>
  <c r="E24" i="8"/>
  <c r="E32" i="8"/>
  <c r="E30" i="8"/>
  <c r="E27" i="8"/>
  <c r="E26" i="8"/>
  <c r="E34" i="8"/>
  <c r="E41" i="8" s="1"/>
  <c r="E31" i="8" l="1"/>
  <c r="E33" i="8"/>
  <c r="E25" i="8"/>
  <c r="E35" i="8"/>
  <c r="E42" i="8" s="1"/>
  <c r="E39" i="8"/>
  <c r="E40" i="8"/>
  <c r="E43" i="8" l="1"/>
  <c r="X4" i="7"/>
  <c r="Y4" i="7"/>
  <c r="Z4" i="7"/>
  <c r="X5" i="7"/>
  <c r="Y5" i="7"/>
  <c r="Z5" i="7"/>
  <c r="X6" i="7"/>
  <c r="Y6" i="7"/>
  <c r="Z6" i="7"/>
  <c r="X7" i="7"/>
  <c r="Y7" i="7"/>
  <c r="Z7" i="7"/>
  <c r="X8" i="7"/>
  <c r="Y8" i="7"/>
  <c r="Z8" i="7"/>
  <c r="X9" i="7"/>
  <c r="Y9" i="7"/>
  <c r="Z9" i="7"/>
  <c r="X10" i="7"/>
  <c r="Y10" i="7"/>
  <c r="Z10" i="7"/>
  <c r="W89" i="7" l="1"/>
  <c r="P89" i="7"/>
  <c r="V96" i="7" l="1"/>
  <c r="U96" i="7"/>
  <c r="T96" i="7"/>
  <c r="W96" i="7"/>
  <c r="Z3" i="7" l="1"/>
  <c r="Y3" i="7"/>
  <c r="H4" i="1"/>
  <c r="G4" i="1"/>
  <c r="F4" i="1"/>
  <c r="E4" i="1"/>
  <c r="D4" i="1"/>
  <c r="C4" i="1"/>
  <c r="B4" i="1"/>
  <c r="A4" i="1"/>
  <c r="Y89" i="7" l="1"/>
  <c r="Y96" i="7" s="1"/>
  <c r="Z89" i="7"/>
  <c r="Z96" i="7" s="1"/>
  <c r="AA89" i="7"/>
  <c r="AA96" i="7" s="1"/>
  <c r="X3" i="7"/>
  <c r="X89" i="7" l="1"/>
  <c r="X96" i="7" s="1"/>
</calcChain>
</file>

<file path=xl/sharedStrings.xml><?xml version="1.0" encoding="utf-8"?>
<sst xmlns="http://schemas.openxmlformats.org/spreadsheetml/2006/main" count="1404" uniqueCount="93">
  <si>
    <t>Asset</t>
  </si>
  <si>
    <t>Country</t>
  </si>
  <si>
    <t>City</t>
  </si>
  <si>
    <t>Project</t>
  </si>
  <si>
    <t>Description</t>
  </si>
  <si>
    <t>Unit</t>
  </si>
  <si>
    <t>Quantity</t>
  </si>
  <si>
    <t>Contractor</t>
  </si>
  <si>
    <t>Status</t>
  </si>
  <si>
    <t>Contract Type</t>
  </si>
  <si>
    <t>BUA</t>
  </si>
  <si>
    <t>GFA</t>
  </si>
  <si>
    <t>NRM Lvl 1</t>
  </si>
  <si>
    <t>POMI</t>
  </si>
  <si>
    <t>Total Cost</t>
  </si>
  <si>
    <t>Keys</t>
  </si>
  <si>
    <t>Base Date</t>
  </si>
  <si>
    <t>GIA</t>
  </si>
  <si>
    <t>Cost/BUA</t>
  </si>
  <si>
    <t>Cost/GIA</t>
  </si>
  <si>
    <t>Cost/GFA</t>
  </si>
  <si>
    <t>Cost/Key</t>
  </si>
  <si>
    <t>Townhouses</t>
  </si>
  <si>
    <t>UAE</t>
  </si>
  <si>
    <t>Dubai</t>
  </si>
  <si>
    <t>The Valley - Nara</t>
  </si>
  <si>
    <t>METAC</t>
  </si>
  <si>
    <t>Fixed Price Lump Sum</t>
  </si>
  <si>
    <t>m3</t>
  </si>
  <si>
    <t>Concrete Work</t>
  </si>
  <si>
    <t>Plain concrete; concrete grade C20/16</t>
  </si>
  <si>
    <t>Award</t>
  </si>
  <si>
    <t>Contract Rate</t>
  </si>
  <si>
    <t>Average Tender Rate</t>
  </si>
  <si>
    <t>Foundations</t>
  </si>
  <si>
    <t>Reinforced concrete; concrete grade C25</t>
  </si>
  <si>
    <t>Lowest Floor Construction</t>
  </si>
  <si>
    <t>Substructure</t>
  </si>
  <si>
    <t>Superstructure</t>
  </si>
  <si>
    <t>Building External Envelope</t>
  </si>
  <si>
    <t>Internal Walls and Doors</t>
  </si>
  <si>
    <t>Internal Finishes</t>
  </si>
  <si>
    <t>FF&amp;E</t>
  </si>
  <si>
    <t>Sanitary Fittings</t>
  </si>
  <si>
    <t>Services Equipment</t>
  </si>
  <si>
    <t>Mechanical</t>
  </si>
  <si>
    <t>Electrical</t>
  </si>
  <si>
    <t>Conveying Systems</t>
  </si>
  <si>
    <t>External Works</t>
  </si>
  <si>
    <t>General Requirements</t>
  </si>
  <si>
    <t>Procurement</t>
  </si>
  <si>
    <t>Developer</t>
  </si>
  <si>
    <t>Competitive - Traditional</t>
  </si>
  <si>
    <t>Alias</t>
  </si>
  <si>
    <t>Abu Dhabi</t>
  </si>
  <si>
    <t>Currency</t>
  </si>
  <si>
    <t>AED</t>
  </si>
  <si>
    <t>Chart</t>
  </si>
  <si>
    <t>YES</t>
  </si>
  <si>
    <t>Asset Lvl 1</t>
  </si>
  <si>
    <t>Asset Lvl 2</t>
  </si>
  <si>
    <t>Single Asset</t>
  </si>
  <si>
    <t>Alias Lvl 2</t>
  </si>
  <si>
    <t>Alias Lvl 1</t>
  </si>
  <si>
    <t>Project Lvl 2</t>
  </si>
  <si>
    <t>Project Lvl 1</t>
  </si>
  <si>
    <t>Totals</t>
  </si>
  <si>
    <t>TBA</t>
  </si>
  <si>
    <t>STRUCTURE</t>
  </si>
  <si>
    <t>INTERNAL FIT-OUT</t>
  </si>
  <si>
    <t>MEP</t>
  </si>
  <si>
    <t>EXTEERNAL</t>
  </si>
  <si>
    <t>PRELIMS</t>
  </si>
  <si>
    <t>Asset Lvl 3</t>
  </si>
  <si>
    <t>Manufacturing</t>
  </si>
  <si>
    <t>Storage and Distribution</t>
  </si>
  <si>
    <t>Warehouse</t>
  </si>
  <si>
    <t>Project IND19.1</t>
  </si>
  <si>
    <t>Project A</t>
  </si>
  <si>
    <t>Facilitating Works</t>
  </si>
  <si>
    <t>Light Assembly</t>
  </si>
  <si>
    <t>Project IND20.1</t>
  </si>
  <si>
    <t>Project B</t>
  </si>
  <si>
    <t>Project C</t>
  </si>
  <si>
    <t>Project D</t>
  </si>
  <si>
    <t>MIZA CMR 01</t>
  </si>
  <si>
    <t>MIZA CMR 08</t>
  </si>
  <si>
    <t>Project IND22.1</t>
  </si>
  <si>
    <t>Project IND22.2</t>
  </si>
  <si>
    <t>MODON</t>
  </si>
  <si>
    <t>Project IND24.1</t>
  </si>
  <si>
    <t>Project IND24.2</t>
  </si>
  <si>
    <t>Warehouse &amp;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</si>
</sst>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AED]\ #,##0.00"/>
    <numFmt numFmtId="166" formatCode="[$SAR]\ #,##0.00"/>
    <numFmt numFmtId="167" formatCode="_-&quot;₱&quot;* #,##0.00_-;\-&quot;₱&quot;* #,##0.00_-;_-&quot;₱&quot;* &quot;-&quot;??_-;_-@_-"/>
    <numFmt numFmtId="168" formatCode="m/d/yy\ h:mm;@"/>
    <numFmt numFmtId="169" formatCode="yyyy"/>
    <numFmt numFmtId="170" formatCode="_(* #,##0_);_(* \(#,##0\);_(* &quot;-&quot;??_);_(@_)"/>
    <numFmt numFmtId="171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.5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" fillId="0" borderId="0" applyFont="0" applyFill="0" applyBorder="0" applyAlignment="0" applyProtection="0"/>
  </cellStyleXfs>
  <cellXfs count="91">
    <xf numFmtId="0" fontId="0" fillId="0" borderId="0" xfId="0"/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2" applyFont="1" applyBorder="1" applyAlignment="1">
      <alignment horizontal="left" wrapText="1"/>
    </xf>
    <xf numFmtId="3" fontId="0" fillId="0" borderId="0" xfId="2" applyNumberFormat="1" applyFont="1" applyAlignment="1">
      <alignment horizontal="left" wrapText="1"/>
    </xf>
    <xf numFmtId="165" fontId="0" fillId="0" borderId="0" xfId="0" applyNumberFormat="1" applyAlignment="1">
      <alignment horizontal="left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3" applyFont="1" applyAlignment="1">
      <alignment horizontal="left" wrapText="1"/>
    </xf>
    <xf numFmtId="3" fontId="1" fillId="0" borderId="0" xfId="2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1" applyNumberFormat="1" applyFont="1" applyAlignment="1">
      <alignment horizontal="left"/>
    </xf>
    <xf numFmtId="3" fontId="0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166" fontId="0" fillId="0" borderId="0" xfId="1" applyNumberFormat="1" applyFont="1" applyAlignment="1">
      <alignment horizontal="left"/>
    </xf>
    <xf numFmtId="49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5" fontId="0" fillId="0" borderId="0" xfId="2" applyNumberFormat="1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49" fontId="4" fillId="3" borderId="2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69" fontId="4" fillId="3" borderId="2" xfId="0" applyNumberFormat="1" applyFont="1" applyFill="1" applyBorder="1" applyAlignment="1">
      <alignment horizontal="center" vertical="top" wrapText="1"/>
    </xf>
    <xf numFmtId="169" fontId="0" fillId="0" borderId="5" xfId="0" applyNumberFormat="1" applyBorder="1" applyAlignment="1">
      <alignment horizontal="center" wrapText="1"/>
    </xf>
    <xf numFmtId="169" fontId="0" fillId="0" borderId="0" xfId="0" applyNumberFormat="1" applyAlignment="1">
      <alignment horizontal="center"/>
    </xf>
    <xf numFmtId="43" fontId="4" fillId="3" borderId="2" xfId="4" applyFont="1" applyFill="1" applyBorder="1" applyAlignment="1">
      <alignment horizontal="right" vertical="top" wrapText="1"/>
    </xf>
    <xf numFmtId="43" fontId="0" fillId="0" borderId="0" xfId="4" applyFont="1" applyAlignment="1">
      <alignment horizontal="right"/>
    </xf>
    <xf numFmtId="0" fontId="0" fillId="4" borderId="8" xfId="0" applyFill="1" applyBorder="1"/>
    <xf numFmtId="170" fontId="4" fillId="3" borderId="2" xfId="4" applyNumberFormat="1" applyFont="1" applyFill="1" applyBorder="1" applyAlignment="1">
      <alignment horizontal="right" vertical="top" wrapText="1"/>
    </xf>
    <xf numFmtId="170" fontId="0" fillId="0" borderId="5" xfId="4" applyNumberFormat="1" applyFont="1" applyBorder="1" applyAlignment="1">
      <alignment horizontal="right" wrapText="1"/>
    </xf>
    <xf numFmtId="170" fontId="0" fillId="0" borderId="0" xfId="4" applyNumberFormat="1" applyFont="1" applyAlignment="1">
      <alignment horizontal="right"/>
    </xf>
    <xf numFmtId="170" fontId="0" fillId="0" borderId="5" xfId="4" applyNumberFormat="1" applyFont="1" applyBorder="1" applyAlignment="1">
      <alignment horizontal="right"/>
    </xf>
    <xf numFmtId="170" fontId="4" fillId="3" borderId="3" xfId="4" applyNumberFormat="1" applyFont="1" applyFill="1" applyBorder="1" applyAlignment="1">
      <alignment horizontal="right" vertical="top" wrapText="1"/>
    </xf>
    <xf numFmtId="170" fontId="0" fillId="0" borderId="6" xfId="4" applyNumberFormat="1" applyFont="1" applyBorder="1" applyAlignment="1">
      <alignment horizontal="right"/>
    </xf>
    <xf numFmtId="43" fontId="4" fillId="3" borderId="2" xfId="4" applyFont="1" applyFill="1" applyBorder="1" applyAlignment="1">
      <alignment horizontal="center" vertical="top" wrapText="1"/>
    </xf>
    <xf numFmtId="43" fontId="0" fillId="0" borderId="0" xfId="4" applyFont="1" applyAlignment="1">
      <alignment horizontal="center"/>
    </xf>
    <xf numFmtId="43" fontId="6" fillId="0" borderId="5" xfId="4" applyFont="1" applyBorder="1" applyAlignment="1">
      <alignment horizontal="right" wrapText="1"/>
    </xf>
    <xf numFmtId="43" fontId="6" fillId="0" borderId="5" xfId="4" applyFont="1" applyBorder="1" applyAlignment="1">
      <alignment horizontal="center" wrapText="1"/>
    </xf>
    <xf numFmtId="170" fontId="6" fillId="0" borderId="5" xfId="4" applyNumberFormat="1" applyFont="1" applyBorder="1" applyAlignment="1">
      <alignment horizontal="right" wrapText="1"/>
    </xf>
    <xf numFmtId="170" fontId="0" fillId="2" borderId="9" xfId="4" applyNumberFormat="1" applyFont="1" applyFill="1" applyBorder="1" applyAlignment="1">
      <alignment horizontal="center"/>
    </xf>
    <xf numFmtId="170" fontId="7" fillId="2" borderId="9" xfId="4" applyNumberFormat="1" applyFont="1" applyFill="1" applyBorder="1" applyAlignment="1">
      <alignment horizontal="center"/>
    </xf>
    <xf numFmtId="0" fontId="0" fillId="2" borderId="9" xfId="4" applyNumberFormat="1" applyFont="1" applyFill="1" applyBorder="1" applyAlignment="1">
      <alignment horizontal="center"/>
    </xf>
    <xf numFmtId="170" fontId="0" fillId="2" borderId="0" xfId="4" applyNumberFormat="1" applyFont="1" applyFill="1" applyAlignment="1">
      <alignment horizontal="right"/>
    </xf>
    <xf numFmtId="170" fontId="4" fillId="3" borderId="3" xfId="4" applyNumberFormat="1" applyFont="1" applyFill="1" applyBorder="1" applyAlignment="1">
      <alignment horizontal="center" vertical="top" wrapText="1"/>
    </xf>
    <xf numFmtId="170" fontId="0" fillId="0" borderId="6" xfId="4" applyNumberFormat="1" applyFont="1" applyBorder="1" applyAlignment="1">
      <alignment horizontal="center"/>
    </xf>
    <xf numFmtId="170" fontId="0" fillId="0" borderId="0" xfId="4" applyNumberFormat="1" applyFont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 wrapText="1"/>
    </xf>
    <xf numFmtId="170" fontId="0" fillId="0" borderId="10" xfId="4" applyNumberFormat="1" applyFont="1" applyFill="1" applyBorder="1" applyAlignment="1">
      <alignment horizontal="right"/>
    </xf>
    <xf numFmtId="43" fontId="0" fillId="0" borderId="10" xfId="4" applyFont="1" applyFill="1" applyBorder="1" applyAlignment="1">
      <alignment horizontal="right"/>
    </xf>
    <xf numFmtId="43" fontId="0" fillId="0" borderId="10" xfId="4" applyFont="1" applyFill="1" applyBorder="1" applyAlignment="1">
      <alignment horizontal="center"/>
    </xf>
    <xf numFmtId="170" fontId="0" fillId="0" borderId="10" xfId="4" applyNumberFormat="1" applyFont="1" applyFill="1" applyBorder="1" applyAlignment="1">
      <alignment horizontal="center"/>
    </xf>
    <xf numFmtId="0" fontId="0" fillId="4" borderId="10" xfId="0" applyFill="1" applyBorder="1"/>
    <xf numFmtId="170" fontId="0" fillId="4" borderId="10" xfId="4" applyNumberFormat="1" applyFont="1" applyFill="1" applyBorder="1" applyAlignment="1">
      <alignment horizontal="right"/>
    </xf>
    <xf numFmtId="170" fontId="0" fillId="4" borderId="10" xfId="4" applyNumberFormat="1" applyFont="1" applyFill="1" applyBorder="1" applyAlignment="1">
      <alignment horizontal="center"/>
    </xf>
    <xf numFmtId="43" fontId="0" fillId="4" borderId="10" xfId="4" applyFont="1" applyFill="1" applyBorder="1" applyAlignment="1">
      <alignment horizontal="right"/>
    </xf>
    <xf numFmtId="43" fontId="0" fillId="4" borderId="10" xfId="4" applyFont="1" applyFill="1" applyBorder="1" applyAlignment="1">
      <alignment horizontal="center"/>
    </xf>
    <xf numFmtId="170" fontId="0" fillId="4" borderId="10" xfId="4" applyNumberFormat="1" applyFont="1" applyFill="1" applyBorder="1" applyAlignment="1">
      <alignment horizontal="right" vertical="top"/>
    </xf>
    <xf numFmtId="170" fontId="0" fillId="0" borderId="10" xfId="4" applyNumberFormat="1" applyFont="1" applyFill="1" applyBorder="1" applyAlignment="1">
      <alignment horizontal="right" vertical="top"/>
    </xf>
    <xf numFmtId="170" fontId="0" fillId="0" borderId="10" xfId="4" applyNumberFormat="1" applyFont="1" applyFill="1" applyBorder="1" applyAlignment="1">
      <alignment horizontal="right" vertical="top" wrapText="1"/>
    </xf>
    <xf numFmtId="170" fontId="0" fillId="0" borderId="8" xfId="0" applyNumberFormat="1" applyBorder="1"/>
    <xf numFmtId="10" fontId="0" fillId="0" borderId="8" xfId="5" applyNumberFormat="1" applyFont="1" applyBorder="1"/>
    <xf numFmtId="0" fontId="0" fillId="0" borderId="0" xfId="0" applyAlignment="1">
      <alignment horizontal="center" vertical="center"/>
    </xf>
    <xf numFmtId="43" fontId="0" fillId="0" borderId="0" xfId="4" applyFont="1"/>
    <xf numFmtId="43" fontId="0" fillId="0" borderId="0" xfId="0" applyNumberFormat="1"/>
    <xf numFmtId="10" fontId="0" fillId="0" borderId="0" xfId="5" applyNumberFormat="1" applyFont="1"/>
    <xf numFmtId="0" fontId="8" fillId="5" borderId="0" xfId="0" applyFont="1" applyFill="1" applyAlignment="1">
      <alignment horizontal="center"/>
    </xf>
    <xf numFmtId="0" fontId="8" fillId="5" borderId="0" xfId="0" applyFont="1" applyFill="1"/>
    <xf numFmtId="0" fontId="8" fillId="5" borderId="7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0" fillId="2" borderId="0" xfId="4" applyNumberFormat="1" applyFont="1" applyFill="1" applyBorder="1" applyAlignment="1">
      <alignment horizontal="center"/>
    </xf>
    <xf numFmtId="170" fontId="7" fillId="2" borderId="0" xfId="4" applyNumberFormat="1" applyFont="1" applyFill="1" applyBorder="1" applyAlignment="1">
      <alignment horizontal="center"/>
    </xf>
    <xf numFmtId="170" fontId="0" fillId="2" borderId="0" xfId="4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1" xfId="0" applyBorder="1" applyAlignment="1">
      <alignment horizontal="left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4" borderId="10" xfId="0" applyFill="1" applyBorder="1" applyAlignment="1">
      <alignment vertical="top"/>
    </xf>
    <xf numFmtId="0" fontId="0" fillId="4" borderId="10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center" vertical="top" wrapText="1"/>
    </xf>
    <xf numFmtId="170" fontId="0" fillId="4" borderId="10" xfId="4" applyNumberFormat="1" applyFont="1" applyFill="1" applyBorder="1" applyAlignment="1">
      <alignment horizontal="right" vertical="top" wrapText="1"/>
    </xf>
    <xf numFmtId="10" fontId="0" fillId="0" borderId="0" xfId="5" applyNumberFormat="1" applyFont="1" applyFill="1"/>
  </cellXfs>
  <cellStyles count="8">
    <cellStyle name="Comma" xfId="4" builtinId="3"/>
    <cellStyle name="Comma 2 2" xfId="7" xr:uid="{45FAF85D-CEF3-3B41-9725-E4530847042D}"/>
    <cellStyle name="Comma 6" xfId="6" xr:uid="{779CA894-D8B0-4B46-B356-5DF3C3F15A84}"/>
    <cellStyle name="Currency" xfId="1" builtinId="4"/>
    <cellStyle name="Currency 3" xfId="2" xr:uid="{356AF87E-EB1A-4483-8083-80511014A5BC}"/>
    <cellStyle name="Normal" xfId="0" builtinId="0"/>
    <cellStyle name="Normal 10 2" xfId="3" xr:uid="{C1E8141C-0BAD-4CCE-8B5F-2C79D6CD4590}"/>
    <cellStyle name="Per cent" xfId="5" builtinId="5"/>
  </cellStyles>
  <dxfs count="21">
    <dxf>
      <numFmt numFmtId="166" formatCode="[$SAR]\ #,##0.00"/>
      <alignment horizontal="left" vertical="bottom" textRotation="0" wrapText="0" indent="0" justifyLastLine="0" shrinkToFit="0" readingOrder="0"/>
    </dxf>
    <dxf>
      <numFmt numFmtId="166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SAR]\ #,##0.00"/>
      <alignment horizontal="left" vertical="bottom" textRotation="0" wrapText="0" indent="0" justifyLastLine="0" shrinkToFit="0" readingOrder="0"/>
    </dxf>
    <dxf>
      <numFmt numFmtId="166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FCDAF-910E-477E-8865-AC8F9EB7F158}" name="financials" displayName="financials" ref="A1:S113" totalsRowShown="0" headerRowDxfId="20" dataDxfId="19" headerRowCellStyle="Currency" dataCellStyle="Currency">
  <autoFilter ref="A1:S113" xr:uid="{656214F7-FA8A-44C5-85E8-11B3ECD99D9D}"/>
  <tableColumns count="19">
    <tableColumn id="1" xr3:uid="{8EDD972D-9B28-4FDA-85E4-457C2F8C2D97}" name="Asset" dataDxfId="18"/>
    <tableColumn id="2" xr3:uid="{B9D4B98F-CA0D-4371-B00E-D6FFF2C56EFF}" name="Country" dataDxfId="17"/>
    <tableColumn id="3" xr3:uid="{94D45C6C-3444-4EF3-8BD4-C93EBBFE655F}" name="City" dataDxfId="16"/>
    <tableColumn id="7" xr3:uid="{3737A6C9-956B-4F65-96FF-097715B4DB01}" name="Project" dataDxfId="15"/>
    <tableColumn id="16" xr3:uid="{70EB5652-BC1E-42DA-871F-4D0746A46419}" name="Base Date" dataDxfId="14"/>
    <tableColumn id="12" xr3:uid="{ACEBC89D-50C8-4CD2-8BC1-AEFCA4449A3E}" name="Contractor" dataDxfId="13"/>
    <tableColumn id="11" xr3:uid="{F55BA073-181B-4A6F-A50A-C9DED952B72E}" name="Status" dataDxfId="12"/>
    <tableColumn id="13" xr3:uid="{025BC91F-1CEA-42D5-9CE0-3908E9CDE66A}" name="Contract Type" dataDxfId="11"/>
    <tableColumn id="14" xr3:uid="{4D334CCC-ED0F-4C5A-B35A-7C19601D4E74}" name="BUA" dataDxfId="10"/>
    <tableColumn id="17" xr3:uid="{590BC311-642E-4377-AA4F-3CE5FE76AD39}" name="GIA" dataDxfId="9"/>
    <tableColumn id="21" xr3:uid="{AABABE69-BE9E-4473-A5B0-441F53A46D31}" name="GFA" dataDxfId="8"/>
    <tableColumn id="15" xr3:uid="{11506AAD-29A4-4F73-9F2A-A6044ACD77D0}" name="Keys" dataDxfId="7"/>
    <tableColumn id="23" xr3:uid="{20C9806B-2338-405F-A246-9C1A0199408D}" name="NRM Lvl 1" dataDxfId="6" dataCellStyle="Currency"/>
    <tableColumn id="19" xr3:uid="{311737AA-66C4-4D23-B05A-F13BDF4417E8}" name="POMI" dataDxfId="5" dataCellStyle="Currency"/>
    <tableColumn id="6" xr3:uid="{5CD7F6F6-1238-4E76-B8D5-7E47DD662D5B}" name="Description" dataDxfId="4"/>
    <tableColumn id="10" xr3:uid="{2D290D39-1079-4C56-87F7-CDFAD86D8DC3}" name="Quantity" dataDxfId="3" dataCellStyle="Currency"/>
    <tableColumn id="9" xr3:uid="{1E7A4CF1-D469-4530-85E9-BA16A7041302}" name="Unit" dataDxfId="2" dataCellStyle="Currency"/>
    <tableColumn id="4" xr3:uid="{145C4671-5A6B-4212-98D7-ADB487B25A77}" name="Contract Rate" dataDxfId="1"/>
    <tableColumn id="5" xr3:uid="{9454220A-031B-45B5-AD12-EA7F40757E6C}" name="Average Tender R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DCAD-7773-4921-871A-F87AEC757360}">
  <sheetPr>
    <tabColor rgb="FF00B050"/>
  </sheetPr>
  <dimension ref="A1:S113"/>
  <sheetViews>
    <sheetView zoomScale="85" zoomScaleNormal="85" workbookViewId="0">
      <selection activeCell="G28" sqref="G28"/>
    </sheetView>
  </sheetViews>
  <sheetFormatPr baseColWidth="10" defaultColWidth="8.83203125" defaultRowHeight="15" x14ac:dyDescent="0.2"/>
  <cols>
    <col min="1" max="3" width="15.6640625" style="7" customWidth="1"/>
    <col min="4" max="4" width="23.6640625" style="15" customWidth="1"/>
    <col min="5" max="7" width="15.6640625" style="15" customWidth="1"/>
    <col min="8" max="9" width="21.6640625" style="15" customWidth="1"/>
    <col min="10" max="12" width="15.6640625" style="15" customWidth="1"/>
    <col min="13" max="13" width="25.1640625" style="16" bestFit="1" customWidth="1"/>
    <col min="14" max="14" width="15.6640625" style="17" customWidth="1"/>
    <col min="15" max="15" width="38.6640625" style="18" bestFit="1" customWidth="1"/>
    <col min="16" max="19" width="15.6640625" style="13" customWidth="1"/>
  </cols>
  <sheetData>
    <row r="1" spans="1:19" ht="32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16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</v>
      </c>
      <c r="K1" s="1" t="s">
        <v>11</v>
      </c>
      <c r="L1" s="1" t="s">
        <v>15</v>
      </c>
      <c r="M1" s="3" t="s">
        <v>12</v>
      </c>
      <c r="N1" s="4" t="s">
        <v>13</v>
      </c>
      <c r="O1" s="5" t="s">
        <v>4</v>
      </c>
      <c r="P1" s="6" t="s">
        <v>6</v>
      </c>
      <c r="Q1" s="6" t="s">
        <v>5</v>
      </c>
      <c r="R1" s="6" t="s">
        <v>32</v>
      </c>
      <c r="S1" s="6" t="s">
        <v>33</v>
      </c>
    </row>
    <row r="2" spans="1:19" x14ac:dyDescent="0.2">
      <c r="A2" s="2"/>
      <c r="B2" s="2"/>
      <c r="C2" s="2"/>
      <c r="D2" s="2"/>
      <c r="E2" s="2"/>
      <c r="F2" s="2"/>
      <c r="G2" s="2"/>
      <c r="H2" s="2"/>
      <c r="I2" s="7"/>
      <c r="J2" s="7"/>
      <c r="K2" s="2"/>
      <c r="L2" s="2"/>
      <c r="M2" s="8"/>
      <c r="N2" s="9"/>
      <c r="O2" s="10"/>
      <c r="P2" s="10"/>
      <c r="Q2" s="10"/>
      <c r="R2" s="10"/>
      <c r="S2" s="10"/>
    </row>
    <row r="3" spans="1:19" ht="16" x14ac:dyDescent="0.2">
      <c r="A3" s="2" t="s">
        <v>22</v>
      </c>
      <c r="B3" s="2" t="s">
        <v>23</v>
      </c>
      <c r="C3" s="2" t="s">
        <v>24</v>
      </c>
      <c r="D3" s="2" t="s">
        <v>25</v>
      </c>
      <c r="E3" s="2">
        <v>2022</v>
      </c>
      <c r="F3" s="2" t="s">
        <v>26</v>
      </c>
      <c r="G3" s="2" t="s">
        <v>31</v>
      </c>
      <c r="H3" s="2" t="s">
        <v>27</v>
      </c>
      <c r="I3" s="7">
        <v>69927</v>
      </c>
      <c r="J3" s="7"/>
      <c r="K3" s="2">
        <v>53764</v>
      </c>
      <c r="L3" s="2">
        <v>372</v>
      </c>
      <c r="M3" s="8" t="s">
        <v>34</v>
      </c>
      <c r="N3" s="9" t="s">
        <v>29</v>
      </c>
      <c r="O3" s="10" t="s">
        <v>30</v>
      </c>
      <c r="P3" s="19">
        <v>30</v>
      </c>
      <c r="Q3" s="10" t="s">
        <v>28</v>
      </c>
      <c r="R3" s="19">
        <v>370</v>
      </c>
      <c r="S3" s="19">
        <v>309</v>
      </c>
    </row>
    <row r="4" spans="1:19" ht="16" x14ac:dyDescent="0.2">
      <c r="A4" s="2" t="str">
        <f t="shared" ref="A4:H4" si="0">A3</f>
        <v>Townhouses</v>
      </c>
      <c r="B4" s="2" t="str">
        <f t="shared" si="0"/>
        <v>UAE</v>
      </c>
      <c r="C4" s="2" t="str">
        <f t="shared" si="0"/>
        <v>Dubai</v>
      </c>
      <c r="D4" s="2" t="str">
        <f t="shared" si="0"/>
        <v>The Valley - Nara</v>
      </c>
      <c r="E4" s="2">
        <f t="shared" si="0"/>
        <v>2022</v>
      </c>
      <c r="F4" s="2" t="str">
        <f t="shared" si="0"/>
        <v>METAC</v>
      </c>
      <c r="G4" s="2" t="str">
        <f t="shared" si="0"/>
        <v>Award</v>
      </c>
      <c r="H4" s="2" t="str">
        <f t="shared" si="0"/>
        <v>Fixed Price Lump Sum</v>
      </c>
      <c r="I4" s="7"/>
      <c r="J4" s="7"/>
      <c r="K4" s="2"/>
      <c r="L4" s="2"/>
      <c r="M4" s="8" t="s">
        <v>36</v>
      </c>
      <c r="N4" s="9" t="s">
        <v>29</v>
      </c>
      <c r="O4" s="10" t="s">
        <v>35</v>
      </c>
      <c r="P4" s="19">
        <v>51</v>
      </c>
      <c r="Q4" s="10" t="s">
        <v>28</v>
      </c>
      <c r="R4" s="19">
        <v>370</v>
      </c>
      <c r="S4" s="19">
        <v>305</v>
      </c>
    </row>
    <row r="5" spans="1:19" x14ac:dyDescent="0.2">
      <c r="A5" s="2"/>
      <c r="B5" s="2"/>
      <c r="C5" s="2"/>
      <c r="D5" s="2"/>
      <c r="E5" s="2"/>
      <c r="F5" s="2"/>
      <c r="G5" s="2"/>
      <c r="H5" s="2"/>
      <c r="I5" s="7"/>
      <c r="J5" s="7"/>
      <c r="K5" s="2"/>
      <c r="L5" s="2"/>
      <c r="M5" s="8"/>
      <c r="N5" s="9"/>
      <c r="O5" s="10"/>
      <c r="P5" s="10"/>
      <c r="Q5" s="10"/>
      <c r="R5" s="10"/>
      <c r="S5" s="10"/>
    </row>
    <row r="6" spans="1:19" x14ac:dyDescent="0.2">
      <c r="A6" s="2"/>
      <c r="B6" s="2"/>
      <c r="C6" s="2"/>
      <c r="D6" s="2"/>
      <c r="E6" s="2"/>
      <c r="F6" s="2"/>
      <c r="G6" s="2"/>
      <c r="H6" s="2"/>
      <c r="I6" s="7"/>
      <c r="J6" s="7"/>
      <c r="K6" s="2"/>
      <c r="L6" s="2"/>
      <c r="M6" s="8"/>
      <c r="N6" s="9"/>
      <c r="O6" s="10"/>
      <c r="P6" s="10"/>
      <c r="Q6" s="10"/>
      <c r="R6" s="10"/>
      <c r="S6" s="10"/>
    </row>
    <row r="7" spans="1:19" x14ac:dyDescent="0.2">
      <c r="A7" s="2"/>
      <c r="B7" s="2"/>
      <c r="C7" s="2"/>
      <c r="D7" s="2"/>
      <c r="E7" s="2"/>
      <c r="F7" s="2"/>
      <c r="G7" s="2"/>
      <c r="H7" s="2"/>
      <c r="I7" s="7"/>
      <c r="J7" s="7"/>
      <c r="K7" s="2"/>
      <c r="L7" s="2"/>
      <c r="M7" s="8"/>
      <c r="N7" s="9"/>
      <c r="O7" s="10"/>
      <c r="P7" s="10"/>
      <c r="Q7" s="10"/>
      <c r="R7" s="10"/>
      <c r="S7" s="10"/>
    </row>
    <row r="8" spans="1:19" x14ac:dyDescent="0.2">
      <c r="A8" s="2"/>
      <c r="B8" s="2"/>
      <c r="C8" s="2"/>
      <c r="D8" s="2"/>
      <c r="E8" s="2"/>
      <c r="F8" s="2"/>
      <c r="G8" s="2"/>
      <c r="H8" s="2"/>
      <c r="I8" s="7"/>
      <c r="J8" s="7"/>
      <c r="K8" s="2"/>
      <c r="L8" s="2"/>
      <c r="M8" s="8"/>
      <c r="N8" s="9"/>
      <c r="O8" s="10"/>
      <c r="P8" s="10"/>
      <c r="Q8" s="10"/>
      <c r="R8" s="10"/>
      <c r="S8" s="10"/>
    </row>
    <row r="9" spans="1:19" x14ac:dyDescent="0.2">
      <c r="A9" s="2"/>
      <c r="B9" s="2"/>
      <c r="C9" s="2"/>
      <c r="D9" s="2"/>
      <c r="E9" s="2"/>
      <c r="F9" s="2"/>
      <c r="G9" s="2"/>
      <c r="H9" s="2"/>
      <c r="I9" s="7"/>
      <c r="J9" s="7"/>
      <c r="K9" s="2"/>
      <c r="L9" s="2"/>
      <c r="M9" s="11"/>
      <c r="N9" s="12"/>
      <c r="O9" s="13"/>
      <c r="P9" s="14"/>
      <c r="Q9" s="14"/>
    </row>
    <row r="10" spans="1:19" x14ac:dyDescent="0.2">
      <c r="A10" s="2"/>
      <c r="B10" s="2"/>
      <c r="C10" s="2"/>
      <c r="D10" s="2"/>
      <c r="E10" s="2"/>
      <c r="F10" s="2"/>
      <c r="G10" s="2"/>
      <c r="H10" s="2"/>
      <c r="I10" s="7"/>
      <c r="J10" s="7"/>
      <c r="K10" s="2"/>
      <c r="L10" s="2"/>
      <c r="M10" s="11"/>
      <c r="N10" s="12"/>
      <c r="O10" s="13"/>
      <c r="P10" s="14"/>
      <c r="Q10" s="14"/>
    </row>
    <row r="11" spans="1:19" x14ac:dyDescent="0.2">
      <c r="A11" s="2"/>
      <c r="B11" s="2"/>
      <c r="C11" s="2"/>
      <c r="D11" s="2"/>
      <c r="E11" s="2"/>
      <c r="F11" s="2"/>
      <c r="G11" s="2"/>
      <c r="H11" s="2"/>
      <c r="I11" s="7"/>
      <c r="J11" s="7"/>
      <c r="K11" s="2"/>
      <c r="L11" s="2"/>
      <c r="M11" s="11"/>
      <c r="N11" s="12"/>
      <c r="O11" s="13"/>
      <c r="P11" s="14"/>
      <c r="Q11" s="14"/>
    </row>
    <row r="12" spans="1:19" x14ac:dyDescent="0.2">
      <c r="A12" s="2"/>
      <c r="B12" s="2"/>
      <c r="C12" s="2"/>
      <c r="D12" s="2"/>
      <c r="E12" s="2"/>
      <c r="F12" s="2"/>
      <c r="G12" s="2"/>
      <c r="H12" s="2"/>
      <c r="I12" s="7"/>
      <c r="J12" s="7"/>
      <c r="K12" s="2"/>
      <c r="L12" s="2"/>
      <c r="M12" s="11"/>
      <c r="N12" s="12"/>
      <c r="O12" s="13"/>
      <c r="P12" s="14"/>
      <c r="Q12" s="14"/>
    </row>
    <row r="13" spans="1:19" x14ac:dyDescent="0.2">
      <c r="A13" s="2"/>
      <c r="B13" s="2"/>
      <c r="C13" s="2"/>
      <c r="D13" s="2"/>
      <c r="E13" s="2"/>
      <c r="F13" s="2"/>
      <c r="G13" s="2"/>
      <c r="H13" s="2"/>
      <c r="I13" s="7"/>
      <c r="J13" s="7"/>
      <c r="K13" s="2"/>
      <c r="L13" s="2"/>
      <c r="M13" s="11"/>
      <c r="N13" s="12"/>
      <c r="O13" s="13"/>
      <c r="P13" s="14"/>
      <c r="Q13" s="14"/>
    </row>
    <row r="14" spans="1:19" x14ac:dyDescent="0.2">
      <c r="A14" s="2"/>
      <c r="B14" s="2"/>
      <c r="C14" s="2"/>
      <c r="D14" s="2"/>
      <c r="E14" s="2"/>
      <c r="F14" s="2"/>
      <c r="G14" s="2"/>
      <c r="H14" s="2"/>
      <c r="I14" s="7"/>
      <c r="J14" s="7"/>
      <c r="K14" s="2"/>
      <c r="L14" s="2"/>
      <c r="M14" s="11"/>
      <c r="N14" s="12"/>
      <c r="O14" s="13"/>
      <c r="P14" s="14"/>
      <c r="Q14" s="14"/>
    </row>
    <row r="15" spans="1:19" x14ac:dyDescent="0.2">
      <c r="A15" s="2"/>
      <c r="B15" s="2"/>
      <c r="C15" s="2"/>
      <c r="D15" s="2"/>
      <c r="E15" s="2"/>
      <c r="F15" s="2"/>
      <c r="G15" s="2"/>
      <c r="H15" s="2"/>
      <c r="I15" s="7"/>
      <c r="J15" s="7"/>
      <c r="K15" s="2"/>
      <c r="L15" s="2"/>
      <c r="M15" s="11"/>
      <c r="N15" s="12"/>
      <c r="O15" s="13"/>
      <c r="P15" s="14"/>
      <c r="Q15" s="14"/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7"/>
      <c r="J16" s="7"/>
      <c r="K16" s="2"/>
      <c r="L16" s="2"/>
      <c r="M16" s="11"/>
      <c r="N16" s="12"/>
      <c r="O16" s="13"/>
      <c r="P16" s="14"/>
      <c r="Q16" s="14"/>
    </row>
    <row r="17" spans="1:17" x14ac:dyDescent="0.2">
      <c r="A17" s="2"/>
      <c r="B17" s="2"/>
      <c r="C17" s="2"/>
      <c r="D17" s="2"/>
      <c r="E17" s="2"/>
      <c r="F17" s="2"/>
      <c r="G17" s="2"/>
      <c r="H17" s="2"/>
      <c r="I17" s="7"/>
      <c r="J17" s="7"/>
      <c r="K17" s="2"/>
      <c r="L17" s="2"/>
      <c r="M17" s="11"/>
      <c r="N17" s="12"/>
      <c r="O17" s="13"/>
      <c r="P17" s="14"/>
      <c r="Q17" s="14"/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7"/>
      <c r="J18" s="7"/>
      <c r="K18" s="2"/>
      <c r="L18" s="2"/>
      <c r="M18" s="11"/>
      <c r="N18" s="12"/>
      <c r="O18" s="13"/>
      <c r="P18" s="14"/>
      <c r="Q18" s="14"/>
    </row>
    <row r="19" spans="1:17" x14ac:dyDescent="0.2">
      <c r="A19" s="2"/>
      <c r="B19" s="2"/>
      <c r="C19" s="2"/>
      <c r="D19" s="2"/>
      <c r="E19" s="2"/>
      <c r="F19" s="2"/>
      <c r="G19" s="2"/>
      <c r="H19" s="2"/>
      <c r="I19" s="7"/>
      <c r="J19" s="7"/>
      <c r="K19" s="2"/>
      <c r="L19" s="2"/>
      <c r="M19" s="11"/>
      <c r="N19" s="12"/>
      <c r="O19" s="13"/>
      <c r="P19" s="14"/>
      <c r="Q19" s="14"/>
    </row>
    <row r="20" spans="1:17" x14ac:dyDescent="0.2">
      <c r="A20" s="2"/>
      <c r="B20" s="2"/>
      <c r="C20" s="2"/>
      <c r="D20" s="2"/>
      <c r="E20" s="2"/>
      <c r="F20" s="2"/>
      <c r="G20" s="2"/>
      <c r="H20" s="2"/>
      <c r="I20" s="7"/>
      <c r="J20" s="7"/>
      <c r="K20" s="2"/>
      <c r="L20" s="2"/>
      <c r="M20" s="11"/>
      <c r="N20" s="12"/>
      <c r="O20" s="13"/>
      <c r="P20" s="14"/>
      <c r="Q20" s="14"/>
    </row>
    <row r="21" spans="1:17" x14ac:dyDescent="0.2">
      <c r="A21" s="2"/>
      <c r="B21" s="2"/>
      <c r="C21" s="2"/>
      <c r="D21" s="2"/>
      <c r="E21" s="2"/>
      <c r="F21" s="2"/>
      <c r="G21" s="2"/>
      <c r="H21" s="2"/>
      <c r="I21" s="7"/>
      <c r="J21" s="7"/>
      <c r="K21" s="2"/>
      <c r="L21" s="2"/>
      <c r="M21" s="11"/>
      <c r="N21" s="12"/>
      <c r="O21" s="13"/>
      <c r="P21" s="14"/>
      <c r="Q21" s="14"/>
    </row>
    <row r="22" spans="1:17" x14ac:dyDescent="0.2">
      <c r="A22" s="2"/>
      <c r="B22" s="2"/>
      <c r="C22" s="2"/>
      <c r="D22" s="2"/>
      <c r="E22" s="2"/>
      <c r="F22" s="2"/>
      <c r="G22" s="2"/>
      <c r="H22" s="2"/>
      <c r="I22" s="7"/>
      <c r="J22" s="7"/>
      <c r="K22" s="2"/>
      <c r="L22" s="2"/>
      <c r="M22" s="11"/>
      <c r="N22" s="12"/>
      <c r="O22" s="13"/>
      <c r="P22" s="14"/>
      <c r="Q22" s="14"/>
    </row>
    <row r="23" spans="1:17" x14ac:dyDescent="0.2">
      <c r="A23" s="2"/>
      <c r="B23" s="2"/>
      <c r="C23" s="2"/>
      <c r="D23" s="2"/>
      <c r="E23" s="2"/>
      <c r="F23" s="2"/>
      <c r="G23" s="2"/>
      <c r="H23" s="2"/>
      <c r="I23" s="7"/>
      <c r="J23" s="7"/>
      <c r="K23" s="2"/>
      <c r="L23" s="2"/>
      <c r="M23" s="11"/>
      <c r="N23" s="12"/>
      <c r="O23" s="13"/>
      <c r="P23" s="14"/>
      <c r="Q23" s="14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7"/>
      <c r="J24" s="7"/>
      <c r="K24" s="2"/>
      <c r="L24" s="2"/>
      <c r="M24" s="11"/>
      <c r="N24" s="12"/>
      <c r="O24" s="13"/>
      <c r="P24" s="14"/>
      <c r="Q24" s="14"/>
    </row>
    <row r="25" spans="1:17" x14ac:dyDescent="0.2">
      <c r="A25" s="2"/>
      <c r="B25" s="2"/>
      <c r="C25" s="2"/>
      <c r="D25" s="2"/>
      <c r="E25" s="2"/>
      <c r="F25" s="2"/>
      <c r="G25" s="2"/>
      <c r="H25" s="2"/>
      <c r="I25" s="7"/>
      <c r="J25" s="7"/>
      <c r="K25" s="2"/>
      <c r="L25" s="2"/>
      <c r="M25" s="11"/>
      <c r="N25" s="12"/>
      <c r="O25" s="13"/>
      <c r="P25" s="14"/>
      <c r="Q25" s="14"/>
    </row>
    <row r="26" spans="1:17" x14ac:dyDescent="0.2">
      <c r="A26" s="2"/>
      <c r="B26" s="2"/>
      <c r="C26" s="2"/>
      <c r="D26" s="2"/>
      <c r="E26" s="2"/>
      <c r="F26" s="2"/>
      <c r="G26" s="2"/>
      <c r="H26" s="2"/>
      <c r="I26" s="7"/>
      <c r="J26" s="7"/>
      <c r="K26" s="2"/>
      <c r="L26" s="2"/>
      <c r="M26" s="11"/>
      <c r="N26" s="12"/>
      <c r="O26" s="13"/>
      <c r="P26" s="14"/>
      <c r="Q26" s="14"/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7"/>
      <c r="J27" s="7"/>
      <c r="K27" s="2"/>
      <c r="L27" s="2"/>
      <c r="M27" s="11"/>
      <c r="N27" s="12"/>
      <c r="O27" s="13"/>
      <c r="P27" s="14"/>
      <c r="Q27" s="14"/>
    </row>
    <row r="28" spans="1:17" x14ac:dyDescent="0.2">
      <c r="A28" s="2"/>
      <c r="B28" s="2"/>
      <c r="C28" s="2"/>
      <c r="D28" s="2"/>
      <c r="E28" s="2"/>
      <c r="F28" s="2"/>
      <c r="G28" s="2"/>
      <c r="H28" s="2"/>
      <c r="I28" s="7"/>
      <c r="J28" s="7"/>
      <c r="K28" s="2"/>
      <c r="L28" s="2"/>
      <c r="M28" s="11"/>
      <c r="N28" s="12"/>
      <c r="O28" s="13"/>
      <c r="P28" s="14"/>
      <c r="Q28" s="14"/>
    </row>
    <row r="29" spans="1:17" x14ac:dyDescent="0.2">
      <c r="A29" s="2"/>
      <c r="B29" s="2"/>
      <c r="C29" s="2"/>
      <c r="D29" s="2"/>
      <c r="E29" s="2"/>
      <c r="F29" s="2"/>
      <c r="G29" s="2"/>
      <c r="H29" s="2"/>
      <c r="I29" s="7"/>
      <c r="J29" s="7"/>
      <c r="K29" s="2"/>
      <c r="L29" s="2"/>
      <c r="M29" s="11"/>
      <c r="N29" s="12"/>
      <c r="O29" s="13"/>
      <c r="P29" s="14"/>
      <c r="Q29" s="14"/>
    </row>
    <row r="30" spans="1:17" x14ac:dyDescent="0.2">
      <c r="A30" s="2"/>
      <c r="B30" s="2"/>
      <c r="C30" s="2"/>
      <c r="D30" s="2"/>
      <c r="E30" s="2"/>
      <c r="F30" s="2"/>
      <c r="G30" s="2"/>
      <c r="H30" s="2"/>
      <c r="I30" s="7"/>
      <c r="J30" s="7"/>
      <c r="K30" s="2"/>
      <c r="L30" s="2"/>
      <c r="M30" s="11"/>
      <c r="N30" s="12"/>
      <c r="O30" s="13"/>
      <c r="P30" s="14"/>
      <c r="Q30" s="14"/>
    </row>
    <row r="31" spans="1:17" x14ac:dyDescent="0.2">
      <c r="A31" s="2"/>
      <c r="B31" s="2"/>
      <c r="C31" s="2"/>
      <c r="D31" s="2"/>
      <c r="E31" s="2"/>
      <c r="F31" s="2"/>
      <c r="G31" s="2"/>
      <c r="H31" s="2"/>
      <c r="I31" s="7"/>
      <c r="J31" s="7"/>
      <c r="K31" s="2"/>
      <c r="L31" s="2"/>
      <c r="M31" s="11"/>
      <c r="N31" s="12"/>
      <c r="O31" s="13"/>
      <c r="P31" s="14"/>
      <c r="Q31" s="14"/>
    </row>
    <row r="32" spans="1:17" x14ac:dyDescent="0.2">
      <c r="A32" s="2"/>
      <c r="B32" s="2"/>
      <c r="C32" s="2"/>
      <c r="D32" s="2"/>
      <c r="E32" s="2"/>
      <c r="F32" s="2"/>
      <c r="G32" s="2"/>
      <c r="H32" s="2"/>
      <c r="I32" s="7"/>
      <c r="J32" s="7"/>
      <c r="K32" s="2"/>
      <c r="L32" s="2"/>
      <c r="M32" s="11"/>
      <c r="N32" s="12"/>
      <c r="O32" s="13"/>
      <c r="P32" s="14"/>
      <c r="Q32" s="14"/>
    </row>
    <row r="33" spans="1:17" x14ac:dyDescent="0.2">
      <c r="A33" s="2"/>
      <c r="B33" s="2"/>
      <c r="C33" s="2"/>
      <c r="D33" s="2"/>
      <c r="E33" s="2"/>
      <c r="F33" s="2"/>
      <c r="G33" s="2"/>
      <c r="H33" s="2"/>
      <c r="I33" s="7"/>
      <c r="J33" s="7"/>
      <c r="K33" s="2"/>
      <c r="L33" s="2"/>
      <c r="M33" s="11"/>
      <c r="N33" s="12"/>
      <c r="O33" s="13"/>
      <c r="P33" s="14"/>
      <c r="Q33" s="14"/>
    </row>
    <row r="34" spans="1:17" x14ac:dyDescent="0.2">
      <c r="A34" s="2"/>
      <c r="B34" s="2"/>
      <c r="C34" s="2"/>
      <c r="D34" s="2"/>
      <c r="E34" s="2"/>
      <c r="F34" s="2"/>
      <c r="G34" s="2"/>
      <c r="H34" s="2"/>
      <c r="I34" s="7"/>
      <c r="J34" s="7"/>
      <c r="K34" s="2"/>
      <c r="L34" s="2"/>
      <c r="M34" s="11"/>
      <c r="N34" s="12"/>
      <c r="O34" s="13"/>
      <c r="P34" s="14"/>
      <c r="Q34" s="14"/>
    </row>
    <row r="35" spans="1:17" x14ac:dyDescent="0.2">
      <c r="A35" s="2"/>
      <c r="B35" s="2"/>
      <c r="C35" s="2"/>
      <c r="D35" s="2"/>
      <c r="E35" s="2"/>
      <c r="F35" s="2"/>
      <c r="G35" s="2"/>
      <c r="H35" s="2"/>
      <c r="I35" s="7"/>
      <c r="J35" s="7"/>
      <c r="K35" s="2"/>
      <c r="L35" s="2"/>
      <c r="M35" s="11"/>
      <c r="N35" s="12"/>
      <c r="O35" s="13"/>
      <c r="P35" s="14"/>
      <c r="Q35" s="14"/>
    </row>
    <row r="36" spans="1:17" x14ac:dyDescent="0.2">
      <c r="A36" s="2"/>
      <c r="B36" s="2"/>
      <c r="C36" s="2"/>
      <c r="D36" s="2"/>
      <c r="E36" s="2"/>
      <c r="F36" s="2"/>
      <c r="G36" s="2"/>
      <c r="H36" s="2"/>
      <c r="I36" s="7"/>
      <c r="J36" s="7"/>
      <c r="K36" s="2"/>
      <c r="L36" s="2"/>
      <c r="M36" s="11"/>
      <c r="N36" s="12"/>
      <c r="O36" s="13"/>
      <c r="P36" s="14"/>
      <c r="Q36" s="14"/>
    </row>
    <row r="37" spans="1:17" x14ac:dyDescent="0.2">
      <c r="A37" s="2"/>
      <c r="B37" s="2"/>
      <c r="C37" s="2"/>
      <c r="D37" s="2"/>
      <c r="E37" s="2"/>
      <c r="F37" s="2"/>
      <c r="G37" s="2"/>
      <c r="H37" s="2"/>
      <c r="I37" s="7"/>
      <c r="J37" s="7"/>
      <c r="K37" s="2"/>
      <c r="L37" s="2"/>
      <c r="M37" s="11"/>
      <c r="N37" s="12"/>
      <c r="O37" s="13"/>
      <c r="P37" s="14"/>
      <c r="Q37" s="14"/>
    </row>
    <row r="38" spans="1:17" x14ac:dyDescent="0.2">
      <c r="A38" s="2"/>
      <c r="B38" s="2"/>
      <c r="C38" s="2"/>
      <c r="D38" s="2"/>
      <c r="E38" s="2"/>
      <c r="F38" s="2"/>
      <c r="G38" s="2"/>
      <c r="H38" s="2"/>
      <c r="I38" s="7"/>
      <c r="J38" s="7"/>
      <c r="K38" s="2"/>
      <c r="L38" s="2"/>
      <c r="M38" s="11"/>
      <c r="N38" s="12"/>
      <c r="O38" s="13"/>
      <c r="P38" s="14"/>
      <c r="Q38" s="14"/>
    </row>
    <row r="39" spans="1:17" x14ac:dyDescent="0.2">
      <c r="A39" s="2"/>
      <c r="B39" s="2"/>
      <c r="C39" s="2"/>
      <c r="D39" s="2"/>
      <c r="E39" s="2"/>
      <c r="F39" s="2"/>
      <c r="G39" s="2"/>
      <c r="H39" s="2"/>
      <c r="I39" s="7"/>
      <c r="J39" s="7"/>
      <c r="K39" s="2"/>
      <c r="L39" s="2"/>
      <c r="M39" s="11"/>
      <c r="N39" s="12"/>
      <c r="O39" s="13"/>
      <c r="P39" s="14"/>
      <c r="Q39" s="14"/>
    </row>
    <row r="40" spans="1:17" x14ac:dyDescent="0.2">
      <c r="A40" s="2"/>
      <c r="B40" s="2"/>
      <c r="C40" s="2"/>
      <c r="D40" s="2"/>
      <c r="E40" s="2"/>
      <c r="F40" s="2"/>
      <c r="G40" s="2"/>
      <c r="H40" s="2"/>
      <c r="I40" s="7"/>
      <c r="J40" s="7"/>
      <c r="K40" s="2"/>
      <c r="L40" s="2"/>
      <c r="M40" s="11"/>
      <c r="N40" s="12"/>
      <c r="O40" s="13"/>
      <c r="P40" s="14"/>
      <c r="Q40" s="14"/>
    </row>
    <row r="41" spans="1:17" x14ac:dyDescent="0.2">
      <c r="A41" s="2"/>
      <c r="B41" s="2"/>
      <c r="C41" s="2"/>
      <c r="D41" s="2"/>
      <c r="E41" s="2"/>
      <c r="F41" s="2"/>
      <c r="G41" s="2"/>
      <c r="H41" s="2"/>
      <c r="I41" s="7"/>
      <c r="J41" s="7"/>
      <c r="K41" s="2"/>
      <c r="L41" s="2"/>
      <c r="M41" s="11"/>
      <c r="N41" s="12"/>
      <c r="O41" s="13"/>
      <c r="P41" s="14"/>
      <c r="Q41" s="14"/>
    </row>
    <row r="42" spans="1:17" x14ac:dyDescent="0.2">
      <c r="A42" s="2"/>
      <c r="B42" s="2"/>
      <c r="C42" s="2"/>
      <c r="D42" s="2"/>
      <c r="E42" s="2"/>
      <c r="F42" s="2"/>
      <c r="G42" s="2"/>
      <c r="H42" s="2"/>
      <c r="I42" s="7"/>
      <c r="J42" s="7"/>
      <c r="K42" s="2"/>
      <c r="L42" s="2"/>
      <c r="M42" s="11"/>
      <c r="N42" s="12"/>
      <c r="O42" s="13"/>
      <c r="P42" s="14"/>
      <c r="Q42" s="14"/>
    </row>
    <row r="43" spans="1:17" x14ac:dyDescent="0.2">
      <c r="A43" s="2"/>
      <c r="B43" s="2"/>
      <c r="C43" s="2"/>
      <c r="D43" s="2"/>
      <c r="E43" s="2"/>
      <c r="F43" s="2"/>
      <c r="G43" s="2"/>
      <c r="H43" s="2"/>
      <c r="I43" s="7"/>
      <c r="J43" s="7"/>
      <c r="K43" s="2"/>
      <c r="L43" s="2"/>
      <c r="M43" s="11"/>
      <c r="N43" s="12"/>
      <c r="O43" s="13"/>
      <c r="P43" s="14"/>
      <c r="Q43" s="14"/>
    </row>
    <row r="44" spans="1:17" x14ac:dyDescent="0.2">
      <c r="A44" s="2"/>
      <c r="B44" s="2"/>
      <c r="C44" s="2"/>
      <c r="D44" s="2"/>
      <c r="E44" s="2"/>
      <c r="F44" s="2"/>
      <c r="G44" s="2"/>
      <c r="H44" s="2"/>
      <c r="I44" s="7"/>
      <c r="J44" s="7"/>
      <c r="K44" s="2"/>
      <c r="L44" s="2"/>
      <c r="M44" s="11"/>
      <c r="N44" s="12"/>
      <c r="O44" s="13"/>
      <c r="P44" s="14"/>
      <c r="Q44" s="14"/>
    </row>
    <row r="45" spans="1:17" x14ac:dyDescent="0.2">
      <c r="A45" s="2"/>
      <c r="B45" s="2"/>
      <c r="C45" s="2"/>
      <c r="D45" s="2"/>
      <c r="E45" s="2"/>
      <c r="F45" s="2"/>
      <c r="G45" s="2"/>
      <c r="H45" s="2"/>
      <c r="I45" s="7"/>
      <c r="J45" s="7"/>
      <c r="K45" s="2"/>
      <c r="L45" s="2"/>
      <c r="M45" s="11"/>
      <c r="N45" s="12"/>
      <c r="O45" s="13"/>
      <c r="P45" s="14"/>
      <c r="Q45" s="14"/>
    </row>
    <row r="46" spans="1:17" x14ac:dyDescent="0.2">
      <c r="A46" s="2"/>
      <c r="B46" s="2"/>
      <c r="C46" s="2"/>
      <c r="D46" s="2"/>
      <c r="E46" s="2"/>
      <c r="F46" s="2"/>
      <c r="G46" s="2"/>
      <c r="H46" s="2"/>
      <c r="I46" s="7"/>
      <c r="J46" s="7"/>
      <c r="K46" s="2"/>
      <c r="L46" s="2"/>
      <c r="M46" s="11"/>
      <c r="N46" s="12"/>
      <c r="O46" s="13"/>
      <c r="P46" s="14"/>
      <c r="Q46" s="14"/>
    </row>
    <row r="47" spans="1:17" x14ac:dyDescent="0.2">
      <c r="A47" s="2"/>
      <c r="B47" s="2"/>
      <c r="C47" s="2"/>
      <c r="D47" s="2"/>
      <c r="E47" s="2"/>
      <c r="F47" s="2"/>
      <c r="G47" s="2"/>
      <c r="H47" s="2"/>
      <c r="I47" s="7"/>
      <c r="J47" s="7"/>
      <c r="K47" s="2"/>
      <c r="L47" s="2"/>
      <c r="M47" s="11"/>
      <c r="N47" s="12"/>
      <c r="O47" s="13"/>
      <c r="P47" s="14"/>
      <c r="Q47" s="14"/>
    </row>
    <row r="48" spans="1:17" x14ac:dyDescent="0.2">
      <c r="A48" s="2"/>
      <c r="B48" s="2"/>
      <c r="C48" s="2"/>
      <c r="D48" s="2"/>
      <c r="E48" s="2"/>
      <c r="F48" s="2"/>
      <c r="G48" s="2"/>
      <c r="H48" s="2"/>
      <c r="I48" s="7"/>
      <c r="J48" s="7"/>
      <c r="K48" s="2"/>
      <c r="L48" s="2"/>
      <c r="M48" s="11"/>
      <c r="N48" s="12"/>
      <c r="O48" s="13"/>
      <c r="P48" s="14"/>
      <c r="Q48" s="14"/>
    </row>
    <row r="49" spans="1:17" x14ac:dyDescent="0.2">
      <c r="A49" s="2"/>
      <c r="B49" s="2"/>
      <c r="C49" s="2"/>
      <c r="D49" s="2"/>
      <c r="E49" s="2"/>
      <c r="F49" s="2"/>
      <c r="G49" s="2"/>
      <c r="H49" s="2"/>
      <c r="I49" s="7"/>
      <c r="J49" s="7"/>
      <c r="K49" s="2"/>
      <c r="L49" s="2"/>
      <c r="M49" s="11"/>
      <c r="N49" s="12"/>
      <c r="O49" s="13"/>
      <c r="P49" s="14"/>
      <c r="Q49" s="14"/>
    </row>
    <row r="50" spans="1:17" x14ac:dyDescent="0.2">
      <c r="A50" s="2"/>
      <c r="B50" s="2"/>
      <c r="C50" s="2"/>
      <c r="D50" s="2"/>
      <c r="E50" s="2"/>
      <c r="F50" s="2"/>
      <c r="G50" s="2"/>
      <c r="H50" s="2"/>
      <c r="I50" s="7"/>
      <c r="J50" s="7"/>
      <c r="K50" s="2"/>
      <c r="L50" s="2"/>
      <c r="M50" s="11"/>
      <c r="N50" s="12"/>
      <c r="O50" s="13"/>
      <c r="P50" s="14"/>
      <c r="Q50" s="14"/>
    </row>
    <row r="51" spans="1:17" x14ac:dyDescent="0.2">
      <c r="A51" s="2"/>
      <c r="B51" s="2"/>
      <c r="C51" s="2"/>
      <c r="D51" s="2"/>
      <c r="E51" s="2"/>
      <c r="F51" s="2"/>
      <c r="G51" s="2"/>
      <c r="H51" s="2"/>
      <c r="I51" s="7"/>
      <c r="J51" s="7"/>
      <c r="K51" s="2"/>
      <c r="L51" s="2"/>
      <c r="M51" s="11"/>
      <c r="N51" s="12"/>
      <c r="O51" s="13"/>
      <c r="P51" s="14"/>
      <c r="Q51" s="14"/>
    </row>
    <row r="52" spans="1:17" x14ac:dyDescent="0.2">
      <c r="A52" s="2"/>
      <c r="B52" s="2"/>
      <c r="C52" s="2"/>
      <c r="D52" s="2"/>
      <c r="E52" s="2"/>
      <c r="F52" s="2"/>
      <c r="G52" s="2"/>
      <c r="H52" s="2"/>
      <c r="I52" s="7"/>
      <c r="J52" s="7"/>
      <c r="K52" s="2"/>
      <c r="L52" s="2"/>
      <c r="M52" s="11"/>
      <c r="N52" s="12"/>
      <c r="O52" s="13"/>
      <c r="P52" s="14"/>
      <c r="Q52" s="14"/>
    </row>
    <row r="53" spans="1:17" x14ac:dyDescent="0.2">
      <c r="A53" s="2"/>
      <c r="B53" s="2"/>
      <c r="C53" s="2"/>
      <c r="D53" s="2"/>
      <c r="E53" s="2"/>
      <c r="F53" s="2"/>
      <c r="G53" s="2"/>
      <c r="H53" s="2"/>
      <c r="I53" s="7"/>
      <c r="J53" s="7"/>
      <c r="K53" s="2"/>
      <c r="L53" s="2"/>
      <c r="M53" s="11"/>
      <c r="N53" s="12"/>
      <c r="O53" s="13"/>
      <c r="P53" s="14"/>
      <c r="Q53" s="14"/>
    </row>
    <row r="54" spans="1:17" x14ac:dyDescent="0.2">
      <c r="A54" s="2"/>
      <c r="B54" s="2"/>
      <c r="C54" s="2"/>
      <c r="D54" s="2"/>
      <c r="E54" s="2"/>
      <c r="F54" s="2"/>
      <c r="G54" s="2"/>
      <c r="H54" s="2"/>
      <c r="I54" s="7"/>
      <c r="J54" s="7"/>
      <c r="K54" s="2"/>
      <c r="L54" s="2"/>
      <c r="M54" s="11"/>
      <c r="N54" s="12"/>
      <c r="O54" s="13"/>
      <c r="P54" s="14"/>
      <c r="Q54" s="14"/>
    </row>
    <row r="55" spans="1:17" x14ac:dyDescent="0.2">
      <c r="A55" s="2"/>
      <c r="B55" s="2"/>
      <c r="C55" s="2"/>
      <c r="D55" s="2"/>
      <c r="E55" s="2"/>
      <c r="F55" s="2"/>
      <c r="G55" s="2"/>
      <c r="H55" s="2"/>
      <c r="I55" s="7"/>
      <c r="J55" s="7"/>
      <c r="K55" s="2"/>
      <c r="L55" s="2"/>
      <c r="M55" s="11"/>
      <c r="N55" s="12"/>
      <c r="O55" s="13"/>
      <c r="P55" s="14"/>
      <c r="Q55" s="14"/>
    </row>
    <row r="56" spans="1:17" x14ac:dyDescent="0.2">
      <c r="A56" s="2"/>
      <c r="B56" s="2"/>
      <c r="C56" s="2"/>
      <c r="D56" s="2"/>
      <c r="E56" s="2"/>
      <c r="F56" s="2"/>
      <c r="G56" s="2"/>
      <c r="H56" s="2"/>
      <c r="I56" s="7"/>
      <c r="J56" s="7"/>
      <c r="K56" s="2"/>
      <c r="L56" s="2"/>
      <c r="M56" s="11"/>
      <c r="N56" s="12"/>
      <c r="O56" s="13"/>
      <c r="P56" s="14"/>
      <c r="Q56" s="14"/>
    </row>
    <row r="57" spans="1:17" x14ac:dyDescent="0.2">
      <c r="A57" s="2"/>
      <c r="B57" s="2"/>
      <c r="C57" s="2"/>
      <c r="D57" s="2"/>
      <c r="E57" s="2"/>
      <c r="F57" s="2"/>
      <c r="G57" s="2"/>
      <c r="H57" s="2"/>
      <c r="I57" s="7"/>
      <c r="J57" s="7"/>
      <c r="K57" s="2"/>
      <c r="L57" s="2"/>
      <c r="M57" s="11"/>
      <c r="N57" s="12"/>
      <c r="O57" s="13"/>
      <c r="P57" s="14"/>
      <c r="Q57" s="14"/>
    </row>
    <row r="58" spans="1:17" x14ac:dyDescent="0.2">
      <c r="A58" s="2"/>
      <c r="B58" s="2"/>
      <c r="C58" s="2"/>
      <c r="D58" s="2"/>
      <c r="E58" s="2"/>
      <c r="F58" s="2"/>
      <c r="G58" s="2"/>
      <c r="H58" s="2"/>
      <c r="I58" s="7"/>
      <c r="J58" s="7"/>
      <c r="K58" s="2"/>
      <c r="L58" s="2"/>
      <c r="M58" s="11"/>
      <c r="N58" s="12"/>
      <c r="O58" s="13"/>
      <c r="P58" s="14"/>
      <c r="Q58" s="14"/>
    </row>
    <row r="59" spans="1:17" x14ac:dyDescent="0.2">
      <c r="A59" s="2"/>
      <c r="B59" s="2"/>
      <c r="C59" s="2"/>
      <c r="D59" s="2"/>
      <c r="E59" s="2"/>
      <c r="F59" s="2"/>
      <c r="G59" s="2"/>
      <c r="H59" s="2"/>
      <c r="I59" s="7"/>
      <c r="J59" s="7"/>
      <c r="K59" s="2"/>
      <c r="L59" s="2"/>
      <c r="M59" s="11"/>
      <c r="N59" s="12"/>
      <c r="O59" s="13"/>
      <c r="P59" s="14"/>
      <c r="Q59" s="14"/>
    </row>
    <row r="60" spans="1:17" x14ac:dyDescent="0.2">
      <c r="A60" s="2"/>
      <c r="B60" s="2"/>
      <c r="C60" s="2"/>
      <c r="D60" s="2"/>
      <c r="E60" s="2"/>
      <c r="F60" s="2"/>
      <c r="G60" s="2"/>
      <c r="H60" s="2"/>
      <c r="I60" s="7"/>
      <c r="J60" s="7"/>
      <c r="K60" s="2"/>
      <c r="L60" s="2"/>
      <c r="M60" s="11"/>
      <c r="N60" s="12"/>
      <c r="O60" s="13"/>
      <c r="P60" s="14"/>
      <c r="Q60" s="14"/>
    </row>
    <row r="61" spans="1:17" x14ac:dyDescent="0.2">
      <c r="A61" s="2"/>
      <c r="B61" s="2"/>
      <c r="C61" s="2"/>
      <c r="D61" s="2"/>
      <c r="E61" s="2"/>
      <c r="F61" s="2"/>
      <c r="G61" s="2"/>
      <c r="H61" s="2"/>
      <c r="I61" s="7"/>
      <c r="J61" s="7"/>
      <c r="K61" s="2"/>
      <c r="L61" s="2"/>
      <c r="M61" s="11"/>
      <c r="N61" s="12"/>
      <c r="O61" s="13"/>
      <c r="P61" s="14"/>
      <c r="Q61" s="14"/>
    </row>
    <row r="62" spans="1:17" x14ac:dyDescent="0.2">
      <c r="A62" s="2"/>
      <c r="B62" s="2"/>
      <c r="C62" s="2"/>
      <c r="D62" s="2"/>
      <c r="E62" s="2"/>
      <c r="F62" s="2"/>
      <c r="G62" s="2"/>
      <c r="H62" s="2"/>
      <c r="I62" s="7"/>
      <c r="J62" s="7"/>
      <c r="K62" s="2"/>
      <c r="L62" s="2"/>
      <c r="M62" s="11"/>
      <c r="N62" s="12"/>
      <c r="O62" s="13"/>
      <c r="P62" s="14"/>
      <c r="Q62" s="14"/>
    </row>
    <row r="63" spans="1:17" x14ac:dyDescent="0.2">
      <c r="A63" s="2"/>
      <c r="B63" s="2"/>
      <c r="C63" s="2"/>
      <c r="D63" s="2"/>
      <c r="E63" s="2"/>
      <c r="F63" s="2"/>
      <c r="G63" s="2"/>
      <c r="H63" s="2"/>
      <c r="I63" s="7"/>
      <c r="J63" s="7"/>
      <c r="K63" s="2"/>
      <c r="L63" s="2"/>
      <c r="M63" s="11"/>
      <c r="N63" s="12"/>
      <c r="O63" s="13"/>
      <c r="P63" s="14"/>
      <c r="Q63" s="14"/>
    </row>
    <row r="64" spans="1:17" x14ac:dyDescent="0.2">
      <c r="A64" s="2"/>
      <c r="B64" s="2"/>
      <c r="C64" s="2"/>
      <c r="D64" s="2"/>
      <c r="E64" s="2"/>
      <c r="F64" s="2"/>
      <c r="G64" s="2"/>
      <c r="H64" s="2"/>
      <c r="I64" s="7"/>
      <c r="J64" s="7"/>
      <c r="K64" s="2"/>
      <c r="L64" s="2"/>
      <c r="M64" s="11"/>
      <c r="N64" s="12"/>
      <c r="O64" s="13"/>
      <c r="P64" s="14"/>
      <c r="Q64" s="14"/>
    </row>
    <row r="65" spans="1:17" x14ac:dyDescent="0.2">
      <c r="A65" s="2"/>
      <c r="B65" s="2"/>
      <c r="C65" s="2"/>
      <c r="D65" s="2"/>
      <c r="E65" s="2"/>
      <c r="F65" s="2"/>
      <c r="G65" s="2"/>
      <c r="H65" s="2"/>
      <c r="I65" s="7"/>
      <c r="J65" s="7"/>
      <c r="K65" s="2"/>
      <c r="L65" s="2"/>
      <c r="M65" s="11"/>
      <c r="N65" s="12"/>
      <c r="O65" s="13"/>
      <c r="P65" s="14"/>
      <c r="Q65" s="14"/>
    </row>
    <row r="66" spans="1:17" x14ac:dyDescent="0.2">
      <c r="A66" s="2"/>
      <c r="B66" s="2"/>
      <c r="C66" s="2"/>
      <c r="D66" s="2"/>
      <c r="E66" s="2"/>
      <c r="F66" s="2"/>
      <c r="G66" s="2"/>
      <c r="H66" s="2"/>
      <c r="I66" s="7"/>
      <c r="J66" s="7"/>
      <c r="K66" s="2"/>
      <c r="L66" s="2"/>
      <c r="M66" s="11"/>
      <c r="N66" s="12"/>
      <c r="O66" s="13"/>
      <c r="P66" s="14"/>
      <c r="Q66" s="14"/>
    </row>
    <row r="67" spans="1:17" x14ac:dyDescent="0.2">
      <c r="A67" s="2"/>
      <c r="B67" s="2"/>
      <c r="C67" s="2"/>
      <c r="D67" s="2"/>
      <c r="E67" s="2"/>
      <c r="F67" s="2"/>
      <c r="G67" s="2"/>
      <c r="H67" s="2"/>
      <c r="I67" s="7"/>
      <c r="J67" s="7"/>
      <c r="K67" s="2"/>
      <c r="L67" s="2"/>
      <c r="M67" s="11"/>
      <c r="N67" s="12"/>
      <c r="O67" s="13"/>
      <c r="P67" s="14"/>
      <c r="Q67" s="14"/>
    </row>
    <row r="68" spans="1:17" x14ac:dyDescent="0.2">
      <c r="A68" s="2"/>
      <c r="B68" s="2"/>
      <c r="C68" s="2"/>
      <c r="D68" s="2"/>
      <c r="E68" s="2"/>
      <c r="F68" s="2"/>
      <c r="G68" s="2"/>
      <c r="H68" s="2"/>
      <c r="I68" s="7"/>
      <c r="J68" s="7"/>
      <c r="K68" s="2"/>
      <c r="L68" s="2"/>
      <c r="M68" s="11"/>
      <c r="N68" s="12"/>
      <c r="O68" s="13"/>
      <c r="P68" s="14"/>
      <c r="Q68" s="14"/>
    </row>
    <row r="69" spans="1:17" x14ac:dyDescent="0.2">
      <c r="A69" s="2"/>
      <c r="B69" s="2"/>
      <c r="C69" s="2"/>
      <c r="D69" s="2"/>
      <c r="E69" s="2"/>
      <c r="F69" s="2"/>
      <c r="G69" s="2"/>
      <c r="H69" s="2"/>
      <c r="I69" s="7"/>
      <c r="J69" s="7"/>
      <c r="K69" s="2"/>
      <c r="L69" s="2"/>
      <c r="M69" s="11"/>
      <c r="N69" s="12"/>
      <c r="O69" s="13"/>
      <c r="P69" s="14"/>
      <c r="Q69" s="14"/>
    </row>
    <row r="70" spans="1:17" x14ac:dyDescent="0.2">
      <c r="A70" s="2"/>
      <c r="B70" s="2"/>
      <c r="C70" s="2"/>
      <c r="D70" s="2"/>
      <c r="E70" s="2"/>
      <c r="F70" s="2"/>
      <c r="G70" s="2"/>
      <c r="H70" s="2"/>
      <c r="I70" s="7"/>
      <c r="J70" s="7"/>
      <c r="K70" s="2"/>
      <c r="L70" s="2"/>
      <c r="M70" s="11"/>
      <c r="N70" s="12"/>
      <c r="O70" s="13"/>
      <c r="P70" s="14"/>
      <c r="Q70" s="14"/>
    </row>
    <row r="71" spans="1:17" x14ac:dyDescent="0.2">
      <c r="A71" s="2"/>
      <c r="B71" s="2"/>
      <c r="C71" s="2"/>
      <c r="D71" s="2"/>
      <c r="E71" s="2"/>
      <c r="F71" s="2"/>
      <c r="G71" s="2"/>
      <c r="H71" s="2"/>
      <c r="I71" s="7"/>
      <c r="J71" s="7"/>
      <c r="K71" s="2"/>
      <c r="L71" s="2"/>
      <c r="M71" s="11"/>
      <c r="N71" s="12"/>
      <c r="O71" s="13"/>
      <c r="P71" s="14"/>
      <c r="Q71" s="14"/>
    </row>
    <row r="72" spans="1:17" x14ac:dyDescent="0.2">
      <c r="A72" s="2"/>
      <c r="B72" s="2"/>
      <c r="C72" s="2"/>
      <c r="D72" s="2"/>
      <c r="E72" s="2"/>
      <c r="F72" s="2"/>
      <c r="G72" s="2"/>
      <c r="H72" s="2"/>
      <c r="I72" s="7"/>
      <c r="J72" s="7"/>
      <c r="K72" s="2"/>
      <c r="L72" s="2"/>
      <c r="M72" s="11"/>
      <c r="N72" s="12"/>
      <c r="O72" s="13"/>
      <c r="P72" s="14"/>
      <c r="Q72" s="14"/>
    </row>
    <row r="73" spans="1:17" x14ac:dyDescent="0.2">
      <c r="A73" s="2"/>
      <c r="B73" s="2"/>
      <c r="C73" s="2"/>
      <c r="D73" s="2"/>
      <c r="E73" s="2"/>
      <c r="F73" s="2"/>
      <c r="G73" s="2"/>
      <c r="H73" s="2"/>
      <c r="I73" s="7"/>
      <c r="J73" s="7"/>
      <c r="K73" s="2"/>
      <c r="L73" s="2"/>
      <c r="M73" s="11"/>
      <c r="N73" s="12"/>
      <c r="O73" s="13"/>
      <c r="P73" s="14"/>
      <c r="Q73" s="14"/>
    </row>
    <row r="74" spans="1:17" x14ac:dyDescent="0.2">
      <c r="A74" s="2"/>
      <c r="B74" s="2"/>
      <c r="C74" s="2"/>
      <c r="D74" s="2"/>
      <c r="E74" s="2"/>
      <c r="F74" s="2"/>
      <c r="G74" s="2"/>
      <c r="H74" s="2"/>
      <c r="I74" s="7"/>
      <c r="J74" s="7"/>
      <c r="K74" s="2"/>
      <c r="L74" s="2"/>
      <c r="M74" s="11"/>
      <c r="N74" s="12"/>
      <c r="O74" s="13"/>
      <c r="P74" s="14"/>
      <c r="Q74" s="14"/>
    </row>
    <row r="75" spans="1:17" x14ac:dyDescent="0.2">
      <c r="A75" s="2"/>
      <c r="B75" s="2"/>
      <c r="C75" s="2"/>
      <c r="D75" s="2"/>
      <c r="E75" s="2"/>
      <c r="F75" s="2"/>
      <c r="G75" s="2"/>
      <c r="H75" s="2"/>
      <c r="I75" s="7"/>
      <c r="J75" s="7"/>
      <c r="K75" s="2"/>
      <c r="L75" s="2"/>
      <c r="M75" s="11"/>
      <c r="N75" s="12"/>
      <c r="O75" s="13"/>
      <c r="P75" s="14"/>
      <c r="Q75" s="14"/>
    </row>
    <row r="76" spans="1:17" x14ac:dyDescent="0.2">
      <c r="A76" s="2"/>
      <c r="B76" s="2"/>
      <c r="C76" s="2"/>
      <c r="D76" s="2"/>
      <c r="E76" s="2"/>
      <c r="F76" s="2"/>
      <c r="G76" s="2"/>
      <c r="H76" s="2"/>
      <c r="I76" s="7"/>
      <c r="J76" s="7"/>
      <c r="K76" s="2"/>
      <c r="L76" s="2"/>
      <c r="M76" s="11"/>
      <c r="N76" s="12"/>
      <c r="O76" s="13"/>
      <c r="P76" s="14"/>
      <c r="Q76" s="14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7"/>
      <c r="J77" s="7"/>
      <c r="K77" s="2"/>
      <c r="L77" s="2"/>
      <c r="M77" s="11"/>
      <c r="N77" s="12"/>
      <c r="O77" s="13"/>
      <c r="P77" s="14"/>
      <c r="Q77" s="14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7"/>
      <c r="J78" s="7"/>
      <c r="K78" s="2"/>
      <c r="L78" s="2"/>
      <c r="M78" s="11"/>
      <c r="N78" s="12"/>
      <c r="O78" s="13"/>
      <c r="P78" s="14"/>
      <c r="Q78" s="14"/>
    </row>
    <row r="79" spans="1:17" x14ac:dyDescent="0.2">
      <c r="A79" s="2"/>
      <c r="B79" s="2"/>
      <c r="C79" s="2"/>
      <c r="D79" s="2"/>
      <c r="E79" s="2"/>
      <c r="F79" s="2"/>
      <c r="G79" s="2"/>
      <c r="H79" s="2"/>
      <c r="I79" s="7"/>
      <c r="J79" s="7"/>
      <c r="K79" s="2"/>
      <c r="L79" s="2"/>
      <c r="M79" s="11"/>
      <c r="N79" s="12"/>
      <c r="O79" s="13"/>
      <c r="P79" s="14"/>
      <c r="Q79" s="14"/>
    </row>
    <row r="80" spans="1:17" x14ac:dyDescent="0.2">
      <c r="A80" s="2"/>
      <c r="B80" s="2"/>
      <c r="C80" s="2"/>
      <c r="D80" s="2"/>
      <c r="E80" s="2"/>
      <c r="F80" s="2"/>
      <c r="G80" s="2"/>
      <c r="H80" s="2"/>
      <c r="I80" s="7"/>
      <c r="J80" s="7"/>
      <c r="K80" s="2"/>
      <c r="L80" s="2"/>
      <c r="M80" s="11"/>
      <c r="N80" s="12"/>
      <c r="O80" s="13"/>
      <c r="P80" s="14"/>
      <c r="Q80" s="14"/>
    </row>
    <row r="81" spans="1:17" x14ac:dyDescent="0.2">
      <c r="A81" s="2"/>
      <c r="B81" s="2"/>
      <c r="C81" s="2"/>
      <c r="D81" s="2"/>
      <c r="E81" s="2"/>
      <c r="F81" s="2"/>
      <c r="G81" s="2"/>
      <c r="H81" s="2"/>
      <c r="I81" s="7"/>
      <c r="J81" s="7"/>
      <c r="K81" s="2"/>
      <c r="L81" s="2"/>
      <c r="M81" s="11"/>
      <c r="N81" s="12"/>
      <c r="O81" s="13"/>
      <c r="P81" s="14"/>
      <c r="Q81" s="14"/>
    </row>
    <row r="82" spans="1:17" x14ac:dyDescent="0.2">
      <c r="A82" s="2"/>
      <c r="B82" s="2"/>
      <c r="C82" s="2"/>
      <c r="D82" s="2"/>
      <c r="E82" s="2"/>
      <c r="F82" s="2"/>
      <c r="G82" s="2"/>
      <c r="H82" s="2"/>
      <c r="I82" s="7"/>
      <c r="J82" s="7"/>
      <c r="K82" s="2"/>
      <c r="L82" s="2"/>
      <c r="M82" s="11"/>
      <c r="N82" s="12"/>
      <c r="O82" s="13"/>
      <c r="P82" s="14"/>
      <c r="Q82" s="14"/>
    </row>
    <row r="83" spans="1:17" x14ac:dyDescent="0.2">
      <c r="A83" s="2"/>
      <c r="B83" s="2"/>
      <c r="C83" s="2"/>
      <c r="D83" s="2"/>
      <c r="E83" s="2"/>
      <c r="F83" s="2"/>
      <c r="G83" s="2"/>
      <c r="H83" s="2"/>
      <c r="I83" s="7"/>
      <c r="J83" s="7"/>
      <c r="K83" s="2"/>
      <c r="L83" s="2"/>
      <c r="M83" s="11"/>
      <c r="N83" s="12"/>
      <c r="O83" s="13"/>
      <c r="P83" s="14"/>
      <c r="Q83" s="14"/>
    </row>
    <row r="84" spans="1:17" x14ac:dyDescent="0.2">
      <c r="A84" s="2"/>
      <c r="B84" s="2"/>
      <c r="C84" s="2"/>
      <c r="D84" s="2"/>
      <c r="E84" s="2"/>
      <c r="F84" s="2"/>
      <c r="G84" s="2"/>
      <c r="H84" s="2"/>
      <c r="I84" s="7"/>
      <c r="J84" s="7"/>
      <c r="K84" s="2"/>
      <c r="L84" s="2"/>
      <c r="M84" s="11"/>
      <c r="N84" s="12"/>
      <c r="O84" s="13"/>
      <c r="P84" s="14"/>
      <c r="Q84" s="14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7"/>
      <c r="J85" s="7"/>
      <c r="K85" s="2"/>
      <c r="L85" s="2"/>
      <c r="M85" s="11"/>
      <c r="N85" s="12"/>
      <c r="O85" s="13"/>
      <c r="P85" s="14"/>
      <c r="Q85" s="14"/>
    </row>
    <row r="86" spans="1:17" x14ac:dyDescent="0.2">
      <c r="A86" s="2"/>
      <c r="B86" s="2"/>
      <c r="C86" s="2"/>
      <c r="D86" s="2"/>
      <c r="E86" s="2"/>
      <c r="F86" s="2"/>
      <c r="G86" s="2"/>
      <c r="H86" s="2"/>
      <c r="I86" s="7"/>
      <c r="J86" s="7"/>
      <c r="K86" s="2"/>
      <c r="L86" s="2"/>
      <c r="M86" s="11"/>
      <c r="N86" s="12"/>
      <c r="O86" s="13"/>
      <c r="P86" s="14"/>
      <c r="Q86" s="14"/>
    </row>
    <row r="87" spans="1:17" x14ac:dyDescent="0.2">
      <c r="A87" s="2"/>
      <c r="B87" s="2"/>
      <c r="C87" s="2"/>
      <c r="D87" s="2"/>
      <c r="E87" s="2"/>
      <c r="F87" s="2"/>
      <c r="G87" s="2"/>
      <c r="H87" s="2"/>
      <c r="I87" s="7"/>
      <c r="J87" s="7"/>
      <c r="K87" s="2"/>
      <c r="L87" s="2"/>
      <c r="M87" s="11"/>
      <c r="N87" s="12"/>
      <c r="O87" s="13"/>
      <c r="P87" s="14"/>
      <c r="Q87" s="14"/>
    </row>
    <row r="88" spans="1:17" x14ac:dyDescent="0.2">
      <c r="A88" s="2"/>
      <c r="B88" s="2"/>
      <c r="C88" s="2"/>
      <c r="D88" s="2"/>
      <c r="E88" s="2"/>
      <c r="F88" s="2"/>
      <c r="G88" s="2"/>
      <c r="H88" s="2"/>
      <c r="I88" s="7"/>
      <c r="J88" s="7"/>
      <c r="K88" s="2"/>
      <c r="L88" s="2"/>
      <c r="M88" s="11"/>
      <c r="N88" s="12"/>
      <c r="O88" s="13"/>
      <c r="P88" s="14"/>
      <c r="Q88" s="14"/>
    </row>
    <row r="89" spans="1:17" x14ac:dyDescent="0.2">
      <c r="A89" s="2"/>
      <c r="B89" s="2"/>
      <c r="C89" s="2"/>
      <c r="D89" s="2"/>
      <c r="E89" s="2"/>
      <c r="F89" s="2"/>
      <c r="G89" s="2"/>
      <c r="H89" s="2"/>
      <c r="I89" s="7"/>
      <c r="J89" s="7"/>
      <c r="K89" s="2"/>
      <c r="L89" s="2"/>
      <c r="M89" s="11"/>
      <c r="N89" s="12"/>
      <c r="O89" s="13"/>
      <c r="P89" s="14"/>
      <c r="Q89" s="14"/>
    </row>
    <row r="90" spans="1:17" x14ac:dyDescent="0.2">
      <c r="A90" s="2"/>
      <c r="B90" s="2"/>
      <c r="C90" s="2"/>
      <c r="D90" s="2"/>
      <c r="E90" s="2"/>
      <c r="F90" s="2"/>
      <c r="G90" s="2"/>
      <c r="H90" s="2"/>
      <c r="I90" s="7"/>
      <c r="J90" s="7"/>
      <c r="K90" s="2"/>
      <c r="L90" s="2"/>
      <c r="M90" s="11"/>
      <c r="N90" s="12"/>
      <c r="O90" s="13"/>
      <c r="P90" s="14"/>
      <c r="Q90" s="14"/>
    </row>
    <row r="91" spans="1:17" x14ac:dyDescent="0.2">
      <c r="A91" s="2"/>
      <c r="B91" s="2"/>
      <c r="C91" s="2"/>
      <c r="D91" s="2"/>
      <c r="E91" s="2"/>
      <c r="F91" s="2"/>
      <c r="G91" s="2"/>
      <c r="H91" s="2"/>
      <c r="I91" s="7"/>
      <c r="J91" s="7"/>
      <c r="K91" s="2"/>
      <c r="L91" s="2"/>
      <c r="M91" s="11"/>
      <c r="N91" s="12"/>
      <c r="O91" s="13"/>
      <c r="P91" s="14"/>
      <c r="Q91" s="14"/>
    </row>
    <row r="92" spans="1:17" x14ac:dyDescent="0.2">
      <c r="A92" s="2"/>
      <c r="B92" s="2"/>
      <c r="C92" s="2"/>
      <c r="D92" s="2"/>
      <c r="E92" s="2"/>
      <c r="F92" s="2"/>
      <c r="G92" s="2"/>
      <c r="H92" s="2"/>
      <c r="I92" s="7"/>
      <c r="J92" s="7"/>
      <c r="K92" s="2"/>
      <c r="L92" s="2"/>
      <c r="M92" s="11"/>
      <c r="N92" s="12"/>
      <c r="O92" s="13"/>
      <c r="P92" s="14"/>
      <c r="Q92" s="14"/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7"/>
      <c r="J93" s="7"/>
      <c r="K93" s="2"/>
      <c r="L93" s="2"/>
      <c r="M93" s="11"/>
      <c r="N93" s="12"/>
      <c r="O93" s="13"/>
      <c r="P93" s="14"/>
      <c r="Q93" s="14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7"/>
      <c r="J94" s="7"/>
      <c r="K94" s="2"/>
      <c r="L94" s="2"/>
      <c r="M94" s="11"/>
      <c r="N94" s="12"/>
      <c r="O94" s="13"/>
      <c r="P94" s="14"/>
      <c r="Q94" s="14"/>
    </row>
    <row r="95" spans="1:17" x14ac:dyDescent="0.2">
      <c r="A95" s="2"/>
      <c r="B95" s="2"/>
      <c r="C95" s="2"/>
      <c r="D95" s="2"/>
      <c r="E95" s="2"/>
      <c r="F95" s="2"/>
      <c r="G95" s="2"/>
      <c r="H95" s="2"/>
      <c r="I95" s="7"/>
      <c r="J95" s="7"/>
      <c r="K95" s="2"/>
      <c r="L95" s="2"/>
      <c r="M95" s="11"/>
      <c r="N95" s="12"/>
      <c r="O95" s="13"/>
      <c r="P95" s="14"/>
      <c r="Q95" s="14"/>
    </row>
    <row r="96" spans="1:17" x14ac:dyDescent="0.2">
      <c r="A96" s="2"/>
      <c r="B96" s="2"/>
      <c r="C96" s="2"/>
      <c r="D96" s="2"/>
      <c r="E96" s="2"/>
      <c r="F96" s="2"/>
      <c r="G96" s="2"/>
      <c r="H96" s="2"/>
      <c r="I96" s="7"/>
      <c r="J96" s="7"/>
      <c r="K96" s="2"/>
      <c r="L96" s="2"/>
      <c r="M96" s="11"/>
      <c r="N96" s="12"/>
      <c r="O96" s="13"/>
      <c r="P96" s="14"/>
      <c r="Q96" s="14"/>
    </row>
    <row r="97" spans="1:17" x14ac:dyDescent="0.2">
      <c r="A97" s="2"/>
      <c r="B97" s="2"/>
      <c r="C97" s="2"/>
      <c r="D97" s="2"/>
      <c r="E97" s="2"/>
      <c r="F97" s="2"/>
      <c r="G97" s="2"/>
      <c r="H97" s="2"/>
      <c r="I97" s="7"/>
      <c r="J97" s="7"/>
      <c r="K97" s="2"/>
      <c r="L97" s="2"/>
      <c r="M97" s="11"/>
      <c r="N97" s="12"/>
      <c r="O97" s="13"/>
      <c r="P97" s="14"/>
      <c r="Q97" s="14"/>
    </row>
    <row r="98" spans="1:17" x14ac:dyDescent="0.2">
      <c r="A98" s="2"/>
      <c r="B98" s="2"/>
      <c r="C98" s="2"/>
      <c r="D98" s="2"/>
      <c r="E98" s="2"/>
      <c r="F98" s="2"/>
      <c r="G98" s="2"/>
      <c r="H98" s="2"/>
      <c r="I98" s="7"/>
      <c r="J98" s="7"/>
      <c r="K98" s="2"/>
      <c r="L98" s="2"/>
      <c r="M98" s="11"/>
      <c r="N98" s="12"/>
      <c r="O98" s="13"/>
      <c r="P98" s="14"/>
      <c r="Q98" s="14"/>
    </row>
    <row r="99" spans="1:17" x14ac:dyDescent="0.2">
      <c r="A99" s="2"/>
      <c r="B99" s="2"/>
      <c r="C99" s="2"/>
      <c r="D99" s="2"/>
      <c r="E99" s="2"/>
      <c r="F99" s="2"/>
      <c r="G99" s="2"/>
      <c r="H99" s="2"/>
      <c r="I99" s="7"/>
      <c r="J99" s="7"/>
      <c r="K99" s="2"/>
      <c r="L99" s="2"/>
      <c r="M99" s="11"/>
      <c r="N99" s="12"/>
      <c r="O99" s="13"/>
      <c r="P99" s="14"/>
      <c r="Q99" s="14"/>
    </row>
    <row r="100" spans="1:17" x14ac:dyDescent="0.2">
      <c r="A100" s="2"/>
      <c r="B100" s="2"/>
      <c r="C100" s="2"/>
      <c r="D100" s="2"/>
      <c r="E100" s="2"/>
      <c r="F100" s="2"/>
      <c r="G100" s="2"/>
      <c r="H100" s="2"/>
      <c r="I100" s="7"/>
      <c r="J100" s="7"/>
      <c r="K100" s="2"/>
      <c r="L100" s="2"/>
      <c r="M100" s="11"/>
      <c r="N100" s="12"/>
      <c r="O100" s="13"/>
      <c r="P100" s="14"/>
      <c r="Q100" s="14"/>
    </row>
    <row r="101" spans="1:17" x14ac:dyDescent="0.2">
      <c r="A101" s="2"/>
      <c r="B101" s="2"/>
      <c r="C101" s="2"/>
      <c r="D101" s="2"/>
      <c r="E101" s="2"/>
      <c r="F101" s="2"/>
      <c r="G101" s="2"/>
      <c r="H101" s="2"/>
      <c r="I101" s="7"/>
      <c r="J101" s="7"/>
      <c r="K101" s="2"/>
      <c r="L101" s="2"/>
      <c r="M101" s="11"/>
      <c r="N101" s="12"/>
      <c r="O101" s="13"/>
      <c r="P101" s="14"/>
      <c r="Q101" s="14"/>
    </row>
    <row r="102" spans="1:17" x14ac:dyDescent="0.2">
      <c r="A102" s="2"/>
      <c r="B102" s="2"/>
      <c r="C102" s="2"/>
      <c r="D102" s="2"/>
      <c r="E102" s="2"/>
      <c r="F102" s="2"/>
      <c r="G102" s="2"/>
      <c r="H102" s="2"/>
      <c r="I102" s="7"/>
      <c r="J102" s="7"/>
      <c r="K102" s="2"/>
      <c r="L102" s="2"/>
      <c r="M102" s="11"/>
      <c r="N102" s="12"/>
      <c r="O102" s="13"/>
      <c r="P102" s="14"/>
      <c r="Q102" s="14"/>
    </row>
    <row r="103" spans="1:17" x14ac:dyDescent="0.2">
      <c r="A103" s="2"/>
      <c r="B103" s="2"/>
      <c r="C103" s="2"/>
      <c r="D103" s="2"/>
      <c r="E103" s="2"/>
      <c r="F103" s="2"/>
      <c r="G103" s="2"/>
      <c r="H103" s="2"/>
      <c r="I103" s="7"/>
      <c r="J103" s="7"/>
      <c r="K103" s="2"/>
      <c r="L103" s="2"/>
      <c r="M103" s="11"/>
      <c r="N103" s="12"/>
      <c r="O103" s="13"/>
      <c r="P103" s="14"/>
      <c r="Q103" s="14"/>
    </row>
    <row r="104" spans="1:17" x14ac:dyDescent="0.2">
      <c r="A104" s="2"/>
      <c r="B104" s="2"/>
      <c r="C104" s="2"/>
      <c r="D104" s="2"/>
      <c r="E104" s="2"/>
      <c r="F104" s="2"/>
      <c r="G104" s="2"/>
      <c r="H104" s="2"/>
      <c r="I104" s="7"/>
      <c r="J104" s="7"/>
      <c r="K104" s="2"/>
      <c r="L104" s="2"/>
      <c r="M104" s="11"/>
      <c r="N104" s="12"/>
      <c r="O104" s="13"/>
      <c r="P104" s="14"/>
      <c r="Q104" s="14"/>
    </row>
    <row r="105" spans="1:17" x14ac:dyDescent="0.2">
      <c r="A105" s="2"/>
      <c r="B105" s="2"/>
      <c r="C105" s="2"/>
      <c r="D105" s="2"/>
      <c r="E105" s="2"/>
      <c r="F105" s="2"/>
      <c r="G105" s="2"/>
      <c r="H105" s="2"/>
      <c r="I105" s="7"/>
      <c r="J105" s="7"/>
      <c r="K105" s="2"/>
      <c r="L105" s="2"/>
      <c r="M105" s="11"/>
      <c r="N105" s="12"/>
      <c r="O105" s="13"/>
      <c r="P105" s="14"/>
      <c r="Q105" s="14"/>
    </row>
    <row r="106" spans="1:17" x14ac:dyDescent="0.2">
      <c r="A106" s="2"/>
      <c r="B106" s="2"/>
      <c r="C106" s="2"/>
      <c r="D106" s="2"/>
      <c r="E106" s="2"/>
      <c r="F106" s="2"/>
      <c r="G106" s="2"/>
      <c r="H106" s="2"/>
      <c r="I106" s="7"/>
      <c r="J106" s="7"/>
      <c r="K106" s="2"/>
      <c r="L106" s="2"/>
      <c r="M106" s="11"/>
      <c r="N106" s="12"/>
      <c r="O106" s="13"/>
      <c r="P106" s="14"/>
      <c r="Q106" s="14"/>
    </row>
    <row r="107" spans="1:17" x14ac:dyDescent="0.2">
      <c r="A107" s="2"/>
      <c r="B107" s="2"/>
      <c r="C107" s="2"/>
      <c r="D107" s="2"/>
      <c r="E107" s="2"/>
      <c r="F107" s="2"/>
      <c r="G107" s="2"/>
      <c r="H107" s="2"/>
      <c r="I107" s="7"/>
      <c r="J107" s="7"/>
      <c r="K107" s="2"/>
      <c r="L107" s="2"/>
      <c r="M107" s="11"/>
      <c r="N107" s="12"/>
      <c r="O107" s="13"/>
      <c r="P107" s="14"/>
      <c r="Q107" s="14"/>
    </row>
    <row r="108" spans="1:17" x14ac:dyDescent="0.2">
      <c r="A108" s="2"/>
      <c r="B108" s="2"/>
      <c r="C108" s="2"/>
      <c r="D108" s="2"/>
      <c r="E108" s="2"/>
      <c r="F108" s="2"/>
      <c r="G108" s="2"/>
      <c r="H108" s="2"/>
      <c r="I108" s="7"/>
      <c r="J108" s="7"/>
      <c r="K108" s="2"/>
      <c r="L108" s="2"/>
      <c r="M108" s="11"/>
      <c r="N108" s="12"/>
      <c r="O108" s="13"/>
      <c r="P108" s="14"/>
      <c r="Q108" s="14"/>
    </row>
    <row r="109" spans="1:17" x14ac:dyDescent="0.2">
      <c r="A109" s="2"/>
      <c r="B109" s="2"/>
      <c r="C109" s="2"/>
      <c r="D109" s="2"/>
      <c r="E109" s="2"/>
      <c r="F109" s="2"/>
      <c r="G109" s="2"/>
      <c r="H109" s="2"/>
      <c r="I109" s="7"/>
      <c r="J109" s="7"/>
      <c r="K109" s="2"/>
      <c r="L109" s="2"/>
      <c r="M109" s="11"/>
      <c r="N109" s="12"/>
      <c r="O109" s="13"/>
      <c r="P109" s="14"/>
      <c r="Q109" s="14"/>
    </row>
    <row r="110" spans="1:17" x14ac:dyDescent="0.2">
      <c r="A110" s="2"/>
      <c r="B110" s="2"/>
      <c r="C110" s="2"/>
      <c r="D110" s="2"/>
      <c r="E110" s="2"/>
      <c r="F110" s="2"/>
      <c r="G110" s="2"/>
      <c r="H110" s="2"/>
      <c r="I110" s="7"/>
      <c r="J110" s="7"/>
      <c r="K110" s="2"/>
      <c r="L110" s="2"/>
      <c r="M110" s="11"/>
      <c r="N110" s="12"/>
      <c r="O110" s="13"/>
      <c r="P110" s="14"/>
      <c r="Q110" s="14"/>
    </row>
    <row r="111" spans="1:17" x14ac:dyDescent="0.2">
      <c r="A111" s="2"/>
      <c r="B111" s="2"/>
      <c r="C111" s="2"/>
      <c r="D111" s="2"/>
      <c r="E111" s="2"/>
      <c r="F111" s="2"/>
      <c r="G111" s="2"/>
      <c r="H111" s="2"/>
      <c r="I111" s="7"/>
      <c r="J111" s="7"/>
      <c r="K111" s="2"/>
      <c r="L111" s="2"/>
      <c r="M111" s="11"/>
      <c r="N111" s="12"/>
      <c r="O111" s="13"/>
      <c r="P111" s="14"/>
      <c r="Q111" s="14"/>
    </row>
    <row r="112" spans="1:17" x14ac:dyDescent="0.2">
      <c r="A112" s="2"/>
      <c r="B112" s="2"/>
      <c r="C112" s="2"/>
      <c r="D112" s="2"/>
      <c r="E112" s="2"/>
      <c r="F112" s="2"/>
      <c r="G112" s="2"/>
      <c r="H112" s="2"/>
      <c r="I112" s="7"/>
      <c r="J112" s="7"/>
      <c r="K112" s="2"/>
      <c r="L112" s="2"/>
      <c r="M112" s="11"/>
      <c r="N112" s="12"/>
      <c r="O112" s="13"/>
      <c r="P112" s="14"/>
      <c r="Q112" s="14"/>
    </row>
    <row r="113" spans="1:17" x14ac:dyDescent="0.2">
      <c r="A113" s="2"/>
      <c r="B113" s="2"/>
      <c r="C113" s="2"/>
      <c r="D113" s="2"/>
      <c r="E113" s="2"/>
      <c r="F113" s="2"/>
      <c r="G113" s="2"/>
      <c r="H113" s="2"/>
      <c r="I113" s="7"/>
      <c r="J113" s="7"/>
      <c r="K113" s="2"/>
      <c r="L113" s="2"/>
      <c r="M113" s="11"/>
      <c r="N113" s="12"/>
      <c r="O113" s="13"/>
      <c r="P113" s="14"/>
      <c r="Q113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6547-0AEE-2C48-9055-67B151732810}">
  <sheetPr>
    <tabColor rgb="FF00B050"/>
  </sheetPr>
  <dimension ref="A1:AD96"/>
  <sheetViews>
    <sheetView tabSelected="1" zoomScaleNormal="100" workbookViewId="0">
      <pane xSplit="9" ySplit="2" topLeftCell="J78" activePane="bottomRight" state="frozen"/>
      <selection pane="topRight" activeCell="G1" sqref="G1"/>
      <selection pane="bottomLeft" activeCell="A3" sqref="A3"/>
      <selection pane="bottomRight" activeCell="G22" sqref="G22:G25"/>
    </sheetView>
  </sheetViews>
  <sheetFormatPr baseColWidth="10" defaultColWidth="8.83203125" defaultRowHeight="15" x14ac:dyDescent="0.2"/>
  <cols>
    <col min="2" max="2" width="13.6640625" style="7" customWidth="1"/>
    <col min="3" max="3" width="23.83203125" style="7" customWidth="1"/>
    <col min="4" max="4" width="17.33203125" style="7" customWidth="1"/>
    <col min="5" max="10" width="15.6640625" style="7" customWidth="1"/>
    <col min="11" max="11" width="29" style="15" customWidth="1"/>
    <col min="12" max="12" width="15.6640625" style="28" customWidth="1"/>
    <col min="13" max="13" width="18.1640625" style="15" customWidth="1"/>
    <col min="14" max="14" width="15.6640625" style="15" customWidth="1"/>
    <col min="15" max="15" width="24.6640625" style="15" bestFit="1" customWidth="1"/>
    <col min="16" max="16" width="22.33203125" style="15" customWidth="1"/>
    <col min="17" max="19" width="15.6640625" style="34" customWidth="1"/>
    <col min="20" max="20" width="8.83203125" style="34" customWidth="1"/>
    <col min="21" max="21" width="28.33203125" style="30" customWidth="1"/>
    <col min="22" max="22" width="8.5" style="39" bestFit="1" customWidth="1"/>
    <col min="23" max="27" width="15.6640625" style="34" customWidth="1"/>
    <col min="28" max="28" width="15.6640625" style="49" customWidth="1"/>
    <col min="29" max="30" width="15.33203125" bestFit="1" customWidth="1"/>
  </cols>
  <sheetData>
    <row r="1" spans="1:30" s="20" customFormat="1" ht="48" customHeight="1" x14ac:dyDescent="0.2">
      <c r="B1" s="21" t="s">
        <v>59</v>
      </c>
      <c r="C1" s="21" t="s">
        <v>60</v>
      </c>
      <c r="D1" s="21" t="s">
        <v>73</v>
      </c>
      <c r="E1" s="22" t="s">
        <v>1</v>
      </c>
      <c r="F1" s="22" t="s">
        <v>2</v>
      </c>
      <c r="G1" s="22" t="s">
        <v>51</v>
      </c>
      <c r="H1" s="22" t="s">
        <v>63</v>
      </c>
      <c r="I1" s="22" t="s">
        <v>62</v>
      </c>
      <c r="J1" s="23" t="s">
        <v>65</v>
      </c>
      <c r="K1" s="23" t="s">
        <v>64</v>
      </c>
      <c r="L1" s="26" t="s">
        <v>16</v>
      </c>
      <c r="M1" s="23" t="s">
        <v>7</v>
      </c>
      <c r="N1" s="23" t="s">
        <v>8</v>
      </c>
      <c r="O1" s="23" t="s">
        <v>50</v>
      </c>
      <c r="P1" s="23" t="s">
        <v>9</v>
      </c>
      <c r="Q1" s="32" t="s">
        <v>10</v>
      </c>
      <c r="R1" s="32" t="s">
        <v>17</v>
      </c>
      <c r="S1" s="32" t="s">
        <v>11</v>
      </c>
      <c r="T1" s="32" t="s">
        <v>15</v>
      </c>
      <c r="U1" s="29" t="s">
        <v>12</v>
      </c>
      <c r="V1" s="38" t="s">
        <v>55</v>
      </c>
      <c r="W1" s="32" t="s">
        <v>14</v>
      </c>
      <c r="X1" s="32" t="s">
        <v>18</v>
      </c>
      <c r="Y1" s="32" t="s">
        <v>19</v>
      </c>
      <c r="Z1" s="32" t="s">
        <v>20</v>
      </c>
      <c r="AA1" s="36" t="s">
        <v>21</v>
      </c>
      <c r="AB1" s="47" t="s">
        <v>57</v>
      </c>
    </row>
    <row r="2" spans="1:30" x14ac:dyDescent="0.2">
      <c r="B2" s="24"/>
      <c r="C2" s="24"/>
      <c r="D2" s="82"/>
      <c r="E2" s="25"/>
      <c r="F2" s="25"/>
      <c r="G2" s="25"/>
      <c r="H2" s="25"/>
      <c r="I2" s="25"/>
      <c r="J2" s="25"/>
      <c r="K2" s="25"/>
      <c r="L2" s="27"/>
      <c r="M2" s="25"/>
      <c r="N2" s="25"/>
      <c r="O2" s="25"/>
      <c r="P2" s="25"/>
      <c r="Q2" s="35"/>
      <c r="R2" s="35"/>
      <c r="S2" s="33"/>
      <c r="T2" s="33"/>
      <c r="U2" s="40"/>
      <c r="V2" s="41"/>
      <c r="W2" s="42"/>
      <c r="X2" s="35"/>
      <c r="Y2" s="35"/>
      <c r="Z2" s="35"/>
      <c r="AA2" s="37"/>
      <c r="AB2" s="48"/>
    </row>
    <row r="3" spans="1:30" s="51" customFormat="1" ht="15" customHeight="1" x14ac:dyDescent="0.2">
      <c r="A3" s="83"/>
      <c r="B3" s="84" t="s">
        <v>61</v>
      </c>
      <c r="C3" s="84" t="s">
        <v>75</v>
      </c>
      <c r="D3" s="84" t="s">
        <v>76</v>
      </c>
      <c r="E3" s="84" t="s">
        <v>23</v>
      </c>
      <c r="F3" s="84" t="s">
        <v>54</v>
      </c>
      <c r="G3" s="84" t="s">
        <v>67</v>
      </c>
      <c r="H3" s="84"/>
      <c r="I3" s="84" t="s">
        <v>77</v>
      </c>
      <c r="J3" s="84"/>
      <c r="K3" s="84" t="s">
        <v>78</v>
      </c>
      <c r="L3" s="85">
        <v>2019</v>
      </c>
      <c r="M3" s="84" t="s">
        <v>67</v>
      </c>
      <c r="N3" s="84" t="s">
        <v>31</v>
      </c>
      <c r="O3" s="84" t="s">
        <v>52</v>
      </c>
      <c r="P3" s="84" t="s">
        <v>27</v>
      </c>
      <c r="Q3" s="65">
        <v>48016.5</v>
      </c>
      <c r="R3" s="65">
        <v>45730</v>
      </c>
      <c r="S3" s="65">
        <v>43443.5</v>
      </c>
      <c r="T3" s="66">
        <v>0</v>
      </c>
      <c r="U3" s="56" t="s">
        <v>79</v>
      </c>
      <c r="V3" s="57" t="s">
        <v>56</v>
      </c>
      <c r="W3" s="55">
        <v>1424325</v>
      </c>
      <c r="X3" s="55">
        <f>W3/Q3</f>
        <v>29.663240760988412</v>
      </c>
      <c r="Y3" s="55">
        <f>W3/R3</f>
        <v>31.14640279903783</v>
      </c>
      <c r="Z3" s="55">
        <f t="shared" ref="Z3" si="0">W3/S3</f>
        <v>32.785687156881927</v>
      </c>
      <c r="AA3" s="55"/>
      <c r="AB3" s="58" t="s">
        <v>58</v>
      </c>
      <c r="AC3" s="67">
        <f>SUM(W3:W16)</f>
        <v>139322182.48000002</v>
      </c>
      <c r="AD3" s="68">
        <f>W3/AC3</f>
        <v>1.0223246396563338E-2</v>
      </c>
    </row>
    <row r="4" spans="1:30" s="51" customFormat="1" ht="16" x14ac:dyDescent="0.2">
      <c r="A4" s="53"/>
      <c r="B4" s="84" t="s">
        <v>61</v>
      </c>
      <c r="C4" s="84" t="s">
        <v>75</v>
      </c>
      <c r="D4" s="84" t="s">
        <v>76</v>
      </c>
      <c r="E4" s="84" t="s">
        <v>23</v>
      </c>
      <c r="F4" s="84" t="s">
        <v>54</v>
      </c>
      <c r="G4" s="84" t="s">
        <v>67</v>
      </c>
      <c r="H4" s="84"/>
      <c r="I4" s="84" t="s">
        <v>77</v>
      </c>
      <c r="J4" s="84"/>
      <c r="K4" s="84" t="s">
        <v>78</v>
      </c>
      <c r="L4" s="85">
        <v>2019</v>
      </c>
      <c r="M4" s="84" t="s">
        <v>67</v>
      </c>
      <c r="N4" s="84" t="s">
        <v>31</v>
      </c>
      <c r="O4" s="84" t="s">
        <v>52</v>
      </c>
      <c r="P4" s="84" t="s">
        <v>27</v>
      </c>
      <c r="Q4" s="65">
        <v>48016.5</v>
      </c>
      <c r="R4" s="65">
        <v>45730</v>
      </c>
      <c r="S4" s="65">
        <v>43443.5</v>
      </c>
      <c r="T4" s="66">
        <v>0</v>
      </c>
      <c r="U4" s="56" t="s">
        <v>37</v>
      </c>
      <c r="V4" s="57" t="s">
        <v>56</v>
      </c>
      <c r="W4" s="55">
        <v>27368485</v>
      </c>
      <c r="X4" s="55">
        <f t="shared" ref="X4:X7" si="1">W4/Q4</f>
        <v>569.98083991961096</v>
      </c>
      <c r="Y4" s="55">
        <f t="shared" ref="Y4:Y7" si="2">W4/R4</f>
        <v>598.47988191559148</v>
      </c>
      <c r="Z4" s="55">
        <f t="shared" ref="Z4:Z7" si="3">W4/S4</f>
        <v>629.97882306904376</v>
      </c>
      <c r="AA4" s="55"/>
      <c r="AB4" s="58" t="s">
        <v>58</v>
      </c>
      <c r="AD4" s="68">
        <f>W4/AC3</f>
        <v>0.19644025461579889</v>
      </c>
    </row>
    <row r="5" spans="1:30" s="51" customFormat="1" ht="16" x14ac:dyDescent="0.2">
      <c r="A5" s="53"/>
      <c r="B5" s="84" t="s">
        <v>61</v>
      </c>
      <c r="C5" s="84" t="s">
        <v>75</v>
      </c>
      <c r="D5" s="84" t="s">
        <v>76</v>
      </c>
      <c r="E5" s="84" t="s">
        <v>23</v>
      </c>
      <c r="F5" s="84" t="s">
        <v>54</v>
      </c>
      <c r="G5" s="84" t="s">
        <v>67</v>
      </c>
      <c r="H5" s="84"/>
      <c r="I5" s="84" t="s">
        <v>77</v>
      </c>
      <c r="J5" s="84"/>
      <c r="K5" s="84" t="s">
        <v>78</v>
      </c>
      <c r="L5" s="85">
        <v>2019</v>
      </c>
      <c r="M5" s="84" t="s">
        <v>67</v>
      </c>
      <c r="N5" s="84" t="s">
        <v>31</v>
      </c>
      <c r="O5" s="84" t="s">
        <v>52</v>
      </c>
      <c r="P5" s="84" t="s">
        <v>27</v>
      </c>
      <c r="Q5" s="65">
        <v>48016.5</v>
      </c>
      <c r="R5" s="65">
        <v>45730</v>
      </c>
      <c r="S5" s="65">
        <v>43443.5</v>
      </c>
      <c r="T5" s="66">
        <v>0</v>
      </c>
      <c r="U5" s="56" t="s">
        <v>38</v>
      </c>
      <c r="V5" s="57" t="s">
        <v>56</v>
      </c>
      <c r="W5" s="55">
        <v>20086487</v>
      </c>
      <c r="X5" s="55">
        <f t="shared" si="1"/>
        <v>418.32468005789679</v>
      </c>
      <c r="Y5" s="55">
        <f t="shared" si="2"/>
        <v>439.24091406079162</v>
      </c>
      <c r="Z5" s="55">
        <f t="shared" si="3"/>
        <v>462.35885690609643</v>
      </c>
      <c r="AA5" s="55"/>
      <c r="AB5" s="58" t="s">
        <v>58</v>
      </c>
      <c r="AD5" s="68">
        <f>W5/AC3</f>
        <v>0.14417292811848864</v>
      </c>
    </row>
    <row r="6" spans="1:30" s="51" customFormat="1" ht="16" x14ac:dyDescent="0.2">
      <c r="A6" s="53"/>
      <c r="B6" s="84" t="s">
        <v>61</v>
      </c>
      <c r="C6" s="84" t="s">
        <v>75</v>
      </c>
      <c r="D6" s="84" t="s">
        <v>76</v>
      </c>
      <c r="E6" s="84" t="s">
        <v>23</v>
      </c>
      <c r="F6" s="84" t="s">
        <v>54</v>
      </c>
      <c r="G6" s="84" t="s">
        <v>67</v>
      </c>
      <c r="H6" s="84"/>
      <c r="I6" s="84" t="s">
        <v>77</v>
      </c>
      <c r="J6" s="84"/>
      <c r="K6" s="84" t="s">
        <v>78</v>
      </c>
      <c r="L6" s="85">
        <v>2019</v>
      </c>
      <c r="M6" s="84" t="s">
        <v>67</v>
      </c>
      <c r="N6" s="84" t="s">
        <v>31</v>
      </c>
      <c r="O6" s="84" t="s">
        <v>52</v>
      </c>
      <c r="P6" s="84" t="s">
        <v>27</v>
      </c>
      <c r="Q6" s="65">
        <v>48016.5</v>
      </c>
      <c r="R6" s="65">
        <v>45730</v>
      </c>
      <c r="S6" s="65">
        <v>43443.5</v>
      </c>
      <c r="T6" s="66">
        <v>0</v>
      </c>
      <c r="U6" s="56" t="s">
        <v>39</v>
      </c>
      <c r="V6" s="57" t="s">
        <v>56</v>
      </c>
      <c r="W6" s="55">
        <v>16069189.600000001</v>
      </c>
      <c r="X6" s="55">
        <f t="shared" si="1"/>
        <v>334.65974404631743</v>
      </c>
      <c r="Y6" s="55">
        <f t="shared" si="2"/>
        <v>351.39273124863331</v>
      </c>
      <c r="Z6" s="55">
        <f t="shared" si="3"/>
        <v>369.88708552487719</v>
      </c>
      <c r="AA6" s="55"/>
      <c r="AB6" s="58" t="s">
        <v>58</v>
      </c>
      <c r="AD6" s="68">
        <f>W6/AC3</f>
        <v>0.11533834249479093</v>
      </c>
    </row>
    <row r="7" spans="1:30" s="51" customFormat="1" ht="16" x14ac:dyDescent="0.2">
      <c r="A7" s="53"/>
      <c r="B7" s="84" t="s">
        <v>61</v>
      </c>
      <c r="C7" s="84" t="s">
        <v>75</v>
      </c>
      <c r="D7" s="84" t="s">
        <v>76</v>
      </c>
      <c r="E7" s="84" t="s">
        <v>23</v>
      </c>
      <c r="F7" s="84" t="s">
        <v>54</v>
      </c>
      <c r="G7" s="84" t="s">
        <v>67</v>
      </c>
      <c r="H7" s="84"/>
      <c r="I7" s="84" t="s">
        <v>77</v>
      </c>
      <c r="J7" s="84"/>
      <c r="K7" s="84" t="s">
        <v>78</v>
      </c>
      <c r="L7" s="85">
        <v>2019</v>
      </c>
      <c r="M7" s="84" t="s">
        <v>67</v>
      </c>
      <c r="N7" s="84" t="s">
        <v>31</v>
      </c>
      <c r="O7" s="84" t="s">
        <v>52</v>
      </c>
      <c r="P7" s="84" t="s">
        <v>27</v>
      </c>
      <c r="Q7" s="65">
        <v>48016.5</v>
      </c>
      <c r="R7" s="65">
        <v>45730</v>
      </c>
      <c r="S7" s="65">
        <v>43443.5</v>
      </c>
      <c r="T7" s="66">
        <v>0</v>
      </c>
      <c r="U7" s="56" t="s">
        <v>40</v>
      </c>
      <c r="V7" s="57" t="s">
        <v>56</v>
      </c>
      <c r="W7" s="55">
        <v>4017297.4000000004</v>
      </c>
      <c r="X7" s="55">
        <f t="shared" si="1"/>
        <v>83.664936011579357</v>
      </c>
      <c r="Y7" s="55">
        <f t="shared" si="2"/>
        <v>87.848182812158328</v>
      </c>
      <c r="Z7" s="55">
        <f t="shared" si="3"/>
        <v>92.471771381219298</v>
      </c>
      <c r="AA7" s="55"/>
      <c r="AB7" s="58" t="s">
        <v>58</v>
      </c>
      <c r="AD7" s="68">
        <f>W7/AC3</f>
        <v>2.8834585623697732E-2</v>
      </c>
    </row>
    <row r="8" spans="1:30" s="51" customFormat="1" ht="16" x14ac:dyDescent="0.2">
      <c r="A8" s="53"/>
      <c r="B8" s="84" t="s">
        <v>61</v>
      </c>
      <c r="C8" s="84" t="s">
        <v>75</v>
      </c>
      <c r="D8" s="84" t="s">
        <v>76</v>
      </c>
      <c r="E8" s="84" t="s">
        <v>23</v>
      </c>
      <c r="F8" s="84" t="s">
        <v>54</v>
      </c>
      <c r="G8" s="84" t="s">
        <v>67</v>
      </c>
      <c r="H8" s="84"/>
      <c r="I8" s="84" t="s">
        <v>77</v>
      </c>
      <c r="J8" s="84"/>
      <c r="K8" s="84" t="s">
        <v>78</v>
      </c>
      <c r="L8" s="85">
        <v>2019</v>
      </c>
      <c r="M8" s="84" t="s">
        <v>67</v>
      </c>
      <c r="N8" s="84" t="s">
        <v>31</v>
      </c>
      <c r="O8" s="84" t="s">
        <v>52</v>
      </c>
      <c r="P8" s="84" t="s">
        <v>27</v>
      </c>
      <c r="Q8" s="65">
        <v>48016.5</v>
      </c>
      <c r="R8" s="65">
        <v>45730</v>
      </c>
      <c r="S8" s="65">
        <v>43443.5</v>
      </c>
      <c r="T8" s="66">
        <v>0</v>
      </c>
      <c r="U8" s="56" t="s">
        <v>41</v>
      </c>
      <c r="V8" s="57" t="s">
        <v>56</v>
      </c>
      <c r="W8" s="55">
        <v>3360917</v>
      </c>
      <c r="X8" s="55">
        <f>W8/Q8</f>
        <v>69.995043370508057</v>
      </c>
      <c r="Y8" s="55">
        <f>W8/R8</f>
        <v>73.494795539033461</v>
      </c>
      <c r="Z8" s="55">
        <f>W8/S8</f>
        <v>77.36294267266679</v>
      </c>
      <c r="AA8" s="55"/>
      <c r="AB8" s="58" t="s">
        <v>58</v>
      </c>
      <c r="AD8" s="68">
        <f>W8/AC3</f>
        <v>2.4123344468010084E-2</v>
      </c>
    </row>
    <row r="9" spans="1:30" s="51" customFormat="1" ht="16" x14ac:dyDescent="0.2">
      <c r="A9" s="53"/>
      <c r="B9" s="84" t="s">
        <v>61</v>
      </c>
      <c r="C9" s="84" t="s">
        <v>75</v>
      </c>
      <c r="D9" s="84" t="s">
        <v>76</v>
      </c>
      <c r="E9" s="84" t="s">
        <v>23</v>
      </c>
      <c r="F9" s="84" t="s">
        <v>54</v>
      </c>
      <c r="G9" s="84" t="s">
        <v>67</v>
      </c>
      <c r="H9" s="84"/>
      <c r="I9" s="84" t="s">
        <v>77</v>
      </c>
      <c r="J9" s="84"/>
      <c r="K9" s="84" t="s">
        <v>78</v>
      </c>
      <c r="L9" s="85">
        <v>2019</v>
      </c>
      <c r="M9" s="84" t="s">
        <v>67</v>
      </c>
      <c r="N9" s="84" t="s">
        <v>31</v>
      </c>
      <c r="O9" s="84" t="s">
        <v>52</v>
      </c>
      <c r="P9" s="84" t="s">
        <v>27</v>
      </c>
      <c r="Q9" s="65">
        <v>48016.5</v>
      </c>
      <c r="R9" s="65">
        <v>45730</v>
      </c>
      <c r="S9" s="65">
        <v>43443.5</v>
      </c>
      <c r="T9" s="66">
        <v>0</v>
      </c>
      <c r="U9" s="56" t="s">
        <v>42</v>
      </c>
      <c r="V9" s="57" t="s">
        <v>56</v>
      </c>
      <c r="W9" s="55">
        <v>1192620</v>
      </c>
      <c r="X9" s="55">
        <f>W9/Q9</f>
        <v>24.837712036487456</v>
      </c>
      <c r="Y9" s="55">
        <f>W9/R9</f>
        <v>26.079597638311832</v>
      </c>
      <c r="Z9" s="55">
        <f>W9/S9</f>
        <v>27.452208040328241</v>
      </c>
      <c r="AA9" s="55"/>
      <c r="AB9" s="58" t="s">
        <v>58</v>
      </c>
      <c r="AD9" s="68">
        <f>W9/AC3</f>
        <v>8.5601587541251946E-3</v>
      </c>
    </row>
    <row r="10" spans="1:30" s="51" customFormat="1" ht="16" x14ac:dyDescent="0.2">
      <c r="A10" s="53"/>
      <c r="B10" s="84" t="s">
        <v>61</v>
      </c>
      <c r="C10" s="84" t="s">
        <v>75</v>
      </c>
      <c r="D10" s="84" t="s">
        <v>76</v>
      </c>
      <c r="E10" s="84" t="s">
        <v>23</v>
      </c>
      <c r="F10" s="84" t="s">
        <v>54</v>
      </c>
      <c r="G10" s="84" t="s">
        <v>67</v>
      </c>
      <c r="H10" s="84"/>
      <c r="I10" s="84" t="s">
        <v>77</v>
      </c>
      <c r="J10" s="84"/>
      <c r="K10" s="84" t="s">
        <v>78</v>
      </c>
      <c r="L10" s="85">
        <v>2019</v>
      </c>
      <c r="M10" s="84" t="s">
        <v>67</v>
      </c>
      <c r="N10" s="84" t="s">
        <v>31</v>
      </c>
      <c r="O10" s="84" t="s">
        <v>52</v>
      </c>
      <c r="P10" s="84" t="s">
        <v>27</v>
      </c>
      <c r="Q10" s="65">
        <v>48016.5</v>
      </c>
      <c r="R10" s="65">
        <v>45730</v>
      </c>
      <c r="S10" s="65">
        <v>43443.5</v>
      </c>
      <c r="T10" s="66">
        <v>0</v>
      </c>
      <c r="U10" s="56" t="s">
        <v>43</v>
      </c>
      <c r="V10" s="57" t="s">
        <v>56</v>
      </c>
      <c r="W10" s="55">
        <v>0</v>
      </c>
      <c r="X10" s="55">
        <f>W10/Q10</f>
        <v>0</v>
      </c>
      <c r="Y10" s="55">
        <f>W10/R10</f>
        <v>0</v>
      </c>
      <c r="Z10" s="55">
        <f>W10/S10</f>
        <v>0</v>
      </c>
      <c r="AA10" s="55"/>
      <c r="AB10" s="58" t="s">
        <v>58</v>
      </c>
      <c r="AD10" s="68">
        <f>W10/AC3</f>
        <v>0</v>
      </c>
    </row>
    <row r="11" spans="1:30" s="51" customFormat="1" ht="16" x14ac:dyDescent="0.2">
      <c r="A11" s="53"/>
      <c r="B11" s="84" t="s">
        <v>61</v>
      </c>
      <c r="C11" s="84" t="s">
        <v>75</v>
      </c>
      <c r="D11" s="84" t="s">
        <v>76</v>
      </c>
      <c r="E11" s="84" t="s">
        <v>23</v>
      </c>
      <c r="F11" s="84" t="s">
        <v>54</v>
      </c>
      <c r="G11" s="84" t="s">
        <v>67</v>
      </c>
      <c r="H11" s="84"/>
      <c r="I11" s="84" t="s">
        <v>77</v>
      </c>
      <c r="J11" s="84"/>
      <c r="K11" s="84" t="s">
        <v>78</v>
      </c>
      <c r="L11" s="85">
        <v>2019</v>
      </c>
      <c r="M11" s="84" t="s">
        <v>67</v>
      </c>
      <c r="N11" s="84" t="s">
        <v>31</v>
      </c>
      <c r="O11" s="84" t="s">
        <v>52</v>
      </c>
      <c r="P11" s="84" t="s">
        <v>27</v>
      </c>
      <c r="Q11" s="65">
        <v>48016.5</v>
      </c>
      <c r="R11" s="65">
        <v>45730</v>
      </c>
      <c r="S11" s="65">
        <v>43443.5</v>
      </c>
      <c r="T11" s="66">
        <v>0</v>
      </c>
      <c r="U11" s="56" t="s">
        <v>44</v>
      </c>
      <c r="V11" s="57" t="s">
        <v>56</v>
      </c>
      <c r="W11" s="55">
        <v>0</v>
      </c>
      <c r="X11" s="55">
        <f t="shared" ref="X11:X16" si="4">W11/Q11</f>
        <v>0</v>
      </c>
      <c r="Y11" s="55">
        <f t="shared" ref="Y11:Y16" si="5">W11/R11</f>
        <v>0</v>
      </c>
      <c r="Z11" s="55">
        <f t="shared" ref="Z11:Z16" si="6">W11/S11</f>
        <v>0</v>
      </c>
      <c r="AA11" s="55"/>
      <c r="AB11" s="58" t="s">
        <v>58</v>
      </c>
      <c r="AD11" s="68">
        <f>W11/AC3</f>
        <v>0</v>
      </c>
    </row>
    <row r="12" spans="1:30" s="51" customFormat="1" ht="16" x14ac:dyDescent="0.2">
      <c r="A12" s="53"/>
      <c r="B12" s="84" t="s">
        <v>61</v>
      </c>
      <c r="C12" s="84" t="s">
        <v>75</v>
      </c>
      <c r="D12" s="84" t="s">
        <v>76</v>
      </c>
      <c r="E12" s="84" t="s">
        <v>23</v>
      </c>
      <c r="F12" s="84" t="s">
        <v>54</v>
      </c>
      <c r="G12" s="84" t="s">
        <v>67</v>
      </c>
      <c r="H12" s="84"/>
      <c r="I12" s="84" t="s">
        <v>77</v>
      </c>
      <c r="J12" s="84"/>
      <c r="K12" s="84" t="s">
        <v>78</v>
      </c>
      <c r="L12" s="85">
        <v>2019</v>
      </c>
      <c r="M12" s="84" t="s">
        <v>67</v>
      </c>
      <c r="N12" s="84" t="s">
        <v>31</v>
      </c>
      <c r="O12" s="84" t="s">
        <v>52</v>
      </c>
      <c r="P12" s="84" t="s">
        <v>27</v>
      </c>
      <c r="Q12" s="65">
        <v>48016.5</v>
      </c>
      <c r="R12" s="65">
        <v>45730</v>
      </c>
      <c r="S12" s="65">
        <v>43443.5</v>
      </c>
      <c r="T12" s="66">
        <v>0</v>
      </c>
      <c r="U12" s="56" t="s">
        <v>45</v>
      </c>
      <c r="V12" s="57" t="s">
        <v>56</v>
      </c>
      <c r="W12" s="55">
        <v>11045654.389</v>
      </c>
      <c r="X12" s="55">
        <f t="shared" si="4"/>
        <v>230.03872395947226</v>
      </c>
      <c r="Y12" s="55">
        <f t="shared" si="5"/>
        <v>241.5406601574459</v>
      </c>
      <c r="Z12" s="55">
        <f t="shared" si="6"/>
        <v>254.25332648152198</v>
      </c>
      <c r="AA12" s="55"/>
      <c r="AB12" s="58" t="s">
        <v>58</v>
      </c>
      <c r="AD12" s="68">
        <f>W12/AC3</f>
        <v>7.9281376392346045E-2</v>
      </c>
    </row>
    <row r="13" spans="1:30" s="51" customFormat="1" ht="16" x14ac:dyDescent="0.2">
      <c r="A13" s="53"/>
      <c r="B13" s="84" t="s">
        <v>61</v>
      </c>
      <c r="C13" s="84" t="s">
        <v>75</v>
      </c>
      <c r="D13" s="84" t="s">
        <v>76</v>
      </c>
      <c r="E13" s="84" t="s">
        <v>23</v>
      </c>
      <c r="F13" s="84" t="s">
        <v>54</v>
      </c>
      <c r="G13" s="84" t="s">
        <v>67</v>
      </c>
      <c r="H13" s="84"/>
      <c r="I13" s="84" t="s">
        <v>77</v>
      </c>
      <c r="J13" s="84"/>
      <c r="K13" s="84" t="s">
        <v>78</v>
      </c>
      <c r="L13" s="85">
        <v>2019</v>
      </c>
      <c r="M13" s="84" t="s">
        <v>67</v>
      </c>
      <c r="N13" s="84" t="s">
        <v>31</v>
      </c>
      <c r="O13" s="84" t="s">
        <v>52</v>
      </c>
      <c r="P13" s="84" t="s">
        <v>27</v>
      </c>
      <c r="Q13" s="65">
        <v>48016.5</v>
      </c>
      <c r="R13" s="65">
        <v>45730</v>
      </c>
      <c r="S13" s="65">
        <v>43443.5</v>
      </c>
      <c r="T13" s="66">
        <v>0</v>
      </c>
      <c r="U13" s="56" t="s">
        <v>46</v>
      </c>
      <c r="V13" s="57" t="s">
        <v>56</v>
      </c>
      <c r="W13" s="55">
        <v>9037353.591</v>
      </c>
      <c r="X13" s="55">
        <f t="shared" si="4"/>
        <v>188.21350142138641</v>
      </c>
      <c r="Y13" s="55">
        <f t="shared" si="5"/>
        <v>197.62417649245572</v>
      </c>
      <c r="Z13" s="55">
        <f t="shared" si="6"/>
        <v>208.02544893942706</v>
      </c>
      <c r="AA13" s="55"/>
      <c r="AB13" s="58" t="s">
        <v>58</v>
      </c>
      <c r="AD13" s="68">
        <f>W13/AC3</f>
        <v>6.4866580684646763E-2</v>
      </c>
    </row>
    <row r="14" spans="1:30" s="51" customFormat="1" ht="16" x14ac:dyDescent="0.2">
      <c r="A14" s="53"/>
      <c r="B14" s="84" t="s">
        <v>61</v>
      </c>
      <c r="C14" s="84" t="s">
        <v>75</v>
      </c>
      <c r="D14" s="84" t="s">
        <v>76</v>
      </c>
      <c r="E14" s="84" t="s">
        <v>23</v>
      </c>
      <c r="F14" s="84" t="s">
        <v>54</v>
      </c>
      <c r="G14" s="84" t="s">
        <v>67</v>
      </c>
      <c r="H14" s="84"/>
      <c r="I14" s="84" t="s">
        <v>77</v>
      </c>
      <c r="J14" s="84"/>
      <c r="K14" s="84" t="s">
        <v>78</v>
      </c>
      <c r="L14" s="85">
        <v>2019</v>
      </c>
      <c r="M14" s="84" t="s">
        <v>67</v>
      </c>
      <c r="N14" s="84" t="s">
        <v>31</v>
      </c>
      <c r="O14" s="84" t="s">
        <v>52</v>
      </c>
      <c r="P14" s="84" t="s">
        <v>27</v>
      </c>
      <c r="Q14" s="65">
        <v>48016.5</v>
      </c>
      <c r="R14" s="65">
        <v>45730</v>
      </c>
      <c r="S14" s="65">
        <v>43443.5</v>
      </c>
      <c r="T14" s="66">
        <v>0</v>
      </c>
      <c r="U14" s="56" t="s">
        <v>47</v>
      </c>
      <c r="V14" s="57" t="s">
        <v>56</v>
      </c>
      <c r="W14" s="55">
        <v>0</v>
      </c>
      <c r="X14" s="55">
        <f t="shared" si="4"/>
        <v>0</v>
      </c>
      <c r="Y14" s="55">
        <f t="shared" si="5"/>
        <v>0</v>
      </c>
      <c r="Z14" s="55">
        <f t="shared" si="6"/>
        <v>0</v>
      </c>
      <c r="AA14" s="55"/>
      <c r="AB14" s="58" t="s">
        <v>58</v>
      </c>
      <c r="AD14" s="68">
        <f>W14/AC3</f>
        <v>0</v>
      </c>
    </row>
    <row r="15" spans="1:30" s="51" customFormat="1" ht="16" x14ac:dyDescent="0.2">
      <c r="A15" s="53"/>
      <c r="B15" s="84" t="s">
        <v>61</v>
      </c>
      <c r="C15" s="84" t="s">
        <v>75</v>
      </c>
      <c r="D15" s="84" t="s">
        <v>76</v>
      </c>
      <c r="E15" s="84" t="s">
        <v>23</v>
      </c>
      <c r="F15" s="84" t="s">
        <v>54</v>
      </c>
      <c r="G15" s="84" t="s">
        <v>67</v>
      </c>
      <c r="H15" s="84"/>
      <c r="I15" s="84" t="s">
        <v>77</v>
      </c>
      <c r="J15" s="84"/>
      <c r="K15" s="84" t="s">
        <v>78</v>
      </c>
      <c r="L15" s="85">
        <v>2019</v>
      </c>
      <c r="M15" s="84" t="s">
        <v>67</v>
      </c>
      <c r="N15" s="84" t="s">
        <v>31</v>
      </c>
      <c r="O15" s="84" t="s">
        <v>52</v>
      </c>
      <c r="P15" s="84" t="s">
        <v>27</v>
      </c>
      <c r="Q15" s="65">
        <v>48016.5</v>
      </c>
      <c r="R15" s="65">
        <v>45730</v>
      </c>
      <c r="S15" s="65">
        <v>43443.5</v>
      </c>
      <c r="T15" s="66">
        <v>0</v>
      </c>
      <c r="U15" s="56" t="s">
        <v>48</v>
      </c>
      <c r="V15" s="57" t="s">
        <v>56</v>
      </c>
      <c r="W15" s="55">
        <v>34216186.5</v>
      </c>
      <c r="X15" s="55">
        <f t="shared" si="4"/>
        <v>712.59226515885166</v>
      </c>
      <c r="Y15" s="55">
        <f t="shared" si="5"/>
        <v>748.2218784167942</v>
      </c>
      <c r="Z15" s="55">
        <f t="shared" si="6"/>
        <v>787.60197728083608</v>
      </c>
      <c r="AA15" s="55"/>
      <c r="AB15" s="58" t="s">
        <v>58</v>
      </c>
      <c r="AD15" s="68">
        <f>W15/AC3</f>
        <v>0.24559037111632817</v>
      </c>
    </row>
    <row r="16" spans="1:30" s="51" customFormat="1" ht="16" x14ac:dyDescent="0.2">
      <c r="A16" s="53"/>
      <c r="B16" s="84" t="s">
        <v>61</v>
      </c>
      <c r="C16" s="84" t="s">
        <v>75</v>
      </c>
      <c r="D16" s="84" t="s">
        <v>76</v>
      </c>
      <c r="E16" s="84" t="s">
        <v>23</v>
      </c>
      <c r="F16" s="84" t="s">
        <v>54</v>
      </c>
      <c r="G16" s="84" t="s">
        <v>67</v>
      </c>
      <c r="H16" s="84"/>
      <c r="I16" s="84" t="s">
        <v>77</v>
      </c>
      <c r="J16" s="84"/>
      <c r="K16" s="84" t="s">
        <v>78</v>
      </c>
      <c r="L16" s="85">
        <v>2019</v>
      </c>
      <c r="M16" s="84" t="s">
        <v>67</v>
      </c>
      <c r="N16" s="84" t="s">
        <v>31</v>
      </c>
      <c r="O16" s="84" t="s">
        <v>52</v>
      </c>
      <c r="P16" s="84" t="s">
        <v>27</v>
      </c>
      <c r="Q16" s="65">
        <v>48016.5</v>
      </c>
      <c r="R16" s="65">
        <v>45730</v>
      </c>
      <c r="S16" s="65">
        <v>43443.5</v>
      </c>
      <c r="T16" s="66">
        <v>0</v>
      </c>
      <c r="U16" s="56" t="s">
        <v>49</v>
      </c>
      <c r="V16" s="57" t="s">
        <v>56</v>
      </c>
      <c r="W16" s="55">
        <v>11503667</v>
      </c>
      <c r="X16" s="55">
        <f t="shared" si="4"/>
        <v>239.57737444420147</v>
      </c>
      <c r="Y16" s="55">
        <f t="shared" si="5"/>
        <v>251.55624316641155</v>
      </c>
      <c r="Z16" s="55">
        <f t="shared" si="6"/>
        <v>264.79604543832795</v>
      </c>
      <c r="AA16" s="55"/>
      <c r="AB16" s="58" t="s">
        <v>58</v>
      </c>
      <c r="AD16" s="68">
        <f>W16/AC3</f>
        <v>8.2568811335204106E-2</v>
      </c>
    </row>
    <row r="17" spans="1:30" s="31" customFormat="1" ht="15" customHeight="1" x14ac:dyDescent="0.2">
      <c r="A17" s="86"/>
      <c r="B17" s="87" t="s">
        <v>61</v>
      </c>
      <c r="C17" s="87" t="s">
        <v>74</v>
      </c>
      <c r="D17" s="87" t="s">
        <v>80</v>
      </c>
      <c r="E17" s="87" t="s">
        <v>23</v>
      </c>
      <c r="F17" s="87" t="s">
        <v>54</v>
      </c>
      <c r="G17" s="87" t="s">
        <v>67</v>
      </c>
      <c r="H17" s="87"/>
      <c r="I17" s="87" t="s">
        <v>81</v>
      </c>
      <c r="J17" s="87"/>
      <c r="K17" s="87" t="s">
        <v>82</v>
      </c>
      <c r="L17" s="88">
        <v>2020</v>
      </c>
      <c r="M17" s="87" t="s">
        <v>67</v>
      </c>
      <c r="N17" s="87" t="s">
        <v>31</v>
      </c>
      <c r="O17" s="87" t="s">
        <v>52</v>
      </c>
      <c r="P17" s="87" t="s">
        <v>27</v>
      </c>
      <c r="Q17" s="64">
        <v>26865.300000000003</v>
      </c>
      <c r="R17" s="64">
        <v>25586</v>
      </c>
      <c r="S17" s="64">
        <v>24306.699999999997</v>
      </c>
      <c r="T17" s="89">
        <v>0</v>
      </c>
      <c r="U17" s="62" t="s">
        <v>79</v>
      </c>
      <c r="V17" s="63" t="s">
        <v>56</v>
      </c>
      <c r="W17" s="60">
        <v>1604816</v>
      </c>
      <c r="X17" s="60">
        <f>W17/Q17</f>
        <v>59.735644120854779</v>
      </c>
      <c r="Y17" s="60">
        <f>W17/R17</f>
        <v>62.722426326897519</v>
      </c>
      <c r="Z17" s="60">
        <f t="shared" ref="Z17:Z21" si="7">W17/S17</f>
        <v>66.023606659892138</v>
      </c>
      <c r="AA17" s="60"/>
      <c r="AB17" s="61" t="s">
        <v>58</v>
      </c>
      <c r="AC17" s="67">
        <f t="shared" ref="AC17" si="8">SUM(W17:W30)</f>
        <v>130254932.94411641</v>
      </c>
      <c r="AD17" s="68">
        <f t="shared" ref="AD17" si="9">W17/AC17</f>
        <v>1.2320577529977448E-2</v>
      </c>
    </row>
    <row r="18" spans="1:30" s="31" customFormat="1" ht="16" x14ac:dyDescent="0.2">
      <c r="A18" s="59"/>
      <c r="B18" s="87" t="s">
        <v>61</v>
      </c>
      <c r="C18" s="87" t="s">
        <v>74</v>
      </c>
      <c r="D18" s="87" t="s">
        <v>80</v>
      </c>
      <c r="E18" s="87" t="s">
        <v>23</v>
      </c>
      <c r="F18" s="87" t="s">
        <v>54</v>
      </c>
      <c r="G18" s="87" t="s">
        <v>67</v>
      </c>
      <c r="H18" s="87"/>
      <c r="I18" s="87" t="s">
        <v>81</v>
      </c>
      <c r="J18" s="87"/>
      <c r="K18" s="87" t="s">
        <v>82</v>
      </c>
      <c r="L18" s="88">
        <v>2020</v>
      </c>
      <c r="M18" s="87" t="s">
        <v>67</v>
      </c>
      <c r="N18" s="87" t="s">
        <v>31</v>
      </c>
      <c r="O18" s="87" t="s">
        <v>52</v>
      </c>
      <c r="P18" s="87" t="s">
        <v>27</v>
      </c>
      <c r="Q18" s="64">
        <v>26865.300000000003</v>
      </c>
      <c r="R18" s="64">
        <v>25586</v>
      </c>
      <c r="S18" s="64">
        <v>24306.699999999997</v>
      </c>
      <c r="T18" s="89">
        <v>0</v>
      </c>
      <c r="U18" s="62" t="s">
        <v>37</v>
      </c>
      <c r="V18" s="63" t="s">
        <v>56</v>
      </c>
      <c r="W18" s="60">
        <v>12048509.144116422</v>
      </c>
      <c r="X18" s="60">
        <f t="shared" ref="X18:X21" si="10">W18/Q18</f>
        <v>448.47848876120577</v>
      </c>
      <c r="Y18" s="60">
        <f t="shared" ref="Y18:Y21" si="11">W18/R18</f>
        <v>470.90241319926611</v>
      </c>
      <c r="Z18" s="60">
        <f t="shared" si="7"/>
        <v>495.68675073606965</v>
      </c>
      <c r="AA18" s="60"/>
      <c r="AB18" s="61" t="s">
        <v>58</v>
      </c>
      <c r="AC18" s="51"/>
      <c r="AD18" s="68">
        <f t="shared" ref="AD18" si="12">W18/AC17</f>
        <v>9.2499446061560089E-2</v>
      </c>
    </row>
    <row r="19" spans="1:30" s="31" customFormat="1" ht="16" x14ac:dyDescent="0.2">
      <c r="A19" s="59"/>
      <c r="B19" s="87" t="s">
        <v>61</v>
      </c>
      <c r="C19" s="87" t="s">
        <v>74</v>
      </c>
      <c r="D19" s="87" t="s">
        <v>80</v>
      </c>
      <c r="E19" s="87" t="s">
        <v>23</v>
      </c>
      <c r="F19" s="87" t="s">
        <v>54</v>
      </c>
      <c r="G19" s="87" t="s">
        <v>67</v>
      </c>
      <c r="H19" s="87"/>
      <c r="I19" s="87" t="s">
        <v>81</v>
      </c>
      <c r="J19" s="87"/>
      <c r="K19" s="87" t="s">
        <v>82</v>
      </c>
      <c r="L19" s="88">
        <v>2020</v>
      </c>
      <c r="M19" s="87" t="s">
        <v>67</v>
      </c>
      <c r="N19" s="87" t="s">
        <v>31</v>
      </c>
      <c r="O19" s="87" t="s">
        <v>52</v>
      </c>
      <c r="P19" s="87" t="s">
        <v>27</v>
      </c>
      <c r="Q19" s="64">
        <v>26865.300000000003</v>
      </c>
      <c r="R19" s="64">
        <v>25586</v>
      </c>
      <c r="S19" s="64">
        <v>24306.699999999997</v>
      </c>
      <c r="T19" s="89">
        <v>0</v>
      </c>
      <c r="U19" s="62" t="s">
        <v>38</v>
      </c>
      <c r="V19" s="63" t="s">
        <v>56</v>
      </c>
      <c r="W19" s="60">
        <v>21539240.899999999</v>
      </c>
      <c r="X19" s="60">
        <f t="shared" si="10"/>
        <v>801.74950214589069</v>
      </c>
      <c r="Y19" s="60">
        <f t="shared" si="11"/>
        <v>841.8369772531853</v>
      </c>
      <c r="Z19" s="60">
        <f t="shared" si="7"/>
        <v>886.14418658230045</v>
      </c>
      <c r="AA19" s="60"/>
      <c r="AB19" s="61" t="s">
        <v>58</v>
      </c>
      <c r="AC19" s="51"/>
      <c r="AD19" s="68">
        <f t="shared" ref="AD19" si="13">W19/AC17</f>
        <v>0.16536218946303577</v>
      </c>
    </row>
    <row r="20" spans="1:30" s="31" customFormat="1" ht="16" x14ac:dyDescent="0.2">
      <c r="A20" s="59"/>
      <c r="B20" s="87" t="s">
        <v>61</v>
      </c>
      <c r="C20" s="87" t="s">
        <v>74</v>
      </c>
      <c r="D20" s="87" t="s">
        <v>80</v>
      </c>
      <c r="E20" s="87" t="s">
        <v>23</v>
      </c>
      <c r="F20" s="87" t="s">
        <v>54</v>
      </c>
      <c r="G20" s="87" t="s">
        <v>67</v>
      </c>
      <c r="H20" s="87"/>
      <c r="I20" s="87" t="s">
        <v>81</v>
      </c>
      <c r="J20" s="87"/>
      <c r="K20" s="87" t="s">
        <v>82</v>
      </c>
      <c r="L20" s="88">
        <v>2020</v>
      </c>
      <c r="M20" s="87" t="s">
        <v>67</v>
      </c>
      <c r="N20" s="87" t="s">
        <v>31</v>
      </c>
      <c r="O20" s="87" t="s">
        <v>52</v>
      </c>
      <c r="P20" s="87" t="s">
        <v>27</v>
      </c>
      <c r="Q20" s="64">
        <v>26865.300000000003</v>
      </c>
      <c r="R20" s="64">
        <v>25586</v>
      </c>
      <c r="S20" s="64">
        <v>24306.699999999997</v>
      </c>
      <c r="T20" s="89">
        <v>0</v>
      </c>
      <c r="U20" s="62" t="s">
        <v>39</v>
      </c>
      <c r="V20" s="63" t="s">
        <v>56</v>
      </c>
      <c r="W20" s="60">
        <v>17231392.719999999</v>
      </c>
      <c r="X20" s="60">
        <f t="shared" si="10"/>
        <v>641.39960171671248</v>
      </c>
      <c r="Y20" s="60">
        <f t="shared" si="11"/>
        <v>673.46958180254819</v>
      </c>
      <c r="Z20" s="60">
        <f t="shared" si="7"/>
        <v>708.91534926584029</v>
      </c>
      <c r="AA20" s="60"/>
      <c r="AB20" s="61" t="s">
        <v>58</v>
      </c>
      <c r="AC20" s="51"/>
      <c r="AD20" s="68">
        <f t="shared" ref="AD20" si="14">W20/AC17</f>
        <v>0.13228975157042863</v>
      </c>
    </row>
    <row r="21" spans="1:30" s="31" customFormat="1" ht="16" x14ac:dyDescent="0.2">
      <c r="A21" s="59"/>
      <c r="B21" s="87" t="s">
        <v>61</v>
      </c>
      <c r="C21" s="87" t="s">
        <v>74</v>
      </c>
      <c r="D21" s="87" t="s">
        <v>80</v>
      </c>
      <c r="E21" s="87" t="s">
        <v>23</v>
      </c>
      <c r="F21" s="87" t="s">
        <v>54</v>
      </c>
      <c r="G21" s="87" t="s">
        <v>67</v>
      </c>
      <c r="H21" s="87"/>
      <c r="I21" s="87" t="s">
        <v>81</v>
      </c>
      <c r="J21" s="87"/>
      <c r="K21" s="87" t="s">
        <v>82</v>
      </c>
      <c r="L21" s="88">
        <v>2020</v>
      </c>
      <c r="M21" s="87" t="s">
        <v>67</v>
      </c>
      <c r="N21" s="87" t="s">
        <v>31</v>
      </c>
      <c r="O21" s="87" t="s">
        <v>52</v>
      </c>
      <c r="P21" s="87" t="s">
        <v>27</v>
      </c>
      <c r="Q21" s="64">
        <v>26865.300000000003</v>
      </c>
      <c r="R21" s="64">
        <v>25586</v>
      </c>
      <c r="S21" s="64">
        <v>24306.699999999997</v>
      </c>
      <c r="T21" s="89">
        <v>0</v>
      </c>
      <c r="U21" s="62" t="s">
        <v>40</v>
      </c>
      <c r="V21" s="63" t="s">
        <v>56</v>
      </c>
      <c r="W21" s="60">
        <v>4307848.18</v>
      </c>
      <c r="X21" s="60">
        <f t="shared" si="10"/>
        <v>160.34990042917812</v>
      </c>
      <c r="Y21" s="60">
        <f t="shared" si="11"/>
        <v>168.36739545063705</v>
      </c>
      <c r="Z21" s="60">
        <f t="shared" si="7"/>
        <v>177.22883731646007</v>
      </c>
      <c r="AA21" s="60"/>
      <c r="AB21" s="61" t="s">
        <v>58</v>
      </c>
      <c r="AC21" s="51"/>
      <c r="AD21" s="68">
        <f t="shared" ref="AD21" si="15">W21/AC17</f>
        <v>3.3072437892607158E-2</v>
      </c>
    </row>
    <row r="22" spans="1:30" s="31" customFormat="1" ht="16" x14ac:dyDescent="0.2">
      <c r="A22" s="59"/>
      <c r="B22" s="87" t="s">
        <v>61</v>
      </c>
      <c r="C22" s="87" t="s">
        <v>74</v>
      </c>
      <c r="D22" s="87" t="s">
        <v>80</v>
      </c>
      <c r="E22" s="87" t="s">
        <v>23</v>
      </c>
      <c r="F22" s="87" t="s">
        <v>54</v>
      </c>
      <c r="G22" s="87" t="s">
        <v>67</v>
      </c>
      <c r="H22" s="87"/>
      <c r="I22" s="87" t="s">
        <v>81</v>
      </c>
      <c r="J22" s="87"/>
      <c r="K22" s="87" t="s">
        <v>82</v>
      </c>
      <c r="L22" s="88">
        <v>2020</v>
      </c>
      <c r="M22" s="87" t="s">
        <v>67</v>
      </c>
      <c r="N22" s="87" t="s">
        <v>31</v>
      </c>
      <c r="O22" s="87" t="s">
        <v>52</v>
      </c>
      <c r="P22" s="87" t="s">
        <v>27</v>
      </c>
      <c r="Q22" s="64">
        <v>26865.300000000003</v>
      </c>
      <c r="R22" s="64">
        <v>25586</v>
      </c>
      <c r="S22" s="64">
        <v>24306.699999999997</v>
      </c>
      <c r="T22" s="89">
        <v>0</v>
      </c>
      <c r="U22" s="62" t="s">
        <v>41</v>
      </c>
      <c r="V22" s="63" t="s">
        <v>56</v>
      </c>
      <c r="W22" s="60">
        <v>7623187</v>
      </c>
      <c r="X22" s="60">
        <f>W22/Q22</f>
        <v>283.75588584530971</v>
      </c>
      <c r="Y22" s="60">
        <f>W22/R22</f>
        <v>297.94368013757526</v>
      </c>
      <c r="Z22" s="60">
        <f>W22/S22</f>
        <v>313.62492646060554</v>
      </c>
      <c r="AA22" s="60"/>
      <c r="AB22" s="61" t="s">
        <v>58</v>
      </c>
      <c r="AC22" s="51"/>
      <c r="AD22" s="68">
        <f t="shared" ref="AD22" si="16">W22/AC17</f>
        <v>5.8525130892897501E-2</v>
      </c>
    </row>
    <row r="23" spans="1:30" s="31" customFormat="1" ht="16" x14ac:dyDescent="0.2">
      <c r="A23" s="59"/>
      <c r="B23" s="87" t="s">
        <v>61</v>
      </c>
      <c r="C23" s="87" t="s">
        <v>74</v>
      </c>
      <c r="D23" s="87" t="s">
        <v>80</v>
      </c>
      <c r="E23" s="87" t="s">
        <v>23</v>
      </c>
      <c r="F23" s="87" t="s">
        <v>54</v>
      </c>
      <c r="G23" s="87" t="s">
        <v>67</v>
      </c>
      <c r="H23" s="87"/>
      <c r="I23" s="87" t="s">
        <v>81</v>
      </c>
      <c r="J23" s="87"/>
      <c r="K23" s="87" t="s">
        <v>82</v>
      </c>
      <c r="L23" s="88">
        <v>2020</v>
      </c>
      <c r="M23" s="87" t="s">
        <v>67</v>
      </c>
      <c r="N23" s="87" t="s">
        <v>31</v>
      </c>
      <c r="O23" s="87" t="s">
        <v>52</v>
      </c>
      <c r="P23" s="87" t="s">
        <v>27</v>
      </c>
      <c r="Q23" s="64">
        <v>26865.300000000003</v>
      </c>
      <c r="R23" s="64">
        <v>25586</v>
      </c>
      <c r="S23" s="64">
        <v>24306.699999999997</v>
      </c>
      <c r="T23" s="89">
        <v>0</v>
      </c>
      <c r="U23" s="62" t="s">
        <v>42</v>
      </c>
      <c r="V23" s="63" t="s">
        <v>56</v>
      </c>
      <c r="W23" s="60">
        <v>1754020</v>
      </c>
      <c r="X23" s="60">
        <f>W23/Q23</f>
        <v>65.289425392606816</v>
      </c>
      <c r="Y23" s="60">
        <f>W23/R23</f>
        <v>68.553896662237165</v>
      </c>
      <c r="Z23" s="60">
        <f>W23/S23</f>
        <v>72.161996486565442</v>
      </c>
      <c r="AA23" s="60"/>
      <c r="AB23" s="61" t="s">
        <v>58</v>
      </c>
      <c r="AC23" s="51"/>
      <c r="AD23" s="68">
        <f t="shared" ref="AD23" si="17">W23/AC17</f>
        <v>1.346605430101086E-2</v>
      </c>
    </row>
    <row r="24" spans="1:30" s="31" customFormat="1" ht="16" x14ac:dyDescent="0.2">
      <c r="A24" s="59"/>
      <c r="B24" s="87" t="s">
        <v>61</v>
      </c>
      <c r="C24" s="87" t="s">
        <v>74</v>
      </c>
      <c r="D24" s="87" t="s">
        <v>80</v>
      </c>
      <c r="E24" s="87" t="s">
        <v>23</v>
      </c>
      <c r="F24" s="87" t="s">
        <v>54</v>
      </c>
      <c r="G24" s="87" t="s">
        <v>67</v>
      </c>
      <c r="H24" s="87"/>
      <c r="I24" s="87" t="s">
        <v>81</v>
      </c>
      <c r="J24" s="87"/>
      <c r="K24" s="87" t="s">
        <v>82</v>
      </c>
      <c r="L24" s="88">
        <v>2020</v>
      </c>
      <c r="M24" s="87" t="s">
        <v>67</v>
      </c>
      <c r="N24" s="87" t="s">
        <v>31</v>
      </c>
      <c r="O24" s="87" t="s">
        <v>52</v>
      </c>
      <c r="P24" s="87" t="s">
        <v>27</v>
      </c>
      <c r="Q24" s="64">
        <v>26865.300000000003</v>
      </c>
      <c r="R24" s="64">
        <v>25586</v>
      </c>
      <c r="S24" s="64">
        <v>24306.699999999997</v>
      </c>
      <c r="T24" s="89">
        <v>0</v>
      </c>
      <c r="U24" s="62" t="s">
        <v>43</v>
      </c>
      <c r="V24" s="63" t="s">
        <v>56</v>
      </c>
      <c r="W24" s="60">
        <v>316473.05</v>
      </c>
      <c r="X24" s="60">
        <f>W24/Q24</f>
        <v>11.779993151016365</v>
      </c>
      <c r="Y24" s="60">
        <f>W24/R24</f>
        <v>12.368992808567185</v>
      </c>
      <c r="Z24" s="60">
        <f>W24/S24</f>
        <v>13.019992430070722</v>
      </c>
      <c r="AA24" s="60"/>
      <c r="AB24" s="61" t="s">
        <v>58</v>
      </c>
      <c r="AC24" s="51"/>
      <c r="AD24" s="68">
        <f t="shared" ref="AD24" si="18">W24/AC17</f>
        <v>2.4296434910129443E-3</v>
      </c>
    </row>
    <row r="25" spans="1:30" s="31" customFormat="1" ht="16" x14ac:dyDescent="0.2">
      <c r="A25" s="59"/>
      <c r="B25" s="87" t="s">
        <v>61</v>
      </c>
      <c r="C25" s="87" t="s">
        <v>74</v>
      </c>
      <c r="D25" s="87" t="s">
        <v>80</v>
      </c>
      <c r="E25" s="87" t="s">
        <v>23</v>
      </c>
      <c r="F25" s="87" t="s">
        <v>54</v>
      </c>
      <c r="G25" s="87" t="s">
        <v>67</v>
      </c>
      <c r="H25" s="87"/>
      <c r="I25" s="87" t="s">
        <v>81</v>
      </c>
      <c r="J25" s="87"/>
      <c r="K25" s="87" t="s">
        <v>82</v>
      </c>
      <c r="L25" s="88">
        <v>2020</v>
      </c>
      <c r="M25" s="87" t="s">
        <v>67</v>
      </c>
      <c r="N25" s="87" t="s">
        <v>31</v>
      </c>
      <c r="O25" s="87" t="s">
        <v>52</v>
      </c>
      <c r="P25" s="87" t="s">
        <v>27</v>
      </c>
      <c r="Q25" s="64">
        <v>26865.300000000003</v>
      </c>
      <c r="R25" s="64">
        <v>25586</v>
      </c>
      <c r="S25" s="64">
        <v>24306.699999999997</v>
      </c>
      <c r="T25" s="89">
        <v>0</v>
      </c>
      <c r="U25" s="62" t="s">
        <v>44</v>
      </c>
      <c r="V25" s="63" t="s">
        <v>56</v>
      </c>
      <c r="W25" s="60">
        <v>0</v>
      </c>
      <c r="X25" s="60">
        <f t="shared" ref="X25:X30" si="19">W25/Q25</f>
        <v>0</v>
      </c>
      <c r="Y25" s="60">
        <f t="shared" ref="Y25:Y30" si="20">W25/R25</f>
        <v>0</v>
      </c>
      <c r="Z25" s="60">
        <f t="shared" ref="Z25:Z30" si="21">W25/S25</f>
        <v>0</v>
      </c>
      <c r="AA25" s="60"/>
      <c r="AB25" s="61" t="s">
        <v>58</v>
      </c>
      <c r="AC25" s="51"/>
      <c r="AD25" s="68">
        <f t="shared" ref="AD25" si="22">W25/AC17</f>
        <v>0</v>
      </c>
    </row>
    <row r="26" spans="1:30" s="31" customFormat="1" ht="16" x14ac:dyDescent="0.2">
      <c r="A26" s="59"/>
      <c r="B26" s="87" t="s">
        <v>61</v>
      </c>
      <c r="C26" s="87" t="s">
        <v>74</v>
      </c>
      <c r="D26" s="87" t="s">
        <v>80</v>
      </c>
      <c r="E26" s="87" t="s">
        <v>23</v>
      </c>
      <c r="F26" s="87" t="s">
        <v>54</v>
      </c>
      <c r="G26" s="87" t="s">
        <v>67</v>
      </c>
      <c r="H26" s="87"/>
      <c r="I26" s="87" t="s">
        <v>81</v>
      </c>
      <c r="J26" s="87"/>
      <c r="K26" s="87" t="s">
        <v>82</v>
      </c>
      <c r="L26" s="88">
        <v>2020</v>
      </c>
      <c r="M26" s="87" t="s">
        <v>67</v>
      </c>
      <c r="N26" s="87" t="s">
        <v>31</v>
      </c>
      <c r="O26" s="87" t="s">
        <v>52</v>
      </c>
      <c r="P26" s="87" t="s">
        <v>27</v>
      </c>
      <c r="Q26" s="64">
        <v>26865.300000000003</v>
      </c>
      <c r="R26" s="64">
        <v>25586</v>
      </c>
      <c r="S26" s="64">
        <v>24306.699999999997</v>
      </c>
      <c r="T26" s="89">
        <v>0</v>
      </c>
      <c r="U26" s="62" t="s">
        <v>45</v>
      </c>
      <c r="V26" s="63" t="s">
        <v>56</v>
      </c>
      <c r="W26" s="60">
        <v>17089544.700000003</v>
      </c>
      <c r="X26" s="60">
        <f t="shared" si="19"/>
        <v>636.11963015488391</v>
      </c>
      <c r="Y26" s="60">
        <f t="shared" si="20"/>
        <v>667.92561166262817</v>
      </c>
      <c r="Z26" s="60">
        <f t="shared" si="21"/>
        <v>703.07959122381919</v>
      </c>
      <c r="AA26" s="60"/>
      <c r="AB26" s="61" t="s">
        <v>58</v>
      </c>
      <c r="AC26" s="51"/>
      <c r="AD26" s="68">
        <f t="shared" ref="AD26" si="23">W26/AC17</f>
        <v>0.13120074851469904</v>
      </c>
    </row>
    <row r="27" spans="1:30" s="31" customFormat="1" ht="16" x14ac:dyDescent="0.2">
      <c r="A27" s="59"/>
      <c r="B27" s="87" t="s">
        <v>61</v>
      </c>
      <c r="C27" s="87" t="s">
        <v>74</v>
      </c>
      <c r="D27" s="87" t="s">
        <v>80</v>
      </c>
      <c r="E27" s="87" t="s">
        <v>23</v>
      </c>
      <c r="F27" s="87" t="s">
        <v>54</v>
      </c>
      <c r="G27" s="87" t="s">
        <v>67</v>
      </c>
      <c r="H27" s="87"/>
      <c r="I27" s="87" t="s">
        <v>81</v>
      </c>
      <c r="J27" s="87"/>
      <c r="K27" s="87" t="s">
        <v>82</v>
      </c>
      <c r="L27" s="88">
        <v>2020</v>
      </c>
      <c r="M27" s="87" t="s">
        <v>67</v>
      </c>
      <c r="N27" s="87" t="s">
        <v>31</v>
      </c>
      <c r="O27" s="87" t="s">
        <v>52</v>
      </c>
      <c r="P27" s="87" t="s">
        <v>27</v>
      </c>
      <c r="Q27" s="64">
        <v>26865.300000000003</v>
      </c>
      <c r="R27" s="64">
        <v>25586</v>
      </c>
      <c r="S27" s="64">
        <v>24306.699999999997</v>
      </c>
      <c r="T27" s="89">
        <v>0</v>
      </c>
      <c r="U27" s="62" t="s">
        <v>46</v>
      </c>
      <c r="V27" s="63" t="s">
        <v>56</v>
      </c>
      <c r="W27" s="60">
        <v>14241287.25</v>
      </c>
      <c r="X27" s="60">
        <f t="shared" si="19"/>
        <v>530.09969179573648</v>
      </c>
      <c r="Y27" s="60">
        <f t="shared" si="20"/>
        <v>556.60467638552336</v>
      </c>
      <c r="Z27" s="60">
        <f t="shared" si="21"/>
        <v>585.89965935318253</v>
      </c>
      <c r="AA27" s="60"/>
      <c r="AB27" s="61" t="s">
        <v>58</v>
      </c>
      <c r="AC27" s="51"/>
      <c r="AD27" s="68">
        <f t="shared" ref="AD27" si="24">W27/AC17</f>
        <v>0.10933395709558251</v>
      </c>
    </row>
    <row r="28" spans="1:30" s="31" customFormat="1" ht="16" x14ac:dyDescent="0.2">
      <c r="A28" s="59"/>
      <c r="B28" s="87" t="s">
        <v>61</v>
      </c>
      <c r="C28" s="87" t="s">
        <v>74</v>
      </c>
      <c r="D28" s="87" t="s">
        <v>80</v>
      </c>
      <c r="E28" s="87" t="s">
        <v>23</v>
      </c>
      <c r="F28" s="87" t="s">
        <v>54</v>
      </c>
      <c r="G28" s="87" t="s">
        <v>67</v>
      </c>
      <c r="H28" s="87"/>
      <c r="I28" s="87" t="s">
        <v>81</v>
      </c>
      <c r="J28" s="87"/>
      <c r="K28" s="87" t="s">
        <v>82</v>
      </c>
      <c r="L28" s="88">
        <v>2020</v>
      </c>
      <c r="M28" s="87" t="s">
        <v>67</v>
      </c>
      <c r="N28" s="87" t="s">
        <v>31</v>
      </c>
      <c r="O28" s="87" t="s">
        <v>52</v>
      </c>
      <c r="P28" s="87" t="s">
        <v>27</v>
      </c>
      <c r="Q28" s="64">
        <v>26865.300000000003</v>
      </c>
      <c r="R28" s="64">
        <v>25586</v>
      </c>
      <c r="S28" s="64">
        <v>24306.699999999997</v>
      </c>
      <c r="T28" s="89">
        <v>0</v>
      </c>
      <c r="U28" s="62" t="s">
        <v>47</v>
      </c>
      <c r="V28" s="63" t="s">
        <v>56</v>
      </c>
      <c r="W28" s="60">
        <v>0</v>
      </c>
      <c r="X28" s="60">
        <f t="shared" si="19"/>
        <v>0</v>
      </c>
      <c r="Y28" s="60">
        <f t="shared" si="20"/>
        <v>0</v>
      </c>
      <c r="Z28" s="60">
        <f t="shared" si="21"/>
        <v>0</v>
      </c>
      <c r="AA28" s="60"/>
      <c r="AB28" s="61" t="s">
        <v>58</v>
      </c>
      <c r="AC28" s="51"/>
      <c r="AD28" s="68">
        <f t="shared" ref="AD28" si="25">W28/AC17</f>
        <v>0</v>
      </c>
    </row>
    <row r="29" spans="1:30" s="31" customFormat="1" ht="16" x14ac:dyDescent="0.2">
      <c r="A29" s="59"/>
      <c r="B29" s="87" t="s">
        <v>61</v>
      </c>
      <c r="C29" s="87" t="s">
        <v>74</v>
      </c>
      <c r="D29" s="87" t="s">
        <v>80</v>
      </c>
      <c r="E29" s="87" t="s">
        <v>23</v>
      </c>
      <c r="F29" s="87" t="s">
        <v>54</v>
      </c>
      <c r="G29" s="87" t="s">
        <v>67</v>
      </c>
      <c r="H29" s="87"/>
      <c r="I29" s="87" t="s">
        <v>81</v>
      </c>
      <c r="J29" s="87"/>
      <c r="K29" s="87" t="s">
        <v>82</v>
      </c>
      <c r="L29" s="88">
        <v>2020</v>
      </c>
      <c r="M29" s="87" t="s">
        <v>67</v>
      </c>
      <c r="N29" s="87" t="s">
        <v>31</v>
      </c>
      <c r="O29" s="87" t="s">
        <v>52</v>
      </c>
      <c r="P29" s="87" t="s">
        <v>27</v>
      </c>
      <c r="Q29" s="64">
        <v>26865.300000000003</v>
      </c>
      <c r="R29" s="64">
        <v>25586</v>
      </c>
      <c r="S29" s="64">
        <v>24306.699999999997</v>
      </c>
      <c r="T29" s="89">
        <v>0</v>
      </c>
      <c r="U29" s="62" t="s">
        <v>48</v>
      </c>
      <c r="V29" s="63" t="s">
        <v>56</v>
      </c>
      <c r="W29" s="60">
        <v>20538614</v>
      </c>
      <c r="X29" s="60">
        <f t="shared" si="19"/>
        <v>764.50343007522702</v>
      </c>
      <c r="Y29" s="60">
        <f t="shared" si="20"/>
        <v>802.72860157898856</v>
      </c>
      <c r="Z29" s="60">
        <f t="shared" si="21"/>
        <v>844.97747534630378</v>
      </c>
      <c r="AA29" s="60"/>
      <c r="AB29" s="61" t="s">
        <v>58</v>
      </c>
      <c r="AC29" s="51"/>
      <c r="AD29" s="68">
        <f t="shared" ref="AD29" si="26">W29/AC17</f>
        <v>0.15768012416705732</v>
      </c>
    </row>
    <row r="30" spans="1:30" s="31" customFormat="1" ht="16" x14ac:dyDescent="0.2">
      <c r="A30" s="59"/>
      <c r="B30" s="87" t="s">
        <v>61</v>
      </c>
      <c r="C30" s="87" t="s">
        <v>74</v>
      </c>
      <c r="D30" s="87" t="s">
        <v>80</v>
      </c>
      <c r="E30" s="87" t="s">
        <v>23</v>
      </c>
      <c r="F30" s="87" t="s">
        <v>54</v>
      </c>
      <c r="G30" s="87" t="s">
        <v>67</v>
      </c>
      <c r="H30" s="87"/>
      <c r="I30" s="87" t="s">
        <v>81</v>
      </c>
      <c r="J30" s="87"/>
      <c r="K30" s="87" t="s">
        <v>82</v>
      </c>
      <c r="L30" s="88">
        <v>2020</v>
      </c>
      <c r="M30" s="87" t="s">
        <v>67</v>
      </c>
      <c r="N30" s="87" t="s">
        <v>31</v>
      </c>
      <c r="O30" s="87" t="s">
        <v>52</v>
      </c>
      <c r="P30" s="87" t="s">
        <v>27</v>
      </c>
      <c r="Q30" s="64">
        <v>26865.300000000003</v>
      </c>
      <c r="R30" s="64">
        <v>25586</v>
      </c>
      <c r="S30" s="64">
        <v>24306.699999999997</v>
      </c>
      <c r="T30" s="89">
        <v>0</v>
      </c>
      <c r="U30" s="62" t="s">
        <v>49</v>
      </c>
      <c r="V30" s="63" t="s">
        <v>56</v>
      </c>
      <c r="W30" s="60">
        <v>11960000</v>
      </c>
      <c r="X30" s="60">
        <f t="shared" si="19"/>
        <v>445.18393615556124</v>
      </c>
      <c r="Y30" s="60">
        <f t="shared" si="20"/>
        <v>467.44313296333934</v>
      </c>
      <c r="Z30" s="60">
        <f t="shared" si="21"/>
        <v>492.04540311930464</v>
      </c>
      <c r="AA30" s="60"/>
      <c r="AB30" s="61" t="s">
        <v>58</v>
      </c>
      <c r="AC30" s="51"/>
      <c r="AD30" s="68">
        <f t="shared" ref="AD30" si="27">W30/AC17</f>
        <v>9.1819939020130831E-2</v>
      </c>
    </row>
    <row r="31" spans="1:30" s="51" customFormat="1" ht="15" customHeight="1" x14ac:dyDescent="0.2">
      <c r="A31" s="83"/>
      <c r="B31" s="84" t="s">
        <v>61</v>
      </c>
      <c r="C31" s="84" t="s">
        <v>75</v>
      </c>
      <c r="D31" s="84" t="s">
        <v>92</v>
      </c>
      <c r="E31" s="84" t="s">
        <v>23</v>
      </c>
      <c r="F31" s="84" t="s">
        <v>54</v>
      </c>
      <c r="G31" s="84" t="s">
        <v>67</v>
      </c>
      <c r="H31" s="84"/>
      <c r="I31" s="84" t="s">
        <v>87</v>
      </c>
      <c r="J31" s="84"/>
      <c r="K31" s="84" t="s">
        <v>83</v>
      </c>
      <c r="L31" s="85">
        <v>2022</v>
      </c>
      <c r="M31" s="84" t="s">
        <v>67</v>
      </c>
      <c r="N31" s="84" t="s">
        <v>31</v>
      </c>
      <c r="O31" s="84" t="s">
        <v>52</v>
      </c>
      <c r="P31" s="84" t="s">
        <v>27</v>
      </c>
      <c r="Q31" s="65">
        <v>5163.9000000000005</v>
      </c>
      <c r="R31" s="65">
        <v>4918</v>
      </c>
      <c r="S31" s="65">
        <v>4672.0999999999995</v>
      </c>
      <c r="T31" s="66">
        <v>0</v>
      </c>
      <c r="U31" s="56" t="s">
        <v>79</v>
      </c>
      <c r="V31" s="57" t="s">
        <v>56</v>
      </c>
      <c r="W31" s="55">
        <v>166618</v>
      </c>
      <c r="X31" s="55">
        <f>W31/Q31</f>
        <v>32.265923042661548</v>
      </c>
      <c r="Y31" s="55">
        <f>W31/R31</f>
        <v>33.879219194794629</v>
      </c>
      <c r="Z31" s="55">
        <f t="shared" ref="Z31:Z35" si="28">W31/S31</f>
        <v>35.662335994520667</v>
      </c>
      <c r="AA31" s="55"/>
      <c r="AB31" s="58" t="s">
        <v>58</v>
      </c>
      <c r="AC31" s="67">
        <f t="shared" ref="AC31" si="29">SUM(W31:W44)</f>
        <v>22603454</v>
      </c>
      <c r="AD31" s="68">
        <f t="shared" ref="AD31" si="30">W31/AC31</f>
        <v>7.3713512987882293E-3</v>
      </c>
    </row>
    <row r="32" spans="1:30" s="51" customFormat="1" ht="16" x14ac:dyDescent="0.2">
      <c r="A32" s="83"/>
      <c r="B32" s="84" t="s">
        <v>61</v>
      </c>
      <c r="C32" s="84" t="s">
        <v>75</v>
      </c>
      <c r="D32" s="84" t="s">
        <v>92</v>
      </c>
      <c r="E32" s="84" t="s">
        <v>23</v>
      </c>
      <c r="F32" s="84" t="s">
        <v>54</v>
      </c>
      <c r="G32" s="84" t="s">
        <v>67</v>
      </c>
      <c r="H32" s="84"/>
      <c r="I32" s="84" t="s">
        <v>87</v>
      </c>
      <c r="J32" s="84"/>
      <c r="K32" s="84" t="s">
        <v>83</v>
      </c>
      <c r="L32" s="85">
        <v>2022</v>
      </c>
      <c r="M32" s="84" t="s">
        <v>67</v>
      </c>
      <c r="N32" s="84" t="s">
        <v>31</v>
      </c>
      <c r="O32" s="84" t="s">
        <v>52</v>
      </c>
      <c r="P32" s="84" t="s">
        <v>27</v>
      </c>
      <c r="Q32" s="65">
        <v>5163.9000000000005</v>
      </c>
      <c r="R32" s="65">
        <v>4918</v>
      </c>
      <c r="S32" s="65">
        <v>4672.0999999999995</v>
      </c>
      <c r="T32" s="66">
        <v>0</v>
      </c>
      <c r="U32" s="56" t="s">
        <v>37</v>
      </c>
      <c r="V32" s="57" t="s">
        <v>56</v>
      </c>
      <c r="W32" s="55">
        <v>5280</v>
      </c>
      <c r="X32" s="55">
        <f t="shared" ref="X32:X35" si="31">W32/Q32</f>
        <v>1.0224830070295705</v>
      </c>
      <c r="Y32" s="55">
        <f t="shared" ref="Y32:Y35" si="32">W32/R32</f>
        <v>1.0736071573810493</v>
      </c>
      <c r="Z32" s="55">
        <f t="shared" si="28"/>
        <v>1.1301127972432099</v>
      </c>
      <c r="AA32" s="55"/>
      <c r="AB32" s="58" t="s">
        <v>58</v>
      </c>
      <c r="AD32" s="68">
        <f t="shared" ref="AD32" si="33">W32/AC31</f>
        <v>2.3359261819012262E-4</v>
      </c>
    </row>
    <row r="33" spans="1:30" s="51" customFormat="1" ht="16" x14ac:dyDescent="0.2">
      <c r="A33" s="83"/>
      <c r="B33" s="84" t="s">
        <v>61</v>
      </c>
      <c r="C33" s="84" t="s">
        <v>75</v>
      </c>
      <c r="D33" s="84" t="s">
        <v>92</v>
      </c>
      <c r="E33" s="84" t="s">
        <v>23</v>
      </c>
      <c r="F33" s="84" t="s">
        <v>54</v>
      </c>
      <c r="G33" s="84" t="s">
        <v>67</v>
      </c>
      <c r="H33" s="84"/>
      <c r="I33" s="84" t="s">
        <v>87</v>
      </c>
      <c r="J33" s="84"/>
      <c r="K33" s="84" t="s">
        <v>83</v>
      </c>
      <c r="L33" s="85">
        <v>2022</v>
      </c>
      <c r="M33" s="84" t="s">
        <v>67</v>
      </c>
      <c r="N33" s="84" t="s">
        <v>31</v>
      </c>
      <c r="O33" s="84" t="s">
        <v>52</v>
      </c>
      <c r="P33" s="84" t="s">
        <v>27</v>
      </c>
      <c r="Q33" s="65">
        <v>5163.9000000000005</v>
      </c>
      <c r="R33" s="65">
        <v>4918</v>
      </c>
      <c r="S33" s="65">
        <v>4672.0999999999995</v>
      </c>
      <c r="T33" s="66">
        <v>0</v>
      </c>
      <c r="U33" s="56" t="s">
        <v>38</v>
      </c>
      <c r="V33" s="57" t="s">
        <v>56</v>
      </c>
      <c r="W33" s="55">
        <v>2048663</v>
      </c>
      <c r="X33" s="55">
        <f t="shared" si="31"/>
        <v>396.72786072542067</v>
      </c>
      <c r="Y33" s="55">
        <f t="shared" si="32"/>
        <v>416.56425376169176</v>
      </c>
      <c r="Z33" s="55">
        <f t="shared" si="28"/>
        <v>438.4886881702019</v>
      </c>
      <c r="AA33" s="55"/>
      <c r="AB33" s="58" t="s">
        <v>58</v>
      </c>
      <c r="AD33" s="68">
        <f t="shared" ref="AD33" si="34">W33/AC31</f>
        <v>9.0634953401369539E-2</v>
      </c>
    </row>
    <row r="34" spans="1:30" s="51" customFormat="1" ht="16" x14ac:dyDescent="0.2">
      <c r="A34" s="83"/>
      <c r="B34" s="84" t="s">
        <v>61</v>
      </c>
      <c r="C34" s="84" t="s">
        <v>75</v>
      </c>
      <c r="D34" s="84" t="s">
        <v>92</v>
      </c>
      <c r="E34" s="84" t="s">
        <v>23</v>
      </c>
      <c r="F34" s="84" t="s">
        <v>54</v>
      </c>
      <c r="G34" s="84" t="s">
        <v>67</v>
      </c>
      <c r="H34" s="84"/>
      <c r="I34" s="84" t="s">
        <v>87</v>
      </c>
      <c r="J34" s="84"/>
      <c r="K34" s="84" t="s">
        <v>83</v>
      </c>
      <c r="L34" s="85">
        <v>2022</v>
      </c>
      <c r="M34" s="84" t="s">
        <v>67</v>
      </c>
      <c r="N34" s="84" t="s">
        <v>31</v>
      </c>
      <c r="O34" s="84" t="s">
        <v>52</v>
      </c>
      <c r="P34" s="84" t="s">
        <v>27</v>
      </c>
      <c r="Q34" s="65">
        <v>5163.9000000000005</v>
      </c>
      <c r="R34" s="65">
        <v>4918</v>
      </c>
      <c r="S34" s="65">
        <v>4672.0999999999995</v>
      </c>
      <c r="T34" s="66">
        <v>0</v>
      </c>
      <c r="U34" s="56" t="s">
        <v>39</v>
      </c>
      <c r="V34" s="57" t="s">
        <v>56</v>
      </c>
      <c r="W34" s="55">
        <v>1638930.4000000001</v>
      </c>
      <c r="X34" s="55">
        <f t="shared" si="31"/>
        <v>317.38228858033654</v>
      </c>
      <c r="Y34" s="55">
        <f t="shared" si="32"/>
        <v>333.2514030093534</v>
      </c>
      <c r="Z34" s="55">
        <f t="shared" si="28"/>
        <v>350.79095053616152</v>
      </c>
      <c r="AA34" s="55"/>
      <c r="AB34" s="58" t="s">
        <v>58</v>
      </c>
      <c r="AD34" s="68">
        <f t="shared" ref="AD34" si="35">W34/AC31</f>
        <v>7.2507962721095637E-2</v>
      </c>
    </row>
    <row r="35" spans="1:30" s="51" customFormat="1" ht="16" x14ac:dyDescent="0.2">
      <c r="A35" s="83"/>
      <c r="B35" s="84" t="s">
        <v>61</v>
      </c>
      <c r="C35" s="84" t="s">
        <v>75</v>
      </c>
      <c r="D35" s="84" t="s">
        <v>92</v>
      </c>
      <c r="E35" s="84" t="s">
        <v>23</v>
      </c>
      <c r="F35" s="84" t="s">
        <v>54</v>
      </c>
      <c r="G35" s="84" t="s">
        <v>67</v>
      </c>
      <c r="H35" s="84"/>
      <c r="I35" s="84" t="s">
        <v>87</v>
      </c>
      <c r="J35" s="84"/>
      <c r="K35" s="84" t="s">
        <v>83</v>
      </c>
      <c r="L35" s="85">
        <v>2022</v>
      </c>
      <c r="M35" s="84" t="s">
        <v>67</v>
      </c>
      <c r="N35" s="84" t="s">
        <v>31</v>
      </c>
      <c r="O35" s="84" t="s">
        <v>52</v>
      </c>
      <c r="P35" s="84" t="s">
        <v>27</v>
      </c>
      <c r="Q35" s="65">
        <v>5163.9000000000005</v>
      </c>
      <c r="R35" s="65">
        <v>4918</v>
      </c>
      <c r="S35" s="65">
        <v>4672.0999999999995</v>
      </c>
      <c r="T35" s="66">
        <v>0</v>
      </c>
      <c r="U35" s="56" t="s">
        <v>40</v>
      </c>
      <c r="V35" s="57" t="s">
        <v>56</v>
      </c>
      <c r="W35" s="55">
        <v>409732.60000000003</v>
      </c>
      <c r="X35" s="55">
        <f t="shared" si="31"/>
        <v>79.345572145084134</v>
      </c>
      <c r="Y35" s="55">
        <f t="shared" si="32"/>
        <v>83.312850752338349</v>
      </c>
      <c r="Z35" s="55">
        <f t="shared" si="28"/>
        <v>87.697737634040379</v>
      </c>
      <c r="AA35" s="55"/>
      <c r="AB35" s="58" t="s">
        <v>58</v>
      </c>
      <c r="AD35" s="68">
        <f t="shared" ref="AD35" si="36">W35/AC31</f>
        <v>1.8126990680273909E-2</v>
      </c>
    </row>
    <row r="36" spans="1:30" s="51" customFormat="1" ht="16" x14ac:dyDescent="0.2">
      <c r="A36" s="83"/>
      <c r="B36" s="84" t="s">
        <v>61</v>
      </c>
      <c r="C36" s="84" t="s">
        <v>75</v>
      </c>
      <c r="D36" s="84" t="s">
        <v>92</v>
      </c>
      <c r="E36" s="84" t="s">
        <v>23</v>
      </c>
      <c r="F36" s="84" t="s">
        <v>54</v>
      </c>
      <c r="G36" s="84" t="s">
        <v>67</v>
      </c>
      <c r="H36" s="84"/>
      <c r="I36" s="84" t="s">
        <v>87</v>
      </c>
      <c r="J36" s="84"/>
      <c r="K36" s="84" t="s">
        <v>83</v>
      </c>
      <c r="L36" s="85">
        <v>2022</v>
      </c>
      <c r="M36" s="84" t="s">
        <v>67</v>
      </c>
      <c r="N36" s="84" t="s">
        <v>31</v>
      </c>
      <c r="O36" s="84" t="s">
        <v>52</v>
      </c>
      <c r="P36" s="84" t="s">
        <v>27</v>
      </c>
      <c r="Q36" s="65">
        <v>5163.9000000000005</v>
      </c>
      <c r="R36" s="65">
        <v>4918</v>
      </c>
      <c r="S36" s="65">
        <v>4672.0999999999995</v>
      </c>
      <c r="T36" s="66">
        <v>0</v>
      </c>
      <c r="U36" s="56" t="s">
        <v>41</v>
      </c>
      <c r="V36" s="57" t="s">
        <v>56</v>
      </c>
      <c r="W36" s="55">
        <v>2820606</v>
      </c>
      <c r="X36" s="55">
        <f>W36/Q36</f>
        <v>546.21623191773654</v>
      </c>
      <c r="Y36" s="55">
        <f>W36/R36</f>
        <v>573.52704351362343</v>
      </c>
      <c r="Z36" s="55">
        <f>W36/S36</f>
        <v>603.71267738276163</v>
      </c>
      <c r="AA36" s="55"/>
      <c r="AB36" s="58" t="s">
        <v>58</v>
      </c>
      <c r="AD36" s="68">
        <f t="shared" ref="AD36" si="37">W36/AC31</f>
        <v>0.12478650386794868</v>
      </c>
    </row>
    <row r="37" spans="1:30" s="51" customFormat="1" ht="16" x14ac:dyDescent="0.2">
      <c r="A37" s="83"/>
      <c r="B37" s="84" t="s">
        <v>61</v>
      </c>
      <c r="C37" s="84" t="s">
        <v>75</v>
      </c>
      <c r="D37" s="84" t="s">
        <v>92</v>
      </c>
      <c r="E37" s="84" t="s">
        <v>23</v>
      </c>
      <c r="F37" s="84" t="s">
        <v>54</v>
      </c>
      <c r="G37" s="84" t="s">
        <v>67</v>
      </c>
      <c r="H37" s="84"/>
      <c r="I37" s="84" t="s">
        <v>87</v>
      </c>
      <c r="J37" s="84"/>
      <c r="K37" s="84" t="s">
        <v>83</v>
      </c>
      <c r="L37" s="85">
        <v>2022</v>
      </c>
      <c r="M37" s="84" t="s">
        <v>67</v>
      </c>
      <c r="N37" s="84" t="s">
        <v>31</v>
      </c>
      <c r="O37" s="84" t="s">
        <v>52</v>
      </c>
      <c r="P37" s="84" t="s">
        <v>27</v>
      </c>
      <c r="Q37" s="65">
        <v>5163.9000000000005</v>
      </c>
      <c r="R37" s="65">
        <v>4918</v>
      </c>
      <c r="S37" s="65">
        <v>4672.0999999999995</v>
      </c>
      <c r="T37" s="66">
        <v>0</v>
      </c>
      <c r="U37" s="56" t="s">
        <v>42</v>
      </c>
      <c r="V37" s="57" t="s">
        <v>56</v>
      </c>
      <c r="W37" s="55">
        <v>78579</v>
      </c>
      <c r="X37" s="55">
        <f>W37/Q37</f>
        <v>15.216987160866784</v>
      </c>
      <c r="Y37" s="55">
        <f>W37/R37</f>
        <v>15.977836518910125</v>
      </c>
      <c r="Z37" s="55">
        <f>W37/S37</f>
        <v>16.818775283063292</v>
      </c>
      <c r="AA37" s="55"/>
      <c r="AB37" s="58" t="s">
        <v>58</v>
      </c>
      <c r="AD37" s="68">
        <f t="shared" ref="AD37" si="38">W37/AC31</f>
        <v>3.4764155955987965E-3</v>
      </c>
    </row>
    <row r="38" spans="1:30" s="51" customFormat="1" ht="16" x14ac:dyDescent="0.2">
      <c r="A38" s="83"/>
      <c r="B38" s="84" t="s">
        <v>61</v>
      </c>
      <c r="C38" s="84" t="s">
        <v>75</v>
      </c>
      <c r="D38" s="84" t="s">
        <v>92</v>
      </c>
      <c r="E38" s="84" t="s">
        <v>23</v>
      </c>
      <c r="F38" s="84" t="s">
        <v>54</v>
      </c>
      <c r="G38" s="84" t="s">
        <v>67</v>
      </c>
      <c r="H38" s="84"/>
      <c r="I38" s="84" t="s">
        <v>87</v>
      </c>
      <c r="J38" s="84"/>
      <c r="K38" s="84" t="s">
        <v>83</v>
      </c>
      <c r="L38" s="85">
        <v>2022</v>
      </c>
      <c r="M38" s="84" t="s">
        <v>67</v>
      </c>
      <c r="N38" s="84" t="s">
        <v>31</v>
      </c>
      <c r="O38" s="84" t="s">
        <v>52</v>
      </c>
      <c r="P38" s="84" t="s">
        <v>27</v>
      </c>
      <c r="Q38" s="65">
        <v>5163.9000000000005</v>
      </c>
      <c r="R38" s="65">
        <v>4918</v>
      </c>
      <c r="S38" s="65">
        <v>4672.0999999999995</v>
      </c>
      <c r="T38" s="66">
        <v>0</v>
      </c>
      <c r="U38" s="56" t="s">
        <v>43</v>
      </c>
      <c r="V38" s="57" t="s">
        <v>56</v>
      </c>
      <c r="W38" s="55">
        <v>74295.81</v>
      </c>
      <c r="X38" s="55">
        <f>W38/Q38</f>
        <v>14.387538488351826</v>
      </c>
      <c r="Y38" s="55">
        <f>W38/R38</f>
        <v>15.106915412769418</v>
      </c>
      <c r="Z38" s="55">
        <f>W38/S38</f>
        <v>15.902016223967811</v>
      </c>
      <c r="AA38" s="55"/>
      <c r="AB38" s="58" t="s">
        <v>58</v>
      </c>
      <c r="AD38" s="68">
        <f t="shared" ref="AD38" si="39">W38/AC31</f>
        <v>3.2869228747075558E-3</v>
      </c>
    </row>
    <row r="39" spans="1:30" s="51" customFormat="1" ht="16" x14ac:dyDescent="0.2">
      <c r="A39" s="83"/>
      <c r="B39" s="84" t="s">
        <v>61</v>
      </c>
      <c r="C39" s="84" t="s">
        <v>75</v>
      </c>
      <c r="D39" s="84" t="s">
        <v>92</v>
      </c>
      <c r="E39" s="84" t="s">
        <v>23</v>
      </c>
      <c r="F39" s="84" t="s">
        <v>54</v>
      </c>
      <c r="G39" s="84" t="s">
        <v>67</v>
      </c>
      <c r="H39" s="84"/>
      <c r="I39" s="84" t="s">
        <v>87</v>
      </c>
      <c r="J39" s="84"/>
      <c r="K39" s="84" t="s">
        <v>83</v>
      </c>
      <c r="L39" s="85">
        <v>2022</v>
      </c>
      <c r="M39" s="84" t="s">
        <v>67</v>
      </c>
      <c r="N39" s="84" t="s">
        <v>31</v>
      </c>
      <c r="O39" s="84" t="s">
        <v>52</v>
      </c>
      <c r="P39" s="84" t="s">
        <v>27</v>
      </c>
      <c r="Q39" s="65">
        <v>5163.9000000000005</v>
      </c>
      <c r="R39" s="65">
        <v>4918</v>
      </c>
      <c r="S39" s="65">
        <v>4672.0999999999995</v>
      </c>
      <c r="T39" s="66">
        <v>0</v>
      </c>
      <c r="U39" s="56" t="s">
        <v>44</v>
      </c>
      <c r="V39" s="57" t="s">
        <v>56</v>
      </c>
      <c r="W39" s="55">
        <v>0</v>
      </c>
      <c r="X39" s="55">
        <f t="shared" ref="X39:X44" si="40">W39/Q39</f>
        <v>0</v>
      </c>
      <c r="Y39" s="55">
        <f t="shared" ref="Y39:Y44" si="41">W39/R39</f>
        <v>0</v>
      </c>
      <c r="Z39" s="55">
        <f t="shared" ref="Z39:Z44" si="42">W39/S39</f>
        <v>0</v>
      </c>
      <c r="AA39" s="55"/>
      <c r="AB39" s="58" t="s">
        <v>58</v>
      </c>
      <c r="AD39" s="68">
        <f t="shared" ref="AD39" si="43">W39/AC31</f>
        <v>0</v>
      </c>
    </row>
    <row r="40" spans="1:30" s="51" customFormat="1" ht="16" x14ac:dyDescent="0.2">
      <c r="A40" s="83"/>
      <c r="B40" s="84" t="s">
        <v>61</v>
      </c>
      <c r="C40" s="84" t="s">
        <v>75</v>
      </c>
      <c r="D40" s="84" t="s">
        <v>92</v>
      </c>
      <c r="E40" s="84" t="s">
        <v>23</v>
      </c>
      <c r="F40" s="84" t="s">
        <v>54</v>
      </c>
      <c r="G40" s="84" t="s">
        <v>67</v>
      </c>
      <c r="H40" s="84"/>
      <c r="I40" s="84" t="s">
        <v>87</v>
      </c>
      <c r="J40" s="84"/>
      <c r="K40" s="84" t="s">
        <v>83</v>
      </c>
      <c r="L40" s="85">
        <v>2022</v>
      </c>
      <c r="M40" s="84" t="s">
        <v>67</v>
      </c>
      <c r="N40" s="84" t="s">
        <v>31</v>
      </c>
      <c r="O40" s="84" t="s">
        <v>52</v>
      </c>
      <c r="P40" s="84" t="s">
        <v>27</v>
      </c>
      <c r="Q40" s="65">
        <v>5163.9000000000005</v>
      </c>
      <c r="R40" s="65">
        <v>4918</v>
      </c>
      <c r="S40" s="65">
        <v>4672.0999999999995</v>
      </c>
      <c r="T40" s="66">
        <v>0</v>
      </c>
      <c r="U40" s="56" t="s">
        <v>45</v>
      </c>
      <c r="V40" s="57" t="s">
        <v>56</v>
      </c>
      <c r="W40" s="55">
        <v>4011973.74</v>
      </c>
      <c r="X40" s="55">
        <f t="shared" si="40"/>
        <v>776.92707837099863</v>
      </c>
      <c r="Y40" s="55">
        <f t="shared" si="41"/>
        <v>815.77343228954862</v>
      </c>
      <c r="Z40" s="55">
        <f t="shared" si="42"/>
        <v>858.70887609426188</v>
      </c>
      <c r="AA40" s="55"/>
      <c r="AB40" s="58" t="s">
        <v>58</v>
      </c>
      <c r="AD40" s="68">
        <f t="shared" ref="AD40" si="44">W40/AC31</f>
        <v>0.17749383523420803</v>
      </c>
    </row>
    <row r="41" spans="1:30" s="51" customFormat="1" ht="16" x14ac:dyDescent="0.2">
      <c r="A41" s="83"/>
      <c r="B41" s="84" t="s">
        <v>61</v>
      </c>
      <c r="C41" s="84" t="s">
        <v>75</v>
      </c>
      <c r="D41" s="84" t="s">
        <v>92</v>
      </c>
      <c r="E41" s="84" t="s">
        <v>23</v>
      </c>
      <c r="F41" s="84" t="s">
        <v>54</v>
      </c>
      <c r="G41" s="84" t="s">
        <v>67</v>
      </c>
      <c r="H41" s="84"/>
      <c r="I41" s="84" t="s">
        <v>87</v>
      </c>
      <c r="J41" s="84"/>
      <c r="K41" s="84" t="s">
        <v>83</v>
      </c>
      <c r="L41" s="85">
        <v>2022</v>
      </c>
      <c r="M41" s="84" t="s">
        <v>67</v>
      </c>
      <c r="N41" s="84" t="s">
        <v>31</v>
      </c>
      <c r="O41" s="84" t="s">
        <v>52</v>
      </c>
      <c r="P41" s="84" t="s">
        <v>27</v>
      </c>
      <c r="Q41" s="65">
        <v>5163.9000000000005</v>
      </c>
      <c r="R41" s="65">
        <v>4918</v>
      </c>
      <c r="S41" s="65">
        <v>4672.0999999999995</v>
      </c>
      <c r="T41" s="66">
        <v>0</v>
      </c>
      <c r="U41" s="56" t="s">
        <v>46</v>
      </c>
      <c r="V41" s="57" t="s">
        <v>56</v>
      </c>
      <c r="W41" s="55">
        <v>3343311.45</v>
      </c>
      <c r="X41" s="55">
        <f t="shared" si="40"/>
        <v>647.43923197583217</v>
      </c>
      <c r="Y41" s="55">
        <f t="shared" si="41"/>
        <v>679.81119357462387</v>
      </c>
      <c r="Z41" s="55">
        <f t="shared" si="42"/>
        <v>715.59073007855147</v>
      </c>
      <c r="AA41" s="55"/>
      <c r="AB41" s="58" t="s">
        <v>58</v>
      </c>
      <c r="AD41" s="68">
        <f t="shared" ref="AD41" si="45">W41/AC31</f>
        <v>0.14791152936184002</v>
      </c>
    </row>
    <row r="42" spans="1:30" s="51" customFormat="1" ht="16" x14ac:dyDescent="0.2">
      <c r="A42" s="83"/>
      <c r="B42" s="84" t="s">
        <v>61</v>
      </c>
      <c r="C42" s="84" t="s">
        <v>75</v>
      </c>
      <c r="D42" s="84" t="s">
        <v>92</v>
      </c>
      <c r="E42" s="84" t="s">
        <v>23</v>
      </c>
      <c r="F42" s="84" t="s">
        <v>54</v>
      </c>
      <c r="G42" s="84" t="s">
        <v>67</v>
      </c>
      <c r="H42" s="84"/>
      <c r="I42" s="84" t="s">
        <v>87</v>
      </c>
      <c r="J42" s="84"/>
      <c r="K42" s="84" t="s">
        <v>83</v>
      </c>
      <c r="L42" s="85">
        <v>2022</v>
      </c>
      <c r="M42" s="84" t="s">
        <v>67</v>
      </c>
      <c r="N42" s="84" t="s">
        <v>31</v>
      </c>
      <c r="O42" s="84" t="s">
        <v>52</v>
      </c>
      <c r="P42" s="84" t="s">
        <v>27</v>
      </c>
      <c r="Q42" s="65">
        <v>5163.9000000000005</v>
      </c>
      <c r="R42" s="65">
        <v>4918</v>
      </c>
      <c r="S42" s="65">
        <v>4672.0999999999995</v>
      </c>
      <c r="T42" s="66">
        <v>0</v>
      </c>
      <c r="U42" s="56" t="s">
        <v>47</v>
      </c>
      <c r="V42" s="57" t="s">
        <v>56</v>
      </c>
      <c r="W42" s="55">
        <v>0</v>
      </c>
      <c r="X42" s="55">
        <f t="shared" si="40"/>
        <v>0</v>
      </c>
      <c r="Y42" s="55">
        <f t="shared" si="41"/>
        <v>0</v>
      </c>
      <c r="Z42" s="55">
        <f t="shared" si="42"/>
        <v>0</v>
      </c>
      <c r="AA42" s="55"/>
      <c r="AB42" s="58" t="s">
        <v>58</v>
      </c>
      <c r="AD42" s="68">
        <f t="shared" ref="AD42" si="46">W42/AC31</f>
        <v>0</v>
      </c>
    </row>
    <row r="43" spans="1:30" s="51" customFormat="1" ht="16" x14ac:dyDescent="0.2">
      <c r="A43" s="83"/>
      <c r="B43" s="84" t="s">
        <v>61</v>
      </c>
      <c r="C43" s="84" t="s">
        <v>75</v>
      </c>
      <c r="D43" s="84" t="s">
        <v>92</v>
      </c>
      <c r="E43" s="84" t="s">
        <v>23</v>
      </c>
      <c r="F43" s="84" t="s">
        <v>54</v>
      </c>
      <c r="G43" s="84" t="s">
        <v>67</v>
      </c>
      <c r="H43" s="84"/>
      <c r="I43" s="84" t="s">
        <v>87</v>
      </c>
      <c r="J43" s="84"/>
      <c r="K43" s="84" t="s">
        <v>83</v>
      </c>
      <c r="L43" s="85">
        <v>2022</v>
      </c>
      <c r="M43" s="84" t="s">
        <v>67</v>
      </c>
      <c r="N43" s="84" t="s">
        <v>31</v>
      </c>
      <c r="O43" s="84" t="s">
        <v>52</v>
      </c>
      <c r="P43" s="84" t="s">
        <v>27</v>
      </c>
      <c r="Q43" s="65">
        <v>5163.9000000000005</v>
      </c>
      <c r="R43" s="65">
        <v>4918</v>
      </c>
      <c r="S43" s="65">
        <v>4672.0999999999995</v>
      </c>
      <c r="T43" s="66">
        <v>0</v>
      </c>
      <c r="U43" s="56" t="s">
        <v>48</v>
      </c>
      <c r="V43" s="57" t="s">
        <v>56</v>
      </c>
      <c r="W43" s="55">
        <v>6331464</v>
      </c>
      <c r="X43" s="55">
        <f t="shared" si="40"/>
        <v>1226.1012025794457</v>
      </c>
      <c r="Y43" s="55">
        <f t="shared" si="41"/>
        <v>1287.4062627084181</v>
      </c>
      <c r="Z43" s="55">
        <f t="shared" si="42"/>
        <v>1355.1644870614928</v>
      </c>
      <c r="AA43" s="55"/>
      <c r="AB43" s="58" t="s">
        <v>58</v>
      </c>
      <c r="AD43" s="68">
        <f t="shared" ref="AD43" si="47">W43/AC31</f>
        <v>0.28011046453342925</v>
      </c>
    </row>
    <row r="44" spans="1:30" s="51" customFormat="1" ht="16" x14ac:dyDescent="0.2">
      <c r="A44" s="83"/>
      <c r="B44" s="84" t="s">
        <v>61</v>
      </c>
      <c r="C44" s="84" t="s">
        <v>75</v>
      </c>
      <c r="D44" s="84" t="s">
        <v>92</v>
      </c>
      <c r="E44" s="84" t="s">
        <v>23</v>
      </c>
      <c r="F44" s="84" t="s">
        <v>54</v>
      </c>
      <c r="G44" s="84" t="s">
        <v>67</v>
      </c>
      <c r="H44" s="84"/>
      <c r="I44" s="84" t="s">
        <v>87</v>
      </c>
      <c r="J44" s="84"/>
      <c r="K44" s="84" t="s">
        <v>83</v>
      </c>
      <c r="L44" s="85">
        <v>2022</v>
      </c>
      <c r="M44" s="84" t="s">
        <v>67</v>
      </c>
      <c r="N44" s="84" t="s">
        <v>31</v>
      </c>
      <c r="O44" s="84" t="s">
        <v>52</v>
      </c>
      <c r="P44" s="84" t="s">
        <v>27</v>
      </c>
      <c r="Q44" s="65">
        <v>5163.9000000000005</v>
      </c>
      <c r="R44" s="65">
        <v>4918</v>
      </c>
      <c r="S44" s="65">
        <v>4672.0999999999995</v>
      </c>
      <c r="T44" s="66">
        <v>0</v>
      </c>
      <c r="U44" s="56" t="s">
        <v>49</v>
      </c>
      <c r="V44" s="57" t="s">
        <v>56</v>
      </c>
      <c r="W44" s="55">
        <v>1674000</v>
      </c>
      <c r="X44" s="55">
        <f t="shared" si="40"/>
        <v>324.1735897286934</v>
      </c>
      <c r="Y44" s="55">
        <f t="shared" si="41"/>
        <v>340.38226921512808</v>
      </c>
      <c r="Z44" s="55">
        <f t="shared" si="42"/>
        <v>358.29712548960856</v>
      </c>
      <c r="AA44" s="55"/>
      <c r="AB44" s="58" t="s">
        <v>58</v>
      </c>
      <c r="AD44" s="68">
        <f t="shared" ref="AD44" si="48">W44/AC31</f>
        <v>7.4059477812550248E-2</v>
      </c>
    </row>
    <row r="45" spans="1:30" s="31" customFormat="1" ht="15" customHeight="1" x14ac:dyDescent="0.2">
      <c r="A45" s="86"/>
      <c r="B45" s="87" t="s">
        <v>61</v>
      </c>
      <c r="C45" s="87" t="s">
        <v>75</v>
      </c>
      <c r="D45" s="87" t="s">
        <v>92</v>
      </c>
      <c r="E45" s="87" t="s">
        <v>23</v>
      </c>
      <c r="F45" s="87" t="s">
        <v>54</v>
      </c>
      <c r="G45" s="87" t="s">
        <v>67</v>
      </c>
      <c r="H45" s="87"/>
      <c r="I45" s="87" t="s">
        <v>88</v>
      </c>
      <c r="J45" s="87"/>
      <c r="K45" s="87" t="s">
        <v>84</v>
      </c>
      <c r="L45" s="88">
        <v>2022</v>
      </c>
      <c r="M45" s="87" t="s">
        <v>67</v>
      </c>
      <c r="N45" s="87" t="s">
        <v>31</v>
      </c>
      <c r="O45" s="87" t="s">
        <v>52</v>
      </c>
      <c r="P45" s="87" t="s">
        <v>27</v>
      </c>
      <c r="Q45" s="64">
        <v>21178.5</v>
      </c>
      <c r="R45" s="64">
        <v>20170</v>
      </c>
      <c r="S45" s="64">
        <v>19161.5</v>
      </c>
      <c r="T45" s="89">
        <v>0</v>
      </c>
      <c r="U45" s="62" t="s">
        <v>79</v>
      </c>
      <c r="V45" s="63" t="s">
        <v>56</v>
      </c>
      <c r="W45" s="60">
        <v>1318906</v>
      </c>
      <c r="X45" s="60">
        <f>W45/Q45</f>
        <v>62.275704133909386</v>
      </c>
      <c r="Y45" s="60">
        <f>W45/R45</f>
        <v>65.389489340604854</v>
      </c>
      <c r="Z45" s="60">
        <f t="shared" ref="Z45:Z49" si="49">W45/S45</f>
        <v>68.831041411163014</v>
      </c>
      <c r="AA45" s="60"/>
      <c r="AB45" s="61" t="s">
        <v>58</v>
      </c>
      <c r="AC45" s="67">
        <f t="shared" ref="AC45" si="50">SUM(W45:W58)</f>
        <v>87831641</v>
      </c>
      <c r="AD45" s="68">
        <f t="shared" ref="AD45" si="51">W45/AC45</f>
        <v>1.5016296917417267E-2</v>
      </c>
    </row>
    <row r="46" spans="1:30" s="31" customFormat="1" ht="16" x14ac:dyDescent="0.2">
      <c r="A46" s="86"/>
      <c r="B46" s="87" t="s">
        <v>61</v>
      </c>
      <c r="C46" s="87" t="s">
        <v>75</v>
      </c>
      <c r="D46" s="87" t="s">
        <v>92</v>
      </c>
      <c r="E46" s="87" t="s">
        <v>23</v>
      </c>
      <c r="F46" s="87" t="s">
        <v>54</v>
      </c>
      <c r="G46" s="87" t="s">
        <v>67</v>
      </c>
      <c r="H46" s="87"/>
      <c r="I46" s="87" t="s">
        <v>88</v>
      </c>
      <c r="J46" s="87"/>
      <c r="K46" s="87" t="s">
        <v>84</v>
      </c>
      <c r="L46" s="88">
        <v>2022</v>
      </c>
      <c r="M46" s="87" t="s">
        <v>67</v>
      </c>
      <c r="N46" s="87" t="s">
        <v>31</v>
      </c>
      <c r="O46" s="87" t="s">
        <v>52</v>
      </c>
      <c r="P46" s="87" t="s">
        <v>27</v>
      </c>
      <c r="Q46" s="64">
        <v>21178.5</v>
      </c>
      <c r="R46" s="64">
        <v>20170</v>
      </c>
      <c r="S46" s="64">
        <v>19161.5</v>
      </c>
      <c r="T46" s="89">
        <v>0</v>
      </c>
      <c r="U46" s="62" t="s">
        <v>37</v>
      </c>
      <c r="V46" s="63" t="s">
        <v>56</v>
      </c>
      <c r="W46" s="60">
        <v>12500000</v>
      </c>
      <c r="X46" s="60">
        <f t="shared" ref="X46:X49" si="52">W46/Q46</f>
        <v>590.22121491134874</v>
      </c>
      <c r="Y46" s="60">
        <f t="shared" ref="Y46:Y49" si="53">W46/R46</f>
        <v>619.73227565691616</v>
      </c>
      <c r="Z46" s="60">
        <f t="shared" si="49"/>
        <v>652.34976384938545</v>
      </c>
      <c r="AA46" s="60"/>
      <c r="AB46" s="61" t="s">
        <v>58</v>
      </c>
      <c r="AC46" s="51"/>
      <c r="AD46" s="68">
        <f t="shared" ref="AD46" si="54">W46/AC45</f>
        <v>0.1423177326266738</v>
      </c>
    </row>
    <row r="47" spans="1:30" s="31" customFormat="1" ht="16" x14ac:dyDescent="0.2">
      <c r="A47" s="86"/>
      <c r="B47" s="87" t="s">
        <v>61</v>
      </c>
      <c r="C47" s="87" t="s">
        <v>75</v>
      </c>
      <c r="D47" s="87" t="s">
        <v>92</v>
      </c>
      <c r="E47" s="87" t="s">
        <v>23</v>
      </c>
      <c r="F47" s="87" t="s">
        <v>54</v>
      </c>
      <c r="G47" s="87" t="s">
        <v>67</v>
      </c>
      <c r="H47" s="87"/>
      <c r="I47" s="87" t="s">
        <v>88</v>
      </c>
      <c r="J47" s="87"/>
      <c r="K47" s="87" t="s">
        <v>84</v>
      </c>
      <c r="L47" s="88">
        <v>2022</v>
      </c>
      <c r="M47" s="87" t="s">
        <v>67</v>
      </c>
      <c r="N47" s="87" t="s">
        <v>31</v>
      </c>
      <c r="O47" s="87" t="s">
        <v>52</v>
      </c>
      <c r="P47" s="87" t="s">
        <v>27</v>
      </c>
      <c r="Q47" s="64">
        <v>21178.5</v>
      </c>
      <c r="R47" s="64">
        <v>20170</v>
      </c>
      <c r="S47" s="64">
        <v>19161.5</v>
      </c>
      <c r="T47" s="89">
        <v>0</v>
      </c>
      <c r="U47" s="62" t="s">
        <v>38</v>
      </c>
      <c r="V47" s="63" t="s">
        <v>56</v>
      </c>
      <c r="W47" s="60">
        <v>14240271</v>
      </c>
      <c r="X47" s="60">
        <f t="shared" si="52"/>
        <v>672.39280402294776</v>
      </c>
      <c r="Y47" s="60">
        <f t="shared" si="53"/>
        <v>706.01244422409525</v>
      </c>
      <c r="Z47" s="60">
        <f t="shared" si="49"/>
        <v>743.17099392010016</v>
      </c>
      <c r="AA47" s="60"/>
      <c r="AB47" s="61" t="s">
        <v>58</v>
      </c>
      <c r="AC47" s="51"/>
      <c r="AD47" s="68">
        <f t="shared" ref="AD47" si="55">W47/AC45</f>
        <v>0.16213144645675015</v>
      </c>
    </row>
    <row r="48" spans="1:30" s="31" customFormat="1" ht="16" x14ac:dyDescent="0.2">
      <c r="A48" s="86"/>
      <c r="B48" s="87" t="s">
        <v>61</v>
      </c>
      <c r="C48" s="87" t="s">
        <v>75</v>
      </c>
      <c r="D48" s="87" t="s">
        <v>92</v>
      </c>
      <c r="E48" s="87" t="s">
        <v>23</v>
      </c>
      <c r="F48" s="87" t="s">
        <v>54</v>
      </c>
      <c r="G48" s="87" t="s">
        <v>67</v>
      </c>
      <c r="H48" s="87"/>
      <c r="I48" s="87" t="s">
        <v>88</v>
      </c>
      <c r="J48" s="87"/>
      <c r="K48" s="87" t="s">
        <v>84</v>
      </c>
      <c r="L48" s="88">
        <v>2022</v>
      </c>
      <c r="M48" s="87" t="s">
        <v>67</v>
      </c>
      <c r="N48" s="87" t="s">
        <v>31</v>
      </c>
      <c r="O48" s="87" t="s">
        <v>52</v>
      </c>
      <c r="P48" s="87" t="s">
        <v>27</v>
      </c>
      <c r="Q48" s="64">
        <v>21178.5</v>
      </c>
      <c r="R48" s="64">
        <v>20170</v>
      </c>
      <c r="S48" s="64">
        <v>19161.5</v>
      </c>
      <c r="T48" s="89">
        <v>0</v>
      </c>
      <c r="U48" s="62" t="s">
        <v>39</v>
      </c>
      <c r="V48" s="63" t="s">
        <v>56</v>
      </c>
      <c r="W48" s="60">
        <v>11392216.800000001</v>
      </c>
      <c r="X48" s="60">
        <f t="shared" si="52"/>
        <v>537.91424321835825</v>
      </c>
      <c r="Y48" s="60">
        <f t="shared" si="53"/>
        <v>564.80995537927618</v>
      </c>
      <c r="Z48" s="60">
        <f t="shared" si="49"/>
        <v>594.53679513608017</v>
      </c>
      <c r="AA48" s="60"/>
      <c r="AB48" s="61" t="s">
        <v>58</v>
      </c>
      <c r="AC48" s="51"/>
      <c r="AD48" s="68">
        <f t="shared" ref="AD48" si="56">W48/AC45</f>
        <v>0.12970515716540013</v>
      </c>
    </row>
    <row r="49" spans="1:30" s="31" customFormat="1" ht="16" x14ac:dyDescent="0.2">
      <c r="A49" s="86"/>
      <c r="B49" s="87" t="s">
        <v>61</v>
      </c>
      <c r="C49" s="87" t="s">
        <v>75</v>
      </c>
      <c r="D49" s="87" t="s">
        <v>92</v>
      </c>
      <c r="E49" s="87" t="s">
        <v>23</v>
      </c>
      <c r="F49" s="87" t="s">
        <v>54</v>
      </c>
      <c r="G49" s="87" t="s">
        <v>67</v>
      </c>
      <c r="H49" s="87"/>
      <c r="I49" s="87" t="s">
        <v>88</v>
      </c>
      <c r="J49" s="87"/>
      <c r="K49" s="87" t="s">
        <v>84</v>
      </c>
      <c r="L49" s="88">
        <v>2022</v>
      </c>
      <c r="M49" s="87" t="s">
        <v>67</v>
      </c>
      <c r="N49" s="87" t="s">
        <v>31</v>
      </c>
      <c r="O49" s="87" t="s">
        <v>52</v>
      </c>
      <c r="P49" s="87" t="s">
        <v>27</v>
      </c>
      <c r="Q49" s="64">
        <v>21178.5</v>
      </c>
      <c r="R49" s="64">
        <v>20170</v>
      </c>
      <c r="S49" s="64">
        <v>19161.5</v>
      </c>
      <c r="T49" s="89">
        <v>0</v>
      </c>
      <c r="U49" s="62" t="s">
        <v>40</v>
      </c>
      <c r="V49" s="63" t="s">
        <v>56</v>
      </c>
      <c r="W49" s="60">
        <v>2848054.2</v>
      </c>
      <c r="X49" s="60">
        <f t="shared" si="52"/>
        <v>134.47856080458956</v>
      </c>
      <c r="Y49" s="60">
        <f t="shared" si="53"/>
        <v>141.20248884481904</v>
      </c>
      <c r="Z49" s="60">
        <f t="shared" si="49"/>
        <v>148.63419878402004</v>
      </c>
      <c r="AA49" s="60"/>
      <c r="AB49" s="61" t="s">
        <v>58</v>
      </c>
      <c r="AC49" s="51"/>
      <c r="AD49" s="68">
        <f t="shared" ref="AD49" si="57">W49/AC45</f>
        <v>3.2426289291350031E-2</v>
      </c>
    </row>
    <row r="50" spans="1:30" s="31" customFormat="1" ht="16" x14ac:dyDescent="0.2">
      <c r="A50" s="86"/>
      <c r="B50" s="87" t="s">
        <v>61</v>
      </c>
      <c r="C50" s="87" t="s">
        <v>75</v>
      </c>
      <c r="D50" s="87" t="s">
        <v>92</v>
      </c>
      <c r="E50" s="87" t="s">
        <v>23</v>
      </c>
      <c r="F50" s="87" t="s">
        <v>54</v>
      </c>
      <c r="G50" s="87" t="s">
        <v>67</v>
      </c>
      <c r="H50" s="87"/>
      <c r="I50" s="87" t="s">
        <v>88</v>
      </c>
      <c r="J50" s="87"/>
      <c r="K50" s="87" t="s">
        <v>84</v>
      </c>
      <c r="L50" s="88">
        <v>2022</v>
      </c>
      <c r="M50" s="87" t="s">
        <v>67</v>
      </c>
      <c r="N50" s="87" t="s">
        <v>31</v>
      </c>
      <c r="O50" s="87" t="s">
        <v>52</v>
      </c>
      <c r="P50" s="87" t="s">
        <v>27</v>
      </c>
      <c r="Q50" s="64">
        <v>21178.5</v>
      </c>
      <c r="R50" s="64">
        <v>20170</v>
      </c>
      <c r="S50" s="64">
        <v>19161.5</v>
      </c>
      <c r="T50" s="89">
        <v>0</v>
      </c>
      <c r="U50" s="62" t="s">
        <v>41</v>
      </c>
      <c r="V50" s="63" t="s">
        <v>56</v>
      </c>
      <c r="W50" s="60">
        <v>3249895</v>
      </c>
      <c r="X50" s="60">
        <f>W50/Q50</f>
        <v>153.45255801874544</v>
      </c>
      <c r="Y50" s="60">
        <f>W50/R50</f>
        <v>161.12518591968271</v>
      </c>
      <c r="Z50" s="60">
        <f>W50/S50</f>
        <v>169.60545886282389</v>
      </c>
      <c r="AA50" s="60"/>
      <c r="AB50" s="61" t="s">
        <v>58</v>
      </c>
      <c r="AC50" s="51"/>
      <c r="AD50" s="68">
        <f t="shared" ref="AD50" si="58">W50/AC45</f>
        <v>3.7001415013981125E-2</v>
      </c>
    </row>
    <row r="51" spans="1:30" s="31" customFormat="1" ht="16" x14ac:dyDescent="0.2">
      <c r="A51" s="86"/>
      <c r="B51" s="87" t="s">
        <v>61</v>
      </c>
      <c r="C51" s="87" t="s">
        <v>75</v>
      </c>
      <c r="D51" s="87" t="s">
        <v>92</v>
      </c>
      <c r="E51" s="87" t="s">
        <v>23</v>
      </c>
      <c r="F51" s="87" t="s">
        <v>54</v>
      </c>
      <c r="G51" s="87" t="s">
        <v>67</v>
      </c>
      <c r="H51" s="87"/>
      <c r="I51" s="87" t="s">
        <v>88</v>
      </c>
      <c r="J51" s="87"/>
      <c r="K51" s="87" t="s">
        <v>84</v>
      </c>
      <c r="L51" s="88">
        <v>2022</v>
      </c>
      <c r="M51" s="87" t="s">
        <v>67</v>
      </c>
      <c r="N51" s="87" t="s">
        <v>31</v>
      </c>
      <c r="O51" s="87" t="s">
        <v>52</v>
      </c>
      <c r="P51" s="87" t="s">
        <v>27</v>
      </c>
      <c r="Q51" s="64">
        <v>21178.5</v>
      </c>
      <c r="R51" s="64">
        <v>20170</v>
      </c>
      <c r="S51" s="64">
        <v>19161.5</v>
      </c>
      <c r="T51" s="89">
        <v>0</v>
      </c>
      <c r="U51" s="62" t="s">
        <v>42</v>
      </c>
      <c r="V51" s="63" t="s">
        <v>56</v>
      </c>
      <c r="W51" s="60">
        <v>614402</v>
      </c>
      <c r="X51" s="60">
        <f>W51/Q51</f>
        <v>29.010647590716999</v>
      </c>
      <c r="Y51" s="60">
        <f>W51/R51</f>
        <v>30.46117997025285</v>
      </c>
      <c r="Z51" s="60">
        <f>W51/S51</f>
        <v>32.064399968687212</v>
      </c>
      <c r="AA51" s="60"/>
      <c r="AB51" s="61" t="s">
        <v>58</v>
      </c>
      <c r="AC51" s="51"/>
      <c r="AD51" s="68">
        <f t="shared" ref="AD51" si="59">W51/AC45</f>
        <v>6.9952239649034905E-3</v>
      </c>
    </row>
    <row r="52" spans="1:30" s="31" customFormat="1" ht="16" x14ac:dyDescent="0.2">
      <c r="A52" s="86"/>
      <c r="B52" s="87" t="s">
        <v>61</v>
      </c>
      <c r="C52" s="87" t="s">
        <v>75</v>
      </c>
      <c r="D52" s="87" t="s">
        <v>92</v>
      </c>
      <c r="E52" s="87" t="s">
        <v>23</v>
      </c>
      <c r="F52" s="87" t="s">
        <v>54</v>
      </c>
      <c r="G52" s="87" t="s">
        <v>67</v>
      </c>
      <c r="H52" s="87"/>
      <c r="I52" s="87" t="s">
        <v>88</v>
      </c>
      <c r="J52" s="87"/>
      <c r="K52" s="87" t="s">
        <v>84</v>
      </c>
      <c r="L52" s="88">
        <v>2022</v>
      </c>
      <c r="M52" s="87" t="s">
        <v>67</v>
      </c>
      <c r="N52" s="87" t="s">
        <v>31</v>
      </c>
      <c r="O52" s="87" t="s">
        <v>52</v>
      </c>
      <c r="P52" s="87" t="s">
        <v>27</v>
      </c>
      <c r="Q52" s="64">
        <v>21178.5</v>
      </c>
      <c r="R52" s="64">
        <v>20170</v>
      </c>
      <c r="S52" s="64">
        <v>19161.5</v>
      </c>
      <c r="T52" s="89">
        <v>0</v>
      </c>
      <c r="U52" s="62" t="s">
        <v>43</v>
      </c>
      <c r="V52" s="63" t="s">
        <v>56</v>
      </c>
      <c r="W52" s="60">
        <v>265238.82</v>
      </c>
      <c r="X52" s="60">
        <f>W52/Q52</f>
        <v>12.523966286564205</v>
      </c>
      <c r="Y52" s="60">
        <f>W52/R52</f>
        <v>13.150164600892415</v>
      </c>
      <c r="Z52" s="60">
        <f>W52/S52</f>
        <v>13.842278527255173</v>
      </c>
      <c r="AA52" s="60"/>
      <c r="AB52" s="61" t="s">
        <v>58</v>
      </c>
      <c r="AC52" s="51"/>
      <c r="AD52" s="68">
        <f t="shared" ref="AD52" si="60">W52/AC45</f>
        <v>3.0198549973579568E-3</v>
      </c>
    </row>
    <row r="53" spans="1:30" s="31" customFormat="1" ht="16" x14ac:dyDescent="0.2">
      <c r="A53" s="86"/>
      <c r="B53" s="87" t="s">
        <v>61</v>
      </c>
      <c r="C53" s="87" t="s">
        <v>75</v>
      </c>
      <c r="D53" s="87" t="s">
        <v>92</v>
      </c>
      <c r="E53" s="87" t="s">
        <v>23</v>
      </c>
      <c r="F53" s="87" t="s">
        <v>54</v>
      </c>
      <c r="G53" s="87" t="s">
        <v>67</v>
      </c>
      <c r="H53" s="87"/>
      <c r="I53" s="87" t="s">
        <v>88</v>
      </c>
      <c r="J53" s="87"/>
      <c r="K53" s="87" t="s">
        <v>84</v>
      </c>
      <c r="L53" s="88">
        <v>2022</v>
      </c>
      <c r="M53" s="87" t="s">
        <v>67</v>
      </c>
      <c r="N53" s="87" t="s">
        <v>31</v>
      </c>
      <c r="O53" s="87" t="s">
        <v>52</v>
      </c>
      <c r="P53" s="87" t="s">
        <v>27</v>
      </c>
      <c r="Q53" s="64">
        <v>21178.5</v>
      </c>
      <c r="R53" s="64">
        <v>20170</v>
      </c>
      <c r="S53" s="64">
        <v>19161.5</v>
      </c>
      <c r="T53" s="89">
        <v>0</v>
      </c>
      <c r="U53" s="62" t="s">
        <v>44</v>
      </c>
      <c r="V53" s="63" t="s">
        <v>56</v>
      </c>
      <c r="W53" s="60">
        <v>0</v>
      </c>
      <c r="X53" s="60">
        <f t="shared" ref="X53:X58" si="61">W53/Q53</f>
        <v>0</v>
      </c>
      <c r="Y53" s="60">
        <f t="shared" ref="Y53:Y58" si="62">W53/R53</f>
        <v>0</v>
      </c>
      <c r="Z53" s="60">
        <f t="shared" ref="Z53:Z58" si="63">W53/S53</f>
        <v>0</v>
      </c>
      <c r="AA53" s="60"/>
      <c r="AB53" s="61" t="s">
        <v>58</v>
      </c>
      <c r="AC53" s="51"/>
      <c r="AD53" s="68">
        <f t="shared" ref="AD53" si="64">W53/AC45</f>
        <v>0</v>
      </c>
    </row>
    <row r="54" spans="1:30" s="31" customFormat="1" ht="16" x14ac:dyDescent="0.2">
      <c r="A54" s="86"/>
      <c r="B54" s="87" t="s">
        <v>61</v>
      </c>
      <c r="C54" s="87" t="s">
        <v>75</v>
      </c>
      <c r="D54" s="87" t="s">
        <v>92</v>
      </c>
      <c r="E54" s="87" t="s">
        <v>23</v>
      </c>
      <c r="F54" s="87" t="s">
        <v>54</v>
      </c>
      <c r="G54" s="87" t="s">
        <v>67</v>
      </c>
      <c r="H54" s="87"/>
      <c r="I54" s="87" t="s">
        <v>88</v>
      </c>
      <c r="J54" s="87"/>
      <c r="K54" s="87" t="s">
        <v>84</v>
      </c>
      <c r="L54" s="88">
        <v>2022</v>
      </c>
      <c r="M54" s="87" t="s">
        <v>67</v>
      </c>
      <c r="N54" s="87" t="s">
        <v>31</v>
      </c>
      <c r="O54" s="87" t="s">
        <v>52</v>
      </c>
      <c r="P54" s="87" t="s">
        <v>27</v>
      </c>
      <c r="Q54" s="64">
        <v>21178.5</v>
      </c>
      <c r="R54" s="64">
        <v>20170</v>
      </c>
      <c r="S54" s="64">
        <v>19161.5</v>
      </c>
      <c r="T54" s="89">
        <v>0</v>
      </c>
      <c r="U54" s="62" t="s">
        <v>45</v>
      </c>
      <c r="V54" s="63" t="s">
        <v>56</v>
      </c>
      <c r="W54" s="60">
        <v>14322896.280000001</v>
      </c>
      <c r="X54" s="60">
        <f t="shared" si="61"/>
        <v>676.29417947446711</v>
      </c>
      <c r="Y54" s="60">
        <f t="shared" si="62"/>
        <v>710.10888844819044</v>
      </c>
      <c r="Z54" s="60">
        <f t="shared" si="63"/>
        <v>747.48304047177942</v>
      </c>
      <c r="AA54" s="60"/>
      <c r="AB54" s="61" t="s">
        <v>58</v>
      </c>
      <c r="AC54" s="51"/>
      <c r="AD54" s="68">
        <f t="shared" ref="AD54" si="65">W54/AC45</f>
        <v>0.16307216985732967</v>
      </c>
    </row>
    <row r="55" spans="1:30" s="31" customFormat="1" ht="16" x14ac:dyDescent="0.2">
      <c r="A55" s="86"/>
      <c r="B55" s="87" t="s">
        <v>61</v>
      </c>
      <c r="C55" s="87" t="s">
        <v>75</v>
      </c>
      <c r="D55" s="87" t="s">
        <v>92</v>
      </c>
      <c r="E55" s="87" t="s">
        <v>23</v>
      </c>
      <c r="F55" s="87" t="s">
        <v>54</v>
      </c>
      <c r="G55" s="87" t="s">
        <v>67</v>
      </c>
      <c r="H55" s="87"/>
      <c r="I55" s="87" t="s">
        <v>88</v>
      </c>
      <c r="J55" s="87"/>
      <c r="K55" s="87" t="s">
        <v>84</v>
      </c>
      <c r="L55" s="88">
        <v>2022</v>
      </c>
      <c r="M55" s="87" t="s">
        <v>67</v>
      </c>
      <c r="N55" s="87" t="s">
        <v>31</v>
      </c>
      <c r="O55" s="87" t="s">
        <v>52</v>
      </c>
      <c r="P55" s="87" t="s">
        <v>27</v>
      </c>
      <c r="Q55" s="64">
        <v>21178.5</v>
      </c>
      <c r="R55" s="64">
        <v>20170</v>
      </c>
      <c r="S55" s="64">
        <v>19161.5</v>
      </c>
      <c r="T55" s="89">
        <v>0</v>
      </c>
      <c r="U55" s="62" t="s">
        <v>46</v>
      </c>
      <c r="V55" s="63" t="s">
        <v>56</v>
      </c>
      <c r="W55" s="60">
        <v>11935746.9</v>
      </c>
      <c r="X55" s="60">
        <f t="shared" si="61"/>
        <v>563.57848289538924</v>
      </c>
      <c r="Y55" s="60">
        <f t="shared" si="62"/>
        <v>591.75740704015868</v>
      </c>
      <c r="Z55" s="60">
        <f t="shared" si="63"/>
        <v>622.90253372648283</v>
      </c>
      <c r="AA55" s="60"/>
      <c r="AB55" s="61" t="s">
        <v>58</v>
      </c>
      <c r="AC55" s="51"/>
      <c r="AD55" s="68">
        <f t="shared" ref="AD55" si="66">W55/AC45</f>
        <v>0.13589347488110806</v>
      </c>
    </row>
    <row r="56" spans="1:30" s="31" customFormat="1" ht="16" x14ac:dyDescent="0.2">
      <c r="A56" s="86"/>
      <c r="B56" s="87" t="s">
        <v>61</v>
      </c>
      <c r="C56" s="87" t="s">
        <v>75</v>
      </c>
      <c r="D56" s="87" t="s">
        <v>92</v>
      </c>
      <c r="E56" s="87" t="s">
        <v>23</v>
      </c>
      <c r="F56" s="87" t="s">
        <v>54</v>
      </c>
      <c r="G56" s="87" t="s">
        <v>67</v>
      </c>
      <c r="H56" s="87"/>
      <c r="I56" s="87" t="s">
        <v>88</v>
      </c>
      <c r="J56" s="87"/>
      <c r="K56" s="87" t="s">
        <v>84</v>
      </c>
      <c r="L56" s="88">
        <v>2022</v>
      </c>
      <c r="M56" s="87" t="s">
        <v>67</v>
      </c>
      <c r="N56" s="87" t="s">
        <v>31</v>
      </c>
      <c r="O56" s="87" t="s">
        <v>52</v>
      </c>
      <c r="P56" s="87" t="s">
        <v>27</v>
      </c>
      <c r="Q56" s="64">
        <v>21178.5</v>
      </c>
      <c r="R56" s="64">
        <v>20170</v>
      </c>
      <c r="S56" s="64">
        <v>19161.5</v>
      </c>
      <c r="T56" s="89">
        <v>0</v>
      </c>
      <c r="U56" s="62" t="s">
        <v>47</v>
      </c>
      <c r="V56" s="63" t="s">
        <v>56</v>
      </c>
      <c r="W56" s="60">
        <v>0</v>
      </c>
      <c r="X56" s="60">
        <f t="shared" si="61"/>
        <v>0</v>
      </c>
      <c r="Y56" s="60">
        <f t="shared" si="62"/>
        <v>0</v>
      </c>
      <c r="Z56" s="60">
        <f t="shared" si="63"/>
        <v>0</v>
      </c>
      <c r="AA56" s="60"/>
      <c r="AB56" s="61" t="s">
        <v>58</v>
      </c>
      <c r="AC56" s="51"/>
      <c r="AD56" s="68">
        <f t="shared" ref="AD56" si="67">W56/AC45</f>
        <v>0</v>
      </c>
    </row>
    <row r="57" spans="1:30" s="31" customFormat="1" ht="16" x14ac:dyDescent="0.2">
      <c r="A57" s="86"/>
      <c r="B57" s="87" t="s">
        <v>61</v>
      </c>
      <c r="C57" s="87" t="s">
        <v>75</v>
      </c>
      <c r="D57" s="87" t="s">
        <v>92</v>
      </c>
      <c r="E57" s="87" t="s">
        <v>23</v>
      </c>
      <c r="F57" s="87" t="s">
        <v>54</v>
      </c>
      <c r="G57" s="87" t="s">
        <v>67</v>
      </c>
      <c r="H57" s="87"/>
      <c r="I57" s="87" t="s">
        <v>88</v>
      </c>
      <c r="J57" s="87"/>
      <c r="K57" s="87" t="s">
        <v>84</v>
      </c>
      <c r="L57" s="88">
        <v>2022</v>
      </c>
      <c r="M57" s="87" t="s">
        <v>67</v>
      </c>
      <c r="N57" s="87" t="s">
        <v>31</v>
      </c>
      <c r="O57" s="87" t="s">
        <v>52</v>
      </c>
      <c r="P57" s="87" t="s">
        <v>27</v>
      </c>
      <c r="Q57" s="64">
        <v>21178.5</v>
      </c>
      <c r="R57" s="64">
        <v>20170</v>
      </c>
      <c r="S57" s="64">
        <v>19161.5</v>
      </c>
      <c r="T57" s="89">
        <v>0</v>
      </c>
      <c r="U57" s="62" t="s">
        <v>48</v>
      </c>
      <c r="V57" s="63" t="s">
        <v>56</v>
      </c>
      <c r="W57" s="60">
        <v>8144014</v>
      </c>
      <c r="X57" s="60">
        <f t="shared" si="61"/>
        <v>384.54158698680266</v>
      </c>
      <c r="Y57" s="60">
        <f t="shared" si="62"/>
        <v>403.76866633614281</v>
      </c>
      <c r="Z57" s="60">
        <f t="shared" si="63"/>
        <v>425.01964877488712</v>
      </c>
      <c r="AA57" s="60"/>
      <c r="AB57" s="61" t="s">
        <v>58</v>
      </c>
      <c r="AC57" s="51"/>
      <c r="AD57" s="68">
        <f t="shared" ref="AD57" si="68">W57/AC45</f>
        <v>9.2723008556791053E-2</v>
      </c>
    </row>
    <row r="58" spans="1:30" s="31" customFormat="1" ht="16" x14ac:dyDescent="0.2">
      <c r="A58" s="86"/>
      <c r="B58" s="87" t="s">
        <v>61</v>
      </c>
      <c r="C58" s="87" t="s">
        <v>75</v>
      </c>
      <c r="D58" s="87" t="s">
        <v>92</v>
      </c>
      <c r="E58" s="87" t="s">
        <v>23</v>
      </c>
      <c r="F58" s="87" t="s">
        <v>54</v>
      </c>
      <c r="G58" s="87" t="s">
        <v>67</v>
      </c>
      <c r="H58" s="87"/>
      <c r="I58" s="87" t="s">
        <v>88</v>
      </c>
      <c r="J58" s="87"/>
      <c r="K58" s="87" t="s">
        <v>84</v>
      </c>
      <c r="L58" s="88">
        <v>2022</v>
      </c>
      <c r="M58" s="87" t="s">
        <v>67</v>
      </c>
      <c r="N58" s="87" t="s">
        <v>31</v>
      </c>
      <c r="O58" s="87" t="s">
        <v>52</v>
      </c>
      <c r="P58" s="87" t="s">
        <v>27</v>
      </c>
      <c r="Q58" s="64">
        <v>21178.5</v>
      </c>
      <c r="R58" s="64">
        <v>20170</v>
      </c>
      <c r="S58" s="64">
        <v>19161.5</v>
      </c>
      <c r="T58" s="89">
        <v>0</v>
      </c>
      <c r="U58" s="62" t="s">
        <v>49</v>
      </c>
      <c r="V58" s="63" t="s">
        <v>56</v>
      </c>
      <c r="W58" s="60">
        <v>7000000</v>
      </c>
      <c r="X58" s="60">
        <f t="shared" si="61"/>
        <v>330.52388035035534</v>
      </c>
      <c r="Y58" s="60">
        <f t="shared" si="62"/>
        <v>347.05007436787309</v>
      </c>
      <c r="Z58" s="60">
        <f t="shared" si="63"/>
        <v>365.31586775565586</v>
      </c>
      <c r="AA58" s="60"/>
      <c r="AB58" s="61" t="s">
        <v>58</v>
      </c>
      <c r="AC58" s="51"/>
      <c r="AD58" s="68">
        <f t="shared" ref="AD58" si="69">W58/AC45</f>
        <v>7.9697930270937328E-2</v>
      </c>
    </row>
    <row r="59" spans="1:30" s="51" customFormat="1" ht="15" customHeight="1" x14ac:dyDescent="0.2">
      <c r="A59" s="83"/>
      <c r="B59" s="84" t="s">
        <v>61</v>
      </c>
      <c r="C59" s="84" t="s">
        <v>74</v>
      </c>
      <c r="D59" s="84" t="s">
        <v>80</v>
      </c>
      <c r="E59" s="84" t="s">
        <v>23</v>
      </c>
      <c r="F59" s="84" t="s">
        <v>54</v>
      </c>
      <c r="G59" s="84" t="s">
        <v>89</v>
      </c>
      <c r="H59" s="84"/>
      <c r="I59" s="84" t="s">
        <v>90</v>
      </c>
      <c r="J59" s="84"/>
      <c r="K59" s="84" t="s">
        <v>85</v>
      </c>
      <c r="L59" s="85">
        <v>2024</v>
      </c>
      <c r="M59" s="84" t="s">
        <v>67</v>
      </c>
      <c r="N59" s="84" t="s">
        <v>31</v>
      </c>
      <c r="O59" s="84" t="s">
        <v>52</v>
      </c>
      <c r="P59" s="84" t="s">
        <v>27</v>
      </c>
      <c r="Q59" s="65">
        <v>994.35</v>
      </c>
      <c r="R59" s="65">
        <v>947</v>
      </c>
      <c r="S59" s="65">
        <v>899.65</v>
      </c>
      <c r="T59" s="66">
        <v>0</v>
      </c>
      <c r="U59" s="56" t="s">
        <v>79</v>
      </c>
      <c r="V59" s="57" t="s">
        <v>56</v>
      </c>
      <c r="W59" s="55">
        <v>179930</v>
      </c>
      <c r="X59" s="55">
        <f>W59/Q59</f>
        <v>180.95238095238093</v>
      </c>
      <c r="Y59" s="55">
        <f>W59/R59</f>
        <v>190</v>
      </c>
      <c r="Z59" s="55">
        <f t="shared" ref="Z59:Z63" si="70">W59/S59</f>
        <v>200</v>
      </c>
      <c r="AA59" s="55"/>
      <c r="AB59" s="58" t="s">
        <v>58</v>
      </c>
      <c r="AC59" s="67">
        <f t="shared" ref="AC59" si="71">SUM(W59:W72)</f>
        <v>7150797</v>
      </c>
      <c r="AD59" s="68">
        <f t="shared" ref="AD59" si="72">W59/AC59</f>
        <v>2.5162230168189643E-2</v>
      </c>
    </row>
    <row r="60" spans="1:30" s="51" customFormat="1" ht="16" x14ac:dyDescent="0.2">
      <c r="A60" s="83"/>
      <c r="B60" s="84" t="s">
        <v>61</v>
      </c>
      <c r="C60" s="84" t="s">
        <v>74</v>
      </c>
      <c r="D60" s="84" t="s">
        <v>80</v>
      </c>
      <c r="E60" s="84" t="s">
        <v>23</v>
      </c>
      <c r="F60" s="84" t="s">
        <v>54</v>
      </c>
      <c r="G60" s="84" t="s">
        <v>89</v>
      </c>
      <c r="H60" s="84"/>
      <c r="I60" s="84" t="s">
        <v>90</v>
      </c>
      <c r="J60" s="84"/>
      <c r="K60" s="84" t="s">
        <v>85</v>
      </c>
      <c r="L60" s="85">
        <v>2024</v>
      </c>
      <c r="M60" s="84" t="s">
        <v>67</v>
      </c>
      <c r="N60" s="84" t="s">
        <v>31</v>
      </c>
      <c r="O60" s="84" t="s">
        <v>52</v>
      </c>
      <c r="P60" s="84" t="s">
        <v>27</v>
      </c>
      <c r="Q60" s="65">
        <v>994.35</v>
      </c>
      <c r="R60" s="65">
        <v>947</v>
      </c>
      <c r="S60" s="65">
        <v>899.65</v>
      </c>
      <c r="T60" s="66">
        <v>0</v>
      </c>
      <c r="U60" s="56" t="s">
        <v>37</v>
      </c>
      <c r="V60" s="57" t="s">
        <v>56</v>
      </c>
      <c r="W60" s="55">
        <v>676158</v>
      </c>
      <c r="X60" s="55">
        <f t="shared" ref="X60:X63" si="73">W60/Q60</f>
        <v>680</v>
      </c>
      <c r="Y60" s="55">
        <f t="shared" ref="Y60:Y63" si="74">W60/R60</f>
        <v>714</v>
      </c>
      <c r="Z60" s="55">
        <f t="shared" si="70"/>
        <v>751.57894736842104</v>
      </c>
      <c r="AA60" s="55"/>
      <c r="AB60" s="58" t="s">
        <v>58</v>
      </c>
      <c r="AD60" s="68">
        <f t="shared" ref="AD60" si="75">W60/AC59</f>
        <v>9.4557012316249509E-2</v>
      </c>
    </row>
    <row r="61" spans="1:30" s="51" customFormat="1" ht="16" x14ac:dyDescent="0.2">
      <c r="A61" s="83"/>
      <c r="B61" s="84" t="s">
        <v>61</v>
      </c>
      <c r="C61" s="84" t="s">
        <v>74</v>
      </c>
      <c r="D61" s="84" t="s">
        <v>80</v>
      </c>
      <c r="E61" s="84" t="s">
        <v>23</v>
      </c>
      <c r="F61" s="84" t="s">
        <v>54</v>
      </c>
      <c r="G61" s="84" t="s">
        <v>89</v>
      </c>
      <c r="H61" s="84"/>
      <c r="I61" s="84" t="s">
        <v>90</v>
      </c>
      <c r="J61" s="84"/>
      <c r="K61" s="84" t="s">
        <v>85</v>
      </c>
      <c r="L61" s="85">
        <v>2024</v>
      </c>
      <c r="M61" s="84" t="s">
        <v>67</v>
      </c>
      <c r="N61" s="84" t="s">
        <v>31</v>
      </c>
      <c r="O61" s="84" t="s">
        <v>52</v>
      </c>
      <c r="P61" s="84" t="s">
        <v>27</v>
      </c>
      <c r="Q61" s="65">
        <v>994.35</v>
      </c>
      <c r="R61" s="65">
        <v>947</v>
      </c>
      <c r="S61" s="65">
        <v>899.65</v>
      </c>
      <c r="T61" s="66">
        <v>0</v>
      </c>
      <c r="U61" s="56" t="s">
        <v>38</v>
      </c>
      <c r="V61" s="57" t="s">
        <v>56</v>
      </c>
      <c r="W61" s="55">
        <v>1343319.5</v>
      </c>
      <c r="X61" s="55">
        <f t="shared" si="73"/>
        <v>1350.952380952381</v>
      </c>
      <c r="Y61" s="55">
        <f t="shared" si="74"/>
        <v>1418.5</v>
      </c>
      <c r="Z61" s="55">
        <f t="shared" si="70"/>
        <v>1493.1578947368421</v>
      </c>
      <c r="AA61" s="55"/>
      <c r="AB61" s="58" t="s">
        <v>58</v>
      </c>
      <c r="AD61" s="68">
        <f t="shared" ref="AD61" si="76">W61/AC59</f>
        <v>0.18785591312408953</v>
      </c>
    </row>
    <row r="62" spans="1:30" s="51" customFormat="1" ht="16" x14ac:dyDescent="0.2">
      <c r="A62" s="83"/>
      <c r="B62" s="84" t="s">
        <v>61</v>
      </c>
      <c r="C62" s="84" t="s">
        <v>74</v>
      </c>
      <c r="D62" s="84" t="s">
        <v>80</v>
      </c>
      <c r="E62" s="84" t="s">
        <v>23</v>
      </c>
      <c r="F62" s="84" t="s">
        <v>54</v>
      </c>
      <c r="G62" s="84" t="s">
        <v>89</v>
      </c>
      <c r="H62" s="84"/>
      <c r="I62" s="84" t="s">
        <v>90</v>
      </c>
      <c r="J62" s="84"/>
      <c r="K62" s="84" t="s">
        <v>85</v>
      </c>
      <c r="L62" s="85">
        <v>2024</v>
      </c>
      <c r="M62" s="84" t="s">
        <v>67</v>
      </c>
      <c r="N62" s="84" t="s">
        <v>31</v>
      </c>
      <c r="O62" s="84" t="s">
        <v>52</v>
      </c>
      <c r="P62" s="84" t="s">
        <v>27</v>
      </c>
      <c r="Q62" s="65">
        <v>994.35</v>
      </c>
      <c r="R62" s="65">
        <v>947</v>
      </c>
      <c r="S62" s="65">
        <v>899.65</v>
      </c>
      <c r="T62" s="66">
        <v>0</v>
      </c>
      <c r="U62" s="56" t="s">
        <v>39</v>
      </c>
      <c r="V62" s="57" t="s">
        <v>56</v>
      </c>
      <c r="W62" s="55">
        <v>1074655.6000000001</v>
      </c>
      <c r="X62" s="55">
        <f t="shared" si="73"/>
        <v>1080.7619047619048</v>
      </c>
      <c r="Y62" s="55">
        <f t="shared" si="74"/>
        <v>1134.8000000000002</v>
      </c>
      <c r="Z62" s="55">
        <f t="shared" si="70"/>
        <v>1194.5263157894738</v>
      </c>
      <c r="AA62" s="55"/>
      <c r="AB62" s="58" t="s">
        <v>58</v>
      </c>
      <c r="AD62" s="68">
        <f t="shared" ref="AD62" si="77">W62/AC59</f>
        <v>0.15028473049927163</v>
      </c>
    </row>
    <row r="63" spans="1:30" s="51" customFormat="1" ht="16" x14ac:dyDescent="0.2">
      <c r="A63" s="83"/>
      <c r="B63" s="84" t="s">
        <v>61</v>
      </c>
      <c r="C63" s="84" t="s">
        <v>74</v>
      </c>
      <c r="D63" s="84" t="s">
        <v>80</v>
      </c>
      <c r="E63" s="84" t="s">
        <v>23</v>
      </c>
      <c r="F63" s="84" t="s">
        <v>54</v>
      </c>
      <c r="G63" s="84" t="s">
        <v>89</v>
      </c>
      <c r="H63" s="84"/>
      <c r="I63" s="84" t="s">
        <v>90</v>
      </c>
      <c r="J63" s="84"/>
      <c r="K63" s="84" t="s">
        <v>85</v>
      </c>
      <c r="L63" s="85">
        <v>2024</v>
      </c>
      <c r="M63" s="84" t="s">
        <v>67</v>
      </c>
      <c r="N63" s="84" t="s">
        <v>31</v>
      </c>
      <c r="O63" s="84" t="s">
        <v>52</v>
      </c>
      <c r="P63" s="84" t="s">
        <v>27</v>
      </c>
      <c r="Q63" s="65">
        <v>994.35</v>
      </c>
      <c r="R63" s="65">
        <v>947</v>
      </c>
      <c r="S63" s="65">
        <v>899.65</v>
      </c>
      <c r="T63" s="66">
        <v>0</v>
      </c>
      <c r="U63" s="56" t="s">
        <v>40</v>
      </c>
      <c r="V63" s="57" t="s">
        <v>56</v>
      </c>
      <c r="W63" s="55">
        <v>268663.90000000002</v>
      </c>
      <c r="X63" s="55">
        <f t="shared" si="73"/>
        <v>270.1904761904762</v>
      </c>
      <c r="Y63" s="55">
        <f t="shared" si="74"/>
        <v>283.70000000000005</v>
      </c>
      <c r="Z63" s="55">
        <f t="shared" si="70"/>
        <v>298.63157894736844</v>
      </c>
      <c r="AA63" s="55"/>
      <c r="AB63" s="58" t="s">
        <v>58</v>
      </c>
      <c r="AD63" s="68">
        <f t="shared" ref="AD63" si="78">W63/AC59</f>
        <v>3.7571182624817907E-2</v>
      </c>
    </row>
    <row r="64" spans="1:30" s="51" customFormat="1" ht="16" x14ac:dyDescent="0.2">
      <c r="A64" s="83"/>
      <c r="B64" s="84" t="s">
        <v>61</v>
      </c>
      <c r="C64" s="84" t="s">
        <v>74</v>
      </c>
      <c r="D64" s="84" t="s">
        <v>80</v>
      </c>
      <c r="E64" s="84" t="s">
        <v>23</v>
      </c>
      <c r="F64" s="84" t="s">
        <v>54</v>
      </c>
      <c r="G64" s="84" t="s">
        <v>89</v>
      </c>
      <c r="H64" s="84"/>
      <c r="I64" s="84" t="s">
        <v>90</v>
      </c>
      <c r="J64" s="84"/>
      <c r="K64" s="84" t="s">
        <v>85</v>
      </c>
      <c r="L64" s="85">
        <v>2024</v>
      </c>
      <c r="M64" s="84" t="s">
        <v>67</v>
      </c>
      <c r="N64" s="84" t="s">
        <v>31</v>
      </c>
      <c r="O64" s="84" t="s">
        <v>52</v>
      </c>
      <c r="P64" s="84" t="s">
        <v>27</v>
      </c>
      <c r="Q64" s="65">
        <v>994.35</v>
      </c>
      <c r="R64" s="65">
        <v>947</v>
      </c>
      <c r="S64" s="65">
        <v>899.65</v>
      </c>
      <c r="T64" s="66">
        <v>0</v>
      </c>
      <c r="U64" s="56" t="s">
        <v>41</v>
      </c>
      <c r="V64" s="57" t="s">
        <v>56</v>
      </c>
      <c r="W64" s="55">
        <v>117428</v>
      </c>
      <c r="X64" s="55">
        <f>W64/Q64</f>
        <v>118.09523809523809</v>
      </c>
      <c r="Y64" s="55">
        <f>W64/R64</f>
        <v>124</v>
      </c>
      <c r="Z64" s="55">
        <f>W64/S64</f>
        <v>130.5263157894737</v>
      </c>
      <c r="AA64" s="55"/>
      <c r="AB64" s="58" t="s">
        <v>58</v>
      </c>
      <c r="AD64" s="68">
        <f t="shared" ref="AD64" si="79">W64/AC59</f>
        <v>1.6421666004502716E-2</v>
      </c>
    </row>
    <row r="65" spans="1:30" s="51" customFormat="1" ht="16" x14ac:dyDescent="0.2">
      <c r="A65" s="83"/>
      <c r="B65" s="84" t="s">
        <v>61</v>
      </c>
      <c r="C65" s="84" t="s">
        <v>74</v>
      </c>
      <c r="D65" s="84" t="s">
        <v>80</v>
      </c>
      <c r="E65" s="84" t="s">
        <v>23</v>
      </c>
      <c r="F65" s="84" t="s">
        <v>54</v>
      </c>
      <c r="G65" s="84" t="s">
        <v>89</v>
      </c>
      <c r="H65" s="84"/>
      <c r="I65" s="84" t="s">
        <v>90</v>
      </c>
      <c r="J65" s="84"/>
      <c r="K65" s="84" t="s">
        <v>85</v>
      </c>
      <c r="L65" s="85">
        <v>2024</v>
      </c>
      <c r="M65" s="84" t="s">
        <v>67</v>
      </c>
      <c r="N65" s="84" t="s">
        <v>31</v>
      </c>
      <c r="O65" s="84" t="s">
        <v>52</v>
      </c>
      <c r="P65" s="84" t="s">
        <v>27</v>
      </c>
      <c r="Q65" s="65">
        <v>994.35</v>
      </c>
      <c r="R65" s="65">
        <v>947</v>
      </c>
      <c r="S65" s="65">
        <v>899.65</v>
      </c>
      <c r="T65" s="66">
        <v>0</v>
      </c>
      <c r="U65" s="56" t="s">
        <v>42</v>
      </c>
      <c r="V65" s="57" t="s">
        <v>56</v>
      </c>
      <c r="W65" s="55">
        <v>24622</v>
      </c>
      <c r="X65" s="55">
        <f>W65/Q65</f>
        <v>24.761904761904763</v>
      </c>
      <c r="Y65" s="55">
        <f>W65/R65</f>
        <v>26</v>
      </c>
      <c r="Z65" s="55">
        <f>W65/S65</f>
        <v>27.368421052631579</v>
      </c>
      <c r="AA65" s="55"/>
      <c r="AB65" s="58" t="s">
        <v>58</v>
      </c>
      <c r="AD65" s="68">
        <f t="shared" ref="AD65" si="80">W65/AC59</f>
        <v>3.4432525493312146E-3</v>
      </c>
    </row>
    <row r="66" spans="1:30" s="51" customFormat="1" ht="16" x14ac:dyDescent="0.2">
      <c r="A66" s="83"/>
      <c r="B66" s="84" t="s">
        <v>61</v>
      </c>
      <c r="C66" s="84" t="s">
        <v>74</v>
      </c>
      <c r="D66" s="84" t="s">
        <v>80</v>
      </c>
      <c r="E66" s="84" t="s">
        <v>23</v>
      </c>
      <c r="F66" s="84" t="s">
        <v>54</v>
      </c>
      <c r="G66" s="84" t="s">
        <v>89</v>
      </c>
      <c r="H66" s="84"/>
      <c r="I66" s="84" t="s">
        <v>90</v>
      </c>
      <c r="J66" s="84"/>
      <c r="K66" s="84" t="s">
        <v>85</v>
      </c>
      <c r="L66" s="85">
        <v>2024</v>
      </c>
      <c r="M66" s="84" t="s">
        <v>67</v>
      </c>
      <c r="N66" s="84" t="s">
        <v>31</v>
      </c>
      <c r="O66" s="84" t="s">
        <v>52</v>
      </c>
      <c r="P66" s="84" t="s">
        <v>27</v>
      </c>
      <c r="Q66" s="65">
        <v>994.35</v>
      </c>
      <c r="R66" s="65">
        <v>947</v>
      </c>
      <c r="S66" s="65">
        <v>899.65</v>
      </c>
      <c r="T66" s="66">
        <v>0</v>
      </c>
      <c r="U66" s="56" t="s">
        <v>43</v>
      </c>
      <c r="V66" s="57" t="s">
        <v>56</v>
      </c>
      <c r="W66" s="55">
        <v>24091.68</v>
      </c>
      <c r="X66" s="55">
        <f>W66/Q66</f>
        <v>24.228571428571428</v>
      </c>
      <c r="Y66" s="55">
        <f>W66/R66</f>
        <v>25.44</v>
      </c>
      <c r="Z66" s="55">
        <f>W66/S66</f>
        <v>26.778947368421054</v>
      </c>
      <c r="AA66" s="55"/>
      <c r="AB66" s="58" t="s">
        <v>58</v>
      </c>
      <c r="AD66" s="68">
        <f t="shared" ref="AD66" si="81">W66/AC59</f>
        <v>3.3690901867302345E-3</v>
      </c>
    </row>
    <row r="67" spans="1:30" s="51" customFormat="1" ht="16" x14ac:dyDescent="0.2">
      <c r="A67" s="83"/>
      <c r="B67" s="84" t="s">
        <v>61</v>
      </c>
      <c r="C67" s="84" t="s">
        <v>74</v>
      </c>
      <c r="D67" s="84" t="s">
        <v>80</v>
      </c>
      <c r="E67" s="84" t="s">
        <v>23</v>
      </c>
      <c r="F67" s="84" t="s">
        <v>54</v>
      </c>
      <c r="G67" s="84" t="s">
        <v>89</v>
      </c>
      <c r="H67" s="84"/>
      <c r="I67" s="84" t="s">
        <v>90</v>
      </c>
      <c r="J67" s="84"/>
      <c r="K67" s="84" t="s">
        <v>85</v>
      </c>
      <c r="L67" s="85">
        <v>2024</v>
      </c>
      <c r="M67" s="84" t="s">
        <v>67</v>
      </c>
      <c r="N67" s="84" t="s">
        <v>31</v>
      </c>
      <c r="O67" s="84" t="s">
        <v>52</v>
      </c>
      <c r="P67" s="84" t="s">
        <v>27</v>
      </c>
      <c r="Q67" s="65">
        <v>994.35</v>
      </c>
      <c r="R67" s="65">
        <v>947</v>
      </c>
      <c r="S67" s="65">
        <v>899.65</v>
      </c>
      <c r="T67" s="66">
        <v>0</v>
      </c>
      <c r="U67" s="56" t="s">
        <v>44</v>
      </c>
      <c r="V67" s="57" t="s">
        <v>56</v>
      </c>
      <c r="W67" s="55">
        <v>0</v>
      </c>
      <c r="X67" s="55">
        <f t="shared" ref="X67:X72" si="82">W67/Q67</f>
        <v>0</v>
      </c>
      <c r="Y67" s="55">
        <f t="shared" ref="Y67:Y72" si="83">W67/R67</f>
        <v>0</v>
      </c>
      <c r="Z67" s="55">
        <f t="shared" ref="Z67:Z72" si="84">W67/S67</f>
        <v>0</v>
      </c>
      <c r="AA67" s="55"/>
      <c r="AB67" s="58" t="s">
        <v>58</v>
      </c>
      <c r="AD67" s="68">
        <f t="shared" ref="AD67" si="85">W67/AC59</f>
        <v>0</v>
      </c>
    </row>
    <row r="68" spans="1:30" s="51" customFormat="1" ht="16" x14ac:dyDescent="0.2">
      <c r="A68" s="83"/>
      <c r="B68" s="84" t="s">
        <v>61</v>
      </c>
      <c r="C68" s="84" t="s">
        <v>74</v>
      </c>
      <c r="D68" s="84" t="s">
        <v>80</v>
      </c>
      <c r="E68" s="84" t="s">
        <v>23</v>
      </c>
      <c r="F68" s="84" t="s">
        <v>54</v>
      </c>
      <c r="G68" s="84" t="s">
        <v>89</v>
      </c>
      <c r="H68" s="84"/>
      <c r="I68" s="84" t="s">
        <v>90</v>
      </c>
      <c r="J68" s="84"/>
      <c r="K68" s="84" t="s">
        <v>85</v>
      </c>
      <c r="L68" s="85">
        <v>2024</v>
      </c>
      <c r="M68" s="84" t="s">
        <v>67</v>
      </c>
      <c r="N68" s="84" t="s">
        <v>31</v>
      </c>
      <c r="O68" s="84" t="s">
        <v>52</v>
      </c>
      <c r="P68" s="84" t="s">
        <v>27</v>
      </c>
      <c r="Q68" s="65">
        <v>994.35</v>
      </c>
      <c r="R68" s="65">
        <v>947</v>
      </c>
      <c r="S68" s="65">
        <v>899.65</v>
      </c>
      <c r="T68" s="66">
        <v>0</v>
      </c>
      <c r="U68" s="56" t="s">
        <v>45</v>
      </c>
      <c r="V68" s="57" t="s">
        <v>56</v>
      </c>
      <c r="W68" s="55">
        <v>1300950.72</v>
      </c>
      <c r="X68" s="55">
        <f t="shared" si="82"/>
        <v>1308.3428571428572</v>
      </c>
      <c r="Y68" s="55">
        <f t="shared" si="83"/>
        <v>1373.76</v>
      </c>
      <c r="Z68" s="55">
        <f t="shared" si="84"/>
        <v>1446.0631578947368</v>
      </c>
      <c r="AA68" s="55"/>
      <c r="AB68" s="58" t="s">
        <v>58</v>
      </c>
      <c r="AD68" s="68">
        <f t="shared" ref="AD68" si="86">W68/AC59</f>
        <v>0.18193087008343264</v>
      </c>
    </row>
    <row r="69" spans="1:30" s="51" customFormat="1" ht="16" x14ac:dyDescent="0.2">
      <c r="A69" s="83"/>
      <c r="B69" s="84" t="s">
        <v>61</v>
      </c>
      <c r="C69" s="84" t="s">
        <v>74</v>
      </c>
      <c r="D69" s="84" t="s">
        <v>80</v>
      </c>
      <c r="E69" s="84" t="s">
        <v>23</v>
      </c>
      <c r="F69" s="84" t="s">
        <v>54</v>
      </c>
      <c r="G69" s="84" t="s">
        <v>89</v>
      </c>
      <c r="H69" s="84"/>
      <c r="I69" s="84" t="s">
        <v>90</v>
      </c>
      <c r="J69" s="84"/>
      <c r="K69" s="84" t="s">
        <v>85</v>
      </c>
      <c r="L69" s="85">
        <v>2024</v>
      </c>
      <c r="M69" s="84" t="s">
        <v>67</v>
      </c>
      <c r="N69" s="84" t="s">
        <v>31</v>
      </c>
      <c r="O69" s="84" t="s">
        <v>52</v>
      </c>
      <c r="P69" s="84" t="s">
        <v>27</v>
      </c>
      <c r="Q69" s="65">
        <v>994.35</v>
      </c>
      <c r="R69" s="65">
        <v>947</v>
      </c>
      <c r="S69" s="65">
        <v>899.65</v>
      </c>
      <c r="T69" s="66">
        <v>0</v>
      </c>
      <c r="U69" s="56" t="s">
        <v>46</v>
      </c>
      <c r="V69" s="57" t="s">
        <v>56</v>
      </c>
      <c r="W69" s="55">
        <v>1084125.6000000001</v>
      </c>
      <c r="X69" s="55">
        <f t="shared" si="82"/>
        <v>1090.2857142857144</v>
      </c>
      <c r="Y69" s="55">
        <f t="shared" si="83"/>
        <v>1144.8000000000002</v>
      </c>
      <c r="Z69" s="55">
        <f t="shared" si="84"/>
        <v>1205.0526315789475</v>
      </c>
      <c r="AA69" s="55"/>
      <c r="AB69" s="58" t="s">
        <v>58</v>
      </c>
      <c r="AD69" s="68">
        <f t="shared" ref="AD69" si="87">W69/AC59</f>
        <v>0.15160905840286057</v>
      </c>
    </row>
    <row r="70" spans="1:30" s="51" customFormat="1" ht="16" x14ac:dyDescent="0.2">
      <c r="A70" s="83"/>
      <c r="B70" s="84" t="s">
        <v>61</v>
      </c>
      <c r="C70" s="84" t="s">
        <v>74</v>
      </c>
      <c r="D70" s="84" t="s">
        <v>80</v>
      </c>
      <c r="E70" s="84" t="s">
        <v>23</v>
      </c>
      <c r="F70" s="84" t="s">
        <v>54</v>
      </c>
      <c r="G70" s="84" t="s">
        <v>89</v>
      </c>
      <c r="H70" s="84"/>
      <c r="I70" s="84" t="s">
        <v>90</v>
      </c>
      <c r="J70" s="84"/>
      <c r="K70" s="84" t="s">
        <v>85</v>
      </c>
      <c r="L70" s="85">
        <v>2024</v>
      </c>
      <c r="M70" s="84" t="s">
        <v>67</v>
      </c>
      <c r="N70" s="84" t="s">
        <v>31</v>
      </c>
      <c r="O70" s="84" t="s">
        <v>52</v>
      </c>
      <c r="P70" s="84" t="s">
        <v>27</v>
      </c>
      <c r="Q70" s="65">
        <v>994.35</v>
      </c>
      <c r="R70" s="65">
        <v>947</v>
      </c>
      <c r="S70" s="65">
        <v>899.65</v>
      </c>
      <c r="T70" s="66">
        <v>0</v>
      </c>
      <c r="U70" s="56" t="s">
        <v>47</v>
      </c>
      <c r="V70" s="57" t="s">
        <v>56</v>
      </c>
      <c r="W70" s="55">
        <v>0</v>
      </c>
      <c r="X70" s="55">
        <f t="shared" si="82"/>
        <v>0</v>
      </c>
      <c r="Y70" s="55">
        <f t="shared" si="83"/>
        <v>0</v>
      </c>
      <c r="Z70" s="55">
        <f t="shared" si="84"/>
        <v>0</v>
      </c>
      <c r="AA70" s="55"/>
      <c r="AB70" s="58" t="s">
        <v>58</v>
      </c>
      <c r="AD70" s="68">
        <f t="shared" ref="AD70" si="88">W70/AC59</f>
        <v>0</v>
      </c>
    </row>
    <row r="71" spans="1:30" s="51" customFormat="1" ht="16" x14ac:dyDescent="0.2">
      <c r="A71" s="83"/>
      <c r="B71" s="84" t="s">
        <v>61</v>
      </c>
      <c r="C71" s="84" t="s">
        <v>74</v>
      </c>
      <c r="D71" s="84" t="s">
        <v>80</v>
      </c>
      <c r="E71" s="84" t="s">
        <v>23</v>
      </c>
      <c r="F71" s="84" t="s">
        <v>54</v>
      </c>
      <c r="G71" s="84" t="s">
        <v>89</v>
      </c>
      <c r="H71" s="84"/>
      <c r="I71" s="84" t="s">
        <v>90</v>
      </c>
      <c r="J71" s="84"/>
      <c r="K71" s="84" t="s">
        <v>85</v>
      </c>
      <c r="L71" s="85">
        <v>2024</v>
      </c>
      <c r="M71" s="84" t="s">
        <v>67</v>
      </c>
      <c r="N71" s="84" t="s">
        <v>31</v>
      </c>
      <c r="O71" s="84" t="s">
        <v>52</v>
      </c>
      <c r="P71" s="84" t="s">
        <v>27</v>
      </c>
      <c r="Q71" s="65">
        <v>994.35</v>
      </c>
      <c r="R71" s="65">
        <v>947</v>
      </c>
      <c r="S71" s="65">
        <v>899.65</v>
      </c>
      <c r="T71" s="66">
        <v>0</v>
      </c>
      <c r="U71" s="56" t="s">
        <v>48</v>
      </c>
      <c r="V71" s="57" t="s">
        <v>56</v>
      </c>
      <c r="W71" s="55">
        <v>225386</v>
      </c>
      <c r="X71" s="55">
        <f t="shared" si="82"/>
        <v>226.66666666666666</v>
      </c>
      <c r="Y71" s="55">
        <f t="shared" si="83"/>
        <v>238</v>
      </c>
      <c r="Z71" s="55">
        <f t="shared" si="84"/>
        <v>250.5263157894737</v>
      </c>
      <c r="AA71" s="55"/>
      <c r="AB71" s="58" t="s">
        <v>58</v>
      </c>
      <c r="AD71" s="68">
        <f t="shared" ref="AD71" si="89">W71/AC59</f>
        <v>3.1519004105416498E-2</v>
      </c>
    </row>
    <row r="72" spans="1:30" s="51" customFormat="1" ht="16" x14ac:dyDescent="0.2">
      <c r="A72" s="83"/>
      <c r="B72" s="84" t="s">
        <v>61</v>
      </c>
      <c r="C72" s="84" t="s">
        <v>74</v>
      </c>
      <c r="D72" s="84" t="s">
        <v>80</v>
      </c>
      <c r="E72" s="84" t="s">
        <v>23</v>
      </c>
      <c r="F72" s="84" t="s">
        <v>54</v>
      </c>
      <c r="G72" s="84" t="s">
        <v>89</v>
      </c>
      <c r="H72" s="84"/>
      <c r="I72" s="84" t="s">
        <v>90</v>
      </c>
      <c r="J72" s="84"/>
      <c r="K72" s="84" t="s">
        <v>85</v>
      </c>
      <c r="L72" s="85">
        <v>2024</v>
      </c>
      <c r="M72" s="84" t="s">
        <v>67</v>
      </c>
      <c r="N72" s="84" t="s">
        <v>31</v>
      </c>
      <c r="O72" s="84" t="s">
        <v>52</v>
      </c>
      <c r="P72" s="84" t="s">
        <v>27</v>
      </c>
      <c r="Q72" s="65">
        <v>994.35</v>
      </c>
      <c r="R72" s="65">
        <v>947</v>
      </c>
      <c r="S72" s="65">
        <v>899.65</v>
      </c>
      <c r="T72" s="66">
        <v>0</v>
      </c>
      <c r="U72" s="56" t="s">
        <v>49</v>
      </c>
      <c r="V72" s="57" t="s">
        <v>56</v>
      </c>
      <c r="W72" s="55">
        <v>831466</v>
      </c>
      <c r="X72" s="55">
        <f t="shared" si="82"/>
        <v>836.19047619047615</v>
      </c>
      <c r="Y72" s="55">
        <f t="shared" si="83"/>
        <v>878</v>
      </c>
      <c r="Z72" s="55">
        <f t="shared" si="84"/>
        <v>924.21052631578948</v>
      </c>
      <c r="AA72" s="55"/>
      <c r="AB72" s="58" t="s">
        <v>58</v>
      </c>
      <c r="AD72" s="68">
        <f t="shared" ref="AD72" si="90">W72/AC59</f>
        <v>0.11627598993510793</v>
      </c>
    </row>
    <row r="73" spans="1:30" s="31" customFormat="1" ht="15" customHeight="1" x14ac:dyDescent="0.2">
      <c r="A73" s="86"/>
      <c r="B73" s="87" t="s">
        <v>61</v>
      </c>
      <c r="C73" s="87" t="s">
        <v>74</v>
      </c>
      <c r="D73" s="87" t="s">
        <v>80</v>
      </c>
      <c r="E73" s="87" t="s">
        <v>23</v>
      </c>
      <c r="F73" s="87" t="s">
        <v>54</v>
      </c>
      <c r="G73" s="87" t="s">
        <v>89</v>
      </c>
      <c r="H73" s="87"/>
      <c r="I73" s="87" t="s">
        <v>91</v>
      </c>
      <c r="J73" s="87"/>
      <c r="K73" s="87" t="s">
        <v>86</v>
      </c>
      <c r="L73" s="88">
        <v>2024</v>
      </c>
      <c r="M73" s="87" t="s">
        <v>67</v>
      </c>
      <c r="N73" s="87" t="s">
        <v>31</v>
      </c>
      <c r="O73" s="87" t="s">
        <v>52</v>
      </c>
      <c r="P73" s="87" t="s">
        <v>27</v>
      </c>
      <c r="Q73" s="64">
        <v>4267.2</v>
      </c>
      <c r="R73" s="64">
        <v>4064</v>
      </c>
      <c r="S73" s="64">
        <v>3860.7999999999997</v>
      </c>
      <c r="T73" s="89">
        <v>0</v>
      </c>
      <c r="U73" s="62" t="s">
        <v>79</v>
      </c>
      <c r="V73" s="63" t="s">
        <v>56</v>
      </c>
      <c r="W73" s="60">
        <v>670560</v>
      </c>
      <c r="X73" s="60">
        <f>W73/Q73</f>
        <v>157.14285714285714</v>
      </c>
      <c r="Y73" s="60">
        <f>W73/R73</f>
        <v>165</v>
      </c>
      <c r="Z73" s="60">
        <f t="shared" ref="Z73:Z77" si="91">W73/S73</f>
        <v>173.68421052631581</v>
      </c>
      <c r="AA73" s="60"/>
      <c r="AB73" s="61" t="s">
        <v>58</v>
      </c>
      <c r="AC73" s="67">
        <f t="shared" ref="AC73" si="92">SUM(W73:W86)</f>
        <v>25801705</v>
      </c>
      <c r="AD73" s="68">
        <f t="shared" ref="AD73" si="93">W73/AC73</f>
        <v>2.5988980185611764E-2</v>
      </c>
    </row>
    <row r="74" spans="1:30" s="31" customFormat="1" ht="16" x14ac:dyDescent="0.2">
      <c r="A74" s="86"/>
      <c r="B74" s="87" t="s">
        <v>61</v>
      </c>
      <c r="C74" s="87" t="s">
        <v>74</v>
      </c>
      <c r="D74" s="87" t="s">
        <v>80</v>
      </c>
      <c r="E74" s="87" t="s">
        <v>23</v>
      </c>
      <c r="F74" s="87" t="s">
        <v>54</v>
      </c>
      <c r="G74" s="87" t="s">
        <v>89</v>
      </c>
      <c r="H74" s="87"/>
      <c r="I74" s="87" t="s">
        <v>91</v>
      </c>
      <c r="J74" s="87"/>
      <c r="K74" s="87" t="s">
        <v>86</v>
      </c>
      <c r="L74" s="88">
        <v>2024</v>
      </c>
      <c r="M74" s="87" t="s">
        <v>67</v>
      </c>
      <c r="N74" s="87" t="s">
        <v>31</v>
      </c>
      <c r="O74" s="87" t="s">
        <v>52</v>
      </c>
      <c r="P74" s="87" t="s">
        <v>27</v>
      </c>
      <c r="Q74" s="64">
        <v>4267.2</v>
      </c>
      <c r="R74" s="64">
        <v>4064</v>
      </c>
      <c r="S74" s="64">
        <v>3860.7999999999997</v>
      </c>
      <c r="T74" s="89">
        <v>0</v>
      </c>
      <c r="U74" s="62" t="s">
        <v>37</v>
      </c>
      <c r="V74" s="63" t="s">
        <v>56</v>
      </c>
      <c r="W74" s="60">
        <v>3210560</v>
      </c>
      <c r="X74" s="60">
        <f t="shared" ref="X74:X77" si="94">W74/Q74</f>
        <v>752.38095238095241</v>
      </c>
      <c r="Y74" s="60">
        <f t="shared" ref="Y74:Y77" si="95">W74/R74</f>
        <v>790</v>
      </c>
      <c r="Z74" s="60">
        <f t="shared" si="91"/>
        <v>831.57894736842115</v>
      </c>
      <c r="AA74" s="60"/>
      <c r="AB74" s="61" t="s">
        <v>58</v>
      </c>
      <c r="AC74" s="51"/>
      <c r="AD74" s="68">
        <f t="shared" ref="AD74" si="96">W74/AC73</f>
        <v>0.1244320869492927</v>
      </c>
    </row>
    <row r="75" spans="1:30" s="31" customFormat="1" ht="16" x14ac:dyDescent="0.2">
      <c r="A75" s="86"/>
      <c r="B75" s="87" t="s">
        <v>61</v>
      </c>
      <c r="C75" s="87" t="s">
        <v>74</v>
      </c>
      <c r="D75" s="87" t="s">
        <v>80</v>
      </c>
      <c r="E75" s="87" t="s">
        <v>23</v>
      </c>
      <c r="F75" s="87" t="s">
        <v>54</v>
      </c>
      <c r="G75" s="87" t="s">
        <v>89</v>
      </c>
      <c r="H75" s="87"/>
      <c r="I75" s="87" t="s">
        <v>91</v>
      </c>
      <c r="J75" s="87"/>
      <c r="K75" s="87" t="s">
        <v>86</v>
      </c>
      <c r="L75" s="88">
        <v>2024</v>
      </c>
      <c r="M75" s="87" t="s">
        <v>67</v>
      </c>
      <c r="N75" s="87" t="s">
        <v>31</v>
      </c>
      <c r="O75" s="87" t="s">
        <v>52</v>
      </c>
      <c r="P75" s="87" t="s">
        <v>27</v>
      </c>
      <c r="Q75" s="64">
        <v>4267.2</v>
      </c>
      <c r="R75" s="64">
        <v>4064</v>
      </c>
      <c r="S75" s="64">
        <v>3860.7999999999997</v>
      </c>
      <c r="T75" s="89">
        <v>0</v>
      </c>
      <c r="U75" s="62" t="s">
        <v>38</v>
      </c>
      <c r="V75" s="63" t="s">
        <v>56</v>
      </c>
      <c r="W75" s="60">
        <v>4681728</v>
      </c>
      <c r="X75" s="60">
        <f t="shared" si="94"/>
        <v>1097.1428571428571</v>
      </c>
      <c r="Y75" s="60">
        <f t="shared" si="95"/>
        <v>1152</v>
      </c>
      <c r="Z75" s="60">
        <f t="shared" si="91"/>
        <v>1212.6315789473686</v>
      </c>
      <c r="AA75" s="60"/>
      <c r="AB75" s="61" t="s">
        <v>58</v>
      </c>
      <c r="AC75" s="51"/>
      <c r="AD75" s="68">
        <f t="shared" ref="AD75" si="97">W75/AC73</f>
        <v>0.18145033438681668</v>
      </c>
    </row>
    <row r="76" spans="1:30" s="31" customFormat="1" ht="16" x14ac:dyDescent="0.2">
      <c r="A76" s="86"/>
      <c r="B76" s="87" t="s">
        <v>61</v>
      </c>
      <c r="C76" s="87" t="s">
        <v>74</v>
      </c>
      <c r="D76" s="87" t="s">
        <v>80</v>
      </c>
      <c r="E76" s="87" t="s">
        <v>23</v>
      </c>
      <c r="F76" s="87" t="s">
        <v>54</v>
      </c>
      <c r="G76" s="87" t="s">
        <v>89</v>
      </c>
      <c r="H76" s="87"/>
      <c r="I76" s="87" t="s">
        <v>91</v>
      </c>
      <c r="J76" s="87"/>
      <c r="K76" s="87" t="s">
        <v>86</v>
      </c>
      <c r="L76" s="88">
        <v>2024</v>
      </c>
      <c r="M76" s="87" t="s">
        <v>67</v>
      </c>
      <c r="N76" s="87" t="s">
        <v>31</v>
      </c>
      <c r="O76" s="87" t="s">
        <v>52</v>
      </c>
      <c r="P76" s="87" t="s">
        <v>27</v>
      </c>
      <c r="Q76" s="64">
        <v>4267.2</v>
      </c>
      <c r="R76" s="64">
        <v>4064</v>
      </c>
      <c r="S76" s="64">
        <v>3860.7999999999997</v>
      </c>
      <c r="T76" s="89">
        <v>0</v>
      </c>
      <c r="U76" s="62" t="s">
        <v>39</v>
      </c>
      <c r="V76" s="63" t="s">
        <v>56</v>
      </c>
      <c r="W76" s="60">
        <v>3745382.4000000004</v>
      </c>
      <c r="X76" s="60">
        <f t="shared" si="94"/>
        <v>877.71428571428589</v>
      </c>
      <c r="Y76" s="60">
        <f t="shared" si="95"/>
        <v>921.60000000000014</v>
      </c>
      <c r="Z76" s="60">
        <f t="shared" si="91"/>
        <v>970.10526315789491</v>
      </c>
      <c r="AA76" s="60"/>
      <c r="AB76" s="61" t="s">
        <v>58</v>
      </c>
      <c r="AC76" s="51"/>
      <c r="AD76" s="68">
        <f t="shared" ref="AD76" si="98">W76/AC73</f>
        <v>0.14516026750945335</v>
      </c>
    </row>
    <row r="77" spans="1:30" s="31" customFormat="1" ht="16" x14ac:dyDescent="0.2">
      <c r="A77" s="86"/>
      <c r="B77" s="87" t="s">
        <v>61</v>
      </c>
      <c r="C77" s="87" t="s">
        <v>74</v>
      </c>
      <c r="D77" s="87" t="s">
        <v>80</v>
      </c>
      <c r="E77" s="87" t="s">
        <v>23</v>
      </c>
      <c r="F77" s="87" t="s">
        <v>54</v>
      </c>
      <c r="G77" s="87" t="s">
        <v>89</v>
      </c>
      <c r="H77" s="87"/>
      <c r="I77" s="87" t="s">
        <v>91</v>
      </c>
      <c r="J77" s="87"/>
      <c r="K77" s="87" t="s">
        <v>86</v>
      </c>
      <c r="L77" s="88">
        <v>2024</v>
      </c>
      <c r="M77" s="87" t="s">
        <v>67</v>
      </c>
      <c r="N77" s="87" t="s">
        <v>31</v>
      </c>
      <c r="O77" s="87" t="s">
        <v>52</v>
      </c>
      <c r="P77" s="87" t="s">
        <v>27</v>
      </c>
      <c r="Q77" s="64">
        <v>4267.2</v>
      </c>
      <c r="R77" s="64">
        <v>4064</v>
      </c>
      <c r="S77" s="64">
        <v>3860.7999999999997</v>
      </c>
      <c r="T77" s="89">
        <v>0</v>
      </c>
      <c r="U77" s="62" t="s">
        <v>40</v>
      </c>
      <c r="V77" s="63" t="s">
        <v>56</v>
      </c>
      <c r="W77" s="60">
        <v>936345.60000000009</v>
      </c>
      <c r="X77" s="60">
        <f t="shared" si="94"/>
        <v>219.42857142857147</v>
      </c>
      <c r="Y77" s="60">
        <f t="shared" si="95"/>
        <v>230.40000000000003</v>
      </c>
      <c r="Z77" s="60">
        <f t="shared" si="91"/>
        <v>242.52631578947373</v>
      </c>
      <c r="AA77" s="60"/>
      <c r="AB77" s="61" t="s">
        <v>58</v>
      </c>
      <c r="AC77" s="51"/>
      <c r="AD77" s="68">
        <f t="shared" ref="AD77" si="99">W77/AC73</f>
        <v>3.6290066877363338E-2</v>
      </c>
    </row>
    <row r="78" spans="1:30" s="31" customFormat="1" ht="16" x14ac:dyDescent="0.2">
      <c r="A78" s="86"/>
      <c r="B78" s="87" t="s">
        <v>61</v>
      </c>
      <c r="C78" s="87" t="s">
        <v>74</v>
      </c>
      <c r="D78" s="87" t="s">
        <v>80</v>
      </c>
      <c r="E78" s="87" t="s">
        <v>23</v>
      </c>
      <c r="F78" s="87" t="s">
        <v>54</v>
      </c>
      <c r="G78" s="87" t="s">
        <v>89</v>
      </c>
      <c r="H78" s="87"/>
      <c r="I78" s="87" t="s">
        <v>91</v>
      </c>
      <c r="J78" s="87"/>
      <c r="K78" s="87" t="s">
        <v>86</v>
      </c>
      <c r="L78" s="88">
        <v>2024</v>
      </c>
      <c r="M78" s="87" t="s">
        <v>67</v>
      </c>
      <c r="N78" s="87" t="s">
        <v>31</v>
      </c>
      <c r="O78" s="87" t="s">
        <v>52</v>
      </c>
      <c r="P78" s="87" t="s">
        <v>27</v>
      </c>
      <c r="Q78" s="64">
        <v>4267.2</v>
      </c>
      <c r="R78" s="64">
        <v>4064</v>
      </c>
      <c r="S78" s="64">
        <v>3860.7999999999997</v>
      </c>
      <c r="T78" s="89">
        <v>0</v>
      </c>
      <c r="U78" s="62" t="s">
        <v>41</v>
      </c>
      <c r="V78" s="63" t="s">
        <v>56</v>
      </c>
      <c r="W78" s="60">
        <v>589280</v>
      </c>
      <c r="X78" s="60">
        <f>W78/Q78</f>
        <v>138.0952380952381</v>
      </c>
      <c r="Y78" s="60">
        <f>W78/R78</f>
        <v>145</v>
      </c>
      <c r="Z78" s="60">
        <f>W78/S78</f>
        <v>152.63157894736844</v>
      </c>
      <c r="AA78" s="60"/>
      <c r="AB78" s="61" t="s">
        <v>58</v>
      </c>
      <c r="AC78" s="51"/>
      <c r="AD78" s="68">
        <f t="shared" ref="AD78" si="100">W78/AC73</f>
        <v>2.2838800769173974E-2</v>
      </c>
    </row>
    <row r="79" spans="1:30" s="31" customFormat="1" ht="16" x14ac:dyDescent="0.2">
      <c r="A79" s="86"/>
      <c r="B79" s="87" t="s">
        <v>61</v>
      </c>
      <c r="C79" s="87" t="s">
        <v>74</v>
      </c>
      <c r="D79" s="87" t="s">
        <v>80</v>
      </c>
      <c r="E79" s="87" t="s">
        <v>23</v>
      </c>
      <c r="F79" s="87" t="s">
        <v>54</v>
      </c>
      <c r="G79" s="87" t="s">
        <v>89</v>
      </c>
      <c r="H79" s="87"/>
      <c r="I79" s="87" t="s">
        <v>91</v>
      </c>
      <c r="J79" s="87"/>
      <c r="K79" s="87" t="s">
        <v>86</v>
      </c>
      <c r="L79" s="88">
        <v>2024</v>
      </c>
      <c r="M79" s="87" t="s">
        <v>67</v>
      </c>
      <c r="N79" s="87" t="s">
        <v>31</v>
      </c>
      <c r="O79" s="87" t="s">
        <v>52</v>
      </c>
      <c r="P79" s="87" t="s">
        <v>27</v>
      </c>
      <c r="Q79" s="64">
        <v>4267.2</v>
      </c>
      <c r="R79" s="64">
        <v>4064</v>
      </c>
      <c r="S79" s="64">
        <v>3860.7999999999997</v>
      </c>
      <c r="T79" s="89">
        <v>0</v>
      </c>
      <c r="U79" s="62" t="s">
        <v>42</v>
      </c>
      <c r="V79" s="63" t="s">
        <v>56</v>
      </c>
      <c r="W79" s="60">
        <v>121920</v>
      </c>
      <c r="X79" s="60">
        <f>W79/Q79</f>
        <v>28.571428571428573</v>
      </c>
      <c r="Y79" s="60">
        <f>W79/R79</f>
        <v>30</v>
      </c>
      <c r="Z79" s="60">
        <f>W79/S79</f>
        <v>31.578947368421055</v>
      </c>
      <c r="AA79" s="60"/>
      <c r="AB79" s="61" t="s">
        <v>58</v>
      </c>
      <c r="AC79" s="51"/>
      <c r="AD79" s="68">
        <f t="shared" ref="AD79" si="101">W79/AC73</f>
        <v>4.7252691246566841E-3</v>
      </c>
    </row>
    <row r="80" spans="1:30" s="31" customFormat="1" ht="16" x14ac:dyDescent="0.2">
      <c r="A80" s="86"/>
      <c r="B80" s="87" t="s">
        <v>61</v>
      </c>
      <c r="C80" s="87" t="s">
        <v>74</v>
      </c>
      <c r="D80" s="87" t="s">
        <v>80</v>
      </c>
      <c r="E80" s="87" t="s">
        <v>23</v>
      </c>
      <c r="F80" s="87" t="s">
        <v>54</v>
      </c>
      <c r="G80" s="87" t="s">
        <v>89</v>
      </c>
      <c r="H80" s="87"/>
      <c r="I80" s="87" t="s">
        <v>91</v>
      </c>
      <c r="J80" s="87"/>
      <c r="K80" s="87" t="s">
        <v>86</v>
      </c>
      <c r="L80" s="88">
        <v>2024</v>
      </c>
      <c r="M80" s="87" t="s">
        <v>67</v>
      </c>
      <c r="N80" s="87" t="s">
        <v>31</v>
      </c>
      <c r="O80" s="87" t="s">
        <v>52</v>
      </c>
      <c r="P80" s="87" t="s">
        <v>27</v>
      </c>
      <c r="Q80" s="64">
        <v>4267.2</v>
      </c>
      <c r="R80" s="64">
        <v>4064</v>
      </c>
      <c r="S80" s="64">
        <v>3860.7999999999997</v>
      </c>
      <c r="T80" s="89">
        <v>0</v>
      </c>
      <c r="U80" s="62" t="s">
        <v>43</v>
      </c>
      <c r="V80" s="63" t="s">
        <v>56</v>
      </c>
      <c r="W80" s="60">
        <v>94691.199999999997</v>
      </c>
      <c r="X80" s="60">
        <f>W80/Q80</f>
        <v>22.19047619047619</v>
      </c>
      <c r="Y80" s="60">
        <f>W80/R80</f>
        <v>23.3</v>
      </c>
      <c r="Z80" s="60">
        <f>W80/S80</f>
        <v>24.526315789473685</v>
      </c>
      <c r="AA80" s="60"/>
      <c r="AB80" s="61" t="s">
        <v>58</v>
      </c>
      <c r="AC80" s="51"/>
      <c r="AD80" s="68">
        <f t="shared" ref="AD80" si="102">W80/AC73</f>
        <v>3.6699590201500249E-3</v>
      </c>
    </row>
    <row r="81" spans="1:30" s="31" customFormat="1" ht="16" x14ac:dyDescent="0.2">
      <c r="A81" s="86"/>
      <c r="B81" s="87" t="s">
        <v>61</v>
      </c>
      <c r="C81" s="87" t="s">
        <v>74</v>
      </c>
      <c r="D81" s="87" t="s">
        <v>80</v>
      </c>
      <c r="E81" s="87" t="s">
        <v>23</v>
      </c>
      <c r="F81" s="87" t="s">
        <v>54</v>
      </c>
      <c r="G81" s="87" t="s">
        <v>89</v>
      </c>
      <c r="H81" s="87"/>
      <c r="I81" s="87" t="s">
        <v>91</v>
      </c>
      <c r="J81" s="87"/>
      <c r="K81" s="87" t="s">
        <v>86</v>
      </c>
      <c r="L81" s="88">
        <v>2024</v>
      </c>
      <c r="M81" s="87" t="s">
        <v>67</v>
      </c>
      <c r="N81" s="87" t="s">
        <v>31</v>
      </c>
      <c r="O81" s="87" t="s">
        <v>52</v>
      </c>
      <c r="P81" s="87" t="s">
        <v>27</v>
      </c>
      <c r="Q81" s="64">
        <v>4267.2</v>
      </c>
      <c r="R81" s="64">
        <v>4064</v>
      </c>
      <c r="S81" s="64">
        <v>3860.7999999999997</v>
      </c>
      <c r="T81" s="89">
        <v>0</v>
      </c>
      <c r="U81" s="62" t="s">
        <v>44</v>
      </c>
      <c r="V81" s="63" t="s">
        <v>56</v>
      </c>
      <c r="W81" s="60">
        <v>0</v>
      </c>
      <c r="X81" s="60">
        <f t="shared" ref="X81:X86" si="103">W81/Q81</f>
        <v>0</v>
      </c>
      <c r="Y81" s="60">
        <f t="shared" ref="Y81:Y86" si="104">W81/R81</f>
        <v>0</v>
      </c>
      <c r="Z81" s="60">
        <f t="shared" ref="Z81:Z86" si="105">W81/S81</f>
        <v>0</v>
      </c>
      <c r="AA81" s="60"/>
      <c r="AB81" s="61" t="s">
        <v>58</v>
      </c>
      <c r="AC81" s="51"/>
      <c r="AD81" s="68">
        <f t="shared" ref="AD81" si="106">W81/AC73</f>
        <v>0</v>
      </c>
    </row>
    <row r="82" spans="1:30" s="31" customFormat="1" ht="16" x14ac:dyDescent="0.2">
      <c r="A82" s="86"/>
      <c r="B82" s="87" t="s">
        <v>61</v>
      </c>
      <c r="C82" s="87" t="s">
        <v>74</v>
      </c>
      <c r="D82" s="87" t="s">
        <v>80</v>
      </c>
      <c r="E82" s="87" t="s">
        <v>23</v>
      </c>
      <c r="F82" s="87" t="s">
        <v>54</v>
      </c>
      <c r="G82" s="87" t="s">
        <v>89</v>
      </c>
      <c r="H82" s="87"/>
      <c r="I82" s="87" t="s">
        <v>91</v>
      </c>
      <c r="J82" s="87"/>
      <c r="K82" s="87" t="s">
        <v>86</v>
      </c>
      <c r="L82" s="88">
        <v>2024</v>
      </c>
      <c r="M82" s="87" t="s">
        <v>67</v>
      </c>
      <c r="N82" s="87" t="s">
        <v>31</v>
      </c>
      <c r="O82" s="87" t="s">
        <v>52</v>
      </c>
      <c r="P82" s="87" t="s">
        <v>27</v>
      </c>
      <c r="Q82" s="64">
        <v>4267.2</v>
      </c>
      <c r="R82" s="64">
        <v>4064</v>
      </c>
      <c r="S82" s="64">
        <v>3860.7999999999997</v>
      </c>
      <c r="T82" s="89">
        <v>0</v>
      </c>
      <c r="U82" s="62" t="s">
        <v>45</v>
      </c>
      <c r="V82" s="63" t="s">
        <v>56</v>
      </c>
      <c r="W82" s="60">
        <v>5113324.8000000007</v>
      </c>
      <c r="X82" s="60">
        <f t="shared" si="103"/>
        <v>1198.2857142857144</v>
      </c>
      <c r="Y82" s="60">
        <f t="shared" si="104"/>
        <v>1258.2000000000003</v>
      </c>
      <c r="Z82" s="60">
        <f t="shared" si="105"/>
        <v>1324.4210526315792</v>
      </c>
      <c r="AA82" s="60"/>
      <c r="AB82" s="61" t="s">
        <v>58</v>
      </c>
      <c r="AC82" s="51"/>
      <c r="AD82" s="68">
        <f t="shared" ref="AD82" si="107">W82/AC73</f>
        <v>0.19817778708810138</v>
      </c>
    </row>
    <row r="83" spans="1:30" s="31" customFormat="1" ht="16" x14ac:dyDescent="0.2">
      <c r="A83" s="86"/>
      <c r="B83" s="87" t="s">
        <v>61</v>
      </c>
      <c r="C83" s="87" t="s">
        <v>74</v>
      </c>
      <c r="D83" s="87" t="s">
        <v>80</v>
      </c>
      <c r="E83" s="87" t="s">
        <v>23</v>
      </c>
      <c r="F83" s="87" t="s">
        <v>54</v>
      </c>
      <c r="G83" s="87" t="s">
        <v>89</v>
      </c>
      <c r="H83" s="87"/>
      <c r="I83" s="87" t="s">
        <v>91</v>
      </c>
      <c r="J83" s="87"/>
      <c r="K83" s="87" t="s">
        <v>86</v>
      </c>
      <c r="L83" s="88">
        <v>2024</v>
      </c>
      <c r="M83" s="87" t="s">
        <v>67</v>
      </c>
      <c r="N83" s="87" t="s">
        <v>31</v>
      </c>
      <c r="O83" s="87" t="s">
        <v>52</v>
      </c>
      <c r="P83" s="87" t="s">
        <v>27</v>
      </c>
      <c r="Q83" s="64">
        <v>4267.2</v>
      </c>
      <c r="R83" s="64">
        <v>4064</v>
      </c>
      <c r="S83" s="64">
        <v>3860.7999999999997</v>
      </c>
      <c r="T83" s="89">
        <v>0</v>
      </c>
      <c r="U83" s="62" t="s">
        <v>46</v>
      </c>
      <c r="V83" s="63" t="s">
        <v>56</v>
      </c>
      <c r="W83" s="60">
        <v>4261104</v>
      </c>
      <c r="X83" s="60">
        <f t="shared" si="103"/>
        <v>998.57142857142867</v>
      </c>
      <c r="Y83" s="60">
        <f t="shared" si="104"/>
        <v>1048.5</v>
      </c>
      <c r="Z83" s="60">
        <f t="shared" si="105"/>
        <v>1103.6842105263158</v>
      </c>
      <c r="AA83" s="60"/>
      <c r="AB83" s="61" t="s">
        <v>58</v>
      </c>
      <c r="AC83" s="51"/>
      <c r="AD83" s="68">
        <f t="shared" ref="AD83" si="108">W83/AC73</f>
        <v>0.16514815590675114</v>
      </c>
    </row>
    <row r="84" spans="1:30" s="31" customFormat="1" ht="16" x14ac:dyDescent="0.2">
      <c r="A84" s="86"/>
      <c r="B84" s="87" t="s">
        <v>61</v>
      </c>
      <c r="C84" s="87" t="s">
        <v>74</v>
      </c>
      <c r="D84" s="87" t="s">
        <v>80</v>
      </c>
      <c r="E84" s="87" t="s">
        <v>23</v>
      </c>
      <c r="F84" s="87" t="s">
        <v>54</v>
      </c>
      <c r="G84" s="87" t="s">
        <v>89</v>
      </c>
      <c r="H84" s="87"/>
      <c r="I84" s="87" t="s">
        <v>91</v>
      </c>
      <c r="J84" s="87"/>
      <c r="K84" s="87" t="s">
        <v>86</v>
      </c>
      <c r="L84" s="88">
        <v>2024</v>
      </c>
      <c r="M84" s="87" t="s">
        <v>67</v>
      </c>
      <c r="N84" s="87" t="s">
        <v>31</v>
      </c>
      <c r="O84" s="87" t="s">
        <v>52</v>
      </c>
      <c r="P84" s="87" t="s">
        <v>27</v>
      </c>
      <c r="Q84" s="64">
        <v>4267.2</v>
      </c>
      <c r="R84" s="64">
        <v>4064</v>
      </c>
      <c r="S84" s="64">
        <v>3860.7999999999997</v>
      </c>
      <c r="T84" s="89">
        <v>0</v>
      </c>
      <c r="U84" s="62" t="s">
        <v>47</v>
      </c>
      <c r="V84" s="63" t="s">
        <v>56</v>
      </c>
      <c r="W84" s="60">
        <v>0</v>
      </c>
      <c r="X84" s="60">
        <f t="shared" si="103"/>
        <v>0</v>
      </c>
      <c r="Y84" s="60">
        <f t="shared" si="104"/>
        <v>0</v>
      </c>
      <c r="Z84" s="60">
        <f t="shared" si="105"/>
        <v>0</v>
      </c>
      <c r="AA84" s="60"/>
      <c r="AB84" s="61" t="s">
        <v>58</v>
      </c>
      <c r="AC84" s="51"/>
      <c r="AD84" s="68">
        <f t="shared" ref="AD84" si="109">W84/AC73</f>
        <v>0</v>
      </c>
    </row>
    <row r="85" spans="1:30" s="31" customFormat="1" ht="16" x14ac:dyDescent="0.2">
      <c r="A85" s="86"/>
      <c r="B85" s="87" t="s">
        <v>61</v>
      </c>
      <c r="C85" s="87" t="s">
        <v>74</v>
      </c>
      <c r="D85" s="87" t="s">
        <v>80</v>
      </c>
      <c r="E85" s="87" t="s">
        <v>23</v>
      </c>
      <c r="F85" s="87" t="s">
        <v>54</v>
      </c>
      <c r="G85" s="87" t="s">
        <v>89</v>
      </c>
      <c r="H85" s="87"/>
      <c r="I85" s="87" t="s">
        <v>91</v>
      </c>
      <c r="J85" s="87"/>
      <c r="K85" s="87" t="s">
        <v>86</v>
      </c>
      <c r="L85" s="88">
        <v>2024</v>
      </c>
      <c r="M85" s="87" t="s">
        <v>67</v>
      </c>
      <c r="N85" s="87" t="s">
        <v>31</v>
      </c>
      <c r="O85" s="87" t="s">
        <v>52</v>
      </c>
      <c r="P85" s="87" t="s">
        <v>27</v>
      </c>
      <c r="Q85" s="64">
        <v>4267.2</v>
      </c>
      <c r="R85" s="64">
        <v>4064</v>
      </c>
      <c r="S85" s="64">
        <v>3860.7999999999997</v>
      </c>
      <c r="T85" s="89">
        <v>0</v>
      </c>
      <c r="U85" s="62" t="s">
        <v>48</v>
      </c>
      <c r="V85" s="63" t="s">
        <v>56</v>
      </c>
      <c r="W85" s="60">
        <v>1601216</v>
      </c>
      <c r="X85" s="60">
        <f t="shared" si="103"/>
        <v>375.23809523809524</v>
      </c>
      <c r="Y85" s="60">
        <f t="shared" si="104"/>
        <v>394</v>
      </c>
      <c r="Z85" s="60">
        <f t="shared" si="105"/>
        <v>414.73684210526318</v>
      </c>
      <c r="AA85" s="60"/>
      <c r="AB85" s="61" t="s">
        <v>58</v>
      </c>
      <c r="AC85" s="51"/>
      <c r="AD85" s="68">
        <f t="shared" ref="AD85" si="110">W85/AC73</f>
        <v>6.205853450382446E-2</v>
      </c>
    </row>
    <row r="86" spans="1:30" s="31" customFormat="1" ht="16" x14ac:dyDescent="0.2">
      <c r="A86" s="86"/>
      <c r="B86" s="87" t="s">
        <v>61</v>
      </c>
      <c r="C86" s="87" t="s">
        <v>74</v>
      </c>
      <c r="D86" s="87" t="s">
        <v>80</v>
      </c>
      <c r="E86" s="87" t="s">
        <v>23</v>
      </c>
      <c r="F86" s="87" t="s">
        <v>54</v>
      </c>
      <c r="G86" s="87" t="s">
        <v>89</v>
      </c>
      <c r="H86" s="87"/>
      <c r="I86" s="87" t="s">
        <v>91</v>
      </c>
      <c r="J86" s="87"/>
      <c r="K86" s="87" t="s">
        <v>86</v>
      </c>
      <c r="L86" s="88">
        <v>2024</v>
      </c>
      <c r="M86" s="87" t="s">
        <v>67</v>
      </c>
      <c r="N86" s="87" t="s">
        <v>31</v>
      </c>
      <c r="O86" s="87" t="s">
        <v>52</v>
      </c>
      <c r="P86" s="87" t="s">
        <v>27</v>
      </c>
      <c r="Q86" s="64">
        <v>4267.2</v>
      </c>
      <c r="R86" s="64">
        <v>4064</v>
      </c>
      <c r="S86" s="64">
        <v>3860.7999999999997</v>
      </c>
      <c r="T86" s="89">
        <v>0</v>
      </c>
      <c r="U86" s="62" t="s">
        <v>49</v>
      </c>
      <c r="V86" s="63" t="s">
        <v>56</v>
      </c>
      <c r="W86" s="60">
        <v>775593</v>
      </c>
      <c r="X86" s="60">
        <f t="shared" si="103"/>
        <v>181.75688976377953</v>
      </c>
      <c r="Y86" s="60">
        <f t="shared" si="104"/>
        <v>190.8447342519685</v>
      </c>
      <c r="Z86" s="60">
        <f t="shared" si="105"/>
        <v>200.88919394944054</v>
      </c>
      <c r="AA86" s="60"/>
      <c r="AB86" s="61" t="s">
        <v>58</v>
      </c>
      <c r="AC86" s="51"/>
      <c r="AD86" s="68">
        <f t="shared" ref="AD86" si="111">W86/AC73</f>
        <v>3.0059757678804561E-2</v>
      </c>
    </row>
    <row r="88" spans="1:30" s="20" customFormat="1" ht="48" customHeight="1" x14ac:dyDescent="0.2">
      <c r="B88" s="21"/>
      <c r="C88" s="21" t="s">
        <v>0</v>
      </c>
      <c r="D88" s="22"/>
      <c r="E88" s="22" t="s">
        <v>1</v>
      </c>
      <c r="F88" s="22" t="s">
        <v>2</v>
      </c>
      <c r="G88" s="22" t="s">
        <v>51</v>
      </c>
      <c r="H88" s="22"/>
      <c r="I88" s="22" t="s">
        <v>53</v>
      </c>
      <c r="J88" s="22"/>
      <c r="K88" s="23" t="s">
        <v>3</v>
      </c>
      <c r="L88" s="26" t="s">
        <v>16</v>
      </c>
      <c r="M88" s="23" t="s">
        <v>7</v>
      </c>
      <c r="N88" s="23" t="s">
        <v>8</v>
      </c>
      <c r="O88" s="23" t="s">
        <v>50</v>
      </c>
      <c r="P88" s="23" t="s">
        <v>9</v>
      </c>
      <c r="Q88" s="32" t="s">
        <v>10</v>
      </c>
      <c r="R88" s="32" t="s">
        <v>17</v>
      </c>
      <c r="S88" s="32" t="s">
        <v>11</v>
      </c>
      <c r="T88" s="32" t="s">
        <v>15</v>
      </c>
      <c r="U88" s="29" t="s">
        <v>12</v>
      </c>
      <c r="V88" s="38" t="s">
        <v>55</v>
      </c>
      <c r="W88" s="32" t="s">
        <v>14</v>
      </c>
      <c r="X88" s="32" t="s">
        <v>18</v>
      </c>
      <c r="Y88" s="32" t="s">
        <v>19</v>
      </c>
      <c r="Z88" s="32" t="s">
        <v>20</v>
      </c>
      <c r="AA88" s="36" t="s">
        <v>21</v>
      </c>
      <c r="AB88" s="47" t="s">
        <v>57</v>
      </c>
    </row>
    <row r="89" spans="1:30" ht="19" x14ac:dyDescent="0.25">
      <c r="B89" s="50" t="s">
        <v>61</v>
      </c>
      <c r="C89" s="50" t="s">
        <v>75</v>
      </c>
      <c r="D89" s="2"/>
      <c r="E89"/>
      <c r="F89"/>
      <c r="G89"/>
      <c r="H89"/>
      <c r="I89"/>
      <c r="J89"/>
      <c r="K89" s="84" t="s">
        <v>78</v>
      </c>
      <c r="L89" s="45">
        <f>SUMIF($K$2:$K$87,$K89,L$2:L$87)/14</f>
        <v>2019</v>
      </c>
      <c r="M89"/>
      <c r="N89"/>
      <c r="O89"/>
      <c r="P89" s="44">
        <f t="shared" ref="P89:P94" si="112">COUNTIF($K$2:$K$87,$K89)</f>
        <v>14</v>
      </c>
      <c r="Q89" s="43">
        <f>SUMIF($K$2:$K$87,$K89,Q$2:Q$87)/14</f>
        <v>48016.5</v>
      </c>
      <c r="R89" s="43">
        <f t="shared" ref="R89:S94" si="113">SUMIF($K$2:$K$87,$K89,R$2:R$87)/14</f>
        <v>45730</v>
      </c>
      <c r="S89" s="43">
        <f t="shared" si="113"/>
        <v>43443.5</v>
      </c>
      <c r="T89" s="43">
        <f t="shared" ref="T89:V94" si="114">SUMIF($K$2:$K$87,$K89,T$2:T$87)/8</f>
        <v>0</v>
      </c>
      <c r="U89" s="43">
        <f t="shared" si="114"/>
        <v>0</v>
      </c>
      <c r="V89" s="43">
        <f t="shared" si="114"/>
        <v>0</v>
      </c>
      <c r="W89" s="43">
        <f t="shared" ref="W89:AA94" si="115">SUMIF($K$2:$K$87,$K89,W$2:W$87)</f>
        <v>139322182.48000002</v>
      </c>
      <c r="X89" s="43">
        <f t="shared" si="115"/>
        <v>2901.5480611872999</v>
      </c>
      <c r="Y89" s="43">
        <f t="shared" si="115"/>
        <v>3046.6254642466652</v>
      </c>
      <c r="Z89" s="43">
        <f t="shared" si="115"/>
        <v>3206.9741728912263</v>
      </c>
      <c r="AA89" s="43">
        <f t="shared" si="115"/>
        <v>0</v>
      </c>
      <c r="AB89" s="52" t="s">
        <v>58</v>
      </c>
      <c r="AC89" s="20"/>
      <c r="AD89" s="20"/>
    </row>
    <row r="90" spans="1:30" ht="19" x14ac:dyDescent="0.25">
      <c r="B90" s="50" t="s">
        <v>61</v>
      </c>
      <c r="C90" s="50" t="s">
        <v>74</v>
      </c>
      <c r="D90" s="2"/>
      <c r="E90"/>
      <c r="F90"/>
      <c r="G90"/>
      <c r="H90"/>
      <c r="I90"/>
      <c r="J90"/>
      <c r="K90" s="84" t="s">
        <v>82</v>
      </c>
      <c r="L90" s="45">
        <f t="shared" ref="L90:L94" si="116">SUMIF($K$2:$K$87,$K90,L$2:L$87)/14</f>
        <v>2020</v>
      </c>
      <c r="M90"/>
      <c r="N90"/>
      <c r="O90"/>
      <c r="P90" s="44">
        <f t="shared" si="112"/>
        <v>14</v>
      </c>
      <c r="Q90" s="43">
        <f t="shared" ref="Q90:Q94" si="117">SUMIF($K$2:$K$87,$K90,Q$2:Q$87)/14</f>
        <v>26865.299999999992</v>
      </c>
      <c r="R90" s="43">
        <f t="shared" si="113"/>
        <v>25586</v>
      </c>
      <c r="S90" s="43">
        <f t="shared" si="113"/>
        <v>24306.700000000004</v>
      </c>
      <c r="T90" s="43">
        <f t="shared" si="114"/>
        <v>0</v>
      </c>
      <c r="U90" s="43">
        <f t="shared" si="114"/>
        <v>0</v>
      </c>
      <c r="V90" s="43">
        <f t="shared" si="114"/>
        <v>0</v>
      </c>
      <c r="W90" s="43">
        <f t="shared" si="115"/>
        <v>130254932.94411641</v>
      </c>
      <c r="X90" s="43">
        <f t="shared" si="115"/>
        <v>4848.4451297441829</v>
      </c>
      <c r="Y90" s="43">
        <f t="shared" si="115"/>
        <v>5090.8673862313926</v>
      </c>
      <c r="Z90" s="43">
        <f t="shared" si="115"/>
        <v>5358.8077749804143</v>
      </c>
      <c r="AA90" s="43">
        <f t="shared" si="115"/>
        <v>0</v>
      </c>
      <c r="AB90" s="52" t="s">
        <v>58</v>
      </c>
      <c r="AC90" s="20"/>
      <c r="AD90" s="20"/>
    </row>
    <row r="91" spans="1:30" ht="19" x14ac:dyDescent="0.25">
      <c r="B91" s="50" t="s">
        <v>61</v>
      </c>
      <c r="C91" s="50" t="s">
        <v>75</v>
      </c>
      <c r="D91" s="2"/>
      <c r="E91"/>
      <c r="F91"/>
      <c r="G91"/>
      <c r="H91"/>
      <c r="I91"/>
      <c r="J91"/>
      <c r="K91" s="84" t="s">
        <v>83</v>
      </c>
      <c r="L91" s="45">
        <f t="shared" si="116"/>
        <v>2022</v>
      </c>
      <c r="M91"/>
      <c r="N91"/>
      <c r="O91"/>
      <c r="P91" s="44">
        <f t="shared" si="112"/>
        <v>14</v>
      </c>
      <c r="Q91" s="43">
        <f t="shared" si="117"/>
        <v>5163.9000000000005</v>
      </c>
      <c r="R91" s="43">
        <f t="shared" si="113"/>
        <v>4918</v>
      </c>
      <c r="S91" s="43">
        <f t="shared" si="113"/>
        <v>4672.0999999999995</v>
      </c>
      <c r="T91" s="43">
        <f t="shared" si="114"/>
        <v>0</v>
      </c>
      <c r="U91" s="43">
        <f t="shared" si="114"/>
        <v>0</v>
      </c>
      <c r="V91" s="43">
        <f t="shared" si="114"/>
        <v>0</v>
      </c>
      <c r="W91" s="43">
        <f t="shared" si="115"/>
        <v>22603454</v>
      </c>
      <c r="X91" s="43">
        <f t="shared" si="115"/>
        <v>4377.2059877224574</v>
      </c>
      <c r="Y91" s="43">
        <f t="shared" si="115"/>
        <v>4596.0662871085806</v>
      </c>
      <c r="Z91" s="43">
        <f t="shared" si="115"/>
        <v>4837.9645127458753</v>
      </c>
      <c r="AA91" s="43">
        <f t="shared" si="115"/>
        <v>0</v>
      </c>
      <c r="AB91" s="52" t="s">
        <v>58</v>
      </c>
      <c r="AC91" s="20"/>
      <c r="AD91" s="20"/>
    </row>
    <row r="92" spans="1:30" ht="19" x14ac:dyDescent="0.25">
      <c r="B92" s="50" t="s">
        <v>61</v>
      </c>
      <c r="C92" s="50" t="s">
        <v>75</v>
      </c>
      <c r="D92" s="2"/>
      <c r="E92"/>
      <c r="F92"/>
      <c r="G92"/>
      <c r="H92"/>
      <c r="I92"/>
      <c r="J92"/>
      <c r="K92" s="84" t="s">
        <v>84</v>
      </c>
      <c r="L92" s="45">
        <f t="shared" si="116"/>
        <v>2022</v>
      </c>
      <c r="M92"/>
      <c r="N92"/>
      <c r="O92"/>
      <c r="P92" s="44">
        <f t="shared" si="112"/>
        <v>14</v>
      </c>
      <c r="Q92" s="43">
        <f t="shared" si="117"/>
        <v>21178.5</v>
      </c>
      <c r="R92" s="43">
        <f t="shared" si="113"/>
        <v>20170</v>
      </c>
      <c r="S92" s="43">
        <f t="shared" si="113"/>
        <v>19161.5</v>
      </c>
      <c r="T92" s="43">
        <f t="shared" si="114"/>
        <v>0</v>
      </c>
      <c r="U92" s="43">
        <f t="shared" si="114"/>
        <v>0</v>
      </c>
      <c r="V92" s="43">
        <f t="shared" si="114"/>
        <v>0</v>
      </c>
      <c r="W92" s="43">
        <f t="shared" si="115"/>
        <v>87831641</v>
      </c>
      <c r="X92" s="43">
        <f t="shared" si="115"/>
        <v>4147.2078286941942</v>
      </c>
      <c r="Y92" s="43">
        <f t="shared" si="115"/>
        <v>4354.5682201289055</v>
      </c>
      <c r="Z92" s="43">
        <f t="shared" si="115"/>
        <v>4583.7560211883201</v>
      </c>
      <c r="AA92" s="43">
        <f t="shared" si="115"/>
        <v>0</v>
      </c>
      <c r="AB92" s="52" t="s">
        <v>58</v>
      </c>
      <c r="AC92" s="20"/>
      <c r="AD92" s="20"/>
    </row>
    <row r="93" spans="1:30" ht="19" x14ac:dyDescent="0.25">
      <c r="B93" s="50" t="s">
        <v>61</v>
      </c>
      <c r="C93" s="50" t="s">
        <v>74</v>
      </c>
      <c r="D93" s="2"/>
      <c r="E93"/>
      <c r="F93"/>
      <c r="G93"/>
      <c r="H93"/>
      <c r="I93"/>
      <c r="J93"/>
      <c r="K93" s="84" t="s">
        <v>85</v>
      </c>
      <c r="L93" s="45">
        <f t="shared" si="116"/>
        <v>2024</v>
      </c>
      <c r="M93"/>
      <c r="N93"/>
      <c r="O93"/>
      <c r="P93" s="44">
        <f t="shared" si="112"/>
        <v>14</v>
      </c>
      <c r="Q93" s="43">
        <f t="shared" si="117"/>
        <v>994.35000000000025</v>
      </c>
      <c r="R93" s="43">
        <f t="shared" si="113"/>
        <v>947</v>
      </c>
      <c r="S93" s="43">
        <f t="shared" si="113"/>
        <v>899.64999999999975</v>
      </c>
      <c r="T93" s="43">
        <f t="shared" si="114"/>
        <v>0</v>
      </c>
      <c r="U93" s="43">
        <f t="shared" si="114"/>
        <v>0</v>
      </c>
      <c r="V93" s="43">
        <f t="shared" si="114"/>
        <v>0</v>
      </c>
      <c r="W93" s="43">
        <f t="shared" si="115"/>
        <v>7150797</v>
      </c>
      <c r="X93" s="43">
        <f t="shared" si="115"/>
        <v>7191.4285714285716</v>
      </c>
      <c r="Y93" s="43">
        <f t="shared" si="115"/>
        <v>7551</v>
      </c>
      <c r="Z93" s="43">
        <f t="shared" si="115"/>
        <v>7948.4210526315783</v>
      </c>
      <c r="AA93" s="43">
        <f t="shared" si="115"/>
        <v>0</v>
      </c>
      <c r="AB93" s="52" t="s">
        <v>58</v>
      </c>
      <c r="AC93" s="20"/>
      <c r="AD93" s="20"/>
    </row>
    <row r="94" spans="1:30" ht="19" x14ac:dyDescent="0.25">
      <c r="B94" s="50" t="s">
        <v>61</v>
      </c>
      <c r="C94" s="50" t="s">
        <v>74</v>
      </c>
      <c r="D94" s="2"/>
      <c r="E94"/>
      <c r="F94"/>
      <c r="G94"/>
      <c r="H94"/>
      <c r="I94"/>
      <c r="J94"/>
      <c r="K94" s="84" t="s">
        <v>86</v>
      </c>
      <c r="L94" s="45">
        <f t="shared" si="116"/>
        <v>2024</v>
      </c>
      <c r="M94"/>
      <c r="N94"/>
      <c r="O94"/>
      <c r="P94" s="44">
        <f t="shared" si="112"/>
        <v>14</v>
      </c>
      <c r="Q94" s="43">
        <f t="shared" si="117"/>
        <v>4267.1999999999989</v>
      </c>
      <c r="R94" s="43">
        <f t="shared" si="113"/>
        <v>4064</v>
      </c>
      <c r="S94" s="43">
        <f t="shared" si="113"/>
        <v>3860.8000000000006</v>
      </c>
      <c r="T94" s="43">
        <f t="shared" si="114"/>
        <v>0</v>
      </c>
      <c r="U94" s="43">
        <f t="shared" si="114"/>
        <v>0</v>
      </c>
      <c r="V94" s="43">
        <f t="shared" si="114"/>
        <v>0</v>
      </c>
      <c r="W94" s="43">
        <f t="shared" si="115"/>
        <v>25801705</v>
      </c>
      <c r="X94" s="43">
        <f t="shared" si="115"/>
        <v>6046.5187945256839</v>
      </c>
      <c r="Y94" s="43">
        <f t="shared" si="115"/>
        <v>6348.8447342519694</v>
      </c>
      <c r="Z94" s="43">
        <f t="shared" si="115"/>
        <v>6682.9944571073365</v>
      </c>
      <c r="AA94" s="43">
        <f t="shared" si="115"/>
        <v>0</v>
      </c>
      <c r="AB94" s="52" t="s">
        <v>58</v>
      </c>
      <c r="AC94" s="20"/>
      <c r="AD94" s="20"/>
    </row>
    <row r="95" spans="1:30" ht="19" x14ac:dyDescent="0.25">
      <c r="B95" s="2"/>
      <c r="C95" s="54"/>
      <c r="D95" s="2"/>
      <c r="E95"/>
      <c r="F95"/>
      <c r="G95"/>
      <c r="H95"/>
      <c r="I95"/>
      <c r="J95" s="2"/>
      <c r="K95" s="2"/>
      <c r="L95" s="77"/>
      <c r="M95"/>
      <c r="N95"/>
      <c r="O95"/>
      <c r="P95" s="78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80"/>
      <c r="AC95" s="20"/>
      <c r="AD95" s="20"/>
    </row>
    <row r="96" spans="1:30" x14ac:dyDescent="0.2">
      <c r="C96" s="54"/>
      <c r="D96" s="2"/>
      <c r="Q96" s="46">
        <f>SUM(Q3:Q87)/14-SUM(Q89:Q95)</f>
        <v>0</v>
      </c>
      <c r="R96" s="46">
        <f>SUM(R3:R87)/14-SUM(R89:R95)</f>
        <v>0</v>
      </c>
      <c r="S96" s="46">
        <f>SUM(S3:S87)/14-SUM(S89:S95)</f>
        <v>-1.3096723705530167E-10</v>
      </c>
      <c r="T96" s="46">
        <f>SUM(T3:T87)/13-SUM(T89:T95)</f>
        <v>0</v>
      </c>
      <c r="U96" s="34">
        <f t="shared" ref="U96:AA96" si="118">SUM(U3:U87)-SUM(U89:U95)</f>
        <v>0</v>
      </c>
      <c r="V96" s="34">
        <f t="shared" si="118"/>
        <v>0</v>
      </c>
      <c r="W96" s="34">
        <f t="shared" si="118"/>
        <v>0</v>
      </c>
      <c r="X96" s="34">
        <f t="shared" si="118"/>
        <v>0</v>
      </c>
      <c r="Y96" s="34">
        <f t="shared" si="118"/>
        <v>0</v>
      </c>
      <c r="Z96" s="34">
        <f t="shared" si="118"/>
        <v>0</v>
      </c>
      <c r="AA96" s="34">
        <f t="shared" si="118"/>
        <v>0</v>
      </c>
    </row>
  </sheetData>
  <autoFilter ref="A1:AB96" xr:uid="{653E6547-0AEE-2C48-9055-67B151732810}"/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19B6-4CD0-204C-A4C2-3998E62A2E4D}">
  <dimension ref="A1:E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8" sqref="G8"/>
    </sheetView>
  </sheetViews>
  <sheetFormatPr baseColWidth="10" defaultRowHeight="15" x14ac:dyDescent="0.2"/>
  <cols>
    <col min="1" max="1" width="26.6640625" customWidth="1"/>
    <col min="2" max="3" width="21.5" customWidth="1"/>
    <col min="4" max="4" width="2.1640625" customWidth="1"/>
    <col min="5" max="5" width="21.5" customWidth="1"/>
  </cols>
  <sheetData>
    <row r="1" spans="1:5" ht="20" customHeight="1" x14ac:dyDescent="0.2"/>
    <row r="2" spans="1:5" ht="19" x14ac:dyDescent="0.25">
      <c r="B2" s="73">
        <f>COUNTIF(Data!$C$2:$C$87,Sheet1!B3)/14</f>
        <v>3</v>
      </c>
      <c r="C2" s="73">
        <f>COUNTIF(Data!$C$2:$C$87,Sheet1!C3)/14</f>
        <v>3</v>
      </c>
      <c r="D2" s="74"/>
      <c r="E2" s="74"/>
    </row>
    <row r="3" spans="1:5" s="69" customFormat="1" ht="40" x14ac:dyDescent="0.2">
      <c r="B3" s="75" t="s">
        <v>74</v>
      </c>
      <c r="C3" s="75" t="s">
        <v>75</v>
      </c>
      <c r="D3" s="76"/>
      <c r="E3" s="75" t="s">
        <v>66</v>
      </c>
    </row>
    <row r="5" spans="1:5" x14ac:dyDescent="0.2">
      <c r="A5" s="56" t="s">
        <v>79</v>
      </c>
      <c r="B5" s="70">
        <f>SUMIFS(Data!$W$2:$W$87,Data!$U$2:$U$87,Sheet1!$A5,Data!$C$2:$C$87,Sheet1!B$3)</f>
        <v>2455306</v>
      </c>
      <c r="C5" s="70">
        <f>SUMIFS(Data!$W$2:$W$87,Data!$U$2:$U$87,Sheet1!$A5,Data!$C$2:$C$87,Sheet1!C$3)</f>
        <v>2909849</v>
      </c>
      <c r="E5" s="70">
        <f t="shared" ref="E5:E18" si="0">SUM(B5:D5)</f>
        <v>5365155</v>
      </c>
    </row>
    <row r="6" spans="1:5" x14ac:dyDescent="0.2">
      <c r="A6" s="56" t="s">
        <v>37</v>
      </c>
      <c r="B6" s="70">
        <f>SUMIFS(Data!$W$2:$W$87,Data!$U$2:$U$87,Sheet1!$A6,Data!$C$2:$C$87,Sheet1!B$3)</f>
        <v>15935227.144116422</v>
      </c>
      <c r="C6" s="70">
        <f>SUMIFS(Data!$W$2:$W$87,Data!$U$2:$U$87,Sheet1!$A6,Data!$C$2:$C$87,Sheet1!C$3)</f>
        <v>39873765</v>
      </c>
      <c r="E6" s="70">
        <f t="shared" si="0"/>
        <v>55808992.144116424</v>
      </c>
    </row>
    <row r="7" spans="1:5" x14ac:dyDescent="0.2">
      <c r="A7" s="56" t="s">
        <v>38</v>
      </c>
      <c r="B7" s="70">
        <f>SUMIFS(Data!$W$2:$W$87,Data!$U$2:$U$87,Sheet1!$A7,Data!$C$2:$C$87,Sheet1!B$3)</f>
        <v>27564288.399999999</v>
      </c>
      <c r="C7" s="70">
        <f>SUMIFS(Data!$W$2:$W$87,Data!$U$2:$U$87,Sheet1!$A7,Data!$C$2:$C$87,Sheet1!C$3)</f>
        <v>36375421</v>
      </c>
      <c r="E7" s="70">
        <f t="shared" si="0"/>
        <v>63939709.399999999</v>
      </c>
    </row>
    <row r="8" spans="1:5" x14ac:dyDescent="0.2">
      <c r="A8" s="56" t="s">
        <v>39</v>
      </c>
      <c r="B8" s="70">
        <f>SUMIFS(Data!$W$2:$W$87,Data!$U$2:$U$87,Sheet1!$A8,Data!$C$2:$C$87,Sheet1!B$3)</f>
        <v>22051430.719999999</v>
      </c>
      <c r="C8" s="70">
        <f>SUMIFS(Data!$W$2:$W$87,Data!$U$2:$U$87,Sheet1!$A8,Data!$C$2:$C$87,Sheet1!C$3)</f>
        <v>29100336.800000001</v>
      </c>
      <c r="E8" s="70">
        <f t="shared" si="0"/>
        <v>51151767.519999996</v>
      </c>
    </row>
    <row r="9" spans="1:5" x14ac:dyDescent="0.2">
      <c r="A9" s="56" t="s">
        <v>40</v>
      </c>
      <c r="B9" s="70">
        <f>SUMIFS(Data!$W$2:$W$87,Data!$U$2:$U$87,Sheet1!$A9,Data!$C$2:$C$87,Sheet1!B$3)</f>
        <v>5512857.6799999997</v>
      </c>
      <c r="C9" s="70">
        <f>SUMIFS(Data!$W$2:$W$87,Data!$U$2:$U$87,Sheet1!$A9,Data!$C$2:$C$87,Sheet1!C$3)</f>
        <v>7275084.2000000002</v>
      </c>
      <c r="E9" s="70">
        <f t="shared" si="0"/>
        <v>12787941.879999999</v>
      </c>
    </row>
    <row r="10" spans="1:5" x14ac:dyDescent="0.2">
      <c r="A10" s="56" t="s">
        <v>41</v>
      </c>
      <c r="B10" s="70">
        <f>SUMIFS(Data!$W$2:$W$87,Data!$U$2:$U$87,Sheet1!$A10,Data!$C$2:$C$87,Sheet1!B$3)</f>
        <v>8329895</v>
      </c>
      <c r="C10" s="70">
        <f>SUMIFS(Data!$W$2:$W$87,Data!$U$2:$U$87,Sheet1!$A10,Data!$C$2:$C$87,Sheet1!C$3)</f>
        <v>9431418</v>
      </c>
      <c r="E10" s="70">
        <f t="shared" si="0"/>
        <v>17761313</v>
      </c>
    </row>
    <row r="11" spans="1:5" x14ac:dyDescent="0.2">
      <c r="A11" s="56" t="s">
        <v>42</v>
      </c>
      <c r="B11" s="70">
        <f>SUMIFS(Data!$W$2:$W$87,Data!$U$2:$U$87,Sheet1!$A11,Data!$C$2:$C$87,Sheet1!B$3)</f>
        <v>1900562</v>
      </c>
      <c r="C11" s="70">
        <f>SUMIFS(Data!$W$2:$W$87,Data!$U$2:$U$87,Sheet1!$A11,Data!$C$2:$C$87,Sheet1!C$3)</f>
        <v>1885601</v>
      </c>
      <c r="E11" s="70">
        <f t="shared" si="0"/>
        <v>3786163</v>
      </c>
    </row>
    <row r="12" spans="1:5" x14ac:dyDescent="0.2">
      <c r="A12" s="56" t="s">
        <v>43</v>
      </c>
      <c r="B12" s="70">
        <f>SUMIFS(Data!$W$2:$W$87,Data!$U$2:$U$87,Sheet1!$A12,Data!$C$2:$C$87,Sheet1!B$3)</f>
        <v>435255.93</v>
      </c>
      <c r="C12" s="70">
        <f>SUMIFS(Data!$W$2:$W$87,Data!$U$2:$U$87,Sheet1!$A12,Data!$C$2:$C$87,Sheet1!C$3)</f>
        <v>339534.63</v>
      </c>
      <c r="E12" s="70">
        <f t="shared" si="0"/>
        <v>774790.56</v>
      </c>
    </row>
    <row r="13" spans="1:5" x14ac:dyDescent="0.2">
      <c r="A13" s="56" t="s">
        <v>44</v>
      </c>
      <c r="B13" s="70">
        <f>SUMIFS(Data!$W$2:$W$87,Data!$U$2:$U$87,Sheet1!$A13,Data!$C$2:$C$87,Sheet1!B$3)</f>
        <v>0</v>
      </c>
      <c r="C13" s="70">
        <f>SUMIFS(Data!$W$2:$W$87,Data!$U$2:$U$87,Sheet1!$A13,Data!$C$2:$C$87,Sheet1!C$3)</f>
        <v>0</v>
      </c>
      <c r="E13" s="70">
        <f t="shared" si="0"/>
        <v>0</v>
      </c>
    </row>
    <row r="14" spans="1:5" x14ac:dyDescent="0.2">
      <c r="A14" s="56" t="s">
        <v>45</v>
      </c>
      <c r="B14" s="70">
        <f>SUMIFS(Data!$W$2:$W$87,Data!$U$2:$U$87,Sheet1!$A14,Data!$C$2:$C$87,Sheet1!B$3)</f>
        <v>23503820.220000003</v>
      </c>
      <c r="C14" s="70">
        <f>SUMIFS(Data!$W$2:$W$87,Data!$U$2:$U$87,Sheet1!$A14,Data!$C$2:$C$87,Sheet1!C$3)</f>
        <v>29380524.409000002</v>
      </c>
      <c r="E14" s="70">
        <f t="shared" si="0"/>
        <v>52884344.629000008</v>
      </c>
    </row>
    <row r="15" spans="1:5" x14ac:dyDescent="0.2">
      <c r="A15" s="56" t="s">
        <v>46</v>
      </c>
      <c r="B15" s="70">
        <f>SUMIFS(Data!$W$2:$W$87,Data!$U$2:$U$87,Sheet1!$A15,Data!$C$2:$C$87,Sheet1!B$3)</f>
        <v>19586516.850000001</v>
      </c>
      <c r="C15" s="70">
        <f>SUMIFS(Data!$W$2:$W$87,Data!$U$2:$U$87,Sheet1!$A15,Data!$C$2:$C$87,Sheet1!C$3)</f>
        <v>24316411.941</v>
      </c>
      <c r="E15" s="70">
        <f t="shared" si="0"/>
        <v>43902928.791000001</v>
      </c>
    </row>
    <row r="16" spans="1:5" x14ac:dyDescent="0.2">
      <c r="A16" s="56" t="s">
        <v>47</v>
      </c>
      <c r="B16" s="70">
        <f>SUMIFS(Data!$W$2:$W$87,Data!$U$2:$U$87,Sheet1!$A16,Data!$C$2:$C$87,Sheet1!B$3)</f>
        <v>0</v>
      </c>
      <c r="C16" s="70">
        <f>SUMIFS(Data!$W$2:$W$87,Data!$U$2:$U$87,Sheet1!$A16,Data!$C$2:$C$87,Sheet1!C$3)</f>
        <v>0</v>
      </c>
      <c r="E16" s="70">
        <f t="shared" si="0"/>
        <v>0</v>
      </c>
    </row>
    <row r="17" spans="1:5" x14ac:dyDescent="0.2">
      <c r="A17" s="56" t="s">
        <v>48</v>
      </c>
      <c r="B17" s="70">
        <f>SUMIFS(Data!$W$2:$W$87,Data!$U$2:$U$87,Sheet1!$A17,Data!$C$2:$C$87,Sheet1!B$3)</f>
        <v>22365216</v>
      </c>
      <c r="C17" s="70">
        <f>SUMIFS(Data!$W$2:$W$87,Data!$U$2:$U$87,Sheet1!$A17,Data!$C$2:$C$87,Sheet1!C$3)</f>
        <v>48691664.5</v>
      </c>
      <c r="E17" s="70">
        <f t="shared" si="0"/>
        <v>71056880.5</v>
      </c>
    </row>
    <row r="18" spans="1:5" x14ac:dyDescent="0.2">
      <c r="A18" s="56" t="s">
        <v>49</v>
      </c>
      <c r="B18" s="70">
        <f>SUMIFS(Data!$W$2:$W$87,Data!$U$2:$U$87,Sheet1!$A18,Data!$C$2:$C$87,Sheet1!B$3)</f>
        <v>13567059</v>
      </c>
      <c r="C18" s="70">
        <f>SUMIFS(Data!$W$2:$W$87,Data!$U$2:$U$87,Sheet1!$A18,Data!$C$2:$C$87,Sheet1!C$3)</f>
        <v>20177667</v>
      </c>
      <c r="E18" s="70">
        <f t="shared" si="0"/>
        <v>33744726</v>
      </c>
    </row>
    <row r="20" spans="1:5" x14ac:dyDescent="0.2">
      <c r="B20" s="71">
        <f>SUM(B5:B19)</f>
        <v>163207434.94411641</v>
      </c>
      <c r="C20" s="71">
        <f t="shared" ref="C20:E20" si="1">SUM(C5:C19)</f>
        <v>249757277.48000002</v>
      </c>
      <c r="D20" s="71"/>
      <c r="E20" s="71">
        <f t="shared" si="1"/>
        <v>412964712.42411643</v>
      </c>
    </row>
    <row r="22" spans="1:5" x14ac:dyDescent="0.2">
      <c r="A22" s="56" t="s">
        <v>79</v>
      </c>
      <c r="B22" s="72">
        <f t="shared" ref="B22:C35" si="2">B5/B$20</f>
        <v>1.5044081789783151E-2</v>
      </c>
      <c r="C22" s="72">
        <f t="shared" si="2"/>
        <v>1.1650707556391481E-2</v>
      </c>
      <c r="E22" s="72">
        <f t="shared" ref="E22:E23" si="3">E5/E$20</f>
        <v>1.2991800118965042E-2</v>
      </c>
    </row>
    <row r="23" spans="1:5" x14ac:dyDescent="0.2">
      <c r="A23" s="56" t="s">
        <v>37</v>
      </c>
      <c r="B23" s="72">
        <f t="shared" si="2"/>
        <v>9.7637875073355432E-2</v>
      </c>
      <c r="C23" s="72">
        <f t="shared" si="2"/>
        <v>0.15965006266211001</v>
      </c>
      <c r="E23" s="72">
        <f t="shared" si="3"/>
        <v>0.13514227842014831</v>
      </c>
    </row>
    <row r="24" spans="1:5" x14ac:dyDescent="0.2">
      <c r="A24" s="56" t="s">
        <v>38</v>
      </c>
      <c r="B24" s="72">
        <f t="shared" si="2"/>
        <v>0.16889113176393122</v>
      </c>
      <c r="C24" s="72">
        <f t="shared" si="2"/>
        <v>0.14564308742880519</v>
      </c>
      <c r="E24" s="72">
        <f t="shared" ref="E24" si="4">E7/E$20</f>
        <v>0.15483092738038512</v>
      </c>
    </row>
    <row r="25" spans="1:5" x14ac:dyDescent="0.2">
      <c r="A25" s="56" t="s">
        <v>39</v>
      </c>
      <c r="B25" s="72">
        <f t="shared" si="2"/>
        <v>0.13511290541114498</v>
      </c>
      <c r="C25" s="72">
        <f t="shared" si="2"/>
        <v>0.11651446994304415</v>
      </c>
      <c r="E25" s="72">
        <f t="shared" ref="E25" si="5">E8/E$20</f>
        <v>0.12386474190430809</v>
      </c>
    </row>
    <row r="26" spans="1:5" x14ac:dyDescent="0.2">
      <c r="A26" s="56" t="s">
        <v>40</v>
      </c>
      <c r="B26" s="72">
        <f t="shared" si="2"/>
        <v>3.3778226352786246E-2</v>
      </c>
      <c r="C26" s="72">
        <f t="shared" si="2"/>
        <v>2.9128617485761038E-2</v>
      </c>
      <c r="E26" s="72">
        <f t="shared" ref="E26" si="6">E9/E$20</f>
        <v>3.0966185476077022E-2</v>
      </c>
    </row>
    <row r="27" spans="1:5" x14ac:dyDescent="0.2">
      <c r="A27" s="56" t="s">
        <v>41</v>
      </c>
      <c r="B27" s="72">
        <f t="shared" si="2"/>
        <v>5.1038698101298054E-2</v>
      </c>
      <c r="C27" s="72">
        <f t="shared" si="2"/>
        <v>3.7762335076523428E-2</v>
      </c>
      <c r="E27" s="72">
        <f t="shared" ref="E27" si="7">E10/E$20</f>
        <v>4.3009275285872513E-2</v>
      </c>
    </row>
    <row r="28" spans="1:5" x14ac:dyDescent="0.2">
      <c r="A28" s="56" t="s">
        <v>42</v>
      </c>
      <c r="B28" s="72">
        <f t="shared" si="2"/>
        <v>1.1645069972766672E-2</v>
      </c>
      <c r="C28" s="72">
        <f t="shared" si="2"/>
        <v>7.5497339618101596E-3</v>
      </c>
      <c r="E28" s="72">
        <f t="shared" ref="E28" si="8">E11/E$20</f>
        <v>9.1682482451711164E-3</v>
      </c>
    </row>
    <row r="29" spans="1:5" x14ac:dyDescent="0.2">
      <c r="A29" s="56" t="s">
        <v>43</v>
      </c>
      <c r="B29" s="72">
        <f t="shared" si="2"/>
        <v>2.6668878789072033E-3</v>
      </c>
      <c r="C29" s="72">
        <f t="shared" si="2"/>
        <v>1.3594584046792756E-3</v>
      </c>
      <c r="E29" s="72">
        <f t="shared" ref="E29" si="9">E12/E$20</f>
        <v>1.8761665021012426E-3</v>
      </c>
    </row>
    <row r="30" spans="1:5" x14ac:dyDescent="0.2">
      <c r="A30" s="56" t="s">
        <v>44</v>
      </c>
      <c r="B30" s="72">
        <f t="shared" si="2"/>
        <v>0</v>
      </c>
      <c r="C30" s="72">
        <f t="shared" si="2"/>
        <v>0</v>
      </c>
      <c r="E30" s="72">
        <f t="shared" ref="E30" si="10">E13/E$20</f>
        <v>0</v>
      </c>
    </row>
    <row r="31" spans="1:5" x14ac:dyDescent="0.2">
      <c r="A31" s="56" t="s">
        <v>45</v>
      </c>
      <c r="B31" s="72">
        <f t="shared" si="2"/>
        <v>0.144011945460989</v>
      </c>
      <c r="C31" s="72">
        <f t="shared" si="2"/>
        <v>0.11763630956200155</v>
      </c>
      <c r="E31" s="72">
        <f t="shared" ref="E31" si="11">E14/E$20</f>
        <v>0.12806020233197932</v>
      </c>
    </row>
    <row r="32" spans="1:5" x14ac:dyDescent="0.2">
      <c r="A32" s="56" t="s">
        <v>46</v>
      </c>
      <c r="B32" s="72">
        <f t="shared" si="2"/>
        <v>0.12000995455082417</v>
      </c>
      <c r="C32" s="72">
        <f t="shared" si="2"/>
        <v>9.736017379092067E-2</v>
      </c>
      <c r="E32" s="72">
        <f t="shared" ref="E32" si="12">E15/E$20</f>
        <v>0.10631157450061136</v>
      </c>
    </row>
    <row r="33" spans="1:5" x14ac:dyDescent="0.2">
      <c r="A33" s="56" t="s">
        <v>47</v>
      </c>
      <c r="B33" s="90">
        <f t="shared" si="2"/>
        <v>0</v>
      </c>
      <c r="C33" s="90">
        <f t="shared" si="2"/>
        <v>0</v>
      </c>
      <c r="E33" s="72">
        <f t="shared" ref="E33" si="13">E16/E$20</f>
        <v>0</v>
      </c>
    </row>
    <row r="34" spans="1:5" x14ac:dyDescent="0.2">
      <c r="A34" s="56" t="s">
        <v>48</v>
      </c>
      <c r="B34" s="72">
        <f t="shared" si="2"/>
        <v>0.13703552174358991</v>
      </c>
      <c r="C34" s="72">
        <f t="shared" si="2"/>
        <v>0.19495593878700537</v>
      </c>
      <c r="E34" s="72">
        <f t="shared" ref="E34" si="14">E17/E$20</f>
        <v>0.17206525972375164</v>
      </c>
    </row>
    <row r="35" spans="1:5" x14ac:dyDescent="0.2">
      <c r="A35" s="56" t="s">
        <v>49</v>
      </c>
      <c r="B35" s="72">
        <f t="shared" si="2"/>
        <v>8.3127701900624032E-2</v>
      </c>
      <c r="C35" s="72">
        <f t="shared" si="2"/>
        <v>8.078910534094759E-2</v>
      </c>
      <c r="E35" s="72">
        <f t="shared" ref="E35" si="15">E18/E$20</f>
        <v>8.1713340110629182E-2</v>
      </c>
    </row>
    <row r="38" spans="1:5" x14ac:dyDescent="0.2">
      <c r="A38" t="s">
        <v>68</v>
      </c>
      <c r="B38" s="81">
        <f>SUM(B22:B25)</f>
        <v>0.41668599403821482</v>
      </c>
      <c r="C38" s="81">
        <f>SUM(C22:C25)</f>
        <v>0.43345832759035086</v>
      </c>
      <c r="D38" s="81"/>
      <c r="E38" s="81">
        <f t="shared" ref="E38" si="16">SUM(E22:E25)</f>
        <v>0.42682974782380656</v>
      </c>
    </row>
    <row r="39" spans="1:5" x14ac:dyDescent="0.2">
      <c r="A39" t="s">
        <v>69</v>
      </c>
      <c r="B39" s="81">
        <f>SUM(B26:B29)</f>
        <v>9.912888230575817E-2</v>
      </c>
      <c r="C39" s="81">
        <f t="shared" ref="C39:E39" si="17">SUM(C26:C29)</f>
        <v>7.5800144928773905E-2</v>
      </c>
      <c r="E39" s="81">
        <f t="shared" si="17"/>
        <v>8.5019875509221896E-2</v>
      </c>
    </row>
    <row r="40" spans="1:5" x14ac:dyDescent="0.2">
      <c r="A40" t="s">
        <v>70</v>
      </c>
      <c r="B40" s="81">
        <f>SUM(B30:B33)</f>
        <v>0.26402190001181314</v>
      </c>
      <c r="C40" s="81">
        <f t="shared" ref="C40:E40" si="18">SUM(C30:C33)</f>
        <v>0.21499648335292221</v>
      </c>
      <c r="E40" s="81">
        <f t="shared" si="18"/>
        <v>0.23437177683259069</v>
      </c>
    </row>
    <row r="41" spans="1:5" x14ac:dyDescent="0.2">
      <c r="A41" t="s">
        <v>71</v>
      </c>
      <c r="B41" s="81">
        <f>B34</f>
        <v>0.13703552174358991</v>
      </c>
      <c r="C41" s="81">
        <f t="shared" ref="C41:E41" si="19">C34</f>
        <v>0.19495593878700537</v>
      </c>
      <c r="E41" s="81">
        <f t="shared" si="19"/>
        <v>0.17206525972375164</v>
      </c>
    </row>
    <row r="42" spans="1:5" x14ac:dyDescent="0.2">
      <c r="A42" t="s">
        <v>72</v>
      </c>
      <c r="B42" s="81">
        <f>B35</f>
        <v>8.3127701900624032E-2</v>
      </c>
      <c r="C42" s="81">
        <f t="shared" ref="C42:E42" si="20">C35</f>
        <v>8.078910534094759E-2</v>
      </c>
      <c r="E42" s="81">
        <f t="shared" si="20"/>
        <v>8.1713340110629182E-2</v>
      </c>
    </row>
    <row r="43" spans="1:5" x14ac:dyDescent="0.2">
      <c r="B43" s="81">
        <f>SUM(B38:B42)</f>
        <v>1</v>
      </c>
      <c r="C43" s="81">
        <f t="shared" ref="C43:E43" si="21">SUM(C38:C42)</f>
        <v>0.99999999999999989</v>
      </c>
      <c r="E43" s="81">
        <f t="shared" si="21"/>
        <v>0.99999999999999989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0C7C32-7AAB-45F9-ACA5-D5E5DC7349A5}"/>
</file>

<file path=customXml/itemProps2.xml><?xml version="1.0" encoding="utf-8"?>
<ds:datastoreItem xmlns:ds="http://schemas.openxmlformats.org/officeDocument/2006/customXml" ds:itemID="{EC4784EF-C6B7-477A-ABF2-DEAB60AF2854}"/>
</file>

<file path=customXml/itemProps3.xml><?xml version="1.0" encoding="utf-8"?>
<ds:datastoreItem xmlns:ds="http://schemas.openxmlformats.org/officeDocument/2006/customXml" ds:itemID="{01956CEE-D310-4B77-8354-565DD20F52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Fisher</dc:creator>
  <cp:lastModifiedBy>David Parry</cp:lastModifiedBy>
  <dcterms:created xsi:type="dcterms:W3CDTF">2023-02-14T05:49:59Z</dcterms:created>
  <dcterms:modified xsi:type="dcterms:W3CDTF">2025-05-19T06:54:33Z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