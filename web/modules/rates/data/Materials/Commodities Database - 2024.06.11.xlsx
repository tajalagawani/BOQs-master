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3.xml" ContentType="application/vnd.openxmlformats-officedocument.drawingml.chartshap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heme/theme1.xml" ContentType="application/vnd.openxmlformats-officedocument.theme+xml"/>
  <Override PartName="/xl/charts/style3.xml" ContentType="application/vnd.ms-office.chartstyle+xml"/>
  <Override PartName="/xl/charts/colors3.xml" ContentType="application/vnd.ms-office.chartcolorstyle+xml"/>
  <Override PartName="/xl/chartsheets/sheet1.xml" ContentType="application/vnd.openxmlformats-officedocument.spreadsheetml.chartsheet+xml"/>
  <Override PartName="/xl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ry/Documents/OMNI Version 1.2/10_Commodities/"/>
    </mc:Choice>
  </mc:AlternateContent>
  <xr:revisionPtr revIDLastSave="0" documentId="13_ncr:1_{721C3C5E-B4CE-2247-A87A-EF96297BE9B2}" xr6:coauthVersionLast="47" xr6:coauthVersionMax="47" xr10:uidLastSave="{00000000-0000-0000-0000-000000000000}"/>
  <bookViews>
    <workbookView xWindow="-47840" yWindow="-820" windowWidth="29400" windowHeight="17400" activeTab="1" xr2:uid="{5B79D263-E8E3-C04E-8ECA-985EF88EE40B}"/>
  </bookViews>
  <sheets>
    <sheet name="Data Orig" sheetId="1" r:id="rId1"/>
    <sheet name="Data Live" sheetId="2" r:id="rId2"/>
    <sheet name="Tracker" sheetId="4" r:id="rId3"/>
  </sheets>
  <definedNames>
    <definedName name="_xlnm.Print_Area" localSheetId="1">'Data Live'!$A$3:$AB$35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2" i="2" s="1"/>
  <c r="AA7" i="2"/>
  <c r="AB7" i="2"/>
  <c r="AA8" i="2"/>
  <c r="AB8" i="2"/>
  <c r="AA9" i="2"/>
  <c r="AB9" i="2"/>
  <c r="AA10" i="2"/>
  <c r="AB10" i="2"/>
  <c r="AA11" i="2"/>
  <c r="AB11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20" i="2"/>
  <c r="AB20" i="2"/>
  <c r="AA27" i="2"/>
  <c r="AB27" i="2"/>
  <c r="AA28" i="2"/>
  <c r="AB28" i="2"/>
  <c r="AA30" i="2"/>
  <c r="AB30" i="2"/>
  <c r="AA31" i="2"/>
  <c r="AB31" i="2"/>
  <c r="AA32" i="2"/>
  <c r="AB32" i="2"/>
  <c r="AA33" i="2"/>
  <c r="AB33" i="2"/>
  <c r="AA34" i="2"/>
  <c r="AB34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F21" i="2"/>
  <c r="G21" i="2"/>
  <c r="H21" i="2"/>
  <c r="I21" i="2"/>
  <c r="K21" i="2"/>
  <c r="L21" i="2"/>
  <c r="N21" i="2"/>
  <c r="O21" i="2"/>
  <c r="P21" i="2"/>
  <c r="Q21" i="2"/>
  <c r="S21" i="2"/>
  <c r="T21" i="2"/>
  <c r="V21" i="2"/>
  <c r="W21" i="2"/>
  <c r="X21" i="2"/>
  <c r="Y21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F28" i="2"/>
  <c r="G28" i="2"/>
  <c r="G44" i="2" s="1"/>
  <c r="H28" i="2"/>
  <c r="H44" i="2" s="1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E8" i="2"/>
  <c r="E9" i="2"/>
  <c r="E10" i="2"/>
  <c r="E11" i="2"/>
  <c r="E13" i="2"/>
  <c r="E14" i="2"/>
  <c r="E15" i="2"/>
  <c r="E16" i="2"/>
  <c r="E17" i="2"/>
  <c r="E18" i="2"/>
  <c r="E20" i="2"/>
  <c r="E27" i="2"/>
  <c r="E28" i="2"/>
  <c r="E30" i="2"/>
  <c r="E31" i="2"/>
  <c r="E32" i="2"/>
  <c r="E33" i="2"/>
  <c r="E34" i="2"/>
  <c r="E7" i="2"/>
  <c r="U40" i="1"/>
  <c r="V40" i="1"/>
  <c r="W40" i="1"/>
  <c r="X40" i="1"/>
  <c r="Y40" i="1"/>
  <c r="Z40" i="1"/>
  <c r="AA40" i="1"/>
  <c r="AB40" i="1"/>
  <c r="AC40" i="1"/>
  <c r="AD40" i="1"/>
  <c r="AE40" i="1"/>
  <c r="U41" i="1"/>
  <c r="V41" i="1"/>
  <c r="W41" i="1"/>
  <c r="X41" i="1"/>
  <c r="Y41" i="1"/>
  <c r="Z41" i="1"/>
  <c r="AA41" i="1"/>
  <c r="AB41" i="1"/>
  <c r="AC41" i="1"/>
  <c r="AD41" i="1"/>
  <c r="AE41" i="1"/>
  <c r="O40" i="1"/>
  <c r="P40" i="1"/>
  <c r="Q40" i="1"/>
  <c r="R40" i="1"/>
  <c r="S40" i="1"/>
  <c r="T40" i="1"/>
  <c r="O41" i="1"/>
  <c r="P41" i="1"/>
  <c r="Q41" i="1"/>
  <c r="R41" i="1"/>
  <c r="S41" i="1"/>
  <c r="T41" i="1"/>
  <c r="D40" i="1"/>
  <c r="E40" i="1"/>
  <c r="F40" i="1"/>
  <c r="G40" i="1"/>
  <c r="H40" i="1"/>
  <c r="I40" i="1"/>
  <c r="J40" i="1"/>
  <c r="K40" i="1"/>
  <c r="L40" i="1"/>
  <c r="M40" i="1"/>
  <c r="N40" i="1"/>
  <c r="D41" i="1"/>
  <c r="E41" i="1"/>
  <c r="F41" i="1"/>
  <c r="G41" i="1"/>
  <c r="H41" i="1"/>
  <c r="I41" i="1"/>
  <c r="J41" i="1"/>
  <c r="K41" i="1"/>
  <c r="L41" i="1"/>
  <c r="M41" i="1"/>
  <c r="N41" i="1"/>
  <c r="C41" i="1"/>
  <c r="C40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I20" i="1"/>
  <c r="AH9" i="1"/>
  <c r="AI9" i="1" s="1"/>
  <c r="AH10" i="1"/>
  <c r="AI10" i="1" s="1"/>
  <c r="AH11" i="1"/>
  <c r="AI11" i="1" s="1"/>
  <c r="AH12" i="1"/>
  <c r="AI12" i="1" s="1"/>
  <c r="AH13" i="1"/>
  <c r="AI13" i="1" s="1"/>
  <c r="AH14" i="1"/>
  <c r="AI14" i="1" s="1"/>
  <c r="AH15" i="1"/>
  <c r="AI15" i="1" s="1"/>
  <c r="AH16" i="1"/>
  <c r="AI16" i="1" s="1"/>
  <c r="AH17" i="1"/>
  <c r="AI17" i="1" s="1"/>
  <c r="AH18" i="1"/>
  <c r="AI18" i="1" s="1"/>
  <c r="AH19" i="1"/>
  <c r="AI19" i="1" s="1"/>
  <c r="AH20" i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8" i="1"/>
  <c r="AI8" i="1" s="1"/>
  <c r="AA41" i="2" l="1"/>
  <c r="AA44" i="2"/>
  <c r="AA45" i="2"/>
  <c r="Z21" i="2"/>
  <c r="R21" i="2"/>
  <c r="J21" i="2"/>
  <c r="AB44" i="2"/>
  <c r="AB40" i="2"/>
  <c r="E21" i="2"/>
  <c r="S44" i="2"/>
  <c r="U21" i="2"/>
  <c r="M21" i="2"/>
  <c r="W40" i="2"/>
  <c r="X41" i="2"/>
  <c r="Y39" i="2"/>
  <c r="J40" i="2"/>
  <c r="Z42" i="2"/>
  <c r="R45" i="2"/>
  <c r="N45" i="2"/>
  <c r="P40" i="2"/>
  <c r="N40" i="2"/>
  <c r="F39" i="2"/>
  <c r="I40" i="2"/>
  <c r="N42" i="2"/>
  <c r="Q39" i="2"/>
  <c r="L45" i="2"/>
  <c r="V40" i="2"/>
  <c r="Y44" i="2"/>
  <c r="K41" i="2"/>
  <c r="F44" i="2"/>
  <c r="F42" i="2"/>
  <c r="T44" i="2"/>
  <c r="M44" i="2"/>
  <c r="S39" i="2"/>
  <c r="E46" i="2"/>
  <c r="Q45" i="2"/>
  <c r="J45" i="2"/>
  <c r="X44" i="2"/>
  <c r="Q44" i="2"/>
  <c r="Q41" i="2"/>
  <c r="X40" i="2"/>
  <c r="Q40" i="2"/>
  <c r="I46" i="2"/>
  <c r="W45" i="2"/>
  <c r="H40" i="2"/>
  <c r="K44" i="2"/>
  <c r="V46" i="2"/>
  <c r="P46" i="2"/>
  <c r="H45" i="2"/>
  <c r="H42" i="2"/>
  <c r="G45" i="2"/>
  <c r="AB45" i="2"/>
  <c r="K40" i="2"/>
  <c r="Y46" i="2"/>
  <c r="U45" i="2"/>
  <c r="O45" i="2"/>
  <c r="R44" i="2"/>
  <c r="L44" i="2"/>
  <c r="AA42" i="2"/>
  <c r="AA39" i="2"/>
  <c r="O39" i="2"/>
  <c r="E42" i="2"/>
  <c r="Z45" i="2"/>
  <c r="T45" i="2"/>
  <c r="M45" i="2"/>
  <c r="F45" i="2"/>
  <c r="G42" i="2"/>
  <c r="U39" i="2"/>
  <c r="Y45" i="2"/>
  <c r="S45" i="2"/>
  <c r="T42" i="2"/>
  <c r="M42" i="2"/>
  <c r="W46" i="2"/>
  <c r="X45" i="2"/>
  <c r="K45" i="2"/>
  <c r="Z44" i="2"/>
  <c r="Y42" i="2"/>
  <c r="S42" i="2"/>
  <c r="R40" i="2"/>
  <c r="L40" i="2"/>
  <c r="I22" i="2"/>
  <c r="P22" i="2"/>
  <c r="V22" i="2"/>
  <c r="L22" i="2"/>
  <c r="U22" i="2"/>
  <c r="C23" i="2"/>
  <c r="Y23" i="2" s="1"/>
  <c r="AA22" i="2"/>
  <c r="J22" i="2"/>
  <c r="W22" i="2"/>
  <c r="R22" i="2"/>
  <c r="E22" i="2"/>
  <c r="AB22" i="2"/>
  <c r="K22" i="2"/>
  <c r="Q22" i="2"/>
  <c r="X22" i="2"/>
  <c r="O22" i="2"/>
  <c r="F22" i="2"/>
  <c r="S22" i="2"/>
  <c r="Y22" i="2"/>
  <c r="G22" i="2"/>
  <c r="M22" i="2"/>
  <c r="T22" i="2"/>
  <c r="Z22" i="2"/>
  <c r="N22" i="2"/>
  <c r="H22" i="2"/>
  <c r="AA21" i="2"/>
  <c r="R39" i="2"/>
  <c r="U46" i="2"/>
  <c r="O46" i="2"/>
  <c r="W44" i="2"/>
  <c r="U42" i="2"/>
  <c r="O42" i="2"/>
  <c r="W42" i="2"/>
  <c r="J42" i="2"/>
  <c r="R41" i="2"/>
  <c r="L41" i="2"/>
  <c r="U41" i="2"/>
  <c r="O41" i="2"/>
  <c r="Z40" i="2"/>
  <c r="T40" i="2"/>
  <c r="M40" i="2"/>
  <c r="G40" i="2"/>
  <c r="X46" i="2"/>
  <c r="Q46" i="2"/>
  <c r="K46" i="2"/>
  <c r="V45" i="2"/>
  <c r="P45" i="2"/>
  <c r="I45" i="2"/>
  <c r="V42" i="2"/>
  <c r="P42" i="2"/>
  <c r="I42" i="2"/>
  <c r="Y41" i="2"/>
  <c r="S41" i="2"/>
  <c r="F41" i="2"/>
  <c r="N41" i="2"/>
  <c r="H41" i="2"/>
  <c r="Y40" i="2"/>
  <c r="S40" i="2"/>
  <c r="F40" i="2"/>
  <c r="X39" i="2"/>
  <c r="K39" i="2"/>
  <c r="AA46" i="2"/>
  <c r="X42" i="2"/>
  <c r="Q42" i="2"/>
  <c r="K42" i="2"/>
  <c r="V41" i="2"/>
  <c r="P41" i="2"/>
  <c r="I41" i="2"/>
  <c r="L42" i="2"/>
  <c r="W41" i="2"/>
  <c r="J41" i="2"/>
  <c r="Z41" i="2"/>
  <c r="M41" i="2"/>
  <c r="G41" i="2"/>
  <c r="Z39" i="2"/>
  <c r="T39" i="2"/>
  <c r="M39" i="2"/>
  <c r="G39" i="2"/>
  <c r="W39" i="2"/>
  <c r="J39" i="2"/>
  <c r="U40" i="2"/>
  <c r="O40" i="2"/>
  <c r="E41" i="2"/>
  <c r="R42" i="2"/>
  <c r="T41" i="2"/>
  <c r="AB21" i="2"/>
  <c r="AB42" i="2"/>
  <c r="AB41" i="2"/>
  <c r="U44" i="2"/>
  <c r="O44" i="2"/>
  <c r="J44" i="2"/>
  <c r="N44" i="2"/>
  <c r="V44" i="2"/>
  <c r="P44" i="2"/>
  <c r="I44" i="2"/>
  <c r="AA40" i="2"/>
  <c r="L39" i="2"/>
  <c r="N39" i="2"/>
  <c r="H39" i="2"/>
  <c r="V39" i="2"/>
  <c r="P39" i="2"/>
  <c r="I39" i="2"/>
  <c r="AB39" i="2"/>
  <c r="S46" i="2"/>
  <c r="AB46" i="2"/>
  <c r="F46" i="2"/>
  <c r="J46" i="2"/>
  <c r="L46" i="2"/>
  <c r="R46" i="2"/>
  <c r="Z46" i="2"/>
  <c r="T46" i="2"/>
  <c r="M46" i="2"/>
  <c r="G46" i="2"/>
  <c r="N46" i="2"/>
  <c r="H46" i="2"/>
  <c r="E40" i="2"/>
  <c r="E39" i="2"/>
  <c r="E44" i="2"/>
  <c r="E45" i="2"/>
  <c r="U23" i="2" l="1"/>
  <c r="R23" i="2"/>
  <c r="S23" i="2"/>
  <c r="F23" i="2"/>
  <c r="X23" i="2"/>
  <c r="Q23" i="2"/>
  <c r="L23" i="2"/>
  <c r="E23" i="2"/>
  <c r="P23" i="2"/>
  <c r="Z23" i="2"/>
  <c r="I23" i="2"/>
  <c r="T23" i="2"/>
  <c r="C24" i="2"/>
  <c r="I24" i="2" s="1"/>
  <c r="J23" i="2"/>
  <c r="AA23" i="2"/>
  <c r="H23" i="2"/>
  <c r="AB23" i="2"/>
  <c r="G23" i="2"/>
  <c r="N23" i="2"/>
  <c r="W23" i="2"/>
  <c r="O23" i="2"/>
  <c r="K23" i="2"/>
  <c r="M23" i="2"/>
  <c r="V23" i="2"/>
  <c r="J24" i="2"/>
  <c r="N24" i="2" l="1"/>
  <c r="V24" i="2"/>
  <c r="H24" i="2"/>
  <c r="M24" i="2"/>
  <c r="Q24" i="2"/>
  <c r="P24" i="2"/>
  <c r="Z24" i="2"/>
  <c r="E24" i="2"/>
  <c r="T24" i="2"/>
  <c r="U24" i="2"/>
  <c r="O24" i="2"/>
  <c r="C25" i="2"/>
  <c r="L25" i="2" s="1"/>
  <c r="R24" i="2"/>
  <c r="K24" i="2"/>
  <c r="G24" i="2"/>
  <c r="Y24" i="2"/>
  <c r="AB24" i="2"/>
  <c r="S24" i="2"/>
  <c r="L24" i="2"/>
  <c r="F24" i="2"/>
  <c r="X24" i="2"/>
  <c r="AA24" i="2"/>
  <c r="W24" i="2"/>
  <c r="N25" i="2" l="1"/>
  <c r="N43" i="2" s="1"/>
  <c r="S25" i="2"/>
  <c r="S43" i="2" s="1"/>
  <c r="F25" i="2"/>
  <c r="F43" i="2" s="1"/>
  <c r="X25" i="2"/>
  <c r="X43" i="2" s="1"/>
  <c r="Q25" i="2"/>
  <c r="Q43" i="2" s="1"/>
  <c r="J25" i="2"/>
  <c r="J43" i="2" s="1"/>
  <c r="L43" i="2"/>
  <c r="H25" i="2"/>
  <c r="H43" i="2" s="1"/>
  <c r="G25" i="2"/>
  <c r="G43" i="2" s="1"/>
  <c r="K25" i="2"/>
  <c r="AB25" i="2"/>
  <c r="V25" i="2"/>
  <c r="V43" i="2" s="1"/>
  <c r="I25" i="2"/>
  <c r="I43" i="2" s="1"/>
  <c r="O25" i="2"/>
  <c r="O43" i="2" s="1"/>
  <c r="P25" i="2"/>
  <c r="P43" i="2" s="1"/>
  <c r="AA25" i="2"/>
  <c r="AA43" i="2" s="1"/>
  <c r="T25" i="2"/>
  <c r="T43" i="2" s="1"/>
  <c r="K43" i="2"/>
  <c r="Z25" i="2"/>
  <c r="Z43" i="2" s="1"/>
  <c r="U25" i="2"/>
  <c r="U43" i="2" s="1"/>
  <c r="E25" i="2"/>
  <c r="R25" i="2"/>
  <c r="R43" i="2" s="1"/>
  <c r="Y25" i="2"/>
  <c r="Y43" i="2" s="1"/>
  <c r="W25" i="2"/>
  <c r="W43" i="2" s="1"/>
  <c r="M25" i="2"/>
  <c r="M43" i="2" s="1"/>
  <c r="AB43" i="2" l="1"/>
  <c r="E43" i="2"/>
</calcChain>
</file>

<file path=xl/sharedStrings.xml><?xml version="1.0" encoding="utf-8"?>
<sst xmlns="http://schemas.openxmlformats.org/spreadsheetml/2006/main" count="265" uniqueCount="95">
  <si>
    <t>Quantity</t>
  </si>
  <si>
    <t>Materials</t>
  </si>
  <si>
    <t>Quarter 1</t>
  </si>
  <si>
    <t>Quarter 2</t>
  </si>
  <si>
    <t>Quarter 3</t>
  </si>
  <si>
    <t>Quarter 4</t>
  </si>
  <si>
    <t>Year</t>
  </si>
  <si>
    <t>Cement</t>
  </si>
  <si>
    <t>50 kg bag</t>
  </si>
  <si>
    <t xml:space="preserve">Sulphate Resistance Cement    </t>
  </si>
  <si>
    <t>Portland Cement</t>
  </si>
  <si>
    <t>White Cement</t>
  </si>
  <si>
    <t>20 kg bag</t>
  </si>
  <si>
    <t>Lime</t>
  </si>
  <si>
    <t>25 kg bag</t>
  </si>
  <si>
    <t>Gypsum</t>
  </si>
  <si>
    <t>Aggregates &amp; Sand</t>
  </si>
  <si>
    <t>Aggregates 3/4</t>
  </si>
  <si>
    <t>Aggregates 3/8</t>
  </si>
  <si>
    <t>Aggregates 3/16</t>
  </si>
  <si>
    <t xml:space="preserve">Sand / White </t>
  </si>
  <si>
    <t xml:space="preserve">Sand / Black </t>
  </si>
  <si>
    <t xml:space="preserve">Sand / Red </t>
  </si>
  <si>
    <t>Blocks</t>
  </si>
  <si>
    <t>Piece</t>
  </si>
  <si>
    <t>Hollow - 4 cm</t>
  </si>
  <si>
    <t>Hollow - 6 cm</t>
  </si>
  <si>
    <t>Hollow - 8 cm</t>
  </si>
  <si>
    <t>Solid - 4 cm</t>
  </si>
  <si>
    <t>Solid - 6 cm</t>
  </si>
  <si>
    <t>Solid - 8 cm</t>
  </si>
  <si>
    <t>Concrete</t>
  </si>
  <si>
    <t xml:space="preserve">Ready Mix / Normal
(neutin 40) </t>
  </si>
  <si>
    <t xml:space="preserve">Ready Mix / Sulphate
Resistance (neutin 40) </t>
  </si>
  <si>
    <t>Steel</t>
  </si>
  <si>
    <t>Tons</t>
  </si>
  <si>
    <t>Steel Bars 6 - 8 mm</t>
  </si>
  <si>
    <t>Steel Bars 10 - 25</t>
  </si>
  <si>
    <t>(8*16) feet</t>
  </si>
  <si>
    <t>B.R.C. Mesh  6 m.m</t>
  </si>
  <si>
    <t xml:space="preserve">B.R.C. Mesh  7 m.m </t>
  </si>
  <si>
    <t xml:space="preserve">B.R.C. Mesh  8 m.m </t>
  </si>
  <si>
    <t xml:space="preserve"> Source: Dubai Statistics Centre</t>
  </si>
  <si>
    <t>Average Construction Material Prices</t>
  </si>
  <si>
    <t xml:space="preserve"> Value in AED</t>
  </si>
  <si>
    <r>
      <t>20 m</t>
    </r>
    <r>
      <rPr>
        <vertAlign val="superscript"/>
        <sz val="11"/>
        <color indexed="8"/>
        <rFont val="Dubai"/>
        <family val="2"/>
      </rPr>
      <t>3</t>
    </r>
  </si>
  <si>
    <r>
      <t>m</t>
    </r>
    <r>
      <rPr>
        <vertAlign val="superscript"/>
        <sz val="11"/>
        <color indexed="8"/>
        <rFont val="Dubai"/>
        <family val="2"/>
      </rPr>
      <t>3</t>
    </r>
  </si>
  <si>
    <t>QUARTER</t>
  </si>
  <si>
    <t>CEMENT</t>
  </si>
  <si>
    <t>AGGREGATE</t>
  </si>
  <si>
    <t>SAND</t>
  </si>
  <si>
    <t>BLOCKS</t>
  </si>
  <si>
    <t>READY MIX</t>
  </si>
  <si>
    <t>STEEL BAR</t>
  </si>
  <si>
    <t>STEEL MESH</t>
  </si>
  <si>
    <t>LIME / GYPSUM</t>
  </si>
  <si>
    <t>2018-Year</t>
  </si>
  <si>
    <t>2019-Year</t>
  </si>
  <si>
    <t>2020-Year</t>
  </si>
  <si>
    <t>2021-Year</t>
  </si>
  <si>
    <t>2022-Year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</si>
  <si>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</si>
  <si>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</si>
  <si>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</si>
  <si>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</si>
  <si>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</si>
  <si>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</si>
  <si>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</si>
  <si>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</si>
  <si>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</si>
  <si>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</si>
  <si>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</si>
  <si>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</si>
  <si>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</si>
  <si>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</si>
  <si>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</si>
  <si>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</si>
  <si>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</si>
  <si>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</si>
  <si>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</si>
  <si>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</si>
  <si>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</si>
  <si>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</si>
  <si>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</si>
  <si>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</si>
  <si>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100Nr, 50 kg bag</t>
  </si>
  <si>
    <t>100Nr, 20 kg bag</t>
  </si>
  <si>
    <t>100Nr, 25 kg bag</t>
  </si>
  <si>
    <t>200 Blocks</t>
  </si>
  <si>
    <r>
      <t>10 m</t>
    </r>
    <r>
      <rPr>
        <vertAlign val="superscript"/>
        <sz val="11"/>
        <color indexed="8"/>
        <rFont val="Dubai"/>
        <family val="2"/>
      </rPr>
      <t>3</t>
    </r>
  </si>
  <si>
    <t>25Nr, (8*16) feet</t>
  </si>
  <si>
    <t>Currency</t>
  </si>
  <si>
    <t>AED</t>
  </si>
  <si>
    <t xml:space="preserve">Ready Mix / Normal (40N) </t>
  </si>
  <si>
    <t xml:space="preserve">Ready Mix / Sulphate Resistance (40N)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</si>
</sst>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Dubai"/>
      <family val="2"/>
    </font>
    <font>
      <sz val="9"/>
      <color theme="1"/>
      <name val="Dubai"/>
      <family val="2"/>
    </font>
    <font>
      <b/>
      <sz val="9"/>
      <color theme="1"/>
      <name val="Dubai"/>
      <family val="2"/>
    </font>
    <font>
      <sz val="10"/>
      <color theme="1"/>
      <name val="Duba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Dubai"/>
    </font>
    <font>
      <b/>
      <sz val="14"/>
      <color rgb="FFC00000"/>
      <name val="Duba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Dubai"/>
      <family val="2"/>
    </font>
    <font>
      <vertAlign val="superscript"/>
      <sz val="11"/>
      <color indexed="8"/>
      <name val="Dubai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i/>
      <sz val="9"/>
      <color theme="1"/>
      <name val="Duba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readingOrder="2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left" vertical="center" readingOrder="2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readingOrder="1"/>
    </xf>
    <xf numFmtId="0" fontId="10" fillId="3" borderId="0" xfId="0" applyFont="1" applyFill="1" applyAlignment="1">
      <alignment horizontal="left" vertical="center" readingOrder="2"/>
    </xf>
    <xf numFmtId="0" fontId="2" fillId="3" borderId="0" xfId="0" applyFont="1" applyFill="1" applyAlignment="1">
      <alignment horizontal="center" vertical="center" readingOrder="2"/>
    </xf>
    <xf numFmtId="2" fontId="10" fillId="3" borderId="0" xfId="1" applyNumberFormat="1" applyFont="1" applyFill="1" applyAlignment="1">
      <alignment horizontal="center" vertical="center" readingOrder="2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readingOrder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 readingOrder="1"/>
    </xf>
    <xf numFmtId="43" fontId="2" fillId="0" borderId="0" xfId="1" applyFont="1" applyAlignment="1" applyProtection="1">
      <alignment horizontal="left" vertical="center"/>
      <protection locked="0"/>
    </xf>
    <xf numFmtId="43" fontId="2" fillId="0" borderId="0" xfId="1" applyFont="1" applyAlignment="1">
      <alignment horizontal="left" vertical="center"/>
    </xf>
    <xf numFmtId="43" fontId="2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>
      <alignment horizontal="center" vertical="center"/>
    </xf>
    <xf numFmtId="43" fontId="2" fillId="4" borderId="0" xfId="1" applyFont="1" applyFill="1" applyAlignment="1">
      <alignment horizontal="left" vertical="center"/>
    </xf>
    <xf numFmtId="43" fontId="2" fillId="4" borderId="0" xfId="1" applyFont="1" applyFill="1" applyAlignment="1">
      <alignment horizontal="center" vertical="center"/>
    </xf>
    <xf numFmtId="43" fontId="2" fillId="3" borderId="0" xfId="1" applyFont="1" applyFill="1" applyAlignment="1">
      <alignment horizontal="left" vertical="center" readingOrder="2"/>
    </xf>
    <xf numFmtId="43" fontId="2" fillId="3" borderId="0" xfId="1" applyFont="1" applyFill="1" applyAlignment="1">
      <alignment horizontal="center" vertical="center" readingOrder="2"/>
    </xf>
    <xf numFmtId="43" fontId="10" fillId="3" borderId="0" xfId="1" applyFont="1" applyFill="1" applyAlignment="1">
      <alignment horizontal="center" vertical="center" readingOrder="2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readingOrder="2"/>
    </xf>
    <xf numFmtId="43" fontId="2" fillId="6" borderId="0" xfId="1" applyFont="1" applyFill="1" applyAlignment="1">
      <alignment horizontal="left" vertical="center"/>
    </xf>
    <xf numFmtId="43" fontId="2" fillId="6" borderId="0" xfId="1" applyFont="1" applyFill="1" applyAlignment="1">
      <alignment horizontal="left" vertical="center" readingOrder="2"/>
    </xf>
    <xf numFmtId="0" fontId="3" fillId="6" borderId="0" xfId="0" applyFont="1" applyFill="1" applyAlignment="1">
      <alignment horizontal="center" vertical="center" readingOrder="2"/>
    </xf>
    <xf numFmtId="0" fontId="5" fillId="6" borderId="0" xfId="0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/>
    </xf>
    <xf numFmtId="43" fontId="2" fillId="6" borderId="0" xfId="1" applyFont="1" applyFill="1" applyAlignment="1">
      <alignment horizontal="center" vertical="center" readingOrder="2"/>
    </xf>
    <xf numFmtId="2" fontId="10" fillId="6" borderId="0" xfId="1" applyNumberFormat="1" applyFont="1" applyFill="1" applyAlignment="1">
      <alignment horizontal="center" vertical="center" readingOrder="2"/>
    </xf>
    <xf numFmtId="43" fontId="10" fillId="6" borderId="0" xfId="1" applyFont="1" applyFill="1" applyAlignment="1">
      <alignment horizontal="center" vertical="center" readingOrder="2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 readingOrder="2"/>
    </xf>
    <xf numFmtId="0" fontId="2" fillId="6" borderId="0" xfId="0" applyFont="1" applyFill="1" applyAlignment="1">
      <alignment vertical="center" readingOrder="2"/>
    </xf>
    <xf numFmtId="0" fontId="6" fillId="0" borderId="0" xfId="0" applyFont="1" applyAlignment="1">
      <alignment vertical="center"/>
    </xf>
    <xf numFmtId="43" fontId="2" fillId="0" borderId="0" xfId="1" applyFont="1" applyAlignment="1" applyProtection="1">
      <alignment vertical="center"/>
      <protection locked="0"/>
    </xf>
    <xf numFmtId="43" fontId="2" fillId="0" borderId="0" xfId="1" applyFont="1" applyAlignment="1">
      <alignment vertical="center"/>
    </xf>
    <xf numFmtId="43" fontId="2" fillId="6" borderId="0" xfId="1" applyFont="1" applyFill="1" applyAlignment="1">
      <alignment vertical="center"/>
    </xf>
    <xf numFmtId="43" fontId="6" fillId="0" borderId="0" xfId="1" applyFont="1" applyAlignment="1">
      <alignment vertical="center"/>
    </xf>
    <xf numFmtId="9" fontId="6" fillId="0" borderId="0" xfId="2" applyFont="1" applyAlignment="1">
      <alignment vertical="center"/>
    </xf>
    <xf numFmtId="43" fontId="2" fillId="4" borderId="0" xfId="1" applyFont="1" applyFill="1" applyAlignment="1">
      <alignment vertical="center"/>
    </xf>
    <xf numFmtId="43" fontId="2" fillId="3" borderId="0" xfId="1" applyFont="1" applyFill="1" applyAlignment="1">
      <alignment vertical="center" readingOrder="2"/>
    </xf>
    <xf numFmtId="43" fontId="2" fillId="6" borderId="0" xfId="1" applyFont="1" applyFill="1" applyAlignment="1">
      <alignment vertical="center" readingOrder="2"/>
    </xf>
    <xf numFmtId="0" fontId="4" fillId="0" borderId="0" xfId="0" applyFont="1" applyAlignment="1">
      <alignment horizontal="left" vertical="center" readingOrder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readingOrder="2"/>
    </xf>
    <xf numFmtId="0" fontId="15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43" fontId="6" fillId="0" borderId="0" xfId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4" fillId="7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left" wrapText="1"/>
    </xf>
    <xf numFmtId="0" fontId="14" fillId="7" borderId="1" xfId="0" applyFont="1" applyFill="1" applyBorder="1" applyAlignment="1">
      <alignment horizontal="center" wrapText="1"/>
    </xf>
    <xf numFmtId="166" fontId="0" fillId="0" borderId="1" xfId="1" applyNumberFormat="1" applyFont="1" applyBorder="1" applyAlignment="1">
      <alignment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left" vertical="center" wrapText="1" indent="2"/>
    </xf>
    <xf numFmtId="166" fontId="0" fillId="0" borderId="1" xfId="1" applyNumberFormat="1" applyFont="1" applyBorder="1" applyAlignment="1">
      <alignment horizontal="left" vertical="center" indent="2"/>
    </xf>
    <xf numFmtId="166" fontId="13" fillId="0" borderId="1" xfId="1" applyNumberFormat="1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8-7742-891E-96D678D91D6B}"/>
            </c:ext>
          </c:extLst>
        </c:ser>
        <c:ser>
          <c:idx val="1"/>
          <c:order val="1"/>
          <c:tx>
            <c:strRef>
              <c:f>'Data Orig'!$B$42</c:f>
              <c:strCache>
                <c:ptCount val="1"/>
                <c:pt idx="0">
                  <c:v>AGGREGATE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Orig'!$C$42:$AE$42</c:f>
              <c:numCache>
                <c:formatCode>_(* #,##0.00_);_(* \(#,##0.00\);_(* "-"??_);_(@_)</c:formatCode>
                <c:ptCount val="24"/>
                <c:pt idx="0">
                  <c:v>1228.5033333333333</c:v>
                </c:pt>
                <c:pt idx="1">
                  <c:v>1332.19</c:v>
                </c:pt>
                <c:pt idx="2">
                  <c:v>1321.3958333333333</c:v>
                </c:pt>
                <c:pt idx="3">
                  <c:v>1329.1736111111111</c:v>
                </c:pt>
                <c:pt idx="4">
                  <c:v>1251.25</c:v>
                </c:pt>
                <c:pt idx="5">
                  <c:v>1251.25</c:v>
                </c:pt>
                <c:pt idx="6">
                  <c:v>1218.1566666666668</c:v>
                </c:pt>
                <c:pt idx="7">
                  <c:v>1198.2766666666666</c:v>
                </c:pt>
                <c:pt idx="8">
                  <c:v>1198.2766666666666</c:v>
                </c:pt>
                <c:pt idx="9">
                  <c:v>1180.3900000000001</c:v>
                </c:pt>
                <c:pt idx="10">
                  <c:v>1171.4433333333334</c:v>
                </c:pt>
                <c:pt idx="11">
                  <c:v>1165.2233333333334</c:v>
                </c:pt>
                <c:pt idx="12">
                  <c:v>1158.3333333333333</c:v>
                </c:pt>
                <c:pt idx="13">
                  <c:v>1186.2966666666666</c:v>
                </c:pt>
                <c:pt idx="14">
                  <c:v>1225.9233333333332</c:v>
                </c:pt>
                <c:pt idx="15">
                  <c:v>1207.7766666666666</c:v>
                </c:pt>
                <c:pt idx="16">
                  <c:v>1218.5166666666667</c:v>
                </c:pt>
                <c:pt idx="17">
                  <c:v>1276.6633333333332</c:v>
                </c:pt>
                <c:pt idx="18">
                  <c:v>1276.6633333333332</c:v>
                </c:pt>
                <c:pt idx="19">
                  <c:v>1276.6633333333332</c:v>
                </c:pt>
                <c:pt idx="20">
                  <c:v>1276.6633333333332</c:v>
                </c:pt>
                <c:pt idx="21">
                  <c:v>1238.8866666666665</c:v>
                </c:pt>
                <c:pt idx="22">
                  <c:v>1250.5533333333333</c:v>
                </c:pt>
                <c:pt idx="23">
                  <c:v>1250.5533333333333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8-7742-891E-96D678D91D6B}"/>
            </c:ext>
          </c:extLst>
        </c:ser>
        <c:ser>
          <c:idx val="2"/>
          <c:order val="2"/>
          <c:tx>
            <c:strRef>
              <c:f>'Data Orig'!$B$43</c:f>
              <c:strCache>
                <c:ptCount val="1"/>
                <c:pt idx="0">
                  <c:v>SAND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Orig'!$C$43:$AE$43</c:f>
              <c:numCache>
                <c:formatCode>_(* #,##0.00_);_(* \(#,##0.00\);_(* "-"??_);_(@_)</c:formatCode>
                <c:ptCount val="24"/>
                <c:pt idx="0">
                  <c:v>822.50333333333344</c:v>
                </c:pt>
                <c:pt idx="1">
                  <c:v>874.35666666666668</c:v>
                </c:pt>
                <c:pt idx="2">
                  <c:v>868.97916666666663</c:v>
                </c:pt>
                <c:pt idx="3">
                  <c:v>907.0486111111112</c:v>
                </c:pt>
                <c:pt idx="4">
                  <c:v>834.16666666666663</c:v>
                </c:pt>
                <c:pt idx="5">
                  <c:v>834.16666666666663</c:v>
                </c:pt>
                <c:pt idx="6">
                  <c:v>807.5</c:v>
                </c:pt>
                <c:pt idx="7">
                  <c:v>789.16666666666663</c:v>
                </c:pt>
                <c:pt idx="8">
                  <c:v>789.16666666666663</c:v>
                </c:pt>
                <c:pt idx="9">
                  <c:v>789.16666666666663</c:v>
                </c:pt>
                <c:pt idx="10">
                  <c:v>789.16666666666663</c:v>
                </c:pt>
                <c:pt idx="11">
                  <c:v>789.16666666666663</c:v>
                </c:pt>
                <c:pt idx="12">
                  <c:v>826.7600000000001</c:v>
                </c:pt>
                <c:pt idx="13">
                  <c:v>836.02</c:v>
                </c:pt>
                <c:pt idx="14">
                  <c:v>844.16666666666663</c:v>
                </c:pt>
                <c:pt idx="15">
                  <c:v>852.5</c:v>
                </c:pt>
                <c:pt idx="16">
                  <c:v>852.5</c:v>
                </c:pt>
                <c:pt idx="17">
                  <c:v>838.89</c:v>
                </c:pt>
                <c:pt idx="18">
                  <c:v>838.89</c:v>
                </c:pt>
                <c:pt idx="19">
                  <c:v>838.89</c:v>
                </c:pt>
                <c:pt idx="20">
                  <c:v>838.89</c:v>
                </c:pt>
                <c:pt idx="21">
                  <c:v>812.77666666666664</c:v>
                </c:pt>
                <c:pt idx="22">
                  <c:v>816.86</c:v>
                </c:pt>
                <c:pt idx="23">
                  <c:v>816.86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8-7742-891E-96D678D91D6B}"/>
            </c:ext>
          </c:extLst>
        </c:ser>
        <c:ser>
          <c:idx val="3"/>
          <c:order val="3"/>
          <c:tx>
            <c:strRef>
              <c:f>'Data Orig'!$B$44</c:f>
              <c:strCache>
                <c:ptCount val="1"/>
                <c:pt idx="0">
                  <c:v>BLOCKS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Orig'!$C$44:$AE$44</c:f>
              <c:numCache>
                <c:formatCode>_(* #,##0.00_);_(* \(#,##0.00\);_(* "-"??_);_(@_)</c:formatCode>
                <c:ptCount val="24"/>
                <c:pt idx="0">
                  <c:v>3.1766666666666672</c:v>
                </c:pt>
                <c:pt idx="1">
                  <c:v>3.2116666666666673</c:v>
                </c:pt>
                <c:pt idx="2">
                  <c:v>3.2676111111111115</c:v>
                </c:pt>
                <c:pt idx="3">
                  <c:v>3.2154907407407407</c:v>
                </c:pt>
                <c:pt idx="4">
                  <c:v>2.92</c:v>
                </c:pt>
                <c:pt idx="5">
                  <c:v>2.92</c:v>
                </c:pt>
                <c:pt idx="6">
                  <c:v>2.92</c:v>
                </c:pt>
                <c:pt idx="7">
                  <c:v>2.92</c:v>
                </c:pt>
                <c:pt idx="8">
                  <c:v>2.86</c:v>
                </c:pt>
                <c:pt idx="9">
                  <c:v>2.7833333333333332</c:v>
                </c:pt>
                <c:pt idx="10">
                  <c:v>2.6966666666666668</c:v>
                </c:pt>
                <c:pt idx="11">
                  <c:v>2.6966666666666668</c:v>
                </c:pt>
                <c:pt idx="12">
                  <c:v>2.6966666666666668</c:v>
                </c:pt>
                <c:pt idx="13">
                  <c:v>2.6966666666666668</c:v>
                </c:pt>
                <c:pt idx="14">
                  <c:v>2.6966666666666668</c:v>
                </c:pt>
                <c:pt idx="15">
                  <c:v>2.6966666666666668</c:v>
                </c:pt>
                <c:pt idx="16">
                  <c:v>2.7149999999999999</c:v>
                </c:pt>
                <c:pt idx="17">
                  <c:v>2.7550000000000003</c:v>
                </c:pt>
                <c:pt idx="18">
                  <c:v>2.7550000000000003</c:v>
                </c:pt>
                <c:pt idx="19">
                  <c:v>2.7550000000000003</c:v>
                </c:pt>
                <c:pt idx="20">
                  <c:v>2.7550000000000003</c:v>
                </c:pt>
                <c:pt idx="21">
                  <c:v>2.7900000000000005</c:v>
                </c:pt>
                <c:pt idx="22">
                  <c:v>2.8133333333333339</c:v>
                </c:pt>
                <c:pt idx="23">
                  <c:v>2.8050000000000002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8-7742-891E-96D678D91D6B}"/>
            </c:ext>
          </c:extLst>
        </c:ser>
        <c:ser>
          <c:idx val="4"/>
          <c:order val="4"/>
          <c:tx>
            <c:strRef>
              <c:f>'Data Orig'!$B$45</c:f>
              <c:strCache>
                <c:ptCount val="1"/>
                <c:pt idx="0">
                  <c:v>READY MIX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Orig'!$C$45:$AE$45</c:f>
              <c:numCache>
                <c:formatCode>_(* #,##0.00_);_(* \(#,##0.00\);_(* "-"??_);_(@_)</c:formatCode>
                <c:ptCount val="24"/>
                <c:pt idx="0">
                  <c:v>265.27499999999998</c:v>
                </c:pt>
                <c:pt idx="1">
                  <c:v>265.77999999999997</c:v>
                </c:pt>
                <c:pt idx="2">
                  <c:v>265.78125</c:v>
                </c:pt>
                <c:pt idx="3">
                  <c:v>266.58333333333337</c:v>
                </c:pt>
                <c:pt idx="4">
                  <c:v>265.28499999999997</c:v>
                </c:pt>
                <c:pt idx="5">
                  <c:v>253.86500000000001</c:v>
                </c:pt>
                <c:pt idx="6">
                  <c:v>253.2</c:v>
                </c:pt>
                <c:pt idx="7">
                  <c:v>251.51999999999998</c:v>
                </c:pt>
                <c:pt idx="8">
                  <c:v>247.53</c:v>
                </c:pt>
                <c:pt idx="9">
                  <c:v>240.26499999999999</c:v>
                </c:pt>
                <c:pt idx="10">
                  <c:v>236.005</c:v>
                </c:pt>
                <c:pt idx="11">
                  <c:v>233.965</c:v>
                </c:pt>
                <c:pt idx="12">
                  <c:v>225.55</c:v>
                </c:pt>
                <c:pt idx="13">
                  <c:v>208.37</c:v>
                </c:pt>
                <c:pt idx="14">
                  <c:v>201.8</c:v>
                </c:pt>
                <c:pt idx="15">
                  <c:v>197.38</c:v>
                </c:pt>
                <c:pt idx="16">
                  <c:v>210.04000000000002</c:v>
                </c:pt>
                <c:pt idx="17">
                  <c:v>224.10500000000002</c:v>
                </c:pt>
                <c:pt idx="18">
                  <c:v>227.60500000000002</c:v>
                </c:pt>
                <c:pt idx="19">
                  <c:v>230.83500000000001</c:v>
                </c:pt>
                <c:pt idx="20">
                  <c:v>235.32</c:v>
                </c:pt>
                <c:pt idx="21">
                  <c:v>245.245</c:v>
                </c:pt>
                <c:pt idx="22">
                  <c:v>240.89</c:v>
                </c:pt>
                <c:pt idx="23">
                  <c:v>242.53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98-7742-891E-96D678D91D6B}"/>
            </c:ext>
          </c:extLst>
        </c:ser>
        <c:ser>
          <c:idx val="5"/>
          <c:order val="5"/>
          <c:tx>
            <c:strRef>
              <c:f>'Data Orig'!$B$46</c:f>
              <c:strCache>
                <c:ptCount val="1"/>
                <c:pt idx="0">
                  <c:v>STEEL BAR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Orig'!$C$46:$AE$46</c:f>
              <c:numCache>
                <c:formatCode>_(* #,##0.00_);_(* \(#,##0.00\);_(* "-"??_);_(@_)</c:formatCode>
                <c:ptCount val="24"/>
                <c:pt idx="0">
                  <c:v>2661.5050000000001</c:v>
                </c:pt>
                <c:pt idx="1">
                  <c:v>2590.605</c:v>
                </c:pt>
                <c:pt idx="2">
                  <c:v>2471.2628333333332</c:v>
                </c:pt>
                <c:pt idx="3">
                  <c:v>2274.8885</c:v>
                </c:pt>
                <c:pt idx="4">
                  <c:v>2254.5250000000001</c:v>
                </c:pt>
                <c:pt idx="5">
                  <c:v>2218.42</c:v>
                </c:pt>
                <c:pt idx="6">
                  <c:v>2160.4049999999997</c:v>
                </c:pt>
                <c:pt idx="7">
                  <c:v>2046.7750000000001</c:v>
                </c:pt>
                <c:pt idx="8">
                  <c:v>2128.585</c:v>
                </c:pt>
                <c:pt idx="9">
                  <c:v>1958.385</c:v>
                </c:pt>
                <c:pt idx="10">
                  <c:v>2000.835</c:v>
                </c:pt>
                <c:pt idx="11">
                  <c:v>2260.42</c:v>
                </c:pt>
                <c:pt idx="12">
                  <c:v>2791.2200000000003</c:v>
                </c:pt>
                <c:pt idx="13">
                  <c:v>3010.0349999999999</c:v>
                </c:pt>
                <c:pt idx="14">
                  <c:v>2992.4949999999999</c:v>
                </c:pt>
                <c:pt idx="15">
                  <c:v>2766.49</c:v>
                </c:pt>
                <c:pt idx="16">
                  <c:v>3045.0450000000001</c:v>
                </c:pt>
                <c:pt idx="17">
                  <c:v>3298.5299999999997</c:v>
                </c:pt>
                <c:pt idx="18">
                  <c:v>2613.5450000000001</c:v>
                </c:pt>
                <c:pt idx="19">
                  <c:v>2504.6549999999997</c:v>
                </c:pt>
                <c:pt idx="20">
                  <c:v>2738.6499999999996</c:v>
                </c:pt>
                <c:pt idx="21">
                  <c:v>2752.145</c:v>
                </c:pt>
                <c:pt idx="22">
                  <c:v>2568.2849999999999</c:v>
                </c:pt>
                <c:pt idx="23">
                  <c:v>2653.8199999999997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98-7742-891E-96D678D91D6B}"/>
            </c:ext>
          </c:extLst>
        </c:ser>
        <c:ser>
          <c:idx val="6"/>
          <c:order val="6"/>
          <c:tx>
            <c:strRef>
              <c:f>'Data Orig'!$B$47</c:f>
              <c:strCache>
                <c:ptCount val="1"/>
                <c:pt idx="0">
                  <c:v>STEEL MESH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Orig'!$C$47:$AE$47</c:f>
              <c:numCache>
                <c:formatCode>_(* #,##0.00_);_(* \(#,##0.00\);_(* "-"??_);_(@_)</c:formatCode>
                <c:ptCount val="24"/>
                <c:pt idx="0">
                  <c:v>99.8</c:v>
                </c:pt>
                <c:pt idx="1">
                  <c:v>97.206666666666663</c:v>
                </c:pt>
                <c:pt idx="2">
                  <c:v>96.963333333333324</c:v>
                </c:pt>
                <c:pt idx="3">
                  <c:v>92.480851851851824</c:v>
                </c:pt>
                <c:pt idx="4">
                  <c:v>87.343333333333348</c:v>
                </c:pt>
                <c:pt idx="5">
                  <c:v>85.05</c:v>
                </c:pt>
                <c:pt idx="6">
                  <c:v>83.523333333333326</c:v>
                </c:pt>
                <c:pt idx="7">
                  <c:v>78.013333333333335</c:v>
                </c:pt>
                <c:pt idx="8">
                  <c:v>81.99666666666667</c:v>
                </c:pt>
                <c:pt idx="9">
                  <c:v>77.25333333333333</c:v>
                </c:pt>
                <c:pt idx="10">
                  <c:v>79.096666666666678</c:v>
                </c:pt>
                <c:pt idx="11">
                  <c:v>85.266666666666666</c:v>
                </c:pt>
                <c:pt idx="12">
                  <c:v>103.37666666666667</c:v>
                </c:pt>
                <c:pt idx="13">
                  <c:v>111.17666666666666</c:v>
                </c:pt>
                <c:pt idx="14">
                  <c:v>110.86666666666667</c:v>
                </c:pt>
                <c:pt idx="15">
                  <c:v>105.15666666666668</c:v>
                </c:pt>
                <c:pt idx="16">
                  <c:v>108.41000000000001</c:v>
                </c:pt>
                <c:pt idx="17">
                  <c:v>118.54</c:v>
                </c:pt>
                <c:pt idx="18">
                  <c:v>93.703333333333333</c:v>
                </c:pt>
                <c:pt idx="19">
                  <c:v>88.136666666666656</c:v>
                </c:pt>
                <c:pt idx="20">
                  <c:v>92.77</c:v>
                </c:pt>
                <c:pt idx="21">
                  <c:v>90.949999999999989</c:v>
                </c:pt>
                <c:pt idx="22">
                  <c:v>84.523333333333326</c:v>
                </c:pt>
                <c:pt idx="23">
                  <c:v>84.956666666666663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98-7742-891E-96D678D91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0026684456304206E-3"/>
          <c:y val="0.33548851278244179"/>
          <c:w val="5.0136941688159561E-2"/>
          <c:h val="0.30002590448510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Orig'!$B$40</c:f>
              <c:strCache>
                <c:ptCount val="1"/>
                <c:pt idx="0">
                  <c:v>CEMENT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Orig'!$C$40:$AE$40</c:f>
              <c:numCache>
                <c:formatCode>_(* #,##0.00_);_(* \(#,##0.00\);_(* "-"??_);_(@_)</c:formatCode>
                <c:ptCount val="24"/>
                <c:pt idx="0">
                  <c:v>22.103333333333335</c:v>
                </c:pt>
                <c:pt idx="1">
                  <c:v>21.916666666666668</c:v>
                </c:pt>
                <c:pt idx="2">
                  <c:v>22.061349206349206</c:v>
                </c:pt>
                <c:pt idx="3">
                  <c:v>22.06785714285714</c:v>
                </c:pt>
                <c:pt idx="4">
                  <c:v>22.58</c:v>
                </c:pt>
                <c:pt idx="5">
                  <c:v>22.41333333333333</c:v>
                </c:pt>
                <c:pt idx="6">
                  <c:v>22.393333333333334</c:v>
                </c:pt>
                <c:pt idx="7">
                  <c:v>22.156666666666666</c:v>
                </c:pt>
                <c:pt idx="8">
                  <c:v>22.09</c:v>
                </c:pt>
                <c:pt idx="9">
                  <c:v>21.88</c:v>
                </c:pt>
                <c:pt idx="10">
                  <c:v>21.333333333333332</c:v>
                </c:pt>
                <c:pt idx="11">
                  <c:v>21.246666666666666</c:v>
                </c:pt>
                <c:pt idx="12">
                  <c:v>20.82</c:v>
                </c:pt>
                <c:pt idx="13">
                  <c:v>20.873333333333335</c:v>
                </c:pt>
                <c:pt idx="14">
                  <c:v>20.5</c:v>
                </c:pt>
                <c:pt idx="15">
                  <c:v>20.243333333333332</c:v>
                </c:pt>
                <c:pt idx="16">
                  <c:v>20.169999999999998</c:v>
                </c:pt>
                <c:pt idx="17">
                  <c:v>20.260000000000002</c:v>
                </c:pt>
                <c:pt idx="18">
                  <c:v>20.7</c:v>
                </c:pt>
                <c:pt idx="19">
                  <c:v>20.946666666666669</c:v>
                </c:pt>
                <c:pt idx="20">
                  <c:v>20.63</c:v>
                </c:pt>
                <c:pt idx="21">
                  <c:v>21.400000000000002</c:v>
                </c:pt>
                <c:pt idx="22">
                  <c:v>21.343333333333334</c:v>
                </c:pt>
                <c:pt idx="23">
                  <c:v>20.903333333333332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8-1B4E-9E3A-84F250E29B92}"/>
            </c:ext>
          </c:extLst>
        </c:ser>
        <c:ser>
          <c:idx val="1"/>
          <c:order val="1"/>
          <c:tx>
            <c:strRef>
              <c:f>'Data Orig'!$B$41</c:f>
              <c:strCache>
                <c:ptCount val="1"/>
                <c:pt idx="0">
                  <c:v>LIME / GYPSUM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Orig'!$C$39:$AE$39</c:f>
              <c:strCache>
                <c:ptCount val="24"/>
                <c:pt idx="0">
                  <c:v>2018-Q1</c:v>
                </c:pt>
                <c:pt idx="1">
                  <c:v>2018-Q2</c:v>
                </c:pt>
                <c:pt idx="2">
                  <c:v>2018-Q3</c:v>
                </c:pt>
                <c:pt idx="3">
                  <c:v>2018-Q4</c:v>
                </c:pt>
                <c:pt idx="4">
                  <c:v>2019-Q1</c:v>
                </c:pt>
                <c:pt idx="5">
                  <c:v>2019-Q2</c:v>
                </c:pt>
                <c:pt idx="6">
                  <c:v>2019-Q3</c:v>
                </c:pt>
                <c:pt idx="7">
                  <c:v>2019-Q4</c:v>
                </c:pt>
                <c:pt idx="8">
                  <c:v>2020-Q1</c:v>
                </c:pt>
                <c:pt idx="9">
                  <c:v>2020-Q2</c:v>
                </c:pt>
                <c:pt idx="10">
                  <c:v>2020-Q3</c:v>
                </c:pt>
                <c:pt idx="11">
                  <c:v>2020-Q4</c:v>
                </c:pt>
                <c:pt idx="12">
                  <c:v>2021-Q1</c:v>
                </c:pt>
                <c:pt idx="13">
                  <c:v>2021-Q2</c:v>
                </c:pt>
                <c:pt idx="14">
                  <c:v>2021-Q3</c:v>
                </c:pt>
                <c:pt idx="15">
                  <c:v>2021-Q4</c:v>
                </c:pt>
                <c:pt idx="16">
                  <c:v>2022-Q1</c:v>
                </c:pt>
                <c:pt idx="17">
                  <c:v>2022-Q2</c:v>
                </c:pt>
                <c:pt idx="18">
                  <c:v>2022-Q3</c:v>
                </c:pt>
                <c:pt idx="19">
                  <c:v>2022-Q4</c:v>
                </c:pt>
                <c:pt idx="20">
                  <c:v>2023-Q1</c:v>
                </c:pt>
                <c:pt idx="21">
                  <c:v>2023-Q2</c:v>
                </c:pt>
                <c:pt idx="22">
                  <c:v>2023-Q3</c:v>
                </c:pt>
                <c:pt idx="23">
                  <c:v>2023-Q4</c:v>
                </c:pt>
              </c:strCache>
            </c:strRef>
          </c:cat>
          <c:val>
            <c:numRef>
              <c:f>'Data Orig'!$C$41:$AE$41</c:f>
              <c:numCache>
                <c:formatCode>_(* #,##0.00_);_(* \(#,##0.00\);_(* "-"??_);_(@_)</c:formatCode>
                <c:ptCount val="24"/>
                <c:pt idx="0">
                  <c:v>13.895</c:v>
                </c:pt>
                <c:pt idx="1">
                  <c:v>13.82</c:v>
                </c:pt>
                <c:pt idx="2">
                  <c:v>13.768750000000001</c:v>
                </c:pt>
                <c:pt idx="3">
                  <c:v>13.71875</c:v>
                </c:pt>
                <c:pt idx="4">
                  <c:v>12.015000000000001</c:v>
                </c:pt>
                <c:pt idx="5">
                  <c:v>11.785</c:v>
                </c:pt>
                <c:pt idx="6">
                  <c:v>11.725</c:v>
                </c:pt>
                <c:pt idx="7">
                  <c:v>11.725</c:v>
                </c:pt>
                <c:pt idx="8">
                  <c:v>11.785</c:v>
                </c:pt>
                <c:pt idx="9">
                  <c:v>11.9</c:v>
                </c:pt>
                <c:pt idx="10">
                  <c:v>11.9</c:v>
                </c:pt>
                <c:pt idx="11">
                  <c:v>11.9</c:v>
                </c:pt>
                <c:pt idx="12">
                  <c:v>11.9</c:v>
                </c:pt>
                <c:pt idx="13">
                  <c:v>11.9</c:v>
                </c:pt>
                <c:pt idx="14">
                  <c:v>11.9</c:v>
                </c:pt>
                <c:pt idx="15">
                  <c:v>11.9</c:v>
                </c:pt>
                <c:pt idx="16">
                  <c:v>11.9</c:v>
                </c:pt>
                <c:pt idx="17">
                  <c:v>11.9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11.84</c:v>
                </c:pt>
                <c:pt idx="22">
                  <c:v>11.725</c:v>
                </c:pt>
                <c:pt idx="23">
                  <c:v>11.725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8-1B4E-9E3A-84F250E2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134624"/>
        <c:axId val="3033807"/>
      </c:barChart>
      <c:catAx>
        <c:axId val="6621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3033807"/>
        <c:crosses val="autoZero"/>
        <c:auto val="1"/>
        <c:lblAlgn val="ctr"/>
        <c:lblOffset val="100"/>
        <c:noMultiLvlLbl val="0"/>
      </c:catAx>
      <c:valAx>
        <c:axId val="30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E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662134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53064300396003"/>
          <c:y val="2.7167183490382472E-2"/>
          <c:w val="0.77401216084510238"/>
          <c:h val="0.88878765415237482"/>
        </c:manualLayout>
      </c:layout>
      <c:lineChart>
        <c:grouping val="standard"/>
        <c:varyColors val="0"/>
        <c:ser>
          <c:idx val="6"/>
          <c:order val="0"/>
          <c:tx>
            <c:strRef>
              <c:f>'Data Live'!$B$45</c:f>
              <c:strCache>
                <c:ptCount val="1"/>
                <c:pt idx="0">
                  <c:v>STEEL BAR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Live'!$E$45:$AB$45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391-F34C-992F-6D58691F8330}"/>
            </c:ext>
          </c:extLst>
        </c:ser>
        <c:ser>
          <c:idx val="7"/>
          <c:order val="1"/>
          <c:tx>
            <c:strRef>
              <c:f>'Data Live'!$B$46</c:f>
              <c:strCache>
                <c:ptCount val="1"/>
                <c:pt idx="0">
                  <c:v>STEEL MESH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'Data Live'!$E$46:$AB$46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391-F34C-992F-6D58691F8330}"/>
            </c:ext>
          </c:extLst>
        </c:ser>
        <c:ser>
          <c:idx val="5"/>
          <c:order val="2"/>
          <c:tx>
            <c:strRef>
              <c:f>'Data Live'!$B$44</c:f>
              <c:strCache>
                <c:ptCount val="1"/>
                <c:pt idx="0">
                  <c:v>READY MIX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'Data Live'!$E$44:$AB$44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391-F34C-992F-6D58691F8330}"/>
            </c:ext>
          </c:extLst>
        </c:ser>
        <c:ser>
          <c:idx val="0"/>
          <c:order val="3"/>
          <c:tx>
            <c:strRef>
              <c:f>'Data Live'!$B$39</c:f>
              <c:strCache>
                <c:ptCount val="1"/>
                <c:pt idx="0">
                  <c:v>CEMENT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Live'!$E$39:$AB$39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391-F34C-992F-6D58691F8330}"/>
            </c:ext>
          </c:extLst>
        </c:ser>
        <c:ser>
          <c:idx val="1"/>
          <c:order val="4"/>
          <c:tx>
            <c:strRef>
              <c:f>'Data Live'!$B$40</c:f>
              <c:strCache>
                <c:ptCount val="1"/>
                <c:pt idx="0">
                  <c:v>LIME / GYPSUM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 Live'!$E$40:$AB$40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391-F34C-992F-6D58691F8330}"/>
            </c:ext>
          </c:extLst>
        </c:ser>
        <c:ser>
          <c:idx val="2"/>
          <c:order val="5"/>
          <c:tx>
            <c:strRef>
              <c:f>'Data Live'!$B$41</c:f>
              <c:strCache>
                <c:ptCount val="1"/>
                <c:pt idx="0">
                  <c:v>AGGREGATE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 Live'!$E$41:$AB$41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391-F34C-992F-6D58691F8330}"/>
            </c:ext>
          </c:extLst>
        </c:ser>
        <c:ser>
          <c:idx val="3"/>
          <c:order val="6"/>
          <c:tx>
            <c:strRef>
              <c:f>'Data Live'!$B$42</c:f>
              <c:strCache>
                <c:ptCount val="1"/>
                <c:pt idx="0">
                  <c:v>SAND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'Data Live'!$E$42:$AB$42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391-F34C-992F-6D58691F8330}"/>
            </c:ext>
          </c:extLst>
        </c:ser>
        <c:ser>
          <c:idx val="4"/>
          <c:order val="7"/>
          <c:tx>
            <c:strRef>
              <c:f>'Data Live'!$B$43</c:f>
              <c:strCache>
                <c:ptCount val="1"/>
                <c:pt idx="0">
                  <c:v>BLOCKS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'Data Live'!$E$43:$AB$43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'Data Live'!$E$38:$AB$38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391-F34C-992F-6D58691F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601504"/>
        <c:axId val="1103728864"/>
      </c:lineChart>
      <c:catAx>
        <c:axId val="93860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1103728864"/>
        <c:crosses val="autoZero"/>
        <c:auto val="1"/>
        <c:lblAlgn val="ctr"/>
        <c:lblOffset val="100"/>
        <c:noMultiLvlLbl val="0"/>
      </c:catAx>
      <c:valAx>
        <c:axId val="110372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E"/>
          </a:p>
        </c:txPr>
        <c:crossAx val="938601504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140786749482402E-3"/>
          <c:y val="0.13683638065979559"/>
          <c:w val="0.10389255919443663"/>
          <c:h val="0.62542706861811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E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8E2790-1B33-614E-9354-CB3EB9A4D047}">
  <sheetPr>
    <tabColor rgb="FF92D050"/>
  </sheetPr>
  <sheetViews>
    <sheetView zoomScale="135" workbookViewId="0" zoomToFit="1"/>
  </sheetViews>
  <pageMargins left="0.7" right="0.7" top="0.75" bottom="0.75" header="0.3" footer="0.3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71</xdr:row>
      <xdr:rowOff>114300</xdr:rowOff>
    </xdr:from>
    <xdr:to>
      <xdr:col>30</xdr:col>
      <xdr:colOff>431800</xdr:colOff>
      <xdr:row>106</xdr:row>
      <xdr:rowOff>330200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33811-7797-35A0-8B9B-540380EC2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</xdr:colOff>
      <xdr:row>49</xdr:row>
      <xdr:rowOff>152400</xdr:rowOff>
    </xdr:from>
    <xdr:to>
      <xdr:col>30</xdr:col>
      <xdr:colOff>774700</xdr:colOff>
      <xdr:row>68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922B6-55CC-9916-DA17-CE5E6B28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71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7C7A4-7661-7C44-67ED-13B3C89023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0.20505</cdr:x>
      <cdr:y>0.04799</cdr:y>
    </cdr:from>
    <cdr:to>
      <cdr:x>0.62828</cdr:x>
      <cdr:y>0.08978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143577-75D8-EC89-AE73-3271AC925BFC}"/>
            </a:ext>
          </a:extLst>
        </cdr:cNvPr>
        <cdr:cNvSpPr txBox="1"/>
      </cdr:nvSpPr>
      <cdr:spPr>
        <a:xfrm xmlns:a="http://schemas.openxmlformats.org/drawingml/2006/main">
          <a:off x="1909704" y="291630"/>
          <a:ext cx="3941704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>
              <a:solidFill>
                <a:srgbClr val="C00000"/>
              </a:solidFill>
            </a:rPr>
            <a:t>Average</a:t>
          </a:r>
          <a:r>
            <a:rPr lang="en-GB" sz="1100" b="1" baseline="0">
              <a:solidFill>
                <a:srgbClr val="C00000"/>
              </a:solidFill>
            </a:rPr>
            <a:t> Construction Materials Price</a:t>
          </a:r>
          <a:r>
            <a:rPr lang="en-GB" sz="1100" b="1">
              <a:solidFill>
                <a:srgbClr val="C00000"/>
              </a:solidFill>
            </a:rPr>
            <a:t> Tracker Dubai (AED)</a:t>
          </a:r>
        </a:p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E245-EBD4-6E48-827F-38D679EFD287}">
  <dimension ref="A3:AI47"/>
  <sheetViews>
    <sheetView workbookViewId="0">
      <selection activeCell="C12" sqref="C12"/>
    </sheetView>
  </sheetViews>
  <sheetFormatPr baseColWidth="10" defaultRowHeight="28" customHeight="1" x14ac:dyDescent="0.2"/>
  <cols>
    <col min="1" max="1" width="38.1640625" style="40" customWidth="1"/>
    <col min="2" max="2" width="19" style="40" customWidth="1"/>
    <col min="3" max="6" width="10.83203125" style="40"/>
    <col min="7" max="7" width="0" style="41" hidden="1" customWidth="1"/>
    <col min="8" max="11" width="10.83203125" style="40"/>
    <col min="12" max="12" width="0" style="41" hidden="1" customWidth="1"/>
    <col min="13" max="16" width="10.83203125" style="40"/>
    <col min="17" max="17" width="0" style="41" hidden="1" customWidth="1"/>
    <col min="18" max="21" width="10.83203125" style="40"/>
    <col min="22" max="22" width="0" style="41" hidden="1" customWidth="1"/>
    <col min="23" max="26" width="10.83203125" style="40"/>
    <col min="27" max="27" width="0" style="41" hidden="1" customWidth="1"/>
    <col min="28" max="31" width="10.83203125" style="40"/>
    <col min="32" max="32" width="0" style="41" hidden="1" customWidth="1"/>
    <col min="33" max="33" width="1.6640625" style="40" customWidth="1"/>
    <col min="34" max="16384" width="10.83203125" style="40"/>
  </cols>
  <sheetData>
    <row r="3" spans="1:35" ht="28" customHeight="1" x14ac:dyDescent="0.2">
      <c r="A3" s="12" t="s">
        <v>43</v>
      </c>
      <c r="B3" s="1"/>
    </row>
    <row r="4" spans="1:35" ht="28" customHeight="1" x14ac:dyDescent="0.2">
      <c r="A4" s="4" t="s">
        <v>44</v>
      </c>
      <c r="B4" s="3"/>
      <c r="C4" s="2"/>
      <c r="D4" s="2"/>
      <c r="E4" s="2"/>
      <c r="F4" s="2"/>
      <c r="G4" s="29"/>
    </row>
    <row r="5" spans="1:35" s="42" customFormat="1" ht="28" customHeight="1" x14ac:dyDescent="0.2">
      <c r="A5" s="59" t="s">
        <v>1</v>
      </c>
      <c r="B5" s="58" t="s">
        <v>0</v>
      </c>
      <c r="C5" s="11">
        <v>2018</v>
      </c>
      <c r="D5" s="11">
        <v>2018</v>
      </c>
      <c r="E5" s="11">
        <v>2018</v>
      </c>
      <c r="F5" s="11">
        <v>2018</v>
      </c>
      <c r="G5" s="30">
        <v>2018</v>
      </c>
      <c r="H5" s="11">
        <v>2019</v>
      </c>
      <c r="I5" s="11">
        <v>2019</v>
      </c>
      <c r="J5" s="11">
        <v>2019</v>
      </c>
      <c r="K5" s="11">
        <v>2019</v>
      </c>
      <c r="L5" s="30">
        <v>2019</v>
      </c>
      <c r="M5" s="11">
        <v>2020</v>
      </c>
      <c r="N5" s="11">
        <v>2020</v>
      </c>
      <c r="O5" s="11">
        <v>2020</v>
      </c>
      <c r="P5" s="11">
        <v>2020</v>
      </c>
      <c r="Q5" s="30">
        <v>2020</v>
      </c>
      <c r="R5" s="11">
        <v>2021</v>
      </c>
      <c r="S5" s="11">
        <v>2021</v>
      </c>
      <c r="T5" s="11">
        <v>2021</v>
      </c>
      <c r="U5" s="11">
        <v>2021</v>
      </c>
      <c r="V5" s="30">
        <v>2021</v>
      </c>
      <c r="W5" s="11">
        <v>2022</v>
      </c>
      <c r="X5" s="11">
        <v>2022</v>
      </c>
      <c r="Y5" s="11">
        <v>2022</v>
      </c>
      <c r="Z5" s="11">
        <v>2022</v>
      </c>
      <c r="AA5" s="30">
        <v>2022</v>
      </c>
      <c r="AB5" s="11">
        <v>2023</v>
      </c>
      <c r="AC5" s="11">
        <v>2023</v>
      </c>
      <c r="AD5" s="11">
        <v>2023</v>
      </c>
      <c r="AE5" s="11">
        <v>2023</v>
      </c>
      <c r="AF5" s="30">
        <v>2023</v>
      </c>
    </row>
    <row r="6" spans="1:35" s="42" customFormat="1" ht="28" customHeight="1" x14ac:dyDescent="0.2">
      <c r="A6" s="59"/>
      <c r="B6" s="58"/>
      <c r="C6" s="11" t="s">
        <v>2</v>
      </c>
      <c r="D6" s="11" t="s">
        <v>3</v>
      </c>
      <c r="E6" s="11" t="s">
        <v>4</v>
      </c>
      <c r="F6" s="11" t="s">
        <v>5</v>
      </c>
      <c r="G6" s="30" t="s">
        <v>6</v>
      </c>
      <c r="H6" s="11" t="s">
        <v>2</v>
      </c>
      <c r="I6" s="11" t="s">
        <v>3</v>
      </c>
      <c r="J6" s="11" t="s">
        <v>4</v>
      </c>
      <c r="K6" s="11" t="s">
        <v>5</v>
      </c>
      <c r="L6" s="30" t="s">
        <v>6</v>
      </c>
      <c r="M6" s="11" t="s">
        <v>2</v>
      </c>
      <c r="N6" s="11" t="s">
        <v>3</v>
      </c>
      <c r="O6" s="11" t="s">
        <v>4</v>
      </c>
      <c r="P6" s="11" t="s">
        <v>5</v>
      </c>
      <c r="Q6" s="30" t="s">
        <v>6</v>
      </c>
      <c r="R6" s="11" t="s">
        <v>2</v>
      </c>
      <c r="S6" s="11" t="s">
        <v>3</v>
      </c>
      <c r="T6" s="11" t="s">
        <v>4</v>
      </c>
      <c r="U6" s="11" t="s">
        <v>5</v>
      </c>
      <c r="V6" s="30" t="s">
        <v>6</v>
      </c>
      <c r="W6" s="11" t="s">
        <v>2</v>
      </c>
      <c r="X6" s="11" t="s">
        <v>3</v>
      </c>
      <c r="Y6" s="11" t="s">
        <v>4</v>
      </c>
      <c r="Z6" s="11" t="s">
        <v>5</v>
      </c>
      <c r="AA6" s="30" t="s">
        <v>6</v>
      </c>
      <c r="AB6" s="11" t="s">
        <v>2</v>
      </c>
      <c r="AC6" s="11" t="s">
        <v>3</v>
      </c>
      <c r="AD6" s="11" t="s">
        <v>4</v>
      </c>
      <c r="AE6" s="11" t="s">
        <v>5</v>
      </c>
      <c r="AF6" s="30" t="s">
        <v>6</v>
      </c>
    </row>
    <row r="7" spans="1:35" s="45" customFormat="1" ht="28" customHeight="1" x14ac:dyDescent="0.2">
      <c r="A7" s="13" t="s">
        <v>7</v>
      </c>
      <c r="B7" s="13"/>
      <c r="C7" s="14"/>
      <c r="D7" s="14"/>
      <c r="E7" s="14"/>
      <c r="F7" s="14"/>
      <c r="G7" s="31"/>
      <c r="H7" s="43"/>
      <c r="I7" s="43"/>
      <c r="J7" s="43"/>
      <c r="K7" s="43"/>
      <c r="L7" s="44"/>
      <c r="M7" s="43"/>
      <c r="N7" s="43"/>
      <c r="O7" s="43"/>
      <c r="P7" s="43"/>
      <c r="Q7" s="44"/>
      <c r="R7" s="43"/>
      <c r="S7" s="43"/>
      <c r="T7" s="43"/>
      <c r="U7" s="43"/>
      <c r="V7" s="44"/>
      <c r="W7" s="43"/>
      <c r="X7" s="43"/>
      <c r="Y7" s="43"/>
      <c r="Z7" s="43"/>
      <c r="AA7" s="44"/>
      <c r="AB7" s="15"/>
      <c r="AC7" s="15"/>
      <c r="AD7" s="15"/>
      <c r="AE7" s="15"/>
      <c r="AF7" s="38"/>
    </row>
    <row r="8" spans="1:35" s="45" customFormat="1" ht="28" customHeight="1" x14ac:dyDescent="0.2">
      <c r="A8" s="16" t="s">
        <v>9</v>
      </c>
      <c r="B8" s="17" t="s">
        <v>8</v>
      </c>
      <c r="C8" s="20">
        <v>15.62</v>
      </c>
      <c r="D8" s="21">
        <v>15.36</v>
      </c>
      <c r="E8" s="21">
        <v>15.62</v>
      </c>
      <c r="F8" s="21">
        <v>15.531666666666666</v>
      </c>
      <c r="G8" s="32">
        <v>15.431686522084915</v>
      </c>
      <c r="H8" s="46">
        <v>16.41</v>
      </c>
      <c r="I8" s="47">
        <v>16.14</v>
      </c>
      <c r="J8" s="47">
        <v>16.14</v>
      </c>
      <c r="K8" s="47">
        <v>15.89</v>
      </c>
      <c r="L8" s="48">
        <v>16.149999999999999</v>
      </c>
      <c r="M8" s="22">
        <v>15.69</v>
      </c>
      <c r="N8" s="23">
        <v>15.27</v>
      </c>
      <c r="O8" s="23">
        <v>14.79</v>
      </c>
      <c r="P8" s="47">
        <v>14.79</v>
      </c>
      <c r="Q8" s="48">
        <v>15.13</v>
      </c>
      <c r="R8" s="22">
        <v>14.79</v>
      </c>
      <c r="S8" s="23">
        <v>14.93</v>
      </c>
      <c r="T8" s="23">
        <v>14.75</v>
      </c>
      <c r="U8" s="23">
        <v>14.79</v>
      </c>
      <c r="V8" s="36">
        <v>14.82</v>
      </c>
      <c r="W8" s="22">
        <v>14.53</v>
      </c>
      <c r="X8" s="23">
        <v>14.79</v>
      </c>
      <c r="Y8" s="23">
        <v>15.49</v>
      </c>
      <c r="Z8" s="23">
        <v>15.66</v>
      </c>
      <c r="AA8" s="36">
        <v>15.11</v>
      </c>
      <c r="AB8" s="22">
        <v>15.36</v>
      </c>
      <c r="AC8" s="23">
        <v>16.23</v>
      </c>
      <c r="AD8" s="23">
        <v>16.010000000000002</v>
      </c>
      <c r="AE8" s="23">
        <v>15.49</v>
      </c>
      <c r="AF8" s="36">
        <v>15.77</v>
      </c>
      <c r="AG8" s="49"/>
      <c r="AH8" s="49">
        <f>AF8-C8</f>
        <v>0.15000000000000036</v>
      </c>
      <c r="AI8" s="50">
        <f>AH8/C8</f>
        <v>9.603072983354697E-3</v>
      </c>
    </row>
    <row r="9" spans="1:35" s="45" customFormat="1" ht="28" customHeight="1" x14ac:dyDescent="0.2">
      <c r="A9" s="18" t="s">
        <v>10</v>
      </c>
      <c r="B9" s="19" t="s">
        <v>8</v>
      </c>
      <c r="C9" s="24">
        <v>14.91</v>
      </c>
      <c r="D9" s="24">
        <v>14.61</v>
      </c>
      <c r="E9" s="24">
        <v>14.788333333333332</v>
      </c>
      <c r="F9" s="24">
        <v>14.496666666666668</v>
      </c>
      <c r="G9" s="32">
        <v>14.619040974385939</v>
      </c>
      <c r="H9" s="51">
        <v>14.93</v>
      </c>
      <c r="I9" s="51">
        <v>14.7</v>
      </c>
      <c r="J9" s="51">
        <v>14.64</v>
      </c>
      <c r="K9" s="51">
        <v>14.18</v>
      </c>
      <c r="L9" s="48">
        <v>14.61</v>
      </c>
      <c r="M9" s="25">
        <v>14.18</v>
      </c>
      <c r="N9" s="25">
        <v>14.09</v>
      </c>
      <c r="O9" s="25">
        <v>13.39</v>
      </c>
      <c r="P9" s="51">
        <v>13.13</v>
      </c>
      <c r="Q9" s="48">
        <v>13.7</v>
      </c>
      <c r="R9" s="25">
        <v>12.96</v>
      </c>
      <c r="S9" s="25">
        <v>12.34</v>
      </c>
      <c r="T9" s="25">
        <v>11.81</v>
      </c>
      <c r="U9" s="25">
        <v>11.11</v>
      </c>
      <c r="V9" s="36">
        <v>12.06</v>
      </c>
      <c r="W9" s="25">
        <v>11.15</v>
      </c>
      <c r="X9" s="25">
        <v>11.46</v>
      </c>
      <c r="Y9" s="25">
        <v>12.13</v>
      </c>
      <c r="Z9" s="25">
        <v>12.82</v>
      </c>
      <c r="AA9" s="36">
        <v>11.89</v>
      </c>
      <c r="AB9" s="25">
        <v>12.52</v>
      </c>
      <c r="AC9" s="25">
        <v>13.9</v>
      </c>
      <c r="AD9" s="25">
        <v>13.72</v>
      </c>
      <c r="AE9" s="25">
        <v>12.92</v>
      </c>
      <c r="AF9" s="36">
        <v>13.26</v>
      </c>
      <c r="AG9" s="49"/>
      <c r="AH9" s="49">
        <f t="shared" ref="AH9:AH35" si="0">AF9-C9</f>
        <v>-1.6500000000000004</v>
      </c>
      <c r="AI9" s="50">
        <f t="shared" ref="AI9:AI35" si="1">AH9/C9</f>
        <v>-0.11066398390342054</v>
      </c>
    </row>
    <row r="10" spans="1:35" s="45" customFormat="1" ht="28" customHeight="1" x14ac:dyDescent="0.2">
      <c r="A10" s="16" t="s">
        <v>11</v>
      </c>
      <c r="B10" s="17" t="s">
        <v>8</v>
      </c>
      <c r="C10" s="20">
        <v>35.78</v>
      </c>
      <c r="D10" s="21">
        <v>35.78</v>
      </c>
      <c r="E10" s="21">
        <v>35.775714285714287</v>
      </c>
      <c r="F10" s="21">
        <v>36.175238095238093</v>
      </c>
      <c r="G10" s="32">
        <v>35.913095238095238</v>
      </c>
      <c r="H10" s="46">
        <v>36.4</v>
      </c>
      <c r="I10" s="47">
        <v>36.4</v>
      </c>
      <c r="J10" s="47">
        <v>36.4</v>
      </c>
      <c r="K10" s="47">
        <v>36.4</v>
      </c>
      <c r="L10" s="48">
        <v>36.4</v>
      </c>
      <c r="M10" s="22">
        <v>36.4</v>
      </c>
      <c r="N10" s="23">
        <v>36.28</v>
      </c>
      <c r="O10" s="23">
        <v>35.82</v>
      </c>
      <c r="P10" s="47">
        <v>35.82</v>
      </c>
      <c r="Q10" s="48">
        <v>36.04</v>
      </c>
      <c r="R10" s="22">
        <v>34.71</v>
      </c>
      <c r="S10" s="23">
        <v>35.35</v>
      </c>
      <c r="T10" s="23">
        <v>34.94</v>
      </c>
      <c r="U10" s="23">
        <v>34.83</v>
      </c>
      <c r="V10" s="36">
        <v>34.96</v>
      </c>
      <c r="W10" s="22">
        <v>34.83</v>
      </c>
      <c r="X10" s="23">
        <v>34.53</v>
      </c>
      <c r="Y10" s="23">
        <v>34.479999999999997</v>
      </c>
      <c r="Z10" s="23">
        <v>34.36</v>
      </c>
      <c r="AA10" s="36">
        <v>34.549999999999997</v>
      </c>
      <c r="AB10" s="22">
        <v>34.01</v>
      </c>
      <c r="AC10" s="23">
        <v>34.07</v>
      </c>
      <c r="AD10" s="23">
        <v>34.299999999999997</v>
      </c>
      <c r="AE10" s="23">
        <v>34.299999999999997</v>
      </c>
      <c r="AF10" s="36">
        <v>34.17</v>
      </c>
      <c r="AG10" s="49"/>
      <c r="AH10" s="49">
        <f t="shared" si="0"/>
        <v>-1.6099999999999994</v>
      </c>
      <c r="AI10" s="50">
        <f t="shared" si="1"/>
        <v>-4.4997205142537716E-2</v>
      </c>
    </row>
    <row r="11" spans="1:35" s="45" customFormat="1" ht="28" customHeight="1" x14ac:dyDescent="0.2">
      <c r="A11" s="18" t="s">
        <v>13</v>
      </c>
      <c r="B11" s="19" t="s">
        <v>12</v>
      </c>
      <c r="C11" s="24">
        <v>18.64</v>
      </c>
      <c r="D11" s="24">
        <v>18.64</v>
      </c>
      <c r="E11" s="24">
        <v>18.637499999999999</v>
      </c>
      <c r="F11" s="24">
        <v>18.637499999999999</v>
      </c>
      <c r="G11" s="32">
        <v>18.637499999999996</v>
      </c>
      <c r="H11" s="51">
        <v>15.75</v>
      </c>
      <c r="I11" s="51">
        <v>15.75</v>
      </c>
      <c r="J11" s="51">
        <v>15.75</v>
      </c>
      <c r="K11" s="51">
        <v>15.75</v>
      </c>
      <c r="L11" s="48">
        <v>15.75</v>
      </c>
      <c r="M11" s="25">
        <v>15.75</v>
      </c>
      <c r="N11" s="25">
        <v>15.75</v>
      </c>
      <c r="O11" s="25">
        <v>15.75</v>
      </c>
      <c r="P11" s="51">
        <v>15.75</v>
      </c>
      <c r="Q11" s="48">
        <v>15.75</v>
      </c>
      <c r="R11" s="25">
        <v>15.75</v>
      </c>
      <c r="S11" s="25">
        <v>15.75</v>
      </c>
      <c r="T11" s="25">
        <v>15.75</v>
      </c>
      <c r="U11" s="25">
        <v>15.75</v>
      </c>
      <c r="V11" s="36">
        <v>15.75</v>
      </c>
      <c r="W11" s="25">
        <v>15.75</v>
      </c>
      <c r="X11" s="25">
        <v>15.75</v>
      </c>
      <c r="Y11" s="25">
        <v>15.75</v>
      </c>
      <c r="Z11" s="25">
        <v>15.75</v>
      </c>
      <c r="AA11" s="36">
        <v>15.75</v>
      </c>
      <c r="AB11" s="25">
        <v>15.75</v>
      </c>
      <c r="AC11" s="25">
        <v>15.75</v>
      </c>
      <c r="AD11" s="25">
        <v>15.75</v>
      </c>
      <c r="AE11" s="25">
        <v>15.75</v>
      </c>
      <c r="AF11" s="36">
        <v>15.75</v>
      </c>
      <c r="AG11" s="49"/>
      <c r="AH11" s="49">
        <f t="shared" si="0"/>
        <v>-2.8900000000000006</v>
      </c>
      <c r="AI11" s="50">
        <f t="shared" si="1"/>
        <v>-0.15504291845493565</v>
      </c>
    </row>
    <row r="12" spans="1:35" s="45" customFormat="1" ht="28" customHeight="1" x14ac:dyDescent="0.2">
      <c r="A12" s="16" t="s">
        <v>15</v>
      </c>
      <c r="B12" s="17" t="s">
        <v>14</v>
      </c>
      <c r="C12" s="20">
        <v>9.15</v>
      </c>
      <c r="D12" s="21">
        <v>9</v>
      </c>
      <c r="E12" s="21">
        <v>8.9</v>
      </c>
      <c r="F12" s="21">
        <v>8.7999999999999989</v>
      </c>
      <c r="G12" s="32">
        <v>8.9625000000000004</v>
      </c>
      <c r="H12" s="46">
        <v>8.2799999999999994</v>
      </c>
      <c r="I12" s="47">
        <v>7.82</v>
      </c>
      <c r="J12" s="47">
        <v>7.7</v>
      </c>
      <c r="K12" s="47">
        <v>7.7</v>
      </c>
      <c r="L12" s="48">
        <v>7.88</v>
      </c>
      <c r="M12" s="23">
        <v>7.82</v>
      </c>
      <c r="N12" s="23">
        <v>8.0500000000000007</v>
      </c>
      <c r="O12" s="23">
        <v>8.0500000000000007</v>
      </c>
      <c r="P12" s="47">
        <v>8.0500000000000007</v>
      </c>
      <c r="Q12" s="48">
        <v>7.99</v>
      </c>
      <c r="R12" s="23">
        <v>8.0500000000000007</v>
      </c>
      <c r="S12" s="23">
        <v>8.0500000000000007</v>
      </c>
      <c r="T12" s="23">
        <v>8.0500000000000007</v>
      </c>
      <c r="U12" s="23">
        <v>8.0500000000000007</v>
      </c>
      <c r="V12" s="36">
        <v>8.0500000000000007</v>
      </c>
      <c r="W12" s="23">
        <v>8.0500000000000007</v>
      </c>
      <c r="X12" s="23">
        <v>8.0500000000000007</v>
      </c>
      <c r="Y12" s="23">
        <v>8.0500000000000007</v>
      </c>
      <c r="Z12" s="23">
        <v>8.0500000000000007</v>
      </c>
      <c r="AA12" s="36">
        <v>8.0500000000000007</v>
      </c>
      <c r="AB12" s="23">
        <v>8.0500000000000007</v>
      </c>
      <c r="AC12" s="23">
        <v>7.93</v>
      </c>
      <c r="AD12" s="23">
        <v>7.7</v>
      </c>
      <c r="AE12" s="23">
        <v>7.7</v>
      </c>
      <c r="AF12" s="36">
        <v>7.85</v>
      </c>
      <c r="AG12" s="49"/>
      <c r="AH12" s="49">
        <f t="shared" si="0"/>
        <v>-1.3000000000000007</v>
      </c>
      <c r="AI12" s="50">
        <f t="shared" si="1"/>
        <v>-0.14207650273224051</v>
      </c>
    </row>
    <row r="13" spans="1:35" s="45" customFormat="1" ht="28" customHeight="1" x14ac:dyDescent="0.2">
      <c r="A13" s="13" t="s">
        <v>16</v>
      </c>
      <c r="B13" s="13"/>
      <c r="C13" s="26"/>
      <c r="D13" s="26"/>
      <c r="E13" s="26"/>
      <c r="F13" s="26"/>
      <c r="G13" s="33"/>
      <c r="H13" s="52"/>
      <c r="I13" s="52"/>
      <c r="J13" s="52"/>
      <c r="K13" s="52"/>
      <c r="L13" s="53"/>
      <c r="M13" s="27"/>
      <c r="N13" s="27"/>
      <c r="O13" s="27"/>
      <c r="P13" s="52"/>
      <c r="Q13" s="53"/>
      <c r="R13" s="27"/>
      <c r="S13" s="27"/>
      <c r="T13" s="27"/>
      <c r="U13" s="27"/>
      <c r="V13" s="37"/>
      <c r="W13" s="27"/>
      <c r="X13" s="27"/>
      <c r="Y13" s="27"/>
      <c r="Z13" s="27"/>
      <c r="AA13" s="37"/>
      <c r="AB13" s="28"/>
      <c r="AC13" s="28"/>
      <c r="AD13" s="28"/>
      <c r="AE13" s="28"/>
      <c r="AF13" s="39"/>
      <c r="AG13" s="49"/>
      <c r="AH13" s="49">
        <f t="shared" si="0"/>
        <v>0</v>
      </c>
      <c r="AI13" s="50" t="e">
        <f t="shared" si="1"/>
        <v>#DIV/0!</v>
      </c>
    </row>
    <row r="14" spans="1:35" s="45" customFormat="1" ht="28" customHeight="1" x14ac:dyDescent="0.2">
      <c r="A14" s="16" t="s">
        <v>17</v>
      </c>
      <c r="B14" s="17" t="s">
        <v>45</v>
      </c>
      <c r="C14" s="20">
        <v>1155</v>
      </c>
      <c r="D14" s="21">
        <v>1254.75</v>
      </c>
      <c r="E14" s="21">
        <v>1222.375</v>
      </c>
      <c r="F14" s="21">
        <v>1245.7083333333333</v>
      </c>
      <c r="G14" s="32">
        <v>1222.7969101005892</v>
      </c>
      <c r="H14" s="46">
        <v>1207.5</v>
      </c>
      <c r="I14" s="47">
        <v>1207.5</v>
      </c>
      <c r="J14" s="47">
        <v>1161.3900000000001</v>
      </c>
      <c r="K14" s="47">
        <v>1138.33</v>
      </c>
      <c r="L14" s="48">
        <v>1178.68</v>
      </c>
      <c r="M14" s="22">
        <v>1138.33</v>
      </c>
      <c r="N14" s="23">
        <v>1115</v>
      </c>
      <c r="O14" s="23">
        <v>1103.33</v>
      </c>
      <c r="P14" s="47">
        <v>1097.5</v>
      </c>
      <c r="Q14" s="48">
        <v>1113.54</v>
      </c>
      <c r="R14" s="22">
        <v>1091.3900000000001</v>
      </c>
      <c r="S14" s="23">
        <v>1147.78</v>
      </c>
      <c r="T14" s="23">
        <v>1168.33</v>
      </c>
      <c r="U14" s="23">
        <v>1168.33</v>
      </c>
      <c r="V14" s="36">
        <v>1143.96</v>
      </c>
      <c r="W14" s="22">
        <v>1179.44</v>
      </c>
      <c r="X14" s="23">
        <v>1223.33</v>
      </c>
      <c r="Y14" s="23">
        <v>1223.33</v>
      </c>
      <c r="Z14" s="23">
        <v>1223.33</v>
      </c>
      <c r="AA14" s="36">
        <v>1212.3599999999999</v>
      </c>
      <c r="AB14" s="22">
        <v>1223.33</v>
      </c>
      <c r="AC14" s="23">
        <v>1173.33</v>
      </c>
      <c r="AD14" s="23">
        <v>1190.83</v>
      </c>
      <c r="AE14" s="23">
        <v>1190.83</v>
      </c>
      <c r="AF14" s="36">
        <v>1194.58</v>
      </c>
      <c r="AG14" s="49"/>
      <c r="AH14" s="49">
        <f t="shared" si="0"/>
        <v>39.579999999999927</v>
      </c>
      <c r="AI14" s="50">
        <f t="shared" si="1"/>
        <v>3.4268398268398205E-2</v>
      </c>
    </row>
    <row r="15" spans="1:35" s="45" customFormat="1" ht="28" customHeight="1" x14ac:dyDescent="0.2">
      <c r="A15" s="18" t="s">
        <v>18</v>
      </c>
      <c r="B15" s="19" t="s">
        <v>45</v>
      </c>
      <c r="C15" s="24">
        <v>1204.8800000000001</v>
      </c>
      <c r="D15" s="24">
        <v>1304.6300000000001</v>
      </c>
      <c r="E15" s="24">
        <v>1304.625</v>
      </c>
      <c r="F15" s="24">
        <v>1304.625</v>
      </c>
      <c r="G15" s="32">
        <v>1283.1702425822057</v>
      </c>
      <c r="H15" s="51">
        <v>1207.5</v>
      </c>
      <c r="I15" s="51">
        <v>1207.5</v>
      </c>
      <c r="J15" s="51">
        <v>1161.3900000000001</v>
      </c>
      <c r="K15" s="51">
        <v>1138.33</v>
      </c>
      <c r="L15" s="48">
        <v>1178.68</v>
      </c>
      <c r="M15" s="25">
        <v>1138.33</v>
      </c>
      <c r="N15" s="25">
        <v>1115</v>
      </c>
      <c r="O15" s="25">
        <v>1103.33</v>
      </c>
      <c r="P15" s="51">
        <v>1097.5</v>
      </c>
      <c r="Q15" s="48">
        <v>1113.54</v>
      </c>
      <c r="R15" s="25">
        <v>1091.3900000000001</v>
      </c>
      <c r="S15" s="25">
        <v>1147.78</v>
      </c>
      <c r="T15" s="25">
        <v>1168.33</v>
      </c>
      <c r="U15" s="25">
        <v>1168.33</v>
      </c>
      <c r="V15" s="36">
        <v>1143.96</v>
      </c>
      <c r="W15" s="25">
        <v>1179.44</v>
      </c>
      <c r="X15" s="25">
        <v>1223.33</v>
      </c>
      <c r="Y15" s="25">
        <v>1223.33</v>
      </c>
      <c r="Z15" s="25">
        <v>1223.33</v>
      </c>
      <c r="AA15" s="36">
        <v>1212.3599999999999</v>
      </c>
      <c r="AB15" s="25">
        <v>1223.33</v>
      </c>
      <c r="AC15" s="25">
        <v>1173.33</v>
      </c>
      <c r="AD15" s="25">
        <v>1190.83</v>
      </c>
      <c r="AE15" s="25">
        <v>1190.83</v>
      </c>
      <c r="AF15" s="36">
        <v>1194.58</v>
      </c>
      <c r="AG15" s="49"/>
      <c r="AH15" s="49">
        <f t="shared" si="0"/>
        <v>-10.300000000000182</v>
      </c>
      <c r="AI15" s="50">
        <f t="shared" si="1"/>
        <v>-8.5485691521148838E-3</v>
      </c>
    </row>
    <row r="16" spans="1:35" s="45" customFormat="1" ht="28" customHeight="1" x14ac:dyDescent="0.2">
      <c r="A16" s="16" t="s">
        <v>19</v>
      </c>
      <c r="B16" s="17" t="s">
        <v>45</v>
      </c>
      <c r="C16" s="20">
        <v>1325.63</v>
      </c>
      <c r="D16" s="21">
        <v>1437.19</v>
      </c>
      <c r="E16" s="21">
        <v>1437.1875</v>
      </c>
      <c r="F16" s="21">
        <v>1437.1875</v>
      </c>
      <c r="G16" s="32">
        <v>1413.1286506078732</v>
      </c>
      <c r="H16" s="46">
        <v>1338.75</v>
      </c>
      <c r="I16" s="47">
        <v>1338.75</v>
      </c>
      <c r="J16" s="47">
        <v>1331.69</v>
      </c>
      <c r="K16" s="47">
        <v>1318.17</v>
      </c>
      <c r="L16" s="48">
        <v>1331.84</v>
      </c>
      <c r="M16" s="22">
        <v>1318.17</v>
      </c>
      <c r="N16" s="23">
        <v>1311.17</v>
      </c>
      <c r="O16" s="23">
        <v>1307.67</v>
      </c>
      <c r="P16" s="47">
        <v>1300.67</v>
      </c>
      <c r="Q16" s="48">
        <v>1309.42</v>
      </c>
      <c r="R16" s="22">
        <v>1292.22</v>
      </c>
      <c r="S16" s="23">
        <v>1263.33</v>
      </c>
      <c r="T16" s="23">
        <v>1341.11</v>
      </c>
      <c r="U16" s="23">
        <v>1286.67</v>
      </c>
      <c r="V16" s="36">
        <v>1295.83</v>
      </c>
      <c r="W16" s="22">
        <v>1296.67</v>
      </c>
      <c r="X16" s="23">
        <v>1383.33</v>
      </c>
      <c r="Y16" s="23">
        <v>1383.33</v>
      </c>
      <c r="Z16" s="23">
        <v>1383.33</v>
      </c>
      <c r="AA16" s="36">
        <v>1361.67</v>
      </c>
      <c r="AB16" s="22">
        <v>1383.33</v>
      </c>
      <c r="AC16" s="23">
        <v>1370</v>
      </c>
      <c r="AD16" s="23">
        <v>1370</v>
      </c>
      <c r="AE16" s="23">
        <v>1370</v>
      </c>
      <c r="AF16" s="36">
        <v>1373.33</v>
      </c>
      <c r="AG16" s="49"/>
      <c r="AH16" s="49">
        <f t="shared" si="0"/>
        <v>47.699999999999818</v>
      </c>
      <c r="AI16" s="50">
        <f t="shared" si="1"/>
        <v>3.5982891153640013E-2</v>
      </c>
    </row>
    <row r="17" spans="1:35" s="45" customFormat="1" ht="28" customHeight="1" x14ac:dyDescent="0.2">
      <c r="A17" s="18" t="s">
        <v>20</v>
      </c>
      <c r="B17" s="19" t="s">
        <v>45</v>
      </c>
      <c r="C17" s="24">
        <v>866.25</v>
      </c>
      <c r="D17" s="24">
        <v>866.25</v>
      </c>
      <c r="E17" s="24">
        <v>866.25</v>
      </c>
      <c r="F17" s="24">
        <v>877.5</v>
      </c>
      <c r="G17" s="32">
        <v>876.89638357473484</v>
      </c>
      <c r="H17" s="51">
        <v>840</v>
      </c>
      <c r="I17" s="51">
        <v>840</v>
      </c>
      <c r="J17" s="51">
        <v>798.89</v>
      </c>
      <c r="K17" s="51">
        <v>763.33</v>
      </c>
      <c r="L17" s="48">
        <v>810.55</v>
      </c>
      <c r="M17" s="25">
        <v>763.33</v>
      </c>
      <c r="N17" s="25">
        <v>763.33</v>
      </c>
      <c r="O17" s="25">
        <v>763.33</v>
      </c>
      <c r="P17" s="51">
        <v>763.33</v>
      </c>
      <c r="Q17" s="48">
        <v>763.33</v>
      </c>
      <c r="R17" s="25">
        <v>793.33</v>
      </c>
      <c r="S17" s="25">
        <v>805.56</v>
      </c>
      <c r="T17" s="25">
        <v>830</v>
      </c>
      <c r="U17" s="25">
        <v>830</v>
      </c>
      <c r="V17" s="36">
        <v>814.72</v>
      </c>
      <c r="W17" s="25">
        <v>830</v>
      </c>
      <c r="X17" s="25">
        <v>793.33</v>
      </c>
      <c r="Y17" s="25">
        <v>793.33</v>
      </c>
      <c r="Z17" s="25">
        <v>793.33</v>
      </c>
      <c r="AA17" s="36">
        <v>802.5</v>
      </c>
      <c r="AB17" s="25">
        <v>793.33</v>
      </c>
      <c r="AC17" s="25">
        <v>758.33</v>
      </c>
      <c r="AD17" s="25">
        <v>770.58</v>
      </c>
      <c r="AE17" s="25">
        <v>770.58</v>
      </c>
      <c r="AF17" s="36">
        <v>773.21</v>
      </c>
      <c r="AG17" s="49"/>
      <c r="AH17" s="49">
        <f t="shared" si="0"/>
        <v>-93.039999999999964</v>
      </c>
      <c r="AI17" s="50">
        <f t="shared" si="1"/>
        <v>-0.10740548340548337</v>
      </c>
    </row>
    <row r="18" spans="1:35" s="45" customFormat="1" ht="28" customHeight="1" x14ac:dyDescent="0.2">
      <c r="A18" s="16" t="s">
        <v>21</v>
      </c>
      <c r="B18" s="17" t="s">
        <v>45</v>
      </c>
      <c r="C18" s="20">
        <v>984.38</v>
      </c>
      <c r="D18" s="21">
        <v>1118.94</v>
      </c>
      <c r="E18" s="21">
        <v>1099.6875</v>
      </c>
      <c r="F18" s="21">
        <v>1127.6041666666667</v>
      </c>
      <c r="G18" s="32">
        <v>1091.5531820925016</v>
      </c>
      <c r="H18" s="46">
        <v>1101.67</v>
      </c>
      <c r="I18" s="47">
        <v>1101.67</v>
      </c>
      <c r="J18" s="47">
        <v>1075</v>
      </c>
      <c r="K18" s="47">
        <v>1061.67</v>
      </c>
      <c r="L18" s="48">
        <v>1085</v>
      </c>
      <c r="M18" s="22">
        <v>1061.67</v>
      </c>
      <c r="N18" s="23">
        <v>1061.67</v>
      </c>
      <c r="O18" s="23">
        <v>1061.67</v>
      </c>
      <c r="P18" s="47">
        <v>1061.67</v>
      </c>
      <c r="Q18" s="48">
        <v>1061.67</v>
      </c>
      <c r="R18" s="22">
        <v>1085.28</v>
      </c>
      <c r="S18" s="23">
        <v>1100.83</v>
      </c>
      <c r="T18" s="23">
        <v>1100.83</v>
      </c>
      <c r="U18" s="23">
        <v>1100.83</v>
      </c>
      <c r="V18" s="36">
        <v>1096.94</v>
      </c>
      <c r="W18" s="22">
        <v>1100.83</v>
      </c>
      <c r="X18" s="23">
        <v>1116.67</v>
      </c>
      <c r="Y18" s="23">
        <v>1116.67</v>
      </c>
      <c r="Z18" s="23">
        <v>1116.67</v>
      </c>
      <c r="AA18" s="36">
        <v>1112.71</v>
      </c>
      <c r="AB18" s="22">
        <v>1116.67</v>
      </c>
      <c r="AC18" s="23">
        <v>1083.33</v>
      </c>
      <c r="AD18" s="23">
        <v>1083.33</v>
      </c>
      <c r="AE18" s="23">
        <v>1083.33</v>
      </c>
      <c r="AF18" s="36">
        <v>1091.67</v>
      </c>
      <c r="AG18" s="49"/>
      <c r="AH18" s="49">
        <f t="shared" si="0"/>
        <v>107.29000000000008</v>
      </c>
      <c r="AI18" s="50">
        <f t="shared" si="1"/>
        <v>0.10899246226050924</v>
      </c>
    </row>
    <row r="19" spans="1:35" s="45" customFormat="1" ht="28" customHeight="1" x14ac:dyDescent="0.2">
      <c r="A19" s="18" t="s">
        <v>22</v>
      </c>
      <c r="B19" s="19" t="s">
        <v>45</v>
      </c>
      <c r="C19" s="24">
        <v>616.88</v>
      </c>
      <c r="D19" s="24">
        <v>637.88</v>
      </c>
      <c r="E19" s="24">
        <v>641</v>
      </c>
      <c r="F19" s="24">
        <v>716.04166666666663</v>
      </c>
      <c r="G19" s="32">
        <v>658.52659133352324</v>
      </c>
      <c r="H19" s="51">
        <v>560.83000000000004</v>
      </c>
      <c r="I19" s="51">
        <v>560.83000000000004</v>
      </c>
      <c r="J19" s="51">
        <v>548.61</v>
      </c>
      <c r="K19" s="51">
        <v>542.5</v>
      </c>
      <c r="L19" s="48">
        <v>553.19000000000005</v>
      </c>
      <c r="M19" s="25">
        <v>542.5</v>
      </c>
      <c r="N19" s="25">
        <v>542.5</v>
      </c>
      <c r="O19" s="25">
        <v>542.5</v>
      </c>
      <c r="P19" s="51">
        <v>542.5</v>
      </c>
      <c r="Q19" s="48">
        <v>542.5</v>
      </c>
      <c r="R19" s="25">
        <v>601.66999999999996</v>
      </c>
      <c r="S19" s="25">
        <v>601.66999999999996</v>
      </c>
      <c r="T19" s="25">
        <v>601.66999999999996</v>
      </c>
      <c r="U19" s="25">
        <v>626.66999999999996</v>
      </c>
      <c r="V19" s="36">
        <v>607.91999999999996</v>
      </c>
      <c r="W19" s="25">
        <v>626.66999999999996</v>
      </c>
      <c r="X19" s="25">
        <v>606.66999999999996</v>
      </c>
      <c r="Y19" s="25">
        <v>606.66999999999996</v>
      </c>
      <c r="Z19" s="25">
        <v>606.66999999999996</v>
      </c>
      <c r="AA19" s="36">
        <v>611.66999999999996</v>
      </c>
      <c r="AB19" s="25">
        <v>606.66999999999996</v>
      </c>
      <c r="AC19" s="25">
        <v>596.66999999999996</v>
      </c>
      <c r="AD19" s="25">
        <v>596.66999999999996</v>
      </c>
      <c r="AE19" s="25">
        <v>596.66999999999996</v>
      </c>
      <c r="AF19" s="36">
        <v>599.16999999999996</v>
      </c>
      <c r="AG19" s="49"/>
      <c r="AH19" s="49">
        <f t="shared" si="0"/>
        <v>-17.710000000000036</v>
      </c>
      <c r="AI19" s="50">
        <f t="shared" si="1"/>
        <v>-2.8708987161198348E-2</v>
      </c>
    </row>
    <row r="20" spans="1:35" s="45" customFormat="1" ht="28" customHeight="1" x14ac:dyDescent="0.2">
      <c r="A20" s="13" t="s">
        <v>23</v>
      </c>
      <c r="B20" s="13"/>
      <c r="C20" s="26"/>
      <c r="D20" s="26"/>
      <c r="E20" s="26"/>
      <c r="F20" s="26"/>
      <c r="G20" s="33"/>
      <c r="H20" s="52"/>
      <c r="I20" s="52"/>
      <c r="J20" s="52"/>
      <c r="K20" s="52"/>
      <c r="L20" s="53"/>
      <c r="M20" s="27"/>
      <c r="N20" s="27"/>
      <c r="O20" s="27"/>
      <c r="P20" s="52"/>
      <c r="Q20" s="53"/>
      <c r="R20" s="27"/>
      <c r="S20" s="27"/>
      <c r="T20" s="27"/>
      <c r="U20" s="27"/>
      <c r="V20" s="37"/>
      <c r="W20" s="27"/>
      <c r="X20" s="27"/>
      <c r="Y20" s="27"/>
      <c r="Z20" s="27"/>
      <c r="AA20" s="37"/>
      <c r="AB20" s="28"/>
      <c r="AC20" s="28"/>
      <c r="AD20" s="28"/>
      <c r="AE20" s="28"/>
      <c r="AF20" s="39"/>
      <c r="AG20" s="49"/>
      <c r="AH20" s="49">
        <f t="shared" si="0"/>
        <v>0</v>
      </c>
      <c r="AI20" s="50" t="e">
        <f t="shared" si="1"/>
        <v>#DIV/0!</v>
      </c>
    </row>
    <row r="21" spans="1:35" s="45" customFormat="1" ht="28" customHeight="1" x14ac:dyDescent="0.2">
      <c r="A21" s="16" t="s">
        <v>25</v>
      </c>
      <c r="B21" s="17" t="s">
        <v>24</v>
      </c>
      <c r="C21" s="20">
        <v>2.52</v>
      </c>
      <c r="D21" s="21">
        <v>2.52</v>
      </c>
      <c r="E21" s="21">
        <v>2.5383333333333336</v>
      </c>
      <c r="F21" s="21">
        <v>2.4683333333333337</v>
      </c>
      <c r="G21" s="32">
        <v>2.491446831383763</v>
      </c>
      <c r="H21" s="46">
        <v>2.1800000000000002</v>
      </c>
      <c r="I21" s="47">
        <v>2.1800000000000002</v>
      </c>
      <c r="J21" s="47">
        <v>2.1800000000000002</v>
      </c>
      <c r="K21" s="47">
        <v>2.1800000000000002</v>
      </c>
      <c r="L21" s="48">
        <v>2.1800000000000002</v>
      </c>
      <c r="M21" s="22">
        <v>2.11</v>
      </c>
      <c r="N21" s="23">
        <v>2.02</v>
      </c>
      <c r="O21" s="23">
        <v>1.93</v>
      </c>
      <c r="P21" s="47">
        <v>1.93</v>
      </c>
      <c r="Q21" s="48">
        <v>2</v>
      </c>
      <c r="R21" s="22">
        <v>1.93</v>
      </c>
      <c r="S21" s="23">
        <v>1.93</v>
      </c>
      <c r="T21" s="23">
        <v>1.93</v>
      </c>
      <c r="U21" s="23">
        <v>1.93</v>
      </c>
      <c r="V21" s="36">
        <v>1.93</v>
      </c>
      <c r="W21" s="22">
        <v>1.95</v>
      </c>
      <c r="X21" s="23">
        <v>2</v>
      </c>
      <c r="Y21" s="23">
        <v>2</v>
      </c>
      <c r="Z21" s="23">
        <v>2</v>
      </c>
      <c r="AA21" s="36">
        <v>1.99</v>
      </c>
      <c r="AB21" s="22">
        <v>2</v>
      </c>
      <c r="AC21" s="23">
        <v>2.0299999999999998</v>
      </c>
      <c r="AD21" s="23">
        <v>2.0699999999999998</v>
      </c>
      <c r="AE21" s="23">
        <v>2.0699999999999998</v>
      </c>
      <c r="AF21" s="36">
        <v>2.04</v>
      </c>
      <c r="AG21" s="49"/>
      <c r="AH21" s="49">
        <f t="shared" si="0"/>
        <v>-0.48</v>
      </c>
      <c r="AI21" s="50">
        <f t="shared" si="1"/>
        <v>-0.19047619047619047</v>
      </c>
    </row>
    <row r="22" spans="1:35" s="45" customFormat="1" ht="28" customHeight="1" x14ac:dyDescent="0.2">
      <c r="A22" s="18" t="s">
        <v>26</v>
      </c>
      <c r="B22" s="19" t="s">
        <v>24</v>
      </c>
      <c r="C22" s="24">
        <v>2.66</v>
      </c>
      <c r="D22" s="24">
        <v>2.7</v>
      </c>
      <c r="E22" s="24">
        <v>2.7391666666666663</v>
      </c>
      <c r="F22" s="24">
        <v>2.6919444444444447</v>
      </c>
      <c r="G22" s="32">
        <v>2.6911136466904932</v>
      </c>
      <c r="H22" s="51">
        <v>2.39</v>
      </c>
      <c r="I22" s="51">
        <v>2.39</v>
      </c>
      <c r="J22" s="51">
        <v>2.39</v>
      </c>
      <c r="K22" s="51">
        <v>2.39</v>
      </c>
      <c r="L22" s="48">
        <v>2.39</v>
      </c>
      <c r="M22" s="25">
        <v>2.3199999999999998</v>
      </c>
      <c r="N22" s="25">
        <v>2.23</v>
      </c>
      <c r="O22" s="25">
        <v>2.14</v>
      </c>
      <c r="P22" s="51">
        <v>2.14</v>
      </c>
      <c r="Q22" s="48">
        <v>2.21</v>
      </c>
      <c r="R22" s="25">
        <v>2.14</v>
      </c>
      <c r="S22" s="25">
        <v>2.14</v>
      </c>
      <c r="T22" s="25">
        <v>2.14</v>
      </c>
      <c r="U22" s="25">
        <v>2.14</v>
      </c>
      <c r="V22" s="36">
        <v>2.14</v>
      </c>
      <c r="W22" s="25">
        <v>2.16</v>
      </c>
      <c r="X22" s="25">
        <v>2.21</v>
      </c>
      <c r="Y22" s="25">
        <v>2.21</v>
      </c>
      <c r="Z22" s="25">
        <v>2.21</v>
      </c>
      <c r="AA22" s="36">
        <v>2.2000000000000002</v>
      </c>
      <c r="AB22" s="25">
        <v>2.21</v>
      </c>
      <c r="AC22" s="25">
        <v>2.23</v>
      </c>
      <c r="AD22" s="25">
        <v>2.2400000000000002</v>
      </c>
      <c r="AE22" s="25">
        <v>2.2400000000000002</v>
      </c>
      <c r="AF22" s="36">
        <v>2.23</v>
      </c>
      <c r="AG22" s="49"/>
      <c r="AH22" s="49">
        <f t="shared" si="0"/>
        <v>-0.43000000000000016</v>
      </c>
      <c r="AI22" s="50">
        <f t="shared" si="1"/>
        <v>-0.16165413533834591</v>
      </c>
    </row>
    <row r="23" spans="1:35" s="45" customFormat="1" ht="28" customHeight="1" x14ac:dyDescent="0.2">
      <c r="A23" s="16" t="s">
        <v>27</v>
      </c>
      <c r="B23" s="17" t="s">
        <v>24</v>
      </c>
      <c r="C23" s="20">
        <v>2.87</v>
      </c>
      <c r="D23" s="21">
        <v>2.91</v>
      </c>
      <c r="E23" s="21">
        <v>2.9583333333333335</v>
      </c>
      <c r="F23" s="21">
        <v>2.9405555555555556</v>
      </c>
      <c r="G23" s="32">
        <v>2.9129618120478313</v>
      </c>
      <c r="H23" s="46">
        <v>2.6</v>
      </c>
      <c r="I23" s="47">
        <v>2.6</v>
      </c>
      <c r="J23" s="47">
        <v>2.6</v>
      </c>
      <c r="K23" s="47">
        <v>2.6</v>
      </c>
      <c r="L23" s="48">
        <v>2.6</v>
      </c>
      <c r="M23" s="22">
        <v>2.5499999999999998</v>
      </c>
      <c r="N23" s="23">
        <v>2.46</v>
      </c>
      <c r="O23" s="23">
        <v>2.35</v>
      </c>
      <c r="P23" s="47">
        <v>2.35</v>
      </c>
      <c r="Q23" s="48">
        <v>2.4300000000000002</v>
      </c>
      <c r="R23" s="22">
        <v>2.35</v>
      </c>
      <c r="S23" s="23">
        <v>2.35</v>
      </c>
      <c r="T23" s="23">
        <v>2.35</v>
      </c>
      <c r="U23" s="23">
        <v>2.35</v>
      </c>
      <c r="V23" s="36">
        <v>2.35</v>
      </c>
      <c r="W23" s="22">
        <v>2.37</v>
      </c>
      <c r="X23" s="23">
        <v>2.42</v>
      </c>
      <c r="Y23" s="23">
        <v>2.42</v>
      </c>
      <c r="Z23" s="23">
        <v>2.42</v>
      </c>
      <c r="AA23" s="36">
        <v>2.41</v>
      </c>
      <c r="AB23" s="22">
        <v>2.42</v>
      </c>
      <c r="AC23" s="23">
        <v>2.4500000000000002</v>
      </c>
      <c r="AD23" s="23">
        <v>2.4900000000000002</v>
      </c>
      <c r="AE23" s="23">
        <v>2.4500000000000002</v>
      </c>
      <c r="AF23" s="36">
        <v>2.4500000000000002</v>
      </c>
      <c r="AG23" s="49"/>
      <c r="AH23" s="49">
        <f t="shared" si="0"/>
        <v>-0.41999999999999993</v>
      </c>
      <c r="AI23" s="50">
        <f t="shared" si="1"/>
        <v>-0.14634146341463411</v>
      </c>
    </row>
    <row r="24" spans="1:35" s="45" customFormat="1" ht="28" customHeight="1" x14ac:dyDescent="0.2">
      <c r="A24" s="18" t="s">
        <v>28</v>
      </c>
      <c r="B24" s="19" t="s">
        <v>24</v>
      </c>
      <c r="C24" s="24">
        <v>3.31</v>
      </c>
      <c r="D24" s="24">
        <v>3.4</v>
      </c>
      <c r="E24" s="24">
        <v>3.4925000000000002</v>
      </c>
      <c r="F24" s="24">
        <v>3.4216666666666669</v>
      </c>
      <c r="G24" s="32">
        <v>3.3966775187967237</v>
      </c>
      <c r="H24" s="51">
        <v>3.23</v>
      </c>
      <c r="I24" s="51">
        <v>3.23</v>
      </c>
      <c r="J24" s="51">
        <v>3.23</v>
      </c>
      <c r="K24" s="51">
        <v>3.23</v>
      </c>
      <c r="L24" s="48">
        <v>3.23</v>
      </c>
      <c r="M24" s="25">
        <v>3.16</v>
      </c>
      <c r="N24" s="25">
        <v>3.06</v>
      </c>
      <c r="O24" s="25">
        <v>2.94</v>
      </c>
      <c r="P24" s="51">
        <v>2.94</v>
      </c>
      <c r="Q24" s="48">
        <v>3.03</v>
      </c>
      <c r="R24" s="25">
        <v>2.94</v>
      </c>
      <c r="S24" s="25">
        <v>2.94</v>
      </c>
      <c r="T24" s="25">
        <v>2.94</v>
      </c>
      <c r="U24" s="25">
        <v>2.94</v>
      </c>
      <c r="V24" s="36">
        <v>2.94</v>
      </c>
      <c r="W24" s="25">
        <v>2.97</v>
      </c>
      <c r="X24" s="25">
        <v>3.01</v>
      </c>
      <c r="Y24" s="25">
        <v>3.01</v>
      </c>
      <c r="Z24" s="25">
        <v>3.01</v>
      </c>
      <c r="AA24" s="36">
        <v>3</v>
      </c>
      <c r="AB24" s="25">
        <v>3.01</v>
      </c>
      <c r="AC24" s="25">
        <v>3.09</v>
      </c>
      <c r="AD24" s="25">
        <v>3.12</v>
      </c>
      <c r="AE24" s="25">
        <v>3.12</v>
      </c>
      <c r="AF24" s="36">
        <v>3.08</v>
      </c>
      <c r="AG24" s="49"/>
      <c r="AH24" s="49">
        <f t="shared" si="0"/>
        <v>-0.22999999999999998</v>
      </c>
      <c r="AI24" s="50">
        <f t="shared" si="1"/>
        <v>-6.9486404833836848E-2</v>
      </c>
    </row>
    <row r="25" spans="1:35" s="45" customFormat="1" ht="28" customHeight="1" x14ac:dyDescent="0.2">
      <c r="A25" s="16" t="s">
        <v>29</v>
      </c>
      <c r="B25" s="17" t="s">
        <v>24</v>
      </c>
      <c r="C25" s="20">
        <v>3.75</v>
      </c>
      <c r="D25" s="21">
        <v>3.75</v>
      </c>
      <c r="E25" s="21">
        <v>3.8333333333333335</v>
      </c>
      <c r="F25" s="21">
        <v>3.7977777777777777</v>
      </c>
      <c r="G25" s="32">
        <v>3.7733119358208627</v>
      </c>
      <c r="H25" s="46">
        <v>3.47</v>
      </c>
      <c r="I25" s="47">
        <v>3.47</v>
      </c>
      <c r="J25" s="47">
        <v>3.47</v>
      </c>
      <c r="K25" s="47">
        <v>3.47</v>
      </c>
      <c r="L25" s="48">
        <v>3.47</v>
      </c>
      <c r="M25" s="22">
        <v>3.42</v>
      </c>
      <c r="N25" s="23">
        <v>3.42</v>
      </c>
      <c r="O25" s="23">
        <v>3.42</v>
      </c>
      <c r="P25" s="47">
        <v>3.42</v>
      </c>
      <c r="Q25" s="48">
        <v>3.42</v>
      </c>
      <c r="R25" s="22">
        <v>3.42</v>
      </c>
      <c r="S25" s="23">
        <v>3.42</v>
      </c>
      <c r="T25" s="23">
        <v>3.42</v>
      </c>
      <c r="U25" s="23">
        <v>3.42</v>
      </c>
      <c r="V25" s="36">
        <v>3.42</v>
      </c>
      <c r="W25" s="22">
        <v>3.42</v>
      </c>
      <c r="X25" s="23">
        <v>3.42</v>
      </c>
      <c r="Y25" s="23">
        <v>3.42</v>
      </c>
      <c r="Z25" s="23">
        <v>3.42</v>
      </c>
      <c r="AA25" s="36">
        <v>3.42</v>
      </c>
      <c r="AB25" s="22">
        <v>3.42</v>
      </c>
      <c r="AC25" s="23">
        <v>3.44</v>
      </c>
      <c r="AD25" s="23">
        <v>3.42</v>
      </c>
      <c r="AE25" s="23">
        <v>3.41</v>
      </c>
      <c r="AF25" s="36">
        <v>3.42</v>
      </c>
      <c r="AG25" s="49"/>
      <c r="AH25" s="49">
        <f t="shared" si="0"/>
        <v>-0.33000000000000007</v>
      </c>
      <c r="AI25" s="50">
        <f t="shared" si="1"/>
        <v>-8.8000000000000023E-2</v>
      </c>
    </row>
    <row r="26" spans="1:35" s="45" customFormat="1" ht="28" customHeight="1" x14ac:dyDescent="0.2">
      <c r="A26" s="18" t="s">
        <v>30</v>
      </c>
      <c r="B26" s="19" t="s">
        <v>24</v>
      </c>
      <c r="C26" s="24">
        <v>3.95</v>
      </c>
      <c r="D26" s="24">
        <v>3.99</v>
      </c>
      <c r="E26" s="24">
        <v>4.0439999999999996</v>
      </c>
      <c r="F26" s="24">
        <v>3.972666666666667</v>
      </c>
      <c r="G26" s="32">
        <v>3.9786490809907851</v>
      </c>
      <c r="H26" s="51">
        <v>3.65</v>
      </c>
      <c r="I26" s="51">
        <v>3.65</v>
      </c>
      <c r="J26" s="51">
        <v>3.65</v>
      </c>
      <c r="K26" s="51">
        <v>3.65</v>
      </c>
      <c r="L26" s="48">
        <v>3.65</v>
      </c>
      <c r="M26" s="25">
        <v>3.6</v>
      </c>
      <c r="N26" s="25">
        <v>3.51</v>
      </c>
      <c r="O26" s="25">
        <v>3.4</v>
      </c>
      <c r="P26" s="51">
        <v>3.4</v>
      </c>
      <c r="Q26" s="48">
        <v>3.48</v>
      </c>
      <c r="R26" s="25">
        <v>3.4</v>
      </c>
      <c r="S26" s="25">
        <v>3.4</v>
      </c>
      <c r="T26" s="25">
        <v>3.4</v>
      </c>
      <c r="U26" s="25">
        <v>3.4</v>
      </c>
      <c r="V26" s="36">
        <v>3.4</v>
      </c>
      <c r="W26" s="25">
        <v>3.42</v>
      </c>
      <c r="X26" s="25">
        <v>3.47</v>
      </c>
      <c r="Y26" s="25">
        <v>3.47</v>
      </c>
      <c r="Z26" s="25">
        <v>3.47</v>
      </c>
      <c r="AA26" s="36">
        <v>3.46</v>
      </c>
      <c r="AB26" s="25">
        <v>3.47</v>
      </c>
      <c r="AC26" s="25">
        <v>3.5</v>
      </c>
      <c r="AD26" s="25">
        <v>3.54</v>
      </c>
      <c r="AE26" s="25">
        <v>3.54</v>
      </c>
      <c r="AF26" s="36">
        <v>3.51</v>
      </c>
      <c r="AG26" s="49"/>
      <c r="AH26" s="49">
        <f t="shared" si="0"/>
        <v>-0.44000000000000039</v>
      </c>
      <c r="AI26" s="50">
        <f t="shared" si="1"/>
        <v>-0.11139240506329123</v>
      </c>
    </row>
    <row r="27" spans="1:35" s="45" customFormat="1" ht="28" customHeight="1" x14ac:dyDescent="0.2">
      <c r="A27" s="13" t="s">
        <v>31</v>
      </c>
      <c r="B27" s="13"/>
      <c r="C27" s="26"/>
      <c r="D27" s="26"/>
      <c r="E27" s="26"/>
      <c r="F27" s="26"/>
      <c r="G27" s="33"/>
      <c r="H27" s="52"/>
      <c r="I27" s="52"/>
      <c r="J27" s="52"/>
      <c r="K27" s="52"/>
      <c r="L27" s="53"/>
      <c r="M27" s="27"/>
      <c r="N27" s="27"/>
      <c r="O27" s="27"/>
      <c r="P27" s="52"/>
      <c r="Q27" s="53"/>
      <c r="R27" s="27"/>
      <c r="S27" s="27"/>
      <c r="T27" s="27"/>
      <c r="U27" s="27"/>
      <c r="V27" s="37"/>
      <c r="W27" s="27"/>
      <c r="X27" s="27"/>
      <c r="Y27" s="27"/>
      <c r="Z27" s="27"/>
      <c r="AA27" s="37"/>
      <c r="AB27" s="28"/>
      <c r="AC27" s="28"/>
      <c r="AD27" s="28"/>
      <c r="AE27" s="28"/>
      <c r="AF27" s="39"/>
      <c r="AG27" s="49"/>
      <c r="AH27" s="49">
        <f t="shared" si="0"/>
        <v>0</v>
      </c>
      <c r="AI27" s="50" t="e">
        <f t="shared" si="1"/>
        <v>#DIV/0!</v>
      </c>
    </row>
    <row r="28" spans="1:35" s="45" customFormat="1" ht="28" customHeight="1" x14ac:dyDescent="0.2">
      <c r="A28" s="16" t="s">
        <v>32</v>
      </c>
      <c r="B28" s="17" t="s">
        <v>46</v>
      </c>
      <c r="C28" s="20">
        <v>263.38</v>
      </c>
      <c r="D28" s="21">
        <v>263.81</v>
      </c>
      <c r="E28" s="21">
        <v>263.8125</v>
      </c>
      <c r="F28" s="21">
        <v>266</v>
      </c>
      <c r="G28" s="32">
        <v>264.18329176147097</v>
      </c>
      <c r="H28" s="46">
        <v>266.32</v>
      </c>
      <c r="I28" s="47">
        <v>253.75</v>
      </c>
      <c r="J28" s="47">
        <v>251.48</v>
      </c>
      <c r="K28" s="47">
        <v>248.5</v>
      </c>
      <c r="L28" s="48">
        <v>255.01</v>
      </c>
      <c r="M28" s="22">
        <v>246.36</v>
      </c>
      <c r="N28" s="23">
        <v>236.25</v>
      </c>
      <c r="O28" s="23">
        <v>231.03</v>
      </c>
      <c r="P28" s="47">
        <v>229.56</v>
      </c>
      <c r="Q28" s="48">
        <v>235.8</v>
      </c>
      <c r="R28" s="22">
        <v>219.27</v>
      </c>
      <c r="S28" s="23">
        <v>205.64</v>
      </c>
      <c r="T28" s="23">
        <v>200.03</v>
      </c>
      <c r="U28" s="23">
        <v>195.95</v>
      </c>
      <c r="V28" s="36">
        <v>205.22</v>
      </c>
      <c r="W28" s="22">
        <v>206.12</v>
      </c>
      <c r="X28" s="23">
        <v>218.38</v>
      </c>
      <c r="Y28" s="23">
        <v>222.34</v>
      </c>
      <c r="Z28" s="23">
        <v>226.24</v>
      </c>
      <c r="AA28" s="36">
        <v>218.27</v>
      </c>
      <c r="AB28" s="22">
        <v>230.09</v>
      </c>
      <c r="AC28" s="23">
        <v>240.92</v>
      </c>
      <c r="AD28" s="23">
        <v>242.35</v>
      </c>
      <c r="AE28" s="23">
        <v>243.4</v>
      </c>
      <c r="AF28" s="36">
        <v>239.19</v>
      </c>
      <c r="AG28" s="49"/>
      <c r="AH28" s="49">
        <f t="shared" si="0"/>
        <v>-24.189999999999998</v>
      </c>
      <c r="AI28" s="50">
        <f t="shared" si="1"/>
        <v>-9.1844483256131815E-2</v>
      </c>
    </row>
    <row r="29" spans="1:35" s="45" customFormat="1" ht="28" customHeight="1" x14ac:dyDescent="0.2">
      <c r="A29" s="18" t="s">
        <v>33</v>
      </c>
      <c r="B29" s="19" t="s">
        <v>46</v>
      </c>
      <c r="C29" s="24">
        <v>267.17</v>
      </c>
      <c r="D29" s="24">
        <v>267.75</v>
      </c>
      <c r="E29" s="24">
        <v>267.75</v>
      </c>
      <c r="F29" s="24">
        <v>267.16666666666669</v>
      </c>
      <c r="G29" s="32">
        <v>267.39066473256634</v>
      </c>
      <c r="H29" s="51">
        <v>264.25</v>
      </c>
      <c r="I29" s="51">
        <v>253.98</v>
      </c>
      <c r="J29" s="51">
        <v>254.92</v>
      </c>
      <c r="K29" s="51">
        <v>254.54</v>
      </c>
      <c r="L29" s="48">
        <v>256.92</v>
      </c>
      <c r="M29" s="25">
        <v>248.7</v>
      </c>
      <c r="N29" s="25">
        <v>244.28</v>
      </c>
      <c r="O29" s="25">
        <v>240.98</v>
      </c>
      <c r="P29" s="51">
        <v>238.37</v>
      </c>
      <c r="Q29" s="48">
        <v>243.08</v>
      </c>
      <c r="R29" s="25">
        <v>231.83</v>
      </c>
      <c r="S29" s="25">
        <v>211.1</v>
      </c>
      <c r="T29" s="25">
        <v>203.57</v>
      </c>
      <c r="U29" s="25">
        <v>198.81</v>
      </c>
      <c r="V29" s="36">
        <v>211.33</v>
      </c>
      <c r="W29" s="25">
        <v>213.96</v>
      </c>
      <c r="X29" s="25">
        <v>229.83</v>
      </c>
      <c r="Y29" s="25">
        <v>232.87</v>
      </c>
      <c r="Z29" s="25">
        <v>235.43</v>
      </c>
      <c r="AA29" s="36">
        <v>228.02</v>
      </c>
      <c r="AB29" s="25">
        <v>240.55</v>
      </c>
      <c r="AC29" s="25">
        <v>249.57</v>
      </c>
      <c r="AD29" s="25">
        <v>239.43</v>
      </c>
      <c r="AE29" s="25">
        <v>241.66</v>
      </c>
      <c r="AF29" s="36">
        <v>242.8</v>
      </c>
      <c r="AG29" s="49"/>
      <c r="AH29" s="49">
        <f t="shared" si="0"/>
        <v>-24.370000000000005</v>
      </c>
      <c r="AI29" s="50">
        <f t="shared" si="1"/>
        <v>-9.1215331062619323E-2</v>
      </c>
    </row>
    <row r="30" spans="1:35" s="45" customFormat="1" ht="28" customHeight="1" x14ac:dyDescent="0.2">
      <c r="A30" s="13" t="s">
        <v>34</v>
      </c>
      <c r="B30" s="13"/>
      <c r="C30" s="26"/>
      <c r="D30" s="26"/>
      <c r="E30" s="26"/>
      <c r="F30" s="26"/>
      <c r="G30" s="33"/>
      <c r="H30" s="52"/>
      <c r="I30" s="52"/>
      <c r="J30" s="52"/>
      <c r="K30" s="52"/>
      <c r="L30" s="53"/>
      <c r="M30" s="27"/>
      <c r="N30" s="27"/>
      <c r="O30" s="27"/>
      <c r="P30" s="52"/>
      <c r="Q30" s="53"/>
      <c r="R30" s="27"/>
      <c r="S30" s="27"/>
      <c r="T30" s="27"/>
      <c r="U30" s="27"/>
      <c r="V30" s="37"/>
      <c r="W30" s="27"/>
      <c r="X30" s="27"/>
      <c r="Y30" s="27"/>
      <c r="Z30" s="27"/>
      <c r="AA30" s="37"/>
      <c r="AB30" s="28"/>
      <c r="AC30" s="28"/>
      <c r="AD30" s="28"/>
      <c r="AE30" s="28"/>
      <c r="AF30" s="39"/>
      <c r="AG30" s="49"/>
      <c r="AH30" s="49">
        <f t="shared" si="0"/>
        <v>0</v>
      </c>
      <c r="AI30" s="50" t="e">
        <f t="shared" si="1"/>
        <v>#DIV/0!</v>
      </c>
    </row>
    <row r="31" spans="1:35" s="45" customFormat="1" ht="28" customHeight="1" x14ac:dyDescent="0.2">
      <c r="A31" s="16" t="s">
        <v>36</v>
      </c>
      <c r="B31" s="17" t="s">
        <v>35</v>
      </c>
      <c r="C31" s="20">
        <v>2699.38</v>
      </c>
      <c r="D31" s="21">
        <v>2613.52</v>
      </c>
      <c r="E31" s="21">
        <v>2498.125</v>
      </c>
      <c r="F31" s="21">
        <v>2303.5466666666666</v>
      </c>
      <c r="G31" s="32">
        <v>2527.4849648834252</v>
      </c>
      <c r="H31" s="46">
        <v>2353.02</v>
      </c>
      <c r="I31" s="47">
        <v>2300.38</v>
      </c>
      <c r="J31" s="47">
        <v>2231.25</v>
      </c>
      <c r="K31" s="47">
        <v>2086.15</v>
      </c>
      <c r="L31" s="48">
        <v>2242.6999999999998</v>
      </c>
      <c r="M31" s="22">
        <v>2184</v>
      </c>
      <c r="N31" s="23">
        <v>2018.75</v>
      </c>
      <c r="O31" s="23">
        <v>2065</v>
      </c>
      <c r="P31" s="47">
        <v>2339.17</v>
      </c>
      <c r="Q31" s="48">
        <v>2151.73</v>
      </c>
      <c r="R31" s="22">
        <v>2846.55</v>
      </c>
      <c r="S31" s="23">
        <v>3076.39</v>
      </c>
      <c r="T31" s="23">
        <v>3054.29</v>
      </c>
      <c r="U31" s="23">
        <v>2829.87</v>
      </c>
      <c r="V31" s="36">
        <v>2951.78</v>
      </c>
      <c r="W31" s="22">
        <v>3103.7</v>
      </c>
      <c r="X31" s="23">
        <v>3363.89</v>
      </c>
      <c r="Y31" s="23">
        <v>2689.87</v>
      </c>
      <c r="Z31" s="23">
        <v>2587.77</v>
      </c>
      <c r="AA31" s="36">
        <v>2936.31</v>
      </c>
      <c r="AB31" s="22">
        <v>2825.66</v>
      </c>
      <c r="AC31" s="23">
        <v>2835.06</v>
      </c>
      <c r="AD31" s="23">
        <v>2634.05</v>
      </c>
      <c r="AE31" s="23">
        <v>2713.19</v>
      </c>
      <c r="AF31" s="36">
        <v>2751.99</v>
      </c>
      <c r="AG31" s="49"/>
      <c r="AH31" s="49">
        <f t="shared" si="0"/>
        <v>52.609999999999673</v>
      </c>
      <c r="AI31" s="50">
        <f t="shared" si="1"/>
        <v>1.9489660588727659E-2</v>
      </c>
    </row>
    <row r="32" spans="1:35" s="45" customFormat="1" ht="28" customHeight="1" x14ac:dyDescent="0.2">
      <c r="A32" s="18" t="s">
        <v>37</v>
      </c>
      <c r="B32" s="19" t="s">
        <v>35</v>
      </c>
      <c r="C32" s="24">
        <v>2623.63</v>
      </c>
      <c r="D32" s="24">
        <v>2567.69</v>
      </c>
      <c r="E32" s="24">
        <v>2444.4006666666669</v>
      </c>
      <c r="F32" s="24">
        <v>2246.2303333333334</v>
      </c>
      <c r="G32" s="32">
        <v>2469.3638300637563</v>
      </c>
      <c r="H32" s="51">
        <v>2156.0300000000002</v>
      </c>
      <c r="I32" s="51">
        <v>2136.46</v>
      </c>
      <c r="J32" s="51">
        <v>2089.56</v>
      </c>
      <c r="K32" s="51">
        <v>2007.4</v>
      </c>
      <c r="L32" s="48">
        <v>2097.36</v>
      </c>
      <c r="M32" s="25">
        <v>2073.17</v>
      </c>
      <c r="N32" s="25">
        <v>1898.02</v>
      </c>
      <c r="O32" s="25">
        <v>1936.67</v>
      </c>
      <c r="P32" s="51">
        <v>2181.67</v>
      </c>
      <c r="Q32" s="48">
        <v>2022.38</v>
      </c>
      <c r="R32" s="25">
        <v>2735.89</v>
      </c>
      <c r="S32" s="25">
        <v>2943.68</v>
      </c>
      <c r="T32" s="25">
        <v>2930.7</v>
      </c>
      <c r="U32" s="25">
        <v>2703.11</v>
      </c>
      <c r="V32" s="36">
        <v>2828.35</v>
      </c>
      <c r="W32" s="25">
        <v>2986.39</v>
      </c>
      <c r="X32" s="25">
        <v>3233.17</v>
      </c>
      <c r="Y32" s="25">
        <v>2537.2199999999998</v>
      </c>
      <c r="Z32" s="25">
        <v>2421.54</v>
      </c>
      <c r="AA32" s="36">
        <v>2794.58</v>
      </c>
      <c r="AB32" s="25">
        <v>2651.64</v>
      </c>
      <c r="AC32" s="25">
        <v>2669.23</v>
      </c>
      <c r="AD32" s="25">
        <v>2502.52</v>
      </c>
      <c r="AE32" s="25">
        <v>2594.4499999999998</v>
      </c>
      <c r="AF32" s="36">
        <v>2604.46</v>
      </c>
      <c r="AG32" s="49"/>
      <c r="AH32" s="49">
        <f t="shared" si="0"/>
        <v>-19.170000000000073</v>
      </c>
      <c r="AI32" s="50">
        <f t="shared" si="1"/>
        <v>-7.3066705289999249E-3</v>
      </c>
    </row>
    <row r="33" spans="1:35" s="45" customFormat="1" ht="28" customHeight="1" x14ac:dyDescent="0.2">
      <c r="A33" s="16" t="s">
        <v>39</v>
      </c>
      <c r="B33" s="17" t="s">
        <v>38</v>
      </c>
      <c r="C33" s="20">
        <v>73.569999999999993</v>
      </c>
      <c r="D33" s="21">
        <v>71.209999999999994</v>
      </c>
      <c r="E33" s="21">
        <v>73.856666666666669</v>
      </c>
      <c r="F33" s="21">
        <v>65.329666666666654</v>
      </c>
      <c r="G33" s="32">
        <v>70.959721932922761</v>
      </c>
      <c r="H33" s="46">
        <v>61.02</v>
      </c>
      <c r="I33" s="47">
        <v>59.73</v>
      </c>
      <c r="J33" s="47">
        <v>59.27</v>
      </c>
      <c r="K33" s="47">
        <v>55.56</v>
      </c>
      <c r="L33" s="48">
        <v>58.9</v>
      </c>
      <c r="M33" s="22">
        <v>59.44</v>
      </c>
      <c r="N33" s="23">
        <v>55.91</v>
      </c>
      <c r="O33" s="23">
        <v>57.63</v>
      </c>
      <c r="P33" s="47">
        <v>62.48</v>
      </c>
      <c r="Q33" s="48">
        <v>58.87</v>
      </c>
      <c r="R33" s="22">
        <v>76.349999999999994</v>
      </c>
      <c r="S33" s="23">
        <v>81.41</v>
      </c>
      <c r="T33" s="23">
        <v>79.16</v>
      </c>
      <c r="U33" s="23">
        <v>74.75</v>
      </c>
      <c r="V33" s="36">
        <v>77.92</v>
      </c>
      <c r="W33" s="22">
        <v>76.55</v>
      </c>
      <c r="X33" s="23">
        <v>82.43</v>
      </c>
      <c r="Y33" s="23">
        <v>64.709999999999994</v>
      </c>
      <c r="Z33" s="23">
        <v>60.74</v>
      </c>
      <c r="AA33" s="36">
        <v>71.11</v>
      </c>
      <c r="AB33" s="22">
        <v>66.209999999999994</v>
      </c>
      <c r="AC33" s="23">
        <v>64.62</v>
      </c>
      <c r="AD33" s="23">
        <v>61.28</v>
      </c>
      <c r="AE33" s="23">
        <v>62.66</v>
      </c>
      <c r="AF33" s="36">
        <v>63.69</v>
      </c>
      <c r="AG33" s="49"/>
      <c r="AH33" s="49">
        <f t="shared" si="0"/>
        <v>-9.8799999999999955</v>
      </c>
      <c r="AI33" s="50">
        <f t="shared" si="1"/>
        <v>-0.13429386978387925</v>
      </c>
    </row>
    <row r="34" spans="1:35" s="45" customFormat="1" ht="28" customHeight="1" x14ac:dyDescent="0.2">
      <c r="A34" s="18" t="s">
        <v>40</v>
      </c>
      <c r="B34" s="19" t="s">
        <v>38</v>
      </c>
      <c r="C34" s="24">
        <v>98.67</v>
      </c>
      <c r="D34" s="24">
        <v>97.77</v>
      </c>
      <c r="E34" s="24">
        <v>97.083333333333329</v>
      </c>
      <c r="F34" s="24">
        <v>93.392222222222202</v>
      </c>
      <c r="G34" s="32">
        <v>96.853873697469126</v>
      </c>
      <c r="H34" s="51">
        <v>88.78</v>
      </c>
      <c r="I34" s="51">
        <v>86.92</v>
      </c>
      <c r="J34" s="51">
        <v>84.17</v>
      </c>
      <c r="K34" s="51">
        <v>78.14</v>
      </c>
      <c r="L34" s="48">
        <v>84.5</v>
      </c>
      <c r="M34" s="25">
        <v>82.98</v>
      </c>
      <c r="N34" s="25">
        <v>78.400000000000006</v>
      </c>
      <c r="O34" s="25">
        <v>79.680000000000007</v>
      </c>
      <c r="P34" s="51">
        <v>85.4</v>
      </c>
      <c r="Q34" s="48">
        <v>81.62</v>
      </c>
      <c r="R34" s="25">
        <v>102.46</v>
      </c>
      <c r="S34" s="25">
        <v>112.44</v>
      </c>
      <c r="T34" s="25">
        <v>112.44</v>
      </c>
      <c r="U34" s="25">
        <v>109.34</v>
      </c>
      <c r="V34" s="36">
        <v>109.17</v>
      </c>
      <c r="W34" s="25">
        <v>106.55</v>
      </c>
      <c r="X34" s="25">
        <v>115.02</v>
      </c>
      <c r="Y34" s="25">
        <v>91.7</v>
      </c>
      <c r="Z34" s="25">
        <v>86.67</v>
      </c>
      <c r="AA34" s="36">
        <v>99.99</v>
      </c>
      <c r="AB34" s="25">
        <v>90.7</v>
      </c>
      <c r="AC34" s="25">
        <v>87.02</v>
      </c>
      <c r="AD34" s="25">
        <v>81</v>
      </c>
      <c r="AE34" s="25">
        <v>81.25</v>
      </c>
      <c r="AF34" s="36">
        <v>84.99</v>
      </c>
      <c r="AG34" s="49"/>
      <c r="AH34" s="49">
        <f t="shared" si="0"/>
        <v>-13.680000000000007</v>
      </c>
      <c r="AI34" s="50">
        <f t="shared" si="1"/>
        <v>-0.13864396473092133</v>
      </c>
    </row>
    <row r="35" spans="1:35" s="45" customFormat="1" ht="28" customHeight="1" x14ac:dyDescent="0.2">
      <c r="A35" s="16" t="s">
        <v>41</v>
      </c>
      <c r="B35" s="17" t="s">
        <v>38</v>
      </c>
      <c r="C35" s="20">
        <v>127.16</v>
      </c>
      <c r="D35" s="21">
        <v>122.64</v>
      </c>
      <c r="E35" s="21">
        <v>119.95</v>
      </c>
      <c r="F35" s="21">
        <v>118.72066666666666</v>
      </c>
      <c r="G35" s="32">
        <v>122.06246219513862</v>
      </c>
      <c r="H35" s="46">
        <v>112.23</v>
      </c>
      <c r="I35" s="47">
        <v>108.5</v>
      </c>
      <c r="J35" s="47">
        <v>107.13</v>
      </c>
      <c r="K35" s="47">
        <v>100.34</v>
      </c>
      <c r="L35" s="48">
        <v>107.05</v>
      </c>
      <c r="M35" s="22">
        <v>103.57</v>
      </c>
      <c r="N35" s="23">
        <v>97.45</v>
      </c>
      <c r="O35" s="23">
        <v>99.98</v>
      </c>
      <c r="P35" s="47">
        <v>107.92</v>
      </c>
      <c r="Q35" s="48">
        <v>102.23</v>
      </c>
      <c r="R35" s="22">
        <v>131.32</v>
      </c>
      <c r="S35" s="23">
        <v>139.68</v>
      </c>
      <c r="T35" s="23">
        <v>141</v>
      </c>
      <c r="U35" s="23">
        <v>131.38</v>
      </c>
      <c r="V35" s="36">
        <v>135.85</v>
      </c>
      <c r="W35" s="22">
        <v>142.13</v>
      </c>
      <c r="X35" s="23">
        <v>158.16999999999999</v>
      </c>
      <c r="Y35" s="23">
        <v>124.7</v>
      </c>
      <c r="Z35" s="23">
        <v>117</v>
      </c>
      <c r="AA35" s="36">
        <v>135.5</v>
      </c>
      <c r="AB35" s="22">
        <v>121.4</v>
      </c>
      <c r="AC35" s="23">
        <v>121.21</v>
      </c>
      <c r="AD35" s="23">
        <v>111.29</v>
      </c>
      <c r="AE35" s="23">
        <v>110.96</v>
      </c>
      <c r="AF35" s="36">
        <v>116.21</v>
      </c>
      <c r="AG35" s="49"/>
      <c r="AH35" s="49">
        <f t="shared" si="0"/>
        <v>-10.950000000000003</v>
      </c>
      <c r="AI35" s="50">
        <f t="shared" si="1"/>
        <v>-8.6111984900912264E-2</v>
      </c>
    </row>
    <row r="36" spans="1:35" ht="28" customHeight="1" x14ac:dyDescent="0.2">
      <c r="A36" s="7"/>
      <c r="B36" s="54"/>
      <c r="C36" s="5"/>
      <c r="D36" s="5"/>
      <c r="E36" s="5"/>
      <c r="F36" s="6"/>
      <c r="G36" s="34"/>
    </row>
    <row r="37" spans="1:35" ht="28" customHeight="1" x14ac:dyDescent="0.2">
      <c r="A37" s="4" t="s">
        <v>42</v>
      </c>
      <c r="B37" s="10"/>
      <c r="C37" s="8"/>
      <c r="D37" s="9"/>
      <c r="E37" s="9"/>
      <c r="F37" s="9"/>
      <c r="G37" s="35"/>
    </row>
    <row r="39" spans="1:35" ht="28" customHeight="1" x14ac:dyDescent="0.2">
      <c r="B39" s="55" t="s">
        <v>47</v>
      </c>
      <c r="C39" s="56" t="s">
        <v>61</v>
      </c>
      <c r="D39" s="56" t="s">
        <v>62</v>
      </c>
      <c r="E39" s="56" t="s">
        <v>63</v>
      </c>
      <c r="F39" s="56" t="s">
        <v>64</v>
      </c>
      <c r="G39" s="56" t="s">
        <v>56</v>
      </c>
      <c r="H39" s="56" t="s">
        <v>65</v>
      </c>
      <c r="I39" s="56" t="s">
        <v>66</v>
      </c>
      <c r="J39" s="56" t="s">
        <v>67</v>
      </c>
      <c r="K39" s="56" t="s">
        <v>68</v>
      </c>
      <c r="L39" s="56" t="s">
        <v>57</v>
      </c>
      <c r="M39" s="56" t="s">
        <v>69</v>
      </c>
      <c r="N39" s="56" t="s">
        <v>70</v>
      </c>
      <c r="O39" s="56" t="s">
        <v>71</v>
      </c>
      <c r="P39" s="56" t="s">
        <v>72</v>
      </c>
      <c r="Q39" s="56" t="s">
        <v>58</v>
      </c>
      <c r="R39" s="56" t="s">
        <v>73</v>
      </c>
      <c r="S39" s="56" t="s">
        <v>74</v>
      </c>
      <c r="T39" s="56" t="s">
        <v>75</v>
      </c>
      <c r="U39" s="56" t="s">
        <v>76</v>
      </c>
      <c r="V39" s="56" t="s">
        <v>59</v>
      </c>
      <c r="W39" s="56" t="s">
        <v>77</v>
      </c>
      <c r="X39" s="56" t="s">
        <v>78</v>
      </c>
      <c r="Y39" s="56" t="s">
        <v>79</v>
      </c>
      <c r="Z39" s="56" t="s">
        <v>80</v>
      </c>
      <c r="AA39" s="56" t="s">
        <v>60</v>
      </c>
      <c r="AB39" s="56" t="s">
        <v>81</v>
      </c>
      <c r="AC39" s="56" t="s">
        <v>82</v>
      </c>
      <c r="AD39" s="56" t="s">
        <v>83</v>
      </c>
      <c r="AE39" s="56" t="s">
        <v>84</v>
      </c>
    </row>
    <row r="40" spans="1:35" ht="28" customHeight="1" x14ac:dyDescent="0.2">
      <c r="B40" s="55" t="s">
        <v>48</v>
      </c>
      <c r="C40" s="57">
        <f>AVERAGE(C8:C10)</f>
        <v>22.103333333333335</v>
      </c>
      <c r="D40" s="57">
        <f t="shared" ref="D40:N40" si="2">AVERAGE(D8:D10)</f>
        <v>21.916666666666668</v>
      </c>
      <c r="E40" s="57">
        <f t="shared" si="2"/>
        <v>22.061349206349206</v>
      </c>
      <c r="F40" s="57">
        <f t="shared" si="2"/>
        <v>22.06785714285714</v>
      </c>
      <c r="G40" s="57">
        <f t="shared" si="2"/>
        <v>21.987940911522031</v>
      </c>
      <c r="H40" s="57">
        <f t="shared" si="2"/>
        <v>22.58</v>
      </c>
      <c r="I40" s="57">
        <f t="shared" si="2"/>
        <v>22.41333333333333</v>
      </c>
      <c r="J40" s="57">
        <f t="shared" si="2"/>
        <v>22.393333333333334</v>
      </c>
      <c r="K40" s="57">
        <f t="shared" si="2"/>
        <v>22.156666666666666</v>
      </c>
      <c r="L40" s="57">
        <f t="shared" si="2"/>
        <v>22.386666666666667</v>
      </c>
      <c r="M40" s="57">
        <f t="shared" si="2"/>
        <v>22.09</v>
      </c>
      <c r="N40" s="57">
        <f t="shared" si="2"/>
        <v>21.88</v>
      </c>
      <c r="O40" s="57">
        <f>AVERAGE(O8:O10)</f>
        <v>21.333333333333332</v>
      </c>
      <c r="P40" s="57">
        <f t="shared" ref="P40:T40" si="3">AVERAGE(P8:P10)</f>
        <v>21.246666666666666</v>
      </c>
      <c r="Q40" s="57">
        <f t="shared" si="3"/>
        <v>21.623333333333335</v>
      </c>
      <c r="R40" s="57">
        <f t="shared" si="3"/>
        <v>20.82</v>
      </c>
      <c r="S40" s="57">
        <f t="shared" si="3"/>
        <v>20.873333333333335</v>
      </c>
      <c r="T40" s="57">
        <f t="shared" si="3"/>
        <v>20.5</v>
      </c>
      <c r="U40" s="57">
        <f>AVERAGE(U8:U10)</f>
        <v>20.243333333333332</v>
      </c>
      <c r="V40" s="57">
        <f t="shared" ref="V40:AE40" si="4">AVERAGE(V8:V10)</f>
        <v>20.613333333333333</v>
      </c>
      <c r="W40" s="57">
        <f t="shared" si="4"/>
        <v>20.169999999999998</v>
      </c>
      <c r="X40" s="57">
        <f t="shared" si="4"/>
        <v>20.260000000000002</v>
      </c>
      <c r="Y40" s="57">
        <f t="shared" si="4"/>
        <v>20.7</v>
      </c>
      <c r="Z40" s="57">
        <f t="shared" si="4"/>
        <v>20.946666666666669</v>
      </c>
      <c r="AA40" s="57">
        <f t="shared" si="4"/>
        <v>20.516666666666666</v>
      </c>
      <c r="AB40" s="57">
        <f t="shared" si="4"/>
        <v>20.63</v>
      </c>
      <c r="AC40" s="57">
        <f t="shared" si="4"/>
        <v>21.400000000000002</v>
      </c>
      <c r="AD40" s="57">
        <f t="shared" si="4"/>
        <v>21.343333333333334</v>
      </c>
      <c r="AE40" s="57">
        <f t="shared" si="4"/>
        <v>20.903333333333332</v>
      </c>
    </row>
    <row r="41" spans="1:35" ht="28" customHeight="1" x14ac:dyDescent="0.2">
      <c r="B41" s="55" t="s">
        <v>55</v>
      </c>
      <c r="C41" s="57">
        <f>AVERAGE(C11:C12)</f>
        <v>13.895</v>
      </c>
      <c r="D41" s="57">
        <f t="shared" ref="D41:N41" si="5">AVERAGE(D11:D12)</f>
        <v>13.82</v>
      </c>
      <c r="E41" s="57">
        <f t="shared" si="5"/>
        <v>13.768750000000001</v>
      </c>
      <c r="F41" s="57">
        <f t="shared" si="5"/>
        <v>13.71875</v>
      </c>
      <c r="G41" s="57">
        <f t="shared" si="5"/>
        <v>13.799999999999997</v>
      </c>
      <c r="H41" s="57">
        <f t="shared" si="5"/>
        <v>12.015000000000001</v>
      </c>
      <c r="I41" s="57">
        <f t="shared" si="5"/>
        <v>11.785</v>
      </c>
      <c r="J41" s="57">
        <f t="shared" si="5"/>
        <v>11.725</v>
      </c>
      <c r="K41" s="57">
        <f t="shared" si="5"/>
        <v>11.725</v>
      </c>
      <c r="L41" s="57">
        <f t="shared" si="5"/>
        <v>11.815</v>
      </c>
      <c r="M41" s="57">
        <f t="shared" si="5"/>
        <v>11.785</v>
      </c>
      <c r="N41" s="57">
        <f t="shared" si="5"/>
        <v>11.9</v>
      </c>
      <c r="O41" s="57">
        <f>AVERAGE(O11:O12)</f>
        <v>11.9</v>
      </c>
      <c r="P41" s="57">
        <f t="shared" ref="P41:T41" si="6">AVERAGE(P11:P12)</f>
        <v>11.9</v>
      </c>
      <c r="Q41" s="57">
        <f t="shared" si="6"/>
        <v>11.870000000000001</v>
      </c>
      <c r="R41" s="57">
        <f t="shared" si="6"/>
        <v>11.9</v>
      </c>
      <c r="S41" s="57">
        <f t="shared" si="6"/>
        <v>11.9</v>
      </c>
      <c r="T41" s="57">
        <f t="shared" si="6"/>
        <v>11.9</v>
      </c>
      <c r="U41" s="57">
        <f>AVERAGE(U11:U12)</f>
        <v>11.9</v>
      </c>
      <c r="V41" s="57">
        <f t="shared" ref="V41:AE41" si="7">AVERAGE(V11:V12)</f>
        <v>11.9</v>
      </c>
      <c r="W41" s="57">
        <f t="shared" si="7"/>
        <v>11.9</v>
      </c>
      <c r="X41" s="57">
        <f t="shared" si="7"/>
        <v>11.9</v>
      </c>
      <c r="Y41" s="57">
        <f t="shared" si="7"/>
        <v>11.9</v>
      </c>
      <c r="Z41" s="57">
        <f t="shared" si="7"/>
        <v>11.9</v>
      </c>
      <c r="AA41" s="57">
        <f t="shared" si="7"/>
        <v>11.9</v>
      </c>
      <c r="AB41" s="57">
        <f t="shared" si="7"/>
        <v>11.9</v>
      </c>
      <c r="AC41" s="57">
        <f t="shared" si="7"/>
        <v>11.84</v>
      </c>
      <c r="AD41" s="57">
        <f t="shared" si="7"/>
        <v>11.725</v>
      </c>
      <c r="AE41" s="57">
        <f t="shared" si="7"/>
        <v>11.725</v>
      </c>
    </row>
    <row r="42" spans="1:35" ht="28" customHeight="1" x14ac:dyDescent="0.2">
      <c r="B42" s="55" t="s">
        <v>49</v>
      </c>
      <c r="C42" s="57">
        <f t="shared" ref="C42:AE42" si="8">AVERAGE(C14:C16)</f>
        <v>1228.5033333333333</v>
      </c>
      <c r="D42" s="57">
        <f t="shared" si="8"/>
        <v>1332.19</v>
      </c>
      <c r="E42" s="57">
        <f t="shared" si="8"/>
        <v>1321.3958333333333</v>
      </c>
      <c r="F42" s="57">
        <f t="shared" si="8"/>
        <v>1329.1736111111111</v>
      </c>
      <c r="G42" s="57">
        <f t="shared" si="8"/>
        <v>1306.3652677635562</v>
      </c>
      <c r="H42" s="57">
        <f t="shared" si="8"/>
        <v>1251.25</v>
      </c>
      <c r="I42" s="57">
        <f t="shared" si="8"/>
        <v>1251.25</v>
      </c>
      <c r="J42" s="57">
        <f t="shared" si="8"/>
        <v>1218.1566666666668</v>
      </c>
      <c r="K42" s="57">
        <f t="shared" si="8"/>
        <v>1198.2766666666666</v>
      </c>
      <c r="L42" s="57">
        <f t="shared" si="8"/>
        <v>1229.7333333333333</v>
      </c>
      <c r="M42" s="57">
        <f t="shared" si="8"/>
        <v>1198.2766666666666</v>
      </c>
      <c r="N42" s="57">
        <f t="shared" si="8"/>
        <v>1180.3900000000001</v>
      </c>
      <c r="O42" s="57">
        <f t="shared" si="8"/>
        <v>1171.4433333333334</v>
      </c>
      <c r="P42" s="57">
        <f t="shared" si="8"/>
        <v>1165.2233333333334</v>
      </c>
      <c r="Q42" s="57">
        <f t="shared" si="8"/>
        <v>1178.8333333333333</v>
      </c>
      <c r="R42" s="57">
        <f t="shared" si="8"/>
        <v>1158.3333333333333</v>
      </c>
      <c r="S42" s="57">
        <f t="shared" si="8"/>
        <v>1186.2966666666666</v>
      </c>
      <c r="T42" s="57">
        <f t="shared" si="8"/>
        <v>1225.9233333333332</v>
      </c>
      <c r="U42" s="57">
        <f t="shared" si="8"/>
        <v>1207.7766666666666</v>
      </c>
      <c r="V42" s="57">
        <f t="shared" si="8"/>
        <v>1194.5833333333333</v>
      </c>
      <c r="W42" s="57">
        <f t="shared" si="8"/>
        <v>1218.5166666666667</v>
      </c>
      <c r="X42" s="57">
        <f t="shared" si="8"/>
        <v>1276.6633333333332</v>
      </c>
      <c r="Y42" s="57">
        <f t="shared" si="8"/>
        <v>1276.6633333333332</v>
      </c>
      <c r="Z42" s="57">
        <f t="shared" si="8"/>
        <v>1276.6633333333332</v>
      </c>
      <c r="AA42" s="57">
        <f t="shared" si="8"/>
        <v>1262.1299999999999</v>
      </c>
      <c r="AB42" s="57">
        <f t="shared" si="8"/>
        <v>1276.6633333333332</v>
      </c>
      <c r="AC42" s="57">
        <f t="shared" si="8"/>
        <v>1238.8866666666665</v>
      </c>
      <c r="AD42" s="57">
        <f t="shared" si="8"/>
        <v>1250.5533333333333</v>
      </c>
      <c r="AE42" s="57">
        <f t="shared" si="8"/>
        <v>1250.5533333333333</v>
      </c>
    </row>
    <row r="43" spans="1:35" ht="28" customHeight="1" x14ac:dyDescent="0.2">
      <c r="B43" s="55" t="s">
        <v>50</v>
      </c>
      <c r="C43" s="57">
        <f t="shared" ref="C43:AE43" si="9">AVERAGE(C17:C19)</f>
        <v>822.50333333333344</v>
      </c>
      <c r="D43" s="57">
        <f t="shared" si="9"/>
        <v>874.35666666666668</v>
      </c>
      <c r="E43" s="57">
        <f t="shared" si="9"/>
        <v>868.97916666666663</v>
      </c>
      <c r="F43" s="57">
        <f t="shared" si="9"/>
        <v>907.0486111111112</v>
      </c>
      <c r="G43" s="57">
        <f t="shared" si="9"/>
        <v>875.65871900025331</v>
      </c>
      <c r="H43" s="57">
        <f t="shared" si="9"/>
        <v>834.16666666666663</v>
      </c>
      <c r="I43" s="57">
        <f t="shared" si="9"/>
        <v>834.16666666666663</v>
      </c>
      <c r="J43" s="57">
        <f t="shared" si="9"/>
        <v>807.5</v>
      </c>
      <c r="K43" s="57">
        <f t="shared" si="9"/>
        <v>789.16666666666663</v>
      </c>
      <c r="L43" s="57">
        <f t="shared" si="9"/>
        <v>816.24666666666656</v>
      </c>
      <c r="M43" s="57">
        <f t="shared" si="9"/>
        <v>789.16666666666663</v>
      </c>
      <c r="N43" s="57">
        <f t="shared" si="9"/>
        <v>789.16666666666663</v>
      </c>
      <c r="O43" s="57">
        <f t="shared" si="9"/>
        <v>789.16666666666663</v>
      </c>
      <c r="P43" s="57">
        <f t="shared" si="9"/>
        <v>789.16666666666663</v>
      </c>
      <c r="Q43" s="57">
        <f t="shared" si="9"/>
        <v>789.16666666666663</v>
      </c>
      <c r="R43" s="57">
        <f t="shared" si="9"/>
        <v>826.7600000000001</v>
      </c>
      <c r="S43" s="57">
        <f t="shared" si="9"/>
        <v>836.02</v>
      </c>
      <c r="T43" s="57">
        <f t="shared" si="9"/>
        <v>844.16666666666663</v>
      </c>
      <c r="U43" s="57">
        <f t="shared" si="9"/>
        <v>852.5</v>
      </c>
      <c r="V43" s="57">
        <f t="shared" si="9"/>
        <v>839.86</v>
      </c>
      <c r="W43" s="57">
        <f t="shared" si="9"/>
        <v>852.5</v>
      </c>
      <c r="X43" s="57">
        <f t="shared" si="9"/>
        <v>838.89</v>
      </c>
      <c r="Y43" s="57">
        <f t="shared" si="9"/>
        <v>838.89</v>
      </c>
      <c r="Z43" s="57">
        <f t="shared" si="9"/>
        <v>838.89</v>
      </c>
      <c r="AA43" s="57">
        <f t="shared" si="9"/>
        <v>842.29333333333341</v>
      </c>
      <c r="AB43" s="57">
        <f t="shared" si="9"/>
        <v>838.89</v>
      </c>
      <c r="AC43" s="57">
        <f t="shared" si="9"/>
        <v>812.77666666666664</v>
      </c>
      <c r="AD43" s="57">
        <f t="shared" si="9"/>
        <v>816.86</v>
      </c>
      <c r="AE43" s="57">
        <f t="shared" si="9"/>
        <v>816.86</v>
      </c>
    </row>
    <row r="44" spans="1:35" ht="28" customHeight="1" x14ac:dyDescent="0.2">
      <c r="B44" s="55" t="s">
        <v>51</v>
      </c>
      <c r="C44" s="57">
        <f t="shared" ref="C44:AE44" si="10">AVERAGE(C21:C26)</f>
        <v>3.1766666666666672</v>
      </c>
      <c r="D44" s="57">
        <f t="shared" si="10"/>
        <v>3.2116666666666673</v>
      </c>
      <c r="E44" s="57">
        <f t="shared" si="10"/>
        <v>3.2676111111111115</v>
      </c>
      <c r="F44" s="57">
        <f t="shared" si="10"/>
        <v>3.2154907407407407</v>
      </c>
      <c r="G44" s="57">
        <f t="shared" si="10"/>
        <v>3.2073601376217429</v>
      </c>
      <c r="H44" s="57">
        <f t="shared" si="10"/>
        <v>2.92</v>
      </c>
      <c r="I44" s="57">
        <f t="shared" si="10"/>
        <v>2.92</v>
      </c>
      <c r="J44" s="57">
        <f t="shared" si="10"/>
        <v>2.92</v>
      </c>
      <c r="K44" s="57">
        <f t="shared" si="10"/>
        <v>2.92</v>
      </c>
      <c r="L44" s="57">
        <f t="shared" si="10"/>
        <v>2.92</v>
      </c>
      <c r="M44" s="57">
        <f t="shared" si="10"/>
        <v>2.86</v>
      </c>
      <c r="N44" s="57">
        <f t="shared" si="10"/>
        <v>2.7833333333333332</v>
      </c>
      <c r="O44" s="57">
        <f t="shared" si="10"/>
        <v>2.6966666666666668</v>
      </c>
      <c r="P44" s="57">
        <f t="shared" si="10"/>
        <v>2.6966666666666668</v>
      </c>
      <c r="Q44" s="57">
        <f t="shared" si="10"/>
        <v>2.7616666666666667</v>
      </c>
      <c r="R44" s="57">
        <f t="shared" si="10"/>
        <v>2.6966666666666668</v>
      </c>
      <c r="S44" s="57">
        <f t="shared" si="10"/>
        <v>2.6966666666666668</v>
      </c>
      <c r="T44" s="57">
        <f t="shared" si="10"/>
        <v>2.6966666666666668</v>
      </c>
      <c r="U44" s="57">
        <f t="shared" si="10"/>
        <v>2.6966666666666668</v>
      </c>
      <c r="V44" s="57">
        <f t="shared" si="10"/>
        <v>2.6966666666666668</v>
      </c>
      <c r="W44" s="57">
        <f t="shared" si="10"/>
        <v>2.7149999999999999</v>
      </c>
      <c r="X44" s="57">
        <f t="shared" si="10"/>
        <v>2.7550000000000003</v>
      </c>
      <c r="Y44" s="57">
        <f t="shared" si="10"/>
        <v>2.7550000000000003</v>
      </c>
      <c r="Z44" s="57">
        <f t="shared" si="10"/>
        <v>2.7550000000000003</v>
      </c>
      <c r="AA44" s="57">
        <f t="shared" si="10"/>
        <v>2.7466666666666666</v>
      </c>
      <c r="AB44" s="57">
        <f t="shared" si="10"/>
        <v>2.7550000000000003</v>
      </c>
      <c r="AC44" s="57">
        <f t="shared" si="10"/>
        <v>2.7900000000000005</v>
      </c>
      <c r="AD44" s="57">
        <f t="shared" si="10"/>
        <v>2.8133333333333339</v>
      </c>
      <c r="AE44" s="57">
        <f t="shared" si="10"/>
        <v>2.8050000000000002</v>
      </c>
    </row>
    <row r="45" spans="1:35" ht="28" customHeight="1" x14ac:dyDescent="0.2">
      <c r="B45" s="55" t="s">
        <v>52</v>
      </c>
      <c r="C45" s="57">
        <f t="shared" ref="C45:AE45" si="11">AVERAGE(C28:C29)</f>
        <v>265.27499999999998</v>
      </c>
      <c r="D45" s="57">
        <f t="shared" si="11"/>
        <v>265.77999999999997</v>
      </c>
      <c r="E45" s="57">
        <f t="shared" si="11"/>
        <v>265.78125</v>
      </c>
      <c r="F45" s="57">
        <f t="shared" si="11"/>
        <v>266.58333333333337</v>
      </c>
      <c r="G45" s="57">
        <f t="shared" si="11"/>
        <v>265.78697824701862</v>
      </c>
      <c r="H45" s="57">
        <f t="shared" si="11"/>
        <v>265.28499999999997</v>
      </c>
      <c r="I45" s="57">
        <f t="shared" si="11"/>
        <v>253.86500000000001</v>
      </c>
      <c r="J45" s="57">
        <f t="shared" si="11"/>
        <v>253.2</v>
      </c>
      <c r="K45" s="57">
        <f t="shared" si="11"/>
        <v>251.51999999999998</v>
      </c>
      <c r="L45" s="57">
        <f t="shared" si="11"/>
        <v>255.965</v>
      </c>
      <c r="M45" s="57">
        <f t="shared" si="11"/>
        <v>247.53</v>
      </c>
      <c r="N45" s="57">
        <f t="shared" si="11"/>
        <v>240.26499999999999</v>
      </c>
      <c r="O45" s="57">
        <f t="shared" si="11"/>
        <v>236.005</v>
      </c>
      <c r="P45" s="57">
        <f t="shared" si="11"/>
        <v>233.965</v>
      </c>
      <c r="Q45" s="57">
        <f t="shared" si="11"/>
        <v>239.44</v>
      </c>
      <c r="R45" s="57">
        <f t="shared" si="11"/>
        <v>225.55</v>
      </c>
      <c r="S45" s="57">
        <f t="shared" si="11"/>
        <v>208.37</v>
      </c>
      <c r="T45" s="57">
        <f t="shared" si="11"/>
        <v>201.8</v>
      </c>
      <c r="U45" s="57">
        <f t="shared" si="11"/>
        <v>197.38</v>
      </c>
      <c r="V45" s="57">
        <f t="shared" si="11"/>
        <v>208.27500000000001</v>
      </c>
      <c r="W45" s="57">
        <f t="shared" si="11"/>
        <v>210.04000000000002</v>
      </c>
      <c r="X45" s="57">
        <f t="shared" si="11"/>
        <v>224.10500000000002</v>
      </c>
      <c r="Y45" s="57">
        <f t="shared" si="11"/>
        <v>227.60500000000002</v>
      </c>
      <c r="Z45" s="57">
        <f t="shared" si="11"/>
        <v>230.83500000000001</v>
      </c>
      <c r="AA45" s="57">
        <f t="shared" si="11"/>
        <v>223.14500000000001</v>
      </c>
      <c r="AB45" s="57">
        <f t="shared" si="11"/>
        <v>235.32</v>
      </c>
      <c r="AC45" s="57">
        <f t="shared" si="11"/>
        <v>245.245</v>
      </c>
      <c r="AD45" s="57">
        <f t="shared" si="11"/>
        <v>240.89</v>
      </c>
      <c r="AE45" s="57">
        <f t="shared" si="11"/>
        <v>242.53</v>
      </c>
    </row>
    <row r="46" spans="1:35" ht="28" customHeight="1" x14ac:dyDescent="0.2">
      <c r="B46" s="55" t="s">
        <v>53</v>
      </c>
      <c r="C46" s="57">
        <f t="shared" ref="C46:AE46" si="12">AVERAGE(C31:C32)</f>
        <v>2661.5050000000001</v>
      </c>
      <c r="D46" s="57">
        <f t="shared" si="12"/>
        <v>2590.605</v>
      </c>
      <c r="E46" s="57">
        <f t="shared" si="12"/>
        <v>2471.2628333333332</v>
      </c>
      <c r="F46" s="57">
        <f t="shared" si="12"/>
        <v>2274.8885</v>
      </c>
      <c r="G46" s="57">
        <f t="shared" si="12"/>
        <v>2498.4243974735909</v>
      </c>
      <c r="H46" s="57">
        <f t="shared" si="12"/>
        <v>2254.5250000000001</v>
      </c>
      <c r="I46" s="57">
        <f t="shared" si="12"/>
        <v>2218.42</v>
      </c>
      <c r="J46" s="57">
        <f t="shared" si="12"/>
        <v>2160.4049999999997</v>
      </c>
      <c r="K46" s="57">
        <f t="shared" si="12"/>
        <v>2046.7750000000001</v>
      </c>
      <c r="L46" s="57">
        <f t="shared" si="12"/>
        <v>2170.0299999999997</v>
      </c>
      <c r="M46" s="57">
        <f t="shared" si="12"/>
        <v>2128.585</v>
      </c>
      <c r="N46" s="57">
        <f t="shared" si="12"/>
        <v>1958.385</v>
      </c>
      <c r="O46" s="57">
        <f t="shared" si="12"/>
        <v>2000.835</v>
      </c>
      <c r="P46" s="57">
        <f t="shared" si="12"/>
        <v>2260.42</v>
      </c>
      <c r="Q46" s="57">
        <f t="shared" si="12"/>
        <v>2087.0550000000003</v>
      </c>
      <c r="R46" s="57">
        <f t="shared" si="12"/>
        <v>2791.2200000000003</v>
      </c>
      <c r="S46" s="57">
        <f t="shared" si="12"/>
        <v>3010.0349999999999</v>
      </c>
      <c r="T46" s="57">
        <f t="shared" si="12"/>
        <v>2992.4949999999999</v>
      </c>
      <c r="U46" s="57">
        <f t="shared" si="12"/>
        <v>2766.49</v>
      </c>
      <c r="V46" s="57">
        <f t="shared" si="12"/>
        <v>2890.0650000000001</v>
      </c>
      <c r="W46" s="57">
        <f t="shared" si="12"/>
        <v>3045.0450000000001</v>
      </c>
      <c r="X46" s="57">
        <f t="shared" si="12"/>
        <v>3298.5299999999997</v>
      </c>
      <c r="Y46" s="57">
        <f t="shared" si="12"/>
        <v>2613.5450000000001</v>
      </c>
      <c r="Z46" s="57">
        <f t="shared" si="12"/>
        <v>2504.6549999999997</v>
      </c>
      <c r="AA46" s="57">
        <f t="shared" si="12"/>
        <v>2865.4449999999997</v>
      </c>
      <c r="AB46" s="57">
        <f t="shared" si="12"/>
        <v>2738.6499999999996</v>
      </c>
      <c r="AC46" s="57">
        <f t="shared" si="12"/>
        <v>2752.145</v>
      </c>
      <c r="AD46" s="57">
        <f t="shared" si="12"/>
        <v>2568.2849999999999</v>
      </c>
      <c r="AE46" s="57">
        <f t="shared" si="12"/>
        <v>2653.8199999999997</v>
      </c>
    </row>
    <row r="47" spans="1:35" ht="28" customHeight="1" x14ac:dyDescent="0.2">
      <c r="B47" s="55" t="s">
        <v>54</v>
      </c>
      <c r="C47" s="57">
        <f t="shared" ref="C47:AE47" si="13">AVERAGE(C33:C35)</f>
        <v>99.8</v>
      </c>
      <c r="D47" s="57">
        <f t="shared" si="13"/>
        <v>97.206666666666663</v>
      </c>
      <c r="E47" s="57">
        <f t="shared" si="13"/>
        <v>96.963333333333324</v>
      </c>
      <c r="F47" s="57">
        <f t="shared" si="13"/>
        <v>92.480851851851824</v>
      </c>
      <c r="G47" s="57">
        <f t="shared" si="13"/>
        <v>96.62535260851017</v>
      </c>
      <c r="H47" s="57">
        <f t="shared" si="13"/>
        <v>87.343333333333348</v>
      </c>
      <c r="I47" s="57">
        <f t="shared" si="13"/>
        <v>85.05</v>
      </c>
      <c r="J47" s="57">
        <f t="shared" si="13"/>
        <v>83.523333333333326</v>
      </c>
      <c r="K47" s="57">
        <f t="shared" si="13"/>
        <v>78.013333333333335</v>
      </c>
      <c r="L47" s="57">
        <f t="shared" si="13"/>
        <v>83.483333333333334</v>
      </c>
      <c r="M47" s="57">
        <f t="shared" si="13"/>
        <v>81.99666666666667</v>
      </c>
      <c r="N47" s="57">
        <f t="shared" si="13"/>
        <v>77.25333333333333</v>
      </c>
      <c r="O47" s="57">
        <f t="shared" si="13"/>
        <v>79.096666666666678</v>
      </c>
      <c r="P47" s="57">
        <f t="shared" si="13"/>
        <v>85.266666666666666</v>
      </c>
      <c r="Q47" s="57">
        <f t="shared" si="13"/>
        <v>80.90666666666668</v>
      </c>
      <c r="R47" s="57">
        <f t="shared" si="13"/>
        <v>103.37666666666667</v>
      </c>
      <c r="S47" s="57">
        <f t="shared" si="13"/>
        <v>111.17666666666666</v>
      </c>
      <c r="T47" s="57">
        <f t="shared" si="13"/>
        <v>110.86666666666667</v>
      </c>
      <c r="U47" s="57">
        <f t="shared" si="13"/>
        <v>105.15666666666668</v>
      </c>
      <c r="V47" s="57">
        <f t="shared" si="13"/>
        <v>107.64666666666666</v>
      </c>
      <c r="W47" s="57">
        <f t="shared" si="13"/>
        <v>108.41000000000001</v>
      </c>
      <c r="X47" s="57">
        <f t="shared" si="13"/>
        <v>118.54</v>
      </c>
      <c r="Y47" s="57">
        <f t="shared" si="13"/>
        <v>93.703333333333333</v>
      </c>
      <c r="Z47" s="57">
        <f t="shared" si="13"/>
        <v>88.136666666666656</v>
      </c>
      <c r="AA47" s="57">
        <f t="shared" si="13"/>
        <v>102.2</v>
      </c>
      <c r="AB47" s="57">
        <f t="shared" si="13"/>
        <v>92.77</v>
      </c>
      <c r="AC47" s="57">
        <f t="shared" si="13"/>
        <v>90.949999999999989</v>
      </c>
      <c r="AD47" s="57">
        <f t="shared" si="13"/>
        <v>84.523333333333326</v>
      </c>
      <c r="AE47" s="57">
        <f t="shared" si="13"/>
        <v>84.956666666666663</v>
      </c>
    </row>
  </sheetData>
  <mergeCells count="2">
    <mergeCell ref="B5:B6"/>
    <mergeCell ref="A5:A6"/>
  </mergeCells>
  <phoneticPr fontId="12" type="noConversion"/>
  <dataValidations count="1">
    <dataValidation type="decimal" showErrorMessage="1" error="القيمة يجب أن تكون أكبر من -9999999أعلى رقم تستطيع إدخاله: 9999999" sqref="C8:C12 C14:C19 C21:C26 C28:C29 C31:C36 H8:H12 H14:H19 H21:H26 H28:H29 H31:H35 M8:M12 M14:M19 M21:M26 M28:M29 M31:M35 R8:R12 R14:R19 R21:R26 R28:R29 R31:R35 W8:W12 W14:W19 W21:W26 W28:W29 W31:W35 AB8:AB12 AB14:AB19 AB21:AB26 AB28:AB29 AB31:AB35" xr:uid="{DF54CA54-2731-4547-8597-882456B26AA6}">
      <formula1>-9999999</formula1>
      <formula2>9999999</formula2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3BB4-7C8F-504E-BC9A-24830C75A4B8}">
  <sheetPr>
    <tabColor rgb="FF92D050"/>
    <pageSetUpPr fitToPage="1"/>
  </sheetPr>
  <dimension ref="A3:AE46"/>
  <sheetViews>
    <sheetView tabSelected="1" workbookViewId="0">
      <pane xSplit="3" ySplit="5" topLeftCell="D22" activePane="bottomRight" state="frozen"/>
      <selection pane="topRight" activeCell="D1" sqref="D1"/>
      <selection pane="bottomLeft" activeCell="A7" sqref="A7"/>
      <selection pane="bottomRight" activeCell="A28" sqref="A28"/>
    </sheetView>
  </sheetViews>
  <sheetFormatPr baseColWidth="10" defaultRowHeight="28" customHeight="1" x14ac:dyDescent="0.2"/>
  <cols>
    <col min="1" max="1" width="43.83203125" style="40" customWidth="1"/>
    <col min="2" max="2" width="19" style="40" customWidth="1"/>
    <col min="3" max="3" width="4.83203125" style="40" hidden="1" customWidth="1"/>
    <col min="4" max="4" width="9.5" style="63" customWidth="1"/>
    <col min="5" max="28" width="10.83203125" style="40"/>
    <col min="29" max="29" width="1.6640625" style="40" customWidth="1"/>
    <col min="30" max="16384" width="10.83203125" style="40"/>
  </cols>
  <sheetData>
    <row r="3" spans="1:31" ht="28" customHeight="1" x14ac:dyDescent="0.2">
      <c r="A3" s="12" t="s">
        <v>43</v>
      </c>
      <c r="B3" s="1"/>
      <c r="C3" s="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</row>
    <row r="4" spans="1:31" s="42" customFormat="1" ht="28" customHeight="1" x14ac:dyDescent="0.2">
      <c r="A4" s="67" t="s">
        <v>1</v>
      </c>
      <c r="B4" s="67" t="s">
        <v>0</v>
      </c>
      <c r="C4" s="67"/>
      <c r="D4" s="67" t="s">
        <v>91</v>
      </c>
      <c r="E4" s="68">
        <v>2018</v>
      </c>
      <c r="F4" s="68">
        <v>2018</v>
      </c>
      <c r="G4" s="68">
        <v>2018</v>
      </c>
      <c r="H4" s="68">
        <v>2018</v>
      </c>
      <c r="I4" s="68">
        <v>2019</v>
      </c>
      <c r="J4" s="68">
        <v>2019</v>
      </c>
      <c r="K4" s="68">
        <v>2019</v>
      </c>
      <c r="L4" s="68">
        <v>2019</v>
      </c>
      <c r="M4" s="68">
        <v>2020</v>
      </c>
      <c r="N4" s="68">
        <v>2020</v>
      </c>
      <c r="O4" s="68">
        <v>2020</v>
      </c>
      <c r="P4" s="68">
        <v>2020</v>
      </c>
      <c r="Q4" s="68">
        <v>2021</v>
      </c>
      <c r="R4" s="68">
        <v>2021</v>
      </c>
      <c r="S4" s="68">
        <v>2021</v>
      </c>
      <c r="T4" s="68">
        <v>2021</v>
      </c>
      <c r="U4" s="68">
        <v>2022</v>
      </c>
      <c r="V4" s="68">
        <v>2022</v>
      </c>
      <c r="W4" s="68">
        <v>2022</v>
      </c>
      <c r="X4" s="68">
        <v>2022</v>
      </c>
      <c r="Y4" s="68">
        <v>2023</v>
      </c>
      <c r="Z4" s="68">
        <v>2023</v>
      </c>
      <c r="AA4" s="68">
        <v>2023</v>
      </c>
      <c r="AB4" s="68">
        <v>2023</v>
      </c>
    </row>
    <row r="5" spans="1:31" s="42" customFormat="1" ht="28" customHeight="1" x14ac:dyDescent="0.2">
      <c r="A5" s="67"/>
      <c r="B5" s="67"/>
      <c r="C5" s="67"/>
      <c r="D5" s="67"/>
      <c r="E5" s="66" t="s">
        <v>2</v>
      </c>
      <c r="F5" s="66" t="s">
        <v>3</v>
      </c>
      <c r="G5" s="66" t="s">
        <v>4</v>
      </c>
      <c r="H5" s="66" t="s">
        <v>5</v>
      </c>
      <c r="I5" s="66" t="s">
        <v>2</v>
      </c>
      <c r="J5" s="66" t="s">
        <v>3</v>
      </c>
      <c r="K5" s="66" t="s">
        <v>4</v>
      </c>
      <c r="L5" s="66" t="s">
        <v>5</v>
      </c>
      <c r="M5" s="66" t="s">
        <v>2</v>
      </c>
      <c r="N5" s="66" t="s">
        <v>3</v>
      </c>
      <c r="O5" s="66" t="s">
        <v>4</v>
      </c>
      <c r="P5" s="66" t="s">
        <v>5</v>
      </c>
      <c r="Q5" s="66" t="s">
        <v>2</v>
      </c>
      <c r="R5" s="66" t="s">
        <v>3</v>
      </c>
      <c r="S5" s="66" t="s">
        <v>4</v>
      </c>
      <c r="T5" s="66" t="s">
        <v>5</v>
      </c>
      <c r="U5" s="66" t="s">
        <v>2</v>
      </c>
      <c r="V5" s="66" t="s">
        <v>3</v>
      </c>
      <c r="W5" s="66" t="s">
        <v>4</v>
      </c>
      <c r="X5" s="66" t="s">
        <v>5</v>
      </c>
      <c r="Y5" s="66" t="s">
        <v>2</v>
      </c>
      <c r="Z5" s="66" t="s">
        <v>3</v>
      </c>
      <c r="AA5" s="66" t="s">
        <v>4</v>
      </c>
      <c r="AB5" s="66" t="s">
        <v>5</v>
      </c>
    </row>
    <row r="6" spans="1:31" s="45" customFormat="1" ht="28" customHeight="1" x14ac:dyDescent="0.2">
      <c r="A6" s="73" t="s">
        <v>7</v>
      </c>
      <c r="B6" s="69"/>
      <c r="C6" s="69"/>
      <c r="D6" s="70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22"/>
      <c r="AD6" s="49"/>
      <c r="AE6" s="50"/>
    </row>
    <row r="7" spans="1:31" s="65" customFormat="1" ht="28" customHeight="1" x14ac:dyDescent="0.2">
      <c r="A7" s="71" t="s">
        <v>9</v>
      </c>
      <c r="B7" s="69" t="s">
        <v>85</v>
      </c>
      <c r="C7" s="69">
        <v>100</v>
      </c>
      <c r="D7" s="70" t="s">
        <v>92</v>
      </c>
      <c r="E7" s="69">
        <f>'Data Orig'!C8*$C7</f>
        <v>1562</v>
      </c>
      <c r="F7" s="69">
        <f>'Data Orig'!D8*$C7</f>
        <v>1536</v>
      </c>
      <c r="G7" s="69">
        <f>'Data Orig'!E8*$C7</f>
        <v>1562</v>
      </c>
      <c r="H7" s="69">
        <f>'Data Orig'!F8*$C7</f>
        <v>1553.1666666666665</v>
      </c>
      <c r="I7" s="69">
        <f>'Data Orig'!H8*$C7</f>
        <v>1641</v>
      </c>
      <c r="J7" s="69">
        <f>'Data Orig'!I8*$C7</f>
        <v>1614</v>
      </c>
      <c r="K7" s="69">
        <f>'Data Orig'!J8*$C7</f>
        <v>1614</v>
      </c>
      <c r="L7" s="69">
        <f>'Data Orig'!K8*$C7</f>
        <v>1589</v>
      </c>
      <c r="M7" s="69">
        <f>'Data Orig'!M8*$C7</f>
        <v>1569</v>
      </c>
      <c r="N7" s="69">
        <f>'Data Orig'!N8*$C7</f>
        <v>1527</v>
      </c>
      <c r="O7" s="69">
        <f>'Data Orig'!O8*$C7</f>
        <v>1479</v>
      </c>
      <c r="P7" s="69">
        <f>'Data Orig'!P8*$C7</f>
        <v>1479</v>
      </c>
      <c r="Q7" s="69">
        <f>'Data Orig'!R8*$C7</f>
        <v>1479</v>
      </c>
      <c r="R7" s="69">
        <f>'Data Orig'!S8*$C7</f>
        <v>1493</v>
      </c>
      <c r="S7" s="69">
        <f>'Data Orig'!T8*$C7</f>
        <v>1475</v>
      </c>
      <c r="T7" s="69">
        <f>'Data Orig'!U8*$C7</f>
        <v>1479</v>
      </c>
      <c r="U7" s="69">
        <f>'Data Orig'!W8*$C7</f>
        <v>1453</v>
      </c>
      <c r="V7" s="69">
        <f>'Data Orig'!X8*$C7</f>
        <v>1479</v>
      </c>
      <c r="W7" s="69">
        <f>'Data Orig'!Y8*$C7</f>
        <v>1549</v>
      </c>
      <c r="X7" s="69">
        <f>'Data Orig'!Z8*$C7</f>
        <v>1566</v>
      </c>
      <c r="Y7" s="69">
        <f>'Data Orig'!AB8*$C7</f>
        <v>1536</v>
      </c>
      <c r="Z7" s="69">
        <f>'Data Orig'!AC8*$C7</f>
        <v>1623</v>
      </c>
      <c r="AA7" s="69">
        <f>'Data Orig'!AD8*$C7</f>
        <v>1601.0000000000002</v>
      </c>
      <c r="AB7" s="69">
        <f>'Data Orig'!AE8*$C7</f>
        <v>1549</v>
      </c>
      <c r="AC7" s="64"/>
      <c r="AD7" s="40"/>
      <c r="AE7" s="40"/>
    </row>
    <row r="8" spans="1:31" s="65" customFormat="1" ht="28" customHeight="1" x14ac:dyDescent="0.2">
      <c r="A8" s="71" t="s">
        <v>10</v>
      </c>
      <c r="B8" s="69" t="s">
        <v>85</v>
      </c>
      <c r="C8" s="69">
        <v>100</v>
      </c>
      <c r="D8" s="70" t="s">
        <v>92</v>
      </c>
      <c r="E8" s="69">
        <f>'Data Orig'!C9*$C8</f>
        <v>1491</v>
      </c>
      <c r="F8" s="69">
        <f>'Data Orig'!D9*$C8</f>
        <v>1461</v>
      </c>
      <c r="G8" s="69">
        <f>'Data Orig'!E9*$C8</f>
        <v>1478.8333333333333</v>
      </c>
      <c r="H8" s="69">
        <f>'Data Orig'!F9*$C8</f>
        <v>1449.6666666666667</v>
      </c>
      <c r="I8" s="69">
        <f>'Data Orig'!H9*$C8</f>
        <v>1493</v>
      </c>
      <c r="J8" s="69">
        <f>'Data Orig'!I9*$C8</f>
        <v>1470</v>
      </c>
      <c r="K8" s="69">
        <f>'Data Orig'!J9*$C8</f>
        <v>1464</v>
      </c>
      <c r="L8" s="69">
        <f>'Data Orig'!K9*$C8</f>
        <v>1418</v>
      </c>
      <c r="M8" s="69">
        <f>'Data Orig'!M9*$C8</f>
        <v>1418</v>
      </c>
      <c r="N8" s="69">
        <f>'Data Orig'!N9*$C8</f>
        <v>1409</v>
      </c>
      <c r="O8" s="69">
        <f>'Data Orig'!O9*$C8</f>
        <v>1339</v>
      </c>
      <c r="P8" s="69">
        <f>'Data Orig'!P9*$C8</f>
        <v>1313</v>
      </c>
      <c r="Q8" s="69">
        <f>'Data Orig'!R9*$C8</f>
        <v>1296</v>
      </c>
      <c r="R8" s="69">
        <f>'Data Orig'!S9*$C8</f>
        <v>1234</v>
      </c>
      <c r="S8" s="69">
        <f>'Data Orig'!T9*$C8</f>
        <v>1181</v>
      </c>
      <c r="T8" s="69">
        <f>'Data Orig'!U9*$C8</f>
        <v>1111</v>
      </c>
      <c r="U8" s="69">
        <f>'Data Orig'!W9*$C8</f>
        <v>1115</v>
      </c>
      <c r="V8" s="69">
        <f>'Data Orig'!X9*$C8</f>
        <v>1146</v>
      </c>
      <c r="W8" s="69">
        <f>'Data Orig'!Y9*$C8</f>
        <v>1213</v>
      </c>
      <c r="X8" s="69">
        <f>'Data Orig'!Z9*$C8</f>
        <v>1282</v>
      </c>
      <c r="Y8" s="69">
        <f>'Data Orig'!AB9*$C8</f>
        <v>1252</v>
      </c>
      <c r="Z8" s="69">
        <f>'Data Orig'!AC9*$C8</f>
        <v>1390</v>
      </c>
      <c r="AA8" s="69">
        <f>'Data Orig'!AD9*$C8</f>
        <v>1372</v>
      </c>
      <c r="AB8" s="69">
        <f>'Data Orig'!AE9*$C8</f>
        <v>1292</v>
      </c>
      <c r="AC8" s="64"/>
      <c r="AD8" s="40"/>
      <c r="AE8" s="40"/>
    </row>
    <row r="9" spans="1:31" s="65" customFormat="1" ht="28" customHeight="1" x14ac:dyDescent="0.2">
      <c r="A9" s="71" t="s">
        <v>11</v>
      </c>
      <c r="B9" s="69" t="s">
        <v>85</v>
      </c>
      <c r="C9" s="69">
        <v>100</v>
      </c>
      <c r="D9" s="70" t="s">
        <v>92</v>
      </c>
      <c r="E9" s="69">
        <f>'Data Orig'!C10*$C9</f>
        <v>3578</v>
      </c>
      <c r="F9" s="69">
        <f>'Data Orig'!D10*$C9</f>
        <v>3578</v>
      </c>
      <c r="G9" s="69">
        <f>'Data Orig'!E10*$C9</f>
        <v>3577.5714285714284</v>
      </c>
      <c r="H9" s="69">
        <f>'Data Orig'!F10*$C9</f>
        <v>3617.5238095238092</v>
      </c>
      <c r="I9" s="69">
        <f>'Data Orig'!H10*$C9</f>
        <v>3640</v>
      </c>
      <c r="J9" s="69">
        <f>'Data Orig'!I10*$C9</f>
        <v>3640</v>
      </c>
      <c r="K9" s="69">
        <f>'Data Orig'!J10*$C9</f>
        <v>3640</v>
      </c>
      <c r="L9" s="69">
        <f>'Data Orig'!K10*$C9</f>
        <v>3640</v>
      </c>
      <c r="M9" s="69">
        <f>'Data Orig'!M10*$C9</f>
        <v>3640</v>
      </c>
      <c r="N9" s="69">
        <f>'Data Orig'!N10*$C9</f>
        <v>3628</v>
      </c>
      <c r="O9" s="69">
        <f>'Data Orig'!O10*$C9</f>
        <v>3582</v>
      </c>
      <c r="P9" s="69">
        <f>'Data Orig'!P10*$C9</f>
        <v>3582</v>
      </c>
      <c r="Q9" s="69">
        <f>'Data Orig'!R10*$C9</f>
        <v>3471</v>
      </c>
      <c r="R9" s="69">
        <f>'Data Orig'!S10*$C9</f>
        <v>3535</v>
      </c>
      <c r="S9" s="69">
        <f>'Data Orig'!T10*$C9</f>
        <v>3494</v>
      </c>
      <c r="T9" s="69">
        <f>'Data Orig'!U10*$C9</f>
        <v>3483</v>
      </c>
      <c r="U9" s="69">
        <f>'Data Orig'!W10*$C9</f>
        <v>3483</v>
      </c>
      <c r="V9" s="69">
        <f>'Data Orig'!X10*$C9</f>
        <v>3453</v>
      </c>
      <c r="W9" s="69">
        <f>'Data Orig'!Y10*$C9</f>
        <v>3447.9999999999995</v>
      </c>
      <c r="X9" s="69">
        <f>'Data Orig'!Z10*$C9</f>
        <v>3436</v>
      </c>
      <c r="Y9" s="69">
        <f>'Data Orig'!AB10*$C9</f>
        <v>3401</v>
      </c>
      <c r="Z9" s="69">
        <f>'Data Orig'!AC10*$C9</f>
        <v>3407</v>
      </c>
      <c r="AA9" s="69">
        <f>'Data Orig'!AD10*$C9</f>
        <v>3429.9999999999995</v>
      </c>
      <c r="AB9" s="69">
        <f>'Data Orig'!AE10*$C9</f>
        <v>3429.9999999999995</v>
      </c>
      <c r="AC9" s="64"/>
      <c r="AD9" s="40"/>
      <c r="AE9" s="40"/>
    </row>
    <row r="10" spans="1:31" s="65" customFormat="1" ht="28" customHeight="1" x14ac:dyDescent="0.2">
      <c r="A10" s="71" t="s">
        <v>13</v>
      </c>
      <c r="B10" s="69" t="s">
        <v>86</v>
      </c>
      <c r="C10" s="69">
        <v>100</v>
      </c>
      <c r="D10" s="70" t="s">
        <v>92</v>
      </c>
      <c r="E10" s="69">
        <f>'Data Orig'!C11*$C10</f>
        <v>1864</v>
      </c>
      <c r="F10" s="69">
        <f>'Data Orig'!D11*$C10</f>
        <v>1864</v>
      </c>
      <c r="G10" s="69">
        <f>'Data Orig'!E11*$C10</f>
        <v>1863.75</v>
      </c>
      <c r="H10" s="69">
        <f>'Data Orig'!F11*$C10</f>
        <v>1863.75</v>
      </c>
      <c r="I10" s="69">
        <f>'Data Orig'!H11*$C10</f>
        <v>1575</v>
      </c>
      <c r="J10" s="69">
        <f>'Data Orig'!I11*$C10</f>
        <v>1575</v>
      </c>
      <c r="K10" s="69">
        <f>'Data Orig'!J11*$C10</f>
        <v>1575</v>
      </c>
      <c r="L10" s="69">
        <f>'Data Orig'!K11*$C10</f>
        <v>1575</v>
      </c>
      <c r="M10" s="69">
        <f>'Data Orig'!M11*$C10</f>
        <v>1575</v>
      </c>
      <c r="N10" s="69">
        <f>'Data Orig'!N11*$C10</f>
        <v>1575</v>
      </c>
      <c r="O10" s="69">
        <f>'Data Orig'!O11*$C10</f>
        <v>1575</v>
      </c>
      <c r="P10" s="69">
        <f>'Data Orig'!P11*$C10</f>
        <v>1575</v>
      </c>
      <c r="Q10" s="69">
        <f>'Data Orig'!R11*$C10</f>
        <v>1575</v>
      </c>
      <c r="R10" s="69">
        <f>'Data Orig'!S11*$C10</f>
        <v>1575</v>
      </c>
      <c r="S10" s="69">
        <f>'Data Orig'!T11*$C10</f>
        <v>1575</v>
      </c>
      <c r="T10" s="69">
        <f>'Data Orig'!U11*$C10</f>
        <v>1575</v>
      </c>
      <c r="U10" s="69">
        <f>'Data Orig'!W11*$C10</f>
        <v>1575</v>
      </c>
      <c r="V10" s="69">
        <f>'Data Orig'!X11*$C10</f>
        <v>1575</v>
      </c>
      <c r="W10" s="69">
        <f>'Data Orig'!Y11*$C10</f>
        <v>1575</v>
      </c>
      <c r="X10" s="69">
        <f>'Data Orig'!Z11*$C10</f>
        <v>1575</v>
      </c>
      <c r="Y10" s="69">
        <f>'Data Orig'!AB11*$C10</f>
        <v>1575</v>
      </c>
      <c r="Z10" s="69">
        <f>'Data Orig'!AC11*$C10</f>
        <v>1575</v>
      </c>
      <c r="AA10" s="69">
        <f>'Data Orig'!AD11*$C10</f>
        <v>1575</v>
      </c>
      <c r="AB10" s="69">
        <f>'Data Orig'!AE11*$C10</f>
        <v>1575</v>
      </c>
      <c r="AC10" s="64"/>
      <c r="AD10" s="40"/>
      <c r="AE10" s="40"/>
    </row>
    <row r="11" spans="1:31" s="65" customFormat="1" ht="28" customHeight="1" x14ac:dyDescent="0.2">
      <c r="A11" s="71" t="s">
        <v>15</v>
      </c>
      <c r="B11" s="69" t="s">
        <v>87</v>
      </c>
      <c r="C11" s="69">
        <v>100</v>
      </c>
      <c r="D11" s="70" t="s">
        <v>92</v>
      </c>
      <c r="E11" s="69">
        <f>'Data Orig'!C12*$C11</f>
        <v>915</v>
      </c>
      <c r="F11" s="69">
        <f>'Data Orig'!D12*$C11</f>
        <v>900</v>
      </c>
      <c r="G11" s="69">
        <f>'Data Orig'!E12*$C11</f>
        <v>890</v>
      </c>
      <c r="H11" s="69">
        <f>'Data Orig'!F12*$C11</f>
        <v>879.99999999999989</v>
      </c>
      <c r="I11" s="69">
        <f>'Data Orig'!H12*$C11</f>
        <v>827.99999999999989</v>
      </c>
      <c r="J11" s="69">
        <f>'Data Orig'!I12*$C11</f>
        <v>782</v>
      </c>
      <c r="K11" s="69">
        <f>'Data Orig'!J12*$C11</f>
        <v>770</v>
      </c>
      <c r="L11" s="69">
        <f>'Data Orig'!K12*$C11</f>
        <v>770</v>
      </c>
      <c r="M11" s="69">
        <f>'Data Orig'!M12*$C11</f>
        <v>782</v>
      </c>
      <c r="N11" s="69">
        <f>'Data Orig'!N12*$C11</f>
        <v>805.00000000000011</v>
      </c>
      <c r="O11" s="69">
        <f>'Data Orig'!O12*$C11</f>
        <v>805.00000000000011</v>
      </c>
      <c r="P11" s="69">
        <f>'Data Orig'!P12*$C11</f>
        <v>805.00000000000011</v>
      </c>
      <c r="Q11" s="69">
        <f>'Data Orig'!R12*$C11</f>
        <v>805.00000000000011</v>
      </c>
      <c r="R11" s="69">
        <f>'Data Orig'!S12*$C11</f>
        <v>805.00000000000011</v>
      </c>
      <c r="S11" s="69">
        <f>'Data Orig'!T12*$C11</f>
        <v>805.00000000000011</v>
      </c>
      <c r="T11" s="69">
        <f>'Data Orig'!U12*$C11</f>
        <v>805.00000000000011</v>
      </c>
      <c r="U11" s="69">
        <f>'Data Orig'!W12*$C11</f>
        <v>805.00000000000011</v>
      </c>
      <c r="V11" s="69">
        <f>'Data Orig'!X12*$C11</f>
        <v>805.00000000000011</v>
      </c>
      <c r="W11" s="69">
        <f>'Data Orig'!Y12*$C11</f>
        <v>805.00000000000011</v>
      </c>
      <c r="X11" s="69">
        <f>'Data Orig'!Z12*$C11</f>
        <v>805.00000000000011</v>
      </c>
      <c r="Y11" s="69">
        <f>'Data Orig'!AB12*$C11</f>
        <v>805.00000000000011</v>
      </c>
      <c r="Z11" s="69">
        <f>'Data Orig'!AC12*$C11</f>
        <v>793</v>
      </c>
      <c r="AA11" s="69">
        <f>'Data Orig'!AD12*$C11</f>
        <v>770</v>
      </c>
      <c r="AB11" s="69">
        <f>'Data Orig'!AE12*$C11</f>
        <v>770</v>
      </c>
      <c r="AC11" s="64"/>
      <c r="AD11" s="40"/>
      <c r="AE11" s="40"/>
    </row>
    <row r="12" spans="1:31" s="45" customFormat="1" ht="28" customHeight="1" x14ac:dyDescent="0.2">
      <c r="A12" s="73" t="s">
        <v>16</v>
      </c>
      <c r="B12" s="69"/>
      <c r="C12" s="69"/>
      <c r="D12" s="70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22"/>
      <c r="AD12" s="40"/>
      <c r="AE12" s="40"/>
    </row>
    <row r="13" spans="1:31" s="65" customFormat="1" ht="28" customHeight="1" x14ac:dyDescent="0.2">
      <c r="A13" s="71" t="s">
        <v>17</v>
      </c>
      <c r="B13" s="69" t="s">
        <v>45</v>
      </c>
      <c r="C13" s="69">
        <v>1</v>
      </c>
      <c r="D13" s="70" t="s">
        <v>92</v>
      </c>
      <c r="E13" s="69">
        <f>'Data Orig'!C14*$C13</f>
        <v>1155</v>
      </c>
      <c r="F13" s="69">
        <f>'Data Orig'!D14*$C13</f>
        <v>1254.75</v>
      </c>
      <c r="G13" s="69">
        <f>'Data Orig'!E14*$C13</f>
        <v>1222.375</v>
      </c>
      <c r="H13" s="69">
        <f>'Data Orig'!F14*$C13</f>
        <v>1245.7083333333333</v>
      </c>
      <c r="I13" s="69">
        <f>'Data Orig'!H14*$C13</f>
        <v>1207.5</v>
      </c>
      <c r="J13" s="69">
        <f>'Data Orig'!I14*$C13</f>
        <v>1207.5</v>
      </c>
      <c r="K13" s="69">
        <f>'Data Orig'!J14*$C13</f>
        <v>1161.3900000000001</v>
      </c>
      <c r="L13" s="69">
        <f>'Data Orig'!K14*$C13</f>
        <v>1138.33</v>
      </c>
      <c r="M13" s="69">
        <f>'Data Orig'!M14*$C13</f>
        <v>1138.33</v>
      </c>
      <c r="N13" s="69">
        <f>'Data Orig'!N14*$C13</f>
        <v>1115</v>
      </c>
      <c r="O13" s="69">
        <f>'Data Orig'!O14*$C13</f>
        <v>1103.33</v>
      </c>
      <c r="P13" s="69">
        <f>'Data Orig'!P14*$C13</f>
        <v>1097.5</v>
      </c>
      <c r="Q13" s="69">
        <f>'Data Orig'!R14*$C13</f>
        <v>1091.3900000000001</v>
      </c>
      <c r="R13" s="69">
        <f>'Data Orig'!S14*$C13</f>
        <v>1147.78</v>
      </c>
      <c r="S13" s="69">
        <f>'Data Orig'!T14*$C13</f>
        <v>1168.33</v>
      </c>
      <c r="T13" s="69">
        <f>'Data Orig'!U14*$C13</f>
        <v>1168.33</v>
      </c>
      <c r="U13" s="69">
        <f>'Data Orig'!W14*$C13</f>
        <v>1179.44</v>
      </c>
      <c r="V13" s="69">
        <f>'Data Orig'!X14*$C13</f>
        <v>1223.33</v>
      </c>
      <c r="W13" s="69">
        <f>'Data Orig'!Y14*$C13</f>
        <v>1223.33</v>
      </c>
      <c r="X13" s="69">
        <f>'Data Orig'!Z14*$C13</f>
        <v>1223.33</v>
      </c>
      <c r="Y13" s="69">
        <f>'Data Orig'!AB14*$C13</f>
        <v>1223.33</v>
      </c>
      <c r="Z13" s="69">
        <f>'Data Orig'!AC14*$C13</f>
        <v>1173.33</v>
      </c>
      <c r="AA13" s="69">
        <f>'Data Orig'!AD14*$C13</f>
        <v>1190.83</v>
      </c>
      <c r="AB13" s="69">
        <f>'Data Orig'!AE14*$C13</f>
        <v>1190.83</v>
      </c>
      <c r="AC13" s="64"/>
      <c r="AD13" s="40"/>
      <c r="AE13" s="40"/>
    </row>
    <row r="14" spans="1:31" s="65" customFormat="1" ht="28" customHeight="1" x14ac:dyDescent="0.2">
      <c r="A14" s="71" t="s">
        <v>18</v>
      </c>
      <c r="B14" s="69" t="s">
        <v>45</v>
      </c>
      <c r="C14" s="69">
        <v>1</v>
      </c>
      <c r="D14" s="70" t="s">
        <v>92</v>
      </c>
      <c r="E14" s="69">
        <f>'Data Orig'!C15*$C14</f>
        <v>1204.8800000000001</v>
      </c>
      <c r="F14" s="69">
        <f>'Data Orig'!D15*$C14</f>
        <v>1304.6300000000001</v>
      </c>
      <c r="G14" s="69">
        <f>'Data Orig'!E15*$C14</f>
        <v>1304.625</v>
      </c>
      <c r="H14" s="69">
        <f>'Data Orig'!F15*$C14</f>
        <v>1304.625</v>
      </c>
      <c r="I14" s="69">
        <f>'Data Orig'!H15*$C14</f>
        <v>1207.5</v>
      </c>
      <c r="J14" s="69">
        <f>'Data Orig'!I15*$C14</f>
        <v>1207.5</v>
      </c>
      <c r="K14" s="69">
        <f>'Data Orig'!J15*$C14</f>
        <v>1161.3900000000001</v>
      </c>
      <c r="L14" s="69">
        <f>'Data Orig'!K15*$C14</f>
        <v>1138.33</v>
      </c>
      <c r="M14" s="69">
        <f>'Data Orig'!M15*$C14</f>
        <v>1138.33</v>
      </c>
      <c r="N14" s="69">
        <f>'Data Orig'!N15*$C14</f>
        <v>1115</v>
      </c>
      <c r="O14" s="69">
        <f>'Data Orig'!O15*$C14</f>
        <v>1103.33</v>
      </c>
      <c r="P14" s="69">
        <f>'Data Orig'!P15*$C14</f>
        <v>1097.5</v>
      </c>
      <c r="Q14" s="69">
        <f>'Data Orig'!R15*$C14</f>
        <v>1091.3900000000001</v>
      </c>
      <c r="R14" s="69">
        <f>'Data Orig'!S15*$C14</f>
        <v>1147.78</v>
      </c>
      <c r="S14" s="69">
        <f>'Data Orig'!T15*$C14</f>
        <v>1168.33</v>
      </c>
      <c r="T14" s="69">
        <f>'Data Orig'!U15*$C14</f>
        <v>1168.33</v>
      </c>
      <c r="U14" s="69">
        <f>'Data Orig'!W15*$C14</f>
        <v>1179.44</v>
      </c>
      <c r="V14" s="69">
        <f>'Data Orig'!X15*$C14</f>
        <v>1223.33</v>
      </c>
      <c r="W14" s="69">
        <f>'Data Orig'!Y15*$C14</f>
        <v>1223.33</v>
      </c>
      <c r="X14" s="69">
        <f>'Data Orig'!Z15*$C14</f>
        <v>1223.33</v>
      </c>
      <c r="Y14" s="69">
        <f>'Data Orig'!AB15*$C14</f>
        <v>1223.33</v>
      </c>
      <c r="Z14" s="69">
        <f>'Data Orig'!AC15*$C14</f>
        <v>1173.33</v>
      </c>
      <c r="AA14" s="69">
        <f>'Data Orig'!AD15*$C14</f>
        <v>1190.83</v>
      </c>
      <c r="AB14" s="69">
        <f>'Data Orig'!AE15*$C14</f>
        <v>1190.83</v>
      </c>
      <c r="AC14" s="64"/>
      <c r="AD14" s="40"/>
      <c r="AE14" s="40"/>
    </row>
    <row r="15" spans="1:31" s="65" customFormat="1" ht="28" customHeight="1" x14ac:dyDescent="0.2">
      <c r="A15" s="71" t="s">
        <v>19</v>
      </c>
      <c r="B15" s="69" t="s">
        <v>45</v>
      </c>
      <c r="C15" s="69">
        <v>1</v>
      </c>
      <c r="D15" s="70" t="s">
        <v>92</v>
      </c>
      <c r="E15" s="69">
        <f>'Data Orig'!C16*$C15</f>
        <v>1325.63</v>
      </c>
      <c r="F15" s="69">
        <f>'Data Orig'!D16*$C15</f>
        <v>1437.19</v>
      </c>
      <c r="G15" s="69">
        <f>'Data Orig'!E16*$C15</f>
        <v>1437.1875</v>
      </c>
      <c r="H15" s="69">
        <f>'Data Orig'!F16*$C15</f>
        <v>1437.1875</v>
      </c>
      <c r="I15" s="69">
        <f>'Data Orig'!H16*$C15</f>
        <v>1338.75</v>
      </c>
      <c r="J15" s="69">
        <f>'Data Orig'!I16*$C15</f>
        <v>1338.75</v>
      </c>
      <c r="K15" s="69">
        <f>'Data Orig'!J16*$C15</f>
        <v>1331.69</v>
      </c>
      <c r="L15" s="69">
        <f>'Data Orig'!K16*$C15</f>
        <v>1318.17</v>
      </c>
      <c r="M15" s="69">
        <f>'Data Orig'!M16*$C15</f>
        <v>1318.17</v>
      </c>
      <c r="N15" s="69">
        <f>'Data Orig'!N16*$C15</f>
        <v>1311.17</v>
      </c>
      <c r="O15" s="69">
        <f>'Data Orig'!O16*$C15</f>
        <v>1307.67</v>
      </c>
      <c r="P15" s="69">
        <f>'Data Orig'!P16*$C15</f>
        <v>1300.67</v>
      </c>
      <c r="Q15" s="69">
        <f>'Data Orig'!R16*$C15</f>
        <v>1292.22</v>
      </c>
      <c r="R15" s="69">
        <f>'Data Orig'!S16*$C15</f>
        <v>1263.33</v>
      </c>
      <c r="S15" s="69">
        <f>'Data Orig'!T16*$C15</f>
        <v>1341.11</v>
      </c>
      <c r="T15" s="69">
        <f>'Data Orig'!U16*$C15</f>
        <v>1286.67</v>
      </c>
      <c r="U15" s="69">
        <f>'Data Orig'!W16*$C15</f>
        <v>1296.67</v>
      </c>
      <c r="V15" s="69">
        <f>'Data Orig'!X16*$C15</f>
        <v>1383.33</v>
      </c>
      <c r="W15" s="69">
        <f>'Data Orig'!Y16*$C15</f>
        <v>1383.33</v>
      </c>
      <c r="X15" s="69">
        <f>'Data Orig'!Z16*$C15</f>
        <v>1383.33</v>
      </c>
      <c r="Y15" s="69">
        <f>'Data Orig'!AB16*$C15</f>
        <v>1383.33</v>
      </c>
      <c r="Z15" s="69">
        <f>'Data Orig'!AC16*$C15</f>
        <v>1370</v>
      </c>
      <c r="AA15" s="69">
        <f>'Data Orig'!AD16*$C15</f>
        <v>1370</v>
      </c>
      <c r="AB15" s="69">
        <f>'Data Orig'!AE16*$C15</f>
        <v>1370</v>
      </c>
      <c r="AC15" s="64"/>
      <c r="AD15" s="40"/>
      <c r="AE15" s="40"/>
    </row>
    <row r="16" spans="1:31" s="65" customFormat="1" ht="28" customHeight="1" x14ac:dyDescent="0.2">
      <c r="A16" s="71" t="s">
        <v>20</v>
      </c>
      <c r="B16" s="69" t="s">
        <v>45</v>
      </c>
      <c r="C16" s="69">
        <v>1</v>
      </c>
      <c r="D16" s="70" t="s">
        <v>92</v>
      </c>
      <c r="E16" s="69">
        <f>'Data Orig'!C17*$C16</f>
        <v>866.25</v>
      </c>
      <c r="F16" s="69">
        <f>'Data Orig'!D17*$C16</f>
        <v>866.25</v>
      </c>
      <c r="G16" s="69">
        <f>'Data Orig'!E17*$C16</f>
        <v>866.25</v>
      </c>
      <c r="H16" s="69">
        <f>'Data Orig'!F17*$C16</f>
        <v>877.5</v>
      </c>
      <c r="I16" s="69">
        <f>'Data Orig'!H17*$C16</f>
        <v>840</v>
      </c>
      <c r="J16" s="69">
        <f>'Data Orig'!I17*$C16</f>
        <v>840</v>
      </c>
      <c r="K16" s="69">
        <f>'Data Orig'!J17*$C16</f>
        <v>798.89</v>
      </c>
      <c r="L16" s="69">
        <f>'Data Orig'!K17*$C16</f>
        <v>763.33</v>
      </c>
      <c r="M16" s="69">
        <f>'Data Orig'!M17*$C16</f>
        <v>763.33</v>
      </c>
      <c r="N16" s="69">
        <f>'Data Orig'!N17*$C16</f>
        <v>763.33</v>
      </c>
      <c r="O16" s="69">
        <f>'Data Orig'!O17*$C16</f>
        <v>763.33</v>
      </c>
      <c r="P16" s="69">
        <f>'Data Orig'!P17*$C16</f>
        <v>763.33</v>
      </c>
      <c r="Q16" s="69">
        <f>'Data Orig'!R17*$C16</f>
        <v>793.33</v>
      </c>
      <c r="R16" s="69">
        <f>'Data Orig'!S17*$C16</f>
        <v>805.56</v>
      </c>
      <c r="S16" s="69">
        <f>'Data Orig'!T17*$C16</f>
        <v>830</v>
      </c>
      <c r="T16" s="69">
        <f>'Data Orig'!U17*$C16</f>
        <v>830</v>
      </c>
      <c r="U16" s="69">
        <f>'Data Orig'!W17*$C16</f>
        <v>830</v>
      </c>
      <c r="V16" s="69">
        <f>'Data Orig'!X17*$C16</f>
        <v>793.33</v>
      </c>
      <c r="W16" s="69">
        <f>'Data Orig'!Y17*$C16</f>
        <v>793.33</v>
      </c>
      <c r="X16" s="69">
        <f>'Data Orig'!Z17*$C16</f>
        <v>793.33</v>
      </c>
      <c r="Y16" s="69">
        <f>'Data Orig'!AB17*$C16</f>
        <v>793.33</v>
      </c>
      <c r="Z16" s="69">
        <f>'Data Orig'!AC17*$C16</f>
        <v>758.33</v>
      </c>
      <c r="AA16" s="69">
        <f>'Data Orig'!AD17*$C16</f>
        <v>770.58</v>
      </c>
      <c r="AB16" s="69">
        <f>'Data Orig'!AE17*$C16</f>
        <v>770.58</v>
      </c>
      <c r="AC16" s="64"/>
      <c r="AD16" s="40"/>
      <c r="AE16" s="40"/>
    </row>
    <row r="17" spans="1:31" s="65" customFormat="1" ht="28" customHeight="1" x14ac:dyDescent="0.2">
      <c r="A17" s="71" t="s">
        <v>21</v>
      </c>
      <c r="B17" s="69" t="s">
        <v>45</v>
      </c>
      <c r="C17" s="69">
        <v>1</v>
      </c>
      <c r="D17" s="70" t="s">
        <v>92</v>
      </c>
      <c r="E17" s="69">
        <f>'Data Orig'!C18*$C17</f>
        <v>984.38</v>
      </c>
      <c r="F17" s="69">
        <f>'Data Orig'!D18*$C17</f>
        <v>1118.94</v>
      </c>
      <c r="G17" s="69">
        <f>'Data Orig'!E18*$C17</f>
        <v>1099.6875</v>
      </c>
      <c r="H17" s="69">
        <f>'Data Orig'!F18*$C17</f>
        <v>1127.6041666666667</v>
      </c>
      <c r="I17" s="69">
        <f>'Data Orig'!H18*$C17</f>
        <v>1101.67</v>
      </c>
      <c r="J17" s="69">
        <f>'Data Orig'!I18*$C17</f>
        <v>1101.67</v>
      </c>
      <c r="K17" s="69">
        <f>'Data Orig'!J18*$C17</f>
        <v>1075</v>
      </c>
      <c r="L17" s="69">
        <f>'Data Orig'!K18*$C17</f>
        <v>1061.67</v>
      </c>
      <c r="M17" s="69">
        <f>'Data Orig'!M18*$C17</f>
        <v>1061.67</v>
      </c>
      <c r="N17" s="69">
        <f>'Data Orig'!N18*$C17</f>
        <v>1061.67</v>
      </c>
      <c r="O17" s="69">
        <f>'Data Orig'!O18*$C17</f>
        <v>1061.67</v>
      </c>
      <c r="P17" s="69">
        <f>'Data Orig'!P18*$C17</f>
        <v>1061.67</v>
      </c>
      <c r="Q17" s="69">
        <f>'Data Orig'!R18*$C17</f>
        <v>1085.28</v>
      </c>
      <c r="R17" s="69">
        <f>'Data Orig'!S18*$C17</f>
        <v>1100.83</v>
      </c>
      <c r="S17" s="69">
        <f>'Data Orig'!T18*$C17</f>
        <v>1100.83</v>
      </c>
      <c r="T17" s="69">
        <f>'Data Orig'!U18*$C17</f>
        <v>1100.83</v>
      </c>
      <c r="U17" s="69">
        <f>'Data Orig'!W18*$C17</f>
        <v>1100.83</v>
      </c>
      <c r="V17" s="69">
        <f>'Data Orig'!X18*$C17</f>
        <v>1116.67</v>
      </c>
      <c r="W17" s="69">
        <f>'Data Orig'!Y18*$C17</f>
        <v>1116.67</v>
      </c>
      <c r="X17" s="69">
        <f>'Data Orig'!Z18*$C17</f>
        <v>1116.67</v>
      </c>
      <c r="Y17" s="69">
        <f>'Data Orig'!AB18*$C17</f>
        <v>1116.67</v>
      </c>
      <c r="Z17" s="69">
        <f>'Data Orig'!AC18*$C17</f>
        <v>1083.33</v>
      </c>
      <c r="AA17" s="69">
        <f>'Data Orig'!AD18*$C17</f>
        <v>1083.33</v>
      </c>
      <c r="AB17" s="69">
        <f>'Data Orig'!AE18*$C17</f>
        <v>1083.33</v>
      </c>
      <c r="AC17" s="64"/>
      <c r="AD17" s="40"/>
      <c r="AE17" s="40"/>
    </row>
    <row r="18" spans="1:31" s="65" customFormat="1" ht="28" customHeight="1" x14ac:dyDescent="0.2">
      <c r="A18" s="71" t="s">
        <v>22</v>
      </c>
      <c r="B18" s="69" t="s">
        <v>45</v>
      </c>
      <c r="C18" s="69">
        <v>1</v>
      </c>
      <c r="D18" s="70" t="s">
        <v>92</v>
      </c>
      <c r="E18" s="69">
        <f>'Data Orig'!C19*$C18</f>
        <v>616.88</v>
      </c>
      <c r="F18" s="69">
        <f>'Data Orig'!D19*$C18</f>
        <v>637.88</v>
      </c>
      <c r="G18" s="69">
        <f>'Data Orig'!E19*$C18</f>
        <v>641</v>
      </c>
      <c r="H18" s="69">
        <f>'Data Orig'!F19*$C18</f>
        <v>716.04166666666663</v>
      </c>
      <c r="I18" s="69">
        <f>'Data Orig'!H19*$C18</f>
        <v>560.83000000000004</v>
      </c>
      <c r="J18" s="69">
        <f>'Data Orig'!I19*$C18</f>
        <v>560.83000000000004</v>
      </c>
      <c r="K18" s="69">
        <f>'Data Orig'!J19*$C18</f>
        <v>548.61</v>
      </c>
      <c r="L18" s="69">
        <f>'Data Orig'!K19*$C18</f>
        <v>542.5</v>
      </c>
      <c r="M18" s="69">
        <f>'Data Orig'!M19*$C18</f>
        <v>542.5</v>
      </c>
      <c r="N18" s="69">
        <f>'Data Orig'!N19*$C18</f>
        <v>542.5</v>
      </c>
      <c r="O18" s="69">
        <f>'Data Orig'!O19*$C18</f>
        <v>542.5</v>
      </c>
      <c r="P18" s="69">
        <f>'Data Orig'!P19*$C18</f>
        <v>542.5</v>
      </c>
      <c r="Q18" s="69">
        <f>'Data Orig'!R19*$C18</f>
        <v>601.66999999999996</v>
      </c>
      <c r="R18" s="69">
        <f>'Data Orig'!S19*$C18</f>
        <v>601.66999999999996</v>
      </c>
      <c r="S18" s="69">
        <f>'Data Orig'!T19*$C18</f>
        <v>601.66999999999996</v>
      </c>
      <c r="T18" s="69">
        <f>'Data Orig'!U19*$C18</f>
        <v>626.66999999999996</v>
      </c>
      <c r="U18" s="69">
        <f>'Data Orig'!W19*$C18</f>
        <v>626.66999999999996</v>
      </c>
      <c r="V18" s="69">
        <f>'Data Orig'!X19*$C18</f>
        <v>606.66999999999996</v>
      </c>
      <c r="W18" s="69">
        <f>'Data Orig'!Y19*$C18</f>
        <v>606.66999999999996</v>
      </c>
      <c r="X18" s="69">
        <f>'Data Orig'!Z19*$C18</f>
        <v>606.66999999999996</v>
      </c>
      <c r="Y18" s="69">
        <f>'Data Orig'!AB19*$C18</f>
        <v>606.66999999999996</v>
      </c>
      <c r="Z18" s="69">
        <f>'Data Orig'!AC19*$C18</f>
        <v>596.66999999999996</v>
      </c>
      <c r="AA18" s="69">
        <f>'Data Orig'!AD19*$C18</f>
        <v>596.66999999999996</v>
      </c>
      <c r="AB18" s="69">
        <f>'Data Orig'!AE19*$C18</f>
        <v>596.66999999999996</v>
      </c>
      <c r="AC18" s="64"/>
      <c r="AD18" s="40"/>
      <c r="AE18" s="40"/>
    </row>
    <row r="19" spans="1:31" s="45" customFormat="1" ht="28" customHeight="1" x14ac:dyDescent="0.2">
      <c r="A19" s="73" t="s">
        <v>23</v>
      </c>
      <c r="B19" s="69"/>
      <c r="C19" s="69"/>
      <c r="D19" s="70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49"/>
      <c r="AD19" s="40"/>
      <c r="AE19" s="40"/>
    </row>
    <row r="20" spans="1:31" s="65" customFormat="1" ht="28" customHeight="1" x14ac:dyDescent="0.2">
      <c r="A20" s="71" t="s">
        <v>25</v>
      </c>
      <c r="B20" s="69" t="s">
        <v>88</v>
      </c>
      <c r="C20" s="69">
        <v>200</v>
      </c>
      <c r="D20" s="70" t="s">
        <v>92</v>
      </c>
      <c r="E20" s="69">
        <f>'Data Orig'!C21*$C20</f>
        <v>504</v>
      </c>
      <c r="F20" s="69">
        <f>'Data Orig'!D21*$C20</f>
        <v>504</v>
      </c>
      <c r="G20" s="69">
        <f>'Data Orig'!E21*$C20</f>
        <v>507.66666666666669</v>
      </c>
      <c r="H20" s="69">
        <f>'Data Orig'!F21*$C20</f>
        <v>493.66666666666674</v>
      </c>
      <c r="I20" s="69">
        <f>'Data Orig'!H21*$C20</f>
        <v>436.00000000000006</v>
      </c>
      <c r="J20" s="69">
        <f>'Data Orig'!I21*$C20</f>
        <v>436.00000000000006</v>
      </c>
      <c r="K20" s="69">
        <f>'Data Orig'!J21*$C20</f>
        <v>436.00000000000006</v>
      </c>
      <c r="L20" s="69">
        <f>'Data Orig'!K21*$C20</f>
        <v>436.00000000000006</v>
      </c>
      <c r="M20" s="69">
        <f>'Data Orig'!M21*$C20</f>
        <v>422</v>
      </c>
      <c r="N20" s="69">
        <f>'Data Orig'!N21*$C20</f>
        <v>404</v>
      </c>
      <c r="O20" s="69">
        <f>'Data Orig'!O21*$C20</f>
        <v>386</v>
      </c>
      <c r="P20" s="69">
        <f>'Data Orig'!P21*$C20</f>
        <v>386</v>
      </c>
      <c r="Q20" s="69">
        <f>'Data Orig'!R21*$C20</f>
        <v>386</v>
      </c>
      <c r="R20" s="69">
        <f>'Data Orig'!S21*$C20</f>
        <v>386</v>
      </c>
      <c r="S20" s="69">
        <f>'Data Orig'!T21*$C20</f>
        <v>386</v>
      </c>
      <c r="T20" s="69">
        <f>'Data Orig'!U21*$C20</f>
        <v>386</v>
      </c>
      <c r="U20" s="69">
        <f>'Data Orig'!W21*$C20</f>
        <v>390</v>
      </c>
      <c r="V20" s="69">
        <f>'Data Orig'!X21*$C20</f>
        <v>400</v>
      </c>
      <c r="W20" s="69">
        <f>'Data Orig'!Y21*$C20</f>
        <v>400</v>
      </c>
      <c r="X20" s="69">
        <f>'Data Orig'!Z21*$C20</f>
        <v>400</v>
      </c>
      <c r="Y20" s="69">
        <f>'Data Orig'!AB21*$C20</f>
        <v>400</v>
      </c>
      <c r="Z20" s="69">
        <f>'Data Orig'!AC21*$C20</f>
        <v>405.99999999999994</v>
      </c>
      <c r="AA20" s="69">
        <f>'Data Orig'!AD21*$C20</f>
        <v>413.99999999999994</v>
      </c>
      <c r="AB20" s="69">
        <f>'Data Orig'!AE21*$C20</f>
        <v>413.99999999999994</v>
      </c>
      <c r="AC20" s="64"/>
      <c r="AD20" s="40"/>
      <c r="AE20" s="40"/>
    </row>
    <row r="21" spans="1:31" s="65" customFormat="1" ht="28" customHeight="1" x14ac:dyDescent="0.2">
      <c r="A21" s="71" t="s">
        <v>26</v>
      </c>
      <c r="B21" s="69" t="s">
        <v>88</v>
      </c>
      <c r="C21" s="69">
        <f>C20</f>
        <v>200</v>
      </c>
      <c r="D21" s="70" t="s">
        <v>92</v>
      </c>
      <c r="E21" s="69">
        <f>'Data Orig'!C22*$C21</f>
        <v>532</v>
      </c>
      <c r="F21" s="69">
        <f>'Data Orig'!D22*$C21</f>
        <v>540</v>
      </c>
      <c r="G21" s="69">
        <f>'Data Orig'!E22*$C21</f>
        <v>547.83333333333326</v>
      </c>
      <c r="H21" s="69">
        <f>'Data Orig'!F22*$C21</f>
        <v>538.38888888888891</v>
      </c>
      <c r="I21" s="69">
        <f>'Data Orig'!H22*$C21</f>
        <v>478</v>
      </c>
      <c r="J21" s="69">
        <f>'Data Orig'!I22*$C21</f>
        <v>478</v>
      </c>
      <c r="K21" s="69">
        <f>'Data Orig'!J22*$C21</f>
        <v>478</v>
      </c>
      <c r="L21" s="69">
        <f>'Data Orig'!K22*$C21</f>
        <v>478</v>
      </c>
      <c r="M21" s="69">
        <f>'Data Orig'!M22*$C21</f>
        <v>463.99999999999994</v>
      </c>
      <c r="N21" s="69">
        <f>'Data Orig'!N22*$C21</f>
        <v>446</v>
      </c>
      <c r="O21" s="69">
        <f>'Data Orig'!O22*$C21</f>
        <v>428</v>
      </c>
      <c r="P21" s="69">
        <f>'Data Orig'!P22*$C21</f>
        <v>428</v>
      </c>
      <c r="Q21" s="69">
        <f>'Data Orig'!R22*$C21</f>
        <v>428</v>
      </c>
      <c r="R21" s="69">
        <f>'Data Orig'!S22*$C21</f>
        <v>428</v>
      </c>
      <c r="S21" s="69">
        <f>'Data Orig'!T22*$C21</f>
        <v>428</v>
      </c>
      <c r="T21" s="69">
        <f>'Data Orig'!U22*$C21</f>
        <v>428</v>
      </c>
      <c r="U21" s="69">
        <f>'Data Orig'!W22*$C21</f>
        <v>432</v>
      </c>
      <c r="V21" s="69">
        <f>'Data Orig'!X22*$C21</f>
        <v>442</v>
      </c>
      <c r="W21" s="69">
        <f>'Data Orig'!Y22*$C21</f>
        <v>442</v>
      </c>
      <c r="X21" s="69">
        <f>'Data Orig'!Z22*$C21</f>
        <v>442</v>
      </c>
      <c r="Y21" s="69">
        <f>'Data Orig'!AB22*$C21</f>
        <v>442</v>
      </c>
      <c r="Z21" s="69">
        <f>'Data Orig'!AC22*$C21</f>
        <v>446</v>
      </c>
      <c r="AA21" s="69">
        <f>'Data Orig'!AD22*$C21</f>
        <v>448.00000000000006</v>
      </c>
      <c r="AB21" s="69">
        <f>'Data Orig'!AE22*$C21</f>
        <v>448.00000000000006</v>
      </c>
      <c r="AC21" s="64"/>
      <c r="AD21" s="40"/>
      <c r="AE21" s="40"/>
    </row>
    <row r="22" spans="1:31" s="65" customFormat="1" ht="28" customHeight="1" x14ac:dyDescent="0.2">
      <c r="A22" s="71" t="s">
        <v>27</v>
      </c>
      <c r="B22" s="69" t="s">
        <v>88</v>
      </c>
      <c r="C22" s="69">
        <f t="shared" ref="C22:C25" si="0">C21</f>
        <v>200</v>
      </c>
      <c r="D22" s="70" t="s">
        <v>92</v>
      </c>
      <c r="E22" s="69">
        <f>'Data Orig'!C23*$C22</f>
        <v>574</v>
      </c>
      <c r="F22" s="69">
        <f>'Data Orig'!D23*$C22</f>
        <v>582</v>
      </c>
      <c r="G22" s="69">
        <f>'Data Orig'!E23*$C22</f>
        <v>591.66666666666674</v>
      </c>
      <c r="H22" s="69">
        <f>'Data Orig'!F23*$C22</f>
        <v>588.11111111111109</v>
      </c>
      <c r="I22" s="69">
        <f>'Data Orig'!H23*$C22</f>
        <v>520</v>
      </c>
      <c r="J22" s="69">
        <f>'Data Orig'!I23*$C22</f>
        <v>520</v>
      </c>
      <c r="K22" s="69">
        <f>'Data Orig'!J23*$C22</f>
        <v>520</v>
      </c>
      <c r="L22" s="69">
        <f>'Data Orig'!K23*$C22</f>
        <v>520</v>
      </c>
      <c r="M22" s="69">
        <f>'Data Orig'!M23*$C22</f>
        <v>509.99999999999994</v>
      </c>
      <c r="N22" s="69">
        <f>'Data Orig'!N23*$C22</f>
        <v>492</v>
      </c>
      <c r="O22" s="69">
        <f>'Data Orig'!O23*$C22</f>
        <v>470</v>
      </c>
      <c r="P22" s="69">
        <f>'Data Orig'!P23*$C22</f>
        <v>470</v>
      </c>
      <c r="Q22" s="69">
        <f>'Data Orig'!R23*$C22</f>
        <v>470</v>
      </c>
      <c r="R22" s="69">
        <f>'Data Orig'!S23*$C22</f>
        <v>470</v>
      </c>
      <c r="S22" s="69">
        <f>'Data Orig'!T23*$C22</f>
        <v>470</v>
      </c>
      <c r="T22" s="69">
        <f>'Data Orig'!U23*$C22</f>
        <v>470</v>
      </c>
      <c r="U22" s="69">
        <f>'Data Orig'!W23*$C22</f>
        <v>474</v>
      </c>
      <c r="V22" s="69">
        <f>'Data Orig'!X23*$C22</f>
        <v>484</v>
      </c>
      <c r="W22" s="69">
        <f>'Data Orig'!Y23*$C22</f>
        <v>484</v>
      </c>
      <c r="X22" s="69">
        <f>'Data Orig'!Z23*$C22</f>
        <v>484</v>
      </c>
      <c r="Y22" s="69">
        <f>'Data Orig'!AB23*$C22</f>
        <v>484</v>
      </c>
      <c r="Z22" s="69">
        <f>'Data Orig'!AC23*$C22</f>
        <v>490.00000000000006</v>
      </c>
      <c r="AA22" s="69">
        <f>'Data Orig'!AD23*$C22</f>
        <v>498.00000000000006</v>
      </c>
      <c r="AB22" s="69">
        <f>'Data Orig'!AE23*$C22</f>
        <v>490.00000000000006</v>
      </c>
      <c r="AC22" s="64"/>
      <c r="AD22" s="40"/>
      <c r="AE22" s="40"/>
    </row>
    <row r="23" spans="1:31" s="65" customFormat="1" ht="28" customHeight="1" x14ac:dyDescent="0.2">
      <c r="A23" s="71" t="s">
        <v>28</v>
      </c>
      <c r="B23" s="69" t="s">
        <v>88</v>
      </c>
      <c r="C23" s="69">
        <f t="shared" si="0"/>
        <v>200</v>
      </c>
      <c r="D23" s="70" t="s">
        <v>92</v>
      </c>
      <c r="E23" s="69">
        <f>'Data Orig'!C24*$C23</f>
        <v>662</v>
      </c>
      <c r="F23" s="69">
        <f>'Data Orig'!D24*$C23</f>
        <v>680</v>
      </c>
      <c r="G23" s="69">
        <f>'Data Orig'!E24*$C23</f>
        <v>698.5</v>
      </c>
      <c r="H23" s="69">
        <f>'Data Orig'!F24*$C23</f>
        <v>684.33333333333337</v>
      </c>
      <c r="I23" s="69">
        <f>'Data Orig'!H24*$C23</f>
        <v>646</v>
      </c>
      <c r="J23" s="69">
        <f>'Data Orig'!I24*$C23</f>
        <v>646</v>
      </c>
      <c r="K23" s="69">
        <f>'Data Orig'!J24*$C23</f>
        <v>646</v>
      </c>
      <c r="L23" s="69">
        <f>'Data Orig'!K24*$C23</f>
        <v>646</v>
      </c>
      <c r="M23" s="69">
        <f>'Data Orig'!M24*$C23</f>
        <v>632</v>
      </c>
      <c r="N23" s="69">
        <f>'Data Orig'!N24*$C23</f>
        <v>612</v>
      </c>
      <c r="O23" s="69">
        <f>'Data Orig'!O24*$C23</f>
        <v>588</v>
      </c>
      <c r="P23" s="69">
        <f>'Data Orig'!P24*$C23</f>
        <v>588</v>
      </c>
      <c r="Q23" s="69">
        <f>'Data Orig'!R24*$C23</f>
        <v>588</v>
      </c>
      <c r="R23" s="69">
        <f>'Data Orig'!S24*$C23</f>
        <v>588</v>
      </c>
      <c r="S23" s="69">
        <f>'Data Orig'!T24*$C23</f>
        <v>588</v>
      </c>
      <c r="T23" s="69">
        <f>'Data Orig'!U24*$C23</f>
        <v>588</v>
      </c>
      <c r="U23" s="69">
        <f>'Data Orig'!W24*$C23</f>
        <v>594</v>
      </c>
      <c r="V23" s="69">
        <f>'Data Orig'!X24*$C23</f>
        <v>602</v>
      </c>
      <c r="W23" s="69">
        <f>'Data Orig'!Y24*$C23</f>
        <v>602</v>
      </c>
      <c r="X23" s="69">
        <f>'Data Orig'!Z24*$C23</f>
        <v>602</v>
      </c>
      <c r="Y23" s="69">
        <f>'Data Orig'!AB24*$C23</f>
        <v>602</v>
      </c>
      <c r="Z23" s="69">
        <f>'Data Orig'!AC24*$C23</f>
        <v>618</v>
      </c>
      <c r="AA23" s="69">
        <f>'Data Orig'!AD24*$C23</f>
        <v>624</v>
      </c>
      <c r="AB23" s="69">
        <f>'Data Orig'!AE24*$C23</f>
        <v>624</v>
      </c>
      <c r="AC23" s="64"/>
      <c r="AD23" s="40"/>
      <c r="AE23" s="40"/>
    </row>
    <row r="24" spans="1:31" s="65" customFormat="1" ht="28" customHeight="1" x14ac:dyDescent="0.2">
      <c r="A24" s="71" t="s">
        <v>29</v>
      </c>
      <c r="B24" s="69" t="s">
        <v>88</v>
      </c>
      <c r="C24" s="69">
        <f t="shared" si="0"/>
        <v>200</v>
      </c>
      <c r="D24" s="70" t="s">
        <v>92</v>
      </c>
      <c r="E24" s="69">
        <f>'Data Orig'!C25*$C24</f>
        <v>750</v>
      </c>
      <c r="F24" s="69">
        <f>'Data Orig'!D25*$C24</f>
        <v>750</v>
      </c>
      <c r="G24" s="69">
        <f>'Data Orig'!E25*$C24</f>
        <v>766.66666666666674</v>
      </c>
      <c r="H24" s="69">
        <f>'Data Orig'!F25*$C24</f>
        <v>759.55555555555554</v>
      </c>
      <c r="I24" s="69">
        <f>'Data Orig'!H25*$C24</f>
        <v>694</v>
      </c>
      <c r="J24" s="69">
        <f>'Data Orig'!I25*$C24</f>
        <v>694</v>
      </c>
      <c r="K24" s="69">
        <f>'Data Orig'!J25*$C24</f>
        <v>694</v>
      </c>
      <c r="L24" s="69">
        <f>'Data Orig'!K25*$C24</f>
        <v>694</v>
      </c>
      <c r="M24" s="69">
        <f>'Data Orig'!M25*$C24</f>
        <v>684</v>
      </c>
      <c r="N24" s="69">
        <f>'Data Orig'!N25*$C24</f>
        <v>684</v>
      </c>
      <c r="O24" s="69">
        <f>'Data Orig'!O25*$C24</f>
        <v>684</v>
      </c>
      <c r="P24" s="69">
        <f>'Data Orig'!P25*$C24</f>
        <v>684</v>
      </c>
      <c r="Q24" s="69">
        <f>'Data Orig'!R25*$C24</f>
        <v>684</v>
      </c>
      <c r="R24" s="69">
        <f>'Data Orig'!S25*$C24</f>
        <v>684</v>
      </c>
      <c r="S24" s="69">
        <f>'Data Orig'!T25*$C24</f>
        <v>684</v>
      </c>
      <c r="T24" s="69">
        <f>'Data Orig'!U25*$C24</f>
        <v>684</v>
      </c>
      <c r="U24" s="69">
        <f>'Data Orig'!W25*$C24</f>
        <v>684</v>
      </c>
      <c r="V24" s="69">
        <f>'Data Orig'!X25*$C24</f>
        <v>684</v>
      </c>
      <c r="W24" s="69">
        <f>'Data Orig'!Y25*$C24</f>
        <v>684</v>
      </c>
      <c r="X24" s="69">
        <f>'Data Orig'!Z25*$C24</f>
        <v>684</v>
      </c>
      <c r="Y24" s="69">
        <f>'Data Orig'!AB25*$C24</f>
        <v>684</v>
      </c>
      <c r="Z24" s="69">
        <f>'Data Orig'!AC25*$C24</f>
        <v>688</v>
      </c>
      <c r="AA24" s="69">
        <f>'Data Orig'!AD25*$C24</f>
        <v>684</v>
      </c>
      <c r="AB24" s="69">
        <f>'Data Orig'!AE25*$C24</f>
        <v>682</v>
      </c>
      <c r="AC24" s="64"/>
      <c r="AD24" s="40"/>
      <c r="AE24" s="40"/>
    </row>
    <row r="25" spans="1:31" s="65" customFormat="1" ht="28" customHeight="1" x14ac:dyDescent="0.2">
      <c r="A25" s="71" t="s">
        <v>30</v>
      </c>
      <c r="B25" s="69" t="s">
        <v>88</v>
      </c>
      <c r="C25" s="69">
        <f t="shared" si="0"/>
        <v>200</v>
      </c>
      <c r="D25" s="70" t="s">
        <v>92</v>
      </c>
      <c r="E25" s="69">
        <f>'Data Orig'!C26*$C25</f>
        <v>790</v>
      </c>
      <c r="F25" s="69">
        <f>'Data Orig'!D26*$C25</f>
        <v>798</v>
      </c>
      <c r="G25" s="69">
        <f>'Data Orig'!E26*$C25</f>
        <v>808.8</v>
      </c>
      <c r="H25" s="69">
        <f>'Data Orig'!F26*$C25</f>
        <v>794.53333333333342</v>
      </c>
      <c r="I25" s="69">
        <f>'Data Orig'!H26*$C25</f>
        <v>730</v>
      </c>
      <c r="J25" s="69">
        <f>'Data Orig'!I26*$C25</f>
        <v>730</v>
      </c>
      <c r="K25" s="69">
        <f>'Data Orig'!J26*$C25</f>
        <v>730</v>
      </c>
      <c r="L25" s="69">
        <f>'Data Orig'!K26*$C25</f>
        <v>730</v>
      </c>
      <c r="M25" s="69">
        <f>'Data Orig'!M26*$C25</f>
        <v>720</v>
      </c>
      <c r="N25" s="69">
        <f>'Data Orig'!N26*$C25</f>
        <v>702</v>
      </c>
      <c r="O25" s="69">
        <f>'Data Orig'!O26*$C25</f>
        <v>680</v>
      </c>
      <c r="P25" s="69">
        <f>'Data Orig'!P26*$C25</f>
        <v>680</v>
      </c>
      <c r="Q25" s="69">
        <f>'Data Orig'!R26*$C25</f>
        <v>680</v>
      </c>
      <c r="R25" s="69">
        <f>'Data Orig'!S26*$C25</f>
        <v>680</v>
      </c>
      <c r="S25" s="69">
        <f>'Data Orig'!T26*$C25</f>
        <v>680</v>
      </c>
      <c r="T25" s="69">
        <f>'Data Orig'!U26*$C25</f>
        <v>680</v>
      </c>
      <c r="U25" s="69">
        <f>'Data Orig'!W26*$C25</f>
        <v>684</v>
      </c>
      <c r="V25" s="69">
        <f>'Data Orig'!X26*$C25</f>
        <v>694</v>
      </c>
      <c r="W25" s="69">
        <f>'Data Orig'!Y26*$C25</f>
        <v>694</v>
      </c>
      <c r="X25" s="69">
        <f>'Data Orig'!Z26*$C25</f>
        <v>694</v>
      </c>
      <c r="Y25" s="69">
        <f>'Data Orig'!AB26*$C25</f>
        <v>694</v>
      </c>
      <c r="Z25" s="69">
        <f>'Data Orig'!AC26*$C25</f>
        <v>700</v>
      </c>
      <c r="AA25" s="69">
        <f>'Data Orig'!AD26*$C25</f>
        <v>708</v>
      </c>
      <c r="AB25" s="69">
        <f>'Data Orig'!AE26*$C25</f>
        <v>708</v>
      </c>
      <c r="AC25" s="64"/>
      <c r="AD25" s="40"/>
      <c r="AE25" s="40"/>
    </row>
    <row r="26" spans="1:31" s="45" customFormat="1" ht="28" customHeight="1" x14ac:dyDescent="0.2">
      <c r="A26" s="73" t="s">
        <v>31</v>
      </c>
      <c r="B26" s="69"/>
      <c r="C26" s="69"/>
      <c r="D26" s="70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49"/>
      <c r="AD26" s="40"/>
      <c r="AE26" s="40"/>
    </row>
    <row r="27" spans="1:31" s="65" customFormat="1" ht="28" customHeight="1" x14ac:dyDescent="0.2">
      <c r="A27" s="72" t="s">
        <v>93</v>
      </c>
      <c r="B27" s="69" t="s">
        <v>89</v>
      </c>
      <c r="C27" s="69">
        <v>10</v>
      </c>
      <c r="D27" s="70" t="s">
        <v>92</v>
      </c>
      <c r="E27" s="69">
        <f>'Data Orig'!C28*$C27</f>
        <v>2633.8</v>
      </c>
      <c r="F27" s="69">
        <f>'Data Orig'!D28*$C27</f>
        <v>2638.1</v>
      </c>
      <c r="G27" s="69">
        <f>'Data Orig'!E28*$C27</f>
        <v>2638.125</v>
      </c>
      <c r="H27" s="69">
        <f>'Data Orig'!F28*$C27</f>
        <v>2660</v>
      </c>
      <c r="I27" s="69">
        <f>'Data Orig'!H28*$C27</f>
        <v>2663.2</v>
      </c>
      <c r="J27" s="69">
        <f>'Data Orig'!I28*$C27</f>
        <v>2537.5</v>
      </c>
      <c r="K27" s="69">
        <f>'Data Orig'!J28*$C27</f>
        <v>2514.7999999999997</v>
      </c>
      <c r="L27" s="69">
        <f>'Data Orig'!K28*$C27</f>
        <v>2485</v>
      </c>
      <c r="M27" s="69">
        <f>'Data Orig'!M28*$C27</f>
        <v>2463.6000000000004</v>
      </c>
      <c r="N27" s="69">
        <f>'Data Orig'!N28*$C27</f>
        <v>2362.5</v>
      </c>
      <c r="O27" s="69">
        <f>'Data Orig'!O28*$C27</f>
        <v>2310.3000000000002</v>
      </c>
      <c r="P27" s="69">
        <f>'Data Orig'!P28*$C27</f>
        <v>2295.6</v>
      </c>
      <c r="Q27" s="69">
        <f>'Data Orig'!R28*$C27</f>
        <v>2192.7000000000003</v>
      </c>
      <c r="R27" s="69">
        <f>'Data Orig'!S28*$C27</f>
        <v>2056.3999999999996</v>
      </c>
      <c r="S27" s="69">
        <f>'Data Orig'!T28*$C27</f>
        <v>2000.3</v>
      </c>
      <c r="T27" s="69">
        <f>'Data Orig'!U28*$C27</f>
        <v>1959.5</v>
      </c>
      <c r="U27" s="69">
        <f>'Data Orig'!W28*$C27</f>
        <v>2061.1999999999998</v>
      </c>
      <c r="V27" s="69">
        <f>'Data Orig'!X28*$C27</f>
        <v>2183.8000000000002</v>
      </c>
      <c r="W27" s="69">
        <f>'Data Orig'!Y28*$C27</f>
        <v>2223.4</v>
      </c>
      <c r="X27" s="69">
        <f>'Data Orig'!Z28*$C27</f>
        <v>2262.4</v>
      </c>
      <c r="Y27" s="69">
        <f>'Data Orig'!AB28*$C27</f>
        <v>2300.9</v>
      </c>
      <c r="Z27" s="69">
        <f>'Data Orig'!AC28*$C27</f>
        <v>2409.1999999999998</v>
      </c>
      <c r="AA27" s="69">
        <f>'Data Orig'!AD28*$C27</f>
        <v>2423.5</v>
      </c>
      <c r="AB27" s="69">
        <f>'Data Orig'!AE28*$C27</f>
        <v>2434</v>
      </c>
      <c r="AC27" s="64"/>
      <c r="AD27" s="40"/>
      <c r="AE27" s="40"/>
    </row>
    <row r="28" spans="1:31" s="65" customFormat="1" ht="28" customHeight="1" x14ac:dyDescent="0.2">
      <c r="A28" s="72" t="s">
        <v>94</v>
      </c>
      <c r="B28" s="69" t="s">
        <v>89</v>
      </c>
      <c r="C28" s="69">
        <v>10</v>
      </c>
      <c r="D28" s="70" t="s">
        <v>92</v>
      </c>
      <c r="E28" s="69">
        <f>'Data Orig'!C29*$C28</f>
        <v>2671.7000000000003</v>
      </c>
      <c r="F28" s="69">
        <f>'Data Orig'!D29*$C28</f>
        <v>2677.5</v>
      </c>
      <c r="G28" s="69">
        <f>'Data Orig'!E29*$C28</f>
        <v>2677.5</v>
      </c>
      <c r="H28" s="69">
        <f>'Data Orig'!F29*$C28</f>
        <v>2671.666666666667</v>
      </c>
      <c r="I28" s="69">
        <f>'Data Orig'!H29*$C28</f>
        <v>2642.5</v>
      </c>
      <c r="J28" s="69">
        <f>'Data Orig'!I29*$C28</f>
        <v>2539.7999999999997</v>
      </c>
      <c r="K28" s="69">
        <f>'Data Orig'!J29*$C28</f>
        <v>2549.1999999999998</v>
      </c>
      <c r="L28" s="69">
        <f>'Data Orig'!K29*$C28</f>
        <v>2545.4</v>
      </c>
      <c r="M28" s="69">
        <f>'Data Orig'!M29*$C28</f>
        <v>2487</v>
      </c>
      <c r="N28" s="69">
        <f>'Data Orig'!N29*$C28</f>
        <v>2442.8000000000002</v>
      </c>
      <c r="O28" s="69">
        <f>'Data Orig'!O29*$C28</f>
        <v>2409.7999999999997</v>
      </c>
      <c r="P28" s="69">
        <f>'Data Orig'!P29*$C28</f>
        <v>2383.6999999999998</v>
      </c>
      <c r="Q28" s="69">
        <f>'Data Orig'!R29*$C28</f>
        <v>2318.3000000000002</v>
      </c>
      <c r="R28" s="69">
        <f>'Data Orig'!S29*$C28</f>
        <v>2111</v>
      </c>
      <c r="S28" s="69">
        <f>'Data Orig'!T29*$C28</f>
        <v>2035.6999999999998</v>
      </c>
      <c r="T28" s="69">
        <f>'Data Orig'!U29*$C28</f>
        <v>1988.1</v>
      </c>
      <c r="U28" s="69">
        <f>'Data Orig'!W29*$C28</f>
        <v>2139.6</v>
      </c>
      <c r="V28" s="69">
        <f>'Data Orig'!X29*$C28</f>
        <v>2298.3000000000002</v>
      </c>
      <c r="W28" s="69">
        <f>'Data Orig'!Y29*$C28</f>
        <v>2328.6999999999998</v>
      </c>
      <c r="X28" s="69">
        <f>'Data Orig'!Z29*$C28</f>
        <v>2354.3000000000002</v>
      </c>
      <c r="Y28" s="69">
        <f>'Data Orig'!AB29*$C28</f>
        <v>2405.5</v>
      </c>
      <c r="Z28" s="69">
        <f>'Data Orig'!AC29*$C28</f>
        <v>2495.6999999999998</v>
      </c>
      <c r="AA28" s="69">
        <f>'Data Orig'!AD29*$C28</f>
        <v>2394.3000000000002</v>
      </c>
      <c r="AB28" s="69">
        <f>'Data Orig'!AE29*$C28</f>
        <v>2416.6</v>
      </c>
      <c r="AC28" s="64"/>
      <c r="AD28" s="40"/>
      <c r="AE28" s="40"/>
    </row>
    <row r="29" spans="1:31" s="45" customFormat="1" ht="28" customHeight="1" x14ac:dyDescent="0.2">
      <c r="A29" s="73" t="s">
        <v>34</v>
      </c>
      <c r="B29" s="69"/>
      <c r="C29" s="69"/>
      <c r="D29" s="70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49"/>
      <c r="AD29" s="40"/>
      <c r="AE29" s="40"/>
    </row>
    <row r="30" spans="1:31" s="65" customFormat="1" ht="28" customHeight="1" x14ac:dyDescent="0.2">
      <c r="A30" s="71" t="s">
        <v>36</v>
      </c>
      <c r="B30" s="69" t="s">
        <v>35</v>
      </c>
      <c r="C30" s="69">
        <v>1</v>
      </c>
      <c r="D30" s="70" t="s">
        <v>92</v>
      </c>
      <c r="E30" s="69">
        <f>'Data Orig'!C31*$C30</f>
        <v>2699.38</v>
      </c>
      <c r="F30" s="69">
        <f>'Data Orig'!D31*$C30</f>
        <v>2613.52</v>
      </c>
      <c r="G30" s="69">
        <f>'Data Orig'!E31*$C30</f>
        <v>2498.125</v>
      </c>
      <c r="H30" s="69">
        <f>'Data Orig'!F31*$C30</f>
        <v>2303.5466666666666</v>
      </c>
      <c r="I30" s="69">
        <f>'Data Orig'!H31*$C30</f>
        <v>2353.02</v>
      </c>
      <c r="J30" s="69">
        <f>'Data Orig'!I31*$C30</f>
        <v>2300.38</v>
      </c>
      <c r="K30" s="69">
        <f>'Data Orig'!J31*$C30</f>
        <v>2231.25</v>
      </c>
      <c r="L30" s="69">
        <f>'Data Orig'!K31*$C30</f>
        <v>2086.15</v>
      </c>
      <c r="M30" s="69">
        <f>'Data Orig'!M31*$C30</f>
        <v>2184</v>
      </c>
      <c r="N30" s="69">
        <f>'Data Orig'!N31*$C30</f>
        <v>2018.75</v>
      </c>
      <c r="O30" s="69">
        <f>'Data Orig'!O31*$C30</f>
        <v>2065</v>
      </c>
      <c r="P30" s="69">
        <f>'Data Orig'!P31*$C30</f>
        <v>2339.17</v>
      </c>
      <c r="Q30" s="69">
        <f>'Data Orig'!R31*$C30</f>
        <v>2846.55</v>
      </c>
      <c r="R30" s="69">
        <f>'Data Orig'!S31*$C30</f>
        <v>3076.39</v>
      </c>
      <c r="S30" s="69">
        <f>'Data Orig'!T31*$C30</f>
        <v>3054.29</v>
      </c>
      <c r="T30" s="69">
        <f>'Data Orig'!U31*$C30</f>
        <v>2829.87</v>
      </c>
      <c r="U30" s="69">
        <f>'Data Orig'!W31*$C30</f>
        <v>3103.7</v>
      </c>
      <c r="V30" s="69">
        <f>'Data Orig'!X31*$C30</f>
        <v>3363.89</v>
      </c>
      <c r="W30" s="69">
        <f>'Data Orig'!Y31*$C30</f>
        <v>2689.87</v>
      </c>
      <c r="X30" s="69">
        <f>'Data Orig'!Z31*$C30</f>
        <v>2587.77</v>
      </c>
      <c r="Y30" s="69">
        <f>'Data Orig'!AB31*$C30</f>
        <v>2825.66</v>
      </c>
      <c r="Z30" s="69">
        <f>'Data Orig'!AC31*$C30</f>
        <v>2835.06</v>
      </c>
      <c r="AA30" s="69">
        <f>'Data Orig'!AD31*$C30</f>
        <v>2634.05</v>
      </c>
      <c r="AB30" s="69">
        <f>'Data Orig'!AE31*$C30</f>
        <v>2713.19</v>
      </c>
      <c r="AC30" s="64"/>
      <c r="AD30" s="40"/>
      <c r="AE30" s="40"/>
    </row>
    <row r="31" spans="1:31" s="65" customFormat="1" ht="28" customHeight="1" x14ac:dyDescent="0.2">
      <c r="A31" s="71" t="s">
        <v>37</v>
      </c>
      <c r="B31" s="69" t="s">
        <v>35</v>
      </c>
      <c r="C31" s="69">
        <v>1</v>
      </c>
      <c r="D31" s="70" t="s">
        <v>92</v>
      </c>
      <c r="E31" s="69">
        <f>'Data Orig'!C32*$C31</f>
        <v>2623.63</v>
      </c>
      <c r="F31" s="69">
        <f>'Data Orig'!D32*$C31</f>
        <v>2567.69</v>
      </c>
      <c r="G31" s="69">
        <f>'Data Orig'!E32*$C31</f>
        <v>2444.4006666666669</v>
      </c>
      <c r="H31" s="69">
        <f>'Data Orig'!F32*$C31</f>
        <v>2246.2303333333334</v>
      </c>
      <c r="I31" s="69">
        <f>'Data Orig'!H32*$C31</f>
        <v>2156.0300000000002</v>
      </c>
      <c r="J31" s="69">
        <f>'Data Orig'!I32*$C31</f>
        <v>2136.46</v>
      </c>
      <c r="K31" s="69">
        <f>'Data Orig'!J32*$C31</f>
        <v>2089.56</v>
      </c>
      <c r="L31" s="69">
        <f>'Data Orig'!K32*$C31</f>
        <v>2007.4</v>
      </c>
      <c r="M31" s="69">
        <f>'Data Orig'!M32*$C31</f>
        <v>2073.17</v>
      </c>
      <c r="N31" s="69">
        <f>'Data Orig'!N32*$C31</f>
        <v>1898.02</v>
      </c>
      <c r="O31" s="69">
        <f>'Data Orig'!O32*$C31</f>
        <v>1936.67</v>
      </c>
      <c r="P31" s="69">
        <f>'Data Orig'!P32*$C31</f>
        <v>2181.67</v>
      </c>
      <c r="Q31" s="69">
        <f>'Data Orig'!R32*$C31</f>
        <v>2735.89</v>
      </c>
      <c r="R31" s="69">
        <f>'Data Orig'!S32*$C31</f>
        <v>2943.68</v>
      </c>
      <c r="S31" s="69">
        <f>'Data Orig'!T32*$C31</f>
        <v>2930.7</v>
      </c>
      <c r="T31" s="69">
        <f>'Data Orig'!U32*$C31</f>
        <v>2703.11</v>
      </c>
      <c r="U31" s="69">
        <f>'Data Orig'!W32*$C31</f>
        <v>2986.39</v>
      </c>
      <c r="V31" s="69">
        <f>'Data Orig'!X32*$C31</f>
        <v>3233.17</v>
      </c>
      <c r="W31" s="69">
        <f>'Data Orig'!Y32*$C31</f>
        <v>2537.2199999999998</v>
      </c>
      <c r="X31" s="69">
        <f>'Data Orig'!Z32*$C31</f>
        <v>2421.54</v>
      </c>
      <c r="Y31" s="69">
        <f>'Data Orig'!AB32*$C31</f>
        <v>2651.64</v>
      </c>
      <c r="Z31" s="69">
        <f>'Data Orig'!AC32*$C31</f>
        <v>2669.23</v>
      </c>
      <c r="AA31" s="69">
        <f>'Data Orig'!AD32*$C31</f>
        <v>2502.52</v>
      </c>
      <c r="AB31" s="69">
        <f>'Data Orig'!AE32*$C31</f>
        <v>2594.4499999999998</v>
      </c>
      <c r="AC31" s="64"/>
      <c r="AD31" s="40"/>
      <c r="AE31" s="40"/>
    </row>
    <row r="32" spans="1:31" s="65" customFormat="1" ht="28" customHeight="1" x14ac:dyDescent="0.2">
      <c r="A32" s="71" t="s">
        <v>39</v>
      </c>
      <c r="B32" s="69" t="s">
        <v>90</v>
      </c>
      <c r="C32" s="69">
        <v>25</v>
      </c>
      <c r="D32" s="70" t="s">
        <v>92</v>
      </c>
      <c r="E32" s="69">
        <f>'Data Orig'!C33*$C32</f>
        <v>1839.2499999999998</v>
      </c>
      <c r="F32" s="69">
        <f>'Data Orig'!D33*$C32</f>
        <v>1780.2499999999998</v>
      </c>
      <c r="G32" s="69">
        <f>'Data Orig'!E33*$C32</f>
        <v>1846.4166666666667</v>
      </c>
      <c r="H32" s="69">
        <f>'Data Orig'!F33*$C32</f>
        <v>1633.2416666666663</v>
      </c>
      <c r="I32" s="69">
        <f>'Data Orig'!H33*$C32</f>
        <v>1525.5</v>
      </c>
      <c r="J32" s="69">
        <f>'Data Orig'!I33*$C32</f>
        <v>1493.25</v>
      </c>
      <c r="K32" s="69">
        <f>'Data Orig'!J33*$C32</f>
        <v>1481.75</v>
      </c>
      <c r="L32" s="69">
        <f>'Data Orig'!K33*$C32</f>
        <v>1389</v>
      </c>
      <c r="M32" s="69">
        <f>'Data Orig'!M33*$C32</f>
        <v>1486</v>
      </c>
      <c r="N32" s="69">
        <f>'Data Orig'!N33*$C32</f>
        <v>1397.75</v>
      </c>
      <c r="O32" s="69">
        <f>'Data Orig'!O33*$C32</f>
        <v>1440.75</v>
      </c>
      <c r="P32" s="69">
        <f>'Data Orig'!P33*$C32</f>
        <v>1562</v>
      </c>
      <c r="Q32" s="69">
        <f>'Data Orig'!R33*$C32</f>
        <v>1908.7499999999998</v>
      </c>
      <c r="R32" s="69">
        <f>'Data Orig'!S33*$C32</f>
        <v>2035.25</v>
      </c>
      <c r="S32" s="69">
        <f>'Data Orig'!T33*$C32</f>
        <v>1979</v>
      </c>
      <c r="T32" s="69">
        <f>'Data Orig'!U33*$C32</f>
        <v>1868.75</v>
      </c>
      <c r="U32" s="69">
        <f>'Data Orig'!W33*$C32</f>
        <v>1913.75</v>
      </c>
      <c r="V32" s="69">
        <f>'Data Orig'!X33*$C32</f>
        <v>2060.75</v>
      </c>
      <c r="W32" s="69">
        <f>'Data Orig'!Y33*$C32</f>
        <v>1617.7499999999998</v>
      </c>
      <c r="X32" s="69">
        <f>'Data Orig'!Z33*$C32</f>
        <v>1518.5</v>
      </c>
      <c r="Y32" s="69">
        <f>'Data Orig'!AB33*$C32</f>
        <v>1655.2499999999998</v>
      </c>
      <c r="Z32" s="69">
        <f>'Data Orig'!AC33*$C32</f>
        <v>1615.5</v>
      </c>
      <c r="AA32" s="69">
        <f>'Data Orig'!AD33*$C32</f>
        <v>1532</v>
      </c>
      <c r="AB32" s="69">
        <f>'Data Orig'!AE33*$C32</f>
        <v>1566.5</v>
      </c>
      <c r="AC32" s="64"/>
      <c r="AD32" s="40"/>
      <c r="AE32" s="40"/>
    </row>
    <row r="33" spans="1:31" s="65" customFormat="1" ht="28" customHeight="1" x14ac:dyDescent="0.2">
      <c r="A33" s="71" t="s">
        <v>40</v>
      </c>
      <c r="B33" s="69" t="s">
        <v>90</v>
      </c>
      <c r="C33" s="69">
        <v>25</v>
      </c>
      <c r="D33" s="70" t="s">
        <v>92</v>
      </c>
      <c r="E33" s="69">
        <f>'Data Orig'!C34*$C33</f>
        <v>2466.75</v>
      </c>
      <c r="F33" s="69">
        <f>'Data Orig'!D34*$C33</f>
        <v>2444.25</v>
      </c>
      <c r="G33" s="69">
        <f>'Data Orig'!E34*$C33</f>
        <v>2427.083333333333</v>
      </c>
      <c r="H33" s="69">
        <f>'Data Orig'!F34*$C33</f>
        <v>2334.8055555555552</v>
      </c>
      <c r="I33" s="69">
        <f>'Data Orig'!H34*$C33</f>
        <v>2219.5</v>
      </c>
      <c r="J33" s="69">
        <f>'Data Orig'!I34*$C33</f>
        <v>2173</v>
      </c>
      <c r="K33" s="69">
        <f>'Data Orig'!J34*$C33</f>
        <v>2104.25</v>
      </c>
      <c r="L33" s="69">
        <f>'Data Orig'!K34*$C33</f>
        <v>1953.5</v>
      </c>
      <c r="M33" s="69">
        <f>'Data Orig'!M34*$C33</f>
        <v>2074.5</v>
      </c>
      <c r="N33" s="69">
        <f>'Data Orig'!N34*$C33</f>
        <v>1960.0000000000002</v>
      </c>
      <c r="O33" s="69">
        <f>'Data Orig'!O34*$C33</f>
        <v>1992.0000000000002</v>
      </c>
      <c r="P33" s="69">
        <f>'Data Orig'!P34*$C33</f>
        <v>2135</v>
      </c>
      <c r="Q33" s="69">
        <f>'Data Orig'!R34*$C33</f>
        <v>2561.5</v>
      </c>
      <c r="R33" s="69">
        <f>'Data Orig'!S34*$C33</f>
        <v>2811</v>
      </c>
      <c r="S33" s="69">
        <f>'Data Orig'!T34*$C33</f>
        <v>2811</v>
      </c>
      <c r="T33" s="69">
        <f>'Data Orig'!U34*$C33</f>
        <v>2733.5</v>
      </c>
      <c r="U33" s="69">
        <f>'Data Orig'!W34*$C33</f>
        <v>2663.75</v>
      </c>
      <c r="V33" s="69">
        <f>'Data Orig'!X34*$C33</f>
        <v>2875.5</v>
      </c>
      <c r="W33" s="69">
        <f>'Data Orig'!Y34*$C33</f>
        <v>2292.5</v>
      </c>
      <c r="X33" s="69">
        <f>'Data Orig'!Z34*$C33</f>
        <v>2166.75</v>
      </c>
      <c r="Y33" s="69">
        <f>'Data Orig'!AB34*$C33</f>
        <v>2267.5</v>
      </c>
      <c r="Z33" s="69">
        <f>'Data Orig'!AC34*$C33</f>
        <v>2175.5</v>
      </c>
      <c r="AA33" s="69">
        <f>'Data Orig'!AD34*$C33</f>
        <v>2025</v>
      </c>
      <c r="AB33" s="69">
        <f>'Data Orig'!AE34*$C33</f>
        <v>2031.25</v>
      </c>
      <c r="AC33" s="64"/>
      <c r="AD33" s="40"/>
      <c r="AE33" s="40"/>
    </row>
    <row r="34" spans="1:31" s="65" customFormat="1" ht="28" customHeight="1" x14ac:dyDescent="0.2">
      <c r="A34" s="71" t="s">
        <v>41</v>
      </c>
      <c r="B34" s="69" t="s">
        <v>90</v>
      </c>
      <c r="C34" s="69">
        <v>25</v>
      </c>
      <c r="D34" s="70" t="s">
        <v>92</v>
      </c>
      <c r="E34" s="69">
        <f>'Data Orig'!C35*$C34</f>
        <v>3179</v>
      </c>
      <c r="F34" s="69">
        <f>'Data Orig'!D35*$C34</f>
        <v>3066</v>
      </c>
      <c r="G34" s="69">
        <f>'Data Orig'!E35*$C34</f>
        <v>2998.75</v>
      </c>
      <c r="H34" s="69">
        <f>'Data Orig'!F35*$C34</f>
        <v>2968.0166666666664</v>
      </c>
      <c r="I34" s="69">
        <f>'Data Orig'!H35*$C34</f>
        <v>2805.75</v>
      </c>
      <c r="J34" s="69">
        <f>'Data Orig'!I35*$C34</f>
        <v>2712.5</v>
      </c>
      <c r="K34" s="69">
        <f>'Data Orig'!J35*$C34</f>
        <v>2678.25</v>
      </c>
      <c r="L34" s="69">
        <f>'Data Orig'!K35*$C34</f>
        <v>2508.5</v>
      </c>
      <c r="M34" s="69">
        <f>'Data Orig'!M35*$C34</f>
        <v>2589.25</v>
      </c>
      <c r="N34" s="69">
        <f>'Data Orig'!N35*$C34</f>
        <v>2436.25</v>
      </c>
      <c r="O34" s="69">
        <f>'Data Orig'!O35*$C34</f>
        <v>2499.5</v>
      </c>
      <c r="P34" s="69">
        <f>'Data Orig'!P35*$C34</f>
        <v>2698</v>
      </c>
      <c r="Q34" s="69">
        <f>'Data Orig'!R35*$C34</f>
        <v>3283</v>
      </c>
      <c r="R34" s="69">
        <f>'Data Orig'!S35*$C34</f>
        <v>3492</v>
      </c>
      <c r="S34" s="69">
        <f>'Data Orig'!T35*$C34</f>
        <v>3525</v>
      </c>
      <c r="T34" s="69">
        <f>'Data Orig'!U35*$C34</f>
        <v>3284.5</v>
      </c>
      <c r="U34" s="69">
        <f>'Data Orig'!W35*$C34</f>
        <v>3553.25</v>
      </c>
      <c r="V34" s="69">
        <f>'Data Orig'!X35*$C34</f>
        <v>3954.2499999999995</v>
      </c>
      <c r="W34" s="69">
        <f>'Data Orig'!Y35*$C34</f>
        <v>3117.5</v>
      </c>
      <c r="X34" s="69">
        <f>'Data Orig'!Z35*$C34</f>
        <v>2925</v>
      </c>
      <c r="Y34" s="69">
        <f>'Data Orig'!AB35*$C34</f>
        <v>3035</v>
      </c>
      <c r="Z34" s="69">
        <f>'Data Orig'!AC35*$C34</f>
        <v>3030.25</v>
      </c>
      <c r="AA34" s="69">
        <f>'Data Orig'!AD35*$C34</f>
        <v>2782.25</v>
      </c>
      <c r="AB34" s="69">
        <f>'Data Orig'!AE35*$C34</f>
        <v>2774</v>
      </c>
      <c r="AC34" s="64"/>
      <c r="AD34" s="40"/>
      <c r="AE34" s="40"/>
    </row>
    <row r="35" spans="1:31" ht="28" customHeight="1" x14ac:dyDescent="0.2">
      <c r="A35" s="60" t="s">
        <v>42</v>
      </c>
      <c r="B35" s="54"/>
      <c r="C35" s="54"/>
      <c r="D35" s="62"/>
      <c r="E35" s="5"/>
      <c r="F35" s="5"/>
      <c r="G35" s="5"/>
      <c r="H35" s="6"/>
    </row>
    <row r="36" spans="1:31" ht="28" customHeight="1" x14ac:dyDescent="0.2">
      <c r="B36" s="10"/>
      <c r="C36" s="10"/>
      <c r="D36" s="9"/>
      <c r="E36" s="8"/>
      <c r="F36" s="9"/>
      <c r="G36" s="9"/>
      <c r="H36" s="9"/>
    </row>
    <row r="38" spans="1:31" ht="28" hidden="1" customHeight="1" x14ac:dyDescent="0.2">
      <c r="B38" s="55" t="s">
        <v>47</v>
      </c>
      <c r="C38" s="55"/>
      <c r="D38" s="56"/>
      <c r="E38" s="56" t="s">
        <v>61</v>
      </c>
      <c r="F38" s="56" t="s">
        <v>62</v>
      </c>
      <c r="G38" s="56" t="s">
        <v>63</v>
      </c>
      <c r="H38" s="56" t="s">
        <v>64</v>
      </c>
      <c r="I38" s="56" t="s">
        <v>65</v>
      </c>
      <c r="J38" s="56" t="s">
        <v>66</v>
      </c>
      <c r="K38" s="56" t="s">
        <v>67</v>
      </c>
      <c r="L38" s="56" t="s">
        <v>68</v>
      </c>
      <c r="M38" s="56" t="s">
        <v>69</v>
      </c>
      <c r="N38" s="56" t="s">
        <v>70</v>
      </c>
      <c r="O38" s="56" t="s">
        <v>71</v>
      </c>
      <c r="P38" s="56" t="s">
        <v>72</v>
      </c>
      <c r="Q38" s="56" t="s">
        <v>73</v>
      </c>
      <c r="R38" s="56" t="s">
        <v>74</v>
      </c>
      <c r="S38" s="56" t="s">
        <v>75</v>
      </c>
      <c r="T38" s="56" t="s">
        <v>76</v>
      </c>
      <c r="U38" s="56" t="s">
        <v>77</v>
      </c>
      <c r="V38" s="56" t="s">
        <v>78</v>
      </c>
      <c r="W38" s="56" t="s">
        <v>79</v>
      </c>
      <c r="X38" s="56" t="s">
        <v>80</v>
      </c>
      <c r="Y38" s="56" t="s">
        <v>81</v>
      </c>
      <c r="Z38" s="56" t="s">
        <v>82</v>
      </c>
      <c r="AA38" s="56" t="s">
        <v>83</v>
      </c>
      <c r="AB38" s="56" t="s">
        <v>84</v>
      </c>
    </row>
    <row r="39" spans="1:31" ht="28" hidden="1" customHeight="1" x14ac:dyDescent="0.2">
      <c r="B39" s="55" t="s">
        <v>48</v>
      </c>
      <c r="C39" s="55"/>
      <c r="D39" s="56"/>
      <c r="E39" s="57">
        <f>AVERAGE(E7:E9)</f>
        <v>2210.3333333333335</v>
      </c>
      <c r="F39" s="57">
        <f t="shared" ref="F39:N39" si="1">AVERAGE(F7:F9)</f>
        <v>2191.6666666666665</v>
      </c>
      <c r="G39" s="57">
        <f t="shared" si="1"/>
        <v>2206.1349206349205</v>
      </c>
      <c r="H39" s="57">
        <f t="shared" si="1"/>
        <v>2206.7857142857142</v>
      </c>
      <c r="I39" s="57">
        <f t="shared" si="1"/>
        <v>2258</v>
      </c>
      <c r="J39" s="57">
        <f t="shared" si="1"/>
        <v>2241.3333333333335</v>
      </c>
      <c r="K39" s="57">
        <f t="shared" si="1"/>
        <v>2239.3333333333335</v>
      </c>
      <c r="L39" s="57">
        <f t="shared" si="1"/>
        <v>2215.6666666666665</v>
      </c>
      <c r="M39" s="57">
        <f t="shared" si="1"/>
        <v>2209</v>
      </c>
      <c r="N39" s="57">
        <f t="shared" si="1"/>
        <v>2188</v>
      </c>
      <c r="O39" s="57">
        <f>AVERAGE(O7:O9)</f>
        <v>2133.3333333333335</v>
      </c>
      <c r="P39" s="57">
        <f t="shared" ref="P39:S39" si="2">AVERAGE(P7:P9)</f>
        <v>2124.6666666666665</v>
      </c>
      <c r="Q39" s="57">
        <f t="shared" si="2"/>
        <v>2082</v>
      </c>
      <c r="R39" s="57">
        <f t="shared" si="2"/>
        <v>2087.3333333333335</v>
      </c>
      <c r="S39" s="57">
        <f t="shared" si="2"/>
        <v>2050</v>
      </c>
      <c r="T39" s="57">
        <f>AVERAGE(T7:T9)</f>
        <v>2024.3333333333333</v>
      </c>
      <c r="U39" s="57">
        <f t="shared" ref="U39:AB39" si="3">AVERAGE(U7:U9)</f>
        <v>2017</v>
      </c>
      <c r="V39" s="57">
        <f t="shared" si="3"/>
        <v>2026</v>
      </c>
      <c r="W39" s="57">
        <f t="shared" si="3"/>
        <v>2070</v>
      </c>
      <c r="X39" s="57">
        <f t="shared" si="3"/>
        <v>2094.6666666666665</v>
      </c>
      <c r="Y39" s="57">
        <f t="shared" si="3"/>
        <v>2063</v>
      </c>
      <c r="Z39" s="57">
        <f t="shared" si="3"/>
        <v>2140</v>
      </c>
      <c r="AA39" s="57">
        <f t="shared" si="3"/>
        <v>2134.3333333333335</v>
      </c>
      <c r="AB39" s="57">
        <f t="shared" si="3"/>
        <v>2090.3333333333335</v>
      </c>
    </row>
    <row r="40" spans="1:31" ht="28" hidden="1" customHeight="1" x14ac:dyDescent="0.2">
      <c r="B40" s="55" t="s">
        <v>55</v>
      </c>
      <c r="C40" s="55"/>
      <c r="D40" s="56"/>
      <c r="E40" s="57">
        <f>AVERAGE(E10:E11)</f>
        <v>1389.5</v>
      </c>
      <c r="F40" s="57">
        <f t="shared" ref="F40:N40" si="4">AVERAGE(F10:F11)</f>
        <v>1382</v>
      </c>
      <c r="G40" s="57">
        <f t="shared" si="4"/>
        <v>1376.875</v>
      </c>
      <c r="H40" s="57">
        <f t="shared" si="4"/>
        <v>1371.875</v>
      </c>
      <c r="I40" s="57">
        <f t="shared" si="4"/>
        <v>1201.5</v>
      </c>
      <c r="J40" s="57">
        <f t="shared" si="4"/>
        <v>1178.5</v>
      </c>
      <c r="K40" s="57">
        <f t="shared" si="4"/>
        <v>1172.5</v>
      </c>
      <c r="L40" s="57">
        <f t="shared" si="4"/>
        <v>1172.5</v>
      </c>
      <c r="M40" s="57">
        <f t="shared" si="4"/>
        <v>1178.5</v>
      </c>
      <c r="N40" s="57">
        <f t="shared" si="4"/>
        <v>1190</v>
      </c>
      <c r="O40" s="57">
        <f>AVERAGE(O10:O11)</f>
        <v>1190</v>
      </c>
      <c r="P40" s="57">
        <f t="shared" ref="P40:S40" si="5">AVERAGE(P10:P11)</f>
        <v>1190</v>
      </c>
      <c r="Q40" s="57">
        <f t="shared" si="5"/>
        <v>1190</v>
      </c>
      <c r="R40" s="57">
        <f t="shared" si="5"/>
        <v>1190</v>
      </c>
      <c r="S40" s="57">
        <f t="shared" si="5"/>
        <v>1190</v>
      </c>
      <c r="T40" s="57">
        <f>AVERAGE(T10:T11)</f>
        <v>1190</v>
      </c>
      <c r="U40" s="57">
        <f t="shared" ref="U40:AB40" si="6">AVERAGE(U10:U11)</f>
        <v>1190</v>
      </c>
      <c r="V40" s="57">
        <f t="shared" si="6"/>
        <v>1190</v>
      </c>
      <c r="W40" s="57">
        <f t="shared" si="6"/>
        <v>1190</v>
      </c>
      <c r="X40" s="57">
        <f t="shared" si="6"/>
        <v>1190</v>
      </c>
      <c r="Y40" s="57">
        <f t="shared" si="6"/>
        <v>1190</v>
      </c>
      <c r="Z40" s="57">
        <f t="shared" si="6"/>
        <v>1184</v>
      </c>
      <c r="AA40" s="57">
        <f t="shared" si="6"/>
        <v>1172.5</v>
      </c>
      <c r="AB40" s="57">
        <f t="shared" si="6"/>
        <v>1172.5</v>
      </c>
    </row>
    <row r="41" spans="1:31" ht="28" hidden="1" customHeight="1" x14ac:dyDescent="0.2">
      <c r="B41" s="55" t="s">
        <v>49</v>
      </c>
      <c r="C41" s="55"/>
      <c r="D41" s="56"/>
      <c r="E41" s="57">
        <f t="shared" ref="E41:AB41" si="7">AVERAGE(E13:E15)</f>
        <v>1228.5033333333333</v>
      </c>
      <c r="F41" s="57">
        <f t="shared" si="7"/>
        <v>1332.19</v>
      </c>
      <c r="G41" s="57">
        <f t="shared" si="7"/>
        <v>1321.3958333333333</v>
      </c>
      <c r="H41" s="57">
        <f t="shared" si="7"/>
        <v>1329.1736111111111</v>
      </c>
      <c r="I41" s="57">
        <f t="shared" si="7"/>
        <v>1251.25</v>
      </c>
      <c r="J41" s="57">
        <f t="shared" si="7"/>
        <v>1251.25</v>
      </c>
      <c r="K41" s="57">
        <f t="shared" si="7"/>
        <v>1218.1566666666668</v>
      </c>
      <c r="L41" s="57">
        <f t="shared" si="7"/>
        <v>1198.2766666666666</v>
      </c>
      <c r="M41" s="57">
        <f t="shared" si="7"/>
        <v>1198.2766666666666</v>
      </c>
      <c r="N41" s="57">
        <f t="shared" si="7"/>
        <v>1180.3900000000001</v>
      </c>
      <c r="O41" s="57">
        <f t="shared" si="7"/>
        <v>1171.4433333333334</v>
      </c>
      <c r="P41" s="57">
        <f t="shared" si="7"/>
        <v>1165.2233333333334</v>
      </c>
      <c r="Q41" s="57">
        <f t="shared" si="7"/>
        <v>1158.3333333333333</v>
      </c>
      <c r="R41" s="57">
        <f t="shared" si="7"/>
        <v>1186.2966666666666</v>
      </c>
      <c r="S41" s="57">
        <f t="shared" si="7"/>
        <v>1225.9233333333332</v>
      </c>
      <c r="T41" s="57">
        <f t="shared" si="7"/>
        <v>1207.7766666666666</v>
      </c>
      <c r="U41" s="57">
        <f t="shared" si="7"/>
        <v>1218.5166666666667</v>
      </c>
      <c r="V41" s="57">
        <f t="shared" si="7"/>
        <v>1276.6633333333332</v>
      </c>
      <c r="W41" s="57">
        <f t="shared" si="7"/>
        <v>1276.6633333333332</v>
      </c>
      <c r="X41" s="57">
        <f t="shared" si="7"/>
        <v>1276.6633333333332</v>
      </c>
      <c r="Y41" s="57">
        <f t="shared" si="7"/>
        <v>1276.6633333333332</v>
      </c>
      <c r="Z41" s="57">
        <f t="shared" si="7"/>
        <v>1238.8866666666665</v>
      </c>
      <c r="AA41" s="57">
        <f t="shared" si="7"/>
        <v>1250.5533333333333</v>
      </c>
      <c r="AB41" s="57">
        <f t="shared" si="7"/>
        <v>1250.5533333333333</v>
      </c>
    </row>
    <row r="42" spans="1:31" ht="28" hidden="1" customHeight="1" x14ac:dyDescent="0.2">
      <c r="B42" s="55" t="s">
        <v>50</v>
      </c>
      <c r="C42" s="55"/>
      <c r="D42" s="56"/>
      <c r="E42" s="57">
        <f t="shared" ref="E42:AB42" si="8">AVERAGE(E16:E18)</f>
        <v>822.50333333333344</v>
      </c>
      <c r="F42" s="57">
        <f t="shared" si="8"/>
        <v>874.35666666666668</v>
      </c>
      <c r="G42" s="57">
        <f t="shared" si="8"/>
        <v>868.97916666666663</v>
      </c>
      <c r="H42" s="57">
        <f t="shared" si="8"/>
        <v>907.0486111111112</v>
      </c>
      <c r="I42" s="57">
        <f t="shared" si="8"/>
        <v>834.16666666666663</v>
      </c>
      <c r="J42" s="57">
        <f t="shared" si="8"/>
        <v>834.16666666666663</v>
      </c>
      <c r="K42" s="57">
        <f t="shared" si="8"/>
        <v>807.5</v>
      </c>
      <c r="L42" s="57">
        <f t="shared" si="8"/>
        <v>789.16666666666663</v>
      </c>
      <c r="M42" s="57">
        <f t="shared" si="8"/>
        <v>789.16666666666663</v>
      </c>
      <c r="N42" s="57">
        <f t="shared" si="8"/>
        <v>789.16666666666663</v>
      </c>
      <c r="O42" s="57">
        <f t="shared" si="8"/>
        <v>789.16666666666663</v>
      </c>
      <c r="P42" s="57">
        <f t="shared" si="8"/>
        <v>789.16666666666663</v>
      </c>
      <c r="Q42" s="57">
        <f t="shared" si="8"/>
        <v>826.7600000000001</v>
      </c>
      <c r="R42" s="57">
        <f t="shared" si="8"/>
        <v>836.02</v>
      </c>
      <c r="S42" s="57">
        <f t="shared" si="8"/>
        <v>844.16666666666663</v>
      </c>
      <c r="T42" s="57">
        <f t="shared" si="8"/>
        <v>852.5</v>
      </c>
      <c r="U42" s="57">
        <f t="shared" si="8"/>
        <v>852.5</v>
      </c>
      <c r="V42" s="57">
        <f t="shared" si="8"/>
        <v>838.89</v>
      </c>
      <c r="W42" s="57">
        <f t="shared" si="8"/>
        <v>838.89</v>
      </c>
      <c r="X42" s="57">
        <f t="shared" si="8"/>
        <v>838.89</v>
      </c>
      <c r="Y42" s="57">
        <f t="shared" si="8"/>
        <v>838.89</v>
      </c>
      <c r="Z42" s="57">
        <f t="shared" si="8"/>
        <v>812.77666666666664</v>
      </c>
      <c r="AA42" s="57">
        <f t="shared" si="8"/>
        <v>816.86</v>
      </c>
      <c r="AB42" s="57">
        <f t="shared" si="8"/>
        <v>816.86</v>
      </c>
    </row>
    <row r="43" spans="1:31" ht="28" hidden="1" customHeight="1" x14ac:dyDescent="0.2">
      <c r="B43" s="55" t="s">
        <v>51</v>
      </c>
      <c r="C43" s="55"/>
      <c r="D43" s="56"/>
      <c r="E43" s="57">
        <f t="shared" ref="E43:AB43" si="9">AVERAGE(E20:E25)</f>
        <v>635.33333333333337</v>
      </c>
      <c r="F43" s="57">
        <f t="shared" si="9"/>
        <v>642.33333333333337</v>
      </c>
      <c r="G43" s="57">
        <f t="shared" si="9"/>
        <v>653.52222222222235</v>
      </c>
      <c r="H43" s="57">
        <f t="shared" si="9"/>
        <v>643.0981481481482</v>
      </c>
      <c r="I43" s="57">
        <f t="shared" si="9"/>
        <v>584</v>
      </c>
      <c r="J43" s="57">
        <f t="shared" si="9"/>
        <v>584</v>
      </c>
      <c r="K43" s="57">
        <f t="shared" si="9"/>
        <v>584</v>
      </c>
      <c r="L43" s="57">
        <f t="shared" si="9"/>
        <v>584</v>
      </c>
      <c r="M43" s="57">
        <f t="shared" si="9"/>
        <v>572</v>
      </c>
      <c r="N43" s="57">
        <f t="shared" si="9"/>
        <v>556.66666666666663</v>
      </c>
      <c r="O43" s="57">
        <f t="shared" si="9"/>
        <v>539.33333333333337</v>
      </c>
      <c r="P43" s="57">
        <f t="shared" si="9"/>
        <v>539.33333333333337</v>
      </c>
      <c r="Q43" s="57">
        <f t="shared" si="9"/>
        <v>539.33333333333337</v>
      </c>
      <c r="R43" s="57">
        <f t="shared" si="9"/>
        <v>539.33333333333337</v>
      </c>
      <c r="S43" s="57">
        <f t="shared" si="9"/>
        <v>539.33333333333337</v>
      </c>
      <c r="T43" s="57">
        <f t="shared" si="9"/>
        <v>539.33333333333337</v>
      </c>
      <c r="U43" s="57">
        <f t="shared" si="9"/>
        <v>543</v>
      </c>
      <c r="V43" s="57">
        <f t="shared" si="9"/>
        <v>551</v>
      </c>
      <c r="W43" s="57">
        <f t="shared" si="9"/>
        <v>551</v>
      </c>
      <c r="X43" s="57">
        <f t="shared" si="9"/>
        <v>551</v>
      </c>
      <c r="Y43" s="57">
        <f t="shared" si="9"/>
        <v>551</v>
      </c>
      <c r="Z43" s="57">
        <f t="shared" si="9"/>
        <v>558</v>
      </c>
      <c r="AA43" s="57">
        <f t="shared" si="9"/>
        <v>562.66666666666663</v>
      </c>
      <c r="AB43" s="57">
        <f t="shared" si="9"/>
        <v>561</v>
      </c>
    </row>
    <row r="44" spans="1:31" ht="28" hidden="1" customHeight="1" x14ac:dyDescent="0.2">
      <c r="B44" s="55" t="s">
        <v>52</v>
      </c>
      <c r="C44" s="55"/>
      <c r="D44" s="56"/>
      <c r="E44" s="57">
        <f t="shared" ref="E44:AB44" si="10">AVERAGE(E27:E28)</f>
        <v>2652.75</v>
      </c>
      <c r="F44" s="57">
        <f t="shared" si="10"/>
        <v>2657.8</v>
      </c>
      <c r="G44" s="57">
        <f t="shared" si="10"/>
        <v>2657.8125</v>
      </c>
      <c r="H44" s="57">
        <f t="shared" si="10"/>
        <v>2665.8333333333335</v>
      </c>
      <c r="I44" s="57">
        <f t="shared" si="10"/>
        <v>2652.85</v>
      </c>
      <c r="J44" s="57">
        <f t="shared" si="10"/>
        <v>2538.6499999999996</v>
      </c>
      <c r="K44" s="57">
        <f t="shared" si="10"/>
        <v>2532</v>
      </c>
      <c r="L44" s="57">
        <f t="shared" si="10"/>
        <v>2515.1999999999998</v>
      </c>
      <c r="M44" s="57">
        <f t="shared" si="10"/>
        <v>2475.3000000000002</v>
      </c>
      <c r="N44" s="57">
        <f t="shared" si="10"/>
        <v>2402.65</v>
      </c>
      <c r="O44" s="57">
        <f t="shared" si="10"/>
        <v>2360.0500000000002</v>
      </c>
      <c r="P44" s="57">
        <f t="shared" si="10"/>
        <v>2339.6499999999996</v>
      </c>
      <c r="Q44" s="57">
        <f t="shared" si="10"/>
        <v>2255.5</v>
      </c>
      <c r="R44" s="57">
        <f t="shared" si="10"/>
        <v>2083.6999999999998</v>
      </c>
      <c r="S44" s="57">
        <f t="shared" si="10"/>
        <v>2018</v>
      </c>
      <c r="T44" s="57">
        <f t="shared" si="10"/>
        <v>1973.8</v>
      </c>
      <c r="U44" s="57">
        <f t="shared" si="10"/>
        <v>2100.3999999999996</v>
      </c>
      <c r="V44" s="57">
        <f t="shared" si="10"/>
        <v>2241.0500000000002</v>
      </c>
      <c r="W44" s="57">
        <f t="shared" si="10"/>
        <v>2276.0500000000002</v>
      </c>
      <c r="X44" s="57">
        <f t="shared" si="10"/>
        <v>2308.3500000000004</v>
      </c>
      <c r="Y44" s="57">
        <f t="shared" si="10"/>
        <v>2353.1999999999998</v>
      </c>
      <c r="Z44" s="57">
        <f t="shared" si="10"/>
        <v>2452.4499999999998</v>
      </c>
      <c r="AA44" s="57">
        <f t="shared" si="10"/>
        <v>2408.9</v>
      </c>
      <c r="AB44" s="57">
        <f t="shared" si="10"/>
        <v>2425.3000000000002</v>
      </c>
    </row>
    <row r="45" spans="1:31" ht="28" hidden="1" customHeight="1" x14ac:dyDescent="0.2">
      <c r="B45" s="55" t="s">
        <v>53</v>
      </c>
      <c r="C45" s="55"/>
      <c r="D45" s="56"/>
      <c r="E45" s="57">
        <f t="shared" ref="E45:AB45" si="11">AVERAGE(E30:E31)</f>
        <v>2661.5050000000001</v>
      </c>
      <c r="F45" s="57">
        <f t="shared" si="11"/>
        <v>2590.605</v>
      </c>
      <c r="G45" s="57">
        <f t="shared" si="11"/>
        <v>2471.2628333333332</v>
      </c>
      <c r="H45" s="57">
        <f t="shared" si="11"/>
        <v>2274.8885</v>
      </c>
      <c r="I45" s="57">
        <f t="shared" si="11"/>
        <v>2254.5250000000001</v>
      </c>
      <c r="J45" s="57">
        <f t="shared" si="11"/>
        <v>2218.42</v>
      </c>
      <c r="K45" s="57">
        <f t="shared" si="11"/>
        <v>2160.4049999999997</v>
      </c>
      <c r="L45" s="57">
        <f t="shared" si="11"/>
        <v>2046.7750000000001</v>
      </c>
      <c r="M45" s="57">
        <f t="shared" si="11"/>
        <v>2128.585</v>
      </c>
      <c r="N45" s="57">
        <f t="shared" si="11"/>
        <v>1958.385</v>
      </c>
      <c r="O45" s="57">
        <f t="shared" si="11"/>
        <v>2000.835</v>
      </c>
      <c r="P45" s="57">
        <f t="shared" si="11"/>
        <v>2260.42</v>
      </c>
      <c r="Q45" s="57">
        <f t="shared" si="11"/>
        <v>2791.2200000000003</v>
      </c>
      <c r="R45" s="57">
        <f t="shared" si="11"/>
        <v>3010.0349999999999</v>
      </c>
      <c r="S45" s="57">
        <f t="shared" si="11"/>
        <v>2992.4949999999999</v>
      </c>
      <c r="T45" s="57">
        <f t="shared" si="11"/>
        <v>2766.49</v>
      </c>
      <c r="U45" s="57">
        <f t="shared" si="11"/>
        <v>3045.0450000000001</v>
      </c>
      <c r="V45" s="57">
        <f t="shared" si="11"/>
        <v>3298.5299999999997</v>
      </c>
      <c r="W45" s="57">
        <f t="shared" si="11"/>
        <v>2613.5450000000001</v>
      </c>
      <c r="X45" s="57">
        <f t="shared" si="11"/>
        <v>2504.6549999999997</v>
      </c>
      <c r="Y45" s="57">
        <f t="shared" si="11"/>
        <v>2738.6499999999996</v>
      </c>
      <c r="Z45" s="57">
        <f t="shared" si="11"/>
        <v>2752.145</v>
      </c>
      <c r="AA45" s="57">
        <f t="shared" si="11"/>
        <v>2568.2849999999999</v>
      </c>
      <c r="AB45" s="57">
        <f t="shared" si="11"/>
        <v>2653.8199999999997</v>
      </c>
    </row>
    <row r="46" spans="1:31" ht="28" hidden="1" customHeight="1" x14ac:dyDescent="0.2">
      <c r="B46" s="55" t="s">
        <v>54</v>
      </c>
      <c r="C46" s="55"/>
      <c r="D46" s="56"/>
      <c r="E46" s="57">
        <f t="shared" ref="E46:AB46" si="12">AVERAGE(E32:E34)</f>
        <v>2495</v>
      </c>
      <c r="F46" s="57">
        <f t="shared" si="12"/>
        <v>2430.1666666666665</v>
      </c>
      <c r="G46" s="57">
        <f t="shared" si="12"/>
        <v>2424.0833333333335</v>
      </c>
      <c r="H46" s="57">
        <f t="shared" si="12"/>
        <v>2312.021296296296</v>
      </c>
      <c r="I46" s="57">
        <f t="shared" si="12"/>
        <v>2183.5833333333335</v>
      </c>
      <c r="J46" s="57">
        <f t="shared" si="12"/>
        <v>2126.25</v>
      </c>
      <c r="K46" s="57">
        <f t="shared" si="12"/>
        <v>2088.0833333333335</v>
      </c>
      <c r="L46" s="57">
        <f t="shared" si="12"/>
        <v>1950.3333333333333</v>
      </c>
      <c r="M46" s="57">
        <f t="shared" si="12"/>
        <v>2049.9166666666665</v>
      </c>
      <c r="N46" s="57">
        <f t="shared" si="12"/>
        <v>1931.3333333333333</v>
      </c>
      <c r="O46" s="57">
        <f t="shared" si="12"/>
        <v>1977.4166666666667</v>
      </c>
      <c r="P46" s="57">
        <f t="shared" si="12"/>
        <v>2131.6666666666665</v>
      </c>
      <c r="Q46" s="57">
        <f t="shared" si="12"/>
        <v>2584.4166666666665</v>
      </c>
      <c r="R46" s="57">
        <f t="shared" si="12"/>
        <v>2779.4166666666665</v>
      </c>
      <c r="S46" s="57">
        <f t="shared" si="12"/>
        <v>2771.6666666666665</v>
      </c>
      <c r="T46" s="57">
        <f t="shared" si="12"/>
        <v>2628.9166666666665</v>
      </c>
      <c r="U46" s="57">
        <f t="shared" si="12"/>
        <v>2710.25</v>
      </c>
      <c r="V46" s="57">
        <f t="shared" si="12"/>
        <v>2963.5</v>
      </c>
      <c r="W46" s="57">
        <f t="shared" si="12"/>
        <v>2342.5833333333335</v>
      </c>
      <c r="X46" s="57">
        <f t="shared" si="12"/>
        <v>2203.4166666666665</v>
      </c>
      <c r="Y46" s="57">
        <f t="shared" si="12"/>
        <v>2319.25</v>
      </c>
      <c r="Z46" s="57">
        <f t="shared" si="12"/>
        <v>2273.75</v>
      </c>
      <c r="AA46" s="57">
        <f t="shared" si="12"/>
        <v>2113.0833333333335</v>
      </c>
      <c r="AB46" s="57">
        <f t="shared" si="12"/>
        <v>2123.9166666666665</v>
      </c>
    </row>
  </sheetData>
  <phoneticPr fontId="12" type="noConversion"/>
  <dataValidations count="1">
    <dataValidation type="decimal" showErrorMessage="1" error="القيمة يجب أن تكون أكبر من -9999999أعلى رقم تستطيع إدخاله: 9999999" sqref="E30:E35 E7:AB11 E13:AB18 E20:AB25 E27:AB28 F30:AB34" xr:uid="{62F1E080-F8D8-5C46-BF6E-3924222640B9}">
      <formula1>-9999999</formula1>
      <formula2>9999999</formula2>
    </dataValidation>
  </dataValidations>
  <pageMargins left="0.7" right="0.7" top="0.75" bottom="0.75" header="0.3" footer="0.3"/>
  <pageSetup paperSize="9" scale="37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A15082-BD57-4ED1-AD09-F0CD0054EAE7}"/>
</file>

<file path=customXml/itemProps2.xml><?xml version="1.0" encoding="utf-8"?>
<ds:datastoreItem xmlns:ds="http://schemas.openxmlformats.org/officeDocument/2006/customXml" ds:itemID="{C6A9EC95-2822-415B-9EE1-05CBC96B7697}"/>
</file>

<file path=customXml/itemProps3.xml><?xml version="1.0" encoding="utf-8"?>
<ds:datastoreItem xmlns:ds="http://schemas.openxmlformats.org/officeDocument/2006/customXml" ds:itemID="{C7B2B581-2BF6-4738-8BDE-CB5838534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Orig</vt:lpstr>
      <vt:lpstr>Data Live</vt:lpstr>
      <vt:lpstr>Tracker</vt:lpstr>
      <vt:lpstr>'Data Live'!Print_Area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Parry</dc:creator>
  <cp:lastModifiedBy>David Parry</cp:lastModifiedBy>
  <cp:lastPrinted>2024-06-11T07:17:17Z</cp:lastPrinted>
  <dcterms:created xsi:type="dcterms:W3CDTF">2024-06-06T10:16:16Z</dcterms:created>
  <dcterms:modified xsi:type="dcterms:W3CDTF">2024-06-11T09:14:46Z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