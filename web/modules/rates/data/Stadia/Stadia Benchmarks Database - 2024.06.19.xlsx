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parry/Documents/OMNI Version 1.2/05_Excel Data Files/02_Files sent to IT/Stadia/"/>
    </mc:Choice>
  </mc:AlternateContent>
  <xr:revisionPtr revIDLastSave="0" documentId="8_{1E7751A1-8DDD-AD48-827A-0A38758D4C07}" xr6:coauthVersionLast="47" xr6:coauthVersionMax="47" xr10:uidLastSave="{00000000-0000-0000-0000-000000000000}"/>
  <bookViews>
    <workbookView xWindow="31920" yWindow="3200" windowWidth="49460" windowHeight="20220" xr2:uid="{6393F8EB-B7C1-B34E-9A0B-9C51A216A389}"/>
  </bookViews>
  <sheets>
    <sheet name="Stadium Rates " sheetId="1" r:id="rId1"/>
  </sheets>
  <definedNames>
    <definedName name="__123Graph_A" hidden="1">#REF!</definedName>
    <definedName name="__123Graph_ACHART1" hidden="1">#REF!</definedName>
    <definedName name="__123Graph_ACURRENT" hidden="1">#REF!</definedName>
    <definedName name="__123Graph_X" hidden="1">#REF!</definedName>
    <definedName name="__123Graph_XCHART1" hidden="1">#REF!</definedName>
    <definedName name="__123Graph_XCURRENT" hidden="1">#REF!</definedName>
    <definedName name="__IntlFixup" hidden="1">TRUE</definedName>
    <definedName name="_1__123Graph_ACHART_12" hidden="1">#REF!</definedName>
    <definedName name="_10__123Graph_ACHART_18" hidden="1">#REF!</definedName>
    <definedName name="_10__123Graph_BCHART_16" hidden="1">#REF!</definedName>
    <definedName name="_11__123Graph_BCHART_17" hidden="1">#REF!</definedName>
    <definedName name="_12__123Graph_ACHART_19" hidden="1">#REF!</definedName>
    <definedName name="_12__123Graph_BCHART_22" hidden="1">#REF!</definedName>
    <definedName name="_13__123Graph_CCHART_15" hidden="1">#REF!</definedName>
    <definedName name="_14__123Graph_ACHART_21" hidden="1">#REF!</definedName>
    <definedName name="_14__123Graph_CCHART_16" hidden="1">#REF!</definedName>
    <definedName name="_15__123Graph_CCHART_17" hidden="1">#REF!</definedName>
    <definedName name="_16__123Graph_ASEG_PIE" hidden="1">#REF!</definedName>
    <definedName name="_16__123Graph_CCHART_22" hidden="1">#REF!</definedName>
    <definedName name="_17__123Graph_CSEG_PIE" hidden="1">#REF!</definedName>
    <definedName name="_18__123Graph_BCHART_15" hidden="1">#REF!</definedName>
    <definedName name="_18__123Graph_DCHART_15" hidden="1">#REF!</definedName>
    <definedName name="_19__123Graph_DCHART_16" hidden="1">#REF!</definedName>
    <definedName name="_2__123Graph_ACHART_12" hidden="1">#REF!</definedName>
    <definedName name="_2__123Graph_ACHART_15" hidden="1">#REF!</definedName>
    <definedName name="_20__123Graph_BCHART_16" hidden="1">#REF!</definedName>
    <definedName name="_20__123Graph_DCHART_17" hidden="1">#REF!</definedName>
    <definedName name="_21__123Graph_DCHART_22" hidden="1">#REF!</definedName>
    <definedName name="_22__123Graph_BCHART_17" hidden="1">#REF!</definedName>
    <definedName name="_22__123Graph_ECHART_15" hidden="1">#REF!</definedName>
    <definedName name="_23__123Graph_ECHART_16" hidden="1">#REF!</definedName>
    <definedName name="_24__123Graph_BCHART_22" hidden="1">#REF!</definedName>
    <definedName name="_24__123Graph_ECHART_17" hidden="1">#REF!</definedName>
    <definedName name="_25__123Graph_ECHART_22" hidden="1">#REF!</definedName>
    <definedName name="_26__123Graph_CCHART_15" hidden="1">#REF!</definedName>
    <definedName name="_26__123Graph_FCHART_15" hidden="1">#REF!</definedName>
    <definedName name="_27__123Graph_FCHART_16" hidden="1">#REF!</definedName>
    <definedName name="_28__123Graph_CCHART_16" hidden="1">#REF!</definedName>
    <definedName name="_28__123Graph_FCHART_17" hidden="1">#REF!</definedName>
    <definedName name="_29__123Graph_FCHART_22" hidden="1">#REF!</definedName>
    <definedName name="_3__123Graph_ACHART_16" hidden="1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21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__123Graph_ACHART_15" hidden="1">#REF!</definedName>
    <definedName name="_4__123Graph_ACHART_17" hidden="1">#REF!</definedName>
    <definedName name="_40__123Graph_DCHART_17" hidden="1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__123Graph_ACHART_18" hidden="1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__123Graph_ACHART_16" hidden="1">#REF!</definedName>
    <definedName name="_6__123Graph_ACHART_19" hidden="1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__123Graph_ACHART_21" hidden="1">#REF!</definedName>
    <definedName name="_70__123Graph_XCHART_22" hidden="1">#REF!</definedName>
    <definedName name="_72__123Graph_XSEG_PIE" hidden="1">#REF!</definedName>
    <definedName name="_8__123Graph_ACHART_17" hidden="1">#REF!</definedName>
    <definedName name="_8__123Graph_ASEG_PIE" hidden="1">#REF!</definedName>
    <definedName name="_9__123Graph_BCHART_15" hidden="1">#REF!</definedName>
    <definedName name="_Fill" hidden="1">#REF!</definedName>
    <definedName name="_xlnm._FilterDatabase" localSheetId="0" hidden="1">'Stadium Rates '!$A$1:$N$10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ccessDatabase" hidden="1">"C:\AA-MEDIUM PROJECTS\Khaleej Times - GO 14017\Submittals Status.mdb"</definedName>
    <definedName name="b" hidden="1">{"'Break down'!$A$4"}</definedName>
    <definedName name="BS" hidden="1">#REF!</definedName>
    <definedName name="dad" hidden="1">#REF!</definedName>
    <definedName name="def" hidden="1">#REF!</definedName>
    <definedName name="Ele" hidden="1">{"'Break down'!$A$4"}</definedName>
    <definedName name="ELEC" hidden="1">#REF!</definedName>
    <definedName name="eth" hidden="1">#REF!</definedName>
    <definedName name="ghj" hidden="1">#REF!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Scaffolding" hidden="1">{"'Break down'!$A$4"}</definedName>
    <definedName name="SORT" localSheetId="0">'Stadium Rates '!$2:$10</definedName>
    <definedName name="stop" hidden="1">#REF!</definedName>
    <definedName name="SUM" hidden="1">{"'Sheet1 (2)'!$A$1:$C$61"}</definedName>
    <definedName name="temp" hidden="1">{"'Break down'!$A$4"}</definedName>
    <definedName name="tmp" hidden="1">{"'Break down'!$A$4"}</definedName>
    <definedName name="ubaid" hidden="1">{#N/A,#N/A,FALSE,"VCR"}</definedName>
    <definedName name="Ubaide" hidden="1">{#N/A,#N/A,FALSE,"VCR"}</definedName>
    <definedName name="wrn.Chandana." hidden="1">{#N/A,#N/A,FALSE,"VCR"}</definedName>
    <definedName name="wrn.ON_COSTS." hidden="1">{#N/A,#N/A,FALSE,"Summary";#N/A,#N/A,FALSE,"Plant";#N/A,#N/A,FALSE,"Staff";#N/A,#N/A,FALSE,"Prelim";#N/A,#N/A,FALSE,"Others"}</definedName>
    <definedName name="wrn.PRINT._.REPORT." hidden="1">{#N/A,#N/A,FALSE,"summary";#N/A,#N/A,FALSE,"preliminy";#N/A,#N/A,FALSE,"bill 3";#N/A,#N/A,FALSE,"bill 4"}</definedName>
    <definedName name="xls." hidden="1">{"'Break down'!$A$4"}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2" i="1"/>
</calcChain>
</file>

<file path=xl/sharedStrings.xml><?xml version="1.0" encoding="utf-8"?>
<sst xmlns="http://schemas.openxmlformats.org/spreadsheetml/2006/main" count="77" uniqueCount="43">
  <si>
    <t>BATCH</t>
  </si>
  <si>
    <t>REF</t>
  </si>
  <si>
    <t>Country</t>
  </si>
  <si>
    <t>City</t>
  </si>
  <si>
    <t>Asset</t>
  </si>
  <si>
    <t>Project</t>
  </si>
  <si>
    <t>Status</t>
  </si>
  <si>
    <t>Base Date</t>
  </si>
  <si>
    <t>Currency</t>
  </si>
  <si>
    <t>United Arab Emirates</t>
  </si>
  <si>
    <t>AED</t>
  </si>
  <si>
    <t>Award</t>
  </si>
  <si>
    <t>xxx</t>
  </si>
  <si>
    <t>Stadia</t>
  </si>
  <si>
    <t>Lusail Stadium</t>
  </si>
  <si>
    <t>Al Thumama Stadium</t>
  </si>
  <si>
    <t>Al Janoub Stadium</t>
  </si>
  <si>
    <t>Education City Stadium</t>
  </si>
  <si>
    <t>Al Bayt Stadium</t>
  </si>
  <si>
    <t>Ahmad Bin Ali Stadium</t>
  </si>
  <si>
    <t>Khalifa International Stadium</t>
  </si>
  <si>
    <t>Stadium 974</t>
  </si>
  <si>
    <t>Qatar</t>
  </si>
  <si>
    <t>Lusail City</t>
  </si>
  <si>
    <t>Doha</t>
  </si>
  <si>
    <t>Al Wakrah</t>
  </si>
  <si>
    <t>Al Khor</t>
  </si>
  <si>
    <t>Al Rayyan</t>
  </si>
  <si>
    <t>Al Ain</t>
  </si>
  <si>
    <t>HAZZA Stadium</t>
  </si>
  <si>
    <t>Alias</t>
  </si>
  <si>
    <t>Project A</t>
  </si>
  <si>
    <t>Project B</t>
  </si>
  <si>
    <t>Project C</t>
  </si>
  <si>
    <t>Project D</t>
  </si>
  <si>
    <t>Project E</t>
  </si>
  <si>
    <t>Project F</t>
  </si>
  <si>
    <t>Project G</t>
  </si>
  <si>
    <t>Project H</t>
  </si>
  <si>
    <t>Project I</t>
  </si>
  <si>
    <t>Capacity</t>
  </si>
  <si>
    <t>Cost</t>
  </si>
  <si>
    <t>Cost/Seat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</si>
</sst>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000_);_(* \(#,##0.00000\);_(* &quot;-&quot;??_);_(@_)"/>
    <numFmt numFmtId="165" formatCode="_(&quot;$&quot;* #,##0.00_);_(&quot;$&quot;* \(#,##0.00\);_(&quot;$&quot;* &quot;-&quot;??_);_(@_)"/>
    <numFmt numFmtId="166" formatCode="m/d/yy\ h:mm;@"/>
    <numFmt numFmtId="167" formatCode="yyyy"/>
    <numFmt numFmtId="171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vertical="top"/>
    </xf>
    <xf numFmtId="164" fontId="3" fillId="2" borderId="0" xfId="1" applyNumberFormat="1" applyFont="1" applyFill="1" applyAlignment="1">
      <alignment horizontal="left" vertical="top"/>
    </xf>
    <xf numFmtId="0" fontId="0" fillId="0" borderId="0" xfId="0" applyAlignment="1">
      <alignment vertical="top"/>
    </xf>
    <xf numFmtId="0" fontId="4" fillId="2" borderId="0" xfId="1" applyNumberFormat="1" applyFont="1" applyFill="1" applyAlignment="1">
      <alignment horizontal="center" vertical="top"/>
    </xf>
    <xf numFmtId="164" fontId="4" fillId="2" borderId="0" xfId="1" applyNumberFormat="1" applyFont="1" applyFill="1" applyAlignment="1">
      <alignment horizontal="left" vertical="top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0" fontId="0" fillId="0" borderId="1" xfId="2" applyNumberFormat="1" applyFont="1" applyBorder="1" applyAlignment="1">
      <alignment horizontal="center"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center" vertical="top"/>
    </xf>
    <xf numFmtId="167" fontId="5" fillId="3" borderId="3" xfId="0" applyNumberFormat="1" applyFont="1" applyFill="1" applyBorder="1" applyAlignment="1">
      <alignment horizontal="center" vertical="top" wrapText="1"/>
    </xf>
    <xf numFmtId="164" fontId="3" fillId="2" borderId="0" xfId="1" applyNumberFormat="1" applyFont="1" applyFill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49" fontId="5" fillId="3" borderId="3" xfId="0" applyNumberFormat="1" applyFont="1" applyFill="1" applyBorder="1" applyAlignment="1">
      <alignment horizontal="center" vertical="top" wrapText="1"/>
    </xf>
    <xf numFmtId="43" fontId="5" fillId="3" borderId="3" xfId="1" applyFont="1" applyFill="1" applyBorder="1" applyAlignment="1">
      <alignment horizontal="center" vertical="top" wrapText="1"/>
    </xf>
    <xf numFmtId="171" fontId="0" fillId="0" borderId="1" xfId="1" applyNumberFormat="1" applyFont="1" applyBorder="1" applyAlignment="1">
      <alignment horizontal="center"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1F56-AAEB-9741-9E84-12F3F52CC297}">
  <dimension ref="B1:N11"/>
  <sheetViews>
    <sheetView tabSelected="1" zoomScale="120" zoomScaleNormal="120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I6" sqref="I6"/>
    </sheetView>
  </sheetViews>
  <sheetFormatPr baseColWidth="10" defaultColWidth="8.83203125" defaultRowHeight="33" customHeight="1" x14ac:dyDescent="0.2"/>
  <cols>
    <col min="1" max="1" width="7.1640625" style="1" customWidth="1"/>
    <col min="2" max="2" width="10.6640625" style="2" bestFit="1" customWidth="1"/>
    <col min="3" max="3" width="9.6640625" style="2" bestFit="1" customWidth="1"/>
    <col min="4" max="7" width="21.6640625" style="1" customWidth="1"/>
    <col min="8" max="8" width="21.6640625" style="10" customWidth="1"/>
    <col min="9" max="9" width="13.83203125" style="10" bestFit="1" customWidth="1"/>
    <col min="10" max="10" width="12.83203125" style="12" customWidth="1"/>
    <col min="11" max="11" width="16" style="14" customWidth="1"/>
    <col min="12" max="12" width="9.83203125" style="11" customWidth="1"/>
    <col min="13" max="13" width="16" style="13" customWidth="1"/>
    <col min="14" max="14" width="16" style="11" customWidth="1"/>
    <col min="15" max="16384" width="8.83203125" style="1"/>
  </cols>
  <sheetData>
    <row r="1" spans="2:14" s="12" customFormat="1" ht="33" customHeight="1" x14ac:dyDescent="0.2">
      <c r="B1" s="16" t="s">
        <v>0</v>
      </c>
      <c r="C1" s="16" t="s">
        <v>1</v>
      </c>
      <c r="D1" s="17" t="s">
        <v>4</v>
      </c>
      <c r="E1" s="18" t="s">
        <v>2</v>
      </c>
      <c r="F1" s="18" t="s">
        <v>3</v>
      </c>
      <c r="G1" s="18" t="s">
        <v>30</v>
      </c>
      <c r="H1" s="19" t="s">
        <v>5</v>
      </c>
      <c r="I1" s="15" t="s">
        <v>7</v>
      </c>
      <c r="J1" s="19" t="s">
        <v>6</v>
      </c>
      <c r="K1" s="20" t="s">
        <v>40</v>
      </c>
      <c r="L1" s="19" t="s">
        <v>8</v>
      </c>
      <c r="M1" s="19" t="s">
        <v>41</v>
      </c>
      <c r="N1" s="20" t="s">
        <v>42</v>
      </c>
    </row>
    <row r="2" spans="2:14" s="3" customFormat="1" ht="56" customHeight="1" x14ac:dyDescent="0.2">
      <c r="B2" s="4">
        <v>1</v>
      </c>
      <c r="C2" s="5">
        <v>1.0000100000000001</v>
      </c>
      <c r="D2" s="6" t="s">
        <v>13</v>
      </c>
      <c r="E2" s="6" t="s">
        <v>22</v>
      </c>
      <c r="F2" s="6" t="s">
        <v>23</v>
      </c>
      <c r="G2" s="6" t="s">
        <v>31</v>
      </c>
      <c r="H2" s="7" t="s">
        <v>14</v>
      </c>
      <c r="I2" s="9">
        <v>2017</v>
      </c>
      <c r="J2" s="8" t="s">
        <v>11</v>
      </c>
      <c r="K2" s="21">
        <v>89000</v>
      </c>
      <c r="L2" s="8" t="s">
        <v>10</v>
      </c>
      <c r="M2" s="21">
        <v>4900000000</v>
      </c>
      <c r="N2" s="21">
        <f>M2/K2</f>
        <v>55056.1797752809</v>
      </c>
    </row>
    <row r="3" spans="2:14" s="3" customFormat="1" ht="56" customHeight="1" x14ac:dyDescent="0.2">
      <c r="B3" s="4">
        <v>1</v>
      </c>
      <c r="C3" s="5">
        <v>1.0000199999999999</v>
      </c>
      <c r="D3" s="6" t="s">
        <v>13</v>
      </c>
      <c r="E3" s="6" t="s">
        <v>22</v>
      </c>
      <c r="F3" s="6" t="s">
        <v>24</v>
      </c>
      <c r="G3" s="6" t="s">
        <v>32</v>
      </c>
      <c r="H3" s="7" t="s">
        <v>15</v>
      </c>
      <c r="I3" s="9">
        <v>2017</v>
      </c>
      <c r="J3" s="8" t="s">
        <v>11</v>
      </c>
      <c r="K3" s="21">
        <v>44000</v>
      </c>
      <c r="L3" s="8" t="s">
        <v>10</v>
      </c>
      <c r="M3" s="21">
        <v>2700000000</v>
      </c>
      <c r="N3" s="21">
        <f>M3/K3</f>
        <v>61363.63636363636</v>
      </c>
    </row>
    <row r="4" spans="2:14" s="3" customFormat="1" ht="56" customHeight="1" x14ac:dyDescent="0.2">
      <c r="B4" s="4">
        <v>1</v>
      </c>
      <c r="C4" s="5">
        <v>1.00003</v>
      </c>
      <c r="D4" s="6" t="s">
        <v>13</v>
      </c>
      <c r="E4" s="6" t="s">
        <v>22</v>
      </c>
      <c r="F4" s="6" t="s">
        <v>25</v>
      </c>
      <c r="G4" s="6" t="s">
        <v>33</v>
      </c>
      <c r="H4" s="7" t="s">
        <v>16</v>
      </c>
      <c r="I4" s="9">
        <v>2014</v>
      </c>
      <c r="J4" s="8" t="s">
        <v>11</v>
      </c>
      <c r="K4" s="21">
        <v>44000</v>
      </c>
      <c r="L4" s="8" t="s">
        <v>10</v>
      </c>
      <c r="M4" s="21">
        <v>2600000000</v>
      </c>
      <c r="N4" s="21">
        <f>M4/K4</f>
        <v>59090.909090909088</v>
      </c>
    </row>
    <row r="5" spans="2:14" s="3" customFormat="1" ht="56" customHeight="1" x14ac:dyDescent="0.2">
      <c r="B5" s="4">
        <v>1</v>
      </c>
      <c r="C5" s="5">
        <v>1.00004</v>
      </c>
      <c r="D5" s="6" t="s">
        <v>13</v>
      </c>
      <c r="E5" s="6" t="s">
        <v>22</v>
      </c>
      <c r="F5" s="6" t="s">
        <v>24</v>
      </c>
      <c r="G5" s="6" t="s">
        <v>34</v>
      </c>
      <c r="H5" s="7" t="s">
        <v>17</v>
      </c>
      <c r="I5" s="9">
        <v>2016</v>
      </c>
      <c r="J5" s="8" t="s">
        <v>11</v>
      </c>
      <c r="K5" s="21">
        <v>45000</v>
      </c>
      <c r="L5" s="8" t="s">
        <v>10</v>
      </c>
      <c r="M5" s="21">
        <v>2500000000</v>
      </c>
      <c r="N5" s="21">
        <f>M5/K5</f>
        <v>55555.555555555555</v>
      </c>
    </row>
    <row r="6" spans="2:14" s="3" customFormat="1" ht="56" customHeight="1" x14ac:dyDescent="0.2">
      <c r="B6" s="4">
        <v>1</v>
      </c>
      <c r="C6" s="5">
        <v>1.0000500000000001</v>
      </c>
      <c r="D6" s="6" t="s">
        <v>13</v>
      </c>
      <c r="E6" s="6" t="s">
        <v>22</v>
      </c>
      <c r="F6" s="6" t="s">
        <v>26</v>
      </c>
      <c r="G6" s="6" t="s">
        <v>35</v>
      </c>
      <c r="H6" s="7" t="s">
        <v>18</v>
      </c>
      <c r="I6" s="9">
        <v>2015</v>
      </c>
      <c r="J6" s="8" t="s">
        <v>11</v>
      </c>
      <c r="K6" s="21">
        <v>69000</v>
      </c>
      <c r="L6" s="8" t="s">
        <v>10</v>
      </c>
      <c r="M6" s="21">
        <v>2200000000</v>
      </c>
      <c r="N6" s="21">
        <f>M6/K6</f>
        <v>31884.057971014492</v>
      </c>
    </row>
    <row r="7" spans="2:14" s="3" customFormat="1" ht="56" customHeight="1" x14ac:dyDescent="0.2">
      <c r="B7" s="4">
        <v>1</v>
      </c>
      <c r="C7" s="5">
        <v>1.0000599999999999</v>
      </c>
      <c r="D7" s="6" t="s">
        <v>13</v>
      </c>
      <c r="E7" s="6" t="s">
        <v>22</v>
      </c>
      <c r="F7" s="6" t="s">
        <v>27</v>
      </c>
      <c r="G7" s="6" t="s">
        <v>36</v>
      </c>
      <c r="H7" s="7" t="s">
        <v>19</v>
      </c>
      <c r="I7" s="9">
        <v>2014</v>
      </c>
      <c r="J7" s="8" t="s">
        <v>11</v>
      </c>
      <c r="K7" s="21">
        <v>45000</v>
      </c>
      <c r="L7" s="8" t="s">
        <v>10</v>
      </c>
      <c r="M7" s="21">
        <v>1900000000</v>
      </c>
      <c r="N7" s="21">
        <f>M7/K7</f>
        <v>42222.222222222219</v>
      </c>
    </row>
    <row r="8" spans="2:14" s="3" customFormat="1" ht="56" customHeight="1" x14ac:dyDescent="0.2">
      <c r="B8" s="4">
        <v>1</v>
      </c>
      <c r="C8" s="5">
        <v>1.00007</v>
      </c>
      <c r="D8" s="6" t="s">
        <v>13</v>
      </c>
      <c r="E8" s="6" t="s">
        <v>22</v>
      </c>
      <c r="F8" s="6" t="s">
        <v>24</v>
      </c>
      <c r="G8" s="6" t="s">
        <v>37</v>
      </c>
      <c r="H8" s="7" t="s">
        <v>20</v>
      </c>
      <c r="I8" s="9">
        <v>2014</v>
      </c>
      <c r="J8" s="8" t="s">
        <v>11</v>
      </c>
      <c r="K8" s="21">
        <v>46000</v>
      </c>
      <c r="L8" s="8" t="s">
        <v>10</v>
      </c>
      <c r="M8" s="21">
        <v>1800000000</v>
      </c>
      <c r="N8" s="21">
        <f>M8/K8</f>
        <v>39130.434782608696</v>
      </c>
    </row>
    <row r="9" spans="2:14" s="3" customFormat="1" ht="56" customHeight="1" x14ac:dyDescent="0.2">
      <c r="B9" s="4">
        <v>1</v>
      </c>
      <c r="C9" s="5">
        <v>1.0000800000000001</v>
      </c>
      <c r="D9" s="6" t="s">
        <v>13</v>
      </c>
      <c r="E9" s="6" t="s">
        <v>22</v>
      </c>
      <c r="F9" s="6" t="s">
        <v>24</v>
      </c>
      <c r="G9" s="6" t="s">
        <v>38</v>
      </c>
      <c r="H9" s="7" t="s">
        <v>21</v>
      </c>
      <c r="I9" s="9">
        <v>2019</v>
      </c>
      <c r="J9" s="8" t="s">
        <v>11</v>
      </c>
      <c r="K9" s="21">
        <v>44000</v>
      </c>
      <c r="L9" s="8" t="s">
        <v>10</v>
      </c>
      <c r="M9" s="21">
        <v>900000000</v>
      </c>
      <c r="N9" s="21">
        <f>M9/K9</f>
        <v>20454.545454545456</v>
      </c>
    </row>
    <row r="10" spans="2:14" s="3" customFormat="1" ht="56" customHeight="1" x14ac:dyDescent="0.2">
      <c r="B10" s="4">
        <v>1</v>
      </c>
      <c r="C10" s="5">
        <v>1.0000899999999999</v>
      </c>
      <c r="D10" s="6" t="s">
        <v>13</v>
      </c>
      <c r="E10" s="6" t="s">
        <v>9</v>
      </c>
      <c r="F10" s="6" t="s">
        <v>28</v>
      </c>
      <c r="G10" s="6" t="s">
        <v>39</v>
      </c>
      <c r="H10" s="7" t="s">
        <v>29</v>
      </c>
      <c r="I10" s="9">
        <v>2012</v>
      </c>
      <c r="J10" s="8" t="s">
        <v>11</v>
      </c>
      <c r="K10" s="21">
        <v>25000</v>
      </c>
      <c r="L10" s="8" t="s">
        <v>10</v>
      </c>
      <c r="M10" s="21">
        <v>460000000</v>
      </c>
      <c r="N10" s="21">
        <f>M10/K10</f>
        <v>18400</v>
      </c>
    </row>
    <row r="11" spans="2:14" ht="33" customHeight="1" x14ac:dyDescent="0.2">
      <c r="D11" s="1" t="s">
        <v>12</v>
      </c>
    </row>
  </sheetData>
  <autoFilter ref="A1:N10" xr:uid="{F3851F56-AAEB-9741-9E84-12F3F52CC297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F696D2-4FF5-46E7-83E6-D9BBD4698EFA}"/>
</file>

<file path=customXml/itemProps2.xml><?xml version="1.0" encoding="utf-8"?>
<ds:datastoreItem xmlns:ds="http://schemas.openxmlformats.org/officeDocument/2006/customXml" ds:itemID="{C4D147E5-2B75-4811-9C33-2CB2A1C39878}"/>
</file>

<file path=customXml/itemProps3.xml><?xml version="1.0" encoding="utf-8"?>
<ds:datastoreItem xmlns:ds="http://schemas.openxmlformats.org/officeDocument/2006/customXml" ds:itemID="{05F5D0ED-3CD2-42C4-B0BE-BA6BF90BDD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Stadium Rates </vt:lpstr>
      <vt:lpstr>'Stadium Rates '!SORT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Parry</dc:creator>
  <cp:lastModifiedBy>David Parry</cp:lastModifiedBy>
  <dcterms:created xsi:type="dcterms:W3CDTF">2024-05-30T11:35:14Z</dcterms:created>
  <dcterms:modified xsi:type="dcterms:W3CDTF">2024-06-19T09:21:27Z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